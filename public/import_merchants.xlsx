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ECs" sheetId="1" state="visible" r:id="rId3"/>
    <sheet name="Selects" sheetId="2" state="hidden" r:id="rId4"/>
    <sheet name="Cnae  mcc  id" sheetId="3" state="hidden" r:id="rId5"/>
    <sheet name="Legal Nature" sheetId="4" state="hidden" r:id="rId6"/>
  </sheets>
  <definedNames>
    <definedName function="false" hidden="true" localSheetId="2" name="_xlnm._FilterDatabase" vbProcedure="false">'Cnae  mcc  id'!$A$2:$AC$1362</definedName>
    <definedName function="false" hidden="true" localSheetId="1" name="_xlnm._FilterDatabase" vbProcedure="false">Selects!$G$3:$H$30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<sst xmlns="http://schemas.openxmlformats.org/spreadsheetml/2006/main" count="7992" uniqueCount="4020">
  <si>
    <t xml:space="preserve">Exclusivo para cadastro de Filiais</t>
  </si>
  <si>
    <t xml:space="preserve">Documento de Identidade (Opcional, mas se algum campo for preenchido, todos serão obrigatórios)   * Obrigatório se operação PIX for marcada como SIM.</t>
  </si>
  <si>
    <t xml:space="preserve">EXCLUSIVO para Liquidação de Ecs</t>
  </si>
  <si>
    <t xml:space="preserve">Obrigatório em caso de CNP – Cartão não Presente ou Ambos</t>
  </si>
  <si>
    <t xml:space="preserve">Ecs já cadastrados na Global Payments</t>
  </si>
  <si>
    <t xml:space="preserve">Informações do Estabelecimento Comercial</t>
  </si>
  <si>
    <t xml:space="preserve">Contato do Estabelecimento Comercial</t>
  </si>
  <si>
    <t xml:space="preserve">Endereço do Estabelecimento Comercial</t>
  </si>
  <si>
    <t xml:space="preserve">Informações do Responsável (Sócio)</t>
  </si>
  <si>
    <t xml:space="preserve">Endereço do Responsável</t>
  </si>
  <si>
    <t xml:space="preserve">Dados Bancários</t>
  </si>
  <si>
    <t xml:space="preserve">Taxas</t>
  </si>
  <si>
    <t xml:space="preserve">Consultor Comercial</t>
  </si>
  <si>
    <t xml:space="preserve">Informações de Operação</t>
  </si>
  <si>
    <r>
      <rPr>
        <b val="true"/>
        <sz val="10"/>
        <color rgb="FF000000"/>
        <rFont val="Arial"/>
        <family val="0"/>
        <charset val="1"/>
      </rPr>
      <t xml:space="preserve">Nome Fantasia </t>
    </r>
    <r>
      <rPr>
        <b val="true"/>
        <sz val="12"/>
        <color rgb="FFC00000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</si>
  <si>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Nome / Razão Social </t>
    </r>
    <r>
      <rPr>
        <b val="true"/>
        <sz val="12"/>
        <color rgb="FFC00000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</si>
  <si>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CNPJ/CPF </t>
    </r>
    <r>
      <rPr>
        <b val="true"/>
        <sz val="11"/>
        <color rgb="FFC00000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</si>
  <si>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Tipo de Estabelecimento</t>
    </r>
    <r>
      <rPr>
        <b val="true"/>
        <sz val="11"/>
        <color rgb="FFC00000"/>
        <rFont val="Arial"/>
        <family val="0"/>
        <charset val="1"/>
      </rPr>
      <t xml:space="preserve"> *</t>
    </r>
  </si>
  <si>
    <t xml:space="preserve">Matriz (CNPJ)</t>
  </si>
  <si>
    <r>
      <rPr>
        <b val="true"/>
        <sz val="10"/>
        <color theme="1"/>
        <rFont val="Arial"/>
        <family val="0"/>
        <charset val="1"/>
      </rPr>
      <t xml:space="preserve">CNAE </t>
    </r>
    <r>
      <rPr>
        <b val="true"/>
        <sz val="10"/>
        <color rgb="FFC9211E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</si>
  <si>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MCC </t>
    </r>
    <r>
      <rPr>
        <b val="true"/>
        <sz val="11"/>
        <color rgb="FFC00000"/>
        <rFont val="Arial"/>
        <family val="0"/>
        <charset val="1"/>
      </rPr>
      <t xml:space="preserve">*</t>
    </r>
  </si>
  <si>
    <r>
      <rPr>
        <b val="true"/>
        <sz val="10"/>
        <color theme="1"/>
        <rFont val="Arial"/>
        <family val="0"/>
        <charset val="1"/>
      </rPr>
      <t xml:space="preserve">Natureza Jurídica </t>
    </r>
    <r>
      <rPr>
        <b val="true"/>
        <sz val="10"/>
        <color rgb="FFC9211E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</si>
  <si>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Código (N.J) </t>
    </r>
    <r>
      <rPr>
        <b val="true"/>
        <sz val="10"/>
        <color rgb="FFFF0000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</si>
  <si>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Formato Jurídico </t>
    </r>
    <r>
      <rPr>
        <b val="true"/>
        <sz val="10"/>
        <color rgb="FFFF0000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</si>
  <si>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Data de Abertura </t>
    </r>
    <r>
      <rPr>
        <b val="true"/>
        <sz val="10"/>
        <color rgb="FFC9211E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</si>
  <si>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Dias de Funcionamento </t>
    </r>
    <r>
      <rPr>
        <b val="true"/>
        <sz val="10"/>
        <color rgb="FFC9211E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</si>
  <si>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Horário de funcionamento </t>
    </r>
    <r>
      <rPr>
        <b val="true"/>
        <sz val="10"/>
        <color rgb="FFC9211E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</si>
  <si>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Receita </t>
    </r>
    <r>
      <rPr>
        <b val="true"/>
        <sz val="10"/>
        <color rgb="FFFF0000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</si>
  <si>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Email </t>
    </r>
    <r>
      <rPr>
        <b val="true"/>
        <sz val="11"/>
        <color rgb="FFC00000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</si>
  <si>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Código de área</t>
    </r>
    <r>
      <rPr>
        <b val="true"/>
        <sz val="10"/>
        <color rgb="FFC00000"/>
        <rFont val="Arial"/>
        <family val="0"/>
        <charset val="1"/>
      </rPr>
      <t xml:space="preserve"> *</t>
    </r>
  </si>
  <si>
    <r>
      <rPr>
        <b val="true"/>
        <sz val="10"/>
        <color rgb="FF000000"/>
        <rFont val="Arial"/>
        <family val="0"/>
        <charset val="1"/>
      </rPr>
      <t xml:space="preserve">Número do Telefone </t>
    </r>
    <r>
      <rPr>
        <b val="true"/>
        <sz val="10"/>
        <color rgb="FFC00000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</si>
  <si>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Tipo de telefone</t>
    </r>
    <r>
      <rPr>
        <b val="true"/>
        <sz val="10"/>
        <color rgb="FFC00000"/>
        <rFont val="Arial"/>
        <family val="0"/>
        <charset val="1"/>
      </rPr>
      <t xml:space="preserve"> *</t>
    </r>
  </si>
  <si>
    <t xml:space="preserve">Phone Type</t>
  </si>
  <si>
    <r>
      <rPr>
        <b val="true"/>
        <sz val="10"/>
        <color rgb="FF000000"/>
        <rFont val="Arial"/>
        <family val="0"/>
        <charset val="1"/>
      </rPr>
      <t xml:space="preserve">Rua/Av.</t>
    </r>
    <r>
      <rPr>
        <b val="true"/>
        <sz val="11"/>
        <color rgb="FFC00000"/>
        <rFont val="Arial"/>
        <family val="0"/>
        <charset val="1"/>
      </rPr>
      <t xml:space="preserve"> *</t>
    </r>
  </si>
  <si>
    <r>
      <rPr>
        <b val="true"/>
        <sz val="10"/>
        <color rgb="FF000000"/>
        <rFont val="Arial"/>
        <family val="0"/>
        <charset val="1"/>
      </rPr>
      <t xml:space="preserve">Número </t>
    </r>
    <r>
      <rPr>
        <b val="true"/>
        <sz val="11"/>
        <color rgb="FFC00000"/>
        <rFont val="Arial"/>
        <family val="0"/>
        <charset val="1"/>
      </rPr>
      <t xml:space="preserve">*</t>
    </r>
  </si>
  <si>
    <t xml:space="preserve">Complemento</t>
  </si>
  <si>
    <r>
      <rPr>
        <b val="true"/>
        <sz val="10"/>
        <color rgb="FF000000"/>
        <rFont val="Arial"/>
        <family val="0"/>
        <charset val="1"/>
      </rPr>
      <t xml:space="preserve">Bairro </t>
    </r>
    <r>
      <rPr>
        <b val="true"/>
        <sz val="10"/>
        <color rgb="FFC00000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</si>
  <si>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CEP </t>
    </r>
    <r>
      <rPr>
        <b val="true"/>
        <sz val="11"/>
        <color rgb="FFC00000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</si>
  <si>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Cidade </t>
    </r>
    <r>
      <rPr>
        <b val="true"/>
        <sz val="11"/>
        <color rgb="FFC00000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</si>
  <si>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Estado </t>
    </r>
    <r>
      <rPr>
        <b val="true"/>
        <sz val="11"/>
        <color rgb="FFC00000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</si>
  <si>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País </t>
    </r>
    <r>
      <rPr>
        <b val="true"/>
        <sz val="10"/>
        <color rgb="FFC00000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</si>
  <si>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Nome Completo </t>
    </r>
    <r>
      <rPr>
        <b val="true"/>
        <sz val="11"/>
        <color rgb="FFC00000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</si>
  <si>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CPF </t>
    </r>
    <r>
      <rPr>
        <b val="true"/>
        <sz val="11"/>
        <color rgb="FFC00000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</si>
  <si>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Data de Nascimento </t>
    </r>
    <r>
      <rPr>
        <b val="true"/>
        <sz val="11"/>
        <color rgb="FFC00000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</si>
  <si>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Email </t>
    </r>
    <r>
      <rPr>
        <b val="true"/>
        <sz val="10"/>
        <color rgb="FFC9211E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</si>
  <si>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PEP </t>
    </r>
    <r>
      <rPr>
        <b val="true"/>
        <sz val="10"/>
        <color rgb="FFC9211E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</si>
  <si>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Código de área </t>
    </r>
    <r>
      <rPr>
        <b val="true"/>
        <sz val="10"/>
        <color rgb="FFC9211E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</si>
  <si>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Telefone </t>
    </r>
    <r>
      <rPr>
        <b val="true"/>
        <sz val="10"/>
        <color rgb="FFC9211E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</si>
  <si>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Nome da Mãe </t>
    </r>
    <r>
      <rPr>
        <b val="true"/>
        <sz val="10"/>
        <color rgb="FFFF0000"/>
        <rFont val="Arial"/>
        <family val="0"/>
        <charset val="1"/>
      </rPr>
      <t xml:space="preserve">*</t>
    </r>
  </si>
  <si>
    <t xml:space="preserve">Número do RG</t>
  </si>
  <si>
    <t xml:space="preserve">Data de emissão</t>
  </si>
  <si>
    <t xml:space="preserve">Órgão expedidor</t>
  </si>
  <si>
    <t xml:space="preserve">UF</t>
  </si>
  <si>
    <r>
      <rPr>
        <b val="true"/>
        <sz val="10"/>
        <color rgb="FF000000"/>
        <rFont val="Arial"/>
        <family val="0"/>
        <charset val="1"/>
      </rPr>
      <t xml:space="preserve">Tipo PF/PJ </t>
    </r>
    <r>
      <rPr>
        <b val="true"/>
        <sz val="11"/>
        <color rgb="FFC00000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</si>
  <si>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Banco </t>
    </r>
    <r>
      <rPr>
        <b val="true"/>
        <sz val="11"/>
        <color rgb="FFC00000"/>
        <rFont val="Arial"/>
        <family val="0"/>
        <charset val="1"/>
      </rPr>
      <t xml:space="preserve">*</t>
    </r>
  </si>
  <si>
    <t xml:space="preserve">Código</t>
  </si>
  <si>
    <r>
      <rPr>
        <b val="true"/>
        <sz val="10"/>
        <color rgb="FF000000"/>
        <rFont val="Arial"/>
        <family val="0"/>
        <charset val="1"/>
      </rPr>
      <t xml:space="preserve">Agência</t>
    </r>
    <r>
      <rPr>
        <b val="true"/>
        <sz val="11"/>
        <color rgb="FFC00000"/>
        <rFont val="Arial"/>
        <family val="0"/>
        <charset val="1"/>
      </rPr>
      <t xml:space="preserve"> *</t>
    </r>
  </si>
  <si>
    <t xml:space="preserve">Dígito da Agência</t>
  </si>
  <si>
    <r>
      <rPr>
        <b val="true"/>
        <sz val="10"/>
        <color rgb="FF000000"/>
        <rFont val="Arial"/>
        <family val="0"/>
        <charset val="1"/>
      </rPr>
      <t xml:space="preserve">Conta</t>
    </r>
    <r>
      <rPr>
        <b val="true"/>
        <sz val="10"/>
        <color rgb="FFC00000"/>
        <rFont val="Arial"/>
        <family val="0"/>
        <charset val="1"/>
      </rPr>
      <t xml:space="preserve"> *</t>
    </r>
  </si>
  <si>
    <r>
      <rPr>
        <b val="true"/>
        <sz val="10"/>
        <color rgb="FF000000"/>
        <rFont val="Arial"/>
        <family val="0"/>
        <charset val="1"/>
      </rPr>
      <t xml:space="preserve">Dígito da Conta</t>
    </r>
    <r>
      <rPr>
        <b val="true"/>
        <sz val="11"/>
        <color rgb="FFC00000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</si>
  <si>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Tipo de conta </t>
    </r>
    <r>
      <rPr>
        <b val="true"/>
        <sz val="10"/>
        <color rgb="FFC00000"/>
        <rFont val="Arial"/>
        <family val="0"/>
        <charset val="1"/>
      </rPr>
      <t xml:space="preserve">*</t>
    </r>
  </si>
  <si>
    <t xml:space="preserve">Account type</t>
  </si>
  <si>
    <r>
      <rPr>
        <b val="true"/>
        <sz val="10"/>
        <color rgb="FF000000"/>
        <rFont val="Arial"/>
        <family val="0"/>
        <charset val="1"/>
      </rPr>
      <t xml:space="preserve">Código da Tabela </t>
    </r>
    <r>
      <rPr>
        <b val="true"/>
        <sz val="10"/>
        <color rgb="FFC9211E"/>
        <rFont val="Arial"/>
        <family val="0"/>
        <charset val="1"/>
      </rPr>
      <t xml:space="preserve">*</t>
    </r>
  </si>
  <si>
    <t xml:space="preserve">Matrícula do Consultor</t>
  </si>
  <si>
    <r>
      <rPr>
        <b val="true"/>
        <sz val="10"/>
        <color rgb="FF000000"/>
        <rFont val="Arial"/>
        <family val="0"/>
        <charset val="1"/>
      </rPr>
      <t xml:space="preserve">Método de Processamento do Cartão </t>
    </r>
    <r>
      <rPr>
        <b val="true"/>
        <sz val="11"/>
        <color rgb="FFC00000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</si>
  <si>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PIX </t>
    </r>
    <r>
      <rPr>
        <b val="true"/>
        <sz val="10"/>
        <color rgb="FFFF0000"/>
        <rFont val="Arial"/>
        <family val="0"/>
        <charset val="1"/>
      </rPr>
      <t xml:space="preserve">*</t>
    </r>
  </si>
  <si>
    <t xml:space="preserve">URL</t>
  </si>
  <si>
    <t xml:space="preserve">Tema do Estabelecimento</t>
  </si>
  <si>
    <t xml:space="preserve">MID</t>
  </si>
  <si>
    <t xml:space="preserve">TID</t>
  </si>
  <si>
    <t xml:space="preserve">Token CNP</t>
  </si>
  <si>
    <t xml:space="preserve">Fuso horário do terminal</t>
  </si>
  <si>
    <r>
      <rPr>
        <b val="true"/>
        <sz val="10"/>
        <color rgb="FF000000"/>
        <rFont val="Arial"/>
        <family val="0"/>
        <charset val="1"/>
      </rPr>
      <t xml:space="preserve">Tap On Phone </t>
    </r>
    <r>
      <rPr>
        <b val="true"/>
        <sz val="10"/>
        <color rgb="FFFF0000"/>
        <rFont val="Arial"/>
        <family val="0"/>
        <charset val="1"/>
      </rPr>
      <t xml:space="preserve">*</t>
    </r>
  </si>
  <si>
    <r>
      <rPr>
        <b val="true"/>
        <sz val="10"/>
        <color rgb="FF000000"/>
        <rFont val="Arial"/>
        <family val="0"/>
        <charset val="1"/>
      </rPr>
      <t xml:space="preserve">Perfil de Acesso </t>
    </r>
    <r>
      <rPr>
        <b val="true"/>
        <sz val="10"/>
        <color rgb="FFFF0000"/>
        <rFont val="Arial"/>
        <family val="0"/>
        <charset val="1"/>
      </rPr>
      <t xml:space="preserve">*</t>
    </r>
  </si>
  <si>
    <r>
      <rPr>
        <b val="true"/>
        <sz val="10"/>
        <color theme="1"/>
        <rFont val="Arial"/>
        <family val="0"/>
        <charset val="1"/>
      </rPr>
      <t xml:space="preserve">TEF </t>
    </r>
    <r>
      <rPr>
        <b val="true"/>
        <sz val="10"/>
        <color rgb="FFC9211E"/>
        <rFont val="Arial"/>
        <family val="0"/>
        <charset val="1"/>
      </rPr>
      <t xml:space="preserve">*</t>
    </r>
  </si>
  <si>
    <t xml:space="preserve">TIMEZONE</t>
  </si>
  <si>
    <t xml:space="preserve">BANCO</t>
  </si>
  <si>
    <t xml:space="preserve">CONTA BANCÁRIA</t>
  </si>
  <si>
    <t xml:space="preserve">TELEFONE</t>
  </si>
  <si>
    <t xml:space="preserve">MÉTODO DE PROCESSAMENTO</t>
  </si>
  <si>
    <t xml:space="preserve">DIAS DE FUNCIONAMENTO</t>
  </si>
  <si>
    <t xml:space="preserve">HORÁRIOS DE FUNCIONAMENTO</t>
  </si>
  <si>
    <t xml:space="preserve">TIPO DE CHAVE PIX</t>
  </si>
  <si>
    <t xml:space="preserve">PIX</t>
  </si>
  <si>
    <t xml:space="preserve">AC</t>
  </si>
  <si>
    <t xml:space="preserve">BR</t>
  </si>
  <si>
    <t xml:space="preserve">UTC-05:00</t>
  </si>
  <si>
    <t xml:space="preserve">ACCREDITO SCD S.A.</t>
  </si>
  <si>
    <t xml:space="preserve">406</t>
  </si>
  <si>
    <t xml:space="preserve">Corrente</t>
  </si>
  <si>
    <t xml:space="preserve">checking</t>
  </si>
  <si>
    <t xml:space="preserve">Fixo</t>
  </si>
  <si>
    <t xml:space="preserve">landline</t>
  </si>
  <si>
    <t xml:space="preserve">CNP - Cartão Não Presente</t>
  </si>
  <si>
    <t xml:space="preserve">Todos os Dias</t>
  </si>
  <si>
    <t xml:space="preserve">Every Day</t>
  </si>
  <si>
    <t xml:space="preserve">Horário Comercial</t>
  </si>
  <si>
    <t xml:space="preserve">business hours</t>
  </si>
  <si>
    <t xml:space="preserve">CPF</t>
  </si>
  <si>
    <t xml:space="preserve">Sim</t>
  </si>
  <si>
    <t xml:space="preserve">AL</t>
  </si>
  <si>
    <t xml:space="preserve">UTC-03:00</t>
  </si>
  <si>
    <t xml:space="preserve">ACESSO SOLUCOES PAGAMENTO SA</t>
  </si>
  <si>
    <t xml:space="preserve">332</t>
  </si>
  <si>
    <t xml:space="preserve">Poupança</t>
  </si>
  <si>
    <t xml:space="preserve">savings</t>
  </si>
  <si>
    <t xml:space="preserve">Celular</t>
  </si>
  <si>
    <t xml:space="preserve">mobile</t>
  </si>
  <si>
    <t xml:space="preserve">CP - Cartão Presente</t>
  </si>
  <si>
    <t xml:space="preserve">Segunda à Sexta</t>
  </si>
  <si>
    <t xml:space="preserve">Monday to Friday</t>
  </si>
  <si>
    <t xml:space="preserve">Manhã</t>
  </si>
  <si>
    <t xml:space="preserve">Morning</t>
  </si>
  <si>
    <t xml:space="preserve">CNPJ</t>
  </si>
  <si>
    <t xml:space="preserve">Não</t>
  </si>
  <si>
    <t xml:space="preserve">AM</t>
  </si>
  <si>
    <t xml:space="preserve">ADVANCED CC LTDA</t>
  </si>
  <si>
    <t xml:space="preserve">117</t>
  </si>
  <si>
    <t xml:space="preserve">Depósito</t>
  </si>
  <si>
    <t xml:space="preserve">deposit</t>
  </si>
  <si>
    <t xml:space="preserve">Ambos</t>
  </si>
  <si>
    <t xml:space="preserve">Segunda à Sábado</t>
  </si>
  <si>
    <t xml:space="preserve">Monday to Saturday</t>
  </si>
  <si>
    <t xml:space="preserve">Tarde</t>
  </si>
  <si>
    <t xml:space="preserve">Evening</t>
  </si>
  <si>
    <t xml:space="preserve">AP</t>
  </si>
  <si>
    <t xml:space="preserve">AGK CC S.A.</t>
  </si>
  <si>
    <t xml:space="preserve">272</t>
  </si>
  <si>
    <t xml:space="preserve">Pagamento</t>
  </si>
  <si>
    <t xml:space="preserve">payment</t>
  </si>
  <si>
    <t xml:space="preserve">Terça à Domingo</t>
  </si>
  <si>
    <t xml:space="preserve">Tuesdays to Sundays</t>
  </si>
  <si>
    <t xml:space="preserve">Noite</t>
  </si>
  <si>
    <t xml:space="preserve">Night</t>
  </si>
  <si>
    <t xml:space="preserve">E-mail</t>
  </si>
  <si>
    <t xml:space="preserve">BA</t>
  </si>
  <si>
    <t xml:space="preserve">AL5 S.A. CFI</t>
  </si>
  <si>
    <t xml:space="preserve">349</t>
  </si>
  <si>
    <t xml:space="preserve">24 hrs</t>
  </si>
  <si>
    <t xml:space="preserve">24-hour</t>
  </si>
  <si>
    <t xml:space="preserve">Chave aleatória</t>
  </si>
  <si>
    <t xml:space="preserve">CE</t>
  </si>
  <si>
    <t xml:space="preserve">ALBATROSS CCV S.A</t>
  </si>
  <si>
    <t xml:space="preserve">172</t>
  </si>
  <si>
    <t xml:space="preserve">DF</t>
  </si>
  <si>
    <t xml:space="preserve">AMAZÔNIA CC LTDA.</t>
  </si>
  <si>
    <t xml:space="preserve">313</t>
  </si>
  <si>
    <t xml:space="preserve">ES</t>
  </si>
  <si>
    <t xml:space="preserve">ASAAS IP S.A.</t>
  </si>
  <si>
    <t xml:space="preserve">461</t>
  </si>
  <si>
    <t xml:space="preserve">GO</t>
  </si>
  <si>
    <t xml:space="preserve">ATIVA S.A. INVESTIMENTOS CCTVM</t>
  </si>
  <si>
    <t xml:space="preserve">188</t>
  </si>
  <si>
    <t xml:space="preserve">MA</t>
  </si>
  <si>
    <t xml:space="preserve">AZUMI DTVM</t>
  </si>
  <si>
    <t xml:space="preserve">463</t>
  </si>
  <si>
    <t xml:space="preserve">MG</t>
  </si>
  <si>
    <t xml:space="preserve">UTC-04:00</t>
  </si>
  <si>
    <t xml:space="preserve">B&amp;T CC LTDA.</t>
  </si>
  <si>
    <t xml:space="preserve">080</t>
  </si>
  <si>
    <t xml:space="preserve">MS</t>
  </si>
  <si>
    <t xml:space="preserve">BANCO ALVORADA S.A.</t>
  </si>
  <si>
    <t xml:space="preserve">641</t>
  </si>
  <si>
    <t xml:space="preserve">   </t>
  </si>
  <si>
    <t xml:space="preserve">MT</t>
  </si>
  <si>
    <t xml:space="preserve">BANCO BARI S.A.</t>
  </si>
  <si>
    <t xml:space="preserve">330</t>
  </si>
  <si>
    <t xml:space="preserve">PA</t>
  </si>
  <si>
    <t xml:space="preserve">BANCO BRADESCARD</t>
  </si>
  <si>
    <t xml:space="preserve">063</t>
  </si>
  <si>
    <t xml:space="preserve">PB</t>
  </si>
  <si>
    <t xml:space="preserve">BANCO BRADESCO CARTÕES S.A.</t>
  </si>
  <si>
    <t xml:space="preserve">204</t>
  </si>
  <si>
    <t xml:space="preserve">PE</t>
  </si>
  <si>
    <t xml:space="preserve">BANCO BTG PACTUAL S.A.</t>
  </si>
  <si>
    <t xml:space="preserve">208</t>
  </si>
  <si>
    <t xml:space="preserve">PI</t>
  </si>
  <si>
    <t xml:space="preserve">BANCO CIFRA</t>
  </si>
  <si>
    <t xml:space="preserve">233</t>
  </si>
  <si>
    <t xml:space="preserve">PR</t>
  </si>
  <si>
    <t xml:space="preserve">BANCO DE LA REPUBLICA ORIENTAL DEL URUGUAY</t>
  </si>
  <si>
    <t xml:space="preserve">494</t>
  </si>
  <si>
    <t xml:space="preserve">RJ</t>
  </si>
  <si>
    <t xml:space="preserve">BANCO DIGIO</t>
  </si>
  <si>
    <t xml:space="preserve">335</t>
  </si>
  <si>
    <t xml:space="preserve">RN</t>
  </si>
  <si>
    <t xml:space="preserve">BANCO FINAXIS</t>
  </si>
  <si>
    <t xml:space="preserve">094</t>
  </si>
  <si>
    <t xml:space="preserve">RO</t>
  </si>
  <si>
    <t xml:space="preserve">BANCO GENIAL</t>
  </si>
  <si>
    <t xml:space="preserve">125</t>
  </si>
  <si>
    <t xml:space="preserve">RR</t>
  </si>
  <si>
    <t xml:space="preserve">BANCO INBURSA</t>
  </si>
  <si>
    <t xml:space="preserve">012</t>
  </si>
  <si>
    <t xml:space="preserve">RS</t>
  </si>
  <si>
    <t xml:space="preserve">BANCO INTER</t>
  </si>
  <si>
    <t xml:space="preserve">077</t>
  </si>
  <si>
    <t xml:space="preserve">SC</t>
  </si>
  <si>
    <t xml:space="preserve">BANCO INVESTCRED UNIBANCO S.A.</t>
  </si>
  <si>
    <t xml:space="preserve">249</t>
  </si>
  <si>
    <t xml:space="preserve">SE</t>
  </si>
  <si>
    <t xml:space="preserve">BANCO ITAÚ CONSIGNADO S.A.</t>
  </si>
  <si>
    <t xml:space="preserve">029</t>
  </si>
  <si>
    <t xml:space="preserve">SP</t>
  </si>
  <si>
    <t xml:space="preserve">BANCO JOHN DEERE S.A.</t>
  </si>
  <si>
    <t xml:space="preserve">217</t>
  </si>
  <si>
    <t xml:space="preserve">TO</t>
  </si>
  <si>
    <t xml:space="preserve">BANCO MASTER</t>
  </si>
  <si>
    <t xml:space="preserve">243</t>
  </si>
  <si>
    <t xml:space="preserve"> </t>
  </si>
  <si>
    <t xml:space="preserve">-</t>
  </si>
  <si>
    <t xml:space="preserve">BANCO OLÉ CONSIGNADO S.A.</t>
  </si>
  <si>
    <t xml:space="preserve">169</t>
  </si>
  <si>
    <t xml:space="preserve">BANCO ORIGINAL</t>
  </si>
  <si>
    <t xml:space="preserve">212</t>
  </si>
  <si>
    <t xml:space="preserve">BANCO PAN</t>
  </si>
  <si>
    <t xml:space="preserve">623</t>
  </si>
  <si>
    <t xml:space="preserve">BANCO RANDON S.A.</t>
  </si>
  <si>
    <t xml:space="preserve">088</t>
  </si>
  <si>
    <t xml:space="preserve">BANCO SEMEAR</t>
  </si>
  <si>
    <t xml:space="preserve">743</t>
  </si>
  <si>
    <t xml:space="preserve">BANCO SICOOB S.A.</t>
  </si>
  <si>
    <t xml:space="preserve">756</t>
  </si>
  <si>
    <t xml:space="preserve">BANCO SISTEMA</t>
  </si>
  <si>
    <t xml:space="preserve">754</t>
  </si>
  <si>
    <t xml:space="preserve">BANCO TOPÁZIO S.A.</t>
  </si>
  <si>
    <t xml:space="preserve">082</t>
  </si>
  <si>
    <t xml:space="preserve">BANCO VOITER</t>
  </si>
  <si>
    <t xml:space="preserve">653</t>
  </si>
  <si>
    <t xml:space="preserve">BANCOSEGURO S.A.</t>
  </si>
  <si>
    <t xml:space="preserve">081</t>
  </si>
  <si>
    <t xml:space="preserve">BARI CIA HIPOTECÁRIA</t>
  </si>
  <si>
    <t xml:space="preserve">268</t>
  </si>
  <si>
    <t xml:space="preserve">BBC LEASING</t>
  </si>
  <si>
    <t xml:space="preserve">378</t>
  </si>
  <si>
    <t xml:space="preserve">BCO ABC BRASIL S.A.</t>
  </si>
  <si>
    <t xml:space="preserve">246</t>
  </si>
  <si>
    <t xml:space="preserve">BCO ABN AMRO S.A.</t>
  </si>
  <si>
    <t xml:space="preserve">075</t>
  </si>
  <si>
    <t xml:space="preserve">BCO AGIBANK S.A.</t>
  </si>
  <si>
    <t xml:space="preserve">121</t>
  </si>
  <si>
    <t xml:space="preserve">BCO ALFA S.A.</t>
  </si>
  <si>
    <t xml:space="preserve">025</t>
  </si>
  <si>
    <t xml:space="preserve">BCO ANDBANK S.A.</t>
  </si>
  <si>
    <t xml:space="preserve">065</t>
  </si>
  <si>
    <t xml:space="preserve">BCO ARBI S.A.</t>
  </si>
  <si>
    <t xml:space="preserve">213</t>
  </si>
  <si>
    <t xml:space="preserve">BCO B3 S.A.</t>
  </si>
  <si>
    <t xml:space="preserve">096</t>
  </si>
  <si>
    <t xml:space="preserve">BCO BANDEPE S.A.</t>
  </si>
  <si>
    <t xml:space="preserve">024</t>
  </si>
  <si>
    <t xml:space="preserve">BCO BANESTES S.A.</t>
  </si>
  <si>
    <t xml:space="preserve">021</t>
  </si>
  <si>
    <t xml:space="preserve">BCO BBI S.A.</t>
  </si>
  <si>
    <t xml:space="preserve">036</t>
  </si>
  <si>
    <t xml:space="preserve">BCO BMG S.A.</t>
  </si>
  <si>
    <t xml:space="preserve">318</t>
  </si>
  <si>
    <t xml:space="preserve">BCO BNP PARIBAS BRASIL S A</t>
  </si>
  <si>
    <t xml:space="preserve">752</t>
  </si>
  <si>
    <t xml:space="preserve">BCO BOCOM BBM S.A.</t>
  </si>
  <si>
    <t xml:space="preserve">107</t>
  </si>
  <si>
    <t xml:space="preserve">BCO BRADESCO BERJ S.A.</t>
  </si>
  <si>
    <t xml:space="preserve">122</t>
  </si>
  <si>
    <t xml:space="preserve">BCO BRADESCO FINANC. S.A.</t>
  </si>
  <si>
    <t xml:space="preserve">394</t>
  </si>
  <si>
    <t xml:space="preserve">BCO BRADESCO S.A.</t>
  </si>
  <si>
    <t xml:space="preserve">237</t>
  </si>
  <si>
    <t xml:space="preserve">BCO BS2 S.A.</t>
  </si>
  <si>
    <t xml:space="preserve">218</t>
  </si>
  <si>
    <t xml:space="preserve">BCO BV S.A.</t>
  </si>
  <si>
    <t xml:space="preserve">413</t>
  </si>
  <si>
    <t xml:space="preserve">BCO C6 CONSIG</t>
  </si>
  <si>
    <t xml:space="preserve">626</t>
  </si>
  <si>
    <t xml:space="preserve">BCO C6 S.A.</t>
  </si>
  <si>
    <t xml:space="preserve">336</t>
  </si>
  <si>
    <t xml:space="preserve">BCO CAIXA GERAL BRASIL S.A.</t>
  </si>
  <si>
    <t xml:space="preserve">473</t>
  </si>
  <si>
    <t xml:space="preserve">BCO CAPITAL S.A.</t>
  </si>
  <si>
    <t xml:space="preserve">412</t>
  </si>
  <si>
    <t xml:space="preserve">BCO CARGILL S.A.</t>
  </si>
  <si>
    <t xml:space="preserve">040</t>
  </si>
  <si>
    <t xml:space="preserve">BCO CCB BRASIL S.A.</t>
  </si>
  <si>
    <t xml:space="preserve">320</t>
  </si>
  <si>
    <t xml:space="preserve">BCO CEDULA S.A.</t>
  </si>
  <si>
    <t xml:space="preserve">266</t>
  </si>
  <si>
    <t xml:space="preserve">BCO CETELEM S.A.</t>
  </si>
  <si>
    <t xml:space="preserve">739</t>
  </si>
  <si>
    <t xml:space="preserve">BCO CITIBANK S.A.</t>
  </si>
  <si>
    <t xml:space="preserve">745</t>
  </si>
  <si>
    <t xml:space="preserve">BCO CLASSICO S.A.</t>
  </si>
  <si>
    <t xml:space="preserve">241</t>
  </si>
  <si>
    <t xml:space="preserve">BCO COOPERATIVO SICREDI S.A.</t>
  </si>
  <si>
    <t xml:space="preserve">748</t>
  </si>
  <si>
    <t xml:space="preserve">BCO CRÉDIT AGRICOLE BR S.A.</t>
  </si>
  <si>
    <t xml:space="preserve">222</t>
  </si>
  <si>
    <t xml:space="preserve">BCO CREDIT SUISSE S.A.</t>
  </si>
  <si>
    <t xml:space="preserve">505</t>
  </si>
  <si>
    <t xml:space="preserve">BCO CREFISA S.A.</t>
  </si>
  <si>
    <t xml:space="preserve">069</t>
  </si>
  <si>
    <t xml:space="preserve">BCO CSF S.A.</t>
  </si>
  <si>
    <t xml:space="preserve">368</t>
  </si>
  <si>
    <t xml:space="preserve">BCO DA AMAZONIA S.A.</t>
  </si>
  <si>
    <t xml:space="preserve">003</t>
  </si>
  <si>
    <t xml:space="preserve">BCO DA CHINA BRASIL S.A.</t>
  </si>
  <si>
    <t xml:space="preserve">083</t>
  </si>
  <si>
    <t xml:space="preserve">BCO DAYCOVAL S.A</t>
  </si>
  <si>
    <t xml:space="preserve">707</t>
  </si>
  <si>
    <t xml:space="preserve">BCO DIGIMAIS S.A.</t>
  </si>
  <si>
    <t xml:space="preserve">654</t>
  </si>
  <si>
    <t xml:space="preserve">BCO DO BRASIL S.A.</t>
  </si>
  <si>
    <t xml:space="preserve">001</t>
  </si>
  <si>
    <t xml:space="preserve">BCO DO EST. DE SE S.A.</t>
  </si>
  <si>
    <t xml:space="preserve">047</t>
  </si>
  <si>
    <t xml:space="preserve">BCO DO EST. DO PA S.A.</t>
  </si>
  <si>
    <t xml:space="preserve">037</t>
  </si>
  <si>
    <t xml:space="preserve">BCO DO ESTADO DO RS S.A.</t>
  </si>
  <si>
    <t xml:space="preserve">041</t>
  </si>
  <si>
    <t xml:space="preserve">BCO DO NORDESTE DO BRASIL S.A.</t>
  </si>
  <si>
    <t xml:space="preserve">004</t>
  </si>
  <si>
    <t xml:space="preserve">BCO FATOR S.A.</t>
  </si>
  <si>
    <t xml:space="preserve">265</t>
  </si>
  <si>
    <t xml:space="preserve">BCO FIBRA S.A.</t>
  </si>
  <si>
    <t xml:space="preserve">224</t>
  </si>
  <si>
    <t xml:space="preserve">BCO GM S.A.</t>
  </si>
  <si>
    <t xml:space="preserve">390</t>
  </si>
  <si>
    <t xml:space="preserve">BCO GUANABARA S.A.</t>
  </si>
  <si>
    <t xml:space="preserve">612</t>
  </si>
  <si>
    <t xml:space="preserve">BCO HSBC S.A.</t>
  </si>
  <si>
    <t xml:space="preserve">269</t>
  </si>
  <si>
    <t xml:space="preserve">BCO INDUSTRIAL DO BRASIL S.A.</t>
  </si>
  <si>
    <t xml:space="preserve">604</t>
  </si>
  <si>
    <t xml:space="preserve">BCO ITAÚ BBA S.A.</t>
  </si>
  <si>
    <t xml:space="preserve">184</t>
  </si>
  <si>
    <t xml:space="preserve">BCO ITAUBANK S.A.</t>
  </si>
  <si>
    <t xml:space="preserve">479</t>
  </si>
  <si>
    <t xml:space="preserve">BCO J.P. MORGAN S.A.</t>
  </si>
  <si>
    <t xml:space="preserve">376</t>
  </si>
  <si>
    <t xml:space="preserve">BCO KDB BRASIL S.A.</t>
  </si>
  <si>
    <t xml:space="preserve">076</t>
  </si>
  <si>
    <t xml:space="preserve">BCO KEB HANA DO BRASIL S.A.</t>
  </si>
  <si>
    <t xml:space="preserve">757</t>
  </si>
  <si>
    <t xml:space="preserve">BCO LA NACION ARGENTINA</t>
  </si>
  <si>
    <t xml:space="preserve">300</t>
  </si>
  <si>
    <t xml:space="preserve">BCO LA PROVINCIA B AIRES BCE</t>
  </si>
  <si>
    <t xml:space="preserve">495</t>
  </si>
  <si>
    <t xml:space="preserve">BCO LETSBANK S.A.</t>
  </si>
  <si>
    <t xml:space="preserve">630</t>
  </si>
  <si>
    <t xml:space="preserve">BCO LUSO BRASILEIRO S.A.</t>
  </si>
  <si>
    <t xml:space="preserve">600</t>
  </si>
  <si>
    <t xml:space="preserve">BCO MERCANTIL DO BRASIL S.A.</t>
  </si>
  <si>
    <t xml:space="preserve">389</t>
  </si>
  <si>
    <t xml:space="preserve">BCO MERCEDES-BENZ S.A.</t>
  </si>
  <si>
    <t xml:space="preserve">381</t>
  </si>
  <si>
    <t xml:space="preserve">BCO MIZUHO S.A.</t>
  </si>
  <si>
    <t xml:space="preserve">370</t>
  </si>
  <si>
    <t xml:space="preserve">BCO MODAL S.A.</t>
  </si>
  <si>
    <t xml:space="preserve">746</t>
  </si>
  <si>
    <t xml:space="preserve">BCO MORGAN STANLEY S.A.</t>
  </si>
  <si>
    <t xml:space="preserve">066</t>
  </si>
  <si>
    <t xml:space="preserve">BCO MUFG BRASIL S.A.</t>
  </si>
  <si>
    <t xml:space="preserve">456</t>
  </si>
  <si>
    <t xml:space="preserve">BCO ORIGINAL DO AGRO S/A</t>
  </si>
  <si>
    <t xml:space="preserve">079</t>
  </si>
  <si>
    <t xml:space="preserve">BCO OURINVEST S.A.</t>
  </si>
  <si>
    <t xml:space="preserve">712</t>
  </si>
  <si>
    <t xml:space="preserve">BCO PAULISTA S.A.</t>
  </si>
  <si>
    <t xml:space="preserve">611</t>
  </si>
  <si>
    <t xml:space="preserve">BCO PINE S.A.</t>
  </si>
  <si>
    <t xml:space="preserve">643</t>
  </si>
  <si>
    <t xml:space="preserve">BCO RABOBANK INTL BRASIL S.A.</t>
  </si>
  <si>
    <t xml:space="preserve">747</t>
  </si>
  <si>
    <t xml:space="preserve">BCO RENDIMENTO S.A.</t>
  </si>
  <si>
    <t xml:space="preserve">633</t>
  </si>
  <si>
    <t xml:space="preserve">BCO RIBEIRAO PRETO S.A.</t>
  </si>
  <si>
    <t xml:space="preserve">741</t>
  </si>
  <si>
    <t xml:space="preserve">BCO RNX S.A.</t>
  </si>
  <si>
    <t xml:space="preserve">720</t>
  </si>
  <si>
    <t xml:space="preserve">BCO RODOBENS S.A.</t>
  </si>
  <si>
    <t xml:space="preserve">120</t>
  </si>
  <si>
    <t xml:space="preserve">BCO SAFRA S.A.</t>
  </si>
  <si>
    <t xml:space="preserve">422</t>
  </si>
  <si>
    <t xml:space="preserve">BCO SANTANDER (BRASIL) S.A.</t>
  </si>
  <si>
    <t xml:space="preserve">033</t>
  </si>
  <si>
    <t xml:space="preserve">BCO SENFF S.A.</t>
  </si>
  <si>
    <t xml:space="preserve">276</t>
  </si>
  <si>
    <t xml:space="preserve">BCO SOCIETE GENERALE BRASIL</t>
  </si>
  <si>
    <t xml:space="preserve">366</t>
  </si>
  <si>
    <t xml:space="preserve">BCO SOFISA S.A.</t>
  </si>
  <si>
    <t xml:space="preserve">637</t>
  </si>
  <si>
    <t xml:space="preserve">BCO SOROCRED S.A. - BM</t>
  </si>
  <si>
    <t xml:space="preserve">299</t>
  </si>
  <si>
    <t xml:space="preserve">BCO SUMITOMO MITSUI BRASIL S.A.</t>
  </si>
  <si>
    <t xml:space="preserve">464</t>
  </si>
  <si>
    <t xml:space="preserve">BCO TOYOTA DO BRASIL S.A.</t>
  </si>
  <si>
    <t xml:space="preserve">387</t>
  </si>
  <si>
    <t xml:space="preserve">BCO TRIANGULO S.A.</t>
  </si>
  <si>
    <t xml:space="preserve">634</t>
  </si>
  <si>
    <t xml:space="preserve">BCO TRICURY S.A.</t>
  </si>
  <si>
    <t xml:space="preserve">018</t>
  </si>
  <si>
    <t xml:space="preserve">BCO VOLKSWAGEN S.A</t>
  </si>
  <si>
    <t xml:space="preserve">393</t>
  </si>
  <si>
    <t xml:space="preserve">BCO VOTORANTIM S.A.</t>
  </si>
  <si>
    <t xml:space="preserve">655</t>
  </si>
  <si>
    <t xml:space="preserve">BCO VR S.A.</t>
  </si>
  <si>
    <t xml:space="preserve">610</t>
  </si>
  <si>
    <t xml:space="preserve">BCO WESTERN UNION</t>
  </si>
  <si>
    <t xml:space="preserve">119</t>
  </si>
  <si>
    <t xml:space="preserve">BCO WOORI BANK DO BRASIL S.A.</t>
  </si>
  <si>
    <t xml:space="preserve">124</t>
  </si>
  <si>
    <t xml:space="preserve">BCO XP S.A.</t>
  </si>
  <si>
    <t xml:space="preserve">348</t>
  </si>
  <si>
    <t xml:space="preserve">BCO. J.SAFRA S.A.</t>
  </si>
  <si>
    <t xml:space="preserve">074</t>
  </si>
  <si>
    <t xml:space="preserve">BCV - BCO, CRÉDITO E VAREJO S.A.</t>
  </si>
  <si>
    <t xml:space="preserve">250</t>
  </si>
  <si>
    <t xml:space="preserve">BEXS BCO DE CAMBIO S.A.</t>
  </si>
  <si>
    <t xml:space="preserve">144</t>
  </si>
  <si>
    <t xml:space="preserve">BEXS CC S.A.</t>
  </si>
  <si>
    <t xml:space="preserve">253</t>
  </si>
  <si>
    <t xml:space="preserve">BGC LIQUIDEZ DTVM LTDA</t>
  </si>
  <si>
    <t xml:space="preserve">134</t>
  </si>
  <si>
    <t xml:space="preserve">BIORC FINANCEIRA - CFI S.A.</t>
  </si>
  <si>
    <t xml:space="preserve">426</t>
  </si>
  <si>
    <t xml:space="preserve">BMS SCD S.A.</t>
  </si>
  <si>
    <t xml:space="preserve">377</t>
  </si>
  <si>
    <t xml:space="preserve">BNDES</t>
  </si>
  <si>
    <t xml:space="preserve">007</t>
  </si>
  <si>
    <t xml:space="preserve">BNY MELLON BCO S.A.</t>
  </si>
  <si>
    <t xml:space="preserve">017</t>
  </si>
  <si>
    <t xml:space="preserve">BOFA MERRILL LYNCH BM S.A.</t>
  </si>
  <si>
    <t xml:space="preserve">755</t>
  </si>
  <si>
    <t xml:space="preserve">BONUSPAGO SCD S.A.</t>
  </si>
  <si>
    <t xml:space="preserve">408</t>
  </si>
  <si>
    <t xml:space="preserve">BPP IP S.A.</t>
  </si>
  <si>
    <t xml:space="preserve">301</t>
  </si>
  <si>
    <t xml:space="preserve">BR PARTNERS BI</t>
  </si>
  <si>
    <t xml:space="preserve">126</t>
  </si>
  <si>
    <t xml:space="preserve">BR-CAPITAL DTVM S.A.</t>
  </si>
  <si>
    <t xml:space="preserve">433</t>
  </si>
  <si>
    <t xml:space="preserve">BRB - BCO DE BRASILIA S.A.</t>
  </si>
  <si>
    <t xml:space="preserve">070</t>
  </si>
  <si>
    <t xml:space="preserve">BRK S.A. CFI</t>
  </si>
  <si>
    <t xml:space="preserve">092</t>
  </si>
  <si>
    <t xml:space="preserve">BRL TRUST DTVM SA</t>
  </si>
  <si>
    <t xml:space="preserve">173</t>
  </si>
  <si>
    <t xml:space="preserve">BROKER BRASIL CC LTDA.</t>
  </si>
  <si>
    <t xml:space="preserve">142</t>
  </si>
  <si>
    <t xml:space="preserve">BS2 DTVM S.A.</t>
  </si>
  <si>
    <t xml:space="preserve">292</t>
  </si>
  <si>
    <t xml:space="preserve">C.SUISSE HEDGING-GRIFFO CV S/A</t>
  </si>
  <si>
    <t xml:space="preserve">011</t>
  </si>
  <si>
    <t xml:space="preserve">CAIXA ECONOMICA FEDERAL</t>
  </si>
  <si>
    <t xml:space="preserve">104</t>
  </si>
  <si>
    <t xml:space="preserve">CAMBIONET CC LTDA</t>
  </si>
  <si>
    <t xml:space="preserve">309</t>
  </si>
  <si>
    <t xml:space="preserve">CAPITAL CONSIG SCD S.A.</t>
  </si>
  <si>
    <t xml:space="preserve">465</t>
  </si>
  <si>
    <t xml:space="preserve">CAROL DTVM LTDA.</t>
  </si>
  <si>
    <t xml:space="preserve">288</t>
  </si>
  <si>
    <t xml:space="preserve">CARTOS SCD S.A.</t>
  </si>
  <si>
    <t xml:space="preserve">324</t>
  </si>
  <si>
    <t xml:space="preserve">CARUANA SCFI</t>
  </si>
  <si>
    <t xml:space="preserve">130</t>
  </si>
  <si>
    <t xml:space="preserve">CASA CREDITO S.A. SCM</t>
  </si>
  <si>
    <t xml:space="preserve">159</t>
  </si>
  <si>
    <t xml:space="preserve">CC LAR CREDI</t>
  </si>
  <si>
    <t xml:space="preserve">421</t>
  </si>
  <si>
    <t xml:space="preserve">CCCM UNICRED CENTRAL RS</t>
  </si>
  <si>
    <t xml:space="preserve">091</t>
  </si>
  <si>
    <t xml:space="preserve">CCM DESP TRÂNS SC E RS</t>
  </si>
  <si>
    <t xml:space="preserve">016</t>
  </si>
  <si>
    <t xml:space="preserve">CCM SERV. PÚBLICOS SP</t>
  </si>
  <si>
    <t xml:space="preserve">459</t>
  </si>
  <si>
    <t xml:space="preserve">CCR COOPAVEL</t>
  </si>
  <si>
    <t xml:space="preserve">281</t>
  </si>
  <si>
    <t xml:space="preserve">CCR DE ABELARDO LUZ</t>
  </si>
  <si>
    <t xml:space="preserve">322</t>
  </si>
  <si>
    <t xml:space="preserve">CCR DE IBIAM</t>
  </si>
  <si>
    <t xml:space="preserve">391</t>
  </si>
  <si>
    <t xml:space="preserve">CCR DE OURO</t>
  </si>
  <si>
    <t xml:space="preserve">286</t>
  </si>
  <si>
    <t xml:space="preserve">CCR DE PRIMAVERA DO LESTE</t>
  </si>
  <si>
    <t xml:space="preserve">279</t>
  </si>
  <si>
    <t xml:space="preserve">CCR DE SÃO MIGUEL DO OESTE</t>
  </si>
  <si>
    <t xml:space="preserve">273</t>
  </si>
  <si>
    <t xml:space="preserve">CCR SEARA</t>
  </si>
  <si>
    <t xml:space="preserve">430</t>
  </si>
  <si>
    <t xml:space="preserve">CECM COOPERFORTE</t>
  </si>
  <si>
    <t xml:space="preserve">379</t>
  </si>
  <si>
    <t xml:space="preserve">CECM FABRIC CALÇADOS SAPIRANGA</t>
  </si>
  <si>
    <t xml:space="preserve">328</t>
  </si>
  <si>
    <t xml:space="preserve">CENTRAL COOPERATIVA DE CRÉDITO NO ESTADO DO ESPÍRITO SANTO</t>
  </si>
  <si>
    <t xml:space="preserve">114</t>
  </si>
  <si>
    <t xml:space="preserve">CIELO S.A.</t>
  </si>
  <si>
    <t xml:space="preserve">362</t>
  </si>
  <si>
    <t xml:space="preserve">CITIBANK N.A.</t>
  </si>
  <si>
    <t xml:space="preserve">477</t>
  </si>
  <si>
    <t xml:space="preserve">CM CAPITAL MARKETS CCTVM LTDA</t>
  </si>
  <si>
    <t xml:space="preserve">180</t>
  </si>
  <si>
    <t xml:space="preserve">COBUCCIO SCD S.A.</t>
  </si>
  <si>
    <t xml:space="preserve">402</t>
  </si>
  <si>
    <t xml:space="preserve">CODEPE CVC S.A.</t>
  </si>
  <si>
    <t xml:space="preserve">127</t>
  </si>
  <si>
    <t xml:space="preserve">COLUNA S.A. DTVM</t>
  </si>
  <si>
    <t xml:space="preserve">423</t>
  </si>
  <si>
    <t xml:space="preserve">COMMERZBANK BRASIL S.A. - BCO MÚLTIPLO</t>
  </si>
  <si>
    <t xml:space="preserve">163</t>
  </si>
  <si>
    <t xml:space="preserve">CONF NAC COOP CENTRAIS UNICRED</t>
  </si>
  <si>
    <t xml:space="preserve">136</t>
  </si>
  <si>
    <t xml:space="preserve">CONFIDENCE CC S.A.</t>
  </si>
  <si>
    <t xml:space="preserve">060</t>
  </si>
  <si>
    <t xml:space="preserve">COOP CREDITAG</t>
  </si>
  <si>
    <t xml:space="preserve">400</t>
  </si>
  <si>
    <t xml:space="preserve">COOPCENTRAL AILOS</t>
  </si>
  <si>
    <t xml:space="preserve">085</t>
  </si>
  <si>
    <t xml:space="preserve">CORA SCD S.A.</t>
  </si>
  <si>
    <t xml:space="preserve">403</t>
  </si>
  <si>
    <t xml:space="preserve">CRED-SYSTEM SCD S.A.</t>
  </si>
  <si>
    <t xml:space="preserve">428</t>
  </si>
  <si>
    <t xml:space="preserve">CRED-UFES</t>
  </si>
  <si>
    <t xml:space="preserve">427</t>
  </si>
  <si>
    <t xml:space="preserve">CREDIALIANÇA CCR</t>
  </si>
  <si>
    <t xml:space="preserve">098</t>
  </si>
  <si>
    <t xml:space="preserve">CREDIARE CFI S.A.</t>
  </si>
  <si>
    <t xml:space="preserve">429</t>
  </si>
  <si>
    <t xml:space="preserve">CREDIBRF COOP</t>
  </si>
  <si>
    <t xml:space="preserve">440</t>
  </si>
  <si>
    <t xml:space="preserve">CREDICOAMO</t>
  </si>
  <si>
    <t xml:space="preserve">010</t>
  </si>
  <si>
    <t xml:space="preserve">CREDIFIT SCD S.A.</t>
  </si>
  <si>
    <t xml:space="preserve">452</t>
  </si>
  <si>
    <t xml:space="preserve">CREDIHOME SCD</t>
  </si>
  <si>
    <t xml:space="preserve">443</t>
  </si>
  <si>
    <t xml:space="preserve">CREDISAN CC</t>
  </si>
  <si>
    <t xml:space="preserve">089</t>
  </si>
  <si>
    <t xml:space="preserve">CREDISIS CENTRAL DE COOPERATIVAS DE CRÉDITO LTDA.</t>
  </si>
  <si>
    <t xml:space="preserve">097</t>
  </si>
  <si>
    <t xml:space="preserve">CREDITAS SCD</t>
  </si>
  <si>
    <t xml:space="preserve">342</t>
  </si>
  <si>
    <t xml:space="preserve">CREFAZ SCMEPP LTDA</t>
  </si>
  <si>
    <t xml:space="preserve">321</t>
  </si>
  <si>
    <t xml:space="preserve">CREHNOR LARANJEIRAS</t>
  </si>
  <si>
    <t xml:space="preserve">350</t>
  </si>
  <si>
    <t xml:space="preserve">CRESOL CONFEDERAÇÃO</t>
  </si>
  <si>
    <t xml:space="preserve">133</t>
  </si>
  <si>
    <t xml:space="preserve">DACASA FINANCEIRA S/A</t>
  </si>
  <si>
    <t xml:space="preserve">182</t>
  </si>
  <si>
    <t xml:space="preserve">DECYSEO CC LTDA.</t>
  </si>
  <si>
    <t xml:space="preserve">289</t>
  </si>
  <si>
    <t xml:space="preserve">DELCRED SCD S.A.</t>
  </si>
  <si>
    <t xml:space="preserve">435</t>
  </si>
  <si>
    <t xml:space="preserve">DEUTSCHE BANK S.A.BCO ALEMAO</t>
  </si>
  <si>
    <t xml:space="preserve">487</t>
  </si>
  <si>
    <t xml:space="preserve">DMCARD SCD S.A.</t>
  </si>
  <si>
    <t xml:space="preserve">449</t>
  </si>
  <si>
    <t xml:space="preserve">DOURADA CORRETORA</t>
  </si>
  <si>
    <t xml:space="preserve">311</t>
  </si>
  <si>
    <t xml:space="preserve">EBANX IP LTDA.</t>
  </si>
  <si>
    <t xml:space="preserve">383</t>
  </si>
  <si>
    <t xml:space="preserve">F D GOLD DTVM LTDA</t>
  </si>
  <si>
    <t xml:space="preserve">395</t>
  </si>
  <si>
    <t xml:space="preserve">FACTA S.A. CFI</t>
  </si>
  <si>
    <t xml:space="preserve">149</t>
  </si>
  <si>
    <t xml:space="preserve">FAIR CC S.A.</t>
  </si>
  <si>
    <t xml:space="preserve">196</t>
  </si>
  <si>
    <t xml:space="preserve">FFA SCMEPP LTDA.</t>
  </si>
  <si>
    <t xml:space="preserve">343</t>
  </si>
  <si>
    <t xml:space="preserve">FIDUCIA SCMEPP LTDA</t>
  </si>
  <si>
    <t xml:space="preserve">382</t>
  </si>
  <si>
    <t xml:space="preserve">FITBANK PAGAMENTOS ELETRONICOS S.A.</t>
  </si>
  <si>
    <t xml:space="preserve">450</t>
  </si>
  <si>
    <t xml:space="preserve">FRAM CAPITAL DTVM S.A.</t>
  </si>
  <si>
    <t xml:space="preserve">331</t>
  </si>
  <si>
    <t xml:space="preserve">FRENTE CC LTDA.</t>
  </si>
  <si>
    <t xml:space="preserve">285</t>
  </si>
  <si>
    <t xml:space="preserve">GENIAL INVESTIMENTOS CVM S.A.</t>
  </si>
  <si>
    <t xml:space="preserve">278</t>
  </si>
  <si>
    <t xml:space="preserve">GERENCIANET</t>
  </si>
  <si>
    <t xml:space="preserve">364</t>
  </si>
  <si>
    <t xml:space="preserve">GET MONEY CC LTDA</t>
  </si>
  <si>
    <t xml:space="preserve">138</t>
  </si>
  <si>
    <t xml:space="preserve">GLOBAL SCM LTDA</t>
  </si>
  <si>
    <t xml:space="preserve">384</t>
  </si>
  <si>
    <t xml:space="preserve">GOLDMAN SACHS DO BRASIL BM S.A</t>
  </si>
  <si>
    <t xml:space="preserve">064</t>
  </si>
  <si>
    <t xml:space="preserve">GUIDE</t>
  </si>
  <si>
    <t xml:space="preserve">177</t>
  </si>
  <si>
    <t xml:space="preserve">GUITTA CC LTDA</t>
  </si>
  <si>
    <t xml:space="preserve">146</t>
  </si>
  <si>
    <t xml:space="preserve">HAITONG BI DO BRASIL S.A.</t>
  </si>
  <si>
    <t xml:space="preserve">078</t>
  </si>
  <si>
    <t xml:space="preserve">HEDGE INVESTMENTS DTVM LTDA.</t>
  </si>
  <si>
    <t xml:space="preserve">458</t>
  </si>
  <si>
    <t xml:space="preserve">HEMERA DTVM LTDA.</t>
  </si>
  <si>
    <t xml:space="preserve">448</t>
  </si>
  <si>
    <t xml:space="preserve">HIPERCARD BM S.A.</t>
  </si>
  <si>
    <t xml:space="preserve">062</t>
  </si>
  <si>
    <t xml:space="preserve">HS FINANCEIRA</t>
  </si>
  <si>
    <t xml:space="preserve">189</t>
  </si>
  <si>
    <t xml:space="preserve">HSCM SCMEPP LTDA.</t>
  </si>
  <si>
    <t xml:space="preserve">312</t>
  </si>
  <si>
    <t xml:space="preserve">HUB PAGAMENTOS</t>
  </si>
  <si>
    <t xml:space="preserve">396</t>
  </si>
  <si>
    <t xml:space="preserve">IB CCTVM S.A.</t>
  </si>
  <si>
    <t xml:space="preserve">271</t>
  </si>
  <si>
    <t xml:space="preserve">ICAP DO BRASIL CTVM LTDA.</t>
  </si>
  <si>
    <t xml:space="preserve">157</t>
  </si>
  <si>
    <t xml:space="preserve">ICBC DO BRASIL BM S.A.</t>
  </si>
  <si>
    <t xml:space="preserve">132</t>
  </si>
  <si>
    <t xml:space="preserve">ID CTVM</t>
  </si>
  <si>
    <t xml:space="preserve">439</t>
  </si>
  <si>
    <t xml:space="preserve">IDEAL CTVM S.A.</t>
  </si>
  <si>
    <t xml:space="preserve">398</t>
  </si>
  <si>
    <t xml:space="preserve">ÍNDIGO INVESTIMENTOS DTVM LTDA.</t>
  </si>
  <si>
    <t xml:space="preserve">407</t>
  </si>
  <si>
    <t xml:space="preserve">ING BANK N.V.</t>
  </si>
  <si>
    <t xml:space="preserve">492</t>
  </si>
  <si>
    <t xml:space="preserve">INTESA SANPAOLO BRASIL S.A. BM</t>
  </si>
  <si>
    <t xml:space="preserve">139</t>
  </si>
  <si>
    <t xml:space="preserve">ITAÚ UNIBANCO HOLDING S.A.</t>
  </si>
  <si>
    <t xml:space="preserve">652</t>
  </si>
  <si>
    <t xml:space="preserve">ITAÚ UNIBANCO S.A.</t>
  </si>
  <si>
    <t xml:space="preserve">341</t>
  </si>
  <si>
    <t xml:space="preserve">IUGU IP S.A.</t>
  </si>
  <si>
    <t xml:space="preserve">401</t>
  </si>
  <si>
    <t xml:space="preserve">JPMORGAN CHASE BANK</t>
  </si>
  <si>
    <t xml:space="preserve">488</t>
  </si>
  <si>
    <t xml:space="preserve">KIRTON BANK</t>
  </si>
  <si>
    <t xml:space="preserve">399</t>
  </si>
  <si>
    <t xml:space="preserve">LAMARA SCD S.A.</t>
  </si>
  <si>
    <t xml:space="preserve">416</t>
  </si>
  <si>
    <t xml:space="preserve">LASTRO RDV DTVM LTDA</t>
  </si>
  <si>
    <t xml:space="preserve">293</t>
  </si>
  <si>
    <t xml:space="preserve">LECCA CFI S.A.</t>
  </si>
  <si>
    <t xml:space="preserve">105</t>
  </si>
  <si>
    <t xml:space="preserve">LEVYCAM CCV LTDA</t>
  </si>
  <si>
    <t xml:space="preserve">145</t>
  </si>
  <si>
    <t xml:space="preserve">LISTO SCD S.A.</t>
  </si>
  <si>
    <t xml:space="preserve">397</t>
  </si>
  <si>
    <t xml:space="preserve">MAGLIANO S A  CTVM</t>
  </si>
  <si>
    <t xml:space="preserve">113</t>
  </si>
  <si>
    <t xml:space="preserve">MAGNETIS - DTVM</t>
  </si>
  <si>
    <t xml:space="preserve">442</t>
  </si>
  <si>
    <t xml:space="preserve">MASTER S/A CCTVM</t>
  </si>
  <si>
    <t xml:space="preserve">467</t>
  </si>
  <si>
    <t xml:space="preserve">MERCADO PAGO</t>
  </si>
  <si>
    <t xml:space="preserve">323</t>
  </si>
  <si>
    <t xml:space="preserve">MÉRITO DTVM LTDA.</t>
  </si>
  <si>
    <t xml:space="preserve">454</t>
  </si>
  <si>
    <t xml:space="preserve">MIDWAY S.A. - SCFI</t>
  </si>
  <si>
    <t xml:space="preserve">358</t>
  </si>
  <si>
    <t xml:space="preserve">MIRAE ASSET CCTVM LTDA</t>
  </si>
  <si>
    <t xml:space="preserve">447</t>
  </si>
  <si>
    <t xml:space="preserve">MONEY PLUS SCMEPP LTDA</t>
  </si>
  <si>
    <t xml:space="preserve">274</t>
  </si>
  <si>
    <t xml:space="preserve">MONEYCORP BCO DE CÂMBIO S.A.</t>
  </si>
  <si>
    <t xml:space="preserve">259</t>
  </si>
  <si>
    <t xml:space="preserve">MS BANK S.A. BCO DE CÂMBIO</t>
  </si>
  <si>
    <t xml:space="preserve">128</t>
  </si>
  <si>
    <t xml:space="preserve">NECTON INVESTIMENTOS S.A CVM</t>
  </si>
  <si>
    <t xml:space="preserve">354</t>
  </si>
  <si>
    <t xml:space="preserve">NOVA FUTURA CTVM LTDA.</t>
  </si>
  <si>
    <t xml:space="preserve">191</t>
  </si>
  <si>
    <t xml:space="preserve">NOVO BCO CONTINENTAL S.A. - BM</t>
  </si>
  <si>
    <t xml:space="preserve">753</t>
  </si>
  <si>
    <t xml:space="preserve">NU FINANCEIRA S.A. CFI</t>
  </si>
  <si>
    <t xml:space="preserve">386</t>
  </si>
  <si>
    <t xml:space="preserve">NU INVEST CORRETORA DE VALORES S.A.</t>
  </si>
  <si>
    <t xml:space="preserve">140</t>
  </si>
  <si>
    <t xml:space="preserve">NU PAGAMENTOS - IP</t>
  </si>
  <si>
    <t xml:space="preserve">260</t>
  </si>
  <si>
    <t xml:space="preserve">NUMBRS SCD S.A.</t>
  </si>
  <si>
    <t xml:space="preserve">419</t>
  </si>
  <si>
    <t xml:space="preserve">OLIVEIRA TRUST DTVM S.A.</t>
  </si>
  <si>
    <t xml:space="preserve">111</t>
  </si>
  <si>
    <t xml:space="preserve">OM DTVM LTDA</t>
  </si>
  <si>
    <t xml:space="preserve">319</t>
  </si>
  <si>
    <t xml:space="preserve">OMNI BANCO S.A.</t>
  </si>
  <si>
    <t xml:space="preserve">613</t>
  </si>
  <si>
    <t xml:space="preserve">ÓRAMA DTVM S.A.</t>
  </si>
  <si>
    <t xml:space="preserve">325</t>
  </si>
  <si>
    <t xml:space="preserve">ÓTIMO SCD S.A.</t>
  </si>
  <si>
    <t xml:space="preserve">355</t>
  </si>
  <si>
    <t xml:space="preserve">PAGSEGURO S.A.</t>
  </si>
  <si>
    <t xml:space="preserve">290</t>
  </si>
  <si>
    <t xml:space="preserve">PARANA BCO S.A.</t>
  </si>
  <si>
    <t xml:space="preserve">254</t>
  </si>
  <si>
    <t xml:space="preserve">PARATI - CFI S.A.</t>
  </si>
  <si>
    <t xml:space="preserve">326</t>
  </si>
  <si>
    <t xml:space="preserve">PARMETAL DTVM LTDA</t>
  </si>
  <si>
    <t xml:space="preserve">194</t>
  </si>
  <si>
    <t xml:space="preserve">PEFISA S.A. - C.F.I.</t>
  </si>
  <si>
    <t xml:space="preserve">174</t>
  </si>
  <si>
    <t xml:space="preserve">PI DTVM S.A.</t>
  </si>
  <si>
    <t xml:space="preserve">315</t>
  </si>
  <si>
    <t xml:space="preserve">PICPAY</t>
  </si>
  <si>
    <t xml:space="preserve">380</t>
  </si>
  <si>
    <t xml:space="preserve">PLANNER CV S.A.</t>
  </si>
  <si>
    <t xml:space="preserve">100</t>
  </si>
  <si>
    <t xml:space="preserve">PLANNER SCM S.A.</t>
  </si>
  <si>
    <t xml:space="preserve">410</t>
  </si>
  <si>
    <t xml:space="preserve">PLANNER TRUSTEE DTVM LTDA</t>
  </si>
  <si>
    <t xml:space="preserve">438</t>
  </si>
  <si>
    <t xml:space="preserve">PLANTAE CFI</t>
  </si>
  <si>
    <t xml:space="preserve">445</t>
  </si>
  <si>
    <t xml:space="preserve">POLOCRED SCMEPP LTDA.</t>
  </si>
  <si>
    <t xml:space="preserve">093</t>
  </si>
  <si>
    <t xml:space="preserve">PORTOCRED S.A. - CFI</t>
  </si>
  <si>
    <t xml:space="preserve">108</t>
  </si>
  <si>
    <t xml:space="preserve">PORTOPAR DTVM LTDA</t>
  </si>
  <si>
    <t xml:space="preserve">306</t>
  </si>
  <si>
    <t xml:space="preserve">QI SCD S.A.</t>
  </si>
  <si>
    <t xml:space="preserve">329</t>
  </si>
  <si>
    <t xml:space="preserve">RB INVESTIMENTOS DTVM LTDA.</t>
  </si>
  <si>
    <t xml:space="preserve">283</t>
  </si>
  <si>
    <t xml:space="preserve">REALIZE CFI S.A.</t>
  </si>
  <si>
    <t xml:space="preserve">374</t>
  </si>
  <si>
    <t xml:space="preserve">RENASCENCA DTVM LTDA</t>
  </si>
  <si>
    <t xml:space="preserve">101</t>
  </si>
  <si>
    <t xml:space="preserve">SAGITUR CC LTDA</t>
  </si>
  <si>
    <t xml:space="preserve">270</t>
  </si>
  <si>
    <t xml:space="preserve">SCOTIABANK BRASIL</t>
  </si>
  <si>
    <t xml:space="preserve">751</t>
  </si>
  <si>
    <t xml:space="preserve">SENSO CCVM S.A.</t>
  </si>
  <si>
    <t xml:space="preserve">545</t>
  </si>
  <si>
    <t xml:space="preserve">SERVICOOP</t>
  </si>
  <si>
    <t xml:space="preserve">190</t>
  </si>
  <si>
    <t xml:space="preserve">SIMPAUL</t>
  </si>
  <si>
    <t xml:space="preserve">365</t>
  </si>
  <si>
    <t xml:space="preserve">SINGULARE CTVM S.A.</t>
  </si>
  <si>
    <t xml:space="preserve">363</t>
  </si>
  <si>
    <t xml:space="preserve">SOCINAL S.A. CFI</t>
  </si>
  <si>
    <t xml:space="preserve">425</t>
  </si>
  <si>
    <t xml:space="preserve">SOCRED SA - SCMEPP</t>
  </si>
  <si>
    <t xml:space="preserve">183</t>
  </si>
  <si>
    <t xml:space="preserve">Standard Chartered Bank (Brasil) S/A–BANCO Invest.</t>
  </si>
  <si>
    <t xml:space="preserve">118</t>
  </si>
  <si>
    <t xml:space="preserve">STARK SCD S.A.</t>
  </si>
  <si>
    <t xml:space="preserve">462</t>
  </si>
  <si>
    <t xml:space="preserve">STATE STREET BR S.A. BCO COMERCIAL</t>
  </si>
  <si>
    <t xml:space="preserve">014</t>
  </si>
  <si>
    <t xml:space="preserve">STONE PAGAMENTOS S.A.</t>
  </si>
  <si>
    <t xml:space="preserve">197</t>
  </si>
  <si>
    <t xml:space="preserve">SUMUP SCD S.A.</t>
  </si>
  <si>
    <t xml:space="preserve">404</t>
  </si>
  <si>
    <t xml:space="preserve">SUPER PAGAMENTOS E ADMINISTRACAO DE MEIOS ELETRONICOS S.A.</t>
  </si>
  <si>
    <t xml:space="preserve">340</t>
  </si>
  <si>
    <t xml:space="preserve">TERRA INVESTIMENTOS DTVM</t>
  </si>
  <si>
    <t xml:space="preserve">307</t>
  </si>
  <si>
    <t xml:space="preserve">TORO CTVM S.A.</t>
  </si>
  <si>
    <t xml:space="preserve">352</t>
  </si>
  <si>
    <t xml:space="preserve">TRAVELEX BANCO DE CÂMBIO S.A.</t>
  </si>
  <si>
    <t xml:space="preserve">095</t>
  </si>
  <si>
    <t xml:space="preserve">TREVISO CC S.A.</t>
  </si>
  <si>
    <t xml:space="preserve">143</t>
  </si>
  <si>
    <t xml:space="preserve">TRINUS CAPITAL DTVM</t>
  </si>
  <si>
    <t xml:space="preserve">360</t>
  </si>
  <si>
    <t xml:space="preserve">TRINUS SCD S.A.</t>
  </si>
  <si>
    <t xml:space="preserve">444</t>
  </si>
  <si>
    <t xml:space="preserve">TULLETT PREBON BRASIL CVC LTDA</t>
  </si>
  <si>
    <t xml:space="preserve">131</t>
  </si>
  <si>
    <t xml:space="preserve">UBS BRASIL BI S.A.</t>
  </si>
  <si>
    <t xml:space="preserve">129</t>
  </si>
  <si>
    <t xml:space="preserve">UBS BRASIL CCTVM S.A.</t>
  </si>
  <si>
    <t xml:space="preserve">015</t>
  </si>
  <si>
    <t xml:space="preserve">UNIPRIME CENTRAL CCC LTDA.</t>
  </si>
  <si>
    <t xml:space="preserve">099</t>
  </si>
  <si>
    <t xml:space="preserve">UNIPRIME DO BRASIL - CC LTDA.</t>
  </si>
  <si>
    <t xml:space="preserve">084</t>
  </si>
  <si>
    <t xml:space="preserve">UP.P SEP S.A.</t>
  </si>
  <si>
    <t xml:space="preserve">373</t>
  </si>
  <si>
    <t xml:space="preserve">UY3 SCD S/A</t>
  </si>
  <si>
    <t xml:space="preserve">457</t>
  </si>
  <si>
    <t xml:space="preserve">VALOR SCD S.A.</t>
  </si>
  <si>
    <t xml:space="preserve">195</t>
  </si>
  <si>
    <t xml:space="preserve">VIA CERTA FINANCIADORA S.A. - CFI</t>
  </si>
  <si>
    <t xml:space="preserve">411</t>
  </si>
  <si>
    <t xml:space="preserve">VIPS CC LTDA.</t>
  </si>
  <si>
    <t xml:space="preserve">298</t>
  </si>
  <si>
    <t xml:space="preserve">VISION S.A. CC</t>
  </si>
  <si>
    <t xml:space="preserve">296</t>
  </si>
  <si>
    <t xml:space="preserve">VITREO DTVM S.A.</t>
  </si>
  <si>
    <t xml:space="preserve">367</t>
  </si>
  <si>
    <t xml:space="preserve">VORTX DTVM LTDA.</t>
  </si>
  <si>
    <t xml:space="preserve">310</t>
  </si>
  <si>
    <t xml:space="preserve">WARREN CVMC LTDA</t>
  </si>
  <si>
    <t xml:space="preserve">371</t>
  </si>
  <si>
    <t xml:space="preserve">WILL FINANCEIRA S.A.CFI</t>
  </si>
  <si>
    <t xml:space="preserve">280</t>
  </si>
  <si>
    <t xml:space="preserve">WORK SCD S.A.</t>
  </si>
  <si>
    <t xml:space="preserve">414</t>
  </si>
  <si>
    <t xml:space="preserve">XP INVESTIMENTOS CCTVM S/A</t>
  </si>
  <si>
    <t xml:space="preserve">102</t>
  </si>
  <si>
    <t xml:space="preserve">ZEMA CFI S/A</t>
  </si>
  <si>
    <t xml:space="preserve">359</t>
  </si>
  <si>
    <t xml:space="preserve">ZIPDIN SCD S.A.</t>
  </si>
  <si>
    <t xml:space="preserve">418</t>
  </si>
  <si>
    <t xml:space="preserve">ZOOP TECNOLOGIA &amp; INSTITUIÇÃO DE PAGAMENTO S.A.</t>
  </si>
  <si>
    <t xml:space="preserve">032</t>
  </si>
  <si>
    <t xml:space="preserve">Cnae</t>
  </si>
  <si>
    <t xml:space="preserve">Denominação</t>
  </si>
  <si>
    <t xml:space="preserve">Seção CNAE</t>
  </si>
  <si>
    <t xml:space="preserve">Grupo CNAE</t>
  </si>
  <si>
    <t xml:space="preserve">MCC</t>
  </si>
  <si>
    <t xml:space="preserve">MCC Description</t>
  </si>
  <si>
    <t xml:space="preserve">ID </t>
  </si>
  <si>
    <t xml:space="preserve">6201-5/01</t>
  </si>
  <si>
    <t xml:space="preserve">Desenvolvimento de programas de computador sob encomenda</t>
  </si>
  <si>
    <t xml:space="preserve">INFORMAÇÃO E COMUNICAÇÃO</t>
  </si>
  <si>
    <t xml:space="preserve">ATIVIDADES DOS SERVIÇOS DE TECNOLOGIA DA INFORMAÇÃO</t>
  </si>
  <si>
    <t xml:space="preserve">Computer Programming, Data Processing, and Integrated Systems Design</t>
  </si>
  <si>
    <t xml:space="preserve">6202-3/00</t>
  </si>
  <si>
    <t xml:space="preserve">Desenvolvimento e licenciamento de programas de computador customizáveis</t>
  </si>
  <si>
    <t xml:space="preserve">6203-1/00</t>
  </si>
  <si>
    <t xml:space="preserve">Desenvolvimento e licenciamento de programas de computador não-customizáveis</t>
  </si>
  <si>
    <t xml:space="preserve">6204-0/00</t>
  </si>
  <si>
    <t xml:space="preserve">Consultoria em tecnologia da informação</t>
  </si>
  <si>
    <t xml:space="preserve">6201-5/00</t>
  </si>
  <si>
    <t xml:space="preserve">NÃO ENCONTRADO</t>
  </si>
  <si>
    <t xml:space="preserve">4711-3/01</t>
  </si>
  <si>
    <t xml:space="preserve">Comércio varejista de mercadorias em geral, com predominância de produtos alimentícios - hipermercados</t>
  </si>
  <si>
    <t xml:space="preserve">COMÉRCIO; REPARAÇÃO DE VEÍCULOS AUTOMOTORES E MOTOCICLETAS</t>
  </si>
  <si>
    <t xml:space="preserve">COMÉRCIO VAREJISTA</t>
  </si>
  <si>
    <t xml:space="preserve">Grocery Stores and Supermarkets</t>
  </si>
  <si>
    <t xml:space="preserve">4711-3/02</t>
  </si>
  <si>
    <t xml:space="preserve">Comércio varejista de mercadorias em geral, com predominância de produtos alimentícios - supermercados</t>
  </si>
  <si>
    <t xml:space="preserve">4712-1/00</t>
  </si>
  <si>
    <t xml:space="preserve">Comércio varejista de mercadorias em geral, com predominância de produtos alimentícios - minimercados, mercearias e armazéns</t>
  </si>
  <si>
    <t xml:space="preserve">4619-2/00</t>
  </si>
  <si>
    <t xml:space="preserve">Representantes comerciais e agentes do comércio de mercadorias em geral não especializado</t>
  </si>
  <si>
    <t xml:space="preserve">COMÉRCIO POR ATACADO, EXCETO VEÍCULOS AUTOMOTORES E MOTOCICLETAS</t>
  </si>
  <si>
    <t xml:space="preserve">Wholesale Clubs</t>
  </si>
  <si>
    <t xml:space="preserve">4637-1/99</t>
  </si>
  <si>
    <t xml:space="preserve">Comércio atacadista especializado em outros produtos alimentícios não especificados anteriormente</t>
  </si>
  <si>
    <t xml:space="preserve">4639-7/01</t>
  </si>
  <si>
    <t xml:space="preserve">Comércio atacadista de produtos alimentícios em geral</t>
  </si>
  <si>
    <t xml:space="preserve">4639-7/02</t>
  </si>
  <si>
    <t xml:space="preserve">Comércio atacadista de produtos alimentícios em geral, com atividade de fracionamento e acondicionamento associada</t>
  </si>
  <si>
    <t xml:space="preserve">4691-5/00</t>
  </si>
  <si>
    <t xml:space="preserve">Comércio atacadista de mercadorias em geral, com predominância de produtos alimentícios</t>
  </si>
  <si>
    <t xml:space="preserve">4693-1/00</t>
  </si>
  <si>
    <t xml:space="preserve">Comércio atacadista de mercadorias em geral, sem predominância de alimentos ou de insumos agropecuários</t>
  </si>
  <si>
    <t xml:space="preserve">1012-1/01</t>
  </si>
  <si>
    <t xml:space="preserve">Abate de aves</t>
  </si>
  <si>
    <t xml:space="preserve">IND DE TRANSFORMAÇÃO</t>
  </si>
  <si>
    <t xml:space="preserve">FABRICAÇÃO DE PRODUTOS ALIMENTÍCIOS</t>
  </si>
  <si>
    <t xml:space="preserve">Miscellaneous Food Stores – Convenience Stores and Specialty Markets</t>
  </si>
  <si>
    <t xml:space="preserve">4724-5/00</t>
  </si>
  <si>
    <t xml:space="preserve">Comércio varejista de hortifrutigranjeiros</t>
  </si>
  <si>
    <t xml:space="preserve">4729-6/02</t>
  </si>
  <si>
    <t xml:space="preserve">Comércio varejista de mercadorias em lojas de conveniência</t>
  </si>
  <si>
    <t xml:space="preserve">4729-6/99</t>
  </si>
  <si>
    <t xml:space="preserve">Comércio varejista de produtos alimentícios em geral ou especializado em produtos alimentícios não especificados anteriormente</t>
  </si>
  <si>
    <t xml:space="preserve">5612-1/00</t>
  </si>
  <si>
    <t xml:space="preserve">Serviços ambulantes de alimentação</t>
  </si>
  <si>
    <t xml:space="preserve">ALOJAMENTO E ALIMENTAÇÃO</t>
  </si>
  <si>
    <t xml:space="preserve">ALIMENTAÇÃO</t>
  </si>
  <si>
    <t xml:space="preserve">5620-1/01</t>
  </si>
  <si>
    <t xml:space="preserve">Fornecimento de alimentos preparados preponderantemente para empresas</t>
  </si>
  <si>
    <t xml:space="preserve">5620-1/04</t>
  </si>
  <si>
    <t xml:space="preserve">Fornecimento de alimentos preparados preponderantemente para consumo domiciliar</t>
  </si>
  <si>
    <t xml:space="preserve">5611-2/01</t>
  </si>
  <si>
    <t xml:space="preserve">Restaurantes e similares</t>
  </si>
  <si>
    <t xml:space="preserve">Eating Places and Restaurants F</t>
  </si>
  <si>
    <t xml:space="preserve">5620-1/03</t>
  </si>
  <si>
    <t xml:space="preserve">Cantinas - serviços de alimentação privativos</t>
  </si>
  <si>
    <t xml:space="preserve">5611-2/02</t>
  </si>
  <si>
    <t xml:space="preserve">Bares e outros estabelecimentos especializados em servir bebidas</t>
  </si>
  <si>
    <t xml:space="preserve">Drinking Places (Alcoholic Beverages) – Bars, Taverns, Nightclubs, Cocktail Lounges, and Discotheques</t>
  </si>
  <si>
    <t xml:space="preserve">5611-2/04</t>
  </si>
  <si>
    <t xml:space="preserve">Bares e outros estabelecimentos especializados em servir bebidas, sem entretenimento</t>
  </si>
  <si>
    <t xml:space="preserve">5611-2/05</t>
  </si>
  <si>
    <t xml:space="preserve">Bares e outros estabelecimentos especializados em servir bebidas, com entretenimento</t>
  </si>
  <si>
    <t xml:space="preserve">9329-8/01</t>
  </si>
  <si>
    <t xml:space="preserve">Discotecas, danceterias, salões de dança e similares</t>
  </si>
  <si>
    <t xml:space="preserve">ARTES, CULTURA, ESPORTE E RECREAÇÃO</t>
  </si>
  <si>
    <t xml:space="preserve">ATIVIDADES ESPORTIVAS E DE RECREAÇÃO E LAZER</t>
  </si>
  <si>
    <t xml:space="preserve">5611-2/03</t>
  </si>
  <si>
    <t xml:space="preserve">Lanchonetes, casas de chá, de sucos e similares</t>
  </si>
  <si>
    <t xml:space="preserve">Fast Food Restaurants F</t>
  </si>
  <si>
    <t xml:space="preserve">5510-8/01</t>
  </si>
  <si>
    <t xml:space="preserve">Hotéis</t>
  </si>
  <si>
    <t xml:space="preserve">ALOJAMENTO</t>
  </si>
  <si>
    <t xml:space="preserve">Lodging – Hotels, Motels, Resorts, Central Reservation Services (Not Elsewhere Classified)</t>
  </si>
  <si>
    <t xml:space="preserve">5510-8/02</t>
  </si>
  <si>
    <t xml:space="preserve">Apart-hotéis</t>
  </si>
  <si>
    <t xml:space="preserve">5510-8/03</t>
  </si>
  <si>
    <t xml:space="preserve">Motéis</t>
  </si>
  <si>
    <t xml:space="preserve">5590-6/01</t>
  </si>
  <si>
    <t xml:space="preserve">Albergues, exceto assistenciais</t>
  </si>
  <si>
    <t xml:space="preserve">5590-6/03</t>
  </si>
  <si>
    <t xml:space="preserve">Pensões (alojamento)</t>
  </si>
  <si>
    <t xml:space="preserve">5590-6/99</t>
  </si>
  <si>
    <t xml:space="preserve">Outros alojamentos não especificados anteriormente</t>
  </si>
  <si>
    <t xml:space="preserve">5914-6/00</t>
  </si>
  <si>
    <t xml:space="preserve">Atividades de exibição cinematográfica</t>
  </si>
  <si>
    <t xml:space="preserve">ATIVIDADES CINEMATOGRÁFICAS, PRODUÇÃO DE VÍDEOS E DE PROGRAMAS DE TELEVISÃO; GRAVAÇÃO DE SOM E EDIÇÃO DE MÚSICA</t>
  </si>
  <si>
    <t xml:space="preserve">Motion Picture Theaters</t>
  </si>
  <si>
    <t xml:space="preserve">1091-1/01</t>
  </si>
  <si>
    <t xml:space="preserve">Fabricação de produtos de panificação industrial</t>
  </si>
  <si>
    <t xml:space="preserve">Bakeries</t>
  </si>
  <si>
    <t xml:space="preserve">1091-1/02</t>
  </si>
  <si>
    <t xml:space="preserve">Fabricação de produtos de padaria e confeitaria com predominância de produção própria</t>
  </si>
  <si>
    <t xml:space="preserve">4637-1/04</t>
  </si>
  <si>
    <t xml:space="preserve">Comércio atacadista de pães, bolos, biscoitos e similares</t>
  </si>
  <si>
    <t xml:space="preserve">4721-1/02</t>
  </si>
  <si>
    <t xml:space="preserve">Padaria e confeitaria com predominância de revenda</t>
  </si>
  <si>
    <t xml:space="preserve">1091-1/00</t>
  </si>
  <si>
    <t xml:space="preserve">Fabricação de produtos de panificação</t>
  </si>
  <si>
    <t xml:space="preserve">4721-1/01</t>
  </si>
  <si>
    <t xml:space="preserve">Padaria e confeitaria com predominância de produção própria</t>
  </si>
  <si>
    <t xml:space="preserve">1821-1/00</t>
  </si>
  <si>
    <t xml:space="preserve">Serviços de pré-impressão</t>
  </si>
  <si>
    <t xml:space="preserve">IMPRESSÃO E REPRODUÇÃO DE GRAVAÇÕES</t>
  </si>
  <si>
    <t xml:space="preserve">Typesetting, Plate Making, and Related Services</t>
  </si>
  <si>
    <t xml:space="preserve">3299-0/03</t>
  </si>
  <si>
    <t xml:space="preserve">Fabricação de letras, letreiros e placas de qualquer material, exceto luminosos</t>
  </si>
  <si>
    <t xml:space="preserve">FABRICAÇÃO DE PRODUTOS DIVERSOS</t>
  </si>
  <si>
    <t xml:space="preserve">8299-7/03</t>
  </si>
  <si>
    <t xml:space="preserve">Serviços de gravação de carimbos, exceto confecção</t>
  </si>
  <si>
    <t xml:space="preserve">ATIV ADM E SV COMPLEMENT</t>
  </si>
  <si>
    <t xml:space="preserve">SERVIÇOS DE ESCRITÓRIO, DE APOIO ADMINISTRATIVO E OUTROS SERVIÇOS PRESTADOS ÀS EMPRESAS</t>
  </si>
  <si>
    <t xml:space="preserve">8621-6/01</t>
  </si>
  <si>
    <t xml:space="preserve">UTI móvel</t>
  </si>
  <si>
    <t xml:space="preserve">SAÚDE HUMANA E SV SOCIAIS</t>
  </si>
  <si>
    <t xml:space="preserve">ATIVIDADES DE ATENÇÃO À SAÚDE HUMANA</t>
  </si>
  <si>
    <t xml:space="preserve">Ambulance Services</t>
  </si>
  <si>
    <t xml:space="preserve">8621-6/02</t>
  </si>
  <si>
    <t xml:space="preserve">Serviços móveis de atendimento a urgências, exceto por UTI móvel</t>
  </si>
  <si>
    <t xml:space="preserve">8622-4/00</t>
  </si>
  <si>
    <t xml:space="preserve">Serviços de remoção de pacientes, exceto os serviços móveis de atendimento a urgências</t>
  </si>
  <si>
    <t xml:space="preserve">4930-2/01</t>
  </si>
  <si>
    <t xml:space="preserve">Transporte rodoviário de carga, exceto produtos perigosos e mudanças, municipal</t>
  </si>
  <si>
    <t xml:space="preserve">TRANSPORTE, ARMAZENAGEM E CORREIO</t>
  </si>
  <si>
    <t xml:space="preserve">TRANSPORTE TERRESTRE</t>
  </si>
  <si>
    <t xml:space="preserve">Motor Freight Carriers and Trucking – Local and Long Distance, Moving and Storage Companies, and Local Delivery Services</t>
  </si>
  <si>
    <t xml:space="preserve">4930-2/02</t>
  </si>
  <si>
    <t xml:space="preserve">Transporte rodoviário de carga, exceto produtos perigosos e mudanças, intermunicipal, interestadual e internacional</t>
  </si>
  <si>
    <t xml:space="preserve">Transportation Services (Not Elsewhere Classified)</t>
  </si>
  <si>
    <t xml:space="preserve">4930-2/03</t>
  </si>
  <si>
    <t xml:space="preserve">Transporte rodoviário de produtos perigosos</t>
  </si>
  <si>
    <t xml:space="preserve">4930-2/04</t>
  </si>
  <si>
    <t xml:space="preserve">Transporte rodoviário de mudanças</t>
  </si>
  <si>
    <t xml:space="preserve">5212-5/00</t>
  </si>
  <si>
    <t xml:space="preserve">Carga e descarga</t>
  </si>
  <si>
    <t xml:space="preserve">ARMAZENAMENTO E ATIVIDADES AUXILIARES DOS TRANSPORTES</t>
  </si>
  <si>
    <t xml:space="preserve">4632-0/03</t>
  </si>
  <si>
    <t xml:space="preserve">Comércio atacadista de cereais e leguminosas beneficiados, farinhas, amidos e féculas, com atividade de fracionamento e acondicionamento associada</t>
  </si>
  <si>
    <t xml:space="preserve">Public Warehousing and Storage – Farm Products, Refrigerated Goods, Household Goods, and Storage</t>
  </si>
  <si>
    <t xml:space="preserve">5211-7/01</t>
  </si>
  <si>
    <t xml:space="preserve">Armazéns gerais - emissão de warrant</t>
  </si>
  <si>
    <t xml:space="preserve">5211-7/02</t>
  </si>
  <si>
    <t xml:space="preserve">Guarda-móveis</t>
  </si>
  <si>
    <t xml:space="preserve">5211-7/99</t>
  </si>
  <si>
    <t xml:space="preserve">Depósitos de mercadorias para terceiros, exceto armazéns gerais e guarda-móveis</t>
  </si>
  <si>
    <t xml:space="preserve">3317-1/01</t>
  </si>
  <si>
    <t xml:space="preserve">Manutenção e reparação de embarcações e estruturas flutuantes</t>
  </si>
  <si>
    <t xml:space="preserve">MANUTENÇÃO, REPARAÇÃO E INSTALAÇÃO DE MÁQUINAS E EQUIPAMENTOS</t>
  </si>
  <si>
    <t xml:space="preserve">Marinas, Marine Service/Supplies</t>
  </si>
  <si>
    <t xml:space="preserve">3317-1/02</t>
  </si>
  <si>
    <t xml:space="preserve">Manutenção e reparação de embarcações para esporte e lazer</t>
  </si>
  <si>
    <t xml:space="preserve">5240-1/01</t>
  </si>
  <si>
    <t xml:space="preserve">Operação dos aeroportos e campos de aterrissagem</t>
  </si>
  <si>
    <t xml:space="preserve">Airports, Flying Fields, and Airport Terminals</t>
  </si>
  <si>
    <t xml:space="preserve">5240-1/99</t>
  </si>
  <si>
    <t xml:space="preserve">Atividades auxiliares dos transportes aéreos, exceto operação dos aeroportos e campos de aterrissagem</t>
  </si>
  <si>
    <t xml:space="preserve">2211-1/00</t>
  </si>
  <si>
    <t xml:space="preserve">Fabricação de pneumáticos e de câmaras-de-ar</t>
  </si>
  <si>
    <t xml:space="preserve">FABRICAÇÃO DE PRODUTOS DE BORRACHA E DE MATERIAL PLÁSTICO</t>
  </si>
  <si>
    <t xml:space="preserve">Motor Vehicle Supplies and New Parts</t>
  </si>
  <si>
    <t xml:space="preserve">2910-7/02</t>
  </si>
  <si>
    <t xml:space="preserve">Fabricação de chassis com motor para automóveis, camionetas e utilitários</t>
  </si>
  <si>
    <t xml:space="preserve">FABRICAÇÃO DE VEÍCULOS AUTOMOTORES, REBOQUES E CARROCERIAS</t>
  </si>
  <si>
    <t xml:space="preserve">2910-7/03</t>
  </si>
  <si>
    <t xml:space="preserve">Fabricação de motores para automóveis, camionetas e utilitários</t>
  </si>
  <si>
    <t xml:space="preserve">2920-4/02</t>
  </si>
  <si>
    <t xml:space="preserve">Fabricação de motores para caminhões e ônibus</t>
  </si>
  <si>
    <t xml:space="preserve">2930-1/02</t>
  </si>
  <si>
    <t xml:space="preserve">Fabricação de carrocerias para ônibus</t>
  </si>
  <si>
    <t xml:space="preserve">2941-7/00</t>
  </si>
  <si>
    <t xml:space="preserve">Fabricação de peças e acessórios para o sistema motor de veículos automotores</t>
  </si>
  <si>
    <t xml:space="preserve">2942-5/00</t>
  </si>
  <si>
    <t xml:space="preserve">Fabricação de peças e acessórios para os sistemas de marcha e transmissão de veículos automotores</t>
  </si>
  <si>
    <t xml:space="preserve">2943-3/00</t>
  </si>
  <si>
    <t xml:space="preserve">Fabricação de peças e acessórios para o sistema de freios de veículos automotores</t>
  </si>
  <si>
    <t xml:space="preserve">2944-1/00</t>
  </si>
  <si>
    <t xml:space="preserve">Fabricação de peças e acessórios para o sistema de direção e suspensão de veículos automotores</t>
  </si>
  <si>
    <t xml:space="preserve">2945-0/00</t>
  </si>
  <si>
    <t xml:space="preserve">Fabricação de material elétrico e eletrônico para veículos automotores, exceto baterias</t>
  </si>
  <si>
    <t xml:space="preserve">2949-2/01</t>
  </si>
  <si>
    <t xml:space="preserve">Fabricação de bancos e estofados para veículos automotores</t>
  </si>
  <si>
    <t xml:space="preserve">2949-2/99</t>
  </si>
  <si>
    <t xml:space="preserve">Fabricação de outras peças e acessórios para veículos automotores não especificadas anteriormente</t>
  </si>
  <si>
    <t xml:space="preserve">4530-7/01</t>
  </si>
  <si>
    <t xml:space="preserve">Comércio por atacado de peças e acessórios novos para veículos automotores</t>
  </si>
  <si>
    <t xml:space="preserve">COMÉRCIO E REPARAÇÃO DE VEÍCULOS AUTOMOTORES E MOTOCICLETAS</t>
  </si>
  <si>
    <t xml:space="preserve">4530-7/02</t>
  </si>
  <si>
    <t xml:space="preserve">Comércio por atacado de pneumáticos e câmaras-de-ar</t>
  </si>
  <si>
    <t xml:space="preserve">4530-7/06</t>
  </si>
  <si>
    <t xml:space="preserve">Representantes comerciais e agentes do comércio de peças e acessórios novos e usados para veículos automotores</t>
  </si>
  <si>
    <t xml:space="preserve">4541-2/02</t>
  </si>
  <si>
    <t xml:space="preserve">Comércio por atacado de peças e acessórios para motocicletas e motonetas</t>
  </si>
  <si>
    <t xml:space="preserve">3101-2/00</t>
  </si>
  <si>
    <t xml:space="preserve">Fabricação de móveis com predominância de madeira</t>
  </si>
  <si>
    <t xml:space="preserve">FABRICAÇÃO DE MÓVEIS</t>
  </si>
  <si>
    <t xml:space="preserve">Office and Commercial Furniture</t>
  </si>
  <si>
    <t xml:space="preserve">3102-1/00</t>
  </si>
  <si>
    <t xml:space="preserve">Fabricação de móveis com predominância de metal</t>
  </si>
  <si>
    <t xml:space="preserve">3103-9/00</t>
  </si>
  <si>
    <t xml:space="preserve">Fabricação de móveis de outros materiais, exceto madeira e metal</t>
  </si>
  <si>
    <t xml:space="preserve">4649-4/04</t>
  </si>
  <si>
    <t xml:space="preserve">Comércio atacadista de móveis e artigos de colchoaria</t>
  </si>
  <si>
    <t xml:space="preserve">2099-1/01</t>
  </si>
  <si>
    <t xml:space="preserve">Fabricação de chapas, filmes, papéis e outros materiais e produtos químicos para fotografia</t>
  </si>
  <si>
    <t xml:space="preserve">FABRICAÇÃO DE PRODUTOS QUÍMICOS</t>
  </si>
  <si>
    <t xml:space="preserve">Office, Photographic, Photocopy, and Microfilm Equipment</t>
  </si>
  <si>
    <t xml:space="preserve">2670-1/02</t>
  </si>
  <si>
    <t xml:space="preserve">Fabricação de aparelhos fotográficos e cinematográficos, peças e acessórios</t>
  </si>
  <si>
    <t xml:space="preserve">FABRICAÇÃO DE EQUIPAMENTOS DE INFORMÁTICA, PRODUTOS ELETRÔNICOS E ÓPTICOS</t>
  </si>
  <si>
    <t xml:space="preserve">2680-9/00</t>
  </si>
  <si>
    <t xml:space="preserve">Fabricação de mídias virgens, magnéticas e ópticas</t>
  </si>
  <si>
    <t xml:space="preserve">2829-1/01</t>
  </si>
  <si>
    <t xml:space="preserve">Fabricação de máquinas de escrever, calcular e outros equipamentos não-eletrônicos para escritório, peças e acessórios</t>
  </si>
  <si>
    <t xml:space="preserve">FABRICAÇÃO DE MÁQUINAS E EQUIPAMENTOS</t>
  </si>
  <si>
    <t xml:space="preserve">2542-0/00</t>
  </si>
  <si>
    <t xml:space="preserve">Fabricação de artigos de serralheria, exceto esquadrias</t>
  </si>
  <si>
    <t xml:space="preserve">FABRICAÇÃO DE PRODUTOS DE METAL, EXCETO MÁQUINAS E EQUIPAMENTOS</t>
  </si>
  <si>
    <t xml:space="preserve">Hardware Equipment and Supplies</t>
  </si>
  <si>
    <t xml:space="preserve">2543-8/00</t>
  </si>
  <si>
    <t xml:space="preserve">Fabricação de ferramentas</t>
  </si>
  <si>
    <t xml:space="preserve">4672-9/00</t>
  </si>
  <si>
    <t xml:space="preserve">Comércio atacadista de ferragens e ferramentas</t>
  </si>
  <si>
    <t xml:space="preserve">1621-8/00</t>
  </si>
  <si>
    <t xml:space="preserve">Fabricação de madeira laminada e de chapas de madeira compensada, prensada e aglomerada</t>
  </si>
  <si>
    <t xml:space="preserve">FABRICAÇÃO DE PRODUTOS DE MADEIRA</t>
  </si>
  <si>
    <t xml:space="preserve">Durable Goods (Not Elsewhere Classified)</t>
  </si>
  <si>
    <t xml:space="preserve">1622-6/02</t>
  </si>
  <si>
    <t xml:space="preserve">Fabricação de esquadrias de madeira e de peças de madeira para instalações industriais e comerciais</t>
  </si>
  <si>
    <t xml:space="preserve">1622-6/99</t>
  </si>
  <si>
    <t xml:space="preserve">Fabricação de outros artigos de carpintaria para construção</t>
  </si>
  <si>
    <t xml:space="preserve">1629-3/01</t>
  </si>
  <si>
    <t xml:space="preserve">Fabricação de artefatos diversos de madeira, exceto móveis</t>
  </si>
  <si>
    <t xml:space="preserve">2229-3/99</t>
  </si>
  <si>
    <t xml:space="preserve">Fabricação de artefatos de material plástico para outros usos não especificados anteriormente</t>
  </si>
  <si>
    <t xml:space="preserve">2391-5/03</t>
  </si>
  <si>
    <t xml:space="preserve">Aparelhamento de placas e execução de trabalhos em mármore, granito, ardósia e outras pedras</t>
  </si>
  <si>
    <t xml:space="preserve">FABRICAÇÃO DE PRODUTOS DE MINERAIS NÃO-METÁLICOS</t>
  </si>
  <si>
    <t xml:space="preserve">2399-1/99</t>
  </si>
  <si>
    <t xml:space="preserve">Fabricação de outros produtos de minerais não-metálicos não especificados anteriormente</t>
  </si>
  <si>
    <t xml:space="preserve">2550-1/01</t>
  </si>
  <si>
    <t xml:space="preserve">Fabricação de equipamento bélico pesado, exceto veículos militares de combate</t>
  </si>
  <si>
    <t xml:space="preserve">2550-1/02</t>
  </si>
  <si>
    <t xml:space="preserve">Fabricação de armas de fogo, outras armas e munições</t>
  </si>
  <si>
    <t xml:space="preserve">2811-9/00</t>
  </si>
  <si>
    <t xml:space="preserve">Fabricação de motores e turbinas, peças e acessórios, exceto para aviões e veículos rodoviários</t>
  </si>
  <si>
    <t xml:space="preserve">2814-3/02</t>
  </si>
  <si>
    <t xml:space="preserve">Fabricação de compressores para uso não-industrial, peças e acessórios</t>
  </si>
  <si>
    <t xml:space="preserve">3011-3/01</t>
  </si>
  <si>
    <t xml:space="preserve">Construção de embarcações de grande porte</t>
  </si>
  <si>
    <t xml:space="preserve">FABRICAÇÃO DE OUTROS EQUIPAMENTOS DE TRANSPORTE, EXCETO VEÍCULOS AUTOMOTORES</t>
  </si>
  <si>
    <t xml:space="preserve">3011-3/02</t>
  </si>
  <si>
    <t xml:space="preserve">Construção de embarcações para uso comercial e para usos especiais, exceto de grande porte</t>
  </si>
  <si>
    <t xml:space="preserve">3012-1/00</t>
  </si>
  <si>
    <t xml:space="preserve">Construção de embarcações para esporte e lazer</t>
  </si>
  <si>
    <t xml:space="preserve">3091-1/01</t>
  </si>
  <si>
    <t xml:space="preserve">Fabricação de motocicletas</t>
  </si>
  <si>
    <t xml:space="preserve">3092-0/00</t>
  </si>
  <si>
    <t xml:space="preserve">Fabricação de bicicletas e triciclos não-motorizados, peças e acessórios</t>
  </si>
  <si>
    <t xml:space="preserve">3220-5/00</t>
  </si>
  <si>
    <t xml:space="preserve">Fabricação de instrumentos musicais, peças e acessórios</t>
  </si>
  <si>
    <t xml:space="preserve">3240-0/01</t>
  </si>
  <si>
    <t xml:space="preserve">Fabricação de jogos eletrônicos</t>
  </si>
  <si>
    <t xml:space="preserve">3240-0/02</t>
  </si>
  <si>
    <t xml:space="preserve">Fabricação de mesas de bilhar, de sinuca e acessórios não associada à locação</t>
  </si>
  <si>
    <t xml:space="preserve">3240-0/03</t>
  </si>
  <si>
    <t xml:space="preserve">Fabricação de mesas de bilhar, de sinuca e acessórios associada à locação</t>
  </si>
  <si>
    <t xml:space="preserve">3240-0/99</t>
  </si>
  <si>
    <t xml:space="preserve">Fabricação de outros brinquedos e jogos recreativos não especificados anteriormente</t>
  </si>
  <si>
    <t xml:space="preserve">4615-0/00</t>
  </si>
  <si>
    <t xml:space="preserve">Representantes comerciais e agentes do comércio de eletrodomésticos, móveis e artigos de uso doméstico</t>
  </si>
  <si>
    <t xml:space="preserve">4623-1/01</t>
  </si>
  <si>
    <t xml:space="preserve">Comércio atacadista de animais vivos</t>
  </si>
  <si>
    <t xml:space="preserve">4649-4/02</t>
  </si>
  <si>
    <t xml:space="preserve">Comércio atacadista de aparelhos eletrônicos de uso pessoal e doméstico</t>
  </si>
  <si>
    <t xml:space="preserve">4649-4/05</t>
  </si>
  <si>
    <t xml:space="preserve">Comércio atacadista de artigos de tapeçaria; persianas e cortinas</t>
  </si>
  <si>
    <t xml:space="preserve">4671-1/00</t>
  </si>
  <si>
    <t xml:space="preserve">Comércio atacadista de madeira e produtos derivados</t>
  </si>
  <si>
    <t xml:space="preserve">1742-7/01</t>
  </si>
  <si>
    <t xml:space="preserve">Fabricação de fraldas descartáveis</t>
  </si>
  <si>
    <t xml:space="preserve">FABRICAÇÃO DE CELULOSE, PAPEL E PRODUTOS DE PAPEL</t>
  </si>
  <si>
    <t xml:space="preserve">Drugs, Drug Proprietaries, and Druggist Sundries</t>
  </si>
  <si>
    <t xml:space="preserve">1742-7/02</t>
  </si>
  <si>
    <t xml:space="preserve">Fabricação de absorventes higiênicos</t>
  </si>
  <si>
    <t xml:space="preserve">1742-7/99</t>
  </si>
  <si>
    <t xml:space="preserve">Fabricação de produtos de papel para uso doméstico e higiênico-sanitário não especificados anteriormente</t>
  </si>
  <si>
    <t xml:space="preserve">2063-1/00</t>
  </si>
  <si>
    <t xml:space="preserve">Fabricação de cosméticos, produtos de perfumaria e de higiene pessoal</t>
  </si>
  <si>
    <t xml:space="preserve">2110-6/00</t>
  </si>
  <si>
    <t xml:space="preserve">Fabricação de produtos farmoquímicos</t>
  </si>
  <si>
    <t xml:space="preserve">FABRICAÇÃO DE PRODUTOS FARMOQUÍMICOS E FARMACÊUTICOS</t>
  </si>
  <si>
    <t xml:space="preserve">2121-1/01</t>
  </si>
  <si>
    <t xml:space="preserve">Fabricação de medicamentos alopáticos para uso humano</t>
  </si>
  <si>
    <t xml:space="preserve">2121-1/02</t>
  </si>
  <si>
    <t xml:space="preserve">Fabricação de medicamentos homeopáticos para uso humano</t>
  </si>
  <si>
    <t xml:space="preserve">2121-1/03</t>
  </si>
  <si>
    <t xml:space="preserve">Fabricação de medicamentos fitoterápicos para uso humano</t>
  </si>
  <si>
    <t xml:space="preserve">2122-0/00</t>
  </si>
  <si>
    <t xml:space="preserve">Fabricação de medicamentos para uso veterinário</t>
  </si>
  <si>
    <t xml:space="preserve">2123-8/00</t>
  </si>
  <si>
    <t xml:space="preserve">Fabricação de preparações farmacêuticas</t>
  </si>
  <si>
    <t xml:space="preserve">4618-4/01</t>
  </si>
  <si>
    <t xml:space="preserve">Representantes comerciais e agentes do comércio de medicamentos, cosméticos e produtos de perfumaria</t>
  </si>
  <si>
    <t xml:space="preserve">4644-3/01</t>
  </si>
  <si>
    <t xml:space="preserve">Comércio atacadista de medicamentos e drogas de uso humano</t>
  </si>
  <si>
    <t xml:space="preserve">4644-3/02</t>
  </si>
  <si>
    <t xml:space="preserve">Comércio atacadista de medicamentos e drogas de uso veterinário</t>
  </si>
  <si>
    <t xml:space="preserve">4646-0/01</t>
  </si>
  <si>
    <t xml:space="preserve">Comércio atacadista de cosméticos e produtos de perfumaria</t>
  </si>
  <si>
    <t xml:space="preserve">4646-0/02</t>
  </si>
  <si>
    <t xml:space="preserve">Comércio atacadista de produtos de higiene pessoal</t>
  </si>
  <si>
    <t xml:space="preserve">1531-9/01</t>
  </si>
  <si>
    <t xml:space="preserve">Fabricação de calçados de couro</t>
  </si>
  <si>
    <t xml:space="preserve">PREPARAÇÃO DE COUROS E FABRICAÇÃO DE ARTEFATOS DE COURO, ARTIGOS PARA VIAGEM E CALÇADOS</t>
  </si>
  <si>
    <t xml:space="preserve">Commercial Footwear</t>
  </si>
  <si>
    <t xml:space="preserve">1531-9/02</t>
  </si>
  <si>
    <t xml:space="preserve">Acabamento de calçados de couro sob contrato</t>
  </si>
  <si>
    <t xml:space="preserve">1532-7/00</t>
  </si>
  <si>
    <t xml:space="preserve">Fabricação de tênis de qualquer material</t>
  </si>
  <si>
    <t xml:space="preserve">1533-5/00</t>
  </si>
  <si>
    <t xml:space="preserve">Fabricação de calçados de material sintético</t>
  </si>
  <si>
    <t xml:space="preserve">1539-4/00</t>
  </si>
  <si>
    <t xml:space="preserve">Fabricação de calçados de materiais não especificados anteriormente</t>
  </si>
  <si>
    <t xml:space="preserve">1540-8/00</t>
  </si>
  <si>
    <t xml:space="preserve">Fabricação de partes para calçados, de qualquer material</t>
  </si>
  <si>
    <t xml:space="preserve">4643-5/01</t>
  </si>
  <si>
    <t xml:space="preserve">Comércio atacadista de calçados</t>
  </si>
  <si>
    <t xml:space="preserve">4623-1/06</t>
  </si>
  <si>
    <t xml:space="preserve">Comércio atacadista de sementes, flores, plantas e gramas</t>
  </si>
  <si>
    <t xml:space="preserve">Florists Supplies, Nursery Stock and Flowers</t>
  </si>
  <si>
    <t xml:space="preserve">4713-0/02</t>
  </si>
  <si>
    <t xml:space="preserve">Lojas de variedades, exceto lojas de departamentos ou magazines</t>
  </si>
  <si>
    <t xml:space="preserve">Variety Stores</t>
  </si>
  <si>
    <t xml:space="preserve">4763-6/05</t>
  </si>
  <si>
    <t xml:space="preserve">Comércio varejista de embarcações e outros veículos recreativos; peças e acessórios</t>
  </si>
  <si>
    <t xml:space="preserve">Boat Dealers</t>
  </si>
  <si>
    <t xml:space="preserve">2831-3/00</t>
  </si>
  <si>
    <t xml:space="preserve">Fabricação de tratores agrícolas, peças e acessórios</t>
  </si>
  <si>
    <t xml:space="preserve">Miscellaneous Automotive, Aircraft, and Farm Equipment Dealers (Not Elsewhere Classified)</t>
  </si>
  <si>
    <t xml:space="preserve">2832-1/00</t>
  </si>
  <si>
    <t xml:space="preserve">Fabricação de equipamentos para irrigação agrícola, peças e acessórios</t>
  </si>
  <si>
    <t xml:space="preserve">2833-0/00</t>
  </si>
  <si>
    <t xml:space="preserve">Fabricação de máquinas e equipamentos para a agricultura e pecuária, peças e acessórios, exceto para irrigação</t>
  </si>
  <si>
    <t xml:space="preserve">2853-4/00</t>
  </si>
  <si>
    <t xml:space="preserve">Fabricação de tratores, peças e acessórios, exceto agrícolas</t>
  </si>
  <si>
    <t xml:space="preserve">2854-2/00</t>
  </si>
  <si>
    <t xml:space="preserve">Fabricação de máquinas e equipamentos para terraplenagem, pavimentação e construção, peças e acessórios, exceto tratores</t>
  </si>
  <si>
    <t xml:space="preserve">2930-1/01</t>
  </si>
  <si>
    <t xml:space="preserve">Fabricação de cabines, carrocerias e reboques para caminhões</t>
  </si>
  <si>
    <t xml:space="preserve">2930-1/03</t>
  </si>
  <si>
    <t xml:space="preserve">Fabricação de cabines, carrocerias e reboques para outros veículos automotores, exceto caminhões e ônibus</t>
  </si>
  <si>
    <t xml:space="preserve">3031-8/00</t>
  </si>
  <si>
    <t xml:space="preserve">Fabricação de locomotivas, vagões e outros materiais rodantes</t>
  </si>
  <si>
    <t xml:space="preserve">3032-6/00</t>
  </si>
  <si>
    <t xml:space="preserve">Fabricação de peças e acessórios para veículos ferroviários</t>
  </si>
  <si>
    <t xml:space="preserve">3041-5/00</t>
  </si>
  <si>
    <t xml:space="preserve">Fabricação de aeronaves</t>
  </si>
  <si>
    <t xml:space="preserve">3042-3/00</t>
  </si>
  <si>
    <t xml:space="preserve">Fabricação de turbinas, motores e outros componentes e peças para aeronaves</t>
  </si>
  <si>
    <t xml:space="preserve">3050-4/00</t>
  </si>
  <si>
    <t xml:space="preserve">Fabricação de veículos militares de combate</t>
  </si>
  <si>
    <t xml:space="preserve">3099-7/00</t>
  </si>
  <si>
    <t xml:space="preserve">Fabricação de equipamentos de transporte não especificados anteriormente</t>
  </si>
  <si>
    <t xml:space="preserve">4614-1/00</t>
  </si>
  <si>
    <t xml:space="preserve">Representantes comerciais e agentes do comércio de máquinas, equipamentos, embarcações e aeronaves</t>
  </si>
  <si>
    <t xml:space="preserve">4661-3/00</t>
  </si>
  <si>
    <t xml:space="preserve">Comércio atacadista de máquinas, aparelhos e equipamentos para uso agropecuário; partes e peças</t>
  </si>
  <si>
    <t xml:space="preserve">4662-1/00</t>
  </si>
  <si>
    <t xml:space="preserve">Comércio atacadista de máquinas, equipamentos para terraplenagem, mineração e construção; partes e peças</t>
  </si>
  <si>
    <t xml:space="preserve">1340-5/99</t>
  </si>
  <si>
    <t xml:space="preserve">Outros serviços de acabamento em fios, tecidos, artefatos têxteis e peças do vestuário</t>
  </si>
  <si>
    <t xml:space="preserve">FABRICAÇÃO DE PRODUTOS TÊXTEIS</t>
  </si>
  <si>
    <t xml:space="preserve">Tailors, Seamstresses, Mending, and Alterations</t>
  </si>
  <si>
    <t xml:space="preserve">1412-6/02</t>
  </si>
  <si>
    <t xml:space="preserve">Confecção, sob medida, de peças do vestuário, exceto roupas íntimas</t>
  </si>
  <si>
    <t xml:space="preserve">CONFECÇÃO DE ARTIGOS DO VESTUÁRIO E ACESSÓRIOS</t>
  </si>
  <si>
    <t xml:space="preserve">3831-9/01</t>
  </si>
  <si>
    <t xml:space="preserve">Recuperação de sucatas de alumínio</t>
  </si>
  <si>
    <t xml:space="preserve">ÁGUA, ESGOTO, GESTÃO DE RESÍDUOS E DESCONTAMINAÇÃO</t>
  </si>
  <si>
    <t xml:space="preserve">COLETA, TRATAMENTO E DISPOSIÇÃO DE RESÍDUOS; RECUPERAÇÃO DE MATERIAIS</t>
  </si>
  <si>
    <t xml:space="preserve">Salvage and Wrecking Yards</t>
  </si>
  <si>
    <t xml:space="preserve">3831-9/99</t>
  </si>
  <si>
    <t xml:space="preserve">Recuperação de materiais metálicos, exceto alumínio</t>
  </si>
  <si>
    <t xml:space="preserve">4789-0/08</t>
  </si>
  <si>
    <t xml:space="preserve">Comércio varejista de artigos fotográficos e para filmagem</t>
  </si>
  <si>
    <t xml:space="preserve">Camera and Photographic Supply Stores</t>
  </si>
  <si>
    <t xml:space="preserve">0500-3/02</t>
  </si>
  <si>
    <t xml:space="preserve">Beneficiamento de carvão mineral</t>
  </si>
  <si>
    <t xml:space="preserve">IND EXTRATIVAS</t>
  </si>
  <si>
    <t xml:space="preserve">EXTRAÇÃO DE CARVÃO MINERAL</t>
  </si>
  <si>
    <t xml:space="preserve">Fuel Dealers – Fuel Oil, Wood, Coal, and Liquefied Petroleum</t>
  </si>
  <si>
    <t xml:space="preserve">4732-6/00</t>
  </si>
  <si>
    <t xml:space="preserve">Comércio varejista de lubrificantes</t>
  </si>
  <si>
    <t xml:space="preserve">4784-9/00</t>
  </si>
  <si>
    <t xml:space="preserve">Comércio varejista de gás liqüefeito de petróleo (GLP)</t>
  </si>
  <si>
    <t xml:space="preserve">4761-0/02</t>
  </si>
  <si>
    <t xml:space="preserve">Comércio varejista de jornais e revistas</t>
  </si>
  <si>
    <t xml:space="preserve">News Dealers and Newsstands</t>
  </si>
  <si>
    <t xml:space="preserve">8122-2/00</t>
  </si>
  <si>
    <t xml:space="preserve">Imunização e controle de pragas urbanas</t>
  </si>
  <si>
    <t xml:space="preserve">SERVIÇOS PARA EDIFÍCIOS E ATIVIDADES PAISAGÍSTICAS</t>
  </si>
  <si>
    <t xml:space="preserve">Exterminating and Disinfecting Services</t>
  </si>
  <si>
    <t xml:space="preserve">7420-0/03</t>
  </si>
  <si>
    <t xml:space="preserve">Laboratórios fotográficos</t>
  </si>
  <si>
    <t xml:space="preserve">ATIV PROFISSIONAIS, CIENTÍFICAS E TÉCNICAS</t>
  </si>
  <si>
    <t xml:space="preserve">OUTRAS ATIVIDADES PROFISSIONAIS, CIENTÍFICAS E TÉCNICAS</t>
  </si>
  <si>
    <t xml:space="preserve">Photofinishing Laboratories and Photo Developing</t>
  </si>
  <si>
    <t xml:space="preserve">0111-3/01</t>
  </si>
  <si>
    <t xml:space="preserve">Cultivo de arroz</t>
  </si>
  <si>
    <t xml:space="preserve">AGRIC, PEC, PROD FLORESTAL, PESCA E AQÜICULT</t>
  </si>
  <si>
    <t xml:space="preserve">AGRICULTURA, PECUÁRIA E SERVIÇOS RELACIONADOS</t>
  </si>
  <si>
    <t xml:space="preserve">Agricultural Co-operatives</t>
  </si>
  <si>
    <t xml:space="preserve">0111-3/02</t>
  </si>
  <si>
    <t xml:space="preserve">Cultivo de milho</t>
  </si>
  <si>
    <t xml:space="preserve">0111-3/03</t>
  </si>
  <si>
    <t xml:space="preserve">Cultivo de trigo</t>
  </si>
  <si>
    <t xml:space="preserve">0111-3/99</t>
  </si>
  <si>
    <t xml:space="preserve">Cultivo de outros cereais não especificados anteriormente</t>
  </si>
  <si>
    <t xml:space="preserve">0112-1/01</t>
  </si>
  <si>
    <t xml:space="preserve">Cultivo de algodão herbáceo</t>
  </si>
  <si>
    <t xml:space="preserve">0112-1/02</t>
  </si>
  <si>
    <t xml:space="preserve">Cultivo de juta</t>
  </si>
  <si>
    <t xml:space="preserve">0112-1/99</t>
  </si>
  <si>
    <t xml:space="preserve">Cultivo de outras fibras de lavoura temporária não especificadas anteriormente</t>
  </si>
  <si>
    <t xml:space="preserve">0113-0/00</t>
  </si>
  <si>
    <t xml:space="preserve">Cultivo de cana-de-açúcar</t>
  </si>
  <si>
    <t xml:space="preserve">0114-8/00</t>
  </si>
  <si>
    <t xml:space="preserve">Cultivo de fumo</t>
  </si>
  <si>
    <t xml:space="preserve">0115-6/00</t>
  </si>
  <si>
    <t xml:space="preserve">Cultivo de soja</t>
  </si>
  <si>
    <t xml:space="preserve">0116-4/01</t>
  </si>
  <si>
    <t xml:space="preserve">Cultivo de amendoim</t>
  </si>
  <si>
    <t xml:space="preserve">0116-4/02</t>
  </si>
  <si>
    <t xml:space="preserve">Cultivo de girassol</t>
  </si>
  <si>
    <t xml:space="preserve">0116-4/03</t>
  </si>
  <si>
    <t xml:space="preserve">Cultivo de mamona</t>
  </si>
  <si>
    <t xml:space="preserve">0116-4/99</t>
  </si>
  <si>
    <t xml:space="preserve">Cultivo de outras oleaginosas de lavoura temporária não especificadas anteriormente</t>
  </si>
  <si>
    <t xml:space="preserve">0119-9/01</t>
  </si>
  <si>
    <t xml:space="preserve">Cultivo de abacaxi</t>
  </si>
  <si>
    <t xml:space="preserve">0119-9/02</t>
  </si>
  <si>
    <t xml:space="preserve">Cultivo de alho</t>
  </si>
  <si>
    <t xml:space="preserve">0119-9/03</t>
  </si>
  <si>
    <t xml:space="preserve">Cultivo de batata-inglesa</t>
  </si>
  <si>
    <t xml:space="preserve">0119-9/04</t>
  </si>
  <si>
    <t xml:space="preserve">Cultivo de cebola</t>
  </si>
  <si>
    <t xml:space="preserve">0119-9/05</t>
  </si>
  <si>
    <t xml:space="preserve">Cultivo de feijão</t>
  </si>
  <si>
    <t xml:space="preserve">0119-9/06</t>
  </si>
  <si>
    <t xml:space="preserve">Cultivo de mandioca</t>
  </si>
  <si>
    <t xml:space="preserve">0119-9/07</t>
  </si>
  <si>
    <t xml:space="preserve">Cultivo de melão</t>
  </si>
  <si>
    <t xml:space="preserve">0119-9/08</t>
  </si>
  <si>
    <t xml:space="preserve">Cultivo de melancia</t>
  </si>
  <si>
    <t xml:space="preserve">0119-9/09</t>
  </si>
  <si>
    <t xml:space="preserve">Cultivo de tomate rasteiro</t>
  </si>
  <si>
    <t xml:space="preserve">0119-9/99</t>
  </si>
  <si>
    <t xml:space="preserve">Cultivo de outras plantas de lavoura temporária não especificadas anteriormente</t>
  </si>
  <si>
    <t xml:space="preserve">0121-1/02</t>
  </si>
  <si>
    <t xml:space="preserve">Cultivo de morango</t>
  </si>
  <si>
    <t xml:space="preserve">0122-9/00</t>
  </si>
  <si>
    <t xml:space="preserve">Cultivo de flores e plantas ornamentais</t>
  </si>
  <si>
    <t xml:space="preserve">0131-8/00</t>
  </si>
  <si>
    <t xml:space="preserve">Cultivo de laranja</t>
  </si>
  <si>
    <t xml:space="preserve">0132-6/00</t>
  </si>
  <si>
    <t xml:space="preserve">Cultivo de uva</t>
  </si>
  <si>
    <t xml:space="preserve">0133-4/01</t>
  </si>
  <si>
    <t xml:space="preserve">Cultivo de açaí</t>
  </si>
  <si>
    <t xml:space="preserve">0133-4/02</t>
  </si>
  <si>
    <t xml:space="preserve">Cultivo de banana</t>
  </si>
  <si>
    <t xml:space="preserve">0133-4/03</t>
  </si>
  <si>
    <t xml:space="preserve">Cultivo de caju</t>
  </si>
  <si>
    <t xml:space="preserve">0133-4/04</t>
  </si>
  <si>
    <t xml:space="preserve">Cultivo de cítricos, exceto laranja</t>
  </si>
  <si>
    <t xml:space="preserve">0133-4/05</t>
  </si>
  <si>
    <t xml:space="preserve">Cultivo de coco-da-baía</t>
  </si>
  <si>
    <t xml:space="preserve">0133-4/06</t>
  </si>
  <si>
    <t xml:space="preserve">Cultivo de guaraná</t>
  </si>
  <si>
    <t xml:space="preserve">0133-4/07</t>
  </si>
  <si>
    <t xml:space="preserve">Cultivo de maçã</t>
  </si>
  <si>
    <t xml:space="preserve">0133-4/08</t>
  </si>
  <si>
    <t xml:space="preserve">Cultivo de mamão</t>
  </si>
  <si>
    <t xml:space="preserve">0133-4/09</t>
  </si>
  <si>
    <t xml:space="preserve">Cultivo de maracujá</t>
  </si>
  <si>
    <t xml:space="preserve">0133-4/10</t>
  </si>
  <si>
    <t xml:space="preserve">Cultivo de manga</t>
  </si>
  <si>
    <t xml:space="preserve">0133-4/11</t>
  </si>
  <si>
    <t xml:space="preserve">Cultivo de pêssego</t>
  </si>
  <si>
    <t xml:space="preserve">0133-4/99</t>
  </si>
  <si>
    <t xml:space="preserve">Cultivo de frutas de lavoura permanente não especificadas anteriormente</t>
  </si>
  <si>
    <t xml:space="preserve">0134-2/00</t>
  </si>
  <si>
    <t xml:space="preserve">Cultivo de café</t>
  </si>
  <si>
    <t xml:space="preserve">0135-1/00</t>
  </si>
  <si>
    <t xml:space="preserve">Cultivo de cacau</t>
  </si>
  <si>
    <t xml:space="preserve">0139-3/01</t>
  </si>
  <si>
    <t xml:space="preserve">Cultivo de chá-da-índia</t>
  </si>
  <si>
    <t xml:space="preserve">0139-3/02</t>
  </si>
  <si>
    <t xml:space="preserve">Cultivo de erva-mate</t>
  </si>
  <si>
    <t xml:space="preserve">0139-3/03</t>
  </si>
  <si>
    <t xml:space="preserve">Cultivo de pimenta-do-reino</t>
  </si>
  <si>
    <t xml:space="preserve">0139-3/04</t>
  </si>
  <si>
    <t xml:space="preserve">Cultivo de plantas para condimento, exceto pimenta-do-reino</t>
  </si>
  <si>
    <t xml:space="preserve">0139-3/05</t>
  </si>
  <si>
    <t xml:space="preserve">Cultivo de dendê</t>
  </si>
  <si>
    <t xml:space="preserve">0139-3/06</t>
  </si>
  <si>
    <t xml:space="preserve">Cultivo de seringueira</t>
  </si>
  <si>
    <t xml:space="preserve">0139-3/99</t>
  </si>
  <si>
    <t xml:space="preserve">Cultivo de outras plantas de lavoura permanente não especificadas anteriormente</t>
  </si>
  <si>
    <t xml:space="preserve">0141-5/01</t>
  </si>
  <si>
    <t xml:space="preserve">Produção de sementes certificadas, exceto de forrageiras para pasto</t>
  </si>
  <si>
    <t xml:space="preserve">0141-5/02</t>
  </si>
  <si>
    <t xml:space="preserve">Produção de sementes certificadas de forrageiras para formação de pasto</t>
  </si>
  <si>
    <t xml:space="preserve">0151-2/01</t>
  </si>
  <si>
    <t xml:space="preserve">Criação de bovinos para corte</t>
  </si>
  <si>
    <t xml:space="preserve">0151-2/02</t>
  </si>
  <si>
    <t xml:space="preserve">Criação de bovinos para leite</t>
  </si>
  <si>
    <t xml:space="preserve">0151-2/03</t>
  </si>
  <si>
    <t xml:space="preserve">Criação de bovinos, exceto para corte e leite</t>
  </si>
  <si>
    <t xml:space="preserve">0152-1/01</t>
  </si>
  <si>
    <t xml:space="preserve">Criação de bufalinos</t>
  </si>
  <si>
    <t xml:space="preserve">0152-1/02</t>
  </si>
  <si>
    <t xml:space="preserve">Criação de eqüinos</t>
  </si>
  <si>
    <t xml:space="preserve">0152-1/03</t>
  </si>
  <si>
    <t xml:space="preserve">Criação de asininos e muares</t>
  </si>
  <si>
    <t xml:space="preserve">0153-9/01</t>
  </si>
  <si>
    <t xml:space="preserve">Criação de caprinos</t>
  </si>
  <si>
    <t xml:space="preserve">0153-9/02</t>
  </si>
  <si>
    <t xml:space="preserve">Criação de ovinos, inclusive para produção de lã</t>
  </si>
  <si>
    <t xml:space="preserve">0154-7/00</t>
  </si>
  <si>
    <t xml:space="preserve">Criação de suínos</t>
  </si>
  <si>
    <t xml:space="preserve">0155-5/01</t>
  </si>
  <si>
    <t xml:space="preserve">Criação de frangos para corte</t>
  </si>
  <si>
    <t xml:space="preserve">0155-5/02</t>
  </si>
  <si>
    <t xml:space="preserve">Produção de pintos de um dia</t>
  </si>
  <si>
    <t xml:space="preserve">0155-5/03</t>
  </si>
  <si>
    <t xml:space="preserve">Criação de outros galináceos, exceto para corte</t>
  </si>
  <si>
    <t xml:space="preserve">0155-5/04</t>
  </si>
  <si>
    <t xml:space="preserve">Criação de aves, exceto galináceos</t>
  </si>
  <si>
    <t xml:space="preserve">0155-5/05</t>
  </si>
  <si>
    <t xml:space="preserve">Produção de ovos</t>
  </si>
  <si>
    <t xml:space="preserve">0159-8/01</t>
  </si>
  <si>
    <t xml:space="preserve">Apicultura</t>
  </si>
  <si>
    <t xml:space="preserve">0159-8/02</t>
  </si>
  <si>
    <t xml:space="preserve">Criação de animais de estimação</t>
  </si>
  <si>
    <t xml:space="preserve">0159-8/03</t>
  </si>
  <si>
    <t xml:space="preserve">Criação de escargô</t>
  </si>
  <si>
    <t xml:space="preserve">0159-8/04</t>
  </si>
  <si>
    <t xml:space="preserve">Criação de bicho-da-seda</t>
  </si>
  <si>
    <t xml:space="preserve">0159-8/99</t>
  </si>
  <si>
    <t xml:space="preserve">Criação de outros animais não especificados anteriormente</t>
  </si>
  <si>
    <t xml:space="preserve">0161-0/01</t>
  </si>
  <si>
    <t xml:space="preserve">Serviço de pulverização e controle de pragas agrícolas</t>
  </si>
  <si>
    <t xml:space="preserve">0161-0/02</t>
  </si>
  <si>
    <t xml:space="preserve">Serviço de poda de árvores para lavouras</t>
  </si>
  <si>
    <t xml:space="preserve">0161-0/03</t>
  </si>
  <si>
    <t xml:space="preserve">Serviço de preparação de terreno, cultivo e colheita</t>
  </si>
  <si>
    <t xml:space="preserve">0161-0/99</t>
  </si>
  <si>
    <t xml:space="preserve">Atividades de apoio à agricultura não especificadas anteriormente</t>
  </si>
  <si>
    <t xml:space="preserve">0162-8/02</t>
  </si>
  <si>
    <t xml:space="preserve">Serviço de tosquiamento de ovinos</t>
  </si>
  <si>
    <t xml:space="preserve">0162-8/03</t>
  </si>
  <si>
    <t xml:space="preserve">Serviço de manejo de animais</t>
  </si>
  <si>
    <t xml:space="preserve">0162-8/99</t>
  </si>
  <si>
    <t xml:space="preserve">Atividades de apoio à pecuária não especificadas anteriormente</t>
  </si>
  <si>
    <t xml:space="preserve">0163-6/00</t>
  </si>
  <si>
    <t xml:space="preserve">Atividades de pós-colheita</t>
  </si>
  <si>
    <t xml:space="preserve">0170-9/00</t>
  </si>
  <si>
    <t xml:space="preserve">Caça e serviços relacionados</t>
  </si>
  <si>
    <t xml:space="preserve">0210-1/01</t>
  </si>
  <si>
    <t xml:space="preserve">Cultivo de eucalipto</t>
  </si>
  <si>
    <t xml:space="preserve">PRODUÇÃO FLORESTAL</t>
  </si>
  <si>
    <t xml:space="preserve">0210-1/02</t>
  </si>
  <si>
    <t xml:space="preserve">Cultivo de acácia-negra</t>
  </si>
  <si>
    <t xml:space="preserve">0210-1/03</t>
  </si>
  <si>
    <t xml:space="preserve">Cultivo de pinus</t>
  </si>
  <si>
    <t xml:space="preserve">0210-1/04</t>
  </si>
  <si>
    <t xml:space="preserve">Cultivo de teca</t>
  </si>
  <si>
    <t xml:space="preserve">0210-1/05</t>
  </si>
  <si>
    <t xml:space="preserve">Cultivo de espécies madeireiras, exceto eucalipto, acácia-negra, pinus e teca</t>
  </si>
  <si>
    <t xml:space="preserve">0210-1/06</t>
  </si>
  <si>
    <t xml:space="preserve">Cultivo de mudas em viveiros florestais</t>
  </si>
  <si>
    <t xml:space="preserve">0210-1/07</t>
  </si>
  <si>
    <t xml:space="preserve">Extração de madeira em florestas plantadas</t>
  </si>
  <si>
    <t xml:space="preserve">0210-1/09</t>
  </si>
  <si>
    <t xml:space="preserve">Produção de casca de acácia-negra - florestas plantadas</t>
  </si>
  <si>
    <t xml:space="preserve">0210-1/99</t>
  </si>
  <si>
    <t xml:space="preserve">Produção de produtos não-madeireiros não especificados anteriormente em florestas plantadas</t>
  </si>
  <si>
    <t xml:space="preserve">0220-9/01</t>
  </si>
  <si>
    <t xml:space="preserve">Extração de madeira em florestas nativas</t>
  </si>
  <si>
    <t xml:space="preserve">0220-9/03</t>
  </si>
  <si>
    <t xml:space="preserve">Coleta de castanha-do-pará em florestas nativas</t>
  </si>
  <si>
    <t xml:space="preserve">0220-9/04</t>
  </si>
  <si>
    <t xml:space="preserve">Coleta de látex em florestas nativas</t>
  </si>
  <si>
    <t xml:space="preserve">0220-9/05</t>
  </si>
  <si>
    <t xml:space="preserve">Coleta de palmito em florestas nativas</t>
  </si>
  <si>
    <t xml:space="preserve">0220-9/06</t>
  </si>
  <si>
    <t xml:space="preserve">Conservação de florestas nativas</t>
  </si>
  <si>
    <t xml:space="preserve">0220-9/99</t>
  </si>
  <si>
    <t xml:space="preserve">Coleta de produtos não-madeireiros não especificados anteriormente em florestas nativas</t>
  </si>
  <si>
    <t xml:space="preserve">0230-6/00</t>
  </si>
  <si>
    <t xml:space="preserve">Atividades de apoio à produção florestal</t>
  </si>
  <si>
    <t xml:space="preserve">0311-6/01</t>
  </si>
  <si>
    <t xml:space="preserve">Pesca de peixes em água salgada</t>
  </si>
  <si>
    <t xml:space="preserve">PESCA E AQÜICULTURA</t>
  </si>
  <si>
    <t xml:space="preserve">0311-6/02</t>
  </si>
  <si>
    <t xml:space="preserve">Pesca de crustáceos e moluscos em água salgada</t>
  </si>
  <si>
    <t xml:space="preserve">0311-6/03</t>
  </si>
  <si>
    <t xml:space="preserve">Coleta de outros produtos marinhos</t>
  </si>
  <si>
    <t xml:space="preserve">0311-6/04</t>
  </si>
  <si>
    <t xml:space="preserve">Atividades de apoio à pesca em água salgada</t>
  </si>
  <si>
    <t xml:space="preserve">0312-4/01</t>
  </si>
  <si>
    <t xml:space="preserve">Pesca de peixes em água doce</t>
  </si>
  <si>
    <t xml:space="preserve">0312-4/02</t>
  </si>
  <si>
    <t xml:space="preserve">Pesca de crustáceos e moluscos em água doce</t>
  </si>
  <si>
    <t xml:space="preserve">0312-4/03</t>
  </si>
  <si>
    <t xml:space="preserve">Coleta de outros produtos aquáticos de água doce</t>
  </si>
  <si>
    <t xml:space="preserve">0312-4/04</t>
  </si>
  <si>
    <t xml:space="preserve">Atividades de apoio à pesca em água doce</t>
  </si>
  <si>
    <t xml:space="preserve">0321-3/01</t>
  </si>
  <si>
    <t xml:space="preserve">Criação de peixes em água salgada e salobra</t>
  </si>
  <si>
    <t xml:space="preserve">0321-3/02</t>
  </si>
  <si>
    <t xml:space="preserve">Criação de camarões em água salgada e salobra</t>
  </si>
  <si>
    <t xml:space="preserve">0321-3/03</t>
  </si>
  <si>
    <t xml:space="preserve">Criação de ostras e mexilhões em água salgada e salobra</t>
  </si>
  <si>
    <t xml:space="preserve">0321-3/04</t>
  </si>
  <si>
    <t xml:space="preserve">Criação de peixes ornamentais em água salgada e salobra</t>
  </si>
  <si>
    <t xml:space="preserve">0321-3/05</t>
  </si>
  <si>
    <t xml:space="preserve">Atividades de apoio à aqüicultura em água salgada e salobra</t>
  </si>
  <si>
    <t xml:space="preserve">0321-3/99</t>
  </si>
  <si>
    <t xml:space="preserve">Cultivos e semicultivos da aqüicultura em água salgada e salobra não especificados anteriormente</t>
  </si>
  <si>
    <t xml:space="preserve">0322-1/01</t>
  </si>
  <si>
    <t xml:space="preserve">Criação de peixes em água doce</t>
  </si>
  <si>
    <t xml:space="preserve">0322-1/02</t>
  </si>
  <si>
    <t xml:space="preserve">Criação de camarões em água doce</t>
  </si>
  <si>
    <t xml:space="preserve">0322-1/03</t>
  </si>
  <si>
    <t xml:space="preserve">Criação de ostras e mexilhões em água doce</t>
  </si>
  <si>
    <t xml:space="preserve">0322-1/04</t>
  </si>
  <si>
    <t xml:space="preserve">Criação de peixes ornamentais em água doce</t>
  </si>
  <si>
    <t xml:space="preserve">0322-1/05</t>
  </si>
  <si>
    <t xml:space="preserve">Ranicultura</t>
  </si>
  <si>
    <t xml:space="preserve">0322-1/06</t>
  </si>
  <si>
    <t xml:space="preserve">Criação de jacaré</t>
  </si>
  <si>
    <t xml:space="preserve">0322-1/07</t>
  </si>
  <si>
    <t xml:space="preserve">Atividades de apoio à aqüicultura em água doce</t>
  </si>
  <si>
    <t xml:space="preserve">0322-1/99</t>
  </si>
  <si>
    <t xml:space="preserve">Cultivos e semicultivos da aqüicultura em água doce não especificados anteriormente</t>
  </si>
  <si>
    <t xml:space="preserve">0892-4/03</t>
  </si>
  <si>
    <t xml:space="preserve">Refino e outros tratamentos do sal</t>
  </si>
  <si>
    <t xml:space="preserve">EXTRAÇÃO DE MINERAIS NÃO-METÁLICOS</t>
  </si>
  <si>
    <t xml:space="preserve">1061-9/01</t>
  </si>
  <si>
    <t xml:space="preserve">Beneficiamento de arroz</t>
  </si>
  <si>
    <t xml:space="preserve">1081-3/01</t>
  </si>
  <si>
    <t xml:space="preserve">Beneficiamento de café</t>
  </si>
  <si>
    <t xml:space="preserve">1081-3/02</t>
  </si>
  <si>
    <t xml:space="preserve">Torrefação e moagem de café</t>
  </si>
  <si>
    <t xml:space="preserve">1210-7/00</t>
  </si>
  <si>
    <t xml:space="preserve">Processamento industrial do fumo</t>
  </si>
  <si>
    <t xml:space="preserve">FABRICAÇÃO DE PRODUTOS DO FUMO</t>
  </si>
  <si>
    <t xml:space="preserve">4611-7/00</t>
  </si>
  <si>
    <t xml:space="preserve">Representantes comerciais e agentes do comércio de matérias-primas agrícolas e animais vivos</t>
  </si>
  <si>
    <t xml:space="preserve">4623-1/07</t>
  </si>
  <si>
    <t xml:space="preserve">Comércio atacadista de sisal</t>
  </si>
  <si>
    <t xml:space="preserve">4623-1/99</t>
  </si>
  <si>
    <t xml:space="preserve">Comércio atacadista de matérias-primas agrícolas não especificadas anteriormente</t>
  </si>
  <si>
    <t xml:space="preserve">4683-4/00</t>
  </si>
  <si>
    <t xml:space="preserve">Comércio atacadista de defensivos agrícolas, adubos, fertilizantes e corretivos do solo</t>
  </si>
  <si>
    <t xml:space="preserve">4692-3/00</t>
  </si>
  <si>
    <t xml:space="preserve">Comércio atacadista de mercadorias em geral, com predominância de insumos agropecuários</t>
  </si>
  <si>
    <t xml:space="preserve">7490-1/03</t>
  </si>
  <si>
    <t xml:space="preserve">Serviços de agronomia e de consultoria às atividades agrícolas e pecuárias</t>
  </si>
  <si>
    <t xml:space="preserve">0121-1/01</t>
  </si>
  <si>
    <t xml:space="preserve">Horticultura, exceto morango</t>
  </si>
  <si>
    <t xml:space="preserve">Landscaping and Horticultural Services</t>
  </si>
  <si>
    <t xml:space="preserve">8130-3/00</t>
  </si>
  <si>
    <t xml:space="preserve">Atividades paisagísticas</t>
  </si>
  <si>
    <t xml:space="preserve">1830-0/02</t>
  </si>
  <si>
    <t xml:space="preserve">Reprodução de vídeo em qualquer suporte</t>
  </si>
  <si>
    <t xml:space="preserve">Motion Picture and Video Tape Production and Distribution</t>
  </si>
  <si>
    <t xml:space="preserve">4649-4/07</t>
  </si>
  <si>
    <t xml:space="preserve">Comércio atacadista de filmes, CDs, DVDs, fitas e discos</t>
  </si>
  <si>
    <t xml:space="preserve">5911-1/01</t>
  </si>
  <si>
    <t xml:space="preserve">Estúdios cinematográficos</t>
  </si>
  <si>
    <t xml:space="preserve">5911-1/02</t>
  </si>
  <si>
    <t xml:space="preserve">Produção de filmes para publicidade</t>
  </si>
  <si>
    <t xml:space="preserve">5911-1/99</t>
  </si>
  <si>
    <t xml:space="preserve">Atividades de produção cinematográfica, de vídeos e de programas de televisão não especificadas anteriormente</t>
  </si>
  <si>
    <t xml:space="preserve">5912-0/01</t>
  </si>
  <si>
    <t xml:space="preserve">Serviços de dublagem</t>
  </si>
  <si>
    <t xml:space="preserve">5912-0/02</t>
  </si>
  <si>
    <t xml:space="preserve">Serviços de mixagem sonora em produção audiovisual</t>
  </si>
  <si>
    <t xml:space="preserve">5912-0/99</t>
  </si>
  <si>
    <t xml:space="preserve">Atividades de pós-produção cinematográfica, de vídeos e de programas de televisão não especificadas anteriormente</t>
  </si>
  <si>
    <t xml:space="preserve">5913-8/00</t>
  </si>
  <si>
    <t xml:space="preserve">Distribuição cinematográfica, de vídeo e de programas de televisão</t>
  </si>
  <si>
    <t xml:space="preserve">8690-9/03</t>
  </si>
  <si>
    <t xml:space="preserve">Atividades de acupuntura</t>
  </si>
  <si>
    <t xml:space="preserve">Osteopaths</t>
  </si>
  <si>
    <t xml:space="preserve">7120-1/00</t>
  </si>
  <si>
    <t xml:space="preserve">Testes e análises técnicas</t>
  </si>
  <si>
    <t xml:space="preserve">SERVIÇOS DE ARQUITETURA E ENGENHARIA; TESTES E ANÁLISES TÉCNICAS</t>
  </si>
  <si>
    <t xml:space="preserve">Testing Laboratories (Non–Medical)</t>
  </si>
  <si>
    <t xml:space="preserve">3530-1/00</t>
  </si>
  <si>
    <t xml:space="preserve">Produção e distribuição de vapor, água quente e ar condicionado</t>
  </si>
  <si>
    <t xml:space="preserve">ELETRICIDADE E GÁS</t>
  </si>
  <si>
    <t xml:space="preserve">ELETRICIDADE, GÁS E OUTRAS UTILIDADES</t>
  </si>
  <si>
    <t xml:space="preserve">Air Conditioning, Heating, and Plumbing Contractors</t>
  </si>
  <si>
    <t xml:space="preserve">4322-3/01</t>
  </si>
  <si>
    <t xml:space="preserve">Instalações hidráulicas, sanitárias e de gás</t>
  </si>
  <si>
    <t xml:space="preserve">CONSTRUÇÃO</t>
  </si>
  <si>
    <t xml:space="preserve">SERVIÇOS ESPECIALIZADOS PARA CONSTRUÇÃO</t>
  </si>
  <si>
    <t xml:space="preserve">Heating, Plumbing, and Air Conditioning Contractors</t>
  </si>
  <si>
    <t xml:space="preserve">4322-3/02</t>
  </si>
  <si>
    <t xml:space="preserve">Instalação e manutenção de sistemas centrais de ar condicionado, de ventilação e refrigeração</t>
  </si>
  <si>
    <t xml:space="preserve">4322-3/03</t>
  </si>
  <si>
    <t xml:space="preserve">Instalações de sistema de prevenção contra incêndio</t>
  </si>
  <si>
    <t xml:space="preserve">4221-9/05</t>
  </si>
  <si>
    <t xml:space="preserve">Manutenção de estações e redes de telecomunicações</t>
  </si>
  <si>
    <t xml:space="preserve">OBRAS DE INFRA-ESTRUTURA</t>
  </si>
  <si>
    <t xml:space="preserve">Electrical Contractors</t>
  </si>
  <si>
    <t xml:space="preserve">4321-5/00</t>
  </si>
  <si>
    <t xml:space="preserve">Instalação e manutenção elétrica</t>
  </si>
  <si>
    <t xml:space="preserve">4329-1/04</t>
  </si>
  <si>
    <t xml:space="preserve">Montagem e instalação de sistemas e equipamentos de iluminação e sinalização em vias públicas, portos e aeroportos</t>
  </si>
  <si>
    <t xml:space="preserve">2052-5/00</t>
  </si>
  <si>
    <t xml:space="preserve">Fabricação de desinfestantes domissanitários</t>
  </si>
  <si>
    <t xml:space="preserve">Specialty Cleaning, Polishing and Sanitation Preparations</t>
  </si>
  <si>
    <t xml:space="preserve">2061-4/00</t>
  </si>
  <si>
    <t xml:space="preserve">Fabricação de sabões e detergentes sintéticos</t>
  </si>
  <si>
    <t xml:space="preserve">Sanitation, Polishing, and Specialty Cleaning Preparations</t>
  </si>
  <si>
    <t xml:space="preserve">2062-2/00</t>
  </si>
  <si>
    <t xml:space="preserve">Fabricação de produtos de limpeza e polimento</t>
  </si>
  <si>
    <t xml:space="preserve">4649-4/08</t>
  </si>
  <si>
    <t xml:space="preserve">Comércio atacadista de produtos de higiene, limpeza e conservação domiciliar</t>
  </si>
  <si>
    <t xml:space="preserve">4649-4/09</t>
  </si>
  <si>
    <t xml:space="preserve">Comércio atacadista de produtos de higiene, limpeza e conservação domiciliar, com atividade de fracionamento e acondicionamento associada</t>
  </si>
  <si>
    <t xml:space="preserve">4911-6/00</t>
  </si>
  <si>
    <t xml:space="preserve">Transporte ferroviário de carga</t>
  </si>
  <si>
    <t xml:space="preserve">Railroads B</t>
  </si>
  <si>
    <t xml:space="preserve">4912-4/02</t>
  </si>
  <si>
    <t xml:space="preserve">Transporte ferroviário de passageiros municipal e em região metropolitana</t>
  </si>
  <si>
    <t xml:space="preserve">Transportation—Suburban and Local Commuter Passenger,Including</t>
  </si>
  <si>
    <t xml:space="preserve">4912-4/03</t>
  </si>
  <si>
    <t xml:space="preserve">Transporte metroviário</t>
  </si>
  <si>
    <t xml:space="preserve">5011-4/02</t>
  </si>
  <si>
    <t xml:space="preserve">Transporte marítimo de cabotagem - passageiros</t>
  </si>
  <si>
    <t xml:space="preserve">TRANSPORTE AQUAVIÁRIO</t>
  </si>
  <si>
    <t xml:space="preserve">Local and Suburban Commuter Passenger Transportation, Including Ferries</t>
  </si>
  <si>
    <t xml:space="preserve">5091-2/02</t>
  </si>
  <si>
    <t xml:space="preserve">Transporte por navegação de travessia intermunicipal, interestadual e internacional</t>
  </si>
  <si>
    <t xml:space="preserve">5099-8/01</t>
  </si>
  <si>
    <t xml:space="preserve">Transporte aquaviário para passeios turísticos</t>
  </si>
  <si>
    <t xml:space="preserve">5099-8/99</t>
  </si>
  <si>
    <t xml:space="preserve">Outros transportes aquaviários não especificados anteriormente</t>
  </si>
  <si>
    <t xml:space="preserve">5222-2/00</t>
  </si>
  <si>
    <t xml:space="preserve">Terminais rodoviários e ferroviários</t>
  </si>
  <si>
    <t xml:space="preserve">5250-8/03</t>
  </si>
  <si>
    <t xml:space="preserve">Agenciamento de cargas, exceto para o transporte marítimo</t>
  </si>
  <si>
    <t xml:space="preserve">Courier Services – Air and Ground, and Freight Forwarders</t>
  </si>
  <si>
    <t xml:space="preserve">5250-8/04</t>
  </si>
  <si>
    <t xml:space="preserve">Organização logística do transporte de carga</t>
  </si>
  <si>
    <t xml:space="preserve">5250-8/05</t>
  </si>
  <si>
    <t xml:space="preserve">Operador de transporte multimodal - OTM</t>
  </si>
  <si>
    <t xml:space="preserve">5320-2/01</t>
  </si>
  <si>
    <t xml:space="preserve">Serviços de malote não realizados pelo Correio Nacional</t>
  </si>
  <si>
    <t xml:space="preserve">CORREIO E OUTRAS ATIVIDADES DE ENTREGA</t>
  </si>
  <si>
    <t xml:space="preserve">5320-2/02</t>
  </si>
  <si>
    <t xml:space="preserve">Serviços de entrega rápida</t>
  </si>
  <si>
    <t xml:space="preserve">7719-5/01</t>
  </si>
  <si>
    <t xml:space="preserve">Locação de embarcações sem tripulação, exceto para fins recreativos</t>
  </si>
  <si>
    <t xml:space="preserve">ALUGUÉIS NÃO-IMOBILIÁRIOS E GESTÃO DE ATIVOS INTANGÍVEIS NÃO-FINANCEIROS</t>
  </si>
  <si>
    <t xml:space="preserve">Boat Rentals and Leasing</t>
  </si>
  <si>
    <t xml:space="preserve">5221-4/00</t>
  </si>
  <si>
    <t xml:space="preserve">Concessionárias de rodovias, pontes, túneis e serviços relacionados</t>
  </si>
  <si>
    <t xml:space="preserve">Tolls and Bridge Fees</t>
  </si>
  <si>
    <t xml:space="preserve">4924-8/00</t>
  </si>
  <si>
    <t xml:space="preserve">Transporte escolar</t>
  </si>
  <si>
    <t xml:space="preserve">4929-9/99</t>
  </si>
  <si>
    <t xml:space="preserve">Outros transportes rodoviários de passageiros não especificados anteriormente</t>
  </si>
  <si>
    <t xml:space="preserve">4940-0/00</t>
  </si>
  <si>
    <t xml:space="preserve">Transporte dutoviário</t>
  </si>
  <si>
    <t xml:space="preserve">4950-7/00</t>
  </si>
  <si>
    <t xml:space="preserve">Trens turísticos, teleféricos e similares</t>
  </si>
  <si>
    <t xml:space="preserve">5011-4/01</t>
  </si>
  <si>
    <t xml:space="preserve">Transporte marítimo de cabotagem - Carga</t>
  </si>
  <si>
    <t xml:space="preserve">5012-2/01</t>
  </si>
  <si>
    <t xml:space="preserve">Transporte marítimo de longo curso - Carga</t>
  </si>
  <si>
    <t xml:space="preserve">5021-1/01</t>
  </si>
  <si>
    <t xml:space="preserve">Transporte por navegação interior de carga, municipal, exceto travessia</t>
  </si>
  <si>
    <t xml:space="preserve">5021-1/02</t>
  </si>
  <si>
    <t xml:space="preserve">Transporte por navegação interior de carga, intermunicipal, interestadual e internacional, exceto travessia</t>
  </si>
  <si>
    <t xml:space="preserve">5022-0/01</t>
  </si>
  <si>
    <t xml:space="preserve">Transporte por navegação interior de passageiros em linhas regulares, municipal, exceto travessia</t>
  </si>
  <si>
    <t xml:space="preserve">5022-0/02</t>
  </si>
  <si>
    <t xml:space="preserve">Transporte por navegação interior de passageiros em linhas regulares, intermunicipal, interestadual e internacional, exceto travessia</t>
  </si>
  <si>
    <t xml:space="preserve">5030-1/01</t>
  </si>
  <si>
    <t xml:space="preserve">Navegação de apoio marítimo</t>
  </si>
  <si>
    <t xml:space="preserve">5030-1/02</t>
  </si>
  <si>
    <t xml:space="preserve">Navegação de apoio portuário</t>
  </si>
  <si>
    <t xml:space="preserve">5091-2/01</t>
  </si>
  <si>
    <t xml:space="preserve">Transporte por navegação de travessia, municipal</t>
  </si>
  <si>
    <t xml:space="preserve">5130-7/00</t>
  </si>
  <si>
    <t xml:space="preserve">Transporte espacial</t>
  </si>
  <si>
    <t xml:space="preserve">TRANSPORTE AÉREO</t>
  </si>
  <si>
    <t xml:space="preserve">5229-0/99</t>
  </si>
  <si>
    <t xml:space="preserve">Outras atividades auxiliares dos transportes terrestres não especificadas anteriormente</t>
  </si>
  <si>
    <t xml:space="preserve">4752-1/00</t>
  </si>
  <si>
    <t xml:space="preserve">Comércio varejista especializado de equipamentos de telefonia e comunicação</t>
  </si>
  <si>
    <t xml:space="preserve">Telecommunication Equipment and Telephone Sales</t>
  </si>
  <si>
    <t xml:space="preserve">6010-1/00</t>
  </si>
  <si>
    <t xml:space="preserve">Atividades de rádio</t>
  </si>
  <si>
    <t xml:space="preserve">ATIVIDADES DE RÁDIO E DE TELEVISÃO</t>
  </si>
  <si>
    <t xml:space="preserve">Cable, Satellite and Other Pay Television and Radio Services</t>
  </si>
  <si>
    <t xml:space="preserve">6021-7/00</t>
  </si>
  <si>
    <t xml:space="preserve">Atividades de televisão aberta</t>
  </si>
  <si>
    <t xml:space="preserve">6022-5/01</t>
  </si>
  <si>
    <t xml:space="preserve">Programadoras</t>
  </si>
  <si>
    <t xml:space="preserve">6022-5/02</t>
  </si>
  <si>
    <t xml:space="preserve">Atividades relacionadas à televisão por assinatura, exceto programadoras</t>
  </si>
  <si>
    <t xml:space="preserve">6141-8/00</t>
  </si>
  <si>
    <t xml:space="preserve">Operadoras de televisão por assinatura por cabo</t>
  </si>
  <si>
    <t xml:space="preserve">TELECOMUNICAÇÕES</t>
  </si>
  <si>
    <t xml:space="preserve">6142-6/00</t>
  </si>
  <si>
    <t xml:space="preserve">Operadoras de televisão por assinatura por microondas</t>
  </si>
  <si>
    <t xml:space="preserve">6143-4/00</t>
  </si>
  <si>
    <t xml:space="preserve">Operadoras de televisão por assinatura por satélite</t>
  </si>
  <si>
    <t xml:space="preserve">2221-8/00</t>
  </si>
  <si>
    <t xml:space="preserve">Fabricação de laminados planos e tubulares de material plástico</t>
  </si>
  <si>
    <t xml:space="preserve">Construction Materials (Not Elsewhere Classified)</t>
  </si>
  <si>
    <t xml:space="preserve">2223-4/00</t>
  </si>
  <si>
    <t xml:space="preserve">Fabricação de tubos e acessórios de material plástico para uso na construção</t>
  </si>
  <si>
    <t xml:space="preserve">2229-3/03</t>
  </si>
  <si>
    <t xml:space="preserve">Fabricação de artefatos de material plástico para uso na construção, exceto tubos e acessórios</t>
  </si>
  <si>
    <t xml:space="preserve">2311-7/00</t>
  </si>
  <si>
    <t xml:space="preserve">Fabricação de vidro plano e de segurança</t>
  </si>
  <si>
    <t xml:space="preserve">2312-5/00</t>
  </si>
  <si>
    <t xml:space="preserve">Fabricação de embalagens de vidro</t>
  </si>
  <si>
    <t xml:space="preserve">2319-2/00</t>
  </si>
  <si>
    <t xml:space="preserve">Fabricação de artigos de vidro</t>
  </si>
  <si>
    <t xml:space="preserve">2320-6/00</t>
  </si>
  <si>
    <t xml:space="preserve">Fabricação de cimento</t>
  </si>
  <si>
    <t xml:space="preserve">2330-3/01</t>
  </si>
  <si>
    <t xml:space="preserve">Fabricação de estruturas pré-moldadas de concreto armado, em série e sob encomenda</t>
  </si>
  <si>
    <t xml:space="preserve">2330-3/02</t>
  </si>
  <si>
    <t xml:space="preserve">Fabricação de artefatos de cimento para uso na construção</t>
  </si>
  <si>
    <t xml:space="preserve">2330-3/03</t>
  </si>
  <si>
    <t xml:space="preserve">Fabricação de artefatos de fibrocimento para uso na construção</t>
  </si>
  <si>
    <t xml:space="preserve">2330-3/04</t>
  </si>
  <si>
    <t xml:space="preserve">Fabricação de casas pré-moldadas de concreto</t>
  </si>
  <si>
    <t xml:space="preserve">2330-3/99</t>
  </si>
  <si>
    <t xml:space="preserve">Fabricação de outros artefatos e produtos de concreto, cimento, fibrocimento, gesso e materiais semelhantes</t>
  </si>
  <si>
    <t xml:space="preserve">2341-9/00</t>
  </si>
  <si>
    <t xml:space="preserve">Fabricação de produtos cerâmicos refratários</t>
  </si>
  <si>
    <t xml:space="preserve">2342-7/01</t>
  </si>
  <si>
    <t xml:space="preserve">Fabricação de azulejos e pisos</t>
  </si>
  <si>
    <t xml:space="preserve">2342-7/02</t>
  </si>
  <si>
    <t xml:space="preserve">Fabricação de artefatos de cerâmica e barro cozido para uso na construção, exceto azulejos e pisos</t>
  </si>
  <si>
    <t xml:space="preserve">2349-4/01</t>
  </si>
  <si>
    <t xml:space="preserve">Fabricação de material sanitário de cerâmica</t>
  </si>
  <si>
    <t xml:space="preserve">2349-4/99</t>
  </si>
  <si>
    <t xml:space="preserve">Fabricação de produtos cerâmicos não-refratários não especificados anteriormente</t>
  </si>
  <si>
    <t xml:space="preserve">2391-5/01</t>
  </si>
  <si>
    <t xml:space="preserve">Britamento de pedras, exceto associado à extração</t>
  </si>
  <si>
    <t xml:space="preserve">2392-3/00</t>
  </si>
  <si>
    <t xml:space="preserve">Fabricação de cal e gesso</t>
  </si>
  <si>
    <t xml:space="preserve">4613-3/00</t>
  </si>
  <si>
    <t xml:space="preserve">Representantes comerciais e agentes do comércio de madeira, material de construção e ferragens</t>
  </si>
  <si>
    <t xml:space="preserve">4674-5/00</t>
  </si>
  <si>
    <t xml:space="preserve">Comércio atacadista de cimento</t>
  </si>
  <si>
    <t xml:space="preserve">4679-6/02</t>
  </si>
  <si>
    <t xml:space="preserve">Comércio atacadista de mármores e granitos</t>
  </si>
  <si>
    <t xml:space="preserve">4679-6/03</t>
  </si>
  <si>
    <t xml:space="preserve">Comércio atacadista de vidros, espelhos e vitrais</t>
  </si>
  <si>
    <t xml:space="preserve">4679-6/04</t>
  </si>
  <si>
    <t xml:space="preserve">Comércio atacadista especializado de materiais de construção não especificados anteriormente</t>
  </si>
  <si>
    <t xml:space="preserve">4679-6/99</t>
  </si>
  <si>
    <t xml:space="preserve">Comércio atacadista de materiais de construção em geral</t>
  </si>
  <si>
    <t xml:space="preserve">2751-1/00</t>
  </si>
  <si>
    <t xml:space="preserve">Fabricação de fogões, refrigeradores e máquinas de lavar e secar para uso doméstico, peças e acessórios</t>
  </si>
  <si>
    <t xml:space="preserve">FABRICAÇÃO DE MÁQUINAS, APARELHOS E MATERIAIS ELÉTRICOS</t>
  </si>
  <si>
    <t xml:space="preserve">Commercial Equipment (Not Elsewhere Classified )</t>
  </si>
  <si>
    <t xml:space="preserve">2759-7/99</t>
  </si>
  <si>
    <t xml:space="preserve">Fabricação de outros aparelhos eletrodomésticos não especificados anteriormente, peças e acessórios</t>
  </si>
  <si>
    <t xml:space="preserve">2815-1/02</t>
  </si>
  <si>
    <t xml:space="preserve">Fabricação de equipamentos de transmissão para fins industriais, exceto rolamentos</t>
  </si>
  <si>
    <t xml:space="preserve">2821-6/01</t>
  </si>
  <si>
    <t xml:space="preserve">Fabricação de fornos industriais, aparelhos e equipamentos não-elétricos para instalações térmicas, peças e acessórios</t>
  </si>
  <si>
    <t xml:space="preserve">2821-6/02</t>
  </si>
  <si>
    <t xml:space="preserve">Fabricação de estufas e fornos elétricos para fins industriais, peças e acessórios</t>
  </si>
  <si>
    <t xml:space="preserve">2822-4/01</t>
  </si>
  <si>
    <t xml:space="preserve">Fabricação de máquinas, equipamentos e aparelhos para transporte e elevação de pessoas, peças e acessórios</t>
  </si>
  <si>
    <t xml:space="preserve">2822-4/02</t>
  </si>
  <si>
    <t xml:space="preserve">Fabricação de máquinas, equipamentos e aparelhos para transporte e elevação de cargas, peças e acessórios</t>
  </si>
  <si>
    <t xml:space="preserve">2823-2/00</t>
  </si>
  <si>
    <t xml:space="preserve">Fabricação de máquinas e aparelhos de refrigeração e ventilação para uso industrial e comercial, peças e acessórios</t>
  </si>
  <si>
    <t xml:space="preserve">2824-1/01</t>
  </si>
  <si>
    <t xml:space="preserve">Fabricação de aparelhos e equipamentos de ar condicionado para uso industrial</t>
  </si>
  <si>
    <t xml:space="preserve">2824-1/02</t>
  </si>
  <si>
    <t xml:space="preserve">Fabricação de aparelhos e equipamentos de ar condicionado para uso não-industrial</t>
  </si>
  <si>
    <t xml:space="preserve">2825-9/00</t>
  </si>
  <si>
    <t xml:space="preserve">Fabricação de máquinas e equipamentos para saneamento básico e ambiental, peças e acessórios</t>
  </si>
  <si>
    <t xml:space="preserve">2829-1/99</t>
  </si>
  <si>
    <t xml:space="preserve">Fabricação de outras máquinas e equipamentos de uso geral não especificados anteriormente, peças e acessórios</t>
  </si>
  <si>
    <t xml:space="preserve">2840-2/00</t>
  </si>
  <si>
    <t xml:space="preserve">Fabricação de máquinas-ferramenta, peças e acessórios</t>
  </si>
  <si>
    <t xml:space="preserve">2851-8/00</t>
  </si>
  <si>
    <t xml:space="preserve">Fabricação de máquinas e equipamentos para a prospecção e extração de petróleo, peças e acessórios</t>
  </si>
  <si>
    <t xml:space="preserve">2852-6/00</t>
  </si>
  <si>
    <t xml:space="preserve">Fabricação de outras máquinas e equipamentos para uso na extração mineral, peças e acessórios, exceto na extração de petróleo</t>
  </si>
  <si>
    <t xml:space="preserve">2861-5/00</t>
  </si>
  <si>
    <t xml:space="preserve">Fabricação de máquinas para a indústria metalúrgica, peças e acessórios, exceto máquinas-ferramenta</t>
  </si>
  <si>
    <t xml:space="preserve">2862-3/00</t>
  </si>
  <si>
    <t xml:space="preserve">Fabricação de máquinas e equipamentos para as indústrias de alimentos, bebidas e fumo, peças e acessórios</t>
  </si>
  <si>
    <t xml:space="preserve">2863-1/00</t>
  </si>
  <si>
    <t xml:space="preserve">Fabricação de máquinas e equipamentos para a indústria têxtil, peças e acessórios</t>
  </si>
  <si>
    <t xml:space="preserve">2864-0/00</t>
  </si>
  <si>
    <t xml:space="preserve">Fabricação de máquinas e equipamentos para as indústrias do vestuário, do couro e de calçados, peças e acessórios</t>
  </si>
  <si>
    <t xml:space="preserve">2865-8/00</t>
  </si>
  <si>
    <t xml:space="preserve">Fabricação de máquinas e equipamentos para as indústrias de celulose, papel e papelão e artefatos, peças e acessórios</t>
  </si>
  <si>
    <t xml:space="preserve">2866-6/00</t>
  </si>
  <si>
    <t xml:space="preserve">Fabricação de máquinas e equipamentos para a indústria do plástico, peças e acessórios</t>
  </si>
  <si>
    <t xml:space="preserve">2869-1/00</t>
  </si>
  <si>
    <t xml:space="preserve">Fabricação de máquinas e equipamentos para uso industrial específico não especificados anteriormente, peças e acessórios</t>
  </si>
  <si>
    <t xml:space="preserve">4665-6/00</t>
  </si>
  <si>
    <t xml:space="preserve">Comércio atacadista de máquinas e equipamentos para uso comercial; partes e peças</t>
  </si>
  <si>
    <t xml:space="preserve">4669-9/99</t>
  </si>
  <si>
    <t xml:space="preserve">Comércio atacadista de outras máquinas e equipamentos não especificados anteriormente; partes e peças</t>
  </si>
  <si>
    <t xml:space="preserve">2660-4/00</t>
  </si>
  <si>
    <t xml:space="preserve">Fabricação de aparelhos eletromédicos e eletroterapêuticos e equipamentos de irradiação</t>
  </si>
  <si>
    <t xml:space="preserve">Dental/Laboratory/Medical/Ophthalmic Hospital Equipment and</t>
  </si>
  <si>
    <t xml:space="preserve">3250-7/01</t>
  </si>
  <si>
    <t xml:space="preserve">Fabricação de instrumentos não-eletrônicos e utensílios para uso médico, cirúrgico, odontológico e de laboratório</t>
  </si>
  <si>
    <t xml:space="preserve">Medical, Dental, Ophthalmic and Hospital Equipment and Supplies</t>
  </si>
  <si>
    <t xml:space="preserve">3250-7/02</t>
  </si>
  <si>
    <t xml:space="preserve">Fabricação de mobiliário para uso médico, cirúrgico, odontológico e de laboratório</t>
  </si>
  <si>
    <t xml:space="preserve">3250-7/03</t>
  </si>
  <si>
    <t xml:space="preserve">Fabricação de aparelhos e utensílios para correção de defeitos físicos e aparelhos ortopédicos em geral sob encomenda</t>
  </si>
  <si>
    <t xml:space="preserve">3250-7/04</t>
  </si>
  <si>
    <t xml:space="preserve">Fabricação de aparelhos e utensílios para correção de defeitos físicos e aparelhos ortopédicos em geral, exceto sob encomenda</t>
  </si>
  <si>
    <t xml:space="preserve">3250-7/05</t>
  </si>
  <si>
    <t xml:space="preserve">Fabricação de materiais para medicina e odontologia</t>
  </si>
  <si>
    <t xml:space="preserve">3250-7/07</t>
  </si>
  <si>
    <t xml:space="preserve">Fabricação de artigos ópticos</t>
  </si>
  <si>
    <t xml:space="preserve">4618-4/02</t>
  </si>
  <si>
    <t xml:space="preserve">Representantes comerciais e agentes do comércio de instrumentos e materiais odonto-médico-hospitalares</t>
  </si>
  <si>
    <t xml:space="preserve">4645-1/01</t>
  </si>
  <si>
    <t xml:space="preserve">Comércio atacadista de instrumentos e materiais para uso médico, cirúrgico, hospitalar e de laboratórios</t>
  </si>
  <si>
    <t xml:space="preserve">4645-1/02</t>
  </si>
  <si>
    <t xml:space="preserve">Comércio atacadista de próteses e artigos de ortopedia</t>
  </si>
  <si>
    <t xml:space="preserve">4645-1/03</t>
  </si>
  <si>
    <t xml:space="preserve">Comércio atacadista de produtos odontológicos</t>
  </si>
  <si>
    <t xml:space="preserve">4664-8/00</t>
  </si>
  <si>
    <t xml:space="preserve">Comércio atacadista de máquinas, aparelhos e equipamentos para uso odonto-médico-hospitalar; partes e peças</t>
  </si>
  <si>
    <t xml:space="preserve">0710-3/01</t>
  </si>
  <si>
    <t xml:space="preserve">Extração de minério de ferro</t>
  </si>
  <si>
    <t xml:space="preserve">EXTRAÇÃO DE MINERAIS METÁLICOS</t>
  </si>
  <si>
    <t xml:space="preserve">Metal Service Centers and Offices</t>
  </si>
  <si>
    <t xml:space="preserve">0710-3/02</t>
  </si>
  <si>
    <t xml:space="preserve">Pelotização, sinterização e outros beneficiamentos de minério de ferro</t>
  </si>
  <si>
    <t xml:space="preserve">0721-9/01</t>
  </si>
  <si>
    <t xml:space="preserve">Extração de minério de alumínio</t>
  </si>
  <si>
    <t xml:space="preserve">0721-9/02</t>
  </si>
  <si>
    <t xml:space="preserve">Beneficiamento de minério de alumínio</t>
  </si>
  <si>
    <t xml:space="preserve">0722-7/01</t>
  </si>
  <si>
    <t xml:space="preserve">Extração de minério de estanho</t>
  </si>
  <si>
    <t xml:space="preserve">0722-7/02</t>
  </si>
  <si>
    <t xml:space="preserve">Beneficiamento de minério de estanho</t>
  </si>
  <si>
    <t xml:space="preserve">0723-5/01</t>
  </si>
  <si>
    <t xml:space="preserve">Extração de minério de manganês</t>
  </si>
  <si>
    <t xml:space="preserve">0723-5/02</t>
  </si>
  <si>
    <t xml:space="preserve">Beneficiamento de minério de manganês</t>
  </si>
  <si>
    <t xml:space="preserve">0725-1/00</t>
  </si>
  <si>
    <t xml:space="preserve">Extração de minerais radioativos</t>
  </si>
  <si>
    <t xml:space="preserve">0729-4/01</t>
  </si>
  <si>
    <t xml:space="preserve">Extração de minérios de nióbio e titânio</t>
  </si>
  <si>
    <t xml:space="preserve">0729-4/02</t>
  </si>
  <si>
    <t xml:space="preserve">Extração de minério de tungstênio</t>
  </si>
  <si>
    <t xml:space="preserve">0729-4/03</t>
  </si>
  <si>
    <t xml:space="preserve">Extração de minério de níquel</t>
  </si>
  <si>
    <t xml:space="preserve">0729-4/04</t>
  </si>
  <si>
    <t xml:space="preserve">Extração de minérios de cobre, chumbo, zinco e outros minerais metálicos não-ferrosos não especificados anteriormente</t>
  </si>
  <si>
    <t xml:space="preserve">0729-4/05</t>
  </si>
  <si>
    <t xml:space="preserve">Beneficiamento de minérios de cobre, chumbo, zinco e outros minerais metálicos não-ferrosos não especificados anteriormente</t>
  </si>
  <si>
    <t xml:space="preserve">0990-4/01</t>
  </si>
  <si>
    <t xml:space="preserve">Atividades de apoio à extração de minério de ferro</t>
  </si>
  <si>
    <t xml:space="preserve">ATIVIDADES DE APOIO À EXTRAÇÃO DE MINERAIS</t>
  </si>
  <si>
    <t xml:space="preserve">0990-4/02</t>
  </si>
  <si>
    <t xml:space="preserve">Atividades de apoio à extração de minerais metálicos não-ferrosos</t>
  </si>
  <si>
    <t xml:space="preserve">2411-3/00</t>
  </si>
  <si>
    <t xml:space="preserve">Produção de ferro-gusa</t>
  </si>
  <si>
    <t xml:space="preserve">METALURGIA</t>
  </si>
  <si>
    <t xml:space="preserve">2412-1/00</t>
  </si>
  <si>
    <t xml:space="preserve">Produção de ferroligas</t>
  </si>
  <si>
    <t xml:space="preserve">2421-1/00</t>
  </si>
  <si>
    <t xml:space="preserve">Produção de semi-acabados de aço</t>
  </si>
  <si>
    <t xml:space="preserve">2422-9/01</t>
  </si>
  <si>
    <t xml:space="preserve">Produção de laminados planos de aço ao carbono, revestidos ou não</t>
  </si>
  <si>
    <t xml:space="preserve">2422-9/02</t>
  </si>
  <si>
    <t xml:space="preserve">Produção de laminados planos de aços especiais</t>
  </si>
  <si>
    <t xml:space="preserve">2423-7/01</t>
  </si>
  <si>
    <t xml:space="preserve">Produção de tubos de aço sem costura</t>
  </si>
  <si>
    <t xml:space="preserve">2423-7/02</t>
  </si>
  <si>
    <t xml:space="preserve">Produção de laminados longos de aço, exceto tubos</t>
  </si>
  <si>
    <t xml:space="preserve">2424-5/01</t>
  </si>
  <si>
    <t xml:space="preserve">Produção de arames de aço</t>
  </si>
  <si>
    <t xml:space="preserve">2424-5/02</t>
  </si>
  <si>
    <t xml:space="preserve">Produção de relaminados, trefilados e perfilados de aço, exceto arames</t>
  </si>
  <si>
    <t xml:space="preserve">2431-8/00</t>
  </si>
  <si>
    <t xml:space="preserve">Produção de tubos de aço com costura</t>
  </si>
  <si>
    <t xml:space="preserve">2439-3/00</t>
  </si>
  <si>
    <t xml:space="preserve">Produção de outros tubos de ferro e aço</t>
  </si>
  <si>
    <t xml:space="preserve">2441-5/01</t>
  </si>
  <si>
    <t xml:space="preserve">Produção de alumínio e suas ligas em formas primárias</t>
  </si>
  <si>
    <t xml:space="preserve">2441-5/02</t>
  </si>
  <si>
    <t xml:space="preserve">Produção de laminados de alumínio</t>
  </si>
  <si>
    <t xml:space="preserve">2442-3/00</t>
  </si>
  <si>
    <t xml:space="preserve">Metalurgia dos metais preciosos</t>
  </si>
  <si>
    <t xml:space="preserve">2443-1/00</t>
  </si>
  <si>
    <t xml:space="preserve">Metalurgia do cobre</t>
  </si>
  <si>
    <t xml:space="preserve">2449-1/01</t>
  </si>
  <si>
    <t xml:space="preserve">Produção de zinco em formas primárias</t>
  </si>
  <si>
    <t xml:space="preserve">2449-1/02</t>
  </si>
  <si>
    <t xml:space="preserve">Produção de laminados de zinco</t>
  </si>
  <si>
    <t xml:space="preserve">2449-1/03</t>
  </si>
  <si>
    <t xml:space="preserve">Produção de ânodos para galvanoplastia</t>
  </si>
  <si>
    <t xml:space="preserve">2449-1/99</t>
  </si>
  <si>
    <t xml:space="preserve">Metalurgia de outros metais não-ferrosos e suas ligas não especificados anteriormente</t>
  </si>
  <si>
    <t xml:space="preserve">2451-2/00</t>
  </si>
  <si>
    <t xml:space="preserve">Fundição de ferro e aço</t>
  </si>
  <si>
    <t xml:space="preserve">2452-1/00</t>
  </si>
  <si>
    <t xml:space="preserve">Fundição de metais não-ferrosos e suas ligas</t>
  </si>
  <si>
    <t xml:space="preserve">2511-0/00</t>
  </si>
  <si>
    <t xml:space="preserve">Fabricação de estruturas metálicas</t>
  </si>
  <si>
    <t xml:space="preserve">2512-8/00</t>
  </si>
  <si>
    <t xml:space="preserve">Fabricação de esquadrias de metal</t>
  </si>
  <si>
    <t xml:space="preserve">2521-7/00</t>
  </si>
  <si>
    <t xml:space="preserve">Fabricação de tanques, reservatórios metálicos e caldeiras para aquecimento central</t>
  </si>
  <si>
    <t xml:space="preserve">2531-4/01</t>
  </si>
  <si>
    <t xml:space="preserve">Produção de forjados de aço</t>
  </si>
  <si>
    <t xml:space="preserve">2531-4/02</t>
  </si>
  <si>
    <t xml:space="preserve">Produção de forjados de metais não-ferrosos e suas ligas</t>
  </si>
  <si>
    <t xml:space="preserve">2532-2/01</t>
  </si>
  <si>
    <t xml:space="preserve">Produção de artefatos estampados de metal</t>
  </si>
  <si>
    <t xml:space="preserve">2532-2/02</t>
  </si>
  <si>
    <t xml:space="preserve">Metalurgia do pó</t>
  </si>
  <si>
    <t xml:space="preserve">2539-0/01</t>
  </si>
  <si>
    <t xml:space="preserve">Serviços de usinagem, tornearia e solda</t>
  </si>
  <si>
    <t xml:space="preserve">2539-0/02</t>
  </si>
  <si>
    <t xml:space="preserve">Serviços de tratamento e revestimento em metais</t>
  </si>
  <si>
    <t xml:space="preserve">2541-1/00</t>
  </si>
  <si>
    <t xml:space="preserve">Fabricação de artigos de cutelaria</t>
  </si>
  <si>
    <t xml:space="preserve">2591-8/00</t>
  </si>
  <si>
    <t xml:space="preserve">Fabricação de embalagens metálicas</t>
  </si>
  <si>
    <t xml:space="preserve">2592-6/01</t>
  </si>
  <si>
    <t xml:space="preserve">Fabricação de produtos de trefilados de metal padronizados</t>
  </si>
  <si>
    <t xml:space="preserve">2592-6/02</t>
  </si>
  <si>
    <t xml:space="preserve">Fabricação de produtos de trefilados de metal, exceto padronizados</t>
  </si>
  <si>
    <t xml:space="preserve">2593-4/00</t>
  </si>
  <si>
    <t xml:space="preserve">Fabricação de artigos de metal para uso doméstico e pessoal</t>
  </si>
  <si>
    <t xml:space="preserve">2599-3/01</t>
  </si>
  <si>
    <t xml:space="preserve">Serviços de confecção de armações metálicas para a construção</t>
  </si>
  <si>
    <t xml:space="preserve">2599-3/02</t>
  </si>
  <si>
    <t xml:space="preserve">Serviço de corte e dobra de metais</t>
  </si>
  <si>
    <t xml:space="preserve">2599-3/99</t>
  </si>
  <si>
    <t xml:space="preserve">Fabricação de outros produtos de metal não especificados anteriormente</t>
  </si>
  <si>
    <t xml:space="preserve">4685-1/00</t>
  </si>
  <si>
    <t xml:space="preserve">Comércio atacadista de produtos siderúrgicos e metalúrgicos, exceto para construção</t>
  </si>
  <si>
    <t xml:space="preserve">4687-7/03</t>
  </si>
  <si>
    <t xml:space="preserve">Comércio atacadista de resíduos e sucatas metálicos</t>
  </si>
  <si>
    <t xml:space="preserve">2539-0/00</t>
  </si>
  <si>
    <t xml:space="preserve">Serviços de usinagem, solda, tratamento e revestimento em metais</t>
  </si>
  <si>
    <t xml:space="preserve">2610-8/00</t>
  </si>
  <si>
    <t xml:space="preserve">Fabricação de componentes eletrônicos</t>
  </si>
  <si>
    <t xml:space="preserve">Electrical Parts and Equipment</t>
  </si>
  <si>
    <t xml:space="preserve">2631-1/00</t>
  </si>
  <si>
    <t xml:space="preserve">Fabricação de equipamentos transmissores de comunicação, peças e acessórios</t>
  </si>
  <si>
    <t xml:space="preserve">2632-9/00</t>
  </si>
  <si>
    <t xml:space="preserve">Fabricação de aparelhos telefônicos e de outros equipamentos de comunicação, peças e acessórios</t>
  </si>
  <si>
    <t xml:space="preserve">2640-0/00</t>
  </si>
  <si>
    <t xml:space="preserve">Fabricação de aparelhos de recepção, reprodução, gravação e amplificação de áudio e vídeo</t>
  </si>
  <si>
    <t xml:space="preserve">2651-5/00</t>
  </si>
  <si>
    <t xml:space="preserve">Fabricação de aparelhos e equipamentos de medida, teste e controle</t>
  </si>
  <si>
    <t xml:space="preserve">2710-4/01</t>
  </si>
  <si>
    <t xml:space="preserve">Fabricação de geradores de corrente contínua e alternada, peças e acessórios</t>
  </si>
  <si>
    <t xml:space="preserve">2710-4/02</t>
  </si>
  <si>
    <t xml:space="preserve">Fabricação de transformadores, indutores, conversores, sincronizadores e semelhantes, peças e acessórios</t>
  </si>
  <si>
    <t xml:space="preserve">2710-4/03</t>
  </si>
  <si>
    <t xml:space="preserve">Fabricação de motores elétricos, peças e acessórios</t>
  </si>
  <si>
    <t xml:space="preserve">2721-0/00</t>
  </si>
  <si>
    <t xml:space="preserve">Fabricação de pilhas, baterias e acumuladores elétricos, exceto para veículos automotores</t>
  </si>
  <si>
    <t xml:space="preserve">2722-8/01</t>
  </si>
  <si>
    <t xml:space="preserve">Fabricação de baterias e acumuladores para veículos automotores</t>
  </si>
  <si>
    <t xml:space="preserve">2731-7/00</t>
  </si>
  <si>
    <t xml:space="preserve">Fabricação de aparelhos e equipamentos para distribuição e controle de energia elétrica</t>
  </si>
  <si>
    <t xml:space="preserve">2732-5/00</t>
  </si>
  <si>
    <t xml:space="preserve">Fabricação de material elétrico para instalações em circuito de consumo</t>
  </si>
  <si>
    <t xml:space="preserve">2733-3/00</t>
  </si>
  <si>
    <t xml:space="preserve">Fabricação de fios, cabos e condutores elétricos isolados</t>
  </si>
  <si>
    <t xml:space="preserve">2740-6/01</t>
  </si>
  <si>
    <t xml:space="preserve">Fabricação de lâmpadas</t>
  </si>
  <si>
    <t xml:space="preserve">2740-6/02</t>
  </si>
  <si>
    <t xml:space="preserve">Fabricação de luminárias e outros equipamentos de iluminação</t>
  </si>
  <si>
    <t xml:space="preserve">2759-7/01</t>
  </si>
  <si>
    <t xml:space="preserve">Fabricação de aparelhos elétricos de uso pessoal, peças e acessórios</t>
  </si>
  <si>
    <t xml:space="preserve">2790-2/01</t>
  </si>
  <si>
    <t xml:space="preserve">Fabricação de eletrodos, contatos e outros artigos de carvão e grafita para uso elétrico, eletroímãs e isoladores</t>
  </si>
  <si>
    <t xml:space="preserve">2790-2/02</t>
  </si>
  <si>
    <t xml:space="preserve">Fabricação de equipamentos para sinalização e alarme</t>
  </si>
  <si>
    <t xml:space="preserve">2790-2/99</t>
  </si>
  <si>
    <t xml:space="preserve">Fabricação de outros equipamentos e aparelhos elétricos não especificados anteriormente</t>
  </si>
  <si>
    <t xml:space="preserve">3299-0/04</t>
  </si>
  <si>
    <t xml:space="preserve">Fabricação de painéis e letreiros luminosos</t>
  </si>
  <si>
    <t xml:space="preserve">4649-4/01</t>
  </si>
  <si>
    <t xml:space="preserve">Comércio atacadista de equipamentos elétricos de uso pessoal e doméstico</t>
  </si>
  <si>
    <t xml:space="preserve">4649-4/06</t>
  </si>
  <si>
    <t xml:space="preserve">Comércio atacadista de lustres, luminárias e abajures</t>
  </si>
  <si>
    <t xml:space="preserve">4652-4/00</t>
  </si>
  <si>
    <t xml:space="preserve">Comércio atacadista de componentes eletrônicos e equipamentos de telefonia e comunicação</t>
  </si>
  <si>
    <t xml:space="preserve">4673-7/00</t>
  </si>
  <si>
    <t xml:space="preserve">Comércio atacadista de material elétrico</t>
  </si>
  <si>
    <t xml:space="preserve">1623-4/00</t>
  </si>
  <si>
    <t xml:space="preserve">Fabricação de artefatos de tanoaria e de embalagens de madeira</t>
  </si>
  <si>
    <t xml:space="preserve">Industrial Supplies (Not Elsewhere Classified)</t>
  </si>
  <si>
    <t xml:space="preserve">1629-3/02</t>
  </si>
  <si>
    <t xml:space="preserve">Fabricação de artefatos diversos de cortiça, bambu, palha, vime e outros materiais trançados, exceto móveis</t>
  </si>
  <si>
    <t xml:space="preserve">1910-1/00</t>
  </si>
  <si>
    <t xml:space="preserve">Coquerias</t>
  </si>
  <si>
    <t xml:space="preserve">FABRICAÇÃO DE COQUE, DE PRODUTOS DERIVADOS DO PETRÓLEO E DE BIOCOMBUSTÍVEIS</t>
  </si>
  <si>
    <t xml:space="preserve">Industrial Supplies—not elsewhere classified</t>
  </si>
  <si>
    <t xml:space="preserve">2219-6/00</t>
  </si>
  <si>
    <t xml:space="preserve">Fabricação de artefatos de borracha não especificados anteriormente</t>
  </si>
  <si>
    <t xml:space="preserve">2222-6/00</t>
  </si>
  <si>
    <t xml:space="preserve">Fabricação de embalagens de material plástico</t>
  </si>
  <si>
    <t xml:space="preserve">2229-3/02</t>
  </si>
  <si>
    <t xml:space="preserve">Fabricação de artefatos de material plástico para usos industriais</t>
  </si>
  <si>
    <t xml:space="preserve">2522-5/00</t>
  </si>
  <si>
    <t xml:space="preserve">Fabricação de caldeiras geradoras de vapor, exceto para aquecimento central e para veículos</t>
  </si>
  <si>
    <t xml:space="preserve">2670-1/01</t>
  </si>
  <si>
    <t xml:space="preserve">Fabricação de equipamentos e instrumentos ópticos, peças e acessórios</t>
  </si>
  <si>
    <t xml:space="preserve">2813-5/00</t>
  </si>
  <si>
    <t xml:space="preserve">Fabricação de válvulas, registros e dispositivos semelhantes, peças e acessórios</t>
  </si>
  <si>
    <t xml:space="preserve">2814-3/01</t>
  </si>
  <si>
    <t xml:space="preserve">Fabricação de compressores para uso industrial, peças e acessórios</t>
  </si>
  <si>
    <t xml:space="preserve">2815-1/01</t>
  </si>
  <si>
    <t xml:space="preserve">Fabricação de rolamentos para fins industriais</t>
  </si>
  <si>
    <t xml:space="preserve">3091-1/02</t>
  </si>
  <si>
    <t xml:space="preserve">Fabricação de peças e acessórios para motocicletas</t>
  </si>
  <si>
    <t xml:space="preserve">4663-0/00</t>
  </si>
  <si>
    <t xml:space="preserve">Comércio atacadista de máquinas e equipamentos para uso industrial; partes e peças</t>
  </si>
  <si>
    <t xml:space="preserve">4669-9/01</t>
  </si>
  <si>
    <t xml:space="preserve">Comércio atacadista de bombas e compressores; partes e peças</t>
  </si>
  <si>
    <t xml:space="preserve">4686-9/01</t>
  </si>
  <si>
    <t xml:space="preserve">Comércio atacadista de papel e papelão em bruto</t>
  </si>
  <si>
    <t xml:space="preserve">4687-7/01</t>
  </si>
  <si>
    <t xml:space="preserve">Comércio atacadista de resíduos de papel e papelão</t>
  </si>
  <si>
    <t xml:space="preserve">4687-7/02</t>
  </si>
  <si>
    <t xml:space="preserve">Comércio atacadista de resíduos e sucatas não-metálicos, exceto de papel e papelão</t>
  </si>
  <si>
    <t xml:space="preserve">4689-3/01</t>
  </si>
  <si>
    <t xml:space="preserve">Comércio atacadista de produtos da extração mineral, exceto combustíveis</t>
  </si>
  <si>
    <t xml:space="preserve">4689-3/99</t>
  </si>
  <si>
    <t xml:space="preserve">Comércio atacadista especializado em outros produtos intermediários não especificados anteriormente</t>
  </si>
  <si>
    <t xml:space="preserve">1710-9/00</t>
  </si>
  <si>
    <t xml:space="preserve">Fabricação de celulose e outras pastas para a fabricação de papel</t>
  </si>
  <si>
    <t xml:space="preserve">Stationery, Office Supplies, Printing and Writing Paper</t>
  </si>
  <si>
    <t xml:space="preserve">1721-4/00</t>
  </si>
  <si>
    <t xml:space="preserve">Fabricação de papel</t>
  </si>
  <si>
    <t xml:space="preserve">1722-2/00</t>
  </si>
  <si>
    <t xml:space="preserve">Fabricação de cartolina e papel-cartão</t>
  </si>
  <si>
    <t xml:space="preserve">1733-8/00</t>
  </si>
  <si>
    <t xml:space="preserve">Fabricação de chapas e de embalagens de papelão ondulado</t>
  </si>
  <si>
    <t xml:space="preserve">1741-9/01</t>
  </si>
  <si>
    <t xml:space="preserve">Fabricação de formulários contínuos</t>
  </si>
  <si>
    <t xml:space="preserve">1741-9/02</t>
  </si>
  <si>
    <t xml:space="preserve">Fabricação de produtos de papel, cartolina, papel-cartão e papelão ondulado para uso comercial e de escritório</t>
  </si>
  <si>
    <t xml:space="preserve">1749-4/00</t>
  </si>
  <si>
    <t xml:space="preserve">Fabricação de produtos de pastas celulósicas, papel, cartolina, papel-cartão e papelão ondulado não especificados anteriormente</t>
  </si>
  <si>
    <t xml:space="preserve">3299-0/02</t>
  </si>
  <si>
    <t xml:space="preserve">Fabricação de canetas, lápis e outros artigos para escritório</t>
  </si>
  <si>
    <t xml:space="preserve">4647-8/01</t>
  </si>
  <si>
    <t xml:space="preserve">Comércio atacadista de artigos de escritório e de papelaria</t>
  </si>
  <si>
    <t xml:space="preserve">4686-9/02</t>
  </si>
  <si>
    <t xml:space="preserve">Comércio atacadista de embalagens</t>
  </si>
  <si>
    <t xml:space="preserve">1311-1/00</t>
  </si>
  <si>
    <t xml:space="preserve">Preparação e fiação de fibras de algodão</t>
  </si>
  <si>
    <t xml:space="preserve">Piece Goods, Notions, and Other Dry Goods</t>
  </si>
  <si>
    <t xml:space="preserve">1312-0/00</t>
  </si>
  <si>
    <t xml:space="preserve">Preparação e fiação de fibras têxteis naturais, exceto algodão</t>
  </si>
  <si>
    <t xml:space="preserve">1313-8/00</t>
  </si>
  <si>
    <t xml:space="preserve">Fiação de fibras artificiais e sintéticas</t>
  </si>
  <si>
    <t xml:space="preserve">1314-6/00</t>
  </si>
  <si>
    <t xml:space="preserve">Fabricação de linhas para costurar e bordar</t>
  </si>
  <si>
    <t xml:space="preserve">1321-9/00</t>
  </si>
  <si>
    <t xml:space="preserve">Tecelagem de fios de algodão</t>
  </si>
  <si>
    <t xml:space="preserve">1322-7/00</t>
  </si>
  <si>
    <t xml:space="preserve">Tecelagem de fios de fibras têxteis naturais, exceto algodão</t>
  </si>
  <si>
    <t xml:space="preserve">1323-5/00</t>
  </si>
  <si>
    <t xml:space="preserve">Tecelagem de fios de fibras artificiais e sintéticas</t>
  </si>
  <si>
    <t xml:space="preserve">1330-8/00</t>
  </si>
  <si>
    <t xml:space="preserve">Fabricação de tecidos de malha</t>
  </si>
  <si>
    <t xml:space="preserve">1340-5/01</t>
  </si>
  <si>
    <t xml:space="preserve">Estamparia e texturização em fios, tecidos, artefatos têxteis e peças do vestuário</t>
  </si>
  <si>
    <t xml:space="preserve">1340-5/02</t>
  </si>
  <si>
    <t xml:space="preserve">Alvejamento, tingimento e torção em fios, tecidos, artefatos têxteis e peças do vestuário</t>
  </si>
  <si>
    <t xml:space="preserve">1351-1/00</t>
  </si>
  <si>
    <t xml:space="preserve">Fabricação de artefatos têxteis para uso doméstico</t>
  </si>
  <si>
    <t xml:space="preserve">1352-9/00</t>
  </si>
  <si>
    <t xml:space="preserve">Fabricação de artefatos de tapeçaria</t>
  </si>
  <si>
    <t xml:space="preserve">1353-7/00</t>
  </si>
  <si>
    <t xml:space="preserve">Fabricação de artefatos de cordoaria</t>
  </si>
  <si>
    <t xml:space="preserve">1354-5/00</t>
  </si>
  <si>
    <t xml:space="preserve">Fabricação de tecidos especiais, inclusive artefatos</t>
  </si>
  <si>
    <t xml:space="preserve">1359-6/00</t>
  </si>
  <si>
    <t xml:space="preserve">Fabricação de outros produtos têxteis não especificados anteriormente</t>
  </si>
  <si>
    <t xml:space="preserve">3250-7/08</t>
  </si>
  <si>
    <t xml:space="preserve">Fabricação de artefatos de tecido não tecido para uso odonto-médico-hospitalar</t>
  </si>
  <si>
    <t xml:space="preserve">3299-0/05</t>
  </si>
  <si>
    <t xml:space="preserve">Fabricação de aviamentos para costura</t>
  </si>
  <si>
    <t xml:space="preserve">4641-9/01</t>
  </si>
  <si>
    <t xml:space="preserve">Comércio atacadista de tecidos</t>
  </si>
  <si>
    <t xml:space="preserve">4641-9/03</t>
  </si>
  <si>
    <t xml:space="preserve">Comércio atacadista de artigos de armarinho</t>
  </si>
  <si>
    <t xml:space="preserve">4689-3/02</t>
  </si>
  <si>
    <t xml:space="preserve">Comércio atacadista de fios e fibras beneficiados</t>
  </si>
  <si>
    <t xml:space="preserve">1411-8/01</t>
  </si>
  <si>
    <t xml:space="preserve">Confecção de roupas íntimas</t>
  </si>
  <si>
    <t xml:space="preserve">Men’s, Women’s, and Children’s Uniforms and Commercial Clothing</t>
  </si>
  <si>
    <t xml:space="preserve">1411-8/02</t>
  </si>
  <si>
    <t xml:space="preserve">Facção de roupas íntimas</t>
  </si>
  <si>
    <t xml:space="preserve">1412-6/01</t>
  </si>
  <si>
    <t xml:space="preserve">Confecção de peças do vestuário, exceto roupas íntimas e as confeccionadas sob medida</t>
  </si>
  <si>
    <t xml:space="preserve">1412-6/03</t>
  </si>
  <si>
    <t xml:space="preserve">Facção de peças do vestuário, exceto roupas íntimas</t>
  </si>
  <si>
    <t xml:space="preserve">1413-4/01</t>
  </si>
  <si>
    <t xml:space="preserve">Confecção de roupas profissionais, exceto sob medida</t>
  </si>
  <si>
    <t xml:space="preserve">1413-4/02</t>
  </si>
  <si>
    <t xml:space="preserve">Confecção, sob medida, de roupas profissionais</t>
  </si>
  <si>
    <t xml:space="preserve">1413-4/03</t>
  </si>
  <si>
    <t xml:space="preserve">Facção de roupas profissionais</t>
  </si>
  <si>
    <t xml:space="preserve">1414-2/00</t>
  </si>
  <si>
    <t xml:space="preserve">Fabricação de acessórios do vestuário, exceto para segurança e proteção</t>
  </si>
  <si>
    <t xml:space="preserve">1421-5/00</t>
  </si>
  <si>
    <t xml:space="preserve">Fabricação de meias</t>
  </si>
  <si>
    <t xml:space="preserve">3292-2/01</t>
  </si>
  <si>
    <t xml:space="preserve">Fabricação de roupas de proteção e segurança e resistentes a fogo</t>
  </si>
  <si>
    <t xml:space="preserve">4642-7/01</t>
  </si>
  <si>
    <t xml:space="preserve">Comércio atacadista de artigos do vestuário e acessórios, exceto profissionais e de segurança</t>
  </si>
  <si>
    <t xml:space="preserve">4642-7/02</t>
  </si>
  <si>
    <t xml:space="preserve">Comércio atacadista de roupas e acessórios para uso profissional e de segurança do trabalho</t>
  </si>
  <si>
    <t xml:space="preserve">0210-1/08</t>
  </si>
  <si>
    <t xml:space="preserve">Produção de carvão vegetal - florestas plantadas</t>
  </si>
  <si>
    <t xml:space="preserve">Chemicals and Allied Products (Not Elsewhere Classified)</t>
  </si>
  <si>
    <t xml:space="preserve">0220-9/02</t>
  </si>
  <si>
    <t xml:space="preserve">Produção de carvão vegetal - florestas nativas</t>
  </si>
  <si>
    <t xml:space="preserve">0500-3/01</t>
  </si>
  <si>
    <t xml:space="preserve">Extração de carvão mineral</t>
  </si>
  <si>
    <t xml:space="preserve">0891-6/00</t>
  </si>
  <si>
    <t xml:space="preserve">Extração de minerais para fabricação de adubos, fertilizantes e outros produtos químicos</t>
  </si>
  <si>
    <t xml:space="preserve">0892-4/01</t>
  </si>
  <si>
    <t xml:space="preserve">Extração de sal marinho</t>
  </si>
  <si>
    <t xml:space="preserve">0892-4/02</t>
  </si>
  <si>
    <t xml:space="preserve">Extração de sal-gema</t>
  </si>
  <si>
    <t xml:space="preserve">0899-1/01</t>
  </si>
  <si>
    <t xml:space="preserve">Extração de grafita</t>
  </si>
  <si>
    <t xml:space="preserve">0899-1/02</t>
  </si>
  <si>
    <t xml:space="preserve">Extração de quartzo</t>
  </si>
  <si>
    <t xml:space="preserve">0899-1/03</t>
  </si>
  <si>
    <t xml:space="preserve">Extração de amianto</t>
  </si>
  <si>
    <t xml:space="preserve">1931-4/00</t>
  </si>
  <si>
    <t xml:space="preserve">Fabricação de álcool</t>
  </si>
  <si>
    <t xml:space="preserve">2011-8/00</t>
  </si>
  <si>
    <t xml:space="preserve">Fabricação de cloro e álcalis</t>
  </si>
  <si>
    <t xml:space="preserve">2012-6/00</t>
  </si>
  <si>
    <t xml:space="preserve">Fabricação de intermediários para fertilizantes</t>
  </si>
  <si>
    <t xml:space="preserve">2013-4/01</t>
  </si>
  <si>
    <t xml:space="preserve">Fabricação de adubos e fertilizantes organo-minerais</t>
  </si>
  <si>
    <t xml:space="preserve">2013-4/02</t>
  </si>
  <si>
    <t xml:space="preserve">Fabricação de adubos e fertilizantes, exceto organo-minerais</t>
  </si>
  <si>
    <t xml:space="preserve">2014-2/00</t>
  </si>
  <si>
    <t xml:space="preserve">Fabricação de gases industriais</t>
  </si>
  <si>
    <t xml:space="preserve">2019-3/01</t>
  </si>
  <si>
    <t xml:space="preserve">Elaboração de combustíveis nucleares</t>
  </si>
  <si>
    <t xml:space="preserve">2019-3/99</t>
  </si>
  <si>
    <t xml:space="preserve">Fabricação de outros produtos químicos inorgânicos não especificados anteriormente</t>
  </si>
  <si>
    <t xml:space="preserve">2021-5/00</t>
  </si>
  <si>
    <t xml:space="preserve">Fabricação de produtos petroquímicos básicos</t>
  </si>
  <si>
    <t xml:space="preserve">2022-3/00</t>
  </si>
  <si>
    <t xml:space="preserve">Fabricação de intermediários para plastificantes, resinas e fibras</t>
  </si>
  <si>
    <t xml:space="preserve">2029-1/00</t>
  </si>
  <si>
    <t xml:space="preserve">Fabricação de produtos químicos orgânicos não especificados anteriormente</t>
  </si>
  <si>
    <t xml:space="preserve">2031-2/00</t>
  </si>
  <si>
    <t xml:space="preserve">Fabricação de resinas termoplásticas</t>
  </si>
  <si>
    <t xml:space="preserve">2032-1/00</t>
  </si>
  <si>
    <t xml:space="preserve">Fabricação de resinas termofixas</t>
  </si>
  <si>
    <t xml:space="preserve">2033-9/00</t>
  </si>
  <si>
    <t xml:space="preserve">Fabricação de elastômeros</t>
  </si>
  <si>
    <t xml:space="preserve">2040-1/00</t>
  </si>
  <si>
    <t xml:space="preserve">Fabricação de fibras artificiais e sintéticas</t>
  </si>
  <si>
    <t xml:space="preserve">2051-7/00</t>
  </si>
  <si>
    <t xml:space="preserve">Fabricação de defensivos agrícolas</t>
  </si>
  <si>
    <t xml:space="preserve">2073-8/00</t>
  </si>
  <si>
    <t xml:space="preserve">Fabricação de impermeabilizantes, solventes e produtos afins</t>
  </si>
  <si>
    <t xml:space="preserve">2091-6/00</t>
  </si>
  <si>
    <t xml:space="preserve">Fabricação de adesivos e selantes</t>
  </si>
  <si>
    <t xml:space="preserve">2092-4/01</t>
  </si>
  <si>
    <t xml:space="preserve">Fabricação de pólvoras, explosivos e detonantes</t>
  </si>
  <si>
    <t xml:space="preserve">2092-4/02</t>
  </si>
  <si>
    <t xml:space="preserve">Fabricação de artigos pirotécnicos</t>
  </si>
  <si>
    <t xml:space="preserve">2092-4/03</t>
  </si>
  <si>
    <t xml:space="preserve">Fabricação de fósforos de segurança</t>
  </si>
  <si>
    <t xml:space="preserve">2093-2/00</t>
  </si>
  <si>
    <t xml:space="preserve">Fabricação de aditivos de uso industrial</t>
  </si>
  <si>
    <t xml:space="preserve">2094-1/00</t>
  </si>
  <si>
    <t xml:space="preserve">Fabricação de catalisadores</t>
  </si>
  <si>
    <t xml:space="preserve">2099-1/99</t>
  </si>
  <si>
    <t xml:space="preserve">Fabricação de outros produtos químicos não especificados anteriormente</t>
  </si>
  <si>
    <t xml:space="preserve">2399-1/02</t>
  </si>
  <si>
    <t xml:space="preserve">Fabricação de abrasivos</t>
  </si>
  <si>
    <t xml:space="preserve">4612-5/00</t>
  </si>
  <si>
    <t xml:space="preserve">Representantes comerciais e agentes do comércio de combustíveis, minerais, produtos siderúrgicos e químicos</t>
  </si>
  <si>
    <t xml:space="preserve">4684-2/01</t>
  </si>
  <si>
    <t xml:space="preserve">Comércio atacadista de resinas e elastômeros</t>
  </si>
  <si>
    <t xml:space="preserve">4684-2/02</t>
  </si>
  <si>
    <t xml:space="preserve">Comércio atacadista de solventes</t>
  </si>
  <si>
    <t xml:space="preserve">2013-4/00</t>
  </si>
  <si>
    <t xml:space="preserve">Fabricação de adubos e fertilizantes</t>
  </si>
  <si>
    <t xml:space="preserve">0600-0/01</t>
  </si>
  <si>
    <t xml:space="preserve">Extração de petróleo e gás natural</t>
  </si>
  <si>
    <t xml:space="preserve">EXTRAÇÃO DE PETRÓLEO E GÁS NATURAL</t>
  </si>
  <si>
    <t xml:space="preserve">Petroleum and Petroleum Products</t>
  </si>
  <si>
    <t xml:space="preserve">0600-0/02</t>
  </si>
  <si>
    <t xml:space="preserve">Extração e beneficiamento de xisto</t>
  </si>
  <si>
    <t xml:space="preserve">0600-0/03</t>
  </si>
  <si>
    <t xml:space="preserve">Extração e beneficiamento de areias betuminosas</t>
  </si>
  <si>
    <t xml:space="preserve">0910-6/00</t>
  </si>
  <si>
    <t xml:space="preserve">Atividades de apoio à extração de petróleo e gás natural</t>
  </si>
  <si>
    <t xml:space="preserve">1921-7/00</t>
  </si>
  <si>
    <t xml:space="preserve">Fabricação de produtos do refino de petróleo</t>
  </si>
  <si>
    <t xml:space="preserve">1922-5/01</t>
  </si>
  <si>
    <t xml:space="preserve">Formulação de combustíveis</t>
  </si>
  <si>
    <t xml:space="preserve">1922-5/02</t>
  </si>
  <si>
    <t xml:space="preserve">Rerrefino de óleos lubrificantes</t>
  </si>
  <si>
    <t xml:space="preserve">1922-5/99</t>
  </si>
  <si>
    <t xml:space="preserve">Fabricação de outros produtos derivados do petróleo, exceto produtos do refino</t>
  </si>
  <si>
    <t xml:space="preserve">1932-2/00</t>
  </si>
  <si>
    <t xml:space="preserve">Fabricação de biocombustíveis, exceto álcool</t>
  </si>
  <si>
    <t xml:space="preserve">4681-8/01</t>
  </si>
  <si>
    <t xml:space="preserve">Comércio atacadista de álcool carburante, biodiesel, gasolina e demais derivados de petróleo, exceto lubrificantes, não realizado por transportador retalhista (TRR)</t>
  </si>
  <si>
    <t xml:space="preserve">4681-8/02</t>
  </si>
  <si>
    <t xml:space="preserve">Comércio atacadista de combustíveis realizado por transportador retalhista (TRR)</t>
  </si>
  <si>
    <t xml:space="preserve">4681-8/03</t>
  </si>
  <si>
    <t xml:space="preserve">Comércio atacadista de combustíveis de origem vegetal, exceto álcool carburante</t>
  </si>
  <si>
    <t xml:space="preserve">4681-8/04</t>
  </si>
  <si>
    <t xml:space="preserve">Comércio atacadista de combustíveis de origem mineral em bruto</t>
  </si>
  <si>
    <t xml:space="preserve">4681-8/05</t>
  </si>
  <si>
    <t xml:space="preserve">Comércio atacadista de lubrificantes</t>
  </si>
  <si>
    <t xml:space="preserve">4682-6/00</t>
  </si>
  <si>
    <t xml:space="preserve">Comércio atacadista de gás liqüefeito de petróleo (GLP)</t>
  </si>
  <si>
    <t xml:space="preserve">4684-2/99</t>
  </si>
  <si>
    <t xml:space="preserve">Comércio atacadista de outros produtos químicos e petroquímicos não especificados anteriormente</t>
  </si>
  <si>
    <t xml:space="preserve">4618-4/03</t>
  </si>
  <si>
    <t xml:space="preserve">Representantes comerciais e agentes do comércio de jornais, revistas e outras publicações</t>
  </si>
  <si>
    <t xml:space="preserve">Books, Periodicals and Newspapers</t>
  </si>
  <si>
    <t xml:space="preserve">4647-8/02</t>
  </si>
  <si>
    <t xml:space="preserve">Comércio atacadista de livros, jornais e outras publicações</t>
  </si>
  <si>
    <t xml:space="preserve">6391-7/00</t>
  </si>
  <si>
    <t xml:space="preserve">Agências de notícias</t>
  </si>
  <si>
    <t xml:space="preserve">ATIVIDADES DE PRESTAÇÃO DE SERVIÇOS DE INFORMAÇÃO</t>
  </si>
  <si>
    <t xml:space="preserve">2071-1/00</t>
  </si>
  <si>
    <t xml:space="preserve">Fabricação de tintas, vernizes, esmaltes e lacas</t>
  </si>
  <si>
    <t xml:space="preserve">Paints, Varnishes and Supplies</t>
  </si>
  <si>
    <t xml:space="preserve">2072-0/00</t>
  </si>
  <si>
    <t xml:space="preserve">Fabricação de tintas de impressão</t>
  </si>
  <si>
    <t xml:space="preserve">4679-6/01</t>
  </si>
  <si>
    <t xml:space="preserve">Comércio atacadista de tintas, vernizes e similares</t>
  </si>
  <si>
    <t xml:space="preserve">4741-5/00</t>
  </si>
  <si>
    <t xml:space="preserve">Comércio varejista de tintas e materiais para pintura</t>
  </si>
  <si>
    <t xml:space="preserve">Glass, Paint, and Wallpaper Stores</t>
  </si>
  <si>
    <t xml:space="preserve">4743-1/00</t>
  </si>
  <si>
    <t xml:space="preserve">Comércio varejista de vidros</t>
  </si>
  <si>
    <t xml:space="preserve">4713-0/03</t>
  </si>
  <si>
    <t xml:space="preserve">Lojas duty free de aeroportos internacionais</t>
  </si>
  <si>
    <t xml:space="preserve">Duty Free Stores</t>
  </si>
  <si>
    <t xml:space="preserve">4713-0/05</t>
  </si>
  <si>
    <t xml:space="preserve">Lojas francas (Duty free) de aeroportos, portos e em fronteiras terrestres</t>
  </si>
  <si>
    <t xml:space="preserve">4713-0/01</t>
  </si>
  <si>
    <t xml:space="preserve">Lojas de departamentos ou magazines</t>
  </si>
  <si>
    <t xml:space="preserve">Department Stores</t>
  </si>
  <si>
    <t xml:space="preserve">4713-0/04</t>
  </si>
  <si>
    <t xml:space="preserve">Lojas de departamentos ou magazines, exceto lojas francas (Duty free)</t>
  </si>
  <si>
    <t xml:space="preserve">2910-7/01</t>
  </si>
  <si>
    <t xml:space="preserve">Fabricação de automóveis, camionetas e utilitários</t>
  </si>
  <si>
    <t xml:space="preserve">Car and Truck Dealers (New and Used) Sales, Service, Repairs, Parts, and Leasing</t>
  </si>
  <si>
    <t xml:space="preserve">2920-4/01</t>
  </si>
  <si>
    <t xml:space="preserve">Fabricação de caminhões e ônibus</t>
  </si>
  <si>
    <t xml:space="preserve">4511-1/01</t>
  </si>
  <si>
    <t xml:space="preserve">Comércio a varejo de automóveis, camionetas e utilitários novos</t>
  </si>
  <si>
    <t xml:space="preserve">4511-1/03</t>
  </si>
  <si>
    <t xml:space="preserve">Comércio por atacado de automóveis, camionetas e utilitários novos e usados</t>
  </si>
  <si>
    <t xml:space="preserve">4511-1/04</t>
  </si>
  <si>
    <t xml:space="preserve">Comércio por atacado de caminhões novos e usados</t>
  </si>
  <si>
    <t xml:space="preserve">4511-1/05</t>
  </si>
  <si>
    <t xml:space="preserve">Comércio por atacado de reboques e semi-reboques novos e usados</t>
  </si>
  <si>
    <t xml:space="preserve">4511-1/06</t>
  </si>
  <si>
    <t xml:space="preserve">Comércio por atacado de ônibus e microônibus novos e usados</t>
  </si>
  <si>
    <t xml:space="preserve">4512-9/01</t>
  </si>
  <si>
    <t xml:space="preserve">Representantes comerciais e agentes do comércio de veículos automotores</t>
  </si>
  <si>
    <t xml:space="preserve">4512-9/02</t>
  </si>
  <si>
    <t xml:space="preserve">Comércio sob consignação de veículos automotores</t>
  </si>
  <si>
    <t xml:space="preserve">4530-7/05</t>
  </si>
  <si>
    <t xml:space="preserve">Comércio a varejo de pneumáticos e câmaras-de-ar</t>
  </si>
  <si>
    <t xml:space="preserve">Automotive Tire Stores</t>
  </si>
  <si>
    <t xml:space="preserve">4520-0/07</t>
  </si>
  <si>
    <t xml:space="preserve">Serviços de instalação, manutenção e reparação de acessórios para veículos automotores</t>
  </si>
  <si>
    <t xml:space="preserve">Automotive Parts and Accessories Stores</t>
  </si>
  <si>
    <t xml:space="preserve">4520-0/08</t>
  </si>
  <si>
    <t xml:space="preserve">Serviços de capotaria</t>
  </si>
  <si>
    <t xml:space="preserve">4530-7/03</t>
  </si>
  <si>
    <t xml:space="preserve">Comércio a varejo de peças e acessórios novos para veículos automotores</t>
  </si>
  <si>
    <t xml:space="preserve">4530-7/04</t>
  </si>
  <si>
    <t xml:space="preserve">Comércio a varejo de peças e acessórios usados para veículos automotores</t>
  </si>
  <si>
    <t xml:space="preserve">4541-2/01</t>
  </si>
  <si>
    <t xml:space="preserve">Comércio por atacado de motocicletas e motonetas</t>
  </si>
  <si>
    <t xml:space="preserve">Motorcycle Shops and Dealers</t>
  </si>
  <si>
    <t xml:space="preserve">4541-2/03</t>
  </si>
  <si>
    <t xml:space="preserve">Comércio a varejo de motocicletas e motonetas novas</t>
  </si>
  <si>
    <t xml:space="preserve">4541-2/04</t>
  </si>
  <si>
    <t xml:space="preserve">Comércio a varejo de motocicletas e motonetas usadas</t>
  </si>
  <si>
    <t xml:space="preserve">4541-2/05</t>
  </si>
  <si>
    <t xml:space="preserve">Comércio a varejo de peças e acessórios para motocicletas e motonetas</t>
  </si>
  <si>
    <t xml:space="preserve">4541-2/06</t>
  </si>
  <si>
    <t xml:space="preserve">Comércio a varejo de peças e acessórios novos para motocicletas e motonetas</t>
  </si>
  <si>
    <t xml:space="preserve">4541-2/07</t>
  </si>
  <si>
    <t xml:space="preserve">Comércio a varejo de peças e acessórios usados para motocicletas e motonetas</t>
  </si>
  <si>
    <t xml:space="preserve">4542-1/01</t>
  </si>
  <si>
    <t xml:space="preserve">Representantes comerciais e agentes do comércio de motocicletas e motonetas, peças e acessórios</t>
  </si>
  <si>
    <t xml:space="preserve">4542-1/02</t>
  </si>
  <si>
    <t xml:space="preserve">Comércio sob consignação de motocicletas e motonetas</t>
  </si>
  <si>
    <t xml:space="preserve">3091-1/00</t>
  </si>
  <si>
    <t xml:space="preserve">Fabricação de motocicletas, peças e acessórios</t>
  </si>
  <si>
    <t xml:space="preserve">1422-3/00</t>
  </si>
  <si>
    <t xml:space="preserve">Fabricação de artigos do vestuário, produzidos em malharias e tricotagens, exceto meias</t>
  </si>
  <si>
    <t xml:space="preserve">Family Clothing Stores</t>
  </si>
  <si>
    <t xml:space="preserve">4781-4/00</t>
  </si>
  <si>
    <t xml:space="preserve">Comércio varejista de artigos do vestuário e acessórios</t>
  </si>
  <si>
    <t xml:space="preserve">4762-8/00</t>
  </si>
  <si>
    <t xml:space="preserve">Comércio varejista de discos, CDs, DVDs e fitas</t>
  </si>
  <si>
    <t xml:space="preserve">Record Stores</t>
  </si>
  <si>
    <t xml:space="preserve">5620-1/02</t>
  </si>
  <si>
    <t xml:space="preserve">Serviços de alimentação para eventos e recepções - bufê</t>
  </si>
  <si>
    <t xml:space="preserve">Caterers</t>
  </si>
  <si>
    <t xml:space="preserve">8230-0/02</t>
  </si>
  <si>
    <t xml:space="preserve">Casas de festas e eventos</t>
  </si>
  <si>
    <t xml:space="preserve">4785-7/01</t>
  </si>
  <si>
    <t xml:space="preserve">Comércio varejista de antigüidades</t>
  </si>
  <si>
    <t xml:space="preserve">Antique Shops – Sales, Repairs, and Restoration Services</t>
  </si>
  <si>
    <t xml:space="preserve">9002-7/02</t>
  </si>
  <si>
    <t xml:space="preserve">Restauração de obras de arte</t>
  </si>
  <si>
    <t xml:space="preserve">ATIVIDADES ARTÍSTICAS, CRIATIVAS E DE ESPETÁCULOS</t>
  </si>
  <si>
    <t xml:space="preserve">4649-4/03</t>
  </si>
  <si>
    <t xml:space="preserve">Comércio atacadista de bicicletas, triciclos e outros veículos recreativos</t>
  </si>
  <si>
    <t xml:space="preserve">Bicycle Shops – Sales and Service</t>
  </si>
  <si>
    <t xml:space="preserve">4763-6/03</t>
  </si>
  <si>
    <t xml:space="preserve">Comércio varejista de bicicletas e triciclos; peças e acessórios</t>
  </si>
  <si>
    <t xml:space="preserve">4763-6/02</t>
  </si>
  <si>
    <t xml:space="preserve">Comércio varejista de artigos esportivos</t>
  </si>
  <si>
    <t xml:space="preserve">Sporting Goods Stores</t>
  </si>
  <si>
    <t xml:space="preserve">4763-6/04</t>
  </si>
  <si>
    <t xml:space="preserve">Comércio varejista de artigos de caça, pesca e camping</t>
  </si>
  <si>
    <t xml:space="preserve">7721-7/00</t>
  </si>
  <si>
    <t xml:space="preserve">Aluguel de equipamentos recreativos e esportivos</t>
  </si>
  <si>
    <t xml:space="preserve">4761-0/01</t>
  </si>
  <si>
    <t xml:space="preserve">Comércio varejista de livros</t>
  </si>
  <si>
    <t xml:space="preserve">Book Stores</t>
  </si>
  <si>
    <t xml:space="preserve">1510-6/00</t>
  </si>
  <si>
    <t xml:space="preserve">Curtimento e outras preparações de couro</t>
  </si>
  <si>
    <t xml:space="preserve">Luggage and Leather Goods Stores</t>
  </si>
  <si>
    <t xml:space="preserve">1529-7/00</t>
  </si>
  <si>
    <t xml:space="preserve">Fabricação de artefatos de couro não especificados anteriormente</t>
  </si>
  <si>
    <t xml:space="preserve">4773-3/00</t>
  </si>
  <si>
    <t xml:space="preserve">Comércio varejista de artigos médicos e ortopédicos</t>
  </si>
  <si>
    <t xml:space="preserve">Orthopedic Goods – Prosthetic Devices</t>
  </si>
  <si>
    <t xml:space="preserve">4789-0/02</t>
  </si>
  <si>
    <t xml:space="preserve">Comércio varejista de plantas e flores naturais</t>
  </si>
  <si>
    <t xml:space="preserve">Florists</t>
  </si>
  <si>
    <t xml:space="preserve">6810-2/01</t>
  </si>
  <si>
    <t xml:space="preserve">Compra e venda de imóveis próprios</t>
  </si>
  <si>
    <t xml:space="preserve">ATIV IMOBILIÁRIAS</t>
  </si>
  <si>
    <t xml:space="preserve">ATIVIDADES IMOBILIÁRIAS</t>
  </si>
  <si>
    <t xml:space="preserve">Real Estate Agents and Managers – Rentals</t>
  </si>
  <si>
    <t xml:space="preserve">6810-2/02</t>
  </si>
  <si>
    <t xml:space="preserve">Aluguel de imóveis próprios</t>
  </si>
  <si>
    <t xml:space="preserve">6810-2/03</t>
  </si>
  <si>
    <t xml:space="preserve">Loteamento de imóveis próprios</t>
  </si>
  <si>
    <t xml:space="preserve">6821-8/01</t>
  </si>
  <si>
    <t xml:space="preserve">Corretagem na compra e venda e avaliação de imóveis</t>
  </si>
  <si>
    <t xml:space="preserve">6821-8/02</t>
  </si>
  <si>
    <t xml:space="preserve">Corretagem no aluguel de imóveis</t>
  </si>
  <si>
    <t xml:space="preserve">6822-6/00</t>
  </si>
  <si>
    <t xml:space="preserve">Gestão e administração da propriedade imobiliária</t>
  </si>
  <si>
    <t xml:space="preserve">5590-6/02</t>
  </si>
  <si>
    <t xml:space="preserve">Campings</t>
  </si>
  <si>
    <t xml:space="preserve">Trailer Parks and Campgrounds</t>
  </si>
  <si>
    <t xml:space="preserve">9601-7/01</t>
  </si>
  <si>
    <t xml:space="preserve">Lavanderias</t>
  </si>
  <si>
    <t xml:space="preserve">OUTRAS ATIV DE SV</t>
  </si>
  <si>
    <t xml:space="preserve">OUTRAS ATIVIDADES DE SERVIÇOS PESSOAIS</t>
  </si>
  <si>
    <t xml:space="preserve">Dry Cleaners</t>
  </si>
  <si>
    <t xml:space="preserve">9601-7/02</t>
  </si>
  <si>
    <t xml:space="preserve">Tinturarias</t>
  </si>
  <si>
    <t xml:space="preserve">7420-0/01</t>
  </si>
  <si>
    <t xml:space="preserve">Atividades de produção de fotografias, exceto aérea e submarina</t>
  </si>
  <si>
    <t xml:space="preserve">Photographic Studios</t>
  </si>
  <si>
    <t xml:space="preserve">7420-0/02</t>
  </si>
  <si>
    <t xml:space="preserve">Atividades de produção de fotografias aéreas e submarinas</t>
  </si>
  <si>
    <t xml:space="preserve">7420-0/04</t>
  </si>
  <si>
    <t xml:space="preserve">Filmagem de festas e eventos</t>
  </si>
  <si>
    <t xml:space="preserve">9603-3/01</t>
  </si>
  <si>
    <t xml:space="preserve">Gestão e manutenção de cemitérios</t>
  </si>
  <si>
    <t xml:space="preserve">Funeral Services and Crematories</t>
  </si>
  <si>
    <t xml:space="preserve">9603-3/02</t>
  </si>
  <si>
    <t xml:space="preserve">Serviços de cremação</t>
  </si>
  <si>
    <t xml:space="preserve">9603-3/03</t>
  </si>
  <si>
    <t xml:space="preserve">Serviços de sepultamento</t>
  </si>
  <si>
    <t xml:space="preserve">9603-3/04</t>
  </si>
  <si>
    <t xml:space="preserve">Serviços de funerárias</t>
  </si>
  <si>
    <t xml:space="preserve">9603-3/05</t>
  </si>
  <si>
    <t xml:space="preserve">Serviços de somatoconservação</t>
  </si>
  <si>
    <t xml:space="preserve">9603-3/99</t>
  </si>
  <si>
    <t xml:space="preserve">Atividades funerárias e serviços relacionados não especificados anteriormente</t>
  </si>
  <si>
    <t xml:space="preserve">7723-3/00</t>
  </si>
  <si>
    <t xml:space="preserve">Aluguel de objetos do vestuário, jóias e acessórios</t>
  </si>
  <si>
    <t xml:space="preserve">Clothing Rental – Costumes, Uniforms, Formal Wear</t>
  </si>
  <si>
    <t xml:space="preserve">9609-2/05</t>
  </si>
  <si>
    <t xml:space="preserve">Atividades de sauna e banhos</t>
  </si>
  <si>
    <t xml:space="preserve">Massage Parlors</t>
  </si>
  <si>
    <t xml:space="preserve">1830-0/01</t>
  </si>
  <si>
    <t xml:space="preserve">Reprodução de som em qualquer suporte</t>
  </si>
  <si>
    <t xml:space="preserve">Other Services—not elsewhere classified</t>
  </si>
  <si>
    <t xml:space="preserve">2399-1/01</t>
  </si>
  <si>
    <t xml:space="preserve">Decoração, lapidação, gravação, vitrificação e outros trabalhos em cerâmica, louça, vidro e cristal</t>
  </si>
  <si>
    <t xml:space="preserve">Miscellaneous Personal Services (Not Elsewhere Classified)</t>
  </si>
  <si>
    <t xml:space="preserve">3329-5/01</t>
  </si>
  <si>
    <t xml:space="preserve">Serviços de montagem de móveis de qualquer material</t>
  </si>
  <si>
    <t xml:space="preserve">3329-5/99</t>
  </si>
  <si>
    <t xml:space="preserve">Instalação de outros equipamentos não especificados anteriormente</t>
  </si>
  <si>
    <t xml:space="preserve">4329-1/01</t>
  </si>
  <si>
    <t xml:space="preserve">Instalação de painéis publicitários</t>
  </si>
  <si>
    <t xml:space="preserve">4399-1/04</t>
  </si>
  <si>
    <t xml:space="preserve">Serviços de operação e fornecimento de equipamentos para transporte e elevação de cargas e pessoas para uso em obras</t>
  </si>
  <si>
    <t xml:space="preserve">5231-1/01</t>
  </si>
  <si>
    <t xml:space="preserve">Administração da infra-estrutura portuária</t>
  </si>
  <si>
    <t xml:space="preserve">5920-1/00</t>
  </si>
  <si>
    <t xml:space="preserve">Atividades de gravação de som e de edição de música</t>
  </si>
  <si>
    <t xml:space="preserve">6399-2/00</t>
  </si>
  <si>
    <t xml:space="preserve">Outras atividades de prestação de serviços de informação não especificadas anteriormente</t>
  </si>
  <si>
    <t xml:space="preserve">6911-7/03</t>
  </si>
  <si>
    <t xml:space="preserve">Agente de propriedade industrial</t>
  </si>
  <si>
    <t xml:space="preserve">ATIVIDADES JURÍDICAS, DE CONTABILIDADE E DE AUDITORIA</t>
  </si>
  <si>
    <t xml:space="preserve">7420-0/05</t>
  </si>
  <si>
    <t xml:space="preserve">Serviços de microfilmagem</t>
  </si>
  <si>
    <t xml:space="preserve">8299-7/99</t>
  </si>
  <si>
    <t xml:space="preserve">Outras atividades de serviços prestados principalmente às empresas não especificadas anteriormente</t>
  </si>
  <si>
    <t xml:space="preserve">9002-7/01</t>
  </si>
  <si>
    <t xml:space="preserve">Atividades de artistas plásticos, jornalistas independentes e escritores</t>
  </si>
  <si>
    <t xml:space="preserve">9609-2/04</t>
  </si>
  <si>
    <t xml:space="preserve">Exploração de máquinas de serviços pessoais acionadas por moeda</t>
  </si>
  <si>
    <t xml:space="preserve">9609-2/06</t>
  </si>
  <si>
    <t xml:space="preserve">Serviços de tatuagem e colocação de piercing</t>
  </si>
  <si>
    <t xml:space="preserve">9609-2/07</t>
  </si>
  <si>
    <t xml:space="preserve">Alojamento de animais domésticos</t>
  </si>
  <si>
    <t xml:space="preserve">9609-2/99</t>
  </si>
  <si>
    <t xml:space="preserve">Outras atividades de serviços pessoais não especificadas anteriormente</t>
  </si>
  <si>
    <t xml:space="preserve">7311-4/00</t>
  </si>
  <si>
    <t xml:space="preserve">Agências de publicidade</t>
  </si>
  <si>
    <t xml:space="preserve">PUBLICIDADE E PESQUISA DE MERCADO</t>
  </si>
  <si>
    <t xml:space="preserve">Advertising Services</t>
  </si>
  <si>
    <t xml:space="preserve">7312-2/00</t>
  </si>
  <si>
    <t xml:space="preserve">Agenciamento de espaços para publicidade, exceto em veículos de comunicação</t>
  </si>
  <si>
    <t xml:space="preserve">7319-0/01</t>
  </si>
  <si>
    <t xml:space="preserve">Criação de estandes para feiras e exposições</t>
  </si>
  <si>
    <t xml:space="preserve">7319-0/02</t>
  </si>
  <si>
    <t xml:space="preserve">Promoção de vendas</t>
  </si>
  <si>
    <t xml:space="preserve">7319-0/04</t>
  </si>
  <si>
    <t xml:space="preserve">Consultoria em publicidade</t>
  </si>
  <si>
    <t xml:space="preserve">7319-0/99</t>
  </si>
  <si>
    <t xml:space="preserve">Outras atividades de publicidade não especificadas anteriormente</t>
  </si>
  <si>
    <t xml:space="preserve">8111-7/00</t>
  </si>
  <si>
    <t xml:space="preserve">Serviços combinados para apoio a edifícios, exceto condomínios prediais</t>
  </si>
  <si>
    <t xml:space="preserve">Cleaning, Maintenance, and Janitorial Services</t>
  </si>
  <si>
    <t xml:space="preserve">8112-5/00</t>
  </si>
  <si>
    <t xml:space="preserve">Condomínios prediais</t>
  </si>
  <si>
    <t xml:space="preserve">8121-4/00</t>
  </si>
  <si>
    <t xml:space="preserve">Limpeza em prédios e em domicílios</t>
  </si>
  <si>
    <t xml:space="preserve">8129-0/00</t>
  </si>
  <si>
    <t xml:space="preserve">Atividades de limpeza não especificadas anteriormente</t>
  </si>
  <si>
    <t xml:space="preserve">9700-5/00</t>
  </si>
  <si>
    <t xml:space="preserve">Serviços domésticos</t>
  </si>
  <si>
    <t xml:space="preserve">SV DOMÉSTICOS</t>
  </si>
  <si>
    <t xml:space="preserve">SERVIÇOS DOMÉSTICOS</t>
  </si>
  <si>
    <t xml:space="preserve">7810-8/00</t>
  </si>
  <si>
    <t xml:space="preserve">Seleção e agenciamento de mão-de-obra</t>
  </si>
  <si>
    <t xml:space="preserve">SELEÇÃO, AGENCIAMENTO E LOCAÇÃO DE MÃO-DE-OBRA</t>
  </si>
  <si>
    <t xml:space="preserve">Employment Agencies and Temporary Help Services</t>
  </si>
  <si>
    <t xml:space="preserve">7820-5/00</t>
  </si>
  <si>
    <t xml:space="preserve">Locação de mão-de-obra temporária</t>
  </si>
  <si>
    <t xml:space="preserve">7830-2/00</t>
  </si>
  <si>
    <t xml:space="preserve">Fornecimento e gestão de recursos humanos para terceiros</t>
  </si>
  <si>
    <t xml:space="preserve">6209-1/00</t>
  </si>
  <si>
    <t xml:space="preserve">Suporte técnico, manutenção e outros serviços em tecnologia da informação</t>
  </si>
  <si>
    <t xml:space="preserve">Computer Maintenance, Repair and Services (Not Elsewhere Classified)</t>
  </si>
  <si>
    <t xml:space="preserve">9511-8/00</t>
  </si>
  <si>
    <t xml:space="preserve">Reparação e manutenção de computadores e de equipamentos periféricos</t>
  </si>
  <si>
    <t xml:space="preserve">REPARAÇÃO E MANUTENÇÃO DE EQUIPAMENTOS DE INFORMÁTICA E COMUNICAÇÃO E DE OBJETOS PESSOAIS E DOMÉSTICOS</t>
  </si>
  <si>
    <t xml:space="preserve">7729-2/02</t>
  </si>
  <si>
    <t xml:space="preserve">Aluguel de móveis, utensílios e aparelhos de uso doméstico e pessoal; instrumentos musicais</t>
  </si>
  <si>
    <t xml:space="preserve">Equipment, Tool, Furniture, and Appliance Rental and Leasing</t>
  </si>
  <si>
    <t xml:space="preserve">7729-2/03</t>
  </si>
  <si>
    <t xml:space="preserve">Aluguel de material médico</t>
  </si>
  <si>
    <t xml:space="preserve">7729-2/99</t>
  </si>
  <si>
    <t xml:space="preserve">Aluguel de outros objetos pessoais e domésticos não especificados anteriormente</t>
  </si>
  <si>
    <t xml:space="preserve">7731-4/00</t>
  </si>
  <si>
    <t xml:space="preserve">Aluguel de máquinas e equipamentos agrícolas sem operador</t>
  </si>
  <si>
    <t xml:space="preserve">7732-2/01</t>
  </si>
  <si>
    <t xml:space="preserve">Aluguel de máquinas e equipamentos para construção sem operador, exceto andaimes</t>
  </si>
  <si>
    <t xml:space="preserve">7732-2/02</t>
  </si>
  <si>
    <t xml:space="preserve">Aluguel de andaimes</t>
  </si>
  <si>
    <t xml:space="preserve">7733-1/00</t>
  </si>
  <si>
    <t xml:space="preserve">Aluguel de máquinas e equipamentos para escritório</t>
  </si>
  <si>
    <t xml:space="preserve">7739-0/01</t>
  </si>
  <si>
    <t xml:space="preserve">Aluguel de máquinas e equipamentos para extração de minérios e petróleo, sem operador</t>
  </si>
  <si>
    <t xml:space="preserve">7739-0/02</t>
  </si>
  <si>
    <t xml:space="preserve">Aluguel de equipamentos científicos, médicos e hospitalares, sem operador</t>
  </si>
  <si>
    <t xml:space="preserve">7739-0/03</t>
  </si>
  <si>
    <t xml:space="preserve">Aluguel de palcos, coberturas e outras estruturas de uso temporário, exceto andaimes</t>
  </si>
  <si>
    <t xml:space="preserve">7739-0/99</t>
  </si>
  <si>
    <t xml:space="preserve">Aluguel de outras máquinas e equipamentos comerciais e industriais não especificados anteriormente, sem operador</t>
  </si>
  <si>
    <t xml:space="preserve">3321-0/00</t>
  </si>
  <si>
    <t xml:space="preserve">Instalação de máquinas e equipamentos industriais</t>
  </si>
  <si>
    <t xml:space="preserve">Business Services (Not Elsewhere Classified)</t>
  </si>
  <si>
    <t xml:space="preserve">3832-7/00</t>
  </si>
  <si>
    <t xml:space="preserve">Recuperação de materiais plásticos</t>
  </si>
  <si>
    <t xml:space="preserve">3839-4/01</t>
  </si>
  <si>
    <t xml:space="preserve">Usinas de compostagem</t>
  </si>
  <si>
    <t xml:space="preserve">3839-4/99</t>
  </si>
  <si>
    <t xml:space="preserve">Recuperação de materiais não especificados anteriormente</t>
  </si>
  <si>
    <t xml:space="preserve">5030-1/03</t>
  </si>
  <si>
    <t xml:space="preserve">Serviço de rebocadores e empurradores</t>
  </si>
  <si>
    <t xml:space="preserve">5231-1/02</t>
  </si>
  <si>
    <t xml:space="preserve">Atividades do Operador Portuário</t>
  </si>
  <si>
    <t xml:space="preserve">5231-1/03</t>
  </si>
  <si>
    <t xml:space="preserve">Gestão de terminais aquaviários</t>
  </si>
  <si>
    <t xml:space="preserve">5239-7/01</t>
  </si>
  <si>
    <t xml:space="preserve">Serviços de praticagem</t>
  </si>
  <si>
    <t xml:space="preserve">5239-7/99</t>
  </si>
  <si>
    <t xml:space="preserve">Atividades auxiliares dos transportes aquaviários não especificadas anteriormente</t>
  </si>
  <si>
    <t xml:space="preserve">5250-8/01</t>
  </si>
  <si>
    <t xml:space="preserve">Comissaria de despachos</t>
  </si>
  <si>
    <t xml:space="preserve">5250-8/02</t>
  </si>
  <si>
    <t xml:space="preserve">Atividades de despachantes aduaneiros</t>
  </si>
  <si>
    <t xml:space="preserve">7490-1/01</t>
  </si>
  <si>
    <t xml:space="preserve">Serviços de tradução, interpretação e similares</t>
  </si>
  <si>
    <t xml:space="preserve">7719-5/02</t>
  </si>
  <si>
    <t xml:space="preserve">Locação de aeronaves sem tripulação</t>
  </si>
  <si>
    <t xml:space="preserve">8219-9/99</t>
  </si>
  <si>
    <t xml:space="preserve">Preparação de documentos e serviços especializados de apoio administrativo não especificados anteriormente</t>
  </si>
  <si>
    <t xml:space="preserve">8292-0/00</t>
  </si>
  <si>
    <t xml:space="preserve">Envasamento e empacotamento sob contrato</t>
  </si>
  <si>
    <t xml:space="preserve">8299-7/02</t>
  </si>
  <si>
    <t xml:space="preserve">Emissão de vales-alimentação, vales-transporte e similares</t>
  </si>
  <si>
    <t xml:space="preserve">9529-1/02</t>
  </si>
  <si>
    <t xml:space="preserve">Chaveiros</t>
  </si>
  <si>
    <t xml:space="preserve">5239-7/00</t>
  </si>
  <si>
    <t xml:space="preserve">7711-0/00</t>
  </si>
  <si>
    <t xml:space="preserve">Locação de automóveis sem condutor</t>
  </si>
  <si>
    <t xml:space="preserve">Automobile Rental Agency—not elsewhere classified</t>
  </si>
  <si>
    <t xml:space="preserve">7719-5/99</t>
  </si>
  <si>
    <t xml:space="preserve">Locação de outros meios de transporte não especificados anteriormente, sem condutor</t>
  </si>
  <si>
    <t xml:space="preserve">5223-1/00</t>
  </si>
  <si>
    <t xml:space="preserve">Estacionamento de veículos</t>
  </si>
  <si>
    <t xml:space="preserve">Parking Lots, Parking Meters and Garages</t>
  </si>
  <si>
    <t xml:space="preserve">4520-0/02</t>
  </si>
  <si>
    <t xml:space="preserve">Serviços de lanternagem ou funilaria e pintura de veículos automotores</t>
  </si>
  <si>
    <t xml:space="preserve">Automotive Body Repair Shops</t>
  </si>
  <si>
    <t xml:space="preserve">2212-9/00</t>
  </si>
  <si>
    <t xml:space="preserve">Reforma de pneumáticos usados</t>
  </si>
  <si>
    <t xml:space="preserve">Tire Retreading and Repair Shops</t>
  </si>
  <si>
    <t xml:space="preserve">4520-0/06</t>
  </si>
  <si>
    <t xml:space="preserve">Serviços de borracharia para veículos automotores</t>
  </si>
  <si>
    <t xml:space="preserve">2722-8/02</t>
  </si>
  <si>
    <t xml:space="preserve">Recondicionamento de baterias e acumuladores para veículos automotores</t>
  </si>
  <si>
    <t xml:space="preserve">Automotive Service Shops (Non-Dealer)</t>
  </si>
  <si>
    <t xml:space="preserve">2950-6/00</t>
  </si>
  <si>
    <t xml:space="preserve">Recondicionamento e recuperação de motores para veículos automotores</t>
  </si>
  <si>
    <t xml:space="preserve">4520-0/01</t>
  </si>
  <si>
    <t xml:space="preserve">Serviços de manutenção e reparação mecânica de veículos automotores</t>
  </si>
  <si>
    <t xml:space="preserve">4520-0/03</t>
  </si>
  <si>
    <t xml:space="preserve">Serviços de manutenção e reparação elétrica de veículos automotores</t>
  </si>
  <si>
    <t xml:space="preserve">4520-0/04</t>
  </si>
  <si>
    <t xml:space="preserve">Serviços de alinhamento e balanceamento de veículos automotores</t>
  </si>
  <si>
    <t xml:space="preserve">4543-9/00</t>
  </si>
  <si>
    <t xml:space="preserve">Manutenção e reparação de motocicletas e motonetas</t>
  </si>
  <si>
    <t xml:space="preserve">9521-5/00</t>
  </si>
  <si>
    <t xml:space="preserve">Reparação e manutenção de equipamentos eletroeletrônicos de uso pessoal e doméstico</t>
  </si>
  <si>
    <t xml:space="preserve">Electrical and Small Appliance Repair Shops</t>
  </si>
  <si>
    <t xml:space="preserve">9529-1/05</t>
  </si>
  <si>
    <t xml:space="preserve">Reparação de artigos do mobiliário</t>
  </si>
  <si>
    <t xml:space="preserve">Furniture-Reupholstery, Repair, and Refinishing</t>
  </si>
  <si>
    <t xml:space="preserve">7722-5/00</t>
  </si>
  <si>
    <t xml:space="preserve">Aluguel de fitas de vídeo, DVDs e similares</t>
  </si>
  <si>
    <t xml:space="preserve">DVD/Video Tape Rental Stores</t>
  </si>
  <si>
    <t xml:space="preserve">9001-9/02</t>
  </si>
  <si>
    <t xml:space="preserve">Produção musical</t>
  </si>
  <si>
    <t xml:space="preserve">Bands, Orchestras, and Miscellaneous Entertainers (Not Elsewhere Classified)</t>
  </si>
  <si>
    <t xml:space="preserve">9329-8/03</t>
  </si>
  <si>
    <t xml:space="preserve">Exploração de jogos de sinuca, bilhar e similares</t>
  </si>
  <si>
    <t xml:space="preserve">Billiard and Pool Establishments</t>
  </si>
  <si>
    <t xml:space="preserve">9329-8/02</t>
  </si>
  <si>
    <t xml:space="preserve">Exploração de boliches</t>
  </si>
  <si>
    <t xml:space="preserve">Bowling Alleys</t>
  </si>
  <si>
    <t xml:space="preserve">8230-0/01</t>
  </si>
  <si>
    <t xml:space="preserve">Serviços de organização de feiras, congressos, exposições e festas</t>
  </si>
  <si>
    <t xml:space="preserve">Tourist Attractions and Exhibits</t>
  </si>
  <si>
    <t xml:space="preserve">9101-5/00</t>
  </si>
  <si>
    <t xml:space="preserve">Atividades de bibliotecas e arquivos</t>
  </si>
  <si>
    <t xml:space="preserve">ATIVIDADES LIGADAS AO PATRIMÔNIO CULTURAL E AMBIENTAL</t>
  </si>
  <si>
    <t xml:space="preserve">9102-3/01</t>
  </si>
  <si>
    <t xml:space="preserve">Atividades de museus e de exploração de lugares e prédios históricos e atrações similares</t>
  </si>
  <si>
    <t xml:space="preserve">7729-2/01</t>
  </si>
  <si>
    <t xml:space="preserve">Aluguel de aparelhos de jogos eletrônicos</t>
  </si>
  <si>
    <t xml:space="preserve">Video Game Arcades/Establishments</t>
  </si>
  <si>
    <t xml:space="preserve">9329-8/04</t>
  </si>
  <si>
    <t xml:space="preserve">Exploração de jogos eletrônicos recreativos</t>
  </si>
  <si>
    <t xml:space="preserve">9103-1/00</t>
  </si>
  <si>
    <t xml:space="preserve">Atividades de jardins botânicos, zoológicos, parques nacionais, reservas ecológicas e áreas de proteção ambiental</t>
  </si>
  <si>
    <t xml:space="preserve">Aquariums, Seaquariums, Dolphinariums, and Zoos</t>
  </si>
  <si>
    <t xml:space="preserve">3250-7/09</t>
  </si>
  <si>
    <t xml:space="preserve">Serviço de laboratório óptico</t>
  </si>
  <si>
    <t xml:space="preserve">Medical and Dental Laboratories</t>
  </si>
  <si>
    <t xml:space="preserve">8640-2/01</t>
  </si>
  <si>
    <t xml:space="preserve">Laboratórios de anatomia patológica e citológica</t>
  </si>
  <si>
    <t xml:space="preserve">8640-2/02</t>
  </si>
  <si>
    <t xml:space="preserve">Laboratórios clínicos</t>
  </si>
  <si>
    <t xml:space="preserve">8640-2/03</t>
  </si>
  <si>
    <t xml:space="preserve">Serviços de diálise e nefrologia</t>
  </si>
  <si>
    <t xml:space="preserve">8640-2/04</t>
  </si>
  <si>
    <t xml:space="preserve">Serviços de tomografia</t>
  </si>
  <si>
    <t xml:space="preserve">8640-2/05</t>
  </si>
  <si>
    <t xml:space="preserve">Serviços de diagnóstico por imagem com uso de radiação ionizante, exceto tomografia</t>
  </si>
  <si>
    <t xml:space="preserve">8640-2/06</t>
  </si>
  <si>
    <t xml:space="preserve">Serviços de ressonância magnética</t>
  </si>
  <si>
    <t xml:space="preserve">8640-2/07</t>
  </si>
  <si>
    <t xml:space="preserve">Serviços de diagnóstico por imagem sem uso de radiação ionizante, exceto ressonância magnética</t>
  </si>
  <si>
    <t xml:space="preserve">8640-2/08</t>
  </si>
  <si>
    <t xml:space="preserve">Serviços de diagnóstico por registro gráfico - ECG, EEG e outros exames análogos</t>
  </si>
  <si>
    <t xml:space="preserve">8640-2/09</t>
  </si>
  <si>
    <t xml:space="preserve">Serviços de diagnóstico por métodos ópticos - endoscopia e outros exames análogos</t>
  </si>
  <si>
    <t xml:space="preserve">8640-2/10</t>
  </si>
  <si>
    <t xml:space="preserve">Serviços de quimioterapia</t>
  </si>
  <si>
    <t xml:space="preserve">8640-2/11</t>
  </si>
  <si>
    <t xml:space="preserve">Serviços de radioterapia</t>
  </si>
  <si>
    <t xml:space="preserve">8640-2/12</t>
  </si>
  <si>
    <t xml:space="preserve">Serviços de hemoterapia</t>
  </si>
  <si>
    <t xml:space="preserve">8640-2/13</t>
  </si>
  <si>
    <t xml:space="preserve">Serviços de litotripsia</t>
  </si>
  <si>
    <t xml:space="preserve">8640-2/14</t>
  </si>
  <si>
    <t xml:space="preserve">Serviços de bancos de células e tecidos humanos</t>
  </si>
  <si>
    <t xml:space="preserve">8640-2/99</t>
  </si>
  <si>
    <t xml:space="preserve">Atividades de serviços de complementação diagnóstica e terapêutica não especificadas anteriormente</t>
  </si>
  <si>
    <t xml:space="preserve">8513-9/00</t>
  </si>
  <si>
    <t xml:space="preserve">Ensino fundamental</t>
  </si>
  <si>
    <t xml:space="preserve">EDUCAÇÃO</t>
  </si>
  <si>
    <t xml:space="preserve">Elementary and Secondary Schools</t>
  </si>
  <si>
    <t xml:space="preserve">8520-1/00</t>
  </si>
  <si>
    <t xml:space="preserve">Ensino médio</t>
  </si>
  <si>
    <t xml:space="preserve">8531-7/00</t>
  </si>
  <si>
    <t xml:space="preserve">Educação superior - graduação</t>
  </si>
  <si>
    <t xml:space="preserve">Colleges, Universities, Professional Schools, and Junior Colleges</t>
  </si>
  <si>
    <t xml:space="preserve">8532-5/00</t>
  </si>
  <si>
    <t xml:space="preserve">Educação superior - graduação e pós-graduação</t>
  </si>
  <si>
    <t xml:space="preserve">8533-3/00</t>
  </si>
  <si>
    <t xml:space="preserve">Educação superior - pós-graduação e extensão</t>
  </si>
  <si>
    <t xml:space="preserve">8550-3/01</t>
  </si>
  <si>
    <t xml:space="preserve">Administração de caixas escolares</t>
  </si>
  <si>
    <t xml:space="preserve">Schools, Business and Secretarial</t>
  </si>
  <si>
    <t xml:space="preserve">8550-3/02</t>
  </si>
  <si>
    <t xml:space="preserve">Atividades de apoio à educação, exceto caixas escolares</t>
  </si>
  <si>
    <t xml:space="preserve">8599-6/03</t>
  </si>
  <si>
    <t xml:space="preserve">Treinamento em informática</t>
  </si>
  <si>
    <t xml:space="preserve">Business and Secretarial Schools</t>
  </si>
  <si>
    <t xml:space="preserve">8541-4/00</t>
  </si>
  <si>
    <t xml:space="preserve">Educação profissional de nível técnico</t>
  </si>
  <si>
    <t xml:space="preserve">Vocational and Trade Schools</t>
  </si>
  <si>
    <t xml:space="preserve">8542-2/00</t>
  </si>
  <si>
    <t xml:space="preserve">Educação profissional de nível tecnológico</t>
  </si>
  <si>
    <t xml:space="preserve">8511-2/00</t>
  </si>
  <si>
    <t xml:space="preserve">Educação infantil - creche</t>
  </si>
  <si>
    <t xml:space="preserve">Child Care Services</t>
  </si>
  <si>
    <t xml:space="preserve">8512-1/00</t>
  </si>
  <si>
    <t xml:space="preserve">Educação infantil - pré-escola</t>
  </si>
  <si>
    <t xml:space="preserve">8730-1/01</t>
  </si>
  <si>
    <t xml:space="preserve">Orfanatos</t>
  </si>
  <si>
    <t xml:space="preserve">ATIVIDADES DE ATENÇÃO À SAÚDE HUMANA INTEGRADAS COM ASSISTÊNCIA SOCIAL, PRESTADAS EM RESIDÊNCIAS COLETIVAS E PARTICULARES</t>
  </si>
  <si>
    <t xml:space="preserve">Charitable and Social Service Organizations</t>
  </si>
  <si>
    <t xml:space="preserve">8730-1/02</t>
  </si>
  <si>
    <t xml:space="preserve">Albergues assistenciais</t>
  </si>
  <si>
    <t xml:space="preserve">8730-1/99</t>
  </si>
  <si>
    <t xml:space="preserve">Atividades de assistência social prestadas em residências coletivas e particulares não especificadas anteriormente</t>
  </si>
  <si>
    <t xml:space="preserve">8800-6/00</t>
  </si>
  <si>
    <t xml:space="preserve">Serviços de assistência social sem alojamento</t>
  </si>
  <si>
    <t xml:space="preserve">SERVIÇOS DE ASSISTÊNCIA SOCIAL SEM ALOJAMENTO</t>
  </si>
  <si>
    <t xml:space="preserve">4221-9/01</t>
  </si>
  <si>
    <t xml:space="preserve">Construção de barragens e represas para geração de energia elétrica</t>
  </si>
  <si>
    <t xml:space="preserve">Architectural, Engineering, and Surveying Services</t>
  </si>
  <si>
    <t xml:space="preserve">4221-9/02</t>
  </si>
  <si>
    <t xml:space="preserve">Construção de estações e redes de distribuição de energia elétrica</t>
  </si>
  <si>
    <t xml:space="preserve">4221-9/04</t>
  </si>
  <si>
    <t xml:space="preserve">Construção de estações e redes de telecomunicações</t>
  </si>
  <si>
    <t xml:space="preserve">4292-8/01</t>
  </si>
  <si>
    <t xml:space="preserve">Montagem de estruturas metálicas</t>
  </si>
  <si>
    <t xml:space="preserve">4312-6/00</t>
  </si>
  <si>
    <t xml:space="preserve">Perfurações e sondagens</t>
  </si>
  <si>
    <t xml:space="preserve">4313-4/00</t>
  </si>
  <si>
    <t xml:space="preserve">Obras de terraplenagem</t>
  </si>
  <si>
    <t xml:space="preserve">4319-3/00</t>
  </si>
  <si>
    <t xml:space="preserve">Serviços de preparação do terreno não especificados anteriormente</t>
  </si>
  <si>
    <t xml:space="preserve">4329-1/02</t>
  </si>
  <si>
    <t xml:space="preserve">Instalação de equipamentos para orientação à navegação marítima, fluvial e lacustre</t>
  </si>
  <si>
    <t xml:space="preserve">7111-1/00</t>
  </si>
  <si>
    <t xml:space="preserve">Serviços de arquitetura</t>
  </si>
  <si>
    <t xml:space="preserve">7112-0/00</t>
  </si>
  <si>
    <t xml:space="preserve">Serviços de engenharia</t>
  </si>
  <si>
    <t xml:space="preserve">7119-7/01</t>
  </si>
  <si>
    <t xml:space="preserve">Serviços de cartografia, topografia e geodésia</t>
  </si>
  <si>
    <t xml:space="preserve">7119-7/02</t>
  </si>
  <si>
    <t xml:space="preserve">Atividades de estudos geológicos</t>
  </si>
  <si>
    <t xml:space="preserve">7119-7/03</t>
  </si>
  <si>
    <t xml:space="preserve">Serviços de desenho técnico relacionados à arquitetura e engenharia</t>
  </si>
  <si>
    <t xml:space="preserve">7119-7/99</t>
  </si>
  <si>
    <t xml:space="preserve">Atividades técnicas relacionadas à engenharia e arquitetura não especificadas anteriormente</t>
  </si>
  <si>
    <t xml:space="preserve">7410-2/02</t>
  </si>
  <si>
    <t xml:space="preserve">Design de interiores</t>
  </si>
  <si>
    <t xml:space="preserve">6201-5/02</t>
  </si>
  <si>
    <t xml:space="preserve">Web design</t>
  </si>
  <si>
    <t xml:space="preserve">Professional Services (Not Elsewhere Classified)</t>
  </si>
  <si>
    <t xml:space="preserve">6462-0/00</t>
  </si>
  <si>
    <t xml:space="preserve">Holdings de instituições não-financeiras</t>
  </si>
  <si>
    <t xml:space="preserve">ATIV FINANCEIRAS, DE SEGUROS E SV RELACIONADOS</t>
  </si>
  <si>
    <t xml:space="preserve">ATIVIDADES DE SERVIÇOS FINANCEIROS</t>
  </si>
  <si>
    <t xml:space="preserve">6463-8/00</t>
  </si>
  <si>
    <t xml:space="preserve">Outras sociedades de participação, exceto holdings</t>
  </si>
  <si>
    <t xml:space="preserve">6619-3/99</t>
  </si>
  <si>
    <t xml:space="preserve">Outras atividades auxiliares dos serviços financeiros não especificadas anteriormente</t>
  </si>
  <si>
    <t xml:space="preserve">ATIVIDADES AUXILIARES DOS SERVIÇOS FINANCEIROS, SEGUROS, PREVIDÊNCIA COMPLEMENTAR E PLANOS DE SAÚDE</t>
  </si>
  <si>
    <t xml:space="preserve">7119-7/04</t>
  </si>
  <si>
    <t xml:space="preserve">Serviços de perícia técnica relacionados à segurança do trabalho</t>
  </si>
  <si>
    <t xml:space="preserve">7210-0/00</t>
  </si>
  <si>
    <t xml:space="preserve">Pesquisa e desenvolvimento experimental em ciências físicas e naturais</t>
  </si>
  <si>
    <t xml:space="preserve">PESQUISA E DESENVOLVIMENTO CIENTÍFICO</t>
  </si>
  <si>
    <t xml:space="preserve">7220-7/00</t>
  </si>
  <si>
    <t xml:space="preserve">Pesquisa e desenvolvimento experimental em ciências sociais e humanas</t>
  </si>
  <si>
    <t xml:space="preserve">7320-3/00</t>
  </si>
  <si>
    <t xml:space="preserve">Pesquisas de mercado e de opinião pública</t>
  </si>
  <si>
    <t xml:space="preserve">7410-2/03</t>
  </si>
  <si>
    <t xml:space="preserve">Design de produto</t>
  </si>
  <si>
    <t xml:space="preserve">7410-2/99</t>
  </si>
  <si>
    <t xml:space="preserve">Atividades de design não especificadas anteriormente</t>
  </si>
  <si>
    <t xml:space="preserve">7490-1/02</t>
  </si>
  <si>
    <t xml:space="preserve">Escafandria e mergulho</t>
  </si>
  <si>
    <t xml:space="preserve">7490-1/04</t>
  </si>
  <si>
    <t xml:space="preserve">Atividades de intermediação e agenciamento de serviços e negócios em geral, exceto imobiliários</t>
  </si>
  <si>
    <t xml:space="preserve">7490-1/99</t>
  </si>
  <si>
    <t xml:space="preserve">Outras atividades profissionais, científicas e técnicas não especificadas anteriormente</t>
  </si>
  <si>
    <t xml:space="preserve">8299-7/04</t>
  </si>
  <si>
    <t xml:space="preserve">Leiloeiros independentes</t>
  </si>
  <si>
    <t xml:space="preserve">8299-7/05</t>
  </si>
  <si>
    <t xml:space="preserve">Serviços de levantamento de fundos sob contrato</t>
  </si>
  <si>
    <t xml:space="preserve">9412-0/01</t>
  </si>
  <si>
    <t xml:space="preserve">Atividades de fiscalização profissional</t>
  </si>
  <si>
    <t xml:space="preserve">ATIVIDADES DE ORGANIZAÇÕES ASSOCIATIVAS</t>
  </si>
  <si>
    <t xml:space="preserve">9900-8/00</t>
  </si>
  <si>
    <t xml:space="preserve">Organismos internacionais e outras instituições extraterritoriais</t>
  </si>
  <si>
    <t xml:space="preserve">ORG INTERNL E OUTRAS INSTITUIÇÕES EXTRATERRITORIAIS</t>
  </si>
  <si>
    <t xml:space="preserve">ORGANISMOS INTERNACIONAIS E OUTRAS INSTITUIÇÕES EXTRATERRITORIAIS</t>
  </si>
  <si>
    <t xml:space="preserve">6410-7/00</t>
  </si>
  <si>
    <t xml:space="preserve">Banco Central</t>
  </si>
  <si>
    <t xml:space="preserve">Government Services (Not Elsewhere Classified)</t>
  </si>
  <si>
    <t xml:space="preserve">6912-5/00</t>
  </si>
  <si>
    <t xml:space="preserve">Cartórios</t>
  </si>
  <si>
    <t xml:space="preserve">8411-6/00</t>
  </si>
  <si>
    <t xml:space="preserve">Administração pública em geral</t>
  </si>
  <si>
    <t xml:space="preserve">ADM PÚBLICA, DEFESA E SEGURIDADE SOCIAL</t>
  </si>
  <si>
    <t xml:space="preserve">ADMINISTRAÇÃO PÚBLICA, DEFESA E SEGURIDADE SOCIAL</t>
  </si>
  <si>
    <t xml:space="preserve">8412-4/00</t>
  </si>
  <si>
    <t xml:space="preserve">Regulação das atividades de saúde, educação, serviços culturais e outros serviços sociais</t>
  </si>
  <si>
    <t xml:space="preserve">8413-2/00</t>
  </si>
  <si>
    <t xml:space="preserve">Regulação das atividades econômicas</t>
  </si>
  <si>
    <t xml:space="preserve">8421-3/00</t>
  </si>
  <si>
    <t xml:space="preserve">Relações exteriores</t>
  </si>
  <si>
    <t xml:space="preserve">8422-1/00</t>
  </si>
  <si>
    <t xml:space="preserve">Defesa</t>
  </si>
  <si>
    <t xml:space="preserve">8423-0/00</t>
  </si>
  <si>
    <t xml:space="preserve">Justiça</t>
  </si>
  <si>
    <t xml:space="preserve">8424-8/00</t>
  </si>
  <si>
    <t xml:space="preserve">Segurança e ordem pública</t>
  </si>
  <si>
    <t xml:space="preserve">8425-6/00</t>
  </si>
  <si>
    <t xml:space="preserve">Defesa Civil</t>
  </si>
  <si>
    <t xml:space="preserve">8430-2/00</t>
  </si>
  <si>
    <t xml:space="preserve">Seguridade social obrigatória</t>
  </si>
  <si>
    <t xml:space="preserve">5310-5/01</t>
  </si>
  <si>
    <t xml:space="preserve">Atividades do Correio Nacional</t>
  </si>
  <si>
    <t xml:space="preserve">Postal Services – Government Only</t>
  </si>
  <si>
    <t xml:space="preserve">5310-5/02</t>
  </si>
  <si>
    <t xml:space="preserve">Atividades de franqueadas e permissionárias do Correio Nacional</t>
  </si>
  <si>
    <t xml:space="preserve">0810-0/01</t>
  </si>
  <si>
    <t xml:space="preserve">Extração de ardósia e beneficiamento associado</t>
  </si>
  <si>
    <t xml:space="preserve">Insulation, Masonry, Plastering, Stonework, and Tile Setting</t>
  </si>
  <si>
    <t xml:space="preserve">0810-0/02</t>
  </si>
  <si>
    <t xml:space="preserve">Extração de granito e beneficiamento associado</t>
  </si>
  <si>
    <t xml:space="preserve">0810-0/03</t>
  </si>
  <si>
    <t xml:space="preserve">Extração de mármore e beneficiamento associado</t>
  </si>
  <si>
    <t xml:space="preserve">0810-0/04</t>
  </si>
  <si>
    <t xml:space="preserve">Extração de calcário e dolomita e beneficiamento associado</t>
  </si>
  <si>
    <t xml:space="preserve">0810-0/05</t>
  </si>
  <si>
    <t xml:space="preserve">Extração de gesso e caulim</t>
  </si>
  <si>
    <t xml:space="preserve">0810-0/06</t>
  </si>
  <si>
    <t xml:space="preserve">Extração de areia, cascalho ou pedregulho e beneficiamento associado</t>
  </si>
  <si>
    <t xml:space="preserve">0810-0/07</t>
  </si>
  <si>
    <t xml:space="preserve">Extração de argila e beneficiamento associado</t>
  </si>
  <si>
    <t xml:space="preserve">0810-0/08</t>
  </si>
  <si>
    <t xml:space="preserve">Extração de saibro e beneficiamento associado</t>
  </si>
  <si>
    <t xml:space="preserve">0810-0/09</t>
  </si>
  <si>
    <t xml:space="preserve">Extração de basalto e beneficiamento associado</t>
  </si>
  <si>
    <t xml:space="preserve">0810-0/10</t>
  </si>
  <si>
    <t xml:space="preserve">Beneficiamento de gesso e caulim associado à extração</t>
  </si>
  <si>
    <t xml:space="preserve">0810-0/99</t>
  </si>
  <si>
    <t xml:space="preserve">Extração e britamento de pedras e outros materiais para construção e beneficiamento associado</t>
  </si>
  <si>
    <t xml:space="preserve">0899-1/99</t>
  </si>
  <si>
    <t xml:space="preserve">Extração de outros minerais não-metálicos não especificados anteriormente</t>
  </si>
  <si>
    <t xml:space="preserve">Masonry, Stonework, Tile Setting, Plastering and Insulation Contractors</t>
  </si>
  <si>
    <t xml:space="preserve">0990-4/03</t>
  </si>
  <si>
    <t xml:space="preserve">Atividades de apoio à extração de minerais não-metálicos</t>
  </si>
  <si>
    <t xml:space="preserve">2391-5/02</t>
  </si>
  <si>
    <t xml:space="preserve">Aparelhamento de pedras para construção, exceto associado à extração</t>
  </si>
  <si>
    <t xml:space="preserve">4329-1/05</t>
  </si>
  <si>
    <t xml:space="preserve">Tratamentos térmicos, acústicos ou de vibração</t>
  </si>
  <si>
    <t xml:space="preserve">4330-4/03</t>
  </si>
  <si>
    <t xml:space="preserve">Obras de acabamento em gesso e estuque</t>
  </si>
  <si>
    <t xml:space="preserve">4330-4/05</t>
  </si>
  <si>
    <t xml:space="preserve">Aplicação de revestimentos e de resinas em interiores e exteriores</t>
  </si>
  <si>
    <t xml:space="preserve">4399-1/03</t>
  </si>
  <si>
    <t xml:space="preserve">Obras de alvenaria</t>
  </si>
  <si>
    <t xml:space="preserve">2513-6/00</t>
  </si>
  <si>
    <t xml:space="preserve">Fabricação de obras de caldeiraria pesada</t>
  </si>
  <si>
    <t xml:space="preserve">Contractors, Special Trade—not elsewhere classified</t>
  </si>
  <si>
    <t xml:space="preserve">4299-5/01</t>
  </si>
  <si>
    <t xml:space="preserve">Construção de instalações esportivas e recreativas</t>
  </si>
  <si>
    <t xml:space="preserve">4299-5/99</t>
  </si>
  <si>
    <t xml:space="preserve">Outras obras de engenharia civil não especificadas anteriormente</t>
  </si>
  <si>
    <t xml:space="preserve">4329-1/99</t>
  </si>
  <si>
    <t xml:space="preserve">Outras obras de instalações em construções não especificadas anteriormente</t>
  </si>
  <si>
    <t xml:space="preserve">Special Trade Contractors (Not Elsewhere Classified)</t>
  </si>
  <si>
    <t xml:space="preserve">4330-4/01</t>
  </si>
  <si>
    <t xml:space="preserve">Impermeabilização em obras de engenharia civil</t>
  </si>
  <si>
    <t xml:space="preserve">4330-4/99</t>
  </si>
  <si>
    <t xml:space="preserve">Outras obras de acabamento da construção</t>
  </si>
  <si>
    <t xml:space="preserve">4399-1/02</t>
  </si>
  <si>
    <t xml:space="preserve">Montagem e desmontagem de andaimes e outras estruturas temporárias</t>
  </si>
  <si>
    <t xml:space="preserve">4399-1/05</t>
  </si>
  <si>
    <t xml:space="preserve">Perfuração e construção de poços de água</t>
  </si>
  <si>
    <t xml:space="preserve">1811-3/01</t>
  </si>
  <si>
    <t xml:space="preserve">Impressão de jornais</t>
  </si>
  <si>
    <t xml:space="preserve">Miscellaneous Publishing and Printing</t>
  </si>
  <si>
    <t xml:space="preserve">1811-3/02</t>
  </si>
  <si>
    <t xml:space="preserve">Impressão de livros, revistas e outras publicações periódicas</t>
  </si>
  <si>
    <t xml:space="preserve">1812-1/00</t>
  </si>
  <si>
    <t xml:space="preserve">Impressão de material de segurança</t>
  </si>
  <si>
    <t xml:space="preserve">1813-0/01</t>
  </si>
  <si>
    <t xml:space="preserve">Impressão de material para uso publicitário</t>
  </si>
  <si>
    <t xml:space="preserve">1813-0/99</t>
  </si>
  <si>
    <t xml:space="preserve">Impressão de material para outros usos</t>
  </si>
  <si>
    <t xml:space="preserve">5811-5/00</t>
  </si>
  <si>
    <t xml:space="preserve">Edição de livros</t>
  </si>
  <si>
    <t xml:space="preserve">EDIÇÃO E EDIÇÃO INTEGRADA À IMPRESSÃO</t>
  </si>
  <si>
    <t xml:space="preserve">5812-3/01</t>
  </si>
  <si>
    <t xml:space="preserve">Edição de jornais diários</t>
  </si>
  <si>
    <t xml:space="preserve">5812-3/02</t>
  </si>
  <si>
    <t xml:space="preserve">Edição de jornais não diários</t>
  </si>
  <si>
    <t xml:space="preserve">5813-1/00</t>
  </si>
  <si>
    <t xml:space="preserve">Edição de revistas</t>
  </si>
  <si>
    <t xml:space="preserve">5819-1/00</t>
  </si>
  <si>
    <t xml:space="preserve">Edição de cadastros, listas e outros produtos gráficos</t>
  </si>
  <si>
    <t xml:space="preserve">5821-2/00</t>
  </si>
  <si>
    <t xml:space="preserve">Edição integrada à impressão de livros</t>
  </si>
  <si>
    <t xml:space="preserve">5822-1/01</t>
  </si>
  <si>
    <t xml:space="preserve">Edição integrada à impressão de jornais diários</t>
  </si>
  <si>
    <t xml:space="preserve">5822-1/02</t>
  </si>
  <si>
    <t xml:space="preserve">Edição integrada à impressão de jornais não diários</t>
  </si>
  <si>
    <t xml:space="preserve">5823-9/00</t>
  </si>
  <si>
    <t xml:space="preserve">Edição integrada à impressão de revistas</t>
  </si>
  <si>
    <t xml:space="preserve">5829-8/00</t>
  </si>
  <si>
    <t xml:space="preserve">Edição integrada à impressão de cadastros, listas e outros produtos gráficos</t>
  </si>
  <si>
    <t xml:space="preserve">5822-1/00</t>
  </si>
  <si>
    <t xml:space="preserve">Edição integrada à impressão de jornais</t>
  </si>
  <si>
    <t xml:space="preserve">5812-3/00</t>
  </si>
  <si>
    <t xml:space="preserve">Edição de jornais</t>
  </si>
  <si>
    <t xml:space="preserve">1830-0/03</t>
  </si>
  <si>
    <t xml:space="preserve">Reprodução de software em qualquer suporte</t>
  </si>
  <si>
    <t xml:space="preserve">Computers and Computer Peripheral Equipment and Software</t>
  </si>
  <si>
    <t xml:space="preserve">2621-3/00</t>
  </si>
  <si>
    <t xml:space="preserve">Fabricação de equipamentos de informática</t>
  </si>
  <si>
    <t xml:space="preserve">2622-1/00</t>
  </si>
  <si>
    <t xml:space="preserve">Fabricação de periféricos para equipamentos de informática</t>
  </si>
  <si>
    <t xml:space="preserve">4651-6/01</t>
  </si>
  <si>
    <t xml:space="preserve">Comércio atacadista de equipamentos de informática</t>
  </si>
  <si>
    <t xml:space="preserve">4651-6/02</t>
  </si>
  <si>
    <t xml:space="preserve">Comércio atacadista de suprimentos para informática</t>
  </si>
  <si>
    <t xml:space="preserve">0724-3/01</t>
  </si>
  <si>
    <t xml:space="preserve">Extração de minério de metais preciosos</t>
  </si>
  <si>
    <t xml:space="preserve">Precious Stones and Metals, Watches and Jewelry</t>
  </si>
  <si>
    <t xml:space="preserve">0724-3/02</t>
  </si>
  <si>
    <t xml:space="preserve">Beneficiamento de minério de metais preciosos</t>
  </si>
  <si>
    <t xml:space="preserve">0893-2/00</t>
  </si>
  <si>
    <t xml:space="preserve">Extração de gemas (pedras preciosas e semipreciosas)</t>
  </si>
  <si>
    <t xml:space="preserve">2652-3/00</t>
  </si>
  <si>
    <t xml:space="preserve">Fabricação de cronômetros e relógios</t>
  </si>
  <si>
    <t xml:space="preserve">3211-6/01</t>
  </si>
  <si>
    <t xml:space="preserve">Lapidação de gemas</t>
  </si>
  <si>
    <t xml:space="preserve">3211-6/02</t>
  </si>
  <si>
    <t xml:space="preserve">Fabricação de artefatos de joalheria e ourivesaria</t>
  </si>
  <si>
    <t xml:space="preserve">3211-6/03</t>
  </si>
  <si>
    <t xml:space="preserve">Cunhagem de moedas e medalhas</t>
  </si>
  <si>
    <t xml:space="preserve">3212-4/00</t>
  </si>
  <si>
    <t xml:space="preserve">Fabricação de bijuterias e artefatos semelhantes</t>
  </si>
  <si>
    <t xml:space="preserve">4649-4/10</t>
  </si>
  <si>
    <t xml:space="preserve">Comércio atacadista de jóias, relógios e bijuterias, inclusive pedras preciosas e semipreciosas lapidadas</t>
  </si>
  <si>
    <t xml:space="preserve">1610-2/01</t>
  </si>
  <si>
    <t xml:space="preserve">Serrarias com desdobramento de madeira</t>
  </si>
  <si>
    <t xml:space="preserve">Building Materials, Lumber Stores</t>
  </si>
  <si>
    <t xml:space="preserve">1610-2/02</t>
  </si>
  <si>
    <t xml:space="preserve">Serrarias sem desdobramento de madeira</t>
  </si>
  <si>
    <t xml:space="preserve">1610-2/03</t>
  </si>
  <si>
    <t xml:space="preserve">Serrarias com desdobramento de madeira em bruto</t>
  </si>
  <si>
    <t xml:space="preserve">1610-2/04</t>
  </si>
  <si>
    <t xml:space="preserve">Serrarias sem desdobramento de madeira em bruto - resserragem</t>
  </si>
  <si>
    <t xml:space="preserve">1610-2/05</t>
  </si>
  <si>
    <t xml:space="preserve">Serviço de tratamento de madeira realizado sob contrato</t>
  </si>
  <si>
    <t xml:space="preserve">4742-3/00</t>
  </si>
  <si>
    <t xml:space="preserve">Comércio varejista de material elétrico</t>
  </si>
  <si>
    <t xml:space="preserve">Lumber and Building Materials Stores</t>
  </si>
  <si>
    <t xml:space="preserve">4744-0/02</t>
  </si>
  <si>
    <t xml:space="preserve">Comércio varejista de madeira e artefatos</t>
  </si>
  <si>
    <t xml:space="preserve">4744-0/03</t>
  </si>
  <si>
    <t xml:space="preserve">Comércio varejista de materiais hidráulicos</t>
  </si>
  <si>
    <t xml:space="preserve">4744-0/04</t>
  </si>
  <si>
    <t xml:space="preserve">Comércio varejista de cal, areia, pedra britada, tijolos e telhas</t>
  </si>
  <si>
    <t xml:space="preserve">4744-0/05</t>
  </si>
  <si>
    <t xml:space="preserve">Comércio varejista de materiais de construção não especificados anteriormente</t>
  </si>
  <si>
    <t xml:space="preserve">4744-0/06</t>
  </si>
  <si>
    <t xml:space="preserve">Comércio varejista de pedras para revestimento</t>
  </si>
  <si>
    <t xml:space="preserve">4744-0/99</t>
  </si>
  <si>
    <t xml:space="preserve">Comércio varejista de materiais de construção em geral</t>
  </si>
  <si>
    <t xml:space="preserve">4731-8/00</t>
  </si>
  <si>
    <t xml:space="preserve">Comércio varejista de combustíveis para veículos automotores</t>
  </si>
  <si>
    <t xml:space="preserve">Service Stations (With or without Ancillary Services)</t>
  </si>
  <si>
    <t xml:space="preserve">4789-0/01</t>
  </si>
  <si>
    <t xml:space="preserve">Comércio varejista de suvenires, bijuterias e artesanatos</t>
  </si>
  <si>
    <t xml:space="preserve">4782-2/01</t>
  </si>
  <si>
    <t xml:space="preserve">Comércio varejista de calçados</t>
  </si>
  <si>
    <t xml:space="preserve">Shoe Stores</t>
  </si>
  <si>
    <t xml:space="preserve">4755-5/03</t>
  </si>
  <si>
    <t xml:space="preserve">Comercio varejista de artigos de cama, mesa e banho</t>
  </si>
  <si>
    <t xml:space="preserve">Miscellaneous House Furnishing Specialty Shops</t>
  </si>
  <si>
    <t xml:space="preserve">4753-9/00</t>
  </si>
  <si>
    <t xml:space="preserve">Comércio varejista especializado de eletrodomésticos e equipamentos de áudio e vídeo</t>
  </si>
  <si>
    <t xml:space="preserve">Household Appliance Stores</t>
  </si>
  <si>
    <t xml:space="preserve">4757-1/00</t>
  </si>
  <si>
    <t xml:space="preserve">Comércio varejista especializado de peças e acessórios para aparelhos eletroeletrônicos para uso doméstico, exceto informática e comunicação</t>
  </si>
  <si>
    <t xml:space="preserve">Electronics Stores</t>
  </si>
  <si>
    <t xml:space="preserve">4756-3/00</t>
  </si>
  <si>
    <t xml:space="preserve">Comércio varejista especializado de instrumentos musicais e acessórios</t>
  </si>
  <si>
    <t xml:space="preserve">Music Stores – Musical Instruments, Pianos, and Sheet Music</t>
  </si>
  <si>
    <t xml:space="preserve">4771-7/01</t>
  </si>
  <si>
    <t xml:space="preserve">Comércio varejista de produtos farmacêuticos, sem manipulação de fórmulas</t>
  </si>
  <si>
    <t xml:space="preserve">Drug Stores and Pharmacies</t>
  </si>
  <si>
    <t xml:space="preserve">4771-7/02</t>
  </si>
  <si>
    <t xml:space="preserve">Comércio varejista de produtos farmacêuticos, com manipulação de fórmulas</t>
  </si>
  <si>
    <t xml:space="preserve">4771-7/03</t>
  </si>
  <si>
    <t xml:space="preserve">Comércio varejista de produtos farmacêuticos homeopáticos</t>
  </si>
  <si>
    <t xml:space="preserve">4771-7/04</t>
  </si>
  <si>
    <t xml:space="preserve">Comércio varejista de medicamentos veterinários</t>
  </si>
  <si>
    <t xml:space="preserve">4763-6/01</t>
  </si>
  <si>
    <t xml:space="preserve">Comércio varejista de brinquedos e artigos recreativos</t>
  </si>
  <si>
    <t xml:space="preserve">Hobby, Toy, and Game Shops</t>
  </si>
  <si>
    <t xml:space="preserve">4782-2/02</t>
  </si>
  <si>
    <t xml:space="preserve">Comércio varejista de artigos de viagem</t>
  </si>
  <si>
    <t xml:space="preserve">Card, Gift, Novelty, and Souvenir Shops</t>
  </si>
  <si>
    <t xml:space="preserve">4755-5/01</t>
  </si>
  <si>
    <t xml:space="preserve">Comércio varejista de tecidos</t>
  </si>
  <si>
    <t xml:space="preserve">Sewing, Needlework, Fabric and Piece Goods Stores</t>
  </si>
  <si>
    <t xml:space="preserve">4755-5/02</t>
  </si>
  <si>
    <t xml:space="preserve">Comercio varejista de artigos de armarinho</t>
  </si>
  <si>
    <t xml:space="preserve">4772-5/00</t>
  </si>
  <si>
    <t xml:space="preserve">Comércio varejista de cosméticos, produtos de perfumaria e de higiene pessoal</t>
  </si>
  <si>
    <t xml:space="preserve">Cosmetic Stores</t>
  </si>
  <si>
    <t xml:space="preserve">9602-5/01</t>
  </si>
  <si>
    <t xml:space="preserve">Cabeleireiros, manicure e pedicure</t>
  </si>
  <si>
    <t xml:space="preserve">Beauty and Barber Shops</t>
  </si>
  <si>
    <t xml:space="preserve">9529-1/01</t>
  </si>
  <si>
    <t xml:space="preserve">Reparação de calçados, bolsas e artigos de viagem</t>
  </si>
  <si>
    <t xml:space="preserve">Shoe Repair Shops, Shoe Shine Parlors, and Hat Cleaning Shops</t>
  </si>
  <si>
    <t xml:space="preserve">1822-9/01</t>
  </si>
  <si>
    <t xml:space="preserve">Serviços de encadernação e plastificação</t>
  </si>
  <si>
    <t xml:space="preserve">Quick Copy, Reproduction, and Blueprinting Services</t>
  </si>
  <si>
    <t xml:space="preserve">1822-9/99</t>
  </si>
  <si>
    <t xml:space="preserve">Serviços de acabamentos gráficos, exceto encadernação e plastificação</t>
  </si>
  <si>
    <t xml:space="preserve">8219-9/01</t>
  </si>
  <si>
    <t xml:space="preserve">Fotocópias</t>
  </si>
  <si>
    <t xml:space="preserve">1822-9/00</t>
  </si>
  <si>
    <t xml:space="preserve">Serviços de acabamentos gráficos</t>
  </si>
  <si>
    <t xml:space="preserve">0162-8/01</t>
  </si>
  <si>
    <t xml:space="preserve">Serviço de inseminação artificial em animais</t>
  </si>
  <si>
    <t xml:space="preserve">Veterinary Services</t>
  </si>
  <si>
    <t xml:space="preserve">7500-1/00</t>
  </si>
  <si>
    <t xml:space="preserve">Atividades veterinárias</t>
  </si>
  <si>
    <t xml:space="preserve">ATIVIDADES VETERINÁRIAS</t>
  </si>
  <si>
    <t xml:space="preserve">9529-1/03</t>
  </si>
  <si>
    <t xml:space="preserve">Reparação de relógios</t>
  </si>
  <si>
    <t xml:space="preserve">Watch, Clock and Jewelry Repair</t>
  </si>
  <si>
    <t xml:space="preserve">9529-1/06</t>
  </si>
  <si>
    <t xml:space="preserve">Reparação de jóias</t>
  </si>
  <si>
    <t xml:space="preserve">3250-7/06</t>
  </si>
  <si>
    <t xml:space="preserve">Serviços de prótese dentária</t>
  </si>
  <si>
    <t xml:space="preserve">Dentists and Orthodontists</t>
  </si>
  <si>
    <t xml:space="preserve">8630-5/04</t>
  </si>
  <si>
    <t xml:space="preserve">Atividade odontológica</t>
  </si>
  <si>
    <t xml:space="preserve">4774-1/00</t>
  </si>
  <si>
    <t xml:space="preserve">Comércio varejista de artigos de óptica</t>
  </si>
  <si>
    <t xml:space="preserve">Opticians, Optical Goods, and Eyeglasses</t>
  </si>
  <si>
    <t xml:space="preserve">8711-5/01</t>
  </si>
  <si>
    <t xml:space="preserve">Clínicas e residências geriátricas</t>
  </si>
  <si>
    <t xml:space="preserve">Nursing and Personal Care Facilities</t>
  </si>
  <si>
    <t xml:space="preserve">8711-5/02</t>
  </si>
  <si>
    <t xml:space="preserve">Instituições de longa permanência para idosos</t>
  </si>
  <si>
    <t xml:space="preserve">8711-5/03</t>
  </si>
  <si>
    <t xml:space="preserve">Atividades de assistência a deficientes físicos, imunodeprimidos e convalescentes</t>
  </si>
  <si>
    <t xml:space="preserve">8711-5/04</t>
  </si>
  <si>
    <t xml:space="preserve">Centros de apoio a pacientes com câncer e com AIDS</t>
  </si>
  <si>
    <t xml:space="preserve">8711-5/05</t>
  </si>
  <si>
    <t xml:space="preserve">Condomínios residenciais para idosos</t>
  </si>
  <si>
    <t xml:space="preserve">8610-1/01</t>
  </si>
  <si>
    <t xml:space="preserve">Atividades de atendimento hospitalar, exceto pronto-socorro e unidades para atendimento a urgências</t>
  </si>
  <si>
    <t xml:space="preserve">Hospitals P</t>
  </si>
  <si>
    <t xml:space="preserve">8610-1/02</t>
  </si>
  <si>
    <t xml:space="preserve">Atividades de atendimento em pronto-socorro e unidades hospitalares para atendimento a urgências</t>
  </si>
  <si>
    <t xml:space="preserve">8630-5/01</t>
  </si>
  <si>
    <t xml:space="preserve">Atividade médica ambulatorial com recursos para realização de procedimentos cirúrgicos</t>
  </si>
  <si>
    <t xml:space="preserve">Medical Services and Health Practitioners (Not Elsewhere Classified)</t>
  </si>
  <si>
    <t xml:space="preserve">8630-5/02</t>
  </si>
  <si>
    <t xml:space="preserve">Atividade médica ambulatorial com recursos para realização de exames complementares</t>
  </si>
  <si>
    <t xml:space="preserve">8630-5/06</t>
  </si>
  <si>
    <t xml:space="preserve">Serviços de vacinação e imunização humana</t>
  </si>
  <si>
    <t xml:space="preserve">8630-5/07</t>
  </si>
  <si>
    <t xml:space="preserve">Atividades de reprodução humana assistida</t>
  </si>
  <si>
    <t xml:space="preserve">8630-5/99</t>
  </si>
  <si>
    <t xml:space="preserve">Atividades de atenção ambulatorial não especificadas anteriormente</t>
  </si>
  <si>
    <t xml:space="preserve">8650-0/01</t>
  </si>
  <si>
    <t xml:space="preserve">Atividades de enfermagem</t>
  </si>
  <si>
    <t xml:space="preserve">8650-0/02</t>
  </si>
  <si>
    <t xml:space="preserve">Atividades de profissionais da nutrição</t>
  </si>
  <si>
    <t xml:space="preserve">8650-0/03</t>
  </si>
  <si>
    <t xml:space="preserve">Atividades de psicologia e psicanálise</t>
  </si>
  <si>
    <t xml:space="preserve">8650-0/04</t>
  </si>
  <si>
    <t xml:space="preserve">Atividades de fisioterapia</t>
  </si>
  <si>
    <t xml:space="preserve">8650-0/05</t>
  </si>
  <si>
    <t xml:space="preserve">Atividades de terapia ocupacional</t>
  </si>
  <si>
    <t xml:space="preserve">8650-0/06</t>
  </si>
  <si>
    <t xml:space="preserve">Atividades de fonoaudiologia</t>
  </si>
  <si>
    <t xml:space="preserve">8650-0/07</t>
  </si>
  <si>
    <t xml:space="preserve">Atividades de terapia de nutrição enteral e parenteral</t>
  </si>
  <si>
    <t xml:space="preserve">8650-0/99</t>
  </si>
  <si>
    <t xml:space="preserve">Atividades de profissionais da área de saúde não especificadas anteriormente</t>
  </si>
  <si>
    <t xml:space="preserve">8660-7/00</t>
  </si>
  <si>
    <t xml:space="preserve">Atividades de apoio à gestão de saúde</t>
  </si>
  <si>
    <t xml:space="preserve">8690-9/01</t>
  </si>
  <si>
    <t xml:space="preserve">Atividades de práticas integrativas e complementares em saúde humana</t>
  </si>
  <si>
    <t xml:space="preserve">8690-9/02</t>
  </si>
  <si>
    <t xml:space="preserve">Atividades de bancos de leite humano</t>
  </si>
  <si>
    <t xml:space="preserve">8690-9/99</t>
  </si>
  <si>
    <t xml:space="preserve">Outras atividades de atenção à saúde humana não especificadas anteriormente</t>
  </si>
  <si>
    <t xml:space="preserve">8712-3/00</t>
  </si>
  <si>
    <t xml:space="preserve">Atividades de fornecimento de infra-estrutura de apoio e assistência a paciente no domicílio</t>
  </si>
  <si>
    <t xml:space="preserve">Health Practitioners, Medical Services—not elsewhere classified</t>
  </si>
  <si>
    <t xml:space="preserve">8720-4/01</t>
  </si>
  <si>
    <t xml:space="preserve">Atividades de centros de assistência psicossocial</t>
  </si>
  <si>
    <t xml:space="preserve">8720-4/99</t>
  </si>
  <si>
    <t xml:space="preserve">Atividades de assistência psicossocial e à saúde a portadores de distúrbios psíquicos, deficiência mental e dependência química não especificadas anteriormente</t>
  </si>
  <si>
    <t xml:space="preserve">6911-7/01</t>
  </si>
  <si>
    <t xml:space="preserve">Serviços advocatícios</t>
  </si>
  <si>
    <t xml:space="preserve">Legal Services and Attorneys</t>
  </si>
  <si>
    <t xml:space="preserve">6911-7/02</t>
  </si>
  <si>
    <t xml:space="preserve">Atividades auxiliares da justiça</t>
  </si>
  <si>
    <t xml:space="preserve">6621-5/02</t>
  </si>
  <si>
    <t xml:space="preserve">Auditoria e consultoria atuarial</t>
  </si>
  <si>
    <t xml:space="preserve">Accounting, Auditing, and Bookkeeping Services</t>
  </si>
  <si>
    <t xml:space="preserve">6920-6/01</t>
  </si>
  <si>
    <t xml:space="preserve">Atividades de contabilidade</t>
  </si>
  <si>
    <t xml:space="preserve">6920-6/02</t>
  </si>
  <si>
    <t xml:space="preserve">Atividades de consultoria e auditoria contábil e tributária</t>
  </si>
  <si>
    <t xml:space="preserve">6190-6/01</t>
  </si>
  <si>
    <t xml:space="preserve">Provedores de acesso às redes de comunicações</t>
  </si>
  <si>
    <t xml:space="preserve">Computer Network/Information Services</t>
  </si>
  <si>
    <t xml:space="preserve">6311-9/00</t>
  </si>
  <si>
    <t xml:space="preserve">Tratamento de dados, provedores de serviços de aplicação e serviços de hospedagem na internet</t>
  </si>
  <si>
    <t xml:space="preserve">6319-4/00</t>
  </si>
  <si>
    <t xml:space="preserve">Portais, provedores de conteúdo e outros serviços de informação na internet</t>
  </si>
  <si>
    <t xml:space="preserve">8299-7/07</t>
  </si>
  <si>
    <t xml:space="preserve">Salas de acesso à internet</t>
  </si>
  <si>
    <t xml:space="preserve">3104-7/00</t>
  </si>
  <si>
    <t xml:space="preserve">Fabricação de colchões</t>
  </si>
  <si>
    <t xml:space="preserve">Equipment, Furniture, and Home Furnishings Stores (except</t>
  </si>
  <si>
    <t xml:space="preserve">4754-7/01</t>
  </si>
  <si>
    <t xml:space="preserve">Comércio varejista de móveis</t>
  </si>
  <si>
    <t xml:space="preserve">Furniture, Home Furnishings, and Equipment Stores, Except Appliances</t>
  </si>
  <si>
    <t xml:space="preserve">4754-7/02</t>
  </si>
  <si>
    <t xml:space="preserve">Comércio varejista de artigos de colchoaria</t>
  </si>
  <si>
    <t xml:space="preserve">4754-7/03</t>
  </si>
  <si>
    <t xml:space="preserve">Comércio varejista de artigos de iluminação</t>
  </si>
  <si>
    <t xml:space="preserve">1622-6/01</t>
  </si>
  <si>
    <t xml:space="preserve">Fabricação de casas de madeira pré-fabricadas</t>
  </si>
  <si>
    <t xml:space="preserve">General Contractors—Residential and Commercial</t>
  </si>
  <si>
    <t xml:space="preserve">4110-7/00</t>
  </si>
  <si>
    <t xml:space="preserve">Incorporação de empreendimentos imobiliários</t>
  </si>
  <si>
    <t xml:space="preserve">CONSTRUÇÃO DE EDIFÍCIOS</t>
  </si>
  <si>
    <t xml:space="preserve">4120-4/00</t>
  </si>
  <si>
    <t xml:space="preserve">Construção de edifícios</t>
  </si>
  <si>
    <t xml:space="preserve">4211-1/02</t>
  </si>
  <si>
    <t xml:space="preserve">Pintura para sinalização em pistas rodoviárias e aeroportos</t>
  </si>
  <si>
    <t xml:space="preserve">4222-7/01</t>
  </si>
  <si>
    <t xml:space="preserve">Construção de redes de abastecimento de água, coleta de esgoto e construções correlatas, exceto obras de irrigação</t>
  </si>
  <si>
    <t xml:space="preserve">4222-7/02</t>
  </si>
  <si>
    <t xml:space="preserve">Obras de irrigação</t>
  </si>
  <si>
    <t xml:space="preserve">4223-5/00</t>
  </si>
  <si>
    <t xml:space="preserve">Construção de redes de transportes por dutos, exceto para água e esgoto</t>
  </si>
  <si>
    <t xml:space="preserve">4291-0/00</t>
  </si>
  <si>
    <t xml:space="preserve">Obras portuárias, marítimas e fluviais</t>
  </si>
  <si>
    <t xml:space="preserve">4292-8/02</t>
  </si>
  <si>
    <t xml:space="preserve">Obras de montagem industrial</t>
  </si>
  <si>
    <t xml:space="preserve">4311-8/01</t>
  </si>
  <si>
    <t xml:space="preserve">Demolição de edifícios e outras estruturas</t>
  </si>
  <si>
    <t xml:space="preserve">4399-1/01</t>
  </si>
  <si>
    <t xml:space="preserve">Administração de obras</t>
  </si>
  <si>
    <t xml:space="preserve">4399-1/99</t>
  </si>
  <si>
    <t xml:space="preserve">Serviços especializados para construção não especificados anteriormente</t>
  </si>
  <si>
    <t xml:space="preserve">9102-3/02</t>
  </si>
  <si>
    <t xml:space="preserve">Restauração e conservação de lugares e prédios históricos</t>
  </si>
  <si>
    <t xml:space="preserve">4912-4/01</t>
  </si>
  <si>
    <t xml:space="preserve">Transporte ferroviário de passageiros intermunicipal e interestadual</t>
  </si>
  <si>
    <t xml:space="preserve">Passenger Railways B</t>
  </si>
  <si>
    <t xml:space="preserve">4923-0/01</t>
  </si>
  <si>
    <t xml:space="preserve">Serviço de táxi</t>
  </si>
  <si>
    <t xml:space="preserve">Taxicabs and Limousines</t>
  </si>
  <si>
    <t xml:space="preserve">4923-0/02</t>
  </si>
  <si>
    <t xml:space="preserve">Serviço de transporte de passageiros - locação de automóveis com motorista</t>
  </si>
  <si>
    <t xml:space="preserve">5229-0/01</t>
  </si>
  <si>
    <t xml:space="preserve">Serviços de apoio ao transporte por táxi, inclusive centrais de chamada</t>
  </si>
  <si>
    <t xml:space="preserve">4921-3/01</t>
  </si>
  <si>
    <t xml:space="preserve">Transporte rodoviário coletivo de passageiros, com itinerário fixo, municipal</t>
  </si>
  <si>
    <t xml:space="preserve">Bus Lines</t>
  </si>
  <si>
    <t xml:space="preserve">4921-3/02</t>
  </si>
  <si>
    <t xml:space="preserve">Transporte rodoviário coletivo de passageiros, com itinerário fixo, intermunicipal em região metropolitana</t>
  </si>
  <si>
    <t xml:space="preserve">4922-1/01</t>
  </si>
  <si>
    <t xml:space="preserve">Transporte rodoviário coletivo de passageiros, com itinerário fixo, intermunicipal, exceto em região metropolitana</t>
  </si>
  <si>
    <t xml:space="preserve">4922-1/02</t>
  </si>
  <si>
    <t xml:space="preserve">Transporte rodoviário coletivo de passageiros, com itinerário fixo, interestadual</t>
  </si>
  <si>
    <t xml:space="preserve">4922-1/03</t>
  </si>
  <si>
    <t xml:space="preserve">Transporte rodoviário coletivo de passageiros, com itinerário fixo, internacional</t>
  </si>
  <si>
    <t xml:space="preserve">4929-9/01</t>
  </si>
  <si>
    <t xml:space="preserve">Transporte rodoviário coletivo de passageiros, sob regime de fretamento, municipal</t>
  </si>
  <si>
    <t xml:space="preserve">4929-9/02</t>
  </si>
  <si>
    <t xml:space="preserve">Transporte rodoviário coletivo de passageiros, sob regime de fretamento, intermunicipal, interestadual e internacional</t>
  </si>
  <si>
    <t xml:space="preserve">4929-9/03</t>
  </si>
  <si>
    <t xml:space="preserve">Organização de excursões em veículos rodoviários próprios, municipal</t>
  </si>
  <si>
    <t xml:space="preserve">4929-9/04</t>
  </si>
  <si>
    <t xml:space="preserve">Organização de excursões em veículos rodoviários próprios, intermunicipal, interestadual e internacional</t>
  </si>
  <si>
    <t xml:space="preserve">6110-8/01</t>
  </si>
  <si>
    <t xml:space="preserve">Serviços de telefonia fixa comutada - STFC</t>
  </si>
  <si>
    <t xml:space="preserve">Telecommunication Services, Including Local and Long Distance Calls, Credit Card Calls, Calls Through Use of Magnetic Stripe Reading Telephones, and Fax Services</t>
  </si>
  <si>
    <t xml:space="preserve">6110-8/02</t>
  </si>
  <si>
    <t xml:space="preserve">Serviços de redes de transporte de telecomunicações - SRTT</t>
  </si>
  <si>
    <t xml:space="preserve">6110-8/03</t>
  </si>
  <si>
    <t xml:space="preserve">Serviços de comunicação multimídia - SCM</t>
  </si>
  <si>
    <t xml:space="preserve">6110-8/99</t>
  </si>
  <si>
    <t xml:space="preserve">Serviços de telecomunicações por fio não especificados anteriormente</t>
  </si>
  <si>
    <t xml:space="preserve">6120-5/01</t>
  </si>
  <si>
    <t xml:space="preserve">Telefonia móvel celular</t>
  </si>
  <si>
    <t xml:space="preserve">6120-5/02</t>
  </si>
  <si>
    <t xml:space="preserve">Serviço móvel especializado - SME</t>
  </si>
  <si>
    <t xml:space="preserve">6120-5/99</t>
  </si>
  <si>
    <t xml:space="preserve">Serviços de telecomunicações sem fio não especificados anteriormente</t>
  </si>
  <si>
    <t xml:space="preserve">6130-2/00</t>
  </si>
  <si>
    <t xml:space="preserve">Telecomunicações por satélite</t>
  </si>
  <si>
    <t xml:space="preserve">6190-6/02</t>
  </si>
  <si>
    <t xml:space="preserve">Provedores de voz sobre protocolo internet - VOIP</t>
  </si>
  <si>
    <t xml:space="preserve">6190-6/99</t>
  </si>
  <si>
    <t xml:space="preserve">Outras atividades de telecomunicações não especificadas anteriormente</t>
  </si>
  <si>
    <t xml:space="preserve">3511-5/01</t>
  </si>
  <si>
    <t xml:space="preserve">Geração de energia elétrica</t>
  </si>
  <si>
    <t xml:space="preserve">Utilities—Electric, Gas, Heating Oil, Sanitary, Water</t>
  </si>
  <si>
    <t xml:space="preserve">3511-5/02</t>
  </si>
  <si>
    <t xml:space="preserve">Atividades de coordenação e controle da operação da geração e transmissão de energia elétrica</t>
  </si>
  <si>
    <t xml:space="preserve">3512-3/00</t>
  </si>
  <si>
    <t xml:space="preserve">Transmissão de energia elétrica</t>
  </si>
  <si>
    <t xml:space="preserve">3513-1/00</t>
  </si>
  <si>
    <t xml:space="preserve">Comércio atacadista de energia elétrica</t>
  </si>
  <si>
    <t xml:space="preserve">3514-0/00</t>
  </si>
  <si>
    <t xml:space="preserve">Distribuição de energia elétrica</t>
  </si>
  <si>
    <t xml:space="preserve">3520-4/01</t>
  </si>
  <si>
    <t xml:space="preserve">Produção de gás; processamento de gás natural</t>
  </si>
  <si>
    <t xml:space="preserve">3520-4/02</t>
  </si>
  <si>
    <t xml:space="preserve">Distribuição de combustíveis gasosos por redes urbanas</t>
  </si>
  <si>
    <t xml:space="preserve">3600-6/01</t>
  </si>
  <si>
    <t xml:space="preserve">Captação, tratamento e distribuição de água</t>
  </si>
  <si>
    <t xml:space="preserve">CAPTAÇÃO, TRATAMENTO E DISTRIBUIÇÃO DE ÁGUA</t>
  </si>
  <si>
    <t xml:space="preserve">3600-6/02</t>
  </si>
  <si>
    <t xml:space="preserve">Distribuição de água por caminhões</t>
  </si>
  <si>
    <t xml:space="preserve">3701-1/00</t>
  </si>
  <si>
    <t xml:space="preserve">Gestão de redes de esgoto</t>
  </si>
  <si>
    <t xml:space="preserve">ESGOTO E ATIVIDADES RELACIONADAS</t>
  </si>
  <si>
    <t xml:space="preserve">3702-9/00</t>
  </si>
  <si>
    <t xml:space="preserve">Atividades relacionadas a esgoto, exceto a gestão de redes</t>
  </si>
  <si>
    <t xml:space="preserve">3811-4/00</t>
  </si>
  <si>
    <t xml:space="preserve">Coleta de resíduos não-perigosos</t>
  </si>
  <si>
    <t xml:space="preserve">3812-2/00</t>
  </si>
  <si>
    <t xml:space="preserve">Coleta de resíduos perigosos</t>
  </si>
  <si>
    <t xml:space="preserve">3821-1/00</t>
  </si>
  <si>
    <t xml:space="preserve">Tratamento e disposição de resíduos não-perigosos</t>
  </si>
  <si>
    <t xml:space="preserve">3822-0/00</t>
  </si>
  <si>
    <t xml:space="preserve">Tratamento e disposição de resíduos perigosos</t>
  </si>
  <si>
    <t xml:space="preserve">3900-5/00</t>
  </si>
  <si>
    <t xml:space="preserve">Descontaminação e outros serviços de gestão de resíduos</t>
  </si>
  <si>
    <t xml:space="preserve">DESCONTAMINAÇÃO E OUTROS SERVIÇOS DE GESTÃO DE RESÍDUOS</t>
  </si>
  <si>
    <t xml:space="preserve">4221-9/03</t>
  </si>
  <si>
    <t xml:space="preserve">Manutenção de redes de distribuição de energia elétrica</t>
  </si>
  <si>
    <t xml:space="preserve">8299-7/01</t>
  </si>
  <si>
    <t xml:space="preserve">Medição de consumo de energia elétrica, gás e água</t>
  </si>
  <si>
    <t xml:space="preserve">3511-5/00</t>
  </si>
  <si>
    <t xml:space="preserve">1013-9/01</t>
  </si>
  <si>
    <t xml:space="preserve">Fabricação de produtos de carne</t>
  </si>
  <si>
    <t xml:space="preserve">Nondurable Goods (Not Elsewhere Classified)</t>
  </si>
  <si>
    <t xml:space="preserve">1020-1/02</t>
  </si>
  <si>
    <t xml:space="preserve">Fabricação de conservas de peixes, crustáceos e moluscos</t>
  </si>
  <si>
    <t xml:space="preserve">1031-7/00</t>
  </si>
  <si>
    <t xml:space="preserve">Fabricação de conservas de frutas</t>
  </si>
  <si>
    <t xml:space="preserve">1032-5/01</t>
  </si>
  <si>
    <t xml:space="preserve">Fabricação de conservas de palmito</t>
  </si>
  <si>
    <t xml:space="preserve">1032-5/99</t>
  </si>
  <si>
    <t xml:space="preserve">Fabricação de conservas de legumes e outros vegetais, exceto palmito</t>
  </si>
  <si>
    <t xml:space="preserve">1033-3/01</t>
  </si>
  <si>
    <t xml:space="preserve">Fabricação de sucos concentrados de frutas, hortaliças e legumes</t>
  </si>
  <si>
    <t xml:space="preserve">1033-3/02</t>
  </si>
  <si>
    <t xml:space="preserve">Fabricação de sucos de frutas, hortaliças e legumes, exceto concentrados</t>
  </si>
  <si>
    <t xml:space="preserve">1041-4/00</t>
  </si>
  <si>
    <t xml:space="preserve">Fabricação de óleos vegetais em bruto, exceto óleo de milho</t>
  </si>
  <si>
    <t xml:space="preserve">1042-2/00</t>
  </si>
  <si>
    <t xml:space="preserve">Fabricação de óleos vegetais refinados, exceto óleo de milho</t>
  </si>
  <si>
    <t xml:space="preserve">1043-1/00</t>
  </si>
  <si>
    <t xml:space="preserve">Fabricação de margarina e outras gorduras vegetais e de óleos não-comestíveis de animais</t>
  </si>
  <si>
    <t xml:space="preserve">1051-1/00</t>
  </si>
  <si>
    <t xml:space="preserve">Preparação do leite</t>
  </si>
  <si>
    <t xml:space="preserve">1052-0/00</t>
  </si>
  <si>
    <t xml:space="preserve">Fabricação de laticínios</t>
  </si>
  <si>
    <t xml:space="preserve">1053-8/00</t>
  </si>
  <si>
    <t xml:space="preserve">Fabricação de sorvetes e outros gelados comestíveis</t>
  </si>
  <si>
    <t xml:space="preserve">1061-9/02</t>
  </si>
  <si>
    <t xml:space="preserve">Fabricação de produtos do arroz</t>
  </si>
  <si>
    <t xml:space="preserve">1062-7/00</t>
  </si>
  <si>
    <t xml:space="preserve">Moagem de trigo e fabricação de derivados</t>
  </si>
  <si>
    <t xml:space="preserve">1063-5/00</t>
  </si>
  <si>
    <t xml:space="preserve">Fabricação de farinha de mandioca e derivados</t>
  </si>
  <si>
    <t xml:space="preserve">1064-3/00</t>
  </si>
  <si>
    <t xml:space="preserve">Fabricação de farinha de milho e derivados, exceto óleos de milho</t>
  </si>
  <si>
    <t xml:space="preserve">1065-1/01</t>
  </si>
  <si>
    <t xml:space="preserve">Fabricação de amidos e féculas de vegetais</t>
  </si>
  <si>
    <t xml:space="preserve">1065-1/02</t>
  </si>
  <si>
    <t xml:space="preserve">Fabricação de óleo de milho em bruto</t>
  </si>
  <si>
    <t xml:space="preserve">1065-1/03</t>
  </si>
  <si>
    <t xml:space="preserve">Fabricação de óleo de milho refinado</t>
  </si>
  <si>
    <t xml:space="preserve">1066-0/00</t>
  </si>
  <si>
    <t xml:space="preserve">Fabricação de alimentos para animais</t>
  </si>
  <si>
    <t xml:space="preserve">1069-4/00</t>
  </si>
  <si>
    <t xml:space="preserve">Moagem e fabricação de produtos de origem vegetal não especificados anteriormente</t>
  </si>
  <si>
    <t xml:space="preserve">1071-6/00</t>
  </si>
  <si>
    <t xml:space="preserve">Fabricação de açúcar em bruto</t>
  </si>
  <si>
    <t xml:space="preserve">1072-4/01</t>
  </si>
  <si>
    <t xml:space="preserve">Fabricação de açúcar de cana refinado</t>
  </si>
  <si>
    <t xml:space="preserve">1072-4/02</t>
  </si>
  <si>
    <t xml:space="preserve">Fabricação de açúcar de cereais (dextrose) e de beterraba</t>
  </si>
  <si>
    <t xml:space="preserve">1082-1/00</t>
  </si>
  <si>
    <t xml:space="preserve">Fabricação de produtos à base de café</t>
  </si>
  <si>
    <t xml:space="preserve">1092-9/00</t>
  </si>
  <si>
    <t xml:space="preserve">Fabricação de biscoitos e bolachas</t>
  </si>
  <si>
    <t xml:space="preserve">1093-7/01</t>
  </si>
  <si>
    <t xml:space="preserve">Fabricação de produtos derivados do cacau e de chocolates</t>
  </si>
  <si>
    <t xml:space="preserve">1093-7/02</t>
  </si>
  <si>
    <t xml:space="preserve">Fabricação de frutas cristalizadas, balas e semelhantes</t>
  </si>
  <si>
    <t xml:space="preserve">1094-5/00</t>
  </si>
  <si>
    <t xml:space="preserve">Fabricação de massas alimentícias</t>
  </si>
  <si>
    <t xml:space="preserve">1095-3/00</t>
  </si>
  <si>
    <t xml:space="preserve">Fabricação de especiarias, molhos, temperos e condimentos</t>
  </si>
  <si>
    <t xml:space="preserve">1096-1/00</t>
  </si>
  <si>
    <t xml:space="preserve">Fabricação de alimentos e pratos prontos</t>
  </si>
  <si>
    <t xml:space="preserve">1099-6/01</t>
  </si>
  <si>
    <t xml:space="preserve">Fabricação de vinagres</t>
  </si>
  <si>
    <t xml:space="preserve">1099-6/02</t>
  </si>
  <si>
    <t xml:space="preserve">Fabricação de pós alimentícios</t>
  </si>
  <si>
    <t xml:space="preserve">1099-6/03</t>
  </si>
  <si>
    <t xml:space="preserve">Fabricação de fermentos e leveduras</t>
  </si>
  <si>
    <t xml:space="preserve">1099-6/04</t>
  </si>
  <si>
    <t xml:space="preserve">Fabricação de gelo comum</t>
  </si>
  <si>
    <t xml:space="preserve">1099-6/05</t>
  </si>
  <si>
    <t xml:space="preserve">Fabricação de produtos para infusão (chá, mate, etc.)</t>
  </si>
  <si>
    <t xml:space="preserve">1099-6/06</t>
  </si>
  <si>
    <t xml:space="preserve">Fabricação de adoçantes naturais e artificiais</t>
  </si>
  <si>
    <t xml:space="preserve">1099-6/07</t>
  </si>
  <si>
    <t xml:space="preserve">Fabricação de alimentos dietéticos e complementos alimentares</t>
  </si>
  <si>
    <t xml:space="preserve">1099-6/99</t>
  </si>
  <si>
    <t xml:space="preserve">Fabricação de outros produtos alimentícios não especificados anteriormente</t>
  </si>
  <si>
    <t xml:space="preserve">1111-9/01</t>
  </si>
  <si>
    <t xml:space="preserve">Fabricação de aguardente de cana-de-açúcar</t>
  </si>
  <si>
    <t xml:space="preserve">FABRICAÇÃO DE BEBIDAS</t>
  </si>
  <si>
    <t xml:space="preserve">1111-9/02</t>
  </si>
  <si>
    <t xml:space="preserve">Fabricação de outras aguardentes e bebidas destiladas</t>
  </si>
  <si>
    <t xml:space="preserve">1112-7/00</t>
  </si>
  <si>
    <t xml:space="preserve">Fabricação de vinho</t>
  </si>
  <si>
    <t xml:space="preserve">1113-5/01</t>
  </si>
  <si>
    <t xml:space="preserve">Fabricação de malte, inclusive malte uísque</t>
  </si>
  <si>
    <t xml:space="preserve">1113-5/02</t>
  </si>
  <si>
    <t xml:space="preserve">Fabricação de cervejas e chopes</t>
  </si>
  <si>
    <t xml:space="preserve">1121-6/00</t>
  </si>
  <si>
    <t xml:space="preserve">Fabricação de águas envasadas</t>
  </si>
  <si>
    <t xml:space="preserve">1122-4/01</t>
  </si>
  <si>
    <t xml:space="preserve">Fabricação de refrigerantes</t>
  </si>
  <si>
    <t xml:space="preserve">1122-4/02</t>
  </si>
  <si>
    <t xml:space="preserve">Fabricação de chá mate e outros chás prontos para consumo</t>
  </si>
  <si>
    <t xml:space="preserve">1122-4/03</t>
  </si>
  <si>
    <t xml:space="preserve">Fabricação de refrescos, xaropes e pós para refrescos, exceto refrescos de frutas</t>
  </si>
  <si>
    <t xml:space="preserve">1122-4/04</t>
  </si>
  <si>
    <t xml:space="preserve">Fabricação de bebidas isotônicas</t>
  </si>
  <si>
    <t xml:space="preserve">1122-4/99</t>
  </si>
  <si>
    <t xml:space="preserve">Fabricação de outras bebidas não-alcoólicas não especificadas anteriormente</t>
  </si>
  <si>
    <t xml:space="preserve">1220-4/01</t>
  </si>
  <si>
    <t xml:space="preserve">Fabricação de cigarros</t>
  </si>
  <si>
    <t xml:space="preserve">1220-4/02</t>
  </si>
  <si>
    <t xml:space="preserve">Fabricação de cigarrilhas e charutos</t>
  </si>
  <si>
    <t xml:space="preserve">1220-4/03</t>
  </si>
  <si>
    <t xml:space="preserve">Fabricação de filtros para cigarros</t>
  </si>
  <si>
    <t xml:space="preserve">1220-4/99</t>
  </si>
  <si>
    <t xml:space="preserve">Fabricação de outros produtos do fumo, exceto cigarros, cigarrilhas e charutos</t>
  </si>
  <si>
    <t xml:space="preserve">1521-1/00</t>
  </si>
  <si>
    <t xml:space="preserve">Fabricação de artigos para viagem, bolsas e semelhantes de qualquer material</t>
  </si>
  <si>
    <t xml:space="preserve">1731-1/00</t>
  </si>
  <si>
    <t xml:space="preserve">Fabricação de embalagens de papel</t>
  </si>
  <si>
    <t xml:space="preserve">1732-0/00</t>
  </si>
  <si>
    <t xml:space="preserve">Fabricação de embalagens de cartolina e papel-cartão</t>
  </si>
  <si>
    <t xml:space="preserve">2229-3/01</t>
  </si>
  <si>
    <t xml:space="preserve">Fabricação de artefatos de material plástico para uso pessoal e doméstico</t>
  </si>
  <si>
    <t xml:space="preserve">3230-2/00</t>
  </si>
  <si>
    <t xml:space="preserve">Fabricação de artefatos para pesca e esporte</t>
  </si>
  <si>
    <t xml:space="preserve">3291-4/00</t>
  </si>
  <si>
    <t xml:space="preserve">Fabricação de escovas, pincéis e vassouras</t>
  </si>
  <si>
    <t xml:space="preserve">3292-2/02</t>
  </si>
  <si>
    <t xml:space="preserve">Fabricação de equipamentos e acessórios para segurança pessoal e profissional</t>
  </si>
  <si>
    <t xml:space="preserve">3299-0/01</t>
  </si>
  <si>
    <t xml:space="preserve">Fabricação de guarda-chuvas e similares</t>
  </si>
  <si>
    <t xml:space="preserve">3299-0/06</t>
  </si>
  <si>
    <t xml:space="preserve">Fabricação de velas, inclusive decorativas</t>
  </si>
  <si>
    <t xml:space="preserve">3299-0/99</t>
  </si>
  <si>
    <t xml:space="preserve">Fabricação de produtos diversos não especificados anteriormente</t>
  </si>
  <si>
    <t xml:space="preserve">4617-6/00</t>
  </si>
  <si>
    <t xml:space="preserve">Representantes comerciais e agentes do comércio de produtos alimentícios, bebidas e fumo</t>
  </si>
  <si>
    <t xml:space="preserve">4621-4/00</t>
  </si>
  <si>
    <t xml:space="preserve">Comércio atacadista de café em grão</t>
  </si>
  <si>
    <t xml:space="preserve">4622-2/00</t>
  </si>
  <si>
    <t xml:space="preserve">Comércio atacadista de soja</t>
  </si>
  <si>
    <t xml:space="preserve">4623-1/02</t>
  </si>
  <si>
    <t xml:space="preserve">Comércio atacadista de couros, lãs, peles e outros subprodutos não-comestíveis de origem animal</t>
  </si>
  <si>
    <t xml:space="preserve">4623-1/03</t>
  </si>
  <si>
    <t xml:space="preserve">Comércio atacadista de algodão</t>
  </si>
  <si>
    <t xml:space="preserve">4623-1/04</t>
  </si>
  <si>
    <t xml:space="preserve">Comércio atacadista de fumo em folha não beneficiado</t>
  </si>
  <si>
    <t xml:space="preserve">4623-1/05</t>
  </si>
  <si>
    <t xml:space="preserve">Comércio atacadista de cacau</t>
  </si>
  <si>
    <t xml:space="preserve">4623-1/08</t>
  </si>
  <si>
    <t xml:space="preserve">Comércio atacadista de matérias-primas agrícolas com atividade de fracionamento e acondicionamento associada</t>
  </si>
  <si>
    <t xml:space="preserve">4623-1/09</t>
  </si>
  <si>
    <t xml:space="preserve">Comércio atacadista de alimentos para animais</t>
  </si>
  <si>
    <t xml:space="preserve">4631-1/00</t>
  </si>
  <si>
    <t xml:space="preserve">Comércio atacadista de leite e laticínios</t>
  </si>
  <si>
    <t xml:space="preserve">4632-0/01</t>
  </si>
  <si>
    <t xml:space="preserve">Comércio atacadista de cereais e leguminosas beneficiados</t>
  </si>
  <si>
    <t xml:space="preserve">4632-0/02</t>
  </si>
  <si>
    <t xml:space="preserve">Comércio atacadista de farinhas, amidos e féculas</t>
  </si>
  <si>
    <t xml:space="preserve">4633-8/01</t>
  </si>
  <si>
    <t xml:space="preserve">Comércio atacadista de frutas, verduras, raízes, tubérculos, hortaliças e legumes frescos</t>
  </si>
  <si>
    <t xml:space="preserve">4633-8/02</t>
  </si>
  <si>
    <t xml:space="preserve">Comércio atacadista de aves vivas e ovos</t>
  </si>
  <si>
    <t xml:space="preserve">4633-8/03</t>
  </si>
  <si>
    <t xml:space="preserve">Comércio atacadista de coelhos e outros pequenos animais vivos para alimentação</t>
  </si>
  <si>
    <t xml:space="preserve">4634-6/01</t>
  </si>
  <si>
    <t xml:space="preserve">Comércio atacadista de carnes bovinas e suínas e derivados</t>
  </si>
  <si>
    <t xml:space="preserve">4634-6/02</t>
  </si>
  <si>
    <t xml:space="preserve">Comércio atacadista de aves abatidas e derivados</t>
  </si>
  <si>
    <t xml:space="preserve">4634-6/03</t>
  </si>
  <si>
    <t xml:space="preserve">Comércio atacadista de pescados e frutos do mar</t>
  </si>
  <si>
    <t xml:space="preserve">4634-6/99</t>
  </si>
  <si>
    <t xml:space="preserve">Comércio atacadista de carnes e derivados de outros animais</t>
  </si>
  <si>
    <t xml:space="preserve">4635-4/01</t>
  </si>
  <si>
    <t xml:space="preserve">Comércio atacadista de água mineral</t>
  </si>
  <si>
    <t xml:space="preserve">4635-4/02</t>
  </si>
  <si>
    <t xml:space="preserve">Comércio atacadista de cerveja, chope e refrigerante</t>
  </si>
  <si>
    <t xml:space="preserve">4635-4/03</t>
  </si>
  <si>
    <t xml:space="preserve">Comércio atacadista de bebidas com atividade de fracionamento e acondicionamento associada</t>
  </si>
  <si>
    <t xml:space="preserve">4635-4/99</t>
  </si>
  <si>
    <t xml:space="preserve">Comércio atacadista de bebidas não especificadas anteriormente</t>
  </si>
  <si>
    <t xml:space="preserve">4636-2/01</t>
  </si>
  <si>
    <t xml:space="preserve">Comércio atacadista de fumo beneficiado</t>
  </si>
  <si>
    <t xml:space="preserve">4636-2/02</t>
  </si>
  <si>
    <t xml:space="preserve">Comércio atacadista de cigarros, cigarrilhas e charutos</t>
  </si>
  <si>
    <t xml:space="preserve">4637-1/01</t>
  </si>
  <si>
    <t xml:space="preserve">Comércio atacadista de café torrado, moído e solúvel</t>
  </si>
  <si>
    <t xml:space="preserve">4637-1/02</t>
  </si>
  <si>
    <t xml:space="preserve">Comércio atacadista de açúcar</t>
  </si>
  <si>
    <t xml:space="preserve">4637-1/03</t>
  </si>
  <si>
    <t xml:space="preserve">Comércio atacadista de óleos e gorduras</t>
  </si>
  <si>
    <t xml:space="preserve">4637-1/05</t>
  </si>
  <si>
    <t xml:space="preserve">Comércio atacadista de massas alimentícias</t>
  </si>
  <si>
    <t xml:space="preserve">4637-1/06</t>
  </si>
  <si>
    <t xml:space="preserve">Comércio atacadista de sorvetes</t>
  </si>
  <si>
    <t xml:space="preserve">4637-1/07</t>
  </si>
  <si>
    <t xml:space="preserve">Comércio atacadista de chocolates, confeitos, balas, bombons e semelhantes</t>
  </si>
  <si>
    <t xml:space="preserve">4641-9/02</t>
  </si>
  <si>
    <t xml:space="preserve">Comércio atacadista de artigos de cama, mesa e banho</t>
  </si>
  <si>
    <t xml:space="preserve">4643-5/02</t>
  </si>
  <si>
    <t xml:space="preserve">Comércio atacadista de bolsas, malas e artigos de viagem</t>
  </si>
  <si>
    <t xml:space="preserve">4649-4/99</t>
  </si>
  <si>
    <t xml:space="preserve">Comércio atacadista de outros equipamentos e artigos de uso pessoal e doméstico não especificados anteriormente</t>
  </si>
  <si>
    <t xml:space="preserve">1011-2/01</t>
  </si>
  <si>
    <t xml:space="preserve">Frigorífico - abate de bovinos</t>
  </si>
  <si>
    <t xml:space="preserve">Freezer and Locker Meat Provisioners</t>
  </si>
  <si>
    <t xml:space="preserve">1011-2/02</t>
  </si>
  <si>
    <t xml:space="preserve">Frigorífico - abate de eqüinos</t>
  </si>
  <si>
    <t xml:space="preserve">1011-2/03</t>
  </si>
  <si>
    <t xml:space="preserve">Frigorífico - abate de ovinos e caprinos</t>
  </si>
  <si>
    <t xml:space="preserve">1011-2/04</t>
  </si>
  <si>
    <t xml:space="preserve">Frigorífico - abate de bufalinos</t>
  </si>
  <si>
    <t xml:space="preserve">1011-2/05</t>
  </si>
  <si>
    <t xml:space="preserve">Matadouro - abate de reses sob contrato, exceto abate de suínos</t>
  </si>
  <si>
    <t xml:space="preserve">1012-1/02</t>
  </si>
  <si>
    <t xml:space="preserve">Abate de pequenos animais</t>
  </si>
  <si>
    <t xml:space="preserve">1012-1/03</t>
  </si>
  <si>
    <t xml:space="preserve">Frigorífico - abate de suínos</t>
  </si>
  <si>
    <t xml:space="preserve">1012-1/04</t>
  </si>
  <si>
    <t xml:space="preserve">Matadouro - abate de suínos sob contrato</t>
  </si>
  <si>
    <t xml:space="preserve">1013-9/02</t>
  </si>
  <si>
    <t xml:space="preserve">Preparação de subprodutos do abate</t>
  </si>
  <si>
    <t xml:space="preserve">1020-1/01</t>
  </si>
  <si>
    <t xml:space="preserve">Preservação de peixes, crustáceos e moluscos</t>
  </si>
  <si>
    <t xml:space="preserve">4722-9/01</t>
  </si>
  <si>
    <t xml:space="preserve">Comércio varejista de carnes - açougues</t>
  </si>
  <si>
    <t xml:space="preserve">4722-9/02</t>
  </si>
  <si>
    <t xml:space="preserve">Peixaria</t>
  </si>
  <si>
    <t xml:space="preserve">4721-1/04</t>
  </si>
  <si>
    <t xml:space="preserve">Comércio varejista de doces, balas, bombons e semelhantes</t>
  </si>
  <si>
    <t xml:space="preserve">Candy, Nut, and Confectionery Stores</t>
  </si>
  <si>
    <t xml:space="preserve">4783-1/01</t>
  </si>
  <si>
    <t xml:space="preserve">Comércio varejista de artigos de joalheria</t>
  </si>
  <si>
    <t xml:space="preserve">Jewelry Stores, Watches, Clocks, and Silverware Stores</t>
  </si>
  <si>
    <t xml:space="preserve">4783-1/02</t>
  </si>
  <si>
    <t xml:space="preserve">Comércio varejista de artigos de relojoaria</t>
  </si>
  <si>
    <t xml:space="preserve">4212-0/00</t>
  </si>
  <si>
    <t xml:space="preserve">Construção de obras-de-arte especiais</t>
  </si>
  <si>
    <t xml:space="preserve">Art Dealers and Galleries</t>
  </si>
  <si>
    <t xml:space="preserve">4789-0/03</t>
  </si>
  <si>
    <t xml:space="preserve">Comércio varejista de objetos de arte</t>
  </si>
  <si>
    <t xml:space="preserve">4789-0/04</t>
  </si>
  <si>
    <t xml:space="preserve">Comércio varejista de animais vivos e de artigos e alimentos para animais de estimação</t>
  </si>
  <si>
    <t xml:space="preserve">Pet Shops, Pet Foods and Supplies Stores</t>
  </si>
  <si>
    <t xml:space="preserve">9609-2/08</t>
  </si>
  <si>
    <t xml:space="preserve">Higiene e embelezamento de animais domésticos</t>
  </si>
  <si>
    <t xml:space="preserve">9609-2/03</t>
  </si>
  <si>
    <t xml:space="preserve">Alojamento, higiene e embelezamento de animais</t>
  </si>
  <si>
    <t xml:space="preserve">9601-7/03</t>
  </si>
  <si>
    <t xml:space="preserve">Toalheiros</t>
  </si>
  <si>
    <t xml:space="preserve">Laundry, Cleaning, and Garment Services</t>
  </si>
  <si>
    <t xml:space="preserve">8011-1/01</t>
  </si>
  <si>
    <t xml:space="preserve">Atividades de vigilância e segurança privada</t>
  </si>
  <si>
    <t xml:space="preserve">ATIVIDADES DE VIGILÂNCIA, SEGURANÇA E INVESTIGAÇÃO</t>
  </si>
  <si>
    <t xml:space="preserve">Detective Agencies, Protective Services, and Security Services, Including Armored Cars, and Guard Dogs</t>
  </si>
  <si>
    <t xml:space="preserve">8011-1/02</t>
  </si>
  <si>
    <t xml:space="preserve">Serviços de adestramento de cães de guarda</t>
  </si>
  <si>
    <t xml:space="preserve">8012-9/00</t>
  </si>
  <si>
    <t xml:space="preserve">Atividades de transporte de valores</t>
  </si>
  <si>
    <t xml:space="preserve">8020-0/01</t>
  </si>
  <si>
    <t xml:space="preserve">Atividades de monitoramento de sistemas de segurança eletrônico</t>
  </si>
  <si>
    <t xml:space="preserve">8020-0/02</t>
  </si>
  <si>
    <t xml:space="preserve">Outras atividades de serviços de segurança</t>
  </si>
  <si>
    <t xml:space="preserve">8030-7/00</t>
  </si>
  <si>
    <t xml:space="preserve">Atividades de investigação particular</t>
  </si>
  <si>
    <t xml:space="preserve">8020-0/00</t>
  </si>
  <si>
    <t xml:space="preserve">Atividades de monitoramento de sistemas de segurança</t>
  </si>
  <si>
    <t xml:space="preserve">5229-0/02</t>
  </si>
  <si>
    <t xml:space="preserve">Serviços de reboque de veículos</t>
  </si>
  <si>
    <t xml:space="preserve">Towing Services</t>
  </si>
  <si>
    <t xml:space="preserve">8592-9/01</t>
  </si>
  <si>
    <t xml:space="preserve">Ensino de dança</t>
  </si>
  <si>
    <t xml:space="preserve">Dance Halls, Schools, and Studios</t>
  </si>
  <si>
    <t xml:space="preserve">9001-9/01</t>
  </si>
  <si>
    <t xml:space="preserve">Produção teatral</t>
  </si>
  <si>
    <t xml:space="preserve">Theatrical Producers (Except Motion Pictures) and Ticket Agencies</t>
  </si>
  <si>
    <t xml:space="preserve">9001-9/03</t>
  </si>
  <si>
    <t xml:space="preserve">Produção de espetáculos de dança</t>
  </si>
  <si>
    <t xml:space="preserve">9001-9/04</t>
  </si>
  <si>
    <t xml:space="preserve">Produção de espetáculos circenses, de marionetes e similares</t>
  </si>
  <si>
    <t xml:space="preserve">9001-9/06</t>
  </si>
  <si>
    <t xml:space="preserve">Atividades de sonorização e de iluminação</t>
  </si>
  <si>
    <t xml:space="preserve">9001-9/99</t>
  </si>
  <si>
    <t xml:space="preserve">Artes cênicas, espetáculos e atividades complementares não especificados anteriormente</t>
  </si>
  <si>
    <t xml:space="preserve">9003-5/00</t>
  </si>
  <si>
    <t xml:space="preserve">Gestão de espaços para artes cênicas, espetáculos e outras atividades artísticas</t>
  </si>
  <si>
    <t xml:space="preserve">7490-1/05</t>
  </si>
  <si>
    <t xml:space="preserve">Agenciamento de profissionais para atividades esportivas, culturais e artísticas</t>
  </si>
  <si>
    <t xml:space="preserve">Athletic Fields, Commercial Sports, Professional Sports Clubs, Sports Promoters</t>
  </si>
  <si>
    <t xml:space="preserve">9311-5/00</t>
  </si>
  <si>
    <t xml:space="preserve">Gestão de instalações de esportes</t>
  </si>
  <si>
    <t xml:space="preserve">Commercial Sports, Professional Sports Clubs, Athletic Fields, and Sports Promoters</t>
  </si>
  <si>
    <t xml:space="preserve">9321-2/00</t>
  </si>
  <si>
    <t xml:space="preserve">Parques de diversão e parques temáticos</t>
  </si>
  <si>
    <t xml:space="preserve">Amusement Parks, Circuses, Carnivals, and Fortune Tellers</t>
  </si>
  <si>
    <t xml:space="preserve">9312-3/00</t>
  </si>
  <si>
    <t xml:space="preserve">Clubes sociais, esportivos e similares</t>
  </si>
  <si>
    <t xml:space="preserve">Membership Clubs (Sports, Recreation, Athletic), Country Clubs, and Private Golf Courses</t>
  </si>
  <si>
    <t xml:space="preserve">9313-1/00</t>
  </si>
  <si>
    <t xml:space="preserve">Atividades de condicionamento físico</t>
  </si>
  <si>
    <t xml:space="preserve">9001-9/05</t>
  </si>
  <si>
    <t xml:space="preserve">Produção de espetáculos de rodeios, vaquejadas e similares</t>
  </si>
  <si>
    <t xml:space="preserve">Recreation Services (Not Elsewhere Classified)</t>
  </si>
  <si>
    <t xml:space="preserve">9319-1/01</t>
  </si>
  <si>
    <t xml:space="preserve">Produção e promoção de eventos esportivos</t>
  </si>
  <si>
    <t xml:space="preserve">9319-1/99</t>
  </si>
  <si>
    <t xml:space="preserve">Outras atividades esportivas não especificadas anteriormente</t>
  </si>
  <si>
    <t xml:space="preserve">9329-8/99</t>
  </si>
  <si>
    <t xml:space="preserve">Outras atividades de recreação e lazer não especificadas anteriormente</t>
  </si>
  <si>
    <t xml:space="preserve">8591-1/00</t>
  </si>
  <si>
    <t xml:space="preserve">Ensino de esportes</t>
  </si>
  <si>
    <t xml:space="preserve">Schools and Educational Services (Not Elsewhere Classified)</t>
  </si>
  <si>
    <t xml:space="preserve">8592-9/02</t>
  </si>
  <si>
    <t xml:space="preserve">Ensino de artes cênicas, exceto dança</t>
  </si>
  <si>
    <t xml:space="preserve">8592-9/03</t>
  </si>
  <si>
    <t xml:space="preserve">Ensino de música</t>
  </si>
  <si>
    <t xml:space="preserve">8592-9/99</t>
  </si>
  <si>
    <t xml:space="preserve">Ensino de arte e cultura não especificado anteriormente</t>
  </si>
  <si>
    <t xml:space="preserve">8593-7/00</t>
  </si>
  <si>
    <t xml:space="preserve">Ensino de idiomas</t>
  </si>
  <si>
    <t xml:space="preserve">8599-6/01</t>
  </si>
  <si>
    <t xml:space="preserve">Formação de condutores</t>
  </si>
  <si>
    <t xml:space="preserve">8599-6/02</t>
  </si>
  <si>
    <t xml:space="preserve">Cursos de pilotagem</t>
  </si>
  <si>
    <t xml:space="preserve">8599-6/04</t>
  </si>
  <si>
    <t xml:space="preserve">Treinamento em desenvolvimento profissional e gerencial</t>
  </si>
  <si>
    <t xml:space="preserve">8599-6/05</t>
  </si>
  <si>
    <t xml:space="preserve">Cursos preparatórios para concursos</t>
  </si>
  <si>
    <t xml:space="preserve">8599-6/99</t>
  </si>
  <si>
    <t xml:space="preserve">Outras atividades de ensino não especificadas anteriormente</t>
  </si>
  <si>
    <t xml:space="preserve">9430-8/00</t>
  </si>
  <si>
    <t xml:space="preserve">Atividades de associações de defesa de direitos sociais</t>
  </si>
  <si>
    <t xml:space="preserve">Civic, Social, and Fraternal Associations</t>
  </si>
  <si>
    <t xml:space="preserve">9411-1/00</t>
  </si>
  <si>
    <t xml:space="preserve">Atividades de organizações associativas patronais e empresariais</t>
  </si>
  <si>
    <t xml:space="preserve">Membership Organizations (Not Elsewhere Classified)</t>
  </si>
  <si>
    <t xml:space="preserve">9412-0/99</t>
  </si>
  <si>
    <t xml:space="preserve">Outras atividades associativas profissionais</t>
  </si>
  <si>
    <t xml:space="preserve">9420-1/00</t>
  </si>
  <si>
    <t xml:space="preserve">Atividades de organizações sindicais</t>
  </si>
  <si>
    <t xml:space="preserve">9493-6/00</t>
  </si>
  <si>
    <t xml:space="preserve">Atividades de organizações associativas ligadas à cultura e à arte</t>
  </si>
  <si>
    <t xml:space="preserve">9499-5/00</t>
  </si>
  <si>
    <t xml:space="preserve">Atividades associativas não especificadas anteriormente</t>
  </si>
  <si>
    <t xml:space="preserve">9412-0/00</t>
  </si>
  <si>
    <t xml:space="preserve">Atividades de organizações associativas profissionais</t>
  </si>
  <si>
    <t xml:space="preserve">4744-0/01</t>
  </si>
  <si>
    <t xml:space="preserve">Comércio varejista de ferragens e ferramentas</t>
  </si>
  <si>
    <t xml:space="preserve">Hardware Stores</t>
  </si>
  <si>
    <t xml:space="preserve">4761-0/03</t>
  </si>
  <si>
    <t xml:space="preserve">Comércio varejista de artigos de papelaria</t>
  </si>
  <si>
    <t xml:space="preserve">Stationery Stores, Office and School Supply Stores</t>
  </si>
  <si>
    <t xml:space="preserve">4789-0/07</t>
  </si>
  <si>
    <t xml:space="preserve">Comércio varejista de equipamentos para escritório</t>
  </si>
  <si>
    <t xml:space="preserve">Office, School Supply, and Stationery Stores</t>
  </si>
  <si>
    <t xml:space="preserve">9602-5/02</t>
  </si>
  <si>
    <t xml:space="preserve">Atividades de Estética e outros serviços de cuidados com a beleza</t>
  </si>
  <si>
    <t xml:space="preserve">Health and Beauty Spas</t>
  </si>
  <si>
    <t xml:space="preserve">9609-2/01</t>
  </si>
  <si>
    <t xml:space="preserve">Clínicas de estética e similares</t>
  </si>
  <si>
    <t xml:space="preserve">4520-0/05</t>
  </si>
  <si>
    <t xml:space="preserve">Serviços de lavagem, lubrificação e polimento de veículos automotores</t>
  </si>
  <si>
    <t xml:space="preserve">Car Washes</t>
  </si>
  <si>
    <t xml:space="preserve">4330-4/02</t>
  </si>
  <si>
    <t xml:space="preserve">Instalação de portas, janelas, tetos, divisórias e armários embutidos de qualquer material</t>
  </si>
  <si>
    <t xml:space="preserve">Carpentry Contractors</t>
  </si>
  <si>
    <t xml:space="preserve">4330-4/04</t>
  </si>
  <si>
    <t xml:space="preserve">Serviços de pintura de edifícios em geral</t>
  </si>
  <si>
    <t xml:space="preserve">Roofing and Siding, Sheet Metal Work Contractors</t>
  </si>
  <si>
    <t xml:space="preserve">4618-4/99</t>
  </si>
  <si>
    <t xml:space="preserve">Outros representantes comerciais e agentes do comércio especializado em produtos não especificados anteriormente</t>
  </si>
  <si>
    <t xml:space="preserve">Miscellaneous General Merchandise Stores</t>
  </si>
  <si>
    <t xml:space="preserve">4721-1/03</t>
  </si>
  <si>
    <t xml:space="preserve">Comércio varejista de laticínios e frios</t>
  </si>
  <si>
    <t xml:space="preserve">Dairy Products Stores</t>
  </si>
  <si>
    <t xml:space="preserve">4511-1/02</t>
  </si>
  <si>
    <t xml:space="preserve">Comércio a varejo de automóveis, camionetas e utilitários usados</t>
  </si>
  <si>
    <t xml:space="preserve">Car and Truck Dealers (Used Only) Sales, Service, Repairs, Parts, and Leasing</t>
  </si>
  <si>
    <t xml:space="preserve">4616-8/00</t>
  </si>
  <si>
    <t xml:space="preserve">Representantes comerciais e agentes do comércio de têxteis, vestuário, calçados e artigos de viagem</t>
  </si>
  <si>
    <t xml:space="preserve">Miscellaneous Apparel and Accessory Shops</t>
  </si>
  <si>
    <t xml:space="preserve">4759-8/01</t>
  </si>
  <si>
    <t xml:space="preserve">Comércio varejista de artigos de tapeçaria, cortinas e persianas</t>
  </si>
  <si>
    <t xml:space="preserve">Drapery, Window Covering, and Upholstery Stores</t>
  </si>
  <si>
    <t xml:space="preserve">4751-2/01</t>
  </si>
  <si>
    <t xml:space="preserve">Comércio varejista especializado de equipamentos e suprimentos de informática</t>
  </si>
  <si>
    <t xml:space="preserve">Computer Software Stores</t>
  </si>
  <si>
    <t xml:space="preserve">4751-2/02</t>
  </si>
  <si>
    <t xml:space="preserve">Recarga de cartuchos para equipamentos de informática</t>
  </si>
  <si>
    <t xml:space="preserve">4751-2/00</t>
  </si>
  <si>
    <t xml:space="preserve">4723-7/00</t>
  </si>
  <si>
    <t xml:space="preserve">Comércio varejista de bebidas</t>
  </si>
  <si>
    <t xml:space="preserve">Package Stores – Beer, Wine, and Liquor</t>
  </si>
  <si>
    <t xml:space="preserve">4785-7/99</t>
  </si>
  <si>
    <t xml:space="preserve">Comércio varejista de outros artigos usados</t>
  </si>
  <si>
    <t xml:space="preserve">Used Merchandise and Secondhand Stores</t>
  </si>
  <si>
    <t xml:space="preserve">8630-5/03</t>
  </si>
  <si>
    <t xml:space="preserve">Atividade médica ambulatorial restrita a consultas</t>
  </si>
  <si>
    <t xml:space="preserve">Doctors—not elsewhere classified</t>
  </si>
  <si>
    <t xml:space="preserve">Venda Porta a Porta</t>
  </si>
  <si>
    <t xml:space="preserve">Door-To-Door Sales</t>
  </si>
  <si>
    <t xml:space="preserve">7410-2/01</t>
  </si>
  <si>
    <t xml:space="preserve">Design</t>
  </si>
  <si>
    <t xml:space="preserve">Commercial Photography, Art, and Graphics I</t>
  </si>
  <si>
    <t xml:space="preserve">4759-8/99</t>
  </si>
  <si>
    <t xml:space="preserve">Comércio varejista de outros artigos de uso pessoal e doméstico não especificados anteriormente</t>
  </si>
  <si>
    <t xml:space="preserve">Miscellaneous and Specialty Retail Stores</t>
  </si>
  <si>
    <t xml:space="preserve">4789-0/05</t>
  </si>
  <si>
    <t xml:space="preserve">Comércio varejista de produtos saneantes domissanitários</t>
  </si>
  <si>
    <t xml:space="preserve">4789-0/06</t>
  </si>
  <si>
    <t xml:space="preserve">Comércio varejista de fogos de artifício e artigos pirotécnicos</t>
  </si>
  <si>
    <t xml:space="preserve">4789-0/09</t>
  </si>
  <si>
    <t xml:space="preserve">Comércio varejista de armas e munições</t>
  </si>
  <si>
    <t xml:space="preserve">4789-0/99</t>
  </si>
  <si>
    <t xml:space="preserve">Comércio varejista de outros produtos não especificados anteriormente</t>
  </si>
  <si>
    <t xml:space="preserve">2330-3/05</t>
  </si>
  <si>
    <t xml:space="preserve">Preparação de massa de concreto e argamassa para construção</t>
  </si>
  <si>
    <t xml:space="preserve">Concrete Work Contractors</t>
  </si>
  <si>
    <t xml:space="preserve">4211-1/01</t>
  </si>
  <si>
    <t xml:space="preserve">Construção de rodovias e ferrovias</t>
  </si>
  <si>
    <t xml:space="preserve">4213-8/00</t>
  </si>
  <si>
    <t xml:space="preserve">Obras de urbanização - ruas, praças e calçadas</t>
  </si>
  <si>
    <t xml:space="preserve">4311-8/02</t>
  </si>
  <si>
    <t xml:space="preserve">Preparação de canteiro e limpeza de terreno</t>
  </si>
  <si>
    <t xml:space="preserve">4391-6/00</t>
  </si>
  <si>
    <t xml:space="preserve">Obras de fundações</t>
  </si>
  <si>
    <t xml:space="preserve">5012-2/02</t>
  </si>
  <si>
    <t xml:space="preserve">Transporte marítimo de longo curso - Passageiros</t>
  </si>
  <si>
    <t xml:space="preserve">Steamship and Cruise Lines</t>
  </si>
  <si>
    <t xml:space="preserve">5232-0/00</t>
  </si>
  <si>
    <t xml:space="preserve">Atividades de agenciamento marítimo</t>
  </si>
  <si>
    <t xml:space="preserve">5111-1/00</t>
  </si>
  <si>
    <t xml:space="preserve">Transporte aéreo de passageiros regular</t>
  </si>
  <si>
    <t xml:space="preserve">Airlines and Air Carriers (Not Elsewhere Classified)</t>
  </si>
  <si>
    <t xml:space="preserve">5112-9/01</t>
  </si>
  <si>
    <t xml:space="preserve">Serviço de táxi aéreo e locação de aeronaves com tripulação</t>
  </si>
  <si>
    <t xml:space="preserve">5112-9/99</t>
  </si>
  <si>
    <t xml:space="preserve">Outros serviços de transporte aéreo de passageiros não-regular</t>
  </si>
  <si>
    <t xml:space="preserve">5120-0/00</t>
  </si>
  <si>
    <t xml:space="preserve">Transporte aéreo de carga</t>
  </si>
  <si>
    <t xml:space="preserve">7911-2/00</t>
  </si>
  <si>
    <t xml:space="preserve">Agências de viagens</t>
  </si>
  <si>
    <t xml:space="preserve">AGÊNCIAS DE VIAGENS, OPERADORES TURÍSTICOS E SERVIÇOS DE RESERVAS</t>
  </si>
  <si>
    <t xml:space="preserve">Travel Agencies and Tour Operators H</t>
  </si>
  <si>
    <t xml:space="preserve">7912-1/00</t>
  </si>
  <si>
    <t xml:space="preserve">Operadores turísticos</t>
  </si>
  <si>
    <t xml:space="preserve">7990-2/00</t>
  </si>
  <si>
    <t xml:space="preserve">Serviços de reservas e outros serviços de turismo não especificados anteriormente</t>
  </si>
  <si>
    <t xml:space="preserve">2812-7/00</t>
  </si>
  <si>
    <t xml:space="preserve">Fabricação de equipamentos hidráulicos e pneumáticos, peças e acessórios, exceto válvulas</t>
  </si>
  <si>
    <t xml:space="preserve">Plumbing and Heating Equipment and Supplies</t>
  </si>
  <si>
    <t xml:space="preserve">0142-3/00</t>
  </si>
  <si>
    <t xml:space="preserve">Produção de mudas e outras formas de propagação vegetal, certificadas</t>
  </si>
  <si>
    <t xml:space="preserve">Nurseries and Lawn and Garden Supply Stores</t>
  </si>
  <si>
    <t xml:space="preserve">7319-0/03</t>
  </si>
  <si>
    <t xml:space="preserve">Marketing direto</t>
  </si>
  <si>
    <t xml:space="preserve">Direct Marketing – Other Direct Marketers (Not Elsewhere Classified) J</t>
  </si>
  <si>
    <t xml:space="preserve">8220-2/00</t>
  </si>
  <si>
    <t xml:space="preserve">Atividades de teleatendimento</t>
  </si>
  <si>
    <t xml:space="preserve">4729-6/01</t>
  </si>
  <si>
    <t xml:space="preserve">Tabacaria</t>
  </si>
  <si>
    <t xml:space="preserve">Cigar Stores and Stands</t>
  </si>
  <si>
    <t xml:space="preserve">6619-3/04</t>
  </si>
  <si>
    <t xml:space="preserve">Caixas eletrônicos</t>
  </si>
  <si>
    <t xml:space="preserve">Financial Institutions – Automated Cash Disbursements L</t>
  </si>
  <si>
    <t xml:space="preserve">6421-2/00</t>
  </si>
  <si>
    <t xml:space="preserve">Bancos comerciais</t>
  </si>
  <si>
    <t xml:space="preserve">Financial Institutions – Merchandise and Services</t>
  </si>
  <si>
    <t xml:space="preserve">6422-1/00</t>
  </si>
  <si>
    <t xml:space="preserve">Bancos múltiplos, com carteira comercial</t>
  </si>
  <si>
    <t xml:space="preserve">6423-9/00</t>
  </si>
  <si>
    <t xml:space="preserve">Caixas econômicas</t>
  </si>
  <si>
    <t xml:space="preserve">6424-7/01</t>
  </si>
  <si>
    <t xml:space="preserve">Bancos cooperativos</t>
  </si>
  <si>
    <t xml:space="preserve">6424-7/02</t>
  </si>
  <si>
    <t xml:space="preserve">Cooperativas centrais de crédito</t>
  </si>
  <si>
    <t xml:space="preserve">6424-7/03</t>
  </si>
  <si>
    <t xml:space="preserve">Cooperativas de crédito mútuo</t>
  </si>
  <si>
    <t xml:space="preserve">6424-7/04</t>
  </si>
  <si>
    <t xml:space="preserve">Cooperativas de crédito rural</t>
  </si>
  <si>
    <t xml:space="preserve">6431-0/00</t>
  </si>
  <si>
    <t xml:space="preserve">Bancos múltiplos, sem carteira comercial</t>
  </si>
  <si>
    <t xml:space="preserve">6432-8/00</t>
  </si>
  <si>
    <t xml:space="preserve">Bancos de investimento</t>
  </si>
  <si>
    <t xml:space="preserve">6433-6/00</t>
  </si>
  <si>
    <t xml:space="preserve">Bancos de desenvolvimento</t>
  </si>
  <si>
    <t xml:space="preserve">6434-4/00</t>
  </si>
  <si>
    <t xml:space="preserve">Agências de fomento</t>
  </si>
  <si>
    <t xml:space="preserve">6435-2/01</t>
  </si>
  <si>
    <t xml:space="preserve">Sociedades de crédito imobiliário</t>
  </si>
  <si>
    <t xml:space="preserve">6435-2/02</t>
  </si>
  <si>
    <t xml:space="preserve">Associações de poupança e empréstimo</t>
  </si>
  <si>
    <t xml:space="preserve">6435-2/03</t>
  </si>
  <si>
    <t xml:space="preserve">Companhias hipotecárias</t>
  </si>
  <si>
    <t xml:space="preserve">6436-1/00</t>
  </si>
  <si>
    <t xml:space="preserve">Sociedades de crédito, financiamento e investimento - financeiras</t>
  </si>
  <si>
    <t xml:space="preserve">6437-9/00</t>
  </si>
  <si>
    <t xml:space="preserve">Sociedades de crédito ao microempreendedor</t>
  </si>
  <si>
    <t xml:space="preserve">6438-7/01</t>
  </si>
  <si>
    <t xml:space="preserve">Bancos de câmbio</t>
  </si>
  <si>
    <t xml:space="preserve">6438-7/99</t>
  </si>
  <si>
    <t xml:space="preserve">Outras instituições de intermediação não-monetária não especificadas anteriormente</t>
  </si>
  <si>
    <t xml:space="preserve">6440-9/00</t>
  </si>
  <si>
    <t xml:space="preserve">Arrendamento mercantil</t>
  </si>
  <si>
    <t xml:space="preserve">6450-6/00</t>
  </si>
  <si>
    <t xml:space="preserve">Sociedades de capitalização</t>
  </si>
  <si>
    <t xml:space="preserve">6461-1/00</t>
  </si>
  <si>
    <t xml:space="preserve">Holdings de instituições financeiras</t>
  </si>
  <si>
    <t xml:space="preserve">6470-1/01</t>
  </si>
  <si>
    <t xml:space="preserve">Fundos de investimento, exceto previdenciários e imobiliários</t>
  </si>
  <si>
    <t xml:space="preserve">6470-1/02</t>
  </si>
  <si>
    <t xml:space="preserve">Fundos de investimento previdenciários</t>
  </si>
  <si>
    <t xml:space="preserve">6470-1/03</t>
  </si>
  <si>
    <t xml:space="preserve">Fundos de investimento imobiliários</t>
  </si>
  <si>
    <t xml:space="preserve">6492-1/00</t>
  </si>
  <si>
    <t xml:space="preserve">Securitização de créditos</t>
  </si>
  <si>
    <t xml:space="preserve">6499-9/03</t>
  </si>
  <si>
    <t xml:space="preserve">Fundo garantidor de crédito</t>
  </si>
  <si>
    <t xml:space="preserve">6499-9/04</t>
  </si>
  <si>
    <t xml:space="preserve">Caixas de financiamento de corporações</t>
  </si>
  <si>
    <t xml:space="preserve">6499-9/99</t>
  </si>
  <si>
    <t xml:space="preserve">Outras atividades de serviços financeiros não especificadas anteriormente</t>
  </si>
  <si>
    <t xml:space="preserve">6619-3/01</t>
  </si>
  <si>
    <t xml:space="preserve">Serviços de liquidação e custódia</t>
  </si>
  <si>
    <t xml:space="preserve">6619-3/02</t>
  </si>
  <si>
    <t xml:space="preserve">Correspondentes de instituições financeiras</t>
  </si>
  <si>
    <t xml:space="preserve">6619-3/03</t>
  </si>
  <si>
    <t xml:space="preserve">Representações de bancos estrangeiros</t>
  </si>
  <si>
    <t xml:space="preserve">6619-3/05</t>
  </si>
  <si>
    <t xml:space="preserve">Operadoras de cartões de débito</t>
  </si>
  <si>
    <t xml:space="preserve">6493-0/00</t>
  </si>
  <si>
    <t xml:space="preserve">Administração de consórcios para aquisição de bens e direitos</t>
  </si>
  <si>
    <t xml:space="preserve">Foreign Currency, Money Orders (Not Wire Transfer), Stored Value Card/Load, and Travelers Cheques</t>
  </si>
  <si>
    <t xml:space="preserve">6499-9/05</t>
  </si>
  <si>
    <t xml:space="preserve">Concessão de crédito pelas OSCIP</t>
  </si>
  <si>
    <t xml:space="preserve">6612-6/03</t>
  </si>
  <si>
    <t xml:space="preserve">Corretoras de câmbio</t>
  </si>
  <si>
    <t xml:space="preserve">6613-4/00</t>
  </si>
  <si>
    <t xml:space="preserve">Administração de cartões de crédito</t>
  </si>
  <si>
    <t xml:space="preserve">6491-3/00</t>
  </si>
  <si>
    <t xml:space="preserve">Sociedades de fomento mercantil - factoring</t>
  </si>
  <si>
    <t xml:space="preserve">Securities—Brokers/Dealers</t>
  </si>
  <si>
    <t xml:space="preserve">6499-9/01</t>
  </si>
  <si>
    <t xml:space="preserve">Clubes de investimento</t>
  </si>
  <si>
    <t xml:space="preserve">6499-9/02</t>
  </si>
  <si>
    <t xml:space="preserve">Sociedades de investimento</t>
  </si>
  <si>
    <t xml:space="preserve">6611-8/01</t>
  </si>
  <si>
    <t xml:space="preserve">Bolsa de valores</t>
  </si>
  <si>
    <t xml:space="preserve">6611-8/02</t>
  </si>
  <si>
    <t xml:space="preserve">Bolsa de mercadorias</t>
  </si>
  <si>
    <t xml:space="preserve">6611-8/03</t>
  </si>
  <si>
    <t xml:space="preserve">Bolsa de mercadorias e futuros</t>
  </si>
  <si>
    <t xml:space="preserve">6611-8/04</t>
  </si>
  <si>
    <t xml:space="preserve">Administração de mercados de balcão organizados</t>
  </si>
  <si>
    <t xml:space="preserve">6612-6/01</t>
  </si>
  <si>
    <t xml:space="preserve">Corretoras de títulos e valores mobiliários</t>
  </si>
  <si>
    <t xml:space="preserve">6612-6/02</t>
  </si>
  <si>
    <t xml:space="preserve">Distribuidoras de títulos e valores mobiliários</t>
  </si>
  <si>
    <t xml:space="preserve">6612-6/04</t>
  </si>
  <si>
    <t xml:space="preserve">Corretoras de contratos de mercadorias</t>
  </si>
  <si>
    <t xml:space="preserve">6612-6/05</t>
  </si>
  <si>
    <t xml:space="preserve">Agentes de investimentos em aplicações financeiras</t>
  </si>
  <si>
    <t xml:space="preserve">6630-4/00</t>
  </si>
  <si>
    <t xml:space="preserve">Atividades de administração de fundos por contrato ou comissão</t>
  </si>
  <si>
    <t xml:space="preserve">6511-1/01</t>
  </si>
  <si>
    <t xml:space="preserve">Sociedade seguradora de seguros vida</t>
  </si>
  <si>
    <t xml:space="preserve">SEGUROS, RESSEGUROS, PREVIDÊNCIA COMPLEMENTAR E PLANOS DE SAÚDE</t>
  </si>
  <si>
    <t xml:space="preserve">Insurance Sales, Underwriting, and Premiums</t>
  </si>
  <si>
    <t xml:space="preserve">6511-1/02</t>
  </si>
  <si>
    <t xml:space="preserve">Planos de auxílio-funeral</t>
  </si>
  <si>
    <t xml:space="preserve">6512-0/00</t>
  </si>
  <si>
    <t xml:space="preserve">Sociedade seguradora de seguros não vida</t>
  </si>
  <si>
    <t xml:space="preserve">6520-1/00</t>
  </si>
  <si>
    <t xml:space="preserve">Sociedade seguradora de seguros saúde</t>
  </si>
  <si>
    <t xml:space="preserve">6530-8/00</t>
  </si>
  <si>
    <t xml:space="preserve">Resseguros</t>
  </si>
  <si>
    <t xml:space="preserve">6541-3/00</t>
  </si>
  <si>
    <t xml:space="preserve">Previdência complementar fechada</t>
  </si>
  <si>
    <t xml:space="preserve">6542-1/00</t>
  </si>
  <si>
    <t xml:space="preserve">Previdência complementar aberta</t>
  </si>
  <si>
    <t xml:space="preserve">6550-2/00</t>
  </si>
  <si>
    <t xml:space="preserve">Planos de saúde</t>
  </si>
  <si>
    <t xml:space="preserve">6621-5/01</t>
  </si>
  <si>
    <t xml:space="preserve">Peritos e avaliadores de seguros</t>
  </si>
  <si>
    <t xml:space="preserve">6622-3/00</t>
  </si>
  <si>
    <t xml:space="preserve">Corretores e agentes de seguros, de planos de previdência complementar e de saúde</t>
  </si>
  <si>
    <t xml:space="preserve">6629-1/00</t>
  </si>
  <si>
    <t xml:space="preserve">Atividades auxiliares dos seguros, da previdência complementar e dos planos de saúde não especificadas anteriormente</t>
  </si>
  <si>
    <t xml:space="preserve">9609-2/02</t>
  </si>
  <si>
    <t xml:space="preserve">Agências matrimoniais</t>
  </si>
  <si>
    <t xml:space="preserve">Dating Services</t>
  </si>
  <si>
    <t xml:space="preserve">8291-1/00</t>
  </si>
  <si>
    <t xml:space="preserve">Atividades de cobrança e informações cadastrais</t>
  </si>
  <si>
    <t xml:space="preserve">Consumer Credit Reporting Agencies</t>
  </si>
  <si>
    <t xml:space="preserve">7020-4/00</t>
  </si>
  <si>
    <t xml:space="preserve">Atividades de consultoria em gestão empresarial, exceto consultoria técnica específica</t>
  </si>
  <si>
    <t xml:space="preserve">ATIVIDADES DE SEDES DE EMPRESAS E DE CONSULTORIA EM GESTÃO EMPRESARIAL</t>
  </si>
  <si>
    <t xml:space="preserve">Management, Consulting, and Public Relations Services</t>
  </si>
  <si>
    <t xml:space="preserve">7740-3/00</t>
  </si>
  <si>
    <t xml:space="preserve">Gestão de ativos intangíveis não-financeiros</t>
  </si>
  <si>
    <t xml:space="preserve">Consulting, Management, and Public Relations Services</t>
  </si>
  <si>
    <t xml:space="preserve">8211-3/00</t>
  </si>
  <si>
    <t xml:space="preserve">Serviços combinados de escritório e apoio administrativo</t>
  </si>
  <si>
    <t xml:space="preserve">9512-6/00</t>
  </si>
  <si>
    <t xml:space="preserve">Reparação e manutenção de equipamentos de comunicação</t>
  </si>
  <si>
    <t xml:space="preserve">Electronics Repair Shops</t>
  </si>
  <si>
    <t xml:space="preserve">3311-2/00</t>
  </si>
  <si>
    <t xml:space="preserve">Manutenção e reparação de tanques, reservatórios metálicos e caldeiras, exceto para veículos</t>
  </si>
  <si>
    <t xml:space="preserve">Miscellaneous Repair Shops and Related Services</t>
  </si>
  <si>
    <t xml:space="preserve">3312-1/02</t>
  </si>
  <si>
    <t xml:space="preserve">Manutenção e reparação de aparelhos e instrumentos de medida, teste e controle</t>
  </si>
  <si>
    <t xml:space="preserve">3312-1/03</t>
  </si>
  <si>
    <t xml:space="preserve">Manutenção e reparação de aparelhos eletromédicos e eletroterapêuticos e equipamentos de irradiação</t>
  </si>
  <si>
    <t xml:space="preserve">3312-1/04</t>
  </si>
  <si>
    <t xml:space="preserve">Manutenção e reparação de equipamentos e instrumentos ópticos</t>
  </si>
  <si>
    <t xml:space="preserve">3313-9/01</t>
  </si>
  <si>
    <t xml:space="preserve">Manutenção e reparação de geradores, transformadores e motores elétricos</t>
  </si>
  <si>
    <t xml:space="preserve">3313-9/02</t>
  </si>
  <si>
    <t xml:space="preserve">Manutenção e reparação de baterias e acumuladores elétricos, exceto para veículos</t>
  </si>
  <si>
    <t xml:space="preserve">3313-9/99</t>
  </si>
  <si>
    <t xml:space="preserve">Manutenção e reparação de máquinas, aparelhos e materiais elétricos não especificados anteriormente</t>
  </si>
  <si>
    <t xml:space="preserve">3314-7/01</t>
  </si>
  <si>
    <t xml:space="preserve">Manutenção e reparação de máquinas motrizes não-elétricas</t>
  </si>
  <si>
    <t xml:space="preserve">3314-7/02</t>
  </si>
  <si>
    <t xml:space="preserve">Manutenção e reparação de equipamentos hidráulicos e pneumáticos, exceto válvulas</t>
  </si>
  <si>
    <t xml:space="preserve">3314-7/03</t>
  </si>
  <si>
    <t xml:space="preserve">Manutenção e reparação de válvulas industriais</t>
  </si>
  <si>
    <t xml:space="preserve">3314-7/04</t>
  </si>
  <si>
    <t xml:space="preserve">Manutenção e reparação de compressores</t>
  </si>
  <si>
    <t xml:space="preserve">3314-7/05</t>
  </si>
  <si>
    <t xml:space="preserve">Manutenção e reparação de equipamentos de transmissão para fins industriais</t>
  </si>
  <si>
    <t xml:space="preserve">3314-7/06</t>
  </si>
  <si>
    <t xml:space="preserve">Manutenção e reparação de máquinas, aparelhos e equipamentos para instalações térmicas</t>
  </si>
  <si>
    <t xml:space="preserve">3314-7/07</t>
  </si>
  <si>
    <t xml:space="preserve">Manutenção e reparação de máquinas e aparelhos de refrigeração e ventilação para uso industrial e comercial</t>
  </si>
  <si>
    <t xml:space="preserve">3314-7/08</t>
  </si>
  <si>
    <t xml:space="preserve">Manutenção e reparação de máquinas, equipamentos e aparelhos para transporte e elevação de cargas</t>
  </si>
  <si>
    <t xml:space="preserve">3314-7/09</t>
  </si>
  <si>
    <t xml:space="preserve">Manutenção e reparação de máquinas de escrever, calcular e de outros equipamentos não-eletrônicos para escritório</t>
  </si>
  <si>
    <t xml:space="preserve">3314-7/10</t>
  </si>
  <si>
    <t xml:space="preserve">Manutenção e reparação de máquinas e equipamentos para uso geral não especificados anteriormente</t>
  </si>
  <si>
    <t xml:space="preserve">3314-7/11</t>
  </si>
  <si>
    <t xml:space="preserve">Manutenção e reparação de máquinas e equipamentos para agricultura e pecuária</t>
  </si>
  <si>
    <t xml:space="preserve">3314-7/12</t>
  </si>
  <si>
    <t xml:space="preserve">Manutenção e reparação de tratores agrícolas</t>
  </si>
  <si>
    <t xml:space="preserve">3314-7/13</t>
  </si>
  <si>
    <t xml:space="preserve">Manutenção e reparação de máquinas-ferramenta</t>
  </si>
  <si>
    <t xml:space="preserve">3314-7/14</t>
  </si>
  <si>
    <t xml:space="preserve">Manutenção e reparação de máquinas e equipamentos para a prospecção e extração de petróleo</t>
  </si>
  <si>
    <t xml:space="preserve">3314-7/15</t>
  </si>
  <si>
    <t xml:space="preserve">Manutenção e reparação de máquinas e equipamentos para uso na extração mineral, exceto na extração de petróleo</t>
  </si>
  <si>
    <t xml:space="preserve">3314-7/16</t>
  </si>
  <si>
    <t xml:space="preserve">Manutenção e reparação de tratores, exceto agrícolas</t>
  </si>
  <si>
    <t xml:space="preserve">3314-7/17</t>
  </si>
  <si>
    <t xml:space="preserve">Manutenção e reparação de máquinas e equipamentos de terraplenagem, pavimentação e construção, exceto tratores</t>
  </si>
  <si>
    <t xml:space="preserve">3314-7/18</t>
  </si>
  <si>
    <t xml:space="preserve">Manutenção e reparação de máquinas para a indústria metalúrgica, exceto máquinas-ferramenta</t>
  </si>
  <si>
    <t xml:space="preserve">3314-7/19</t>
  </si>
  <si>
    <t xml:space="preserve">Manutenção e reparação de máquinas e equipamentos para as indústrias de alimentos, bebidas e fumo</t>
  </si>
  <si>
    <t xml:space="preserve">3314-7/20</t>
  </si>
  <si>
    <t xml:space="preserve">Manutenção e reparação de máquinas e equipamentos para a indústria têxtil, do vestuário, do couro e calçados</t>
  </si>
  <si>
    <t xml:space="preserve">3314-7/21</t>
  </si>
  <si>
    <t xml:space="preserve">Manutenção e reparação de máquinas e aparelhos para a indústria de celulose, papel e papelão e artefatos</t>
  </si>
  <si>
    <t xml:space="preserve">3314-7/22</t>
  </si>
  <si>
    <t xml:space="preserve">Manutenção e reparação de máquinas e aparelhos para a indústria do plástico</t>
  </si>
  <si>
    <t xml:space="preserve">3314-7/99</t>
  </si>
  <si>
    <t xml:space="preserve">Manutenção e reparação de outras máquinas e equipamentos para usos industriais não especificados anteriormente</t>
  </si>
  <si>
    <t xml:space="preserve">3315-5/00</t>
  </si>
  <si>
    <t xml:space="preserve">Manutenção e reparação de veículos ferroviários</t>
  </si>
  <si>
    <t xml:space="preserve">3316-3/01</t>
  </si>
  <si>
    <t xml:space="preserve">Manutenção e reparação de aeronaves, exceto a manutenção na pista</t>
  </si>
  <si>
    <t xml:space="preserve">3316-3/02</t>
  </si>
  <si>
    <t xml:space="preserve">Manutenção de aeronaves na pista</t>
  </si>
  <si>
    <t xml:space="preserve">3319-8/00</t>
  </si>
  <si>
    <t xml:space="preserve">Manutenção e reparação de equipamentos e produtos não especificados anteriormente</t>
  </si>
  <si>
    <t xml:space="preserve">4329-1/03</t>
  </si>
  <si>
    <t xml:space="preserve">Instalação, manutenção e reparação de elevadores, escadas e esteiras rolantes</t>
  </si>
  <si>
    <t xml:space="preserve">9529-1/04</t>
  </si>
  <si>
    <t xml:space="preserve">Reparação de bicicletas, triciclos e outros veículos não-motorizados</t>
  </si>
  <si>
    <t xml:space="preserve">9529-1/99</t>
  </si>
  <si>
    <t xml:space="preserve">Reparação e manutenção de outros objetos e equipamentos pessoais e domésticos não especificados anteriormente</t>
  </si>
  <si>
    <t xml:space="preserve">8299-7/06</t>
  </si>
  <si>
    <t xml:space="preserve">Casas lotéricas</t>
  </si>
  <si>
    <t xml:space="preserve">Betting, including Lottery Tickets, Casino Gaming Chips, Off-Track Betting, and Wagers at Race Tracks</t>
  </si>
  <si>
    <t xml:space="preserve">9200-3/01</t>
  </si>
  <si>
    <t xml:space="preserve">Casas de bingo</t>
  </si>
  <si>
    <t xml:space="preserve">ATIVIDADES DE EXPLORAÇÃO DE JOGOS DE AZAR E APOSTAS</t>
  </si>
  <si>
    <t xml:space="preserve">9200-3/02</t>
  </si>
  <si>
    <t xml:space="preserve">Exploração de apostas em corridas de cavalos</t>
  </si>
  <si>
    <t xml:space="preserve">9200-3/99</t>
  </si>
  <si>
    <t xml:space="preserve">Exploração de jogos de azar e apostas não especificados anteriormente</t>
  </si>
  <si>
    <t xml:space="preserve">8690-9/04</t>
  </si>
  <si>
    <t xml:space="preserve">Atividades de podologia</t>
  </si>
  <si>
    <t xml:space="preserve">Podiatrists and Chiropodists I</t>
  </si>
  <si>
    <t xml:space="preserve">9492-8/00</t>
  </si>
  <si>
    <t xml:space="preserve">Atividades de organizações políticas</t>
  </si>
  <si>
    <t xml:space="preserve">Political Organizations</t>
  </si>
  <si>
    <t xml:space="preserve">9491-0/00</t>
  </si>
  <si>
    <t xml:space="preserve">Atividades de organizações religiosas ou filosóficas</t>
  </si>
  <si>
    <t xml:space="preserve">Religious Organizations</t>
  </si>
  <si>
    <t xml:space="preserve">Code</t>
  </si>
  <si>
    <t xml:space="preserve">Descrição</t>
  </si>
  <si>
    <t xml:space="preserve">101-5</t>
  </si>
  <si>
    <t xml:space="preserve">Órgão Público do Poder Executivo Federal</t>
  </si>
  <si>
    <t xml:space="preserve">102-3</t>
  </si>
  <si>
    <t xml:space="preserve">Órgão Público do Poder Executivo Estadual ou do Distrito Federal</t>
  </si>
  <si>
    <t xml:space="preserve">103-1</t>
  </si>
  <si>
    <t xml:space="preserve">Órgão Público do Poder Executivo Municipal</t>
  </si>
  <si>
    <t xml:space="preserve">104-0</t>
  </si>
  <si>
    <t xml:space="preserve">Órgão Público do Poder Legislativo Federal</t>
  </si>
  <si>
    <t xml:space="preserve">105-8</t>
  </si>
  <si>
    <t xml:space="preserve">Órgão Público do Poder Legislativo Estadual ou do Distrito Federal</t>
  </si>
  <si>
    <t xml:space="preserve">106-6</t>
  </si>
  <si>
    <t xml:space="preserve">Órgão Público do Poder Legislativo Municipal</t>
  </si>
  <si>
    <t xml:space="preserve">107-4</t>
  </si>
  <si>
    <t xml:space="preserve">Órgão Público do Poder Judiciário Federal</t>
  </si>
  <si>
    <t xml:space="preserve">108-2</t>
  </si>
  <si>
    <t xml:space="preserve">Órgão Público do Poder Judiciário Estadual</t>
  </si>
  <si>
    <t xml:space="preserve">110-4</t>
  </si>
  <si>
    <t xml:space="preserve">Autarquia Federal</t>
  </si>
  <si>
    <t xml:space="preserve">111-2</t>
  </si>
  <si>
    <t xml:space="preserve">Autarquia Estadual ou do Distrito Federal</t>
  </si>
  <si>
    <t xml:space="preserve">112-0</t>
  </si>
  <si>
    <t xml:space="preserve">Autarquia Municipal</t>
  </si>
  <si>
    <t xml:space="preserve">113-9</t>
  </si>
  <si>
    <t xml:space="preserve">Fundação Pública de Direito Público Federal</t>
  </si>
  <si>
    <t xml:space="preserve">114-7</t>
  </si>
  <si>
    <t xml:space="preserve">Fundação Pública de Direito Público Estadual ou do Distrito Federal</t>
  </si>
  <si>
    <t xml:space="preserve">115-5</t>
  </si>
  <si>
    <t xml:space="preserve">Fundação Pública de Direito Público Municipal</t>
  </si>
  <si>
    <t xml:space="preserve">116-3</t>
  </si>
  <si>
    <t xml:space="preserve">Órgão Público Autônomo Federal</t>
  </si>
  <si>
    <t xml:space="preserve">117-1</t>
  </si>
  <si>
    <t xml:space="preserve">Órgão Público Autônomo Estadual ou do Distrito Federal</t>
  </si>
  <si>
    <t xml:space="preserve">118-0</t>
  </si>
  <si>
    <t xml:space="preserve">Órgão Público Autônomo Municipal</t>
  </si>
  <si>
    <t xml:space="preserve">119-8</t>
  </si>
  <si>
    <t xml:space="preserve">Comissão Polinacional</t>
  </si>
  <si>
    <t xml:space="preserve">120-1</t>
  </si>
  <si>
    <t xml:space="preserve">Fundo Público</t>
  </si>
  <si>
    <t xml:space="preserve">121-0</t>
  </si>
  <si>
    <t xml:space="preserve">Consórcio Público de Direito Público (Associação Pública)</t>
  </si>
  <si>
    <t xml:space="preserve">122-8</t>
  </si>
  <si>
    <t xml:space="preserve">Consórcio Público de Direito Privado</t>
  </si>
  <si>
    <t xml:space="preserve">123-6</t>
  </si>
  <si>
    <t xml:space="preserve">Estado ou Distrito Federal</t>
  </si>
  <si>
    <t xml:space="preserve">124-4</t>
  </si>
  <si>
    <t xml:space="preserve">Município</t>
  </si>
  <si>
    <t xml:space="preserve">125-2</t>
  </si>
  <si>
    <t xml:space="preserve">Fundação Pública de Direito Privado Federal</t>
  </si>
  <si>
    <t xml:space="preserve">126-0</t>
  </si>
  <si>
    <t xml:space="preserve">Fundação Pública de Direito Privado Estadual ou do Distrito Federal</t>
  </si>
  <si>
    <t xml:space="preserve">127-9</t>
  </si>
  <si>
    <t xml:space="preserve">Fundação Pública de Direito Privado Municipal</t>
  </si>
  <si>
    <t xml:space="preserve">128-7</t>
  </si>
  <si>
    <t xml:space="preserve">Fundo Público da Administração Indireta Federal</t>
  </si>
  <si>
    <t xml:space="preserve">129-5</t>
  </si>
  <si>
    <t xml:space="preserve">Fundo Público da Administração Indireta Estadual ou do Distrito Federal</t>
  </si>
  <si>
    <t xml:space="preserve">130-9</t>
  </si>
  <si>
    <t xml:space="preserve">Fundo Público da Administração Indireta Municipal</t>
  </si>
  <si>
    <t xml:space="preserve">131-7</t>
  </si>
  <si>
    <t xml:space="preserve">Fundo Público da Administração Direta Federal</t>
  </si>
  <si>
    <t xml:space="preserve">132-5</t>
  </si>
  <si>
    <t xml:space="preserve">Fundo Público da Administração Direta Estadual ou do Distrito Federal</t>
  </si>
  <si>
    <t xml:space="preserve">133-3</t>
  </si>
  <si>
    <t xml:space="preserve">Fundo Público da Administração Direta Municipal</t>
  </si>
  <si>
    <t xml:space="preserve">201-1 </t>
  </si>
  <si>
    <t xml:space="preserve">Empresa Pública </t>
  </si>
  <si>
    <t xml:space="preserve">203-8 </t>
  </si>
  <si>
    <t xml:space="preserve">Sociedade de Economia Mista </t>
  </si>
  <si>
    <t xml:space="preserve">204-6 </t>
  </si>
  <si>
    <t xml:space="preserve">Sociedade Anônima Aberta </t>
  </si>
  <si>
    <t xml:space="preserve">205-4 </t>
  </si>
  <si>
    <t xml:space="preserve">Sociedade Anônima Fechada </t>
  </si>
  <si>
    <t xml:space="preserve">206-2 </t>
  </si>
  <si>
    <t xml:space="preserve">Sociedade Empresária Limitada </t>
  </si>
  <si>
    <t xml:space="preserve">207-0</t>
  </si>
  <si>
    <t xml:space="preserve">Sociedade Empresária em Nome Coletivo </t>
  </si>
  <si>
    <t xml:space="preserve">208-9 </t>
  </si>
  <si>
    <t xml:space="preserve">Sociedade Empresária em Comandita Simples </t>
  </si>
  <si>
    <t xml:space="preserve">209-7 </t>
  </si>
  <si>
    <t xml:space="preserve">Sociedade Empresária em Comandita por Ações </t>
  </si>
  <si>
    <t xml:space="preserve">212-7 </t>
  </si>
  <si>
    <t xml:space="preserve">Sociedade em Conta de Participação </t>
  </si>
  <si>
    <t xml:space="preserve">213-5 </t>
  </si>
  <si>
    <t xml:space="preserve">Empresário (Individual) </t>
  </si>
  <si>
    <t xml:space="preserve">214-3 </t>
  </si>
  <si>
    <t xml:space="preserve">Cooperativa </t>
  </si>
  <si>
    <t xml:space="preserve">215-1 </t>
  </si>
  <si>
    <t xml:space="preserve">Consórcio de Sociedades </t>
  </si>
  <si>
    <t xml:space="preserve">216-0 </t>
  </si>
  <si>
    <t xml:space="preserve">Grupo de Sociedades </t>
  </si>
  <si>
    <t xml:space="preserve">217-8 </t>
  </si>
  <si>
    <t xml:space="preserve">Estabelecimento, no Brasil, de Sociedade Estrangeira </t>
  </si>
  <si>
    <t xml:space="preserve">219-4 </t>
  </si>
  <si>
    <t xml:space="preserve">Estabelecimento de Empresa Binacional Argentino-Brasileira </t>
  </si>
  <si>
    <t xml:space="preserve">221-6 </t>
  </si>
  <si>
    <t xml:space="preserve">Empresa Domiciliada no Exterior </t>
  </si>
  <si>
    <t xml:space="preserve">222-4 </t>
  </si>
  <si>
    <t xml:space="preserve">Clube/Fundo de Investimento </t>
  </si>
  <si>
    <t xml:space="preserve">223-2 </t>
  </si>
  <si>
    <t xml:space="preserve">Sociedade Simples Pura </t>
  </si>
  <si>
    <t xml:space="preserve">224-0 </t>
  </si>
  <si>
    <t xml:space="preserve">Sociedade Simples Limitada </t>
  </si>
  <si>
    <t xml:space="preserve">225-9 </t>
  </si>
  <si>
    <t xml:space="preserve">Sociedade Simples em Nome Coletivo </t>
  </si>
  <si>
    <t xml:space="preserve">226-7</t>
  </si>
  <si>
    <t xml:space="preserve">Sociedade Simples em Comandita Simples</t>
  </si>
  <si>
    <t xml:space="preserve">227-5</t>
  </si>
  <si>
    <t xml:space="preserve">Empresa Binacional</t>
  </si>
  <si>
    <t xml:space="preserve">228-3</t>
  </si>
  <si>
    <t xml:space="preserve">Consórcio de Empregadores</t>
  </si>
  <si>
    <t xml:space="preserve">229-1</t>
  </si>
  <si>
    <t xml:space="preserve">Consórcio Simples</t>
  </si>
  <si>
    <t xml:space="preserve">230-5</t>
  </si>
  <si>
    <t xml:space="preserve">Empresa Individual de Responsabilidade Limitada (de Natureza Empresária)</t>
  </si>
  <si>
    <t xml:space="preserve">231-3</t>
  </si>
  <si>
    <t xml:space="preserve">Empresa Individual de Responsabilidade Limitada (de Natureza Simples)</t>
  </si>
  <si>
    <t xml:space="preserve">232-1</t>
  </si>
  <si>
    <t xml:space="preserve">Sociedade Unipessoal de Advocacia</t>
  </si>
  <si>
    <t xml:space="preserve">233-0</t>
  </si>
  <si>
    <t xml:space="preserve">Cooperativas de Consumo</t>
  </si>
  <si>
    <t xml:space="preserve">303-4</t>
  </si>
  <si>
    <t xml:space="preserve">Serviço Notarial e Registral (Cartório)</t>
  </si>
  <si>
    <t xml:space="preserve">306-9</t>
  </si>
  <si>
    <t xml:space="preserve">Fundação Privada</t>
  </si>
  <si>
    <t xml:space="preserve">307-7</t>
  </si>
  <si>
    <t xml:space="preserve">Serviço Social Autônomo</t>
  </si>
  <si>
    <t xml:space="preserve">308-5</t>
  </si>
  <si>
    <t xml:space="preserve">Condomínio Edilício</t>
  </si>
  <si>
    <t xml:space="preserve">310-7</t>
  </si>
  <si>
    <t xml:space="preserve">Comissão de Conciliação Prévia</t>
  </si>
  <si>
    <t xml:space="preserve">311-5</t>
  </si>
  <si>
    <t xml:space="preserve">Entidade de Mediação e Arbitragem</t>
  </si>
  <si>
    <t xml:space="preserve">313-1</t>
  </si>
  <si>
    <t xml:space="preserve">Entidade Sindical</t>
  </si>
  <si>
    <t xml:space="preserve">320-4</t>
  </si>
  <si>
    <t xml:space="preserve">Estabelecimento, no Brasil, de Fundação ou Associação Estrangeiras</t>
  </si>
  <si>
    <t xml:space="preserve">321-2</t>
  </si>
  <si>
    <t xml:space="preserve">Fundação ou Associação domiciliada no exterior</t>
  </si>
  <si>
    <t xml:space="preserve">322-0</t>
  </si>
  <si>
    <t xml:space="preserve">Organização Religiosa</t>
  </si>
  <si>
    <t xml:space="preserve">323-9</t>
  </si>
  <si>
    <t xml:space="preserve">Comunidade Indígena</t>
  </si>
  <si>
    <t xml:space="preserve">324-7</t>
  </si>
  <si>
    <t xml:space="preserve">Fundo Privado</t>
  </si>
  <si>
    <t xml:space="preserve">325-5</t>
  </si>
  <si>
    <t xml:space="preserve">Órgão de Direção Nacional de Partido Político</t>
  </si>
  <si>
    <t xml:space="preserve">326-3</t>
  </si>
  <si>
    <t xml:space="preserve">Órgão de Direção Regional de Partido Político</t>
  </si>
  <si>
    <t xml:space="preserve">327-1</t>
  </si>
  <si>
    <t xml:space="preserve">Órgão de Direção Local de Partido Político</t>
  </si>
  <si>
    <t xml:space="preserve">330-1</t>
  </si>
  <si>
    <t xml:space="preserve">Organização Social (OS)</t>
  </si>
  <si>
    <t xml:space="preserve">399-9</t>
  </si>
  <si>
    <t xml:space="preserve">Associação Privada</t>
  </si>
  <si>
    <t xml:space="preserve">401-4</t>
  </si>
  <si>
    <t xml:space="preserve">Empresa Individual Imobiliária</t>
  </si>
  <si>
    <t xml:space="preserve">409-0</t>
  </si>
  <si>
    <t xml:space="preserve">Candidato a Cargo Político Eletivo</t>
  </si>
  <si>
    <t xml:space="preserve">412-0</t>
  </si>
  <si>
    <t xml:space="preserve">Produtor Rural (Pessoa Física)</t>
  </si>
  <si>
    <t xml:space="preserve">501-0</t>
  </si>
  <si>
    <t xml:space="preserve">Organização Internacional</t>
  </si>
  <si>
    <t xml:space="preserve">502-9</t>
  </si>
  <si>
    <t xml:space="preserve">Representação Diplomática Estrangeira</t>
  </si>
  <si>
    <t xml:space="preserve">503-7</t>
  </si>
  <si>
    <t xml:space="preserve">Outras Instituições Extraterritoriais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</si>
</sst>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@"/>
    <numFmt numFmtId="166" formatCode="0"/>
    <numFmt numFmtId="167" formatCode="General"/>
    <numFmt numFmtId="168" formatCode="dd/mm/yyyy"/>
    <numFmt numFmtId="169" formatCode="d/m/yyyy"/>
    <numFmt numFmtId="170" formatCode="[$R$-416]\ #,##0.00;[RED]\-[$R$-416]\ #,##0.00"/>
    <numFmt numFmtId="171" formatCode="#\-###"/>
    <numFmt numFmtId="172" formatCode="00000\-000"/>
    <numFmt numFmtId="173" formatCode="&quot;_-&quot;[$R$-416]\ * #,##0.00&quot; _-&quot;;\-[$R$-416]\ * #,##0.00&quot; _-&quot;;&quot;_-&quot;[$R$-416]\ * \-??&quot; _-&quot;;_-@"/>
    <numFmt numFmtId="174" formatCode="000000000"/>
  </numFmts>
  <fonts count="20">
    <font>
      <sz val="11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  <font>
      <b val="true"/>
      <sz val="10"/>
      <color rgb="FFC9211E"/>
      <name val="Calibri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C9211E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1"/>
      <color theme="1"/>
      <name val="Inconsolata"/>
      <family val="0"/>
      <charset val="1"/>
    </font>
    <font>
      <sz val="10"/>
      <color theme="1"/>
      <name val="Inconsolata"/>
      <family val="0"/>
      <charset val="1"/>
    </font>
    <font>
      <sz val="10"/>
      <color theme="1"/>
      <name val="Times New Roman"/>
      <family val="1"/>
      <charset val="1"/>
    </font>
    <font>
      <b val="true"/>
      <sz val="11"/>
      <color theme="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E8E6E6"/>
      </patternFill>
    </fill>
    <fill>
      <patternFill patternType="solid">
        <fgColor rgb="FF00B8BD"/>
        <bgColor rgb="FF2EB8BD"/>
      </patternFill>
    </fill>
    <fill>
      <patternFill patternType="solid">
        <fgColor rgb="FF2EB8BD"/>
        <bgColor rgb="FF00B8BD"/>
      </patternFill>
    </fill>
    <fill>
      <patternFill patternType="solid">
        <fgColor rgb="FFE7E6E6"/>
        <bgColor rgb="FFE8E6E6"/>
      </patternFill>
    </fill>
    <fill>
      <patternFill patternType="solid">
        <fgColor rgb="FFE8E6E6"/>
        <bgColor rgb="FFE7E6E6"/>
      </patternFill>
    </fill>
    <fill>
      <patternFill patternType="solid">
        <fgColor rgb="FFCCF1F2"/>
        <bgColor rgb="FFCC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/>
      <right/>
      <top/>
      <bottom style="double">
        <color rgb="FFC00000"/>
      </bottom>
      <diagonal/>
    </border>
    <border diagonalUp="false" diagonalDown="false">
      <left/>
      <right style="thin">
        <color theme="0"/>
      </right>
      <top/>
      <bottom style="double">
        <color rgb="FFC0000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/>
      <top/>
      <bottom style="double">
        <color rgb="FFC00000"/>
      </bottom>
      <diagonal/>
    </border>
    <border diagonalUp="false" diagonalDown="false">
      <left style="thin">
        <color theme="0"/>
      </left>
      <right/>
      <top/>
      <bottom/>
      <diagonal/>
    </border>
    <border diagonalUp="false" diagonalDown="false">
      <left style="thin">
        <color rgb="FFFFFFFF"/>
      </left>
      <right style="thin">
        <color theme="0"/>
      </right>
      <top/>
      <bottom/>
      <diagonal/>
    </border>
    <border diagonalUp="false" diagonalDown="false">
      <left/>
      <right style="thin">
        <color theme="0"/>
      </right>
      <top/>
      <bottom/>
      <diagonal/>
    </border>
    <border diagonalUp="false" diagonalDown="false">
      <left style="thin">
        <color theme="0"/>
      </left>
      <right/>
      <top style="double">
        <color rgb="FFC00000"/>
      </top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/>
      <diagonal/>
    </border>
    <border diagonalUp="false" diagonalDown="false">
      <left style="thin">
        <color theme="0"/>
      </left>
      <right/>
      <top style="thin">
        <color theme="0"/>
      </top>
      <bottom style="thin">
        <color theme="0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 diagonalUp="false" diagonalDown="false"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medium">
        <color rgb="FFFFFFFF"/>
      </left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/>
      <right/>
      <top/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5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5" fillId="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5" fillId="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3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3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3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3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4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0" fillId="5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5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5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5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5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0" fillId="5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5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5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6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6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5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7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3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4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3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2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color rgb="FF000000"/>
        <sz val="11"/>
      </font>
      <fill>
        <patternFill>
          <bgColor rgb="FFCCF1F2"/>
        </patternFill>
      </fill>
    </dxf>
    <dxf>
      <font>
        <name val="Arial"/>
        <charset val="1"/>
        <family val="0"/>
        <color rgb="FF000000"/>
        <sz val="11"/>
      </font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6E6"/>
      <rgbColor rgb="FFCCF1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8BD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2EB8B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423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5" topLeftCell="A35" activePane="bottomLeft" state="frozen"/>
      <selection pane="topLeft" activeCell="A1" activeCellId="0" sqref="A1"/>
      <selection pane="bottomLeft" activeCell="CB39" activeCellId="0" sqref="CB39"/>
    </sheetView>
  </sheetViews>
  <sheetFormatPr defaultColWidth="12.6328125" defaultRowHeight="15" zeroHeight="tru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.13"/>
    <col collapsed="false" customWidth="true" hidden="false" outlineLevel="0" max="4" min="3" style="1" width="19.63"/>
    <col collapsed="false" customWidth="true" hidden="false" outlineLevel="0" max="5" min="5" style="2" width="22.13"/>
    <col collapsed="false" customWidth="true" hidden="false" outlineLevel="0" max="6" min="6" style="1" width="22.13"/>
    <col collapsed="false" customWidth="true" hidden="false" outlineLevel="0" max="7" min="7" style="1" width="9.63"/>
    <col collapsed="false" customWidth="true" hidden="false" outlineLevel="0" max="8" min="8" style="2" width="12.13"/>
    <col collapsed="false" customWidth="true" hidden="false" outlineLevel="0" max="9" min="9" style="3" width="36.96"/>
    <col collapsed="false" customWidth="true" hidden="false" outlineLevel="0" max="10" min="10" style="4" width="13.41"/>
    <col collapsed="false" customWidth="true" hidden="false" outlineLevel="0" max="11" min="11" style="1" width="26.19"/>
    <col collapsed="false" customWidth="true" hidden="false" outlineLevel="0" max="12" min="12" style="1" width="15.5"/>
    <col collapsed="false" customWidth="true" hidden="false" outlineLevel="0" max="13" min="13" style="1" width="22.38"/>
    <col collapsed="false" customWidth="true" hidden="false" outlineLevel="0" max="15" min="14" style="1" width="24.38"/>
    <col collapsed="false" customWidth="true" hidden="false" outlineLevel="0" max="16" min="16" style="1" width="1.5"/>
    <col collapsed="false" customWidth="true" hidden="false" outlineLevel="0" max="17" min="17" style="1" width="13.29"/>
    <col collapsed="false" customWidth="true" hidden="false" outlineLevel="0" max="18" min="18" style="1" width="14.38"/>
    <col collapsed="false" customWidth="true" hidden="false" outlineLevel="0" max="19" min="19" style="1" width="18.5"/>
    <col collapsed="false" customWidth="true" hidden="false" outlineLevel="0" max="20" min="20" style="2" width="18.1"/>
    <col collapsed="false" customWidth="true" hidden="true" outlineLevel="0" max="21" min="21" style="1" width="17.97"/>
    <col collapsed="false" customWidth="true" hidden="false" outlineLevel="0" max="22" min="22" style="1" width="2.27"/>
    <col collapsed="false" customWidth="true" hidden="false" outlineLevel="0" max="23" min="23" style="1" width="8.13"/>
    <col collapsed="false" customWidth="true" hidden="false" outlineLevel="0" max="24" min="24" style="1" width="8.38"/>
    <col collapsed="false" customWidth="true" hidden="false" outlineLevel="0" max="25" min="25" style="1" width="12.13"/>
    <col collapsed="false" customWidth="true" hidden="false" outlineLevel="0" max="26" min="26" style="1" width="6.88"/>
    <col collapsed="false" customWidth="true" hidden="false" outlineLevel="0" max="27" min="27" style="1" width="8.63"/>
    <col collapsed="false" customWidth="true" hidden="false" outlineLevel="0" max="28" min="28" style="1" width="7.63"/>
    <col collapsed="false" customWidth="true" hidden="false" outlineLevel="0" max="29" min="29" style="1" width="7.38"/>
    <col collapsed="false" customWidth="true" hidden="false" outlineLevel="0" max="30" min="30" style="2" width="5.38"/>
    <col collapsed="false" customWidth="true" hidden="false" outlineLevel="0" max="31" min="31" style="1" width="2.03"/>
    <col collapsed="false" customWidth="true" hidden="false" outlineLevel="0" max="32" min="32" style="1" width="20"/>
    <col collapsed="false" customWidth="true" hidden="false" outlineLevel="0" max="33" min="33" style="1" width="13.63"/>
    <col collapsed="false" customWidth="true" hidden="false" outlineLevel="0" max="35" min="34" style="1" width="18.13"/>
    <col collapsed="false" customWidth="true" hidden="false" outlineLevel="0" max="37" min="36" style="1" width="15.82"/>
    <col collapsed="false" customWidth="true" hidden="false" outlineLevel="0" max="38" min="38" style="1" width="18.13"/>
    <col collapsed="false" customWidth="true" hidden="false" outlineLevel="0" max="39" min="39" style="2" width="16.45"/>
    <col collapsed="false" customWidth="true" hidden="true" outlineLevel="0" max="40" min="40" style="1" width="11.49"/>
    <col collapsed="false" customWidth="true" hidden="false" outlineLevel="0" max="45" min="41" style="1" width="18.13"/>
    <col collapsed="false" customWidth="true" hidden="false" outlineLevel="0" max="46" min="46" style="1" width="3.8"/>
    <col collapsed="false" customWidth="true" hidden="false" outlineLevel="0" max="47" min="47" style="1" width="8.13"/>
    <col collapsed="false" customWidth="true" hidden="false" outlineLevel="0" max="48" min="48" style="1" width="8.38"/>
    <col collapsed="false" customWidth="true" hidden="false" outlineLevel="0" max="49" min="49" style="1" width="14.55"/>
    <col collapsed="false" customWidth="true" hidden="false" outlineLevel="0" max="50" min="50" style="1" width="6.88"/>
    <col collapsed="false" customWidth="true" hidden="false" outlineLevel="0" max="51" min="51" style="1" width="8.63"/>
    <col collapsed="false" customWidth="true" hidden="false" outlineLevel="0" max="52" min="52" style="1" width="7.63"/>
    <col collapsed="false" customWidth="true" hidden="false" outlineLevel="0" max="53" min="53" style="1" width="7.38"/>
    <col collapsed="false" customWidth="true" hidden="false" outlineLevel="0" max="54" min="54" style="2" width="10"/>
    <col collapsed="false" customWidth="true" hidden="false" outlineLevel="0" max="55" min="55" style="1" width="2.27"/>
    <col collapsed="false" customWidth="true" hidden="false" outlineLevel="0" max="56" min="56" style="1" width="4.68"/>
    <col collapsed="false" customWidth="true" hidden="false" outlineLevel="0" max="57" min="57" style="1" width="19.13"/>
    <col collapsed="false" customWidth="true" hidden="false" outlineLevel="0" max="58" min="58" style="1" width="15.44"/>
    <col collapsed="false" customWidth="true" hidden="false" outlineLevel="0" max="59" min="59" style="2" width="18.61"/>
    <col collapsed="false" customWidth="true" hidden="false" outlineLevel="0" max="60" min="60" style="1" width="19.11"/>
    <col collapsed="false" customWidth="true" hidden="false" outlineLevel="0" max="61" min="61" style="1" width="41.26"/>
    <col collapsed="false" customWidth="true" hidden="false" outlineLevel="0" max="62" min="62" style="1" width="8.63"/>
    <col collapsed="false" customWidth="true" hidden="false" outlineLevel="0" max="63" min="63" style="1" width="15.13"/>
    <col collapsed="false" customWidth="true" hidden="false" outlineLevel="0" max="64" min="64" style="1" width="6.63"/>
    <col collapsed="false" customWidth="true" hidden="false" outlineLevel="0" max="65" min="65" style="1" width="14"/>
    <col collapsed="false" customWidth="true" hidden="false" outlineLevel="0" max="66" min="66" style="1" width="13"/>
    <col collapsed="false" customWidth="true" hidden="true" outlineLevel="0" max="67" min="67" style="1" width="8.73"/>
    <col collapsed="false" customWidth="true" hidden="false" outlineLevel="0" max="68" min="68" style="1" width="2.66"/>
    <col collapsed="false" customWidth="true" hidden="false" outlineLevel="0" max="69" min="69" style="1" width="27"/>
    <col collapsed="false" customWidth="true" hidden="false" outlineLevel="0" max="70" min="70" style="1" width="1.5"/>
    <col collapsed="false" customWidth="true" hidden="false" outlineLevel="0" max="71" min="71" style="1" width="26.13"/>
    <col collapsed="false" customWidth="true" hidden="false" outlineLevel="0" max="72" min="72" style="1" width="1.5"/>
    <col collapsed="false" customWidth="true" hidden="false" outlineLevel="0" max="73" min="73" style="1" width="32"/>
    <col collapsed="false" customWidth="true" hidden="false" outlineLevel="0" max="74" min="74" style="1" width="10.26"/>
    <col collapsed="false" customWidth="true" hidden="false" outlineLevel="0" max="75" min="75" style="1" width="25.57"/>
    <col collapsed="false" customWidth="true" hidden="false" outlineLevel="0" max="76" min="76" style="1" width="23.13"/>
    <col collapsed="false" customWidth="true" hidden="false" outlineLevel="0" max="79" min="77" style="1" width="10.5"/>
    <col collapsed="false" customWidth="true" hidden="false" outlineLevel="0" max="80" min="80" style="2" width="22.63"/>
    <col collapsed="false" customWidth="true" hidden="false" outlineLevel="0" max="81" min="81" style="1" width="13.38"/>
    <col collapsed="false" customWidth="true" hidden="false" outlineLevel="0" max="82" min="82" style="1" width="23.13"/>
    <col collapsed="false" customWidth="true" hidden="false" outlineLevel="0" max="83" min="83" style="1" width="13.38"/>
    <col collapsed="false" customWidth="false" hidden="false" outlineLevel="0" max="84" min="84" style="1" width="12.63"/>
    <col collapsed="false" customWidth="false" hidden="true" outlineLevel="0" max="16383" min="85" style="1" width="12.63"/>
    <col collapsed="false" customWidth="true" hidden="false" outlineLevel="0" max="16384" min="16384" style="1" width="10.49"/>
  </cols>
  <sheetData>
    <row r="1" customFormat="false" ht="11.25" hidden="true" customHeight="true" outlineLevel="0" collapsed="false">
      <c r="A1" s="5"/>
      <c r="B1" s="6"/>
      <c r="C1" s="6"/>
      <c r="D1" s="6"/>
      <c r="E1" s="7"/>
      <c r="F1" s="8"/>
      <c r="G1" s="9"/>
      <c r="H1" s="10"/>
      <c r="I1" s="11"/>
      <c r="J1" s="12"/>
      <c r="K1" s="13"/>
      <c r="L1" s="13"/>
      <c r="M1" s="13"/>
      <c r="N1" s="13"/>
      <c r="O1" s="13"/>
      <c r="P1" s="13"/>
      <c r="Q1" s="13"/>
      <c r="R1" s="13"/>
      <c r="S1" s="13"/>
      <c r="T1" s="10"/>
      <c r="U1" s="13"/>
      <c r="V1" s="13"/>
      <c r="W1" s="13"/>
      <c r="X1" s="13"/>
      <c r="Y1" s="13"/>
      <c r="Z1" s="13"/>
      <c r="AA1" s="14"/>
      <c r="AB1" s="13"/>
      <c r="AC1" s="13"/>
      <c r="AD1" s="10"/>
      <c r="AE1" s="13"/>
      <c r="AF1" s="13"/>
      <c r="AG1" s="13"/>
      <c r="AH1" s="13"/>
      <c r="AI1" s="13"/>
      <c r="AJ1" s="13"/>
      <c r="AK1" s="13"/>
      <c r="AL1" s="13"/>
      <c r="AM1" s="10"/>
      <c r="AN1" s="13"/>
      <c r="AO1" s="13"/>
      <c r="AP1" s="8"/>
      <c r="AQ1" s="8"/>
      <c r="AR1" s="8"/>
      <c r="AS1" s="8"/>
      <c r="AT1" s="13"/>
      <c r="AU1" s="13"/>
      <c r="AV1" s="13"/>
      <c r="AW1" s="13"/>
      <c r="AX1" s="13"/>
      <c r="AY1" s="14"/>
      <c r="AZ1" s="13"/>
      <c r="BA1" s="13"/>
      <c r="BB1" s="10"/>
      <c r="BC1" s="13"/>
      <c r="BD1" s="13"/>
      <c r="BE1" s="15"/>
      <c r="BF1" s="15"/>
      <c r="BG1" s="16"/>
      <c r="BH1" s="15"/>
      <c r="BI1" s="15"/>
      <c r="BJ1" s="15"/>
      <c r="BK1" s="15"/>
      <c r="BL1" s="15"/>
      <c r="BM1" s="15"/>
      <c r="BN1" s="15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5"/>
      <c r="BZ1" s="15"/>
      <c r="CA1" s="15"/>
      <c r="CB1" s="10"/>
      <c r="CC1" s="13"/>
      <c r="CD1" s="13"/>
      <c r="CE1" s="13"/>
    </row>
    <row r="2" customFormat="false" ht="27.75" hidden="true" customHeight="true" outlineLevel="0" collapsed="false">
      <c r="A2" s="5"/>
      <c r="B2" s="6"/>
      <c r="C2" s="6"/>
      <c r="D2" s="6"/>
      <c r="E2" s="7"/>
      <c r="F2" s="8"/>
      <c r="G2" s="9"/>
      <c r="H2" s="10"/>
      <c r="I2" s="11"/>
      <c r="J2" s="12"/>
      <c r="K2" s="13"/>
      <c r="L2" s="13"/>
      <c r="M2" s="13"/>
      <c r="N2" s="13"/>
      <c r="O2" s="13"/>
      <c r="P2" s="13"/>
      <c r="Q2" s="13"/>
      <c r="R2" s="13"/>
      <c r="S2" s="13"/>
      <c r="T2" s="10"/>
      <c r="U2" s="13"/>
      <c r="V2" s="13"/>
      <c r="W2" s="13"/>
      <c r="X2" s="13"/>
      <c r="Y2" s="13"/>
      <c r="Z2" s="13"/>
      <c r="AA2" s="14"/>
      <c r="AB2" s="13"/>
      <c r="AC2" s="13"/>
      <c r="AD2" s="10"/>
      <c r="AE2" s="13"/>
      <c r="AF2" s="13"/>
      <c r="AG2" s="13"/>
      <c r="AH2" s="13"/>
      <c r="AI2" s="13"/>
      <c r="AJ2" s="13"/>
      <c r="AK2" s="13"/>
      <c r="AL2" s="13"/>
      <c r="AM2" s="10"/>
      <c r="AN2" s="13"/>
      <c r="AO2" s="13"/>
      <c r="AP2" s="8"/>
      <c r="AQ2" s="8"/>
      <c r="AR2" s="8"/>
      <c r="AS2" s="8"/>
      <c r="AT2" s="13"/>
      <c r="AU2" s="13"/>
      <c r="AV2" s="13"/>
      <c r="AW2" s="13"/>
      <c r="AX2" s="13"/>
      <c r="AY2" s="14"/>
      <c r="AZ2" s="13"/>
      <c r="BA2" s="13"/>
      <c r="BB2" s="10"/>
      <c r="BC2" s="13"/>
      <c r="BD2" s="13"/>
      <c r="BE2" s="15"/>
      <c r="BF2" s="15"/>
      <c r="BG2" s="16"/>
      <c r="BH2" s="15"/>
      <c r="BI2" s="15"/>
      <c r="BJ2" s="15"/>
      <c r="BK2" s="15"/>
      <c r="BL2" s="15"/>
      <c r="BM2" s="15"/>
      <c r="BN2" s="15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5"/>
      <c r="BZ2" s="15"/>
      <c r="CA2" s="15"/>
      <c r="CB2" s="10"/>
      <c r="CC2" s="13"/>
      <c r="CD2" s="13"/>
      <c r="CE2" s="13"/>
    </row>
    <row r="3" customFormat="false" ht="27.75" hidden="false" customHeight="true" outlineLevel="0" collapsed="false">
      <c r="A3" s="17"/>
      <c r="B3" s="18"/>
      <c r="C3" s="18"/>
      <c r="D3" s="18"/>
      <c r="E3" s="19"/>
      <c r="F3" s="20" t="s">
        <v>0</v>
      </c>
      <c r="G3" s="21"/>
      <c r="H3" s="22"/>
      <c r="I3" s="23"/>
      <c r="J3" s="24"/>
      <c r="K3" s="25"/>
      <c r="L3" s="25"/>
      <c r="M3" s="25"/>
      <c r="N3" s="25"/>
      <c r="O3" s="25"/>
      <c r="P3" s="26"/>
      <c r="Q3" s="25"/>
      <c r="R3" s="25"/>
      <c r="S3" s="25"/>
      <c r="T3" s="22"/>
      <c r="U3" s="25"/>
      <c r="V3" s="26"/>
      <c r="W3" s="25"/>
      <c r="X3" s="25"/>
      <c r="Y3" s="25"/>
      <c r="Z3" s="25"/>
      <c r="AA3" s="27"/>
      <c r="AB3" s="25"/>
      <c r="AC3" s="25"/>
      <c r="AD3" s="22"/>
      <c r="AE3" s="26"/>
      <c r="AF3" s="25"/>
      <c r="AG3" s="25"/>
      <c r="AH3" s="25"/>
      <c r="AI3" s="25"/>
      <c r="AJ3" s="25"/>
      <c r="AK3" s="25"/>
      <c r="AL3" s="25"/>
      <c r="AM3" s="22"/>
      <c r="AN3" s="25"/>
      <c r="AO3" s="25"/>
      <c r="AP3" s="28" t="s">
        <v>1</v>
      </c>
      <c r="AQ3" s="28"/>
      <c r="AR3" s="28"/>
      <c r="AS3" s="28"/>
      <c r="AT3" s="26"/>
      <c r="AU3" s="25"/>
      <c r="AV3" s="25"/>
      <c r="AW3" s="25"/>
      <c r="AX3" s="25"/>
      <c r="AY3" s="27"/>
      <c r="AZ3" s="25"/>
      <c r="BA3" s="25"/>
      <c r="BB3" s="22"/>
      <c r="BC3" s="26"/>
      <c r="BD3" s="29"/>
      <c r="BE3" s="30" t="s">
        <v>2</v>
      </c>
      <c r="BF3" s="30"/>
      <c r="BG3" s="30"/>
      <c r="BH3" s="30"/>
      <c r="BI3" s="30"/>
      <c r="BJ3" s="30"/>
      <c r="BK3" s="30"/>
      <c r="BL3" s="30"/>
      <c r="BM3" s="30"/>
      <c r="BN3" s="30"/>
      <c r="BO3" s="25"/>
      <c r="BP3" s="26"/>
      <c r="BQ3" s="31"/>
      <c r="BR3" s="31"/>
      <c r="BS3" s="31"/>
      <c r="BT3" s="31"/>
      <c r="BU3" s="31"/>
      <c r="BV3" s="31"/>
      <c r="BW3" s="32" t="s">
        <v>3</v>
      </c>
      <c r="BX3" s="31"/>
      <c r="BY3" s="32" t="s">
        <v>4</v>
      </c>
      <c r="BZ3" s="32"/>
      <c r="CA3" s="32"/>
      <c r="CB3" s="22"/>
      <c r="CC3" s="31"/>
      <c r="CD3" s="31"/>
      <c r="CE3" s="31"/>
    </row>
    <row r="4" customFormat="false" ht="15" hidden="false" customHeight="false" outlineLevel="0" collapsed="false">
      <c r="A4" s="17"/>
      <c r="B4" s="33" t="s">
        <v>5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4"/>
      <c r="P4" s="26"/>
      <c r="Q4" s="33" t="s">
        <v>6</v>
      </c>
      <c r="R4" s="33"/>
      <c r="S4" s="33"/>
      <c r="T4" s="33"/>
      <c r="U4" s="34"/>
      <c r="V4" s="35"/>
      <c r="W4" s="36" t="s">
        <v>7</v>
      </c>
      <c r="X4" s="36"/>
      <c r="Y4" s="36"/>
      <c r="Z4" s="36"/>
      <c r="AA4" s="36"/>
      <c r="AB4" s="36"/>
      <c r="AC4" s="36"/>
      <c r="AD4" s="36"/>
      <c r="AE4" s="35"/>
      <c r="AF4" s="36" t="s">
        <v>8</v>
      </c>
      <c r="AG4" s="36"/>
      <c r="AH4" s="36"/>
      <c r="AI4" s="36"/>
      <c r="AJ4" s="36"/>
      <c r="AK4" s="36"/>
      <c r="AL4" s="36"/>
      <c r="AM4" s="36"/>
      <c r="AN4" s="36"/>
      <c r="AO4" s="36"/>
      <c r="AP4" s="37"/>
      <c r="AQ4" s="37"/>
      <c r="AR4" s="37"/>
      <c r="AS4" s="37"/>
      <c r="AT4" s="26"/>
      <c r="AU4" s="36" t="s">
        <v>9</v>
      </c>
      <c r="AV4" s="36"/>
      <c r="AW4" s="36"/>
      <c r="AX4" s="36"/>
      <c r="AY4" s="36"/>
      <c r="AZ4" s="36"/>
      <c r="BA4" s="36"/>
      <c r="BB4" s="36"/>
      <c r="BC4" s="26"/>
      <c r="BD4" s="35"/>
      <c r="BE4" s="38" t="s">
        <v>10</v>
      </c>
      <c r="BF4" s="38"/>
      <c r="BG4" s="38"/>
      <c r="BH4" s="38"/>
      <c r="BI4" s="38"/>
      <c r="BJ4" s="38"/>
      <c r="BK4" s="38"/>
      <c r="BL4" s="38"/>
      <c r="BM4" s="38"/>
      <c r="BN4" s="38"/>
      <c r="BO4" s="34"/>
      <c r="BQ4" s="39" t="s">
        <v>11</v>
      </c>
      <c r="BR4" s="31"/>
      <c r="BS4" s="33" t="s">
        <v>12</v>
      </c>
      <c r="BT4" s="31"/>
      <c r="BU4" s="37" t="s">
        <v>13</v>
      </c>
      <c r="BV4" s="37"/>
      <c r="BW4" s="37"/>
      <c r="BX4" s="37"/>
      <c r="BY4" s="37"/>
      <c r="BZ4" s="37"/>
      <c r="CA4" s="37"/>
      <c r="CB4" s="37"/>
      <c r="CC4" s="37"/>
      <c r="CD4" s="37"/>
      <c r="CE4" s="37"/>
    </row>
    <row r="5" customFormat="false" ht="15" hidden="false" customHeight="false" outlineLevel="0" collapsed="false">
      <c r="A5" s="40"/>
      <c r="B5" s="41" t="s">
        <v>14</v>
      </c>
      <c r="C5" s="41" t="s">
        <v>15</v>
      </c>
      <c r="D5" s="42" t="s">
        <v>16</v>
      </c>
      <c r="E5" s="43" t="s">
        <v>17</v>
      </c>
      <c r="F5" s="44" t="s">
        <v>18</v>
      </c>
      <c r="G5" s="44" t="s">
        <v>19</v>
      </c>
      <c r="H5" s="43" t="s">
        <v>20</v>
      </c>
      <c r="I5" s="45" t="s">
        <v>21</v>
      </c>
      <c r="J5" s="43" t="s">
        <v>22</v>
      </c>
      <c r="K5" s="41" t="s">
        <v>23</v>
      </c>
      <c r="L5" s="41" t="s">
        <v>24</v>
      </c>
      <c r="M5" s="41" t="s">
        <v>25</v>
      </c>
      <c r="N5" s="41" t="s">
        <v>26</v>
      </c>
      <c r="O5" s="41" t="s">
        <v>27</v>
      </c>
      <c r="P5" s="46"/>
      <c r="Q5" s="41" t="s">
        <v>28</v>
      </c>
      <c r="R5" s="41" t="s">
        <v>29</v>
      </c>
      <c r="S5" s="41" t="s">
        <v>30</v>
      </c>
      <c r="T5" s="43" t="s">
        <v>31</v>
      </c>
      <c r="U5" s="47" t="s">
        <v>32</v>
      </c>
      <c r="V5" s="48"/>
      <c r="W5" s="41" t="s">
        <v>33</v>
      </c>
      <c r="X5" s="41" t="s">
        <v>34</v>
      </c>
      <c r="Y5" s="47" t="s">
        <v>35</v>
      </c>
      <c r="Z5" s="41" t="s">
        <v>36</v>
      </c>
      <c r="AA5" s="49" t="s">
        <v>37</v>
      </c>
      <c r="AB5" s="41" t="s">
        <v>38</v>
      </c>
      <c r="AC5" s="41" t="s">
        <v>39</v>
      </c>
      <c r="AD5" s="43" t="s">
        <v>40</v>
      </c>
      <c r="AE5" s="48"/>
      <c r="AF5" s="41" t="s">
        <v>41</v>
      </c>
      <c r="AG5" s="41" t="s">
        <v>42</v>
      </c>
      <c r="AH5" s="41" t="s">
        <v>43</v>
      </c>
      <c r="AI5" s="41" t="s">
        <v>44</v>
      </c>
      <c r="AJ5" s="41" t="s">
        <v>45</v>
      </c>
      <c r="AK5" s="41" t="s">
        <v>46</v>
      </c>
      <c r="AL5" s="41" t="s">
        <v>47</v>
      </c>
      <c r="AM5" s="43" t="s">
        <v>31</v>
      </c>
      <c r="AN5" s="47" t="s">
        <v>32</v>
      </c>
      <c r="AO5" s="41" t="s">
        <v>48</v>
      </c>
      <c r="AP5" s="47" t="s">
        <v>49</v>
      </c>
      <c r="AQ5" s="47" t="s">
        <v>50</v>
      </c>
      <c r="AR5" s="47" t="s">
        <v>51</v>
      </c>
      <c r="AS5" s="47" t="s">
        <v>52</v>
      </c>
      <c r="AT5" s="46"/>
      <c r="AU5" s="41" t="s">
        <v>33</v>
      </c>
      <c r="AV5" s="41" t="s">
        <v>34</v>
      </c>
      <c r="AW5" s="47" t="s">
        <v>35</v>
      </c>
      <c r="AX5" s="41" t="s">
        <v>36</v>
      </c>
      <c r="AY5" s="49" t="s">
        <v>37</v>
      </c>
      <c r="AZ5" s="41" t="s">
        <v>38</v>
      </c>
      <c r="BA5" s="41" t="s">
        <v>39</v>
      </c>
      <c r="BB5" s="43" t="s">
        <v>40</v>
      </c>
      <c r="BC5" s="46"/>
      <c r="BD5" s="50"/>
      <c r="BE5" s="41" t="s">
        <v>15</v>
      </c>
      <c r="BF5" s="41" t="s">
        <v>16</v>
      </c>
      <c r="BG5" s="43" t="s">
        <v>53</v>
      </c>
      <c r="BH5" s="41" t="s">
        <v>54</v>
      </c>
      <c r="BI5" s="47" t="s">
        <v>55</v>
      </c>
      <c r="BJ5" s="41" t="s">
        <v>56</v>
      </c>
      <c r="BK5" s="47" t="s">
        <v>57</v>
      </c>
      <c r="BL5" s="41" t="s">
        <v>58</v>
      </c>
      <c r="BM5" s="51" t="s">
        <v>59</v>
      </c>
      <c r="BN5" s="51" t="s">
        <v>60</v>
      </c>
      <c r="BO5" s="52" t="s">
        <v>61</v>
      </c>
      <c r="BP5" s="50"/>
      <c r="BQ5" s="53" t="s">
        <v>62</v>
      </c>
      <c r="BR5" s="54"/>
      <c r="BS5" s="55" t="s">
        <v>63</v>
      </c>
      <c r="BT5" s="54"/>
      <c r="BU5" s="51" t="s">
        <v>64</v>
      </c>
      <c r="BV5" s="51" t="s">
        <v>65</v>
      </c>
      <c r="BW5" s="56" t="s">
        <v>66</v>
      </c>
      <c r="BX5" s="56" t="s">
        <v>67</v>
      </c>
      <c r="BY5" s="56" t="s">
        <v>68</v>
      </c>
      <c r="BZ5" s="56" t="s">
        <v>69</v>
      </c>
      <c r="CA5" s="56" t="s">
        <v>70</v>
      </c>
      <c r="CB5" s="57" t="s">
        <v>71</v>
      </c>
      <c r="CC5" s="51" t="s">
        <v>72</v>
      </c>
      <c r="CD5" s="51" t="s">
        <v>73</v>
      </c>
      <c r="CE5" s="56" t="s">
        <v>74</v>
      </c>
    </row>
    <row r="6" customFormat="false" ht="15" hidden="false" customHeight="false" outlineLevel="0" collapsed="false">
      <c r="A6" s="17"/>
      <c r="B6" s="58"/>
      <c r="C6" s="58"/>
      <c r="D6" s="59"/>
      <c r="E6" s="60" t="str">
        <f aca="false">IF(LEN(D6)=11,"PF",IF(LEN(D6)=14,"PJ",""))</f>
        <v/>
      </c>
      <c r="F6" s="59"/>
      <c r="G6" s="59"/>
      <c r="H6" s="61" t="str">
        <f aca="false">IF(G6&lt;&gt;"",VLOOKUP(G6,'Cnae  mcc  id'!$A:$M,9,0),"")</f>
        <v/>
      </c>
      <c r="I6" s="62"/>
      <c r="J6" s="63" t="str">
        <f aca="false">IF(I6&lt;&gt;"",VLOOKUP(I6,'Legal Nature'!$E$2:$G$84,3,0),"")</f>
        <v/>
      </c>
      <c r="K6" s="64"/>
      <c r="L6" s="65"/>
      <c r="M6" s="66"/>
      <c r="N6" s="66"/>
      <c r="O6" s="67"/>
      <c r="P6" s="26"/>
      <c r="Q6" s="58"/>
      <c r="R6" s="58"/>
      <c r="S6" s="58"/>
      <c r="T6" s="68" t="str">
        <f aca="false">IF(LEFT(S6,1)="9","Celular",IF(S6="","","Fixo"))</f>
        <v/>
      </c>
      <c r="U6" s="58" t="str">
        <f aca="false">IF( T6&lt;&gt;"",VLOOKUP(T6,Selects!$M$4:$N$1000,2,0),"")</f>
        <v/>
      </c>
      <c r="V6" s="26"/>
      <c r="W6" s="58"/>
      <c r="X6" s="58"/>
      <c r="Y6" s="58"/>
      <c r="Z6" s="58"/>
      <c r="AA6" s="69"/>
      <c r="AB6" s="58"/>
      <c r="AC6" s="58"/>
      <c r="AD6" s="70" t="str">
        <f aca="false">IF(AC6&lt;&gt;"",VLOOKUP(AC6,Selects!$B$4:$C$100,2,0),"")</f>
        <v/>
      </c>
      <c r="AE6" s="26"/>
      <c r="AF6" s="58"/>
      <c r="AG6" s="59"/>
      <c r="AH6" s="65"/>
      <c r="AI6" s="66"/>
      <c r="AJ6" s="66"/>
      <c r="AK6" s="58"/>
      <c r="AL6" s="58"/>
      <c r="AM6" s="68" t="str">
        <f aca="false">IF(LEFT(AL6,1)="9","Celular",IF(AL6="","","Fixo"))</f>
        <v/>
      </c>
      <c r="AN6" s="58" t="str">
        <f aca="false">IF( AM6&lt;&gt;"",VLOOKUP(AM6,Selects!$M$4:$N$1000,2,0),"")</f>
        <v/>
      </c>
      <c r="AO6" s="58"/>
      <c r="AP6" s="58"/>
      <c r="AQ6" s="65"/>
      <c r="AR6" s="58"/>
      <c r="AS6" s="58"/>
      <c r="AT6" s="26"/>
      <c r="AU6" s="58"/>
      <c r="AV6" s="58"/>
      <c r="AW6" s="58"/>
      <c r="AX6" s="58"/>
      <c r="AY6" s="71"/>
      <c r="AZ6" s="58"/>
      <c r="BA6" s="58"/>
      <c r="BB6" s="72" t="str">
        <f aca="false">IF(BA6&lt;&gt;"",VLOOKUP(BA6,Selects!$B$4:$C$100,2,0),"")</f>
        <v/>
      </c>
      <c r="BC6" s="26"/>
      <c r="BD6" s="26"/>
      <c r="BE6" s="73"/>
      <c r="BF6" s="74"/>
      <c r="BG6" s="75" t="str">
        <f aca="false">IF(LEN(BF6)=11,"PF",IF(LEN(BF6)=14,"PJ",""))</f>
        <v/>
      </c>
      <c r="BH6" s="66"/>
      <c r="BI6" s="58" t="str">
        <f aca="false">IF(BH6&lt;&gt;"",VLOOKUP(BH6,Selects!$G:$H,2,0),"")</f>
        <v/>
      </c>
      <c r="BJ6" s="58"/>
      <c r="BK6" s="58"/>
      <c r="BL6" s="59"/>
      <c r="BM6" s="58"/>
      <c r="BN6" s="58"/>
      <c r="BO6" s="58" t="str">
        <f aca="false">IF(BN6&lt;&gt;"",VLOOKUP(BN6,Selects!$J$4:$K$1000,2,0),"")</f>
        <v/>
      </c>
      <c r="BP6" s="76"/>
      <c r="BQ6" s="59"/>
      <c r="BR6" s="77"/>
      <c r="BS6" s="59"/>
      <c r="BT6" s="77"/>
      <c r="BU6" s="58"/>
      <c r="BV6" s="58"/>
      <c r="BW6" s="58"/>
      <c r="BX6" s="58"/>
      <c r="BY6" s="58"/>
      <c r="BZ6" s="58"/>
      <c r="CA6" s="58"/>
      <c r="CB6" s="72" t="str">
        <f aca="false">IF(AC6&lt;&gt;"",VLOOKUP(AC6,Selects!$B:$E,4,0),"")</f>
        <v/>
      </c>
      <c r="CC6" s="58"/>
      <c r="CD6" s="78"/>
      <c r="CE6" s="58"/>
    </row>
    <row r="7" customFormat="false" ht="15" hidden="false" customHeight="false" outlineLevel="0" collapsed="false">
      <c r="A7" s="17"/>
      <c r="B7" s="58"/>
      <c r="C7" s="58"/>
      <c r="D7" s="59"/>
      <c r="E7" s="60" t="str">
        <f aca="false">IF(LEN(D7)=11,"PF",IF(LEN(D7)=14,"PJ",""))</f>
        <v/>
      </c>
      <c r="F7" s="59"/>
      <c r="G7" s="59"/>
      <c r="H7" s="61" t="str">
        <f aca="false">IF(G7&lt;&gt;"",VLOOKUP(G7,'Cnae  mcc  id'!$A:$M,9,0),"")</f>
        <v/>
      </c>
      <c r="I7" s="62"/>
      <c r="J7" s="63" t="str">
        <f aca="false">IF(I7&lt;&gt;"",VLOOKUP(I7,'Legal Nature'!$E$2:$G$84,3,0),"")</f>
        <v/>
      </c>
      <c r="K7" s="64"/>
      <c r="L7" s="65"/>
      <c r="M7" s="66"/>
      <c r="N7" s="66"/>
      <c r="O7" s="67"/>
      <c r="P7" s="26"/>
      <c r="Q7" s="58"/>
      <c r="R7" s="58"/>
      <c r="S7" s="58"/>
      <c r="T7" s="68" t="str">
        <f aca="false">IF(LEFT(S7,1)="9","Celular",IF(S7="","","Fixo"))</f>
        <v/>
      </c>
      <c r="U7" s="58" t="str">
        <f aca="false">IF( T7&lt;&gt;"",VLOOKUP(T7,Selects!$M$4:$N$1000,2,0),"")</f>
        <v/>
      </c>
      <c r="V7" s="26"/>
      <c r="W7" s="58"/>
      <c r="X7" s="58"/>
      <c r="Y7" s="58"/>
      <c r="Z7" s="58"/>
      <c r="AA7" s="69"/>
      <c r="AB7" s="58"/>
      <c r="AC7" s="58"/>
      <c r="AD7" s="70" t="str">
        <f aca="false">IF(AC7&lt;&gt;"",VLOOKUP(AC7,Selects!$B$4:$C$100,2,0),"")</f>
        <v/>
      </c>
      <c r="AE7" s="26"/>
      <c r="AF7" s="58"/>
      <c r="AG7" s="59"/>
      <c r="AH7" s="65"/>
      <c r="AI7" s="66"/>
      <c r="AJ7" s="66"/>
      <c r="AK7" s="58"/>
      <c r="AL7" s="58"/>
      <c r="AM7" s="68" t="str">
        <f aca="false">IF(LEFT(AL7,1)="9","Celular",IF(AL7="","","Fixo"))</f>
        <v/>
      </c>
      <c r="AN7" s="58" t="str">
        <f aca="false">IF( AM7&lt;&gt;"",VLOOKUP(AM7,Selects!$M$4:$N$1000,2,0),"")</f>
        <v/>
      </c>
      <c r="AO7" s="58"/>
      <c r="AP7" s="59"/>
      <c r="AQ7" s="65"/>
      <c r="AR7" s="58"/>
      <c r="AS7" s="58"/>
      <c r="AT7" s="26"/>
      <c r="AU7" s="58"/>
      <c r="AV7" s="58"/>
      <c r="AW7" s="58"/>
      <c r="AX7" s="58"/>
      <c r="AY7" s="71"/>
      <c r="AZ7" s="58"/>
      <c r="BA7" s="58"/>
      <c r="BB7" s="72" t="str">
        <f aca="false">IF(BA7&lt;&gt;"",VLOOKUP(BA7,Selects!$B$4:$C$100,2,0),"")</f>
        <v/>
      </c>
      <c r="BC7" s="26"/>
      <c r="BD7" s="26"/>
      <c r="BE7" s="73"/>
      <c r="BF7" s="74"/>
      <c r="BG7" s="75" t="str">
        <f aca="false">IF(LEN(BF7)=11,"PF",IF(LEN(BF7)=14,"PJ",""))</f>
        <v/>
      </c>
      <c r="BH7" s="66"/>
      <c r="BI7" s="58" t="str">
        <f aca="false">IF(BH7&lt;&gt;"",VLOOKUP(BH7,Selects!$G:$H,2,0),"")</f>
        <v/>
      </c>
      <c r="BJ7" s="58"/>
      <c r="BK7" s="58"/>
      <c r="BL7" s="59"/>
      <c r="BM7" s="58"/>
      <c r="BN7" s="58"/>
      <c r="BO7" s="58" t="str">
        <f aca="false">IF(BN7&lt;&gt;"",VLOOKUP(BN7,Selects!$J$4:$K$1000,2,0),"")</f>
        <v/>
      </c>
      <c r="BP7" s="76"/>
      <c r="BQ7" s="59"/>
      <c r="BR7" s="77"/>
      <c r="BS7" s="59"/>
      <c r="BT7" s="77"/>
      <c r="BU7" s="58"/>
      <c r="BV7" s="58"/>
      <c r="BW7" s="58"/>
      <c r="BX7" s="58"/>
      <c r="BY7" s="58"/>
      <c r="BZ7" s="58"/>
      <c r="CA7" s="58"/>
      <c r="CB7" s="72" t="str">
        <f aca="false">IF(AC7&lt;&gt;"",VLOOKUP(AC7,Selects!$B:$E,4,0),"")</f>
        <v/>
      </c>
      <c r="CC7" s="58"/>
      <c r="CD7" s="78"/>
      <c r="CE7" s="58"/>
    </row>
    <row r="8" customFormat="false" ht="15" hidden="false" customHeight="false" outlineLevel="0" collapsed="false">
      <c r="A8" s="17"/>
      <c r="B8" s="58"/>
      <c r="C8" s="58"/>
      <c r="D8" s="59"/>
      <c r="E8" s="60" t="str">
        <f aca="false">IF(LEN(D8)=11,"PF",IF(LEN(D8)=14,"PJ",""))</f>
        <v/>
      </c>
      <c r="F8" s="59"/>
      <c r="G8" s="59"/>
      <c r="H8" s="61" t="str">
        <f aca="false">IF(G8&lt;&gt;"",VLOOKUP(G8,'Cnae  mcc  id'!$A:$M,9,0),"")</f>
        <v/>
      </c>
      <c r="I8" s="62"/>
      <c r="J8" s="63" t="str">
        <f aca="false">IF(I8&lt;&gt;"",VLOOKUP(I8,'Legal Nature'!$E$2:$G$84,3,0),"")</f>
        <v/>
      </c>
      <c r="K8" s="64"/>
      <c r="L8" s="65"/>
      <c r="M8" s="66"/>
      <c r="N8" s="66"/>
      <c r="O8" s="79"/>
      <c r="P8" s="26"/>
      <c r="Q8" s="58"/>
      <c r="R8" s="58"/>
      <c r="S8" s="58"/>
      <c r="T8" s="68" t="str">
        <f aca="false">IF(LEFT(S8,1)="9","Celular",IF(S8="","","Fixo"))</f>
        <v/>
      </c>
      <c r="U8" s="58" t="str">
        <f aca="false">IF( T8&lt;&gt;"",VLOOKUP(T8,Selects!$M$4:$N$1000,2,0),"")</f>
        <v/>
      </c>
      <c r="V8" s="26"/>
      <c r="W8" s="58"/>
      <c r="X8" s="58"/>
      <c r="Y8" s="58"/>
      <c r="Z8" s="58"/>
      <c r="AA8" s="69"/>
      <c r="AB8" s="58"/>
      <c r="AC8" s="58"/>
      <c r="AD8" s="70" t="str">
        <f aca="false">IF(AC8&lt;&gt;"",VLOOKUP(AC8,Selects!$B$4:$C$100,2,0),"")</f>
        <v/>
      </c>
      <c r="AE8" s="26"/>
      <c r="AF8" s="58"/>
      <c r="AG8" s="59"/>
      <c r="AH8" s="65"/>
      <c r="AI8" s="66"/>
      <c r="AJ8" s="66"/>
      <c r="AK8" s="58"/>
      <c r="AL8" s="58"/>
      <c r="AM8" s="68" t="str">
        <f aca="false">IF(LEFT(AL8,1)="9","Celular",IF(AL8="","","Fixo"))</f>
        <v/>
      </c>
      <c r="AN8" s="58" t="str">
        <f aca="false">IF( AM8&lt;&gt;"",VLOOKUP(AM8,Selects!$M$4:$N$1000,2,0),"")</f>
        <v/>
      </c>
      <c r="AO8" s="58"/>
      <c r="AP8" s="59"/>
      <c r="AQ8" s="65"/>
      <c r="AR8" s="58"/>
      <c r="AS8" s="58"/>
      <c r="AT8" s="26"/>
      <c r="AU8" s="58"/>
      <c r="AV8" s="58"/>
      <c r="AW8" s="58"/>
      <c r="AX8" s="58"/>
      <c r="AY8" s="71"/>
      <c r="AZ8" s="58"/>
      <c r="BA8" s="58"/>
      <c r="BB8" s="72" t="str">
        <f aca="false">IF(BA8&lt;&gt;"",VLOOKUP(BA8,Selects!$B$4:$C$100,2,0),"")</f>
        <v/>
      </c>
      <c r="BC8" s="26"/>
      <c r="BD8" s="26"/>
      <c r="BE8" s="73"/>
      <c r="BF8" s="74"/>
      <c r="BG8" s="75" t="str">
        <f aca="false">IF(LEN(BF8)=11,"PF",IF(LEN(BF8)=14,"PJ",""))</f>
        <v/>
      </c>
      <c r="BH8" s="66"/>
      <c r="BI8" s="58" t="str">
        <f aca="false">IF(BH8&lt;&gt;"",VLOOKUP(BH8,Selects!$G:$H,2,0),"")</f>
        <v/>
      </c>
      <c r="BJ8" s="58"/>
      <c r="BK8" s="58"/>
      <c r="BL8" s="59"/>
      <c r="BM8" s="58"/>
      <c r="BN8" s="58"/>
      <c r="BO8" s="58" t="str">
        <f aca="false">IF(BN8&lt;&gt;"",VLOOKUP(BN8,Selects!$J$4:$K$1000,2,0),"")</f>
        <v/>
      </c>
      <c r="BP8" s="76"/>
      <c r="BQ8" s="59"/>
      <c r="BR8" s="77"/>
      <c r="BS8" s="59"/>
      <c r="BT8" s="77"/>
      <c r="BU8" s="58"/>
      <c r="BV8" s="58"/>
      <c r="BW8" s="58"/>
      <c r="BX8" s="58"/>
      <c r="BY8" s="58"/>
      <c r="BZ8" s="58"/>
      <c r="CA8" s="58"/>
      <c r="CB8" s="72" t="str">
        <f aca="false">IF(AC8&lt;&gt;"",VLOOKUP(AC8,Selects!$B:$E,4,0),"")</f>
        <v/>
      </c>
      <c r="CC8" s="58"/>
      <c r="CD8" s="58"/>
      <c r="CE8" s="58"/>
    </row>
    <row r="9" customFormat="false" ht="15" hidden="false" customHeight="false" outlineLevel="0" collapsed="false">
      <c r="A9" s="17"/>
      <c r="B9" s="58"/>
      <c r="C9" s="58"/>
      <c r="D9" s="59"/>
      <c r="E9" s="60" t="str">
        <f aca="false">IF(LEN(D9)=11,"PF",IF(LEN(D9)=14,"PJ",""))</f>
        <v/>
      </c>
      <c r="F9" s="59"/>
      <c r="G9" s="59"/>
      <c r="H9" s="61" t="str">
        <f aca="false">IF(G9&lt;&gt;"",VLOOKUP(G9,'Cnae  mcc  id'!$A:$M,9,0),"")</f>
        <v/>
      </c>
      <c r="I9" s="62"/>
      <c r="J9" s="63" t="str">
        <f aca="false">IF(I9&lt;&gt;"",VLOOKUP(I9,'Legal Nature'!$E$2:$G$84,3,0),"")</f>
        <v/>
      </c>
      <c r="K9" s="64"/>
      <c r="L9" s="65"/>
      <c r="M9" s="66"/>
      <c r="N9" s="66"/>
      <c r="O9" s="79"/>
      <c r="P9" s="26"/>
      <c r="Q9" s="58"/>
      <c r="R9" s="58"/>
      <c r="S9" s="58"/>
      <c r="T9" s="68" t="str">
        <f aca="false">IF(LEFT(S9,1)="9","Celular",IF(S9="","","Fixo"))</f>
        <v/>
      </c>
      <c r="U9" s="58" t="str">
        <f aca="false">IF( T9&lt;&gt;"",VLOOKUP(T9,Selects!$M$4:$N$1000,2,0),"")</f>
        <v/>
      </c>
      <c r="V9" s="26"/>
      <c r="W9" s="58"/>
      <c r="X9" s="58"/>
      <c r="Y9" s="58"/>
      <c r="Z9" s="58"/>
      <c r="AA9" s="69"/>
      <c r="AB9" s="58"/>
      <c r="AC9" s="58"/>
      <c r="AD9" s="70" t="str">
        <f aca="false">IF(AC9&lt;&gt;"",VLOOKUP(AC9,Selects!$B$4:$C$100,2,0),"")</f>
        <v/>
      </c>
      <c r="AE9" s="26"/>
      <c r="AF9" s="58"/>
      <c r="AG9" s="59"/>
      <c r="AH9" s="65"/>
      <c r="AI9" s="66"/>
      <c r="AJ9" s="66"/>
      <c r="AK9" s="58"/>
      <c r="AL9" s="58"/>
      <c r="AM9" s="68" t="str">
        <f aca="false">IF(LEFT(AL9,1)="9","Celular",IF(AL9="","","Fixo"))</f>
        <v/>
      </c>
      <c r="AN9" s="58" t="str">
        <f aca="false">IF( AM9&lt;&gt;"",VLOOKUP(AM9,Selects!$M$4:$N$1000,2,0),"")</f>
        <v/>
      </c>
      <c r="AO9" s="58"/>
      <c r="AP9" s="59"/>
      <c r="AQ9" s="65"/>
      <c r="AR9" s="58"/>
      <c r="AS9" s="58"/>
      <c r="AT9" s="26"/>
      <c r="AU9" s="58"/>
      <c r="AV9" s="58"/>
      <c r="AW9" s="58"/>
      <c r="AX9" s="58"/>
      <c r="AY9" s="71"/>
      <c r="AZ9" s="58"/>
      <c r="BA9" s="58"/>
      <c r="BB9" s="72" t="str">
        <f aca="false">IF(BA9&lt;&gt;"",VLOOKUP(BA9,Selects!$B$4:$C$100,2,0),"")</f>
        <v/>
      </c>
      <c r="BC9" s="26"/>
      <c r="BD9" s="26"/>
      <c r="BE9" s="73"/>
      <c r="BF9" s="74"/>
      <c r="BG9" s="75" t="str">
        <f aca="false">IF(LEN(BF9)=11,"PF",IF(LEN(BF9)=14,"PJ",""))</f>
        <v/>
      </c>
      <c r="BH9" s="66"/>
      <c r="BI9" s="58" t="str">
        <f aca="false">IF(BH9&lt;&gt;"",VLOOKUP(BH9,Selects!$G:$H,2,0),"")</f>
        <v/>
      </c>
      <c r="BJ9" s="58"/>
      <c r="BK9" s="58"/>
      <c r="BL9" s="59"/>
      <c r="BM9" s="58"/>
      <c r="BN9" s="58"/>
      <c r="BO9" s="58" t="str">
        <f aca="false">IF(BN9&lt;&gt;"",VLOOKUP(BN9,Selects!$J$4:$K$1000,2,0),"")</f>
        <v/>
      </c>
      <c r="BP9" s="76"/>
      <c r="BQ9" s="59"/>
      <c r="BR9" s="77"/>
      <c r="BS9" s="59"/>
      <c r="BT9" s="77"/>
      <c r="BU9" s="58"/>
      <c r="BV9" s="58"/>
      <c r="BW9" s="58"/>
      <c r="BX9" s="58"/>
      <c r="BY9" s="58"/>
      <c r="BZ9" s="58"/>
      <c r="CA9" s="58"/>
      <c r="CB9" s="72" t="str">
        <f aca="false">IF(AC9&lt;&gt;"",VLOOKUP(AC9,Selects!$B:$E,4,0),"")</f>
        <v/>
      </c>
      <c r="CC9" s="58"/>
      <c r="CD9" s="58"/>
      <c r="CE9" s="58"/>
    </row>
    <row r="10" customFormat="false" ht="15" hidden="false" customHeight="false" outlineLevel="0" collapsed="false">
      <c r="A10" s="17"/>
      <c r="B10" s="58"/>
      <c r="C10" s="58"/>
      <c r="D10" s="59"/>
      <c r="E10" s="60" t="str">
        <f aca="false">IF(LEN(D10)=11,"PF",IF(LEN(D10)=14,"PJ",""))</f>
        <v/>
      </c>
      <c r="F10" s="59"/>
      <c r="G10" s="59"/>
      <c r="H10" s="61" t="str">
        <f aca="false">IF(G10&lt;&gt;"",VLOOKUP(G10,'Cnae  mcc  id'!$A:$M,9,0),"")</f>
        <v/>
      </c>
      <c r="I10" s="62"/>
      <c r="J10" s="63" t="str">
        <f aca="false">IF(I10&lt;&gt;"",VLOOKUP(I10,'Legal Nature'!$E$2:$G$84,3,0),"")</f>
        <v/>
      </c>
      <c r="K10" s="64"/>
      <c r="L10" s="65"/>
      <c r="M10" s="66"/>
      <c r="N10" s="66"/>
      <c r="O10" s="79"/>
      <c r="P10" s="26"/>
      <c r="Q10" s="58"/>
      <c r="R10" s="58"/>
      <c r="S10" s="58"/>
      <c r="T10" s="68" t="str">
        <f aca="false">IF(LEFT(S10,1)="9","Celular",IF(S10="","","Fixo"))</f>
        <v/>
      </c>
      <c r="U10" s="58" t="str">
        <f aca="false">IF( T10&lt;&gt;"",VLOOKUP(T10,Selects!$M$4:$N$1000,2,0),"")</f>
        <v/>
      </c>
      <c r="V10" s="26"/>
      <c r="W10" s="58"/>
      <c r="X10" s="58"/>
      <c r="Y10" s="58"/>
      <c r="Z10" s="58"/>
      <c r="AA10" s="69"/>
      <c r="AB10" s="58"/>
      <c r="AC10" s="58"/>
      <c r="AD10" s="70" t="str">
        <f aca="false">IF(AC10&lt;&gt;"",VLOOKUP(AC10,Selects!$B$4:$C$100,2,0),"")</f>
        <v/>
      </c>
      <c r="AE10" s="26"/>
      <c r="AF10" s="58"/>
      <c r="AG10" s="59"/>
      <c r="AH10" s="65"/>
      <c r="AI10" s="66"/>
      <c r="AJ10" s="66"/>
      <c r="AK10" s="58"/>
      <c r="AL10" s="58"/>
      <c r="AM10" s="68" t="str">
        <f aca="false">IF(LEFT(AL10,1)="9","Celular",IF(AL10="","","Fixo"))</f>
        <v/>
      </c>
      <c r="AN10" s="58" t="str">
        <f aca="false">IF( AM10&lt;&gt;"",VLOOKUP(AM10,Selects!$M$4:$N$1000,2,0),"")</f>
        <v/>
      </c>
      <c r="AO10" s="58"/>
      <c r="AP10" s="59"/>
      <c r="AQ10" s="65"/>
      <c r="AR10" s="58"/>
      <c r="AS10" s="58"/>
      <c r="AT10" s="26"/>
      <c r="AU10" s="58"/>
      <c r="AV10" s="58"/>
      <c r="AW10" s="58"/>
      <c r="AX10" s="58"/>
      <c r="AY10" s="71"/>
      <c r="AZ10" s="58"/>
      <c r="BA10" s="58"/>
      <c r="BB10" s="72" t="str">
        <f aca="false">IF(BA10&lt;&gt;"",VLOOKUP(BA10,Selects!$B$4:$C$100,2,0),"")</f>
        <v/>
      </c>
      <c r="BC10" s="26"/>
      <c r="BD10" s="26"/>
      <c r="BE10" s="73"/>
      <c r="BF10" s="74"/>
      <c r="BG10" s="75" t="str">
        <f aca="false">IF(LEN(BF10)=11,"PF",IF(LEN(BF10)=14,"PJ",""))</f>
        <v/>
      </c>
      <c r="BH10" s="66"/>
      <c r="BI10" s="58" t="str">
        <f aca="false">IF(BH10&lt;&gt;"",VLOOKUP(BH10,Selects!$G:$H,2,0),"")</f>
        <v/>
      </c>
      <c r="BJ10" s="58"/>
      <c r="BK10" s="58"/>
      <c r="BL10" s="59"/>
      <c r="BM10" s="58"/>
      <c r="BN10" s="58"/>
      <c r="BO10" s="58" t="str">
        <f aca="false">IF(BN10&lt;&gt;"",VLOOKUP(BN10,Selects!$J$4:$K$1000,2,0),"")</f>
        <v/>
      </c>
      <c r="BP10" s="76"/>
      <c r="BQ10" s="59"/>
      <c r="BR10" s="77"/>
      <c r="BS10" s="59"/>
      <c r="BT10" s="77"/>
      <c r="BU10" s="58"/>
      <c r="BV10" s="58"/>
      <c r="BW10" s="58"/>
      <c r="BX10" s="58"/>
      <c r="BY10" s="58"/>
      <c r="BZ10" s="58"/>
      <c r="CA10" s="58"/>
      <c r="CB10" s="72" t="str">
        <f aca="false">IF(AC10&lt;&gt;"",VLOOKUP(AC10,Selects!$B:$E,4,0),"")</f>
        <v/>
      </c>
      <c r="CC10" s="58"/>
      <c r="CD10" s="58"/>
      <c r="CE10" s="58"/>
    </row>
    <row r="11" customFormat="false" ht="15" hidden="false" customHeight="false" outlineLevel="0" collapsed="false">
      <c r="A11" s="17"/>
      <c r="B11" s="58"/>
      <c r="C11" s="58"/>
      <c r="D11" s="59"/>
      <c r="E11" s="60" t="str">
        <f aca="false">IF(LEN(D11)=11,"PF",IF(LEN(D11)=14,"PJ",""))</f>
        <v/>
      </c>
      <c r="F11" s="59"/>
      <c r="G11" s="59"/>
      <c r="H11" s="61" t="str">
        <f aca="false">IF(G11&lt;&gt;"",VLOOKUP(G11,'Cnae  mcc  id'!$A:$M,9,0),"")</f>
        <v/>
      </c>
      <c r="I11" s="62"/>
      <c r="J11" s="63" t="str">
        <f aca="false">IF(I11&lt;&gt;"",VLOOKUP(I11,'Legal Nature'!$E$2:$G$84,3,0),"")</f>
        <v/>
      </c>
      <c r="K11" s="64"/>
      <c r="L11" s="65"/>
      <c r="M11" s="66"/>
      <c r="N11" s="66"/>
      <c r="O11" s="79"/>
      <c r="P11" s="26"/>
      <c r="Q11" s="58"/>
      <c r="R11" s="58"/>
      <c r="S11" s="58"/>
      <c r="T11" s="68" t="str">
        <f aca="false">IF(LEFT(S11,1)="9","Celular",IF(S11="","","Fixo"))</f>
        <v/>
      </c>
      <c r="U11" s="58" t="str">
        <f aca="false">IF( T11&lt;&gt;"",VLOOKUP(T11,Selects!$M$4:$N$1000,2,0),"")</f>
        <v/>
      </c>
      <c r="V11" s="26"/>
      <c r="W11" s="58"/>
      <c r="X11" s="58"/>
      <c r="Y11" s="58"/>
      <c r="Z11" s="58"/>
      <c r="AA11" s="69"/>
      <c r="AB11" s="58"/>
      <c r="AC11" s="58"/>
      <c r="AD11" s="70" t="str">
        <f aca="false">IF(AC11&lt;&gt;"",VLOOKUP(AC11,Selects!$B$4:$C$100,2,0),"")</f>
        <v/>
      </c>
      <c r="AE11" s="26"/>
      <c r="AF11" s="58"/>
      <c r="AG11" s="59"/>
      <c r="AH11" s="65"/>
      <c r="AI11" s="66"/>
      <c r="AJ11" s="66"/>
      <c r="AK11" s="58"/>
      <c r="AL11" s="58"/>
      <c r="AM11" s="68" t="str">
        <f aca="false">IF(LEFT(AL11,1)="9","Celular",IF(AL11="","","Fixo"))</f>
        <v/>
      </c>
      <c r="AN11" s="58" t="str">
        <f aca="false">IF( AM11&lt;&gt;"",VLOOKUP(AM11,Selects!$M$4:$N$1000,2,0),"")</f>
        <v/>
      </c>
      <c r="AO11" s="58"/>
      <c r="AP11" s="59"/>
      <c r="AQ11" s="65"/>
      <c r="AR11" s="58"/>
      <c r="AS11" s="58"/>
      <c r="AT11" s="26"/>
      <c r="AU11" s="58"/>
      <c r="AV11" s="58"/>
      <c r="AW11" s="58"/>
      <c r="AX11" s="58"/>
      <c r="AY11" s="71"/>
      <c r="AZ11" s="58"/>
      <c r="BA11" s="58"/>
      <c r="BB11" s="72" t="str">
        <f aca="false">IF(BA11&lt;&gt;"",VLOOKUP(BA11,Selects!$B$4:$C$100,2,0),"")</f>
        <v/>
      </c>
      <c r="BC11" s="26"/>
      <c r="BD11" s="26"/>
      <c r="BE11" s="73"/>
      <c r="BF11" s="74"/>
      <c r="BG11" s="75" t="str">
        <f aca="false">IF(LEN(BF11)=11,"PF",IF(LEN(BF11)=14,"PJ",""))</f>
        <v/>
      </c>
      <c r="BH11" s="66"/>
      <c r="BI11" s="58" t="str">
        <f aca="false">IF(BH11&lt;&gt;"",VLOOKUP(BH11,Selects!$G:$H,2,0),"")</f>
        <v/>
      </c>
      <c r="BJ11" s="58"/>
      <c r="BK11" s="58"/>
      <c r="BL11" s="59"/>
      <c r="BM11" s="58"/>
      <c r="BN11" s="58"/>
      <c r="BO11" s="58" t="str">
        <f aca="false">IF(BN11&lt;&gt;"",VLOOKUP(BN11,Selects!$J$4:$K$1000,2,0),"")</f>
        <v/>
      </c>
      <c r="BP11" s="76"/>
      <c r="BQ11" s="59"/>
      <c r="BR11" s="77"/>
      <c r="BS11" s="59"/>
      <c r="BT11" s="77"/>
      <c r="BU11" s="58"/>
      <c r="BV11" s="58"/>
      <c r="BW11" s="58"/>
      <c r="BX11" s="58"/>
      <c r="BY11" s="58"/>
      <c r="BZ11" s="58"/>
      <c r="CA11" s="58"/>
      <c r="CB11" s="72" t="str">
        <f aca="false">IF(AC11&lt;&gt;"",VLOOKUP(AC11,Selects!$B:$E,4,0),"")</f>
        <v/>
      </c>
      <c r="CC11" s="58"/>
      <c r="CD11" s="58"/>
      <c r="CE11" s="58"/>
    </row>
    <row r="12" customFormat="false" ht="15" hidden="false" customHeight="false" outlineLevel="0" collapsed="false">
      <c r="A12" s="17"/>
      <c r="B12" s="58"/>
      <c r="C12" s="58"/>
      <c r="D12" s="59"/>
      <c r="E12" s="60" t="str">
        <f aca="false">IF(LEN(D12)=11,"PF",IF(LEN(D12)=14,"PJ",""))</f>
        <v/>
      </c>
      <c r="F12" s="59"/>
      <c r="G12" s="59"/>
      <c r="H12" s="61" t="str">
        <f aca="false">IF(G12&lt;&gt;"",VLOOKUP(G12,'Cnae  mcc  id'!$A:$M,9,0),"")</f>
        <v/>
      </c>
      <c r="I12" s="62"/>
      <c r="J12" s="63" t="str">
        <f aca="false">IF(I12&lt;&gt;"",VLOOKUP(I12,'Legal Nature'!$E$2:$G$84,3,0),"")</f>
        <v/>
      </c>
      <c r="K12" s="64"/>
      <c r="L12" s="65"/>
      <c r="M12" s="66"/>
      <c r="N12" s="66"/>
      <c r="O12" s="79"/>
      <c r="P12" s="26"/>
      <c r="Q12" s="58"/>
      <c r="R12" s="58"/>
      <c r="S12" s="58"/>
      <c r="T12" s="68" t="str">
        <f aca="false">IF(LEFT(S12,1)="9","Celular",IF(S12="","","Fixo"))</f>
        <v/>
      </c>
      <c r="U12" s="58" t="str">
        <f aca="false">IF( T12&lt;&gt;"",VLOOKUP(T12,Selects!$M$4:$N$1000,2,0),"")</f>
        <v/>
      </c>
      <c r="V12" s="26"/>
      <c r="W12" s="58"/>
      <c r="X12" s="58"/>
      <c r="Y12" s="58"/>
      <c r="Z12" s="58"/>
      <c r="AA12" s="69"/>
      <c r="AB12" s="58"/>
      <c r="AC12" s="58"/>
      <c r="AD12" s="70" t="str">
        <f aca="false">IF(AC12&lt;&gt;"",VLOOKUP(AC12,Selects!$B$4:$C$100,2,0),"")</f>
        <v/>
      </c>
      <c r="AE12" s="26"/>
      <c r="AF12" s="58"/>
      <c r="AG12" s="59"/>
      <c r="AH12" s="65"/>
      <c r="AI12" s="66"/>
      <c r="AJ12" s="66"/>
      <c r="AK12" s="58"/>
      <c r="AL12" s="58"/>
      <c r="AM12" s="68" t="str">
        <f aca="false">IF(LEFT(AL12,1)="9","Celular",IF(AL12="","","Fixo"))</f>
        <v/>
      </c>
      <c r="AN12" s="58" t="str">
        <f aca="false">IF( AM12&lt;&gt;"",VLOOKUP(AM12,Selects!$M$4:$N$1000,2,0),"")</f>
        <v/>
      </c>
      <c r="AO12" s="58"/>
      <c r="AP12" s="59"/>
      <c r="AQ12" s="65"/>
      <c r="AR12" s="58"/>
      <c r="AS12" s="58"/>
      <c r="AT12" s="26"/>
      <c r="AU12" s="58"/>
      <c r="AV12" s="58"/>
      <c r="AW12" s="58"/>
      <c r="AX12" s="58"/>
      <c r="AY12" s="71"/>
      <c r="AZ12" s="58"/>
      <c r="BA12" s="58"/>
      <c r="BB12" s="72" t="str">
        <f aca="false">IF(BA12&lt;&gt;"",VLOOKUP(BA12,Selects!$B$4:$C$100,2,0),"")</f>
        <v/>
      </c>
      <c r="BC12" s="26"/>
      <c r="BD12" s="26"/>
      <c r="BE12" s="73"/>
      <c r="BF12" s="74"/>
      <c r="BG12" s="75" t="str">
        <f aca="false">IF(LEN(BF12)=11,"PF",IF(LEN(BF12)=14,"PJ",""))</f>
        <v/>
      </c>
      <c r="BH12" s="66"/>
      <c r="BI12" s="58" t="str">
        <f aca="false">IF(BH12&lt;&gt;"",VLOOKUP(BH12,Selects!$G:$H,2,0),"")</f>
        <v/>
      </c>
      <c r="BJ12" s="58"/>
      <c r="BK12" s="58"/>
      <c r="BL12" s="59"/>
      <c r="BM12" s="58"/>
      <c r="BN12" s="58"/>
      <c r="BO12" s="58" t="str">
        <f aca="false">IF(BN12&lt;&gt;"",VLOOKUP(BN12,Selects!$J$4:$K$1000,2,0),"")</f>
        <v/>
      </c>
      <c r="BP12" s="76"/>
      <c r="BQ12" s="59"/>
      <c r="BR12" s="77"/>
      <c r="BS12" s="59"/>
      <c r="BT12" s="77"/>
      <c r="BU12" s="58"/>
      <c r="BV12" s="58"/>
      <c r="BW12" s="58"/>
      <c r="BX12" s="58"/>
      <c r="BY12" s="58"/>
      <c r="BZ12" s="58"/>
      <c r="CA12" s="58"/>
      <c r="CB12" s="72" t="str">
        <f aca="false">IF(AC12&lt;&gt;"",VLOOKUP(AC12,Selects!$B:$E,4,0),"")</f>
        <v/>
      </c>
      <c r="CC12" s="58"/>
      <c r="CD12" s="58"/>
      <c r="CE12" s="58"/>
    </row>
    <row r="13" customFormat="false" ht="15" hidden="false" customHeight="false" outlineLevel="0" collapsed="false">
      <c r="A13" s="17"/>
      <c r="B13" s="58"/>
      <c r="C13" s="58"/>
      <c r="D13" s="59"/>
      <c r="E13" s="60" t="str">
        <f aca="false">IF(LEN(D13)=11,"PF",IF(LEN(D13)=14,"PJ",""))</f>
        <v/>
      </c>
      <c r="F13" s="59"/>
      <c r="G13" s="59"/>
      <c r="H13" s="61" t="str">
        <f aca="false">IF(G13&lt;&gt;"",VLOOKUP(G13,'Cnae  mcc  id'!$A:$M,9,0),"")</f>
        <v/>
      </c>
      <c r="I13" s="62"/>
      <c r="J13" s="63" t="str">
        <f aca="false">IF(I13&lt;&gt;"",VLOOKUP(I13,'Legal Nature'!$E$2:$G$84,3,0),"")</f>
        <v/>
      </c>
      <c r="K13" s="64"/>
      <c r="L13" s="65"/>
      <c r="M13" s="66"/>
      <c r="N13" s="66"/>
      <c r="O13" s="79"/>
      <c r="P13" s="26"/>
      <c r="Q13" s="58"/>
      <c r="R13" s="58"/>
      <c r="S13" s="58"/>
      <c r="T13" s="68" t="str">
        <f aca="false">IF(LEFT(S13,1)="9","Celular",IF(S13="","","Fixo"))</f>
        <v/>
      </c>
      <c r="U13" s="58" t="str">
        <f aca="false">IF( T13&lt;&gt;"",VLOOKUP(T13,Selects!$M$4:$N$1000,2,0),"")</f>
        <v/>
      </c>
      <c r="V13" s="26"/>
      <c r="W13" s="58"/>
      <c r="X13" s="58"/>
      <c r="Y13" s="58"/>
      <c r="Z13" s="58"/>
      <c r="AA13" s="69"/>
      <c r="AB13" s="58"/>
      <c r="AC13" s="58"/>
      <c r="AD13" s="70" t="str">
        <f aca="false">IF(AC13&lt;&gt;"",VLOOKUP(AC13,Selects!$B$4:$C$100,2,0),"")</f>
        <v/>
      </c>
      <c r="AE13" s="26"/>
      <c r="AF13" s="58"/>
      <c r="AG13" s="59"/>
      <c r="AH13" s="65"/>
      <c r="AI13" s="66"/>
      <c r="AJ13" s="66"/>
      <c r="AK13" s="58"/>
      <c r="AL13" s="58"/>
      <c r="AM13" s="68" t="str">
        <f aca="false">IF(LEFT(AL13,1)="9","Celular",IF(AL13="","","Fixo"))</f>
        <v/>
      </c>
      <c r="AN13" s="58" t="str">
        <f aca="false">IF( AM13&lt;&gt;"",VLOOKUP(AM13,Selects!$M$4:$N$1000,2,0),"")</f>
        <v/>
      </c>
      <c r="AO13" s="58"/>
      <c r="AP13" s="59"/>
      <c r="AQ13" s="65"/>
      <c r="AR13" s="58"/>
      <c r="AS13" s="58"/>
      <c r="AT13" s="26"/>
      <c r="AU13" s="58"/>
      <c r="AV13" s="58"/>
      <c r="AW13" s="58"/>
      <c r="AX13" s="58"/>
      <c r="AY13" s="71"/>
      <c r="AZ13" s="58"/>
      <c r="BA13" s="58"/>
      <c r="BB13" s="72" t="str">
        <f aca="false">IF(BA13&lt;&gt;"",VLOOKUP(BA13,Selects!$B$4:$C$100,2,0),"")</f>
        <v/>
      </c>
      <c r="BC13" s="26"/>
      <c r="BD13" s="26"/>
      <c r="BE13" s="73"/>
      <c r="BF13" s="74"/>
      <c r="BG13" s="75" t="str">
        <f aca="false">IF(LEN(BF13)=11,"PF",IF(LEN(BF13)=14,"PJ",""))</f>
        <v/>
      </c>
      <c r="BH13" s="66"/>
      <c r="BI13" s="58" t="str">
        <f aca="false">IF(BH13&lt;&gt;"",VLOOKUP(BH13,Selects!$G:$H,2,0),"")</f>
        <v/>
      </c>
      <c r="BJ13" s="58"/>
      <c r="BK13" s="58"/>
      <c r="BL13" s="59"/>
      <c r="BM13" s="58"/>
      <c r="BN13" s="58"/>
      <c r="BO13" s="58" t="str">
        <f aca="false">IF(BN13&lt;&gt;"",VLOOKUP(BN13,Selects!$J$4:$K$1000,2,0),"")</f>
        <v/>
      </c>
      <c r="BP13" s="76"/>
      <c r="BQ13" s="59"/>
      <c r="BR13" s="77"/>
      <c r="BS13" s="59"/>
      <c r="BT13" s="77"/>
      <c r="BU13" s="58"/>
      <c r="BV13" s="58"/>
      <c r="BW13" s="58"/>
      <c r="BX13" s="58"/>
      <c r="BY13" s="58"/>
      <c r="BZ13" s="58"/>
      <c r="CA13" s="58"/>
      <c r="CB13" s="72" t="str">
        <f aca="false">IF(AC13&lt;&gt;"",VLOOKUP(AC13,Selects!$B:$E,4,0),"")</f>
        <v/>
      </c>
      <c r="CC13" s="58"/>
      <c r="CD13" s="58"/>
      <c r="CE13" s="58"/>
    </row>
    <row r="14" customFormat="false" ht="15" hidden="false" customHeight="false" outlineLevel="0" collapsed="false">
      <c r="A14" s="17"/>
      <c r="B14" s="58"/>
      <c r="C14" s="58"/>
      <c r="D14" s="59"/>
      <c r="E14" s="60" t="str">
        <f aca="false">IF(LEN(D14)=11,"PF",IF(LEN(D14)=14,"PJ",""))</f>
        <v/>
      </c>
      <c r="F14" s="59"/>
      <c r="G14" s="59"/>
      <c r="H14" s="61" t="str">
        <f aca="false">IF(G14&lt;&gt;"",VLOOKUP(G14,'Cnae  mcc  id'!$A:$M,9,0),"")</f>
        <v/>
      </c>
      <c r="I14" s="62"/>
      <c r="J14" s="63" t="str">
        <f aca="false">IF(I14&lt;&gt;"",VLOOKUP(I14,'Legal Nature'!$E$2:$G$84,3,0),"")</f>
        <v/>
      </c>
      <c r="K14" s="64"/>
      <c r="L14" s="65"/>
      <c r="M14" s="66"/>
      <c r="N14" s="66"/>
      <c r="O14" s="79"/>
      <c r="P14" s="26"/>
      <c r="Q14" s="58"/>
      <c r="R14" s="58"/>
      <c r="S14" s="58"/>
      <c r="T14" s="68" t="str">
        <f aca="false">IF(LEFT(S14,1)="9","Celular",IF(S14="","","Fixo"))</f>
        <v/>
      </c>
      <c r="U14" s="58" t="str">
        <f aca="false">IF( T14&lt;&gt;"",VLOOKUP(T14,Selects!$M$4:$N$1000,2,0),"")</f>
        <v/>
      </c>
      <c r="V14" s="26"/>
      <c r="W14" s="58"/>
      <c r="X14" s="58"/>
      <c r="Y14" s="58"/>
      <c r="Z14" s="58"/>
      <c r="AA14" s="69"/>
      <c r="AB14" s="58"/>
      <c r="AC14" s="58"/>
      <c r="AD14" s="70" t="str">
        <f aca="false">IF(AC14&lt;&gt;"",VLOOKUP(AC14,Selects!$B$4:$C$100,2,0),"")</f>
        <v/>
      </c>
      <c r="AE14" s="26"/>
      <c r="AF14" s="58"/>
      <c r="AG14" s="59"/>
      <c r="AH14" s="65"/>
      <c r="AI14" s="66"/>
      <c r="AJ14" s="66"/>
      <c r="AK14" s="58"/>
      <c r="AL14" s="58"/>
      <c r="AM14" s="68" t="str">
        <f aca="false">IF(LEFT(AL14,1)="9","Celular",IF(AL14="","","Fixo"))</f>
        <v/>
      </c>
      <c r="AN14" s="58" t="str">
        <f aca="false">IF( AM14&lt;&gt;"",VLOOKUP(AM14,Selects!$M$4:$N$1000,2,0),"")</f>
        <v/>
      </c>
      <c r="AO14" s="58"/>
      <c r="AP14" s="59"/>
      <c r="AQ14" s="65"/>
      <c r="AR14" s="58"/>
      <c r="AS14" s="58"/>
      <c r="AT14" s="26"/>
      <c r="AU14" s="58"/>
      <c r="AV14" s="58"/>
      <c r="AW14" s="58"/>
      <c r="AX14" s="58"/>
      <c r="AY14" s="71"/>
      <c r="AZ14" s="58"/>
      <c r="BA14" s="58"/>
      <c r="BB14" s="72" t="str">
        <f aca="false">IF(BA14&lt;&gt;"",VLOOKUP(BA14,Selects!$B$4:$C$100,2,0),"")</f>
        <v/>
      </c>
      <c r="BC14" s="26"/>
      <c r="BD14" s="26"/>
      <c r="BE14" s="73"/>
      <c r="BF14" s="74"/>
      <c r="BG14" s="75" t="str">
        <f aca="false">IF(LEN(BF14)=11,"PF",IF(LEN(BF14)=14,"PJ",""))</f>
        <v/>
      </c>
      <c r="BH14" s="66"/>
      <c r="BI14" s="58" t="str">
        <f aca="false">IF(BH14&lt;&gt;"",VLOOKUP(BH14,Selects!$G:$H,2,0),"")</f>
        <v/>
      </c>
      <c r="BJ14" s="58"/>
      <c r="BK14" s="58"/>
      <c r="BL14" s="59"/>
      <c r="BM14" s="58"/>
      <c r="BN14" s="58"/>
      <c r="BO14" s="58" t="str">
        <f aca="false">IF(BN14&lt;&gt;"",VLOOKUP(BN14,Selects!$J$4:$K$1000,2,0),"")</f>
        <v/>
      </c>
      <c r="BP14" s="76"/>
      <c r="BQ14" s="59"/>
      <c r="BR14" s="77"/>
      <c r="BS14" s="59"/>
      <c r="BT14" s="77"/>
      <c r="BU14" s="58"/>
      <c r="BV14" s="58"/>
      <c r="BW14" s="58"/>
      <c r="BX14" s="58"/>
      <c r="BY14" s="58"/>
      <c r="BZ14" s="58"/>
      <c r="CA14" s="58"/>
      <c r="CB14" s="72" t="str">
        <f aca="false">IF(AC14&lt;&gt;"",VLOOKUP(AC14,Selects!$B:$E,4,0),"")</f>
        <v/>
      </c>
      <c r="CC14" s="58"/>
      <c r="CD14" s="58"/>
      <c r="CE14" s="58"/>
    </row>
    <row r="15" customFormat="false" ht="15" hidden="false" customHeight="false" outlineLevel="0" collapsed="false">
      <c r="A15" s="17"/>
      <c r="B15" s="58"/>
      <c r="C15" s="58"/>
      <c r="D15" s="59"/>
      <c r="E15" s="60" t="str">
        <f aca="false">IF(LEN(D15)=11,"PF",IF(LEN(D15)=14,"PJ",""))</f>
        <v/>
      </c>
      <c r="F15" s="59"/>
      <c r="G15" s="59"/>
      <c r="H15" s="61" t="str">
        <f aca="false">IF(G15&lt;&gt;"",VLOOKUP(G15,'Cnae  mcc  id'!$A:$M,9,0),"")</f>
        <v/>
      </c>
      <c r="I15" s="62"/>
      <c r="J15" s="63" t="str">
        <f aca="false">IF(I15&lt;&gt;"",VLOOKUP(I15,'Legal Nature'!$E$2:$G$84,3,0),"")</f>
        <v/>
      </c>
      <c r="K15" s="64"/>
      <c r="L15" s="65"/>
      <c r="M15" s="66"/>
      <c r="N15" s="66"/>
      <c r="O15" s="79"/>
      <c r="P15" s="26"/>
      <c r="Q15" s="58"/>
      <c r="R15" s="58"/>
      <c r="S15" s="58"/>
      <c r="T15" s="68" t="str">
        <f aca="false">IF(LEFT(S15,1)="9","Celular",IF(S15="","","Fixo"))</f>
        <v/>
      </c>
      <c r="U15" s="58" t="str">
        <f aca="false">IF( T15&lt;&gt;"",VLOOKUP(T15,Selects!$M$4:$N$1000,2,0),"")</f>
        <v/>
      </c>
      <c r="V15" s="26"/>
      <c r="W15" s="58"/>
      <c r="X15" s="58"/>
      <c r="Y15" s="58"/>
      <c r="Z15" s="58"/>
      <c r="AA15" s="69"/>
      <c r="AB15" s="58"/>
      <c r="AC15" s="58"/>
      <c r="AD15" s="70" t="str">
        <f aca="false">IF(AC15&lt;&gt;"",VLOOKUP(AC15,Selects!$B$4:$C$100,2,0),"")</f>
        <v/>
      </c>
      <c r="AE15" s="26"/>
      <c r="AF15" s="58"/>
      <c r="AG15" s="59"/>
      <c r="AH15" s="65"/>
      <c r="AI15" s="66"/>
      <c r="AJ15" s="66"/>
      <c r="AK15" s="58"/>
      <c r="AL15" s="58"/>
      <c r="AM15" s="68" t="str">
        <f aca="false">IF(LEFT(AL15,1)="9","Celular",IF(AL15="","","Fixo"))</f>
        <v/>
      </c>
      <c r="AN15" s="58" t="str">
        <f aca="false">IF( AM15&lt;&gt;"",VLOOKUP(AM15,Selects!$M$4:$N$1000,2,0),"")</f>
        <v/>
      </c>
      <c r="AO15" s="58"/>
      <c r="AP15" s="59"/>
      <c r="AQ15" s="65"/>
      <c r="AR15" s="58"/>
      <c r="AS15" s="58"/>
      <c r="AT15" s="26"/>
      <c r="AU15" s="58"/>
      <c r="AV15" s="58"/>
      <c r="AW15" s="58"/>
      <c r="AX15" s="58"/>
      <c r="AY15" s="71"/>
      <c r="AZ15" s="58"/>
      <c r="BA15" s="58"/>
      <c r="BB15" s="72" t="str">
        <f aca="false">IF(BA15&lt;&gt;"",VLOOKUP(BA15,Selects!$B$4:$C$100,2,0),"")</f>
        <v/>
      </c>
      <c r="BC15" s="26"/>
      <c r="BD15" s="26"/>
      <c r="BE15" s="73"/>
      <c r="BF15" s="74"/>
      <c r="BG15" s="75" t="str">
        <f aca="false">IF(LEN(BF15)=11,"PF",IF(LEN(BF15)=14,"PJ",""))</f>
        <v/>
      </c>
      <c r="BH15" s="66"/>
      <c r="BI15" s="58" t="str">
        <f aca="false">IF(BH15&lt;&gt;"",VLOOKUP(BH15,Selects!$G:$H,2,0),"")</f>
        <v/>
      </c>
      <c r="BJ15" s="58"/>
      <c r="BK15" s="58"/>
      <c r="BL15" s="59"/>
      <c r="BM15" s="58"/>
      <c r="BN15" s="58"/>
      <c r="BO15" s="58" t="str">
        <f aca="false">IF(BN15&lt;&gt;"",VLOOKUP(BN15,Selects!$J$4:$K$1000,2,0),"")</f>
        <v/>
      </c>
      <c r="BP15" s="76"/>
      <c r="BQ15" s="59"/>
      <c r="BR15" s="77"/>
      <c r="BS15" s="59"/>
      <c r="BT15" s="77"/>
      <c r="BU15" s="58"/>
      <c r="BV15" s="58"/>
      <c r="BW15" s="58"/>
      <c r="BX15" s="58"/>
      <c r="BY15" s="58"/>
      <c r="BZ15" s="58"/>
      <c r="CA15" s="58"/>
      <c r="CB15" s="72" t="str">
        <f aca="false">IF(AC15&lt;&gt;"",VLOOKUP(AC15,Selects!$B:$E,4,0),"")</f>
        <v/>
      </c>
      <c r="CC15" s="58"/>
      <c r="CD15" s="58"/>
      <c r="CE15" s="58"/>
    </row>
    <row r="16" customFormat="false" ht="15" hidden="false" customHeight="false" outlineLevel="0" collapsed="false">
      <c r="A16" s="17"/>
      <c r="B16" s="58"/>
      <c r="C16" s="58"/>
      <c r="D16" s="59"/>
      <c r="E16" s="60" t="str">
        <f aca="false">IF(LEN(D16)=11,"PF",IF(LEN(D16)=14,"PJ",""))</f>
        <v/>
      </c>
      <c r="F16" s="59"/>
      <c r="G16" s="59"/>
      <c r="H16" s="61" t="str">
        <f aca="false">IF(G16&lt;&gt;"",VLOOKUP(G16,'Cnae  mcc  id'!$A:$M,9,0),"")</f>
        <v/>
      </c>
      <c r="I16" s="62"/>
      <c r="J16" s="63" t="str">
        <f aca="false">IF(I16&lt;&gt;"",VLOOKUP(I16,'Legal Nature'!$E$2:$G$84,3,0),"")</f>
        <v/>
      </c>
      <c r="K16" s="64"/>
      <c r="L16" s="65"/>
      <c r="M16" s="66"/>
      <c r="N16" s="66"/>
      <c r="O16" s="79"/>
      <c r="P16" s="26"/>
      <c r="Q16" s="58"/>
      <c r="R16" s="58"/>
      <c r="S16" s="58"/>
      <c r="T16" s="68" t="str">
        <f aca="false">IF(LEFT(S16,1)="9","Celular",IF(S16="","","Fixo"))</f>
        <v/>
      </c>
      <c r="U16" s="58" t="str">
        <f aca="false">IF( T16&lt;&gt;"",VLOOKUP(T16,Selects!$M$4:$N$1000,2,0),"")</f>
        <v/>
      </c>
      <c r="V16" s="26"/>
      <c r="W16" s="58"/>
      <c r="X16" s="58"/>
      <c r="Y16" s="58"/>
      <c r="Z16" s="58"/>
      <c r="AA16" s="69"/>
      <c r="AB16" s="58"/>
      <c r="AC16" s="58"/>
      <c r="AD16" s="70" t="str">
        <f aca="false">IF(AC16&lt;&gt;"",VLOOKUP(AC16,Selects!$B$4:$C$100,2,0),"")</f>
        <v/>
      </c>
      <c r="AE16" s="26"/>
      <c r="AF16" s="58"/>
      <c r="AG16" s="59"/>
      <c r="AH16" s="65"/>
      <c r="AI16" s="66"/>
      <c r="AJ16" s="66"/>
      <c r="AK16" s="58"/>
      <c r="AL16" s="58"/>
      <c r="AM16" s="68" t="str">
        <f aca="false">IF(LEFT(AL16,1)="9","Celular",IF(AL16="","","Fixo"))</f>
        <v/>
      </c>
      <c r="AN16" s="58" t="str">
        <f aca="false">IF( AM16&lt;&gt;"",VLOOKUP(AM16,Selects!$M$4:$N$1000,2,0),"")</f>
        <v/>
      </c>
      <c r="AO16" s="58"/>
      <c r="AP16" s="59"/>
      <c r="AQ16" s="65"/>
      <c r="AR16" s="58"/>
      <c r="AS16" s="58"/>
      <c r="AT16" s="26"/>
      <c r="AU16" s="58"/>
      <c r="AV16" s="58"/>
      <c r="AW16" s="58"/>
      <c r="AX16" s="58"/>
      <c r="AY16" s="71"/>
      <c r="AZ16" s="58"/>
      <c r="BA16" s="58"/>
      <c r="BB16" s="72" t="str">
        <f aca="false">IF(BA16&lt;&gt;"",VLOOKUP(BA16,Selects!$B$4:$C$100,2,0),"")</f>
        <v/>
      </c>
      <c r="BC16" s="26"/>
      <c r="BD16" s="26"/>
      <c r="BE16" s="73"/>
      <c r="BF16" s="74"/>
      <c r="BG16" s="75" t="str">
        <f aca="false">IF(LEN(BF16)=11,"PF",IF(LEN(BF16)=14,"PJ",""))</f>
        <v/>
      </c>
      <c r="BH16" s="66"/>
      <c r="BI16" s="58" t="str">
        <f aca="false">IF(BH16&lt;&gt;"",VLOOKUP(BH16,Selects!$G:$H,2,0),"")</f>
        <v/>
      </c>
      <c r="BJ16" s="58"/>
      <c r="BK16" s="58"/>
      <c r="BL16" s="59"/>
      <c r="BM16" s="58"/>
      <c r="BN16" s="58"/>
      <c r="BO16" s="58" t="str">
        <f aca="false">IF(BN16&lt;&gt;"",VLOOKUP(BN16,Selects!$J$4:$K$1000,2,0),"")</f>
        <v/>
      </c>
      <c r="BP16" s="76"/>
      <c r="BQ16" s="59"/>
      <c r="BR16" s="77"/>
      <c r="BS16" s="59"/>
      <c r="BT16" s="77"/>
      <c r="BU16" s="58"/>
      <c r="BV16" s="58"/>
      <c r="BW16" s="58"/>
      <c r="BX16" s="58"/>
      <c r="BY16" s="58"/>
      <c r="BZ16" s="58"/>
      <c r="CA16" s="58"/>
      <c r="CB16" s="72" t="str">
        <f aca="false">IF(AC16&lt;&gt;"",VLOOKUP(AC16,Selects!$B:$E,4,0),"")</f>
        <v/>
      </c>
      <c r="CC16" s="58"/>
      <c r="CD16" s="58"/>
      <c r="CE16" s="58"/>
    </row>
    <row r="17" customFormat="false" ht="15" hidden="false" customHeight="false" outlineLevel="0" collapsed="false">
      <c r="A17" s="17"/>
      <c r="B17" s="58"/>
      <c r="C17" s="58"/>
      <c r="D17" s="59"/>
      <c r="E17" s="60" t="str">
        <f aca="false">IF(LEN(D17)=11,"PF",IF(LEN(D17)=14,"PJ",""))</f>
        <v/>
      </c>
      <c r="F17" s="59"/>
      <c r="G17" s="59"/>
      <c r="H17" s="61" t="str">
        <f aca="false">IF(G17&lt;&gt;"",VLOOKUP(G17,'Cnae  mcc  id'!$A:$M,9,0),"")</f>
        <v/>
      </c>
      <c r="I17" s="62"/>
      <c r="J17" s="63" t="str">
        <f aca="false">IF(I17&lt;&gt;"",VLOOKUP(I17,'Legal Nature'!$E$2:$G$84,3,0),"")</f>
        <v/>
      </c>
      <c r="K17" s="64"/>
      <c r="L17" s="65"/>
      <c r="M17" s="66"/>
      <c r="N17" s="66"/>
      <c r="O17" s="79"/>
      <c r="P17" s="26"/>
      <c r="Q17" s="58"/>
      <c r="R17" s="58"/>
      <c r="S17" s="58"/>
      <c r="T17" s="68" t="str">
        <f aca="false">IF(LEFT(S17,1)="9","Celular",IF(S17="","","Fixo"))</f>
        <v/>
      </c>
      <c r="U17" s="58" t="str">
        <f aca="false">IF( T17&lt;&gt;"",VLOOKUP(T17,Selects!$M$4:$N$1000,2,0),"")</f>
        <v/>
      </c>
      <c r="V17" s="26"/>
      <c r="W17" s="58"/>
      <c r="X17" s="58"/>
      <c r="Y17" s="58"/>
      <c r="Z17" s="58"/>
      <c r="AA17" s="69"/>
      <c r="AB17" s="58"/>
      <c r="AC17" s="58"/>
      <c r="AD17" s="70" t="str">
        <f aca="false">IF(AC17&lt;&gt;"",VLOOKUP(AC17,Selects!$B$4:$C$100,2,0),"")</f>
        <v/>
      </c>
      <c r="AE17" s="26"/>
      <c r="AF17" s="58"/>
      <c r="AG17" s="59"/>
      <c r="AH17" s="65"/>
      <c r="AI17" s="66"/>
      <c r="AJ17" s="66"/>
      <c r="AK17" s="58"/>
      <c r="AL17" s="58"/>
      <c r="AM17" s="68" t="str">
        <f aca="false">IF(LEFT(AL17,1)="9","Celular",IF(AL17="","","Fixo"))</f>
        <v/>
      </c>
      <c r="AN17" s="58" t="str">
        <f aca="false">IF( AM17&lt;&gt;"",VLOOKUP(AM17,Selects!$M$4:$N$1000,2,0),"")</f>
        <v/>
      </c>
      <c r="AO17" s="58"/>
      <c r="AP17" s="59"/>
      <c r="AQ17" s="65"/>
      <c r="AR17" s="58"/>
      <c r="AS17" s="58"/>
      <c r="AT17" s="26"/>
      <c r="AU17" s="58"/>
      <c r="AV17" s="58"/>
      <c r="AW17" s="58"/>
      <c r="AX17" s="58"/>
      <c r="AY17" s="71"/>
      <c r="AZ17" s="58"/>
      <c r="BA17" s="58"/>
      <c r="BB17" s="72" t="str">
        <f aca="false">IF(BA17&lt;&gt;"",VLOOKUP(BA17,Selects!$B$4:$C$100,2,0),"")</f>
        <v/>
      </c>
      <c r="BC17" s="26"/>
      <c r="BD17" s="26"/>
      <c r="BE17" s="73"/>
      <c r="BF17" s="74"/>
      <c r="BG17" s="75" t="str">
        <f aca="false">IF(LEN(BF17)=11,"PF",IF(LEN(BF17)=14,"PJ",""))</f>
        <v/>
      </c>
      <c r="BH17" s="66"/>
      <c r="BI17" s="58" t="str">
        <f aca="false">IF(BH17&lt;&gt;"",VLOOKUP(BH17,Selects!$G:$H,2,0),"")</f>
        <v/>
      </c>
      <c r="BJ17" s="58"/>
      <c r="BK17" s="58"/>
      <c r="BL17" s="59"/>
      <c r="BM17" s="58"/>
      <c r="BN17" s="58"/>
      <c r="BO17" s="58" t="str">
        <f aca="false">IF(BN17&lt;&gt;"",VLOOKUP(BN17,Selects!$J$4:$K$1000,2,0),"")</f>
        <v/>
      </c>
      <c r="BP17" s="76"/>
      <c r="BQ17" s="59"/>
      <c r="BR17" s="77"/>
      <c r="BS17" s="59"/>
      <c r="BT17" s="77"/>
      <c r="BU17" s="58"/>
      <c r="BV17" s="58"/>
      <c r="BW17" s="58"/>
      <c r="BX17" s="58"/>
      <c r="BY17" s="58"/>
      <c r="BZ17" s="58"/>
      <c r="CA17" s="58"/>
      <c r="CB17" s="72" t="str">
        <f aca="false">IF(AC17&lt;&gt;"",VLOOKUP(AC17,Selects!$B:$E,4,0),"")</f>
        <v/>
      </c>
      <c r="CC17" s="58"/>
      <c r="CD17" s="58"/>
      <c r="CE17" s="58"/>
    </row>
    <row r="18" customFormat="false" ht="15" hidden="false" customHeight="false" outlineLevel="0" collapsed="false">
      <c r="A18" s="17"/>
      <c r="B18" s="58"/>
      <c r="C18" s="58"/>
      <c r="D18" s="59"/>
      <c r="E18" s="60" t="str">
        <f aca="false">IF(LEN(D18)=11,"PF",IF(LEN(D18)=14,"PJ",""))</f>
        <v/>
      </c>
      <c r="F18" s="59"/>
      <c r="G18" s="59"/>
      <c r="H18" s="61" t="str">
        <f aca="false">IF(G18&lt;&gt;"",VLOOKUP(G18,'Cnae  mcc  id'!$A:$M,9,0),"")</f>
        <v/>
      </c>
      <c r="I18" s="62"/>
      <c r="J18" s="63" t="str">
        <f aca="false">IF(I18&lt;&gt;"",VLOOKUP(I18,'Legal Nature'!$E$2:$G$84,3,0),"")</f>
        <v/>
      </c>
      <c r="K18" s="64"/>
      <c r="L18" s="65"/>
      <c r="M18" s="66"/>
      <c r="N18" s="66"/>
      <c r="O18" s="79"/>
      <c r="P18" s="26"/>
      <c r="Q18" s="58"/>
      <c r="R18" s="58"/>
      <c r="S18" s="58"/>
      <c r="T18" s="68" t="str">
        <f aca="false">IF(LEFT(S18,1)="9","Celular",IF(S18="","","Fixo"))</f>
        <v/>
      </c>
      <c r="U18" s="58" t="str">
        <f aca="false">IF( T18&lt;&gt;"",VLOOKUP(T18,Selects!$M$4:$N$1000,2,0),"")</f>
        <v/>
      </c>
      <c r="V18" s="26"/>
      <c r="W18" s="58"/>
      <c r="X18" s="58"/>
      <c r="Y18" s="58"/>
      <c r="Z18" s="58"/>
      <c r="AA18" s="69"/>
      <c r="AB18" s="58"/>
      <c r="AC18" s="58"/>
      <c r="AD18" s="70" t="str">
        <f aca="false">IF(AC18&lt;&gt;"",VLOOKUP(AC18,Selects!$B$4:$C$100,2,0),"")</f>
        <v/>
      </c>
      <c r="AE18" s="26"/>
      <c r="AF18" s="58"/>
      <c r="AG18" s="59"/>
      <c r="AH18" s="65"/>
      <c r="AI18" s="66"/>
      <c r="AJ18" s="66"/>
      <c r="AK18" s="58"/>
      <c r="AL18" s="58"/>
      <c r="AM18" s="68" t="str">
        <f aca="false">IF(LEFT(AL18,1)="9","Celular",IF(AL18="","","Fixo"))</f>
        <v/>
      </c>
      <c r="AN18" s="58" t="str">
        <f aca="false">IF( AM18&lt;&gt;"",VLOOKUP(AM18,Selects!$M$4:$N$1000,2,0),"")</f>
        <v/>
      </c>
      <c r="AO18" s="58"/>
      <c r="AP18" s="59"/>
      <c r="AQ18" s="65"/>
      <c r="AR18" s="58"/>
      <c r="AS18" s="58"/>
      <c r="AT18" s="26"/>
      <c r="AU18" s="58"/>
      <c r="AV18" s="58"/>
      <c r="AW18" s="58"/>
      <c r="AX18" s="58"/>
      <c r="AY18" s="71"/>
      <c r="AZ18" s="58"/>
      <c r="BA18" s="58"/>
      <c r="BB18" s="72" t="str">
        <f aca="false">IF(BA18&lt;&gt;"",VLOOKUP(BA18,Selects!$B$4:$C$100,2,0),"")</f>
        <v/>
      </c>
      <c r="BC18" s="26"/>
      <c r="BD18" s="26"/>
      <c r="BE18" s="73"/>
      <c r="BF18" s="74"/>
      <c r="BG18" s="75" t="str">
        <f aca="false">IF(LEN(BF18)=11,"PF",IF(LEN(BF18)=14,"PJ",""))</f>
        <v/>
      </c>
      <c r="BH18" s="66"/>
      <c r="BI18" s="58" t="str">
        <f aca="false">IF(BH18&lt;&gt;"",VLOOKUP(BH18,Selects!$G:$H,2,0),"")</f>
        <v/>
      </c>
      <c r="BJ18" s="58"/>
      <c r="BK18" s="58"/>
      <c r="BL18" s="59"/>
      <c r="BM18" s="58"/>
      <c r="BN18" s="58"/>
      <c r="BO18" s="58" t="str">
        <f aca="false">IF(BN18&lt;&gt;"",VLOOKUP(BN18,Selects!$J$4:$K$1000,2,0),"")</f>
        <v/>
      </c>
      <c r="BP18" s="76"/>
      <c r="BQ18" s="59"/>
      <c r="BR18" s="77"/>
      <c r="BS18" s="59"/>
      <c r="BT18" s="77"/>
      <c r="BU18" s="58"/>
      <c r="BV18" s="58"/>
      <c r="BW18" s="58"/>
      <c r="BX18" s="58"/>
      <c r="BY18" s="58"/>
      <c r="BZ18" s="58"/>
      <c r="CA18" s="58"/>
      <c r="CB18" s="72" t="str">
        <f aca="false">IF(AC18&lt;&gt;"",VLOOKUP(AC18,Selects!$B:$E,4,0),"")</f>
        <v/>
      </c>
      <c r="CC18" s="58"/>
      <c r="CD18" s="58"/>
      <c r="CE18" s="58"/>
    </row>
    <row r="19" customFormat="false" ht="15" hidden="false" customHeight="false" outlineLevel="0" collapsed="false">
      <c r="A19" s="17"/>
      <c r="B19" s="58"/>
      <c r="C19" s="58"/>
      <c r="D19" s="59"/>
      <c r="E19" s="60" t="str">
        <f aca="false">IF(LEN(D19)=11,"PF",IF(LEN(D19)=14,"PJ",""))</f>
        <v/>
      </c>
      <c r="F19" s="59"/>
      <c r="G19" s="59"/>
      <c r="H19" s="61" t="str">
        <f aca="false">IF(G19&lt;&gt;"",VLOOKUP(G19,'Cnae  mcc  id'!$A:$M,9,0),"")</f>
        <v/>
      </c>
      <c r="I19" s="62"/>
      <c r="J19" s="63" t="str">
        <f aca="false">IF(I19&lt;&gt;"",VLOOKUP(I19,'Legal Nature'!$E$2:$G$84,3,0),"")</f>
        <v/>
      </c>
      <c r="K19" s="64"/>
      <c r="L19" s="65"/>
      <c r="M19" s="66"/>
      <c r="N19" s="66"/>
      <c r="O19" s="79"/>
      <c r="P19" s="26"/>
      <c r="Q19" s="58"/>
      <c r="R19" s="58"/>
      <c r="S19" s="58"/>
      <c r="T19" s="68" t="str">
        <f aca="false">IF(LEFT(S19,1)="9","Celular",IF(S19="","","Fixo"))</f>
        <v/>
      </c>
      <c r="U19" s="58" t="str">
        <f aca="false">IF( T19&lt;&gt;"",VLOOKUP(T19,Selects!$M$4:$N$1000,2,0),"")</f>
        <v/>
      </c>
      <c r="V19" s="26"/>
      <c r="W19" s="58"/>
      <c r="X19" s="58"/>
      <c r="Y19" s="58"/>
      <c r="Z19" s="58"/>
      <c r="AA19" s="69"/>
      <c r="AB19" s="58"/>
      <c r="AC19" s="58"/>
      <c r="AD19" s="70" t="str">
        <f aca="false">IF(AC19&lt;&gt;"",VLOOKUP(AC19,Selects!$B$4:$C$100,2,0),"")</f>
        <v/>
      </c>
      <c r="AE19" s="26"/>
      <c r="AF19" s="58"/>
      <c r="AG19" s="59"/>
      <c r="AH19" s="65"/>
      <c r="AI19" s="66"/>
      <c r="AJ19" s="66"/>
      <c r="AK19" s="58"/>
      <c r="AL19" s="58"/>
      <c r="AM19" s="68" t="str">
        <f aca="false">IF(LEFT(AL19,1)="9","Celular",IF(AL19="","","Fixo"))</f>
        <v/>
      </c>
      <c r="AN19" s="58" t="str">
        <f aca="false">IF( AM19&lt;&gt;"",VLOOKUP(AM19,Selects!$M$4:$N$1000,2,0),"")</f>
        <v/>
      </c>
      <c r="AO19" s="58"/>
      <c r="AP19" s="59"/>
      <c r="AQ19" s="65"/>
      <c r="AR19" s="58"/>
      <c r="AS19" s="58"/>
      <c r="AT19" s="26"/>
      <c r="AU19" s="58"/>
      <c r="AV19" s="58"/>
      <c r="AW19" s="58"/>
      <c r="AX19" s="58"/>
      <c r="AY19" s="71"/>
      <c r="AZ19" s="58"/>
      <c r="BA19" s="58"/>
      <c r="BB19" s="72" t="str">
        <f aca="false">IF(BA19&lt;&gt;"",VLOOKUP(BA19,Selects!$B$4:$C$100,2,0),"")</f>
        <v/>
      </c>
      <c r="BC19" s="26"/>
      <c r="BD19" s="26"/>
      <c r="BE19" s="73"/>
      <c r="BF19" s="74"/>
      <c r="BG19" s="75" t="str">
        <f aca="false">IF(LEN(BF19)=11,"PF",IF(LEN(BF19)=14,"PJ",""))</f>
        <v/>
      </c>
      <c r="BH19" s="66"/>
      <c r="BI19" s="58" t="str">
        <f aca="false">IF(BH19&lt;&gt;"",VLOOKUP(BH19,Selects!$G:$H,2,0),"")</f>
        <v/>
      </c>
      <c r="BJ19" s="58"/>
      <c r="BK19" s="58"/>
      <c r="BL19" s="59"/>
      <c r="BM19" s="58"/>
      <c r="BN19" s="58"/>
      <c r="BO19" s="58" t="str">
        <f aca="false">IF(BN19&lt;&gt;"",VLOOKUP(BN19,Selects!$J$4:$K$1000,2,0),"")</f>
        <v/>
      </c>
      <c r="BP19" s="76"/>
      <c r="BQ19" s="59"/>
      <c r="BR19" s="77"/>
      <c r="BS19" s="59"/>
      <c r="BT19" s="77"/>
      <c r="BU19" s="58"/>
      <c r="BV19" s="58"/>
      <c r="BW19" s="58"/>
      <c r="BX19" s="58"/>
      <c r="BY19" s="58"/>
      <c r="BZ19" s="58"/>
      <c r="CA19" s="58"/>
      <c r="CB19" s="72" t="str">
        <f aca="false">IF(AC19&lt;&gt;"",VLOOKUP(AC19,Selects!$B:$E,4,0),"")</f>
        <v/>
      </c>
      <c r="CC19" s="58"/>
      <c r="CD19" s="58"/>
      <c r="CE19" s="58"/>
    </row>
    <row r="20" customFormat="false" ht="15" hidden="false" customHeight="false" outlineLevel="0" collapsed="false">
      <c r="A20" s="17"/>
      <c r="B20" s="58"/>
      <c r="C20" s="58"/>
      <c r="D20" s="59"/>
      <c r="E20" s="60" t="str">
        <f aca="false">IF(LEN(D20)=11,"PF",IF(LEN(D20)=14,"PJ",""))</f>
        <v/>
      </c>
      <c r="F20" s="59"/>
      <c r="G20" s="59"/>
      <c r="H20" s="61" t="str">
        <f aca="false">IF(G20&lt;&gt;"",VLOOKUP(G20,'Cnae  mcc  id'!$A:$M,9,0),"")</f>
        <v/>
      </c>
      <c r="I20" s="62"/>
      <c r="J20" s="63" t="str">
        <f aca="false">IF(I20&lt;&gt;"",VLOOKUP(I20,'Legal Nature'!$E$2:$G$84,3,0),"")</f>
        <v/>
      </c>
      <c r="K20" s="64"/>
      <c r="L20" s="65"/>
      <c r="M20" s="66"/>
      <c r="N20" s="66"/>
      <c r="O20" s="79"/>
      <c r="P20" s="26"/>
      <c r="Q20" s="58"/>
      <c r="R20" s="58"/>
      <c r="S20" s="58"/>
      <c r="T20" s="68" t="str">
        <f aca="false">IF(LEFT(S20,1)="9","Celular",IF(S20="","","Fixo"))</f>
        <v/>
      </c>
      <c r="U20" s="58" t="str">
        <f aca="false">IF( T20&lt;&gt;"",VLOOKUP(T20,Selects!$M$4:$N$1000,2,0),"")</f>
        <v/>
      </c>
      <c r="V20" s="26"/>
      <c r="W20" s="58"/>
      <c r="X20" s="58"/>
      <c r="Y20" s="58"/>
      <c r="Z20" s="58"/>
      <c r="AA20" s="69"/>
      <c r="AB20" s="58"/>
      <c r="AC20" s="58"/>
      <c r="AD20" s="70" t="str">
        <f aca="false">IF(AC20&lt;&gt;"",VLOOKUP(AC20,Selects!$B$4:$C$100,2,0),"")</f>
        <v/>
      </c>
      <c r="AE20" s="26"/>
      <c r="AF20" s="58"/>
      <c r="AG20" s="59"/>
      <c r="AH20" s="65"/>
      <c r="AI20" s="66"/>
      <c r="AJ20" s="66"/>
      <c r="AK20" s="58"/>
      <c r="AL20" s="58"/>
      <c r="AM20" s="68" t="str">
        <f aca="false">IF(LEFT(AL20,1)="9","Celular",IF(AL20="","","Fixo"))</f>
        <v/>
      </c>
      <c r="AN20" s="58" t="str">
        <f aca="false">IF( AM20&lt;&gt;"",VLOOKUP(AM20,Selects!$M$4:$N$1000,2,0),"")</f>
        <v/>
      </c>
      <c r="AO20" s="58"/>
      <c r="AP20" s="59"/>
      <c r="AQ20" s="65"/>
      <c r="AR20" s="58"/>
      <c r="AS20" s="58"/>
      <c r="AT20" s="26"/>
      <c r="AU20" s="58"/>
      <c r="AV20" s="58"/>
      <c r="AW20" s="58"/>
      <c r="AX20" s="58"/>
      <c r="AY20" s="71"/>
      <c r="AZ20" s="58"/>
      <c r="BA20" s="58"/>
      <c r="BB20" s="72" t="str">
        <f aca="false">IF(BA20&lt;&gt;"",VLOOKUP(BA20,Selects!$B$4:$C$100,2,0),"")</f>
        <v/>
      </c>
      <c r="BC20" s="26"/>
      <c r="BD20" s="26"/>
      <c r="BE20" s="73"/>
      <c r="BF20" s="74"/>
      <c r="BG20" s="75" t="str">
        <f aca="false">IF(LEN(BF20)=11,"PF",IF(LEN(BF20)=14,"PJ",""))</f>
        <v/>
      </c>
      <c r="BH20" s="66"/>
      <c r="BI20" s="58" t="str">
        <f aca="false">IF(BH20&lt;&gt;"",VLOOKUP(BH20,Selects!$G:$H,2,0),"")</f>
        <v/>
      </c>
      <c r="BJ20" s="58"/>
      <c r="BK20" s="58"/>
      <c r="BL20" s="59"/>
      <c r="BM20" s="58"/>
      <c r="BN20" s="58"/>
      <c r="BO20" s="58" t="str">
        <f aca="false">IF(BN20&lt;&gt;"",VLOOKUP(BN20,Selects!$J$4:$K$1000,2,0),"")</f>
        <v/>
      </c>
      <c r="BP20" s="76"/>
      <c r="BQ20" s="59"/>
      <c r="BR20" s="77"/>
      <c r="BS20" s="59"/>
      <c r="BT20" s="77"/>
      <c r="BU20" s="58"/>
      <c r="BV20" s="58"/>
      <c r="BW20" s="58"/>
      <c r="BX20" s="58"/>
      <c r="BY20" s="58"/>
      <c r="BZ20" s="58"/>
      <c r="CA20" s="58"/>
      <c r="CB20" s="72" t="str">
        <f aca="false">IF(AC20&lt;&gt;"",VLOOKUP(AC20,Selects!$B:$E,4,0),"")</f>
        <v/>
      </c>
      <c r="CC20" s="58"/>
      <c r="CD20" s="58"/>
      <c r="CE20" s="58"/>
    </row>
    <row r="21" customFormat="false" ht="15.75" hidden="false" customHeight="true" outlineLevel="0" collapsed="false">
      <c r="A21" s="17"/>
      <c r="B21" s="58"/>
      <c r="C21" s="58"/>
      <c r="D21" s="59"/>
      <c r="E21" s="60" t="str">
        <f aca="false">IF(LEN(D21)=11,"PF",IF(LEN(D21)=14,"PJ",""))</f>
        <v/>
      </c>
      <c r="F21" s="59"/>
      <c r="G21" s="59"/>
      <c r="H21" s="61" t="str">
        <f aca="false">IF(G21&lt;&gt;"",VLOOKUP(G21,'Cnae  mcc  id'!$A:$M,9,0),"")</f>
        <v/>
      </c>
      <c r="I21" s="62"/>
      <c r="J21" s="63" t="str">
        <f aca="false">IF(I21&lt;&gt;"",VLOOKUP(I21,'Legal Nature'!$E$2:$G$84,3,0),"")</f>
        <v/>
      </c>
      <c r="K21" s="64"/>
      <c r="L21" s="65"/>
      <c r="M21" s="66"/>
      <c r="N21" s="66"/>
      <c r="O21" s="79"/>
      <c r="P21" s="26"/>
      <c r="Q21" s="58"/>
      <c r="R21" s="58"/>
      <c r="S21" s="58"/>
      <c r="T21" s="68" t="str">
        <f aca="false">IF(LEFT(S21,1)="9","Celular",IF(S21="","","Fixo"))</f>
        <v/>
      </c>
      <c r="U21" s="58" t="str">
        <f aca="false">IF( T21&lt;&gt;"",VLOOKUP(T21,Selects!$M$4:$N$1000,2,0),"")</f>
        <v/>
      </c>
      <c r="V21" s="26"/>
      <c r="W21" s="58"/>
      <c r="X21" s="58"/>
      <c r="Y21" s="58"/>
      <c r="Z21" s="58"/>
      <c r="AA21" s="69"/>
      <c r="AB21" s="58"/>
      <c r="AC21" s="58"/>
      <c r="AD21" s="70" t="str">
        <f aca="false">IF(AC21&lt;&gt;"",VLOOKUP(AC21,Selects!$B$4:$C$100,2,0),"")</f>
        <v/>
      </c>
      <c r="AE21" s="26"/>
      <c r="AF21" s="58"/>
      <c r="AG21" s="59"/>
      <c r="AH21" s="65"/>
      <c r="AI21" s="66"/>
      <c r="AJ21" s="66"/>
      <c r="AK21" s="58"/>
      <c r="AL21" s="58"/>
      <c r="AM21" s="68" t="str">
        <f aca="false">IF(LEFT(AL21,1)="9","Celular",IF(AL21="","","Fixo"))</f>
        <v/>
      </c>
      <c r="AN21" s="58" t="str">
        <f aca="false">IF( AM21&lt;&gt;"",VLOOKUP(AM21,Selects!$M$4:$N$1000,2,0),"")</f>
        <v/>
      </c>
      <c r="AO21" s="58"/>
      <c r="AP21" s="59"/>
      <c r="AQ21" s="65"/>
      <c r="AR21" s="58"/>
      <c r="AS21" s="58"/>
      <c r="AT21" s="26"/>
      <c r="AU21" s="58"/>
      <c r="AV21" s="58"/>
      <c r="AW21" s="58"/>
      <c r="AX21" s="58"/>
      <c r="AY21" s="71"/>
      <c r="AZ21" s="58"/>
      <c r="BA21" s="58"/>
      <c r="BB21" s="72" t="str">
        <f aca="false">IF(BA21&lt;&gt;"",VLOOKUP(BA21,Selects!$B$4:$C$100,2,0),"")</f>
        <v/>
      </c>
      <c r="BC21" s="26"/>
      <c r="BD21" s="26"/>
      <c r="BE21" s="73"/>
      <c r="BF21" s="74"/>
      <c r="BG21" s="75" t="str">
        <f aca="false">IF(LEN(BF21)=11,"PF",IF(LEN(BF21)=14,"PJ",""))</f>
        <v/>
      </c>
      <c r="BH21" s="66"/>
      <c r="BI21" s="58" t="str">
        <f aca="false">IF(BH21&lt;&gt;"",VLOOKUP(BH21,Selects!$G:$H,2,0),"")</f>
        <v/>
      </c>
      <c r="BJ21" s="58"/>
      <c r="BK21" s="58"/>
      <c r="BL21" s="59"/>
      <c r="BM21" s="58"/>
      <c r="BN21" s="58"/>
      <c r="BO21" s="58" t="str">
        <f aca="false">IF(BN21&lt;&gt;"",VLOOKUP(BN21,Selects!$J$4:$K$1000,2,0),"")</f>
        <v/>
      </c>
      <c r="BP21" s="76"/>
      <c r="BQ21" s="59"/>
      <c r="BR21" s="77"/>
      <c r="BS21" s="59"/>
      <c r="BT21" s="77"/>
      <c r="BU21" s="58"/>
      <c r="BV21" s="58"/>
      <c r="BW21" s="58"/>
      <c r="BX21" s="58"/>
      <c r="BY21" s="58"/>
      <c r="BZ21" s="58"/>
      <c r="CA21" s="58"/>
      <c r="CB21" s="72" t="str">
        <f aca="false">IF(AC21&lt;&gt;"",VLOOKUP(AC21,Selects!$B:$E,4,0),"")</f>
        <v/>
      </c>
      <c r="CC21" s="58"/>
      <c r="CD21" s="58"/>
      <c r="CE21" s="58"/>
    </row>
    <row r="22" customFormat="false" ht="15.75" hidden="false" customHeight="true" outlineLevel="0" collapsed="false">
      <c r="A22" s="17"/>
      <c r="B22" s="58"/>
      <c r="C22" s="58"/>
      <c r="D22" s="59"/>
      <c r="E22" s="60" t="str">
        <f aca="false">IF(LEN(D22)=11,"PF",IF(LEN(D22)=14,"PJ",""))</f>
        <v/>
      </c>
      <c r="F22" s="59"/>
      <c r="G22" s="59"/>
      <c r="H22" s="61" t="str">
        <f aca="false">IF(G22&lt;&gt;"",VLOOKUP(G22,'Cnae  mcc  id'!$A:$M,9,0),"")</f>
        <v/>
      </c>
      <c r="I22" s="62"/>
      <c r="J22" s="63" t="str">
        <f aca="false">IF(I22&lt;&gt;"",VLOOKUP(I22,'Legal Nature'!$E$2:$G$84,3,0),"")</f>
        <v/>
      </c>
      <c r="K22" s="64"/>
      <c r="L22" s="65"/>
      <c r="M22" s="66"/>
      <c r="N22" s="66"/>
      <c r="O22" s="79"/>
      <c r="P22" s="26"/>
      <c r="Q22" s="58"/>
      <c r="R22" s="58"/>
      <c r="S22" s="58"/>
      <c r="T22" s="68" t="str">
        <f aca="false">IF(LEFT(S22,1)="9","Celular",IF(S22="","","Fixo"))</f>
        <v/>
      </c>
      <c r="U22" s="58" t="str">
        <f aca="false">IF( T22&lt;&gt;"",VLOOKUP(T22,Selects!$M$4:$N$1000,2,0),"")</f>
        <v/>
      </c>
      <c r="V22" s="26"/>
      <c r="W22" s="58"/>
      <c r="X22" s="58"/>
      <c r="Y22" s="58"/>
      <c r="Z22" s="58"/>
      <c r="AA22" s="69"/>
      <c r="AB22" s="58"/>
      <c r="AC22" s="58"/>
      <c r="AD22" s="70" t="str">
        <f aca="false">IF(AC22&lt;&gt;"",VLOOKUP(AC22,Selects!$B$4:$C$100,2,0),"")</f>
        <v/>
      </c>
      <c r="AE22" s="26"/>
      <c r="AF22" s="58"/>
      <c r="AG22" s="59"/>
      <c r="AH22" s="65"/>
      <c r="AI22" s="66"/>
      <c r="AJ22" s="66"/>
      <c r="AK22" s="58"/>
      <c r="AL22" s="58"/>
      <c r="AM22" s="68" t="str">
        <f aca="false">IF(LEFT(AL22,1)="9","Celular",IF(AL22="","","Fixo"))</f>
        <v/>
      </c>
      <c r="AN22" s="58" t="str">
        <f aca="false">IF( AM22&lt;&gt;"",VLOOKUP(AM22,Selects!$M$4:$N$1000,2,0),"")</f>
        <v/>
      </c>
      <c r="AO22" s="58"/>
      <c r="AP22" s="59"/>
      <c r="AQ22" s="65"/>
      <c r="AR22" s="58"/>
      <c r="AS22" s="58"/>
      <c r="AT22" s="26"/>
      <c r="AU22" s="58"/>
      <c r="AV22" s="58"/>
      <c r="AW22" s="58"/>
      <c r="AX22" s="58"/>
      <c r="AY22" s="71"/>
      <c r="AZ22" s="58"/>
      <c r="BA22" s="58"/>
      <c r="BB22" s="72" t="str">
        <f aca="false">IF(BA22&lt;&gt;"",VLOOKUP(BA22,Selects!$B$4:$C$100,2,0),"")</f>
        <v/>
      </c>
      <c r="BC22" s="26"/>
      <c r="BD22" s="26"/>
      <c r="BE22" s="73"/>
      <c r="BF22" s="74"/>
      <c r="BG22" s="75" t="str">
        <f aca="false">IF(LEN(BF22)=11,"PF",IF(LEN(BF22)=14,"PJ",""))</f>
        <v/>
      </c>
      <c r="BH22" s="66"/>
      <c r="BI22" s="58" t="str">
        <f aca="false">IF(BH22&lt;&gt;"",VLOOKUP(BH22,Selects!$G:$H,2,0),"")</f>
        <v/>
      </c>
      <c r="BJ22" s="58"/>
      <c r="BK22" s="58"/>
      <c r="BL22" s="59"/>
      <c r="BM22" s="58"/>
      <c r="BN22" s="58"/>
      <c r="BO22" s="58" t="str">
        <f aca="false">IF(BN22&lt;&gt;"",VLOOKUP(BN22,Selects!$J$4:$K$1000,2,0),"")</f>
        <v/>
      </c>
      <c r="BP22" s="76"/>
      <c r="BQ22" s="59"/>
      <c r="BR22" s="77"/>
      <c r="BS22" s="59"/>
      <c r="BT22" s="77"/>
      <c r="BU22" s="58"/>
      <c r="BV22" s="58"/>
      <c r="BW22" s="58"/>
      <c r="BX22" s="58"/>
      <c r="BY22" s="58"/>
      <c r="BZ22" s="58"/>
      <c r="CA22" s="58"/>
      <c r="CB22" s="72" t="str">
        <f aca="false">IF(AC22&lt;&gt;"",VLOOKUP(AC22,Selects!$B:$E,4,0),"")</f>
        <v/>
      </c>
      <c r="CC22" s="58"/>
      <c r="CD22" s="58"/>
      <c r="CE22" s="58"/>
    </row>
    <row r="23" customFormat="false" ht="15.75" hidden="false" customHeight="true" outlineLevel="0" collapsed="false">
      <c r="A23" s="17"/>
      <c r="B23" s="58"/>
      <c r="C23" s="58"/>
      <c r="D23" s="59"/>
      <c r="E23" s="60" t="str">
        <f aca="false">IF(LEN(D23)=11,"PF",IF(LEN(D23)=14,"PJ",""))</f>
        <v/>
      </c>
      <c r="F23" s="59"/>
      <c r="G23" s="59"/>
      <c r="H23" s="61" t="str">
        <f aca="false">IF(G23&lt;&gt;"",VLOOKUP(G23,'Cnae  mcc  id'!$A:$M,9,0),"")</f>
        <v/>
      </c>
      <c r="I23" s="62"/>
      <c r="J23" s="63" t="str">
        <f aca="false">IF(I23&lt;&gt;"",VLOOKUP(I23,'Legal Nature'!$E$2:$G$84,3,0),"")</f>
        <v/>
      </c>
      <c r="K23" s="64"/>
      <c r="L23" s="65"/>
      <c r="M23" s="66"/>
      <c r="N23" s="66"/>
      <c r="O23" s="79"/>
      <c r="P23" s="26"/>
      <c r="Q23" s="58"/>
      <c r="R23" s="58"/>
      <c r="S23" s="58"/>
      <c r="T23" s="68" t="str">
        <f aca="false">IF(LEFT(S23,1)="9","Celular",IF(S23="","","Fixo"))</f>
        <v/>
      </c>
      <c r="U23" s="58" t="str">
        <f aca="false">IF( T23&lt;&gt;"",VLOOKUP(T23,Selects!$M$4:$N$1000,2,0),"")</f>
        <v/>
      </c>
      <c r="V23" s="26"/>
      <c r="W23" s="58"/>
      <c r="X23" s="58"/>
      <c r="Y23" s="58"/>
      <c r="Z23" s="58"/>
      <c r="AA23" s="69"/>
      <c r="AB23" s="58"/>
      <c r="AC23" s="58"/>
      <c r="AD23" s="70" t="str">
        <f aca="false">IF(AC23&lt;&gt;"",VLOOKUP(AC23,Selects!$B$4:$C$100,2,0),"")</f>
        <v/>
      </c>
      <c r="AE23" s="26"/>
      <c r="AF23" s="58"/>
      <c r="AG23" s="59"/>
      <c r="AH23" s="65"/>
      <c r="AI23" s="66"/>
      <c r="AJ23" s="66"/>
      <c r="AK23" s="58"/>
      <c r="AL23" s="58"/>
      <c r="AM23" s="68" t="str">
        <f aca="false">IF(LEFT(AL23,1)="9","Celular",IF(AL23="","","Fixo"))</f>
        <v/>
      </c>
      <c r="AN23" s="58" t="str">
        <f aca="false">IF( AM23&lt;&gt;"",VLOOKUP(AM23,Selects!$M$4:$N$1000,2,0),"")</f>
        <v/>
      </c>
      <c r="AO23" s="58"/>
      <c r="AP23" s="59"/>
      <c r="AQ23" s="65"/>
      <c r="AR23" s="58"/>
      <c r="AS23" s="58"/>
      <c r="AT23" s="26"/>
      <c r="AU23" s="58"/>
      <c r="AV23" s="58"/>
      <c r="AW23" s="58"/>
      <c r="AX23" s="58"/>
      <c r="AY23" s="71"/>
      <c r="AZ23" s="58"/>
      <c r="BA23" s="58"/>
      <c r="BB23" s="72" t="str">
        <f aca="false">IF(BA23&lt;&gt;"",VLOOKUP(BA23,Selects!$B$4:$C$100,2,0),"")</f>
        <v/>
      </c>
      <c r="BC23" s="26"/>
      <c r="BD23" s="26"/>
      <c r="BE23" s="73"/>
      <c r="BF23" s="74"/>
      <c r="BG23" s="75" t="str">
        <f aca="false">IF(LEN(BF23)=11,"PF",IF(LEN(BF23)=14,"PJ",""))</f>
        <v/>
      </c>
      <c r="BH23" s="66"/>
      <c r="BI23" s="58" t="str">
        <f aca="false">IF(BH23&lt;&gt;"",VLOOKUP(BH23,Selects!$G:$H,2,0),"")</f>
        <v/>
      </c>
      <c r="BJ23" s="58"/>
      <c r="BK23" s="58"/>
      <c r="BL23" s="59"/>
      <c r="BM23" s="58"/>
      <c r="BN23" s="58"/>
      <c r="BO23" s="58" t="str">
        <f aca="false">IF(BN23&lt;&gt;"",VLOOKUP(BN23,Selects!$J$4:$K$1000,2,0),"")</f>
        <v/>
      </c>
      <c r="BP23" s="76"/>
      <c r="BQ23" s="59"/>
      <c r="BR23" s="77"/>
      <c r="BS23" s="59"/>
      <c r="BT23" s="77"/>
      <c r="BU23" s="58"/>
      <c r="BV23" s="58"/>
      <c r="BW23" s="58"/>
      <c r="BX23" s="58"/>
      <c r="BY23" s="58"/>
      <c r="BZ23" s="58"/>
      <c r="CA23" s="58"/>
      <c r="CB23" s="72" t="str">
        <f aca="false">IF(AC23&lt;&gt;"",VLOOKUP(AC23,Selects!$B:$E,4,0),"")</f>
        <v/>
      </c>
      <c r="CC23" s="58"/>
      <c r="CD23" s="58"/>
      <c r="CE23" s="58"/>
    </row>
    <row r="24" customFormat="false" ht="15.75" hidden="false" customHeight="true" outlineLevel="0" collapsed="false">
      <c r="A24" s="17"/>
      <c r="B24" s="58"/>
      <c r="C24" s="58"/>
      <c r="D24" s="59"/>
      <c r="E24" s="60" t="str">
        <f aca="false">IF(LEN(D24)=11,"PF",IF(LEN(D24)=14,"PJ",""))</f>
        <v/>
      </c>
      <c r="F24" s="59"/>
      <c r="G24" s="59"/>
      <c r="H24" s="61" t="str">
        <f aca="false">IF(G24&lt;&gt;"",VLOOKUP(G24,'Cnae  mcc  id'!$A:$M,9,0),"")</f>
        <v/>
      </c>
      <c r="I24" s="62"/>
      <c r="J24" s="63" t="str">
        <f aca="false">IF(I24&lt;&gt;"",VLOOKUP(I24,'Legal Nature'!$E$2:$G$84,3,0),"")</f>
        <v/>
      </c>
      <c r="K24" s="64"/>
      <c r="L24" s="65"/>
      <c r="M24" s="66"/>
      <c r="N24" s="66"/>
      <c r="O24" s="79"/>
      <c r="P24" s="26"/>
      <c r="Q24" s="58"/>
      <c r="R24" s="58"/>
      <c r="S24" s="58"/>
      <c r="T24" s="68" t="str">
        <f aca="false">IF(LEFT(S24,1)="9","Celular",IF(S24="","","Fixo"))</f>
        <v/>
      </c>
      <c r="U24" s="58" t="str">
        <f aca="false">IF( T24&lt;&gt;"",VLOOKUP(T24,Selects!$M$4:$N$1000,2,0),"")</f>
        <v/>
      </c>
      <c r="V24" s="26"/>
      <c r="W24" s="58"/>
      <c r="X24" s="58"/>
      <c r="Y24" s="58"/>
      <c r="Z24" s="58"/>
      <c r="AA24" s="69"/>
      <c r="AB24" s="58"/>
      <c r="AC24" s="58"/>
      <c r="AD24" s="70" t="str">
        <f aca="false">IF(AC24&lt;&gt;"",VLOOKUP(AC24,Selects!$B$4:$C$100,2,0),"")</f>
        <v/>
      </c>
      <c r="AE24" s="26"/>
      <c r="AF24" s="58"/>
      <c r="AG24" s="59"/>
      <c r="AH24" s="65"/>
      <c r="AI24" s="66"/>
      <c r="AJ24" s="66"/>
      <c r="AK24" s="58"/>
      <c r="AL24" s="58"/>
      <c r="AM24" s="68" t="str">
        <f aca="false">IF(LEFT(AL24,1)="9","Celular",IF(AL24="","","Fixo"))</f>
        <v/>
      </c>
      <c r="AN24" s="58" t="str">
        <f aca="false">IF( AM24&lt;&gt;"",VLOOKUP(AM24,Selects!$M$4:$N$1000,2,0),"")</f>
        <v/>
      </c>
      <c r="AO24" s="58"/>
      <c r="AP24" s="59"/>
      <c r="AQ24" s="65"/>
      <c r="AR24" s="58"/>
      <c r="AS24" s="58"/>
      <c r="AT24" s="26"/>
      <c r="AU24" s="58"/>
      <c r="AV24" s="58"/>
      <c r="AW24" s="58"/>
      <c r="AX24" s="58"/>
      <c r="AY24" s="71"/>
      <c r="AZ24" s="58"/>
      <c r="BA24" s="58"/>
      <c r="BB24" s="72" t="str">
        <f aca="false">IF(BA24&lt;&gt;"",VLOOKUP(BA24,Selects!$B$4:$C$100,2,0),"")</f>
        <v/>
      </c>
      <c r="BC24" s="26"/>
      <c r="BD24" s="26"/>
      <c r="BE24" s="73"/>
      <c r="BF24" s="74"/>
      <c r="BG24" s="75" t="str">
        <f aca="false">IF(LEN(BF24)=11,"PF",IF(LEN(BF24)=14,"PJ",""))</f>
        <v/>
      </c>
      <c r="BH24" s="66"/>
      <c r="BI24" s="58" t="str">
        <f aca="false">IF(BH24&lt;&gt;"",VLOOKUP(BH24,Selects!$G:$H,2,0),"")</f>
        <v/>
      </c>
      <c r="BJ24" s="58"/>
      <c r="BK24" s="58"/>
      <c r="BL24" s="59"/>
      <c r="BM24" s="58"/>
      <c r="BN24" s="58"/>
      <c r="BO24" s="58" t="str">
        <f aca="false">IF(BN24&lt;&gt;"",VLOOKUP(BN24,Selects!$J$4:$K$1000,2,0),"")</f>
        <v/>
      </c>
      <c r="BP24" s="76"/>
      <c r="BQ24" s="59"/>
      <c r="BR24" s="77"/>
      <c r="BS24" s="59"/>
      <c r="BT24" s="77"/>
      <c r="BU24" s="58"/>
      <c r="BV24" s="58"/>
      <c r="BW24" s="58"/>
      <c r="BX24" s="58"/>
      <c r="BY24" s="58"/>
      <c r="BZ24" s="58"/>
      <c r="CA24" s="58"/>
      <c r="CB24" s="72" t="str">
        <f aca="false">IF(AC24&lt;&gt;"",VLOOKUP(AC24,Selects!$B:$E,4,0),"")</f>
        <v/>
      </c>
      <c r="CC24" s="58"/>
      <c r="CD24" s="58"/>
      <c r="CE24" s="58"/>
    </row>
    <row r="25" customFormat="false" ht="15.75" hidden="false" customHeight="true" outlineLevel="0" collapsed="false">
      <c r="A25" s="17"/>
      <c r="B25" s="58"/>
      <c r="C25" s="58"/>
      <c r="D25" s="59"/>
      <c r="E25" s="60" t="str">
        <f aca="false">IF(LEN(D25)=11,"PF",IF(LEN(D25)=14,"PJ",""))</f>
        <v/>
      </c>
      <c r="F25" s="59"/>
      <c r="G25" s="59"/>
      <c r="H25" s="61" t="str">
        <f aca="false">IF(G25&lt;&gt;"",VLOOKUP(G25,'Cnae  mcc  id'!$A:$M,9,0),"")</f>
        <v/>
      </c>
      <c r="I25" s="62"/>
      <c r="J25" s="63" t="str">
        <f aca="false">IF(I25&lt;&gt;"",VLOOKUP(I25,'Legal Nature'!$E$2:$G$84,3,0),"")</f>
        <v/>
      </c>
      <c r="K25" s="64"/>
      <c r="L25" s="65"/>
      <c r="M25" s="66"/>
      <c r="N25" s="66"/>
      <c r="O25" s="79"/>
      <c r="P25" s="26"/>
      <c r="Q25" s="58"/>
      <c r="R25" s="58"/>
      <c r="S25" s="58"/>
      <c r="T25" s="68" t="str">
        <f aca="false">IF(LEFT(S25,1)="9","Celular",IF(S25="","","Fixo"))</f>
        <v/>
      </c>
      <c r="U25" s="58" t="str">
        <f aca="false">IF( T25&lt;&gt;"",VLOOKUP(T25,Selects!$M$4:$N$1000,2,0),"")</f>
        <v/>
      </c>
      <c r="V25" s="26"/>
      <c r="W25" s="58"/>
      <c r="X25" s="58"/>
      <c r="Y25" s="58"/>
      <c r="Z25" s="58"/>
      <c r="AA25" s="69"/>
      <c r="AB25" s="58"/>
      <c r="AC25" s="58"/>
      <c r="AD25" s="70" t="str">
        <f aca="false">IF(AC25&lt;&gt;"",VLOOKUP(AC25,Selects!$B$4:$C$100,2,0),"")</f>
        <v/>
      </c>
      <c r="AE25" s="26"/>
      <c r="AF25" s="58"/>
      <c r="AG25" s="59"/>
      <c r="AH25" s="65"/>
      <c r="AI25" s="66"/>
      <c r="AJ25" s="66"/>
      <c r="AK25" s="58"/>
      <c r="AL25" s="58"/>
      <c r="AM25" s="68" t="str">
        <f aca="false">IF(LEFT(AL25,1)="9","Celular",IF(AL25="","","Fixo"))</f>
        <v/>
      </c>
      <c r="AN25" s="58" t="str">
        <f aca="false">IF( AM25&lt;&gt;"",VLOOKUP(AM25,Selects!$M$4:$N$1000,2,0),"")</f>
        <v/>
      </c>
      <c r="AO25" s="58"/>
      <c r="AP25" s="59"/>
      <c r="AQ25" s="65"/>
      <c r="AR25" s="58"/>
      <c r="AS25" s="58"/>
      <c r="AT25" s="26"/>
      <c r="AU25" s="58"/>
      <c r="AV25" s="58"/>
      <c r="AW25" s="58"/>
      <c r="AX25" s="58"/>
      <c r="AY25" s="71"/>
      <c r="AZ25" s="58"/>
      <c r="BA25" s="58"/>
      <c r="BB25" s="72" t="str">
        <f aca="false">IF(BA25&lt;&gt;"",VLOOKUP(BA25,Selects!$B$4:$C$100,2,0),"")</f>
        <v/>
      </c>
      <c r="BC25" s="26"/>
      <c r="BD25" s="26"/>
      <c r="BE25" s="73"/>
      <c r="BF25" s="74"/>
      <c r="BG25" s="75" t="str">
        <f aca="false">IF(LEN(BF25)=11,"PF",IF(LEN(BF25)=14,"PJ",""))</f>
        <v/>
      </c>
      <c r="BH25" s="66"/>
      <c r="BI25" s="58" t="str">
        <f aca="false">IF(BH25&lt;&gt;"",VLOOKUP(BH25,Selects!$G:$H,2,0),"")</f>
        <v/>
      </c>
      <c r="BJ25" s="58"/>
      <c r="BK25" s="58"/>
      <c r="BL25" s="59"/>
      <c r="BM25" s="58"/>
      <c r="BN25" s="58"/>
      <c r="BO25" s="58" t="str">
        <f aca="false">IF(BN25&lt;&gt;"",VLOOKUP(BN25,Selects!$J$4:$K$1000,2,0),"")</f>
        <v/>
      </c>
      <c r="BP25" s="76"/>
      <c r="BQ25" s="59"/>
      <c r="BR25" s="77"/>
      <c r="BS25" s="59"/>
      <c r="BT25" s="77"/>
      <c r="BU25" s="58"/>
      <c r="BV25" s="58"/>
      <c r="BW25" s="58"/>
      <c r="BX25" s="58"/>
      <c r="BY25" s="58"/>
      <c r="BZ25" s="58"/>
      <c r="CA25" s="58"/>
      <c r="CB25" s="72" t="str">
        <f aca="false">IF(AC25&lt;&gt;"",VLOOKUP(AC25,Selects!$B:$E,4,0),"")</f>
        <v/>
      </c>
      <c r="CC25" s="58"/>
      <c r="CD25" s="58"/>
      <c r="CE25" s="58"/>
    </row>
    <row r="26" customFormat="false" ht="15.75" hidden="false" customHeight="true" outlineLevel="0" collapsed="false">
      <c r="A26" s="17"/>
      <c r="B26" s="58"/>
      <c r="C26" s="58"/>
      <c r="D26" s="59"/>
      <c r="E26" s="60" t="str">
        <f aca="false">IF(LEN(D26)=11,"PF",IF(LEN(D26)=14,"PJ",""))</f>
        <v/>
      </c>
      <c r="F26" s="59"/>
      <c r="G26" s="59"/>
      <c r="H26" s="61" t="str">
        <f aca="false">IF(G26&lt;&gt;"",VLOOKUP(G26,'Cnae  mcc  id'!$A:$M,9,0),"")</f>
        <v/>
      </c>
      <c r="I26" s="62"/>
      <c r="J26" s="63" t="str">
        <f aca="false">IF(I26&lt;&gt;"",VLOOKUP(I26,'Legal Nature'!$E$2:$G$84,3,0),"")</f>
        <v/>
      </c>
      <c r="K26" s="64"/>
      <c r="L26" s="65"/>
      <c r="M26" s="66"/>
      <c r="N26" s="66"/>
      <c r="O26" s="79"/>
      <c r="P26" s="26"/>
      <c r="Q26" s="58"/>
      <c r="R26" s="58"/>
      <c r="S26" s="58"/>
      <c r="T26" s="68" t="str">
        <f aca="false">IF(LEFT(S26,1)="9","Celular",IF(S26="","","Fixo"))</f>
        <v/>
      </c>
      <c r="U26" s="58" t="str">
        <f aca="false">IF( T26&lt;&gt;"",VLOOKUP(T26,Selects!$M$4:$N$1000,2,0),"")</f>
        <v/>
      </c>
      <c r="V26" s="26"/>
      <c r="W26" s="58"/>
      <c r="X26" s="58"/>
      <c r="Y26" s="58"/>
      <c r="Z26" s="58"/>
      <c r="AA26" s="69"/>
      <c r="AB26" s="58"/>
      <c r="AC26" s="58"/>
      <c r="AD26" s="70" t="str">
        <f aca="false">IF(AC26&lt;&gt;"",VLOOKUP(AC26,Selects!$B$4:$C$100,2,0),"")</f>
        <v/>
      </c>
      <c r="AE26" s="26"/>
      <c r="AF26" s="58"/>
      <c r="AG26" s="59"/>
      <c r="AH26" s="65"/>
      <c r="AI26" s="66"/>
      <c r="AJ26" s="66"/>
      <c r="AK26" s="58"/>
      <c r="AL26" s="58"/>
      <c r="AM26" s="68" t="str">
        <f aca="false">IF(LEFT(AL26,1)="9","Celular",IF(AL26="","","Fixo"))</f>
        <v/>
      </c>
      <c r="AN26" s="58" t="str">
        <f aca="false">IF( AM26&lt;&gt;"",VLOOKUP(AM26,Selects!$M$4:$N$1000,2,0),"")</f>
        <v/>
      </c>
      <c r="AO26" s="58"/>
      <c r="AP26" s="59"/>
      <c r="AQ26" s="65"/>
      <c r="AR26" s="58"/>
      <c r="AS26" s="58"/>
      <c r="AT26" s="26"/>
      <c r="AU26" s="58"/>
      <c r="AV26" s="58"/>
      <c r="AW26" s="58"/>
      <c r="AX26" s="58"/>
      <c r="AY26" s="71"/>
      <c r="AZ26" s="58"/>
      <c r="BA26" s="58"/>
      <c r="BB26" s="72" t="str">
        <f aca="false">IF(BA26&lt;&gt;"",VLOOKUP(BA26,Selects!$B$4:$C$100,2,0),"")</f>
        <v/>
      </c>
      <c r="BC26" s="26"/>
      <c r="BD26" s="26"/>
      <c r="BE26" s="73"/>
      <c r="BF26" s="74"/>
      <c r="BG26" s="75" t="str">
        <f aca="false">IF(LEN(BF26)=11,"PF",IF(LEN(BF26)=14,"PJ",""))</f>
        <v/>
      </c>
      <c r="BH26" s="66"/>
      <c r="BI26" s="58" t="str">
        <f aca="false">IF(BH26&lt;&gt;"",VLOOKUP(BH26,Selects!$G:$H,2,0),"")</f>
        <v/>
      </c>
      <c r="BJ26" s="58"/>
      <c r="BK26" s="58"/>
      <c r="BL26" s="59"/>
      <c r="BM26" s="58"/>
      <c r="BN26" s="58"/>
      <c r="BO26" s="58" t="str">
        <f aca="false">IF(BN26&lt;&gt;"",VLOOKUP(BN26,Selects!$J$4:$K$1000,2,0),"")</f>
        <v/>
      </c>
      <c r="BP26" s="76"/>
      <c r="BQ26" s="59"/>
      <c r="BR26" s="77"/>
      <c r="BS26" s="59"/>
      <c r="BT26" s="77"/>
      <c r="BU26" s="58"/>
      <c r="BV26" s="58"/>
      <c r="BW26" s="58"/>
      <c r="BX26" s="58"/>
      <c r="BY26" s="58"/>
      <c r="BZ26" s="58"/>
      <c r="CA26" s="58"/>
      <c r="CB26" s="72" t="str">
        <f aca="false">IF(AC26&lt;&gt;"",VLOOKUP(AC26,Selects!$B:$E,4,0),"")</f>
        <v/>
      </c>
      <c r="CC26" s="58"/>
      <c r="CD26" s="58"/>
      <c r="CE26" s="58"/>
    </row>
    <row r="27" customFormat="false" ht="15.75" hidden="false" customHeight="true" outlineLevel="0" collapsed="false">
      <c r="A27" s="17"/>
      <c r="B27" s="58"/>
      <c r="C27" s="58"/>
      <c r="D27" s="59"/>
      <c r="E27" s="60" t="str">
        <f aca="false">IF(LEN(D27)=11,"PF",IF(LEN(D27)=14,"PJ",""))</f>
        <v/>
      </c>
      <c r="F27" s="59"/>
      <c r="G27" s="59"/>
      <c r="H27" s="61" t="str">
        <f aca="false">IF(G27&lt;&gt;"",VLOOKUP(G27,'Cnae  mcc  id'!$A:$M,9,0),"")</f>
        <v/>
      </c>
      <c r="I27" s="62"/>
      <c r="J27" s="63" t="str">
        <f aca="false">IF(I27&lt;&gt;"",VLOOKUP(I27,'Legal Nature'!$E$2:$G$84,3,0),"")</f>
        <v/>
      </c>
      <c r="K27" s="64"/>
      <c r="L27" s="65"/>
      <c r="M27" s="66"/>
      <c r="N27" s="66"/>
      <c r="O27" s="79"/>
      <c r="P27" s="26"/>
      <c r="Q27" s="58"/>
      <c r="R27" s="58"/>
      <c r="S27" s="58"/>
      <c r="T27" s="68" t="str">
        <f aca="false">IF(LEFT(S27,1)="9","Celular",IF(S27="","","Fixo"))</f>
        <v/>
      </c>
      <c r="U27" s="58" t="str">
        <f aca="false">IF( T27&lt;&gt;"",VLOOKUP(T27,Selects!$M$4:$N$1000,2,0),"")</f>
        <v/>
      </c>
      <c r="V27" s="26"/>
      <c r="W27" s="58"/>
      <c r="X27" s="58"/>
      <c r="Y27" s="58"/>
      <c r="Z27" s="58"/>
      <c r="AA27" s="69"/>
      <c r="AB27" s="58"/>
      <c r="AC27" s="58"/>
      <c r="AD27" s="70" t="str">
        <f aca="false">IF(AC27&lt;&gt;"",VLOOKUP(AC27,Selects!$B$4:$C$100,2,0),"")</f>
        <v/>
      </c>
      <c r="AE27" s="26"/>
      <c r="AF27" s="58"/>
      <c r="AG27" s="59"/>
      <c r="AH27" s="65"/>
      <c r="AI27" s="66"/>
      <c r="AJ27" s="66"/>
      <c r="AK27" s="58"/>
      <c r="AL27" s="58"/>
      <c r="AM27" s="68" t="str">
        <f aca="false">IF(LEFT(AL27,1)="9","Celular",IF(AL27="","","Fixo"))</f>
        <v/>
      </c>
      <c r="AN27" s="58" t="str">
        <f aca="false">IF( AM27&lt;&gt;"",VLOOKUP(AM27,Selects!$M$4:$N$1000,2,0),"")</f>
        <v/>
      </c>
      <c r="AO27" s="58"/>
      <c r="AP27" s="59"/>
      <c r="AQ27" s="65"/>
      <c r="AR27" s="58"/>
      <c r="AS27" s="58"/>
      <c r="AT27" s="26"/>
      <c r="AU27" s="58"/>
      <c r="AV27" s="58"/>
      <c r="AW27" s="58"/>
      <c r="AX27" s="58"/>
      <c r="AY27" s="71"/>
      <c r="AZ27" s="58"/>
      <c r="BA27" s="58"/>
      <c r="BB27" s="72" t="str">
        <f aca="false">IF(BA27&lt;&gt;"",VLOOKUP(BA27,Selects!$B$4:$C$100,2,0),"")</f>
        <v/>
      </c>
      <c r="BC27" s="26"/>
      <c r="BD27" s="26"/>
      <c r="BE27" s="73"/>
      <c r="BF27" s="74"/>
      <c r="BG27" s="75" t="str">
        <f aca="false">IF(LEN(BF27)=11,"PF",IF(LEN(BF27)=14,"PJ",""))</f>
        <v/>
      </c>
      <c r="BH27" s="66"/>
      <c r="BI27" s="58" t="str">
        <f aca="false">IF(BH27&lt;&gt;"",VLOOKUP(BH27,Selects!$G:$H,2,0),"")</f>
        <v/>
      </c>
      <c r="BJ27" s="58"/>
      <c r="BK27" s="58"/>
      <c r="BL27" s="59"/>
      <c r="BM27" s="58"/>
      <c r="BN27" s="58"/>
      <c r="BO27" s="58" t="str">
        <f aca="false">IF(BN27&lt;&gt;"",VLOOKUP(BN27,Selects!$J$4:$K$1000,2,0),"")</f>
        <v/>
      </c>
      <c r="BP27" s="76"/>
      <c r="BQ27" s="59"/>
      <c r="BR27" s="77"/>
      <c r="BS27" s="59"/>
      <c r="BT27" s="77"/>
      <c r="BU27" s="58"/>
      <c r="BV27" s="58"/>
      <c r="BW27" s="58"/>
      <c r="BX27" s="58"/>
      <c r="BY27" s="58"/>
      <c r="BZ27" s="58"/>
      <c r="CA27" s="58"/>
      <c r="CB27" s="72" t="str">
        <f aca="false">IF(AC27&lt;&gt;"",VLOOKUP(AC27,Selects!$B:$E,4,0),"")</f>
        <v/>
      </c>
      <c r="CC27" s="58"/>
      <c r="CD27" s="58"/>
      <c r="CE27" s="58"/>
    </row>
    <row r="28" customFormat="false" ht="15.75" hidden="false" customHeight="true" outlineLevel="0" collapsed="false">
      <c r="A28" s="17"/>
      <c r="B28" s="58"/>
      <c r="C28" s="58"/>
      <c r="D28" s="59"/>
      <c r="E28" s="60" t="str">
        <f aca="false">IF(LEN(D28)=11,"PF",IF(LEN(D28)=14,"PJ",""))</f>
        <v/>
      </c>
      <c r="F28" s="59"/>
      <c r="G28" s="59"/>
      <c r="H28" s="61" t="str">
        <f aca="false">IF(G28&lt;&gt;"",VLOOKUP(G28,'Cnae  mcc  id'!$A:$M,9,0),"")</f>
        <v/>
      </c>
      <c r="I28" s="62"/>
      <c r="J28" s="63" t="str">
        <f aca="false">IF(I28&lt;&gt;"",VLOOKUP(I28,'Legal Nature'!$E$2:$G$84,3,0),"")</f>
        <v/>
      </c>
      <c r="K28" s="64"/>
      <c r="L28" s="65"/>
      <c r="M28" s="66"/>
      <c r="N28" s="66"/>
      <c r="O28" s="79"/>
      <c r="P28" s="26"/>
      <c r="Q28" s="58"/>
      <c r="R28" s="58"/>
      <c r="S28" s="58"/>
      <c r="T28" s="68" t="str">
        <f aca="false">IF(LEFT(S28,1)="9","Celular",IF(S28="","","Fixo"))</f>
        <v/>
      </c>
      <c r="U28" s="58" t="str">
        <f aca="false">IF( T28&lt;&gt;"",VLOOKUP(T28,Selects!$M$4:$N$1000,2,0),"")</f>
        <v/>
      </c>
      <c r="V28" s="26"/>
      <c r="W28" s="58"/>
      <c r="X28" s="58"/>
      <c r="Y28" s="58"/>
      <c r="Z28" s="58"/>
      <c r="AA28" s="69"/>
      <c r="AB28" s="58"/>
      <c r="AC28" s="58"/>
      <c r="AD28" s="70" t="str">
        <f aca="false">IF(AC28&lt;&gt;"",VLOOKUP(AC28,Selects!$B$4:$C$100,2,0),"")</f>
        <v/>
      </c>
      <c r="AE28" s="26"/>
      <c r="AF28" s="58"/>
      <c r="AG28" s="59"/>
      <c r="AH28" s="65"/>
      <c r="AI28" s="66"/>
      <c r="AJ28" s="66"/>
      <c r="AK28" s="58"/>
      <c r="AL28" s="58"/>
      <c r="AM28" s="68" t="str">
        <f aca="false">IF(LEFT(AL28,1)="9","Celular",IF(AL28="","","Fixo"))</f>
        <v/>
      </c>
      <c r="AN28" s="58" t="str">
        <f aca="false">IF( AM28&lt;&gt;"",VLOOKUP(AM28,Selects!$M$4:$N$1000,2,0),"")</f>
        <v/>
      </c>
      <c r="AO28" s="58"/>
      <c r="AP28" s="59"/>
      <c r="AQ28" s="65"/>
      <c r="AR28" s="58"/>
      <c r="AS28" s="58"/>
      <c r="AT28" s="26"/>
      <c r="AU28" s="58"/>
      <c r="AV28" s="58"/>
      <c r="AW28" s="58"/>
      <c r="AX28" s="58"/>
      <c r="AY28" s="71"/>
      <c r="AZ28" s="58"/>
      <c r="BA28" s="58"/>
      <c r="BB28" s="72" t="str">
        <f aca="false">IF(BA28&lt;&gt;"",VLOOKUP(BA28,Selects!$B$4:$C$100,2,0),"")</f>
        <v/>
      </c>
      <c r="BC28" s="26"/>
      <c r="BD28" s="26"/>
      <c r="BE28" s="73"/>
      <c r="BF28" s="74"/>
      <c r="BG28" s="75" t="str">
        <f aca="false">IF(LEN(BF28)=11,"PF",IF(LEN(BF28)=14,"PJ",""))</f>
        <v/>
      </c>
      <c r="BH28" s="66"/>
      <c r="BI28" s="58" t="str">
        <f aca="false">IF(BH28&lt;&gt;"",VLOOKUP(BH28,Selects!$G:$H,2,0),"")</f>
        <v/>
      </c>
      <c r="BJ28" s="58"/>
      <c r="BK28" s="58"/>
      <c r="BL28" s="59"/>
      <c r="BM28" s="58"/>
      <c r="BN28" s="58"/>
      <c r="BO28" s="58" t="str">
        <f aca="false">IF(BN28&lt;&gt;"",VLOOKUP(BN28,Selects!$J$4:$K$1000,2,0),"")</f>
        <v/>
      </c>
      <c r="BP28" s="76"/>
      <c r="BQ28" s="59"/>
      <c r="BR28" s="77"/>
      <c r="BS28" s="59"/>
      <c r="BT28" s="77"/>
      <c r="BU28" s="58"/>
      <c r="BV28" s="58"/>
      <c r="BW28" s="58"/>
      <c r="BX28" s="58"/>
      <c r="BY28" s="58"/>
      <c r="BZ28" s="58"/>
      <c r="CA28" s="58"/>
      <c r="CB28" s="72" t="str">
        <f aca="false">IF(AC28&lt;&gt;"",VLOOKUP(AC28,Selects!$B:$E,4,0),"")</f>
        <v/>
      </c>
      <c r="CC28" s="58"/>
      <c r="CD28" s="58"/>
      <c r="CE28" s="58"/>
    </row>
    <row r="29" customFormat="false" ht="15.75" hidden="false" customHeight="true" outlineLevel="0" collapsed="false">
      <c r="A29" s="17"/>
      <c r="B29" s="58"/>
      <c r="C29" s="58"/>
      <c r="D29" s="59"/>
      <c r="E29" s="60" t="str">
        <f aca="false">IF(LEN(D29)=11,"PF",IF(LEN(D29)=14,"PJ",""))</f>
        <v/>
      </c>
      <c r="F29" s="59"/>
      <c r="G29" s="59"/>
      <c r="H29" s="61" t="str">
        <f aca="false">IF(G29&lt;&gt;"",VLOOKUP(G29,'Cnae  mcc  id'!$A:$M,9,0),"")</f>
        <v/>
      </c>
      <c r="I29" s="62"/>
      <c r="J29" s="63" t="str">
        <f aca="false">IF(I29&lt;&gt;"",VLOOKUP(I29,'Legal Nature'!$E$2:$G$84,3,0),"")</f>
        <v/>
      </c>
      <c r="K29" s="64"/>
      <c r="L29" s="65"/>
      <c r="M29" s="66"/>
      <c r="N29" s="66"/>
      <c r="O29" s="79"/>
      <c r="P29" s="26"/>
      <c r="Q29" s="58"/>
      <c r="R29" s="58"/>
      <c r="S29" s="58"/>
      <c r="T29" s="68" t="str">
        <f aca="false">IF(LEFT(S29,1)="9","Celular",IF(S29="","","Fixo"))</f>
        <v/>
      </c>
      <c r="U29" s="58" t="str">
        <f aca="false">IF( T29&lt;&gt;"",VLOOKUP(T29,Selects!$M$4:$N$1000,2,0),"")</f>
        <v/>
      </c>
      <c r="V29" s="26"/>
      <c r="W29" s="58"/>
      <c r="X29" s="58"/>
      <c r="Y29" s="58"/>
      <c r="Z29" s="58"/>
      <c r="AA29" s="69"/>
      <c r="AB29" s="58"/>
      <c r="AC29" s="58"/>
      <c r="AD29" s="70" t="str">
        <f aca="false">IF(AC29&lt;&gt;"",VLOOKUP(AC29,Selects!$B$4:$C$100,2,0),"")</f>
        <v/>
      </c>
      <c r="AE29" s="26"/>
      <c r="AF29" s="58"/>
      <c r="AG29" s="59"/>
      <c r="AH29" s="65"/>
      <c r="AI29" s="66"/>
      <c r="AJ29" s="66"/>
      <c r="AK29" s="58"/>
      <c r="AL29" s="58"/>
      <c r="AM29" s="68" t="str">
        <f aca="false">IF(LEFT(AL29,1)="9","Celular",IF(AL29="","","Fixo"))</f>
        <v/>
      </c>
      <c r="AN29" s="58" t="str">
        <f aca="false">IF( AM29&lt;&gt;"",VLOOKUP(AM29,Selects!$M$4:$N$1000,2,0),"")</f>
        <v/>
      </c>
      <c r="AO29" s="58"/>
      <c r="AP29" s="59"/>
      <c r="AQ29" s="65"/>
      <c r="AR29" s="58"/>
      <c r="AS29" s="58"/>
      <c r="AT29" s="26"/>
      <c r="AU29" s="58"/>
      <c r="AV29" s="58"/>
      <c r="AW29" s="58"/>
      <c r="AX29" s="58"/>
      <c r="AY29" s="71"/>
      <c r="AZ29" s="58"/>
      <c r="BA29" s="58"/>
      <c r="BB29" s="72" t="str">
        <f aca="false">IF(BA29&lt;&gt;"",VLOOKUP(BA29,Selects!$B$4:$C$100,2,0),"")</f>
        <v/>
      </c>
      <c r="BC29" s="26"/>
      <c r="BD29" s="26"/>
      <c r="BE29" s="73"/>
      <c r="BF29" s="74"/>
      <c r="BG29" s="75" t="str">
        <f aca="false">IF(LEN(BF29)=11,"PF",IF(LEN(BF29)=14,"PJ",""))</f>
        <v/>
      </c>
      <c r="BH29" s="66"/>
      <c r="BI29" s="58" t="str">
        <f aca="false">IF(BH29&lt;&gt;"",VLOOKUP(BH29,Selects!$G:$H,2,0),"")</f>
        <v/>
      </c>
      <c r="BJ29" s="58"/>
      <c r="BK29" s="58"/>
      <c r="BL29" s="59"/>
      <c r="BM29" s="58"/>
      <c r="BN29" s="58"/>
      <c r="BO29" s="58" t="str">
        <f aca="false">IF(BN29&lt;&gt;"",VLOOKUP(BN29,Selects!$J$4:$K$1000,2,0),"")</f>
        <v/>
      </c>
      <c r="BP29" s="76"/>
      <c r="BQ29" s="59"/>
      <c r="BR29" s="77"/>
      <c r="BS29" s="59"/>
      <c r="BT29" s="77"/>
      <c r="BU29" s="58"/>
      <c r="BV29" s="58"/>
      <c r="BW29" s="58"/>
      <c r="BX29" s="58"/>
      <c r="BY29" s="58"/>
      <c r="BZ29" s="58"/>
      <c r="CA29" s="58"/>
      <c r="CB29" s="72" t="str">
        <f aca="false">IF(AC29&lt;&gt;"",VLOOKUP(AC29,Selects!$B:$E,4,0),"")</f>
        <v/>
      </c>
      <c r="CC29" s="58"/>
      <c r="CD29" s="58"/>
      <c r="CE29" s="58"/>
    </row>
    <row r="30" customFormat="false" ht="15.75" hidden="false" customHeight="true" outlineLevel="0" collapsed="false">
      <c r="A30" s="17"/>
      <c r="B30" s="58"/>
      <c r="C30" s="58"/>
      <c r="D30" s="59"/>
      <c r="E30" s="60" t="str">
        <f aca="false">IF(LEN(D30)=11,"PF",IF(LEN(D30)=14,"PJ",""))</f>
        <v/>
      </c>
      <c r="F30" s="59"/>
      <c r="G30" s="59"/>
      <c r="H30" s="61" t="str">
        <f aca="false">IF(G30&lt;&gt;"",VLOOKUP(G30,'Cnae  mcc  id'!$A:$M,9,0),"")</f>
        <v/>
      </c>
      <c r="I30" s="62"/>
      <c r="J30" s="63" t="str">
        <f aca="false">IF(I30&lt;&gt;"",VLOOKUP(I30,'Legal Nature'!$E$2:$G$84,3,0),"")</f>
        <v/>
      </c>
      <c r="K30" s="64"/>
      <c r="L30" s="65"/>
      <c r="M30" s="66"/>
      <c r="N30" s="66"/>
      <c r="O30" s="79"/>
      <c r="P30" s="26"/>
      <c r="Q30" s="58"/>
      <c r="R30" s="58"/>
      <c r="S30" s="58"/>
      <c r="T30" s="68" t="str">
        <f aca="false">IF(LEFT(S30,1)="9","Celular",IF(S30="","","Fixo"))</f>
        <v/>
      </c>
      <c r="U30" s="58" t="str">
        <f aca="false">IF( T30&lt;&gt;"",VLOOKUP(T30,Selects!$M$4:$N$1000,2,0),"")</f>
        <v/>
      </c>
      <c r="V30" s="26"/>
      <c r="W30" s="58"/>
      <c r="X30" s="58"/>
      <c r="Y30" s="58"/>
      <c r="Z30" s="58"/>
      <c r="AA30" s="69"/>
      <c r="AB30" s="58"/>
      <c r="AC30" s="58"/>
      <c r="AD30" s="70" t="str">
        <f aca="false">IF(AC30&lt;&gt;"",VLOOKUP(AC30,Selects!$B$4:$C$100,2,0),"")</f>
        <v/>
      </c>
      <c r="AE30" s="26"/>
      <c r="AF30" s="58"/>
      <c r="AG30" s="59"/>
      <c r="AH30" s="65"/>
      <c r="AI30" s="66"/>
      <c r="AJ30" s="66"/>
      <c r="AK30" s="58"/>
      <c r="AL30" s="58"/>
      <c r="AM30" s="68" t="str">
        <f aca="false">IF(LEFT(AL30,1)="9","Celular",IF(AL30="","","Fixo"))</f>
        <v/>
      </c>
      <c r="AN30" s="58" t="str">
        <f aca="false">IF( AM30&lt;&gt;"",VLOOKUP(AM30,Selects!$M$4:$N$1000,2,0),"")</f>
        <v/>
      </c>
      <c r="AO30" s="58"/>
      <c r="AP30" s="59"/>
      <c r="AQ30" s="65"/>
      <c r="AR30" s="58"/>
      <c r="AS30" s="58"/>
      <c r="AT30" s="26"/>
      <c r="AU30" s="58"/>
      <c r="AV30" s="58"/>
      <c r="AW30" s="58"/>
      <c r="AX30" s="58"/>
      <c r="AY30" s="71"/>
      <c r="AZ30" s="58"/>
      <c r="BA30" s="58"/>
      <c r="BB30" s="72" t="str">
        <f aca="false">IF(BA30&lt;&gt;"",VLOOKUP(BA30,Selects!$B$4:$C$100,2,0),"")</f>
        <v/>
      </c>
      <c r="BC30" s="26"/>
      <c r="BD30" s="26"/>
      <c r="BE30" s="73"/>
      <c r="BF30" s="74"/>
      <c r="BG30" s="75" t="str">
        <f aca="false">IF(LEN(BF30)=11,"PF",IF(LEN(BF30)=14,"PJ",""))</f>
        <v/>
      </c>
      <c r="BH30" s="66"/>
      <c r="BI30" s="58" t="str">
        <f aca="false">IF(BH30&lt;&gt;"",VLOOKUP(BH30,Selects!$G:$H,2,0),"")</f>
        <v/>
      </c>
      <c r="BJ30" s="58"/>
      <c r="BK30" s="58"/>
      <c r="BL30" s="59"/>
      <c r="BM30" s="58"/>
      <c r="BN30" s="58"/>
      <c r="BO30" s="58" t="str">
        <f aca="false">IF(BN30&lt;&gt;"",VLOOKUP(BN30,Selects!$J$4:$K$1000,2,0),"")</f>
        <v/>
      </c>
      <c r="BP30" s="76"/>
      <c r="BQ30" s="59"/>
      <c r="BR30" s="77"/>
      <c r="BS30" s="59"/>
      <c r="BT30" s="77"/>
      <c r="BU30" s="58"/>
      <c r="BV30" s="58"/>
      <c r="BW30" s="58"/>
      <c r="BX30" s="58"/>
      <c r="BY30" s="58"/>
      <c r="BZ30" s="58"/>
      <c r="CA30" s="58"/>
      <c r="CB30" s="72" t="str">
        <f aca="false">IF(AC30&lt;&gt;"",VLOOKUP(AC30,Selects!$B:$E,4,0),"")</f>
        <v/>
      </c>
      <c r="CC30" s="58"/>
      <c r="CD30" s="58"/>
      <c r="CE30" s="58"/>
    </row>
    <row r="31" customFormat="false" ht="15.75" hidden="false" customHeight="true" outlineLevel="0" collapsed="false">
      <c r="A31" s="17"/>
      <c r="B31" s="58"/>
      <c r="C31" s="58"/>
      <c r="D31" s="59"/>
      <c r="E31" s="60" t="str">
        <f aca="false">IF(LEN(D31)=11,"PF",IF(LEN(D31)=14,"PJ",""))</f>
        <v/>
      </c>
      <c r="F31" s="59"/>
      <c r="G31" s="59"/>
      <c r="H31" s="61" t="str">
        <f aca="false">IF(G31&lt;&gt;"",VLOOKUP(G31,'Cnae  mcc  id'!$A:$M,9,0),"")</f>
        <v/>
      </c>
      <c r="I31" s="62"/>
      <c r="J31" s="63" t="str">
        <f aca="false">IF(I31&lt;&gt;"",VLOOKUP(I31,'Legal Nature'!$E$2:$G$84,3,0),"")</f>
        <v/>
      </c>
      <c r="K31" s="64"/>
      <c r="L31" s="65"/>
      <c r="M31" s="66"/>
      <c r="N31" s="66"/>
      <c r="O31" s="79"/>
      <c r="P31" s="26"/>
      <c r="Q31" s="58"/>
      <c r="R31" s="58"/>
      <c r="S31" s="58"/>
      <c r="T31" s="68" t="str">
        <f aca="false">IF(LEFT(S31,1)="9","Celular",IF(S31="","","Fixo"))</f>
        <v/>
      </c>
      <c r="U31" s="58" t="str">
        <f aca="false">IF( T31&lt;&gt;"",VLOOKUP(T31,Selects!$M$4:$N$1000,2,0),"")</f>
        <v/>
      </c>
      <c r="V31" s="26"/>
      <c r="W31" s="58"/>
      <c r="X31" s="58"/>
      <c r="Y31" s="58"/>
      <c r="Z31" s="58"/>
      <c r="AA31" s="69"/>
      <c r="AB31" s="58"/>
      <c r="AC31" s="58"/>
      <c r="AD31" s="70" t="str">
        <f aca="false">IF(AC31&lt;&gt;"",VLOOKUP(AC31,Selects!$B$4:$C$100,2,0),"")</f>
        <v/>
      </c>
      <c r="AE31" s="26"/>
      <c r="AF31" s="58"/>
      <c r="AG31" s="59"/>
      <c r="AH31" s="65"/>
      <c r="AI31" s="66"/>
      <c r="AJ31" s="66"/>
      <c r="AK31" s="58"/>
      <c r="AL31" s="58"/>
      <c r="AM31" s="68" t="str">
        <f aca="false">IF(LEFT(AL31,1)="9","Celular",IF(AL31="","","Fixo"))</f>
        <v/>
      </c>
      <c r="AN31" s="58" t="str">
        <f aca="false">IF( AM31&lt;&gt;"",VLOOKUP(AM31,Selects!$M$4:$N$1000,2,0),"")</f>
        <v/>
      </c>
      <c r="AO31" s="58"/>
      <c r="AP31" s="59"/>
      <c r="AQ31" s="65"/>
      <c r="AR31" s="58"/>
      <c r="AS31" s="58"/>
      <c r="AT31" s="26"/>
      <c r="AU31" s="58"/>
      <c r="AV31" s="58"/>
      <c r="AW31" s="58"/>
      <c r="AX31" s="58"/>
      <c r="AY31" s="71"/>
      <c r="AZ31" s="58"/>
      <c r="BA31" s="58"/>
      <c r="BB31" s="72" t="str">
        <f aca="false">IF(BA31&lt;&gt;"",VLOOKUP(BA31,Selects!$B$4:$C$100,2,0),"")</f>
        <v/>
      </c>
      <c r="BC31" s="26"/>
      <c r="BD31" s="26"/>
      <c r="BE31" s="73"/>
      <c r="BF31" s="74"/>
      <c r="BG31" s="75" t="str">
        <f aca="false">IF(LEN(BF31)=11,"PF",IF(LEN(BF31)=14,"PJ",""))</f>
        <v/>
      </c>
      <c r="BH31" s="66"/>
      <c r="BI31" s="58" t="str">
        <f aca="false">IF(BH31&lt;&gt;"",VLOOKUP(BH31,Selects!$G:$H,2,0),"")</f>
        <v/>
      </c>
      <c r="BJ31" s="58"/>
      <c r="BK31" s="58"/>
      <c r="BL31" s="59"/>
      <c r="BM31" s="58"/>
      <c r="BN31" s="58"/>
      <c r="BO31" s="58" t="str">
        <f aca="false">IF(BN31&lt;&gt;"",VLOOKUP(BN31,Selects!$J$4:$K$1000,2,0),"")</f>
        <v/>
      </c>
      <c r="BP31" s="76"/>
      <c r="BQ31" s="59"/>
      <c r="BR31" s="77"/>
      <c r="BS31" s="59"/>
      <c r="BT31" s="77"/>
      <c r="BU31" s="58"/>
      <c r="BV31" s="58"/>
      <c r="BW31" s="58"/>
      <c r="BX31" s="58"/>
      <c r="BY31" s="58"/>
      <c r="BZ31" s="58"/>
      <c r="CA31" s="58"/>
      <c r="CB31" s="72" t="str">
        <f aca="false">IF(AC31&lt;&gt;"",VLOOKUP(AC31,Selects!$B:$E,4,0),"")</f>
        <v/>
      </c>
      <c r="CC31" s="58"/>
      <c r="CD31" s="58"/>
      <c r="CE31" s="58"/>
    </row>
    <row r="32" customFormat="false" ht="15.75" hidden="false" customHeight="true" outlineLevel="0" collapsed="false">
      <c r="A32" s="17"/>
      <c r="B32" s="58"/>
      <c r="C32" s="58"/>
      <c r="D32" s="59"/>
      <c r="E32" s="60" t="str">
        <f aca="false">IF(LEN(D32)=11,"PF",IF(LEN(D32)=14,"PJ",""))</f>
        <v/>
      </c>
      <c r="F32" s="59"/>
      <c r="G32" s="59"/>
      <c r="H32" s="61" t="str">
        <f aca="false">IF(G32&lt;&gt;"",VLOOKUP(G32,'Cnae  mcc  id'!$A:$M,9,0),"")</f>
        <v/>
      </c>
      <c r="I32" s="62"/>
      <c r="J32" s="63" t="str">
        <f aca="false">IF(I32&lt;&gt;"",VLOOKUP(I32,'Legal Nature'!$E$2:$G$84,3,0),"")</f>
        <v/>
      </c>
      <c r="K32" s="64"/>
      <c r="L32" s="65"/>
      <c r="M32" s="66"/>
      <c r="N32" s="66"/>
      <c r="O32" s="79"/>
      <c r="P32" s="26"/>
      <c r="Q32" s="58"/>
      <c r="R32" s="58"/>
      <c r="S32" s="58"/>
      <c r="T32" s="68" t="str">
        <f aca="false">IF(LEFT(S32,1)="9","Celular",IF(S32="","","Fixo"))</f>
        <v/>
      </c>
      <c r="U32" s="58" t="str">
        <f aca="false">IF( T32&lt;&gt;"",VLOOKUP(T32,Selects!$M$4:$N$1000,2,0),"")</f>
        <v/>
      </c>
      <c r="V32" s="26"/>
      <c r="W32" s="58"/>
      <c r="X32" s="58"/>
      <c r="Y32" s="58"/>
      <c r="Z32" s="58"/>
      <c r="AA32" s="69"/>
      <c r="AB32" s="58"/>
      <c r="AC32" s="58"/>
      <c r="AD32" s="70" t="str">
        <f aca="false">IF(AC32&lt;&gt;"",VLOOKUP(AC32,Selects!$B$4:$C$100,2,0),"")</f>
        <v/>
      </c>
      <c r="AE32" s="26"/>
      <c r="AF32" s="58"/>
      <c r="AG32" s="59"/>
      <c r="AH32" s="65"/>
      <c r="AI32" s="66"/>
      <c r="AJ32" s="66"/>
      <c r="AK32" s="58"/>
      <c r="AL32" s="58"/>
      <c r="AM32" s="68" t="str">
        <f aca="false">IF(LEFT(AL32,1)="9","Celular",IF(AL32="","","Fixo"))</f>
        <v/>
      </c>
      <c r="AN32" s="58" t="str">
        <f aca="false">IF( AM32&lt;&gt;"",VLOOKUP(AM32,Selects!$M$4:$N$1000,2,0),"")</f>
        <v/>
      </c>
      <c r="AO32" s="58"/>
      <c r="AP32" s="59"/>
      <c r="AQ32" s="65"/>
      <c r="AR32" s="58"/>
      <c r="AS32" s="58"/>
      <c r="AT32" s="26"/>
      <c r="AU32" s="58"/>
      <c r="AV32" s="58"/>
      <c r="AW32" s="58"/>
      <c r="AX32" s="58"/>
      <c r="AY32" s="71"/>
      <c r="AZ32" s="58"/>
      <c r="BA32" s="58"/>
      <c r="BB32" s="72" t="str">
        <f aca="false">IF(BA32&lt;&gt;"",VLOOKUP(BA32,Selects!$B$4:$C$100,2,0),"")</f>
        <v/>
      </c>
      <c r="BC32" s="26"/>
      <c r="BD32" s="26"/>
      <c r="BE32" s="73"/>
      <c r="BF32" s="74"/>
      <c r="BG32" s="75" t="str">
        <f aca="false">IF(LEN(BF32)=11,"PF",IF(LEN(BF32)=14,"PJ",""))</f>
        <v/>
      </c>
      <c r="BH32" s="66"/>
      <c r="BI32" s="58" t="str">
        <f aca="false">IF(BH32&lt;&gt;"",VLOOKUP(BH32,Selects!$G:$H,2,0),"")</f>
        <v/>
      </c>
      <c r="BJ32" s="58"/>
      <c r="BK32" s="58"/>
      <c r="BL32" s="59"/>
      <c r="BM32" s="58"/>
      <c r="BN32" s="58"/>
      <c r="BO32" s="58" t="str">
        <f aca="false">IF(BN32&lt;&gt;"",VLOOKUP(BN32,Selects!$J$4:$K$1000,2,0),"")</f>
        <v/>
      </c>
      <c r="BP32" s="76"/>
      <c r="BQ32" s="59"/>
      <c r="BR32" s="77"/>
      <c r="BS32" s="59"/>
      <c r="BT32" s="77"/>
      <c r="BU32" s="58"/>
      <c r="BV32" s="58"/>
      <c r="BW32" s="58"/>
      <c r="BX32" s="58"/>
      <c r="BY32" s="58"/>
      <c r="BZ32" s="58"/>
      <c r="CA32" s="58"/>
      <c r="CB32" s="72" t="str">
        <f aca="false">IF(AC32&lt;&gt;"",VLOOKUP(AC32,Selects!$B:$E,4,0),"")</f>
        <v/>
      </c>
      <c r="CC32" s="58"/>
      <c r="CD32" s="58"/>
      <c r="CE32" s="58"/>
    </row>
    <row r="33" customFormat="false" ht="15.75" hidden="false" customHeight="true" outlineLevel="0" collapsed="false">
      <c r="A33" s="17"/>
      <c r="B33" s="58"/>
      <c r="C33" s="58"/>
      <c r="D33" s="59"/>
      <c r="E33" s="60" t="str">
        <f aca="false">IF(LEN(D33)=11,"PF",IF(LEN(D33)=14,"PJ",""))</f>
        <v/>
      </c>
      <c r="F33" s="59"/>
      <c r="G33" s="59"/>
      <c r="H33" s="61" t="str">
        <f aca="false">IF(G33&lt;&gt;"",VLOOKUP(G33,'Cnae  mcc  id'!$A:$M,9,0),"")</f>
        <v/>
      </c>
      <c r="I33" s="62"/>
      <c r="J33" s="63" t="str">
        <f aca="false">IF(I33&lt;&gt;"",VLOOKUP(I33,'Legal Nature'!$E$2:$G$84,3,0),"")</f>
        <v/>
      </c>
      <c r="K33" s="64"/>
      <c r="L33" s="65"/>
      <c r="M33" s="66"/>
      <c r="N33" s="66"/>
      <c r="O33" s="79"/>
      <c r="P33" s="26"/>
      <c r="Q33" s="58"/>
      <c r="R33" s="58"/>
      <c r="S33" s="58"/>
      <c r="T33" s="68" t="str">
        <f aca="false">IF(LEFT(S33,1)="9","Celular",IF(S33="","","Fixo"))</f>
        <v/>
      </c>
      <c r="U33" s="58" t="str">
        <f aca="false">IF( T33&lt;&gt;"",VLOOKUP(T33,Selects!$M$4:$N$1000,2,0),"")</f>
        <v/>
      </c>
      <c r="V33" s="26"/>
      <c r="W33" s="58"/>
      <c r="X33" s="58"/>
      <c r="Y33" s="58"/>
      <c r="Z33" s="58"/>
      <c r="AA33" s="69"/>
      <c r="AB33" s="58"/>
      <c r="AC33" s="58"/>
      <c r="AD33" s="70" t="str">
        <f aca="false">IF(AC33&lt;&gt;"",VLOOKUP(AC33,Selects!$B$4:$C$100,2,0),"")</f>
        <v/>
      </c>
      <c r="AE33" s="26"/>
      <c r="AF33" s="58"/>
      <c r="AG33" s="59"/>
      <c r="AH33" s="65"/>
      <c r="AI33" s="66"/>
      <c r="AJ33" s="66"/>
      <c r="AK33" s="58"/>
      <c r="AL33" s="58"/>
      <c r="AM33" s="68" t="str">
        <f aca="false">IF(LEFT(AL33,1)="9","Celular",IF(AL33="","","Fixo"))</f>
        <v/>
      </c>
      <c r="AN33" s="58" t="str">
        <f aca="false">IF( AM33&lt;&gt;"",VLOOKUP(AM33,Selects!$M$4:$N$1000,2,0),"")</f>
        <v/>
      </c>
      <c r="AO33" s="58"/>
      <c r="AP33" s="59"/>
      <c r="AQ33" s="65"/>
      <c r="AR33" s="58"/>
      <c r="AS33" s="58"/>
      <c r="AT33" s="26"/>
      <c r="AU33" s="58"/>
      <c r="AV33" s="58"/>
      <c r="AW33" s="58"/>
      <c r="AX33" s="58"/>
      <c r="AY33" s="71"/>
      <c r="AZ33" s="58"/>
      <c r="BA33" s="58"/>
      <c r="BB33" s="72" t="str">
        <f aca="false">IF(BA33&lt;&gt;"",VLOOKUP(BA33,Selects!$B$4:$C$100,2,0),"")</f>
        <v/>
      </c>
      <c r="BC33" s="26"/>
      <c r="BD33" s="26"/>
      <c r="BE33" s="73"/>
      <c r="BF33" s="74"/>
      <c r="BG33" s="75" t="str">
        <f aca="false">IF(LEN(BF33)=11,"PF",IF(LEN(BF33)=14,"PJ",""))</f>
        <v/>
      </c>
      <c r="BH33" s="66"/>
      <c r="BI33" s="58" t="str">
        <f aca="false">IF(BH33&lt;&gt;"",VLOOKUP(BH33,Selects!$G:$H,2,0),"")</f>
        <v/>
      </c>
      <c r="BJ33" s="58"/>
      <c r="BK33" s="58"/>
      <c r="BL33" s="59"/>
      <c r="BM33" s="58"/>
      <c r="BN33" s="58"/>
      <c r="BO33" s="58" t="str">
        <f aca="false">IF(BN33&lt;&gt;"",VLOOKUP(BN33,Selects!$J$4:$K$1000,2,0),"")</f>
        <v/>
      </c>
      <c r="BP33" s="76"/>
      <c r="BQ33" s="59"/>
      <c r="BR33" s="77"/>
      <c r="BS33" s="59"/>
      <c r="BT33" s="77"/>
      <c r="BU33" s="58"/>
      <c r="BV33" s="58"/>
      <c r="BW33" s="58"/>
      <c r="BX33" s="58"/>
      <c r="BY33" s="58"/>
      <c r="BZ33" s="58"/>
      <c r="CA33" s="58"/>
      <c r="CB33" s="72" t="str">
        <f aca="false">IF(AC33&lt;&gt;"",VLOOKUP(AC33,Selects!$B:$E,4,0),"")</f>
        <v/>
      </c>
      <c r="CC33" s="58"/>
      <c r="CD33" s="58"/>
      <c r="CE33" s="58"/>
    </row>
    <row r="34" customFormat="false" ht="15.75" hidden="false" customHeight="true" outlineLevel="0" collapsed="false">
      <c r="A34" s="17"/>
      <c r="B34" s="58"/>
      <c r="C34" s="58"/>
      <c r="D34" s="59"/>
      <c r="E34" s="60" t="str">
        <f aca="false">IF(LEN(D34)=11,"PF",IF(LEN(D34)=14,"PJ",""))</f>
        <v/>
      </c>
      <c r="F34" s="59"/>
      <c r="G34" s="59"/>
      <c r="H34" s="61" t="str">
        <f aca="false">IF(G34&lt;&gt;"",VLOOKUP(G34,'Cnae  mcc  id'!$A:$M,9,0),"")</f>
        <v/>
      </c>
      <c r="I34" s="62"/>
      <c r="J34" s="63" t="str">
        <f aca="false">IF(I34&lt;&gt;"",VLOOKUP(I34,'Legal Nature'!$E$2:$G$84,3,0),"")</f>
        <v/>
      </c>
      <c r="K34" s="64"/>
      <c r="L34" s="65"/>
      <c r="M34" s="66"/>
      <c r="N34" s="66"/>
      <c r="O34" s="79"/>
      <c r="P34" s="26"/>
      <c r="Q34" s="58"/>
      <c r="R34" s="58"/>
      <c r="S34" s="58"/>
      <c r="T34" s="68" t="str">
        <f aca="false">IF(LEFT(S34,1)="9","Celular",IF(S34="","","Fixo"))</f>
        <v/>
      </c>
      <c r="U34" s="58" t="str">
        <f aca="false">IF( T34&lt;&gt;"",VLOOKUP(T34,Selects!$M$4:$N$1000,2,0),"")</f>
        <v/>
      </c>
      <c r="V34" s="26"/>
      <c r="W34" s="58"/>
      <c r="X34" s="58"/>
      <c r="Y34" s="58"/>
      <c r="Z34" s="58"/>
      <c r="AA34" s="69"/>
      <c r="AB34" s="58"/>
      <c r="AC34" s="58"/>
      <c r="AD34" s="70" t="str">
        <f aca="false">IF(AC34&lt;&gt;"",VLOOKUP(AC34,Selects!$B$4:$C$100,2,0),"")</f>
        <v/>
      </c>
      <c r="AE34" s="26"/>
      <c r="AF34" s="58"/>
      <c r="AG34" s="59"/>
      <c r="AH34" s="65"/>
      <c r="AI34" s="66"/>
      <c r="AJ34" s="66"/>
      <c r="AK34" s="58"/>
      <c r="AL34" s="58"/>
      <c r="AM34" s="68" t="str">
        <f aca="false">IF(LEFT(AL34,1)="9","Celular",IF(AL34="","","Fixo"))</f>
        <v/>
      </c>
      <c r="AN34" s="58" t="str">
        <f aca="false">IF( AM34&lt;&gt;"",VLOOKUP(AM34,Selects!$M$4:$N$1000,2,0),"")</f>
        <v/>
      </c>
      <c r="AO34" s="58"/>
      <c r="AP34" s="59"/>
      <c r="AQ34" s="65"/>
      <c r="AR34" s="58"/>
      <c r="AS34" s="58"/>
      <c r="AT34" s="26"/>
      <c r="AU34" s="58"/>
      <c r="AV34" s="58"/>
      <c r="AW34" s="58"/>
      <c r="AX34" s="58"/>
      <c r="AY34" s="71"/>
      <c r="AZ34" s="58"/>
      <c r="BA34" s="58"/>
      <c r="BB34" s="72" t="str">
        <f aca="false">IF(BA34&lt;&gt;"",VLOOKUP(BA34,Selects!$B$4:$C$100,2,0),"")</f>
        <v/>
      </c>
      <c r="BC34" s="26"/>
      <c r="BD34" s="26"/>
      <c r="BE34" s="73"/>
      <c r="BF34" s="74"/>
      <c r="BG34" s="75" t="str">
        <f aca="false">IF(LEN(BF34)=11,"PF",IF(LEN(BF34)=14,"PJ",""))</f>
        <v/>
      </c>
      <c r="BH34" s="66"/>
      <c r="BI34" s="58" t="str">
        <f aca="false">IF(BH34&lt;&gt;"",VLOOKUP(BH34,Selects!$G:$H,2,0),"")</f>
        <v/>
      </c>
      <c r="BJ34" s="58"/>
      <c r="BK34" s="58"/>
      <c r="BL34" s="59"/>
      <c r="BM34" s="58"/>
      <c r="BN34" s="58"/>
      <c r="BO34" s="58" t="str">
        <f aca="false">IF(BN34&lt;&gt;"",VLOOKUP(BN34,Selects!$J$4:$K$1000,2,0),"")</f>
        <v/>
      </c>
      <c r="BP34" s="76"/>
      <c r="BQ34" s="59"/>
      <c r="BR34" s="77"/>
      <c r="BS34" s="59"/>
      <c r="BT34" s="77"/>
      <c r="BU34" s="58"/>
      <c r="BV34" s="58"/>
      <c r="BW34" s="58"/>
      <c r="BX34" s="58"/>
      <c r="BY34" s="58"/>
      <c r="BZ34" s="58"/>
      <c r="CA34" s="58"/>
      <c r="CB34" s="72" t="str">
        <f aca="false">IF(AC34&lt;&gt;"",VLOOKUP(AC34,Selects!$B:$E,4,0),"")</f>
        <v/>
      </c>
      <c r="CC34" s="58"/>
      <c r="CD34" s="58"/>
      <c r="CE34" s="58"/>
    </row>
    <row r="35" customFormat="false" ht="15.75" hidden="false" customHeight="true" outlineLevel="0" collapsed="false">
      <c r="A35" s="17"/>
      <c r="B35" s="58"/>
      <c r="C35" s="58"/>
      <c r="D35" s="59"/>
      <c r="E35" s="60" t="str">
        <f aca="false">IF(LEN(D35)=11,"PF",IF(LEN(D35)=14,"PJ",""))</f>
        <v/>
      </c>
      <c r="F35" s="59"/>
      <c r="G35" s="59"/>
      <c r="H35" s="61" t="str">
        <f aca="false">IF(G35&lt;&gt;"",VLOOKUP(G35,'Cnae  mcc  id'!$A:$M,9,0),"")</f>
        <v/>
      </c>
      <c r="I35" s="62"/>
      <c r="J35" s="63" t="str">
        <f aca="false">IF(I35&lt;&gt;"",VLOOKUP(I35,'Legal Nature'!$E$2:$G$84,3,0),"")</f>
        <v/>
      </c>
      <c r="K35" s="64"/>
      <c r="L35" s="65"/>
      <c r="M35" s="66"/>
      <c r="N35" s="66"/>
      <c r="O35" s="79"/>
      <c r="P35" s="26"/>
      <c r="Q35" s="58"/>
      <c r="R35" s="58"/>
      <c r="S35" s="58"/>
      <c r="T35" s="68" t="str">
        <f aca="false">IF(LEFT(S35,1)="9","Celular",IF(S35="","","Fixo"))</f>
        <v/>
      </c>
      <c r="U35" s="58" t="str">
        <f aca="false">IF( T35&lt;&gt;"",VLOOKUP(T35,Selects!$M$4:$N$1000,2,0),"")</f>
        <v/>
      </c>
      <c r="V35" s="26"/>
      <c r="W35" s="58"/>
      <c r="X35" s="58"/>
      <c r="Y35" s="58"/>
      <c r="Z35" s="58"/>
      <c r="AA35" s="69"/>
      <c r="AB35" s="58"/>
      <c r="AC35" s="58"/>
      <c r="AD35" s="70" t="str">
        <f aca="false">IF(AC35&lt;&gt;"",VLOOKUP(AC35,Selects!$B$4:$C$100,2,0),"")</f>
        <v/>
      </c>
      <c r="AE35" s="26"/>
      <c r="AF35" s="58"/>
      <c r="AG35" s="59"/>
      <c r="AH35" s="65"/>
      <c r="AI35" s="66"/>
      <c r="AJ35" s="66"/>
      <c r="AK35" s="58"/>
      <c r="AL35" s="58"/>
      <c r="AM35" s="68" t="str">
        <f aca="false">IF(LEFT(AL35,1)="9","Celular",IF(AL35="","","Fixo"))</f>
        <v/>
      </c>
      <c r="AN35" s="58" t="str">
        <f aca="false">IF( AM35&lt;&gt;"",VLOOKUP(AM35,Selects!$M$4:$N$1000,2,0),"")</f>
        <v/>
      </c>
      <c r="AO35" s="58"/>
      <c r="AP35" s="59"/>
      <c r="AQ35" s="65"/>
      <c r="AR35" s="58"/>
      <c r="AS35" s="58"/>
      <c r="AT35" s="26"/>
      <c r="AU35" s="58"/>
      <c r="AV35" s="58"/>
      <c r="AW35" s="58"/>
      <c r="AX35" s="58"/>
      <c r="AY35" s="71"/>
      <c r="AZ35" s="58"/>
      <c r="BA35" s="58"/>
      <c r="BB35" s="72" t="str">
        <f aca="false">IF(BA35&lt;&gt;"",VLOOKUP(BA35,Selects!$B$4:$C$100,2,0),"")</f>
        <v/>
      </c>
      <c r="BC35" s="26"/>
      <c r="BD35" s="26"/>
      <c r="BE35" s="73"/>
      <c r="BF35" s="74"/>
      <c r="BG35" s="75" t="str">
        <f aca="false">IF(LEN(BF35)=11,"PF",IF(LEN(BF35)=14,"PJ",""))</f>
        <v/>
      </c>
      <c r="BH35" s="66"/>
      <c r="BI35" s="58" t="str">
        <f aca="false">IF(BH35&lt;&gt;"",VLOOKUP(BH35,Selects!$G:$H,2,0),"")</f>
        <v/>
      </c>
      <c r="BJ35" s="58"/>
      <c r="BK35" s="58"/>
      <c r="BL35" s="59"/>
      <c r="BM35" s="58"/>
      <c r="BN35" s="58"/>
      <c r="BO35" s="58" t="str">
        <f aca="false">IF(BN35&lt;&gt;"",VLOOKUP(BN35,Selects!$J$4:$K$1000,2,0),"")</f>
        <v/>
      </c>
      <c r="BP35" s="76"/>
      <c r="BQ35" s="59"/>
      <c r="BR35" s="77"/>
      <c r="BS35" s="59"/>
      <c r="BT35" s="77"/>
      <c r="BU35" s="58"/>
      <c r="BV35" s="58"/>
      <c r="BW35" s="58"/>
      <c r="BX35" s="58"/>
      <c r="BY35" s="58"/>
      <c r="BZ35" s="58"/>
      <c r="CA35" s="58"/>
      <c r="CB35" s="72" t="str">
        <f aca="false">IF(AC35&lt;&gt;"",VLOOKUP(AC35,Selects!$B:$E,4,0),"")</f>
        <v/>
      </c>
      <c r="CC35" s="58"/>
      <c r="CD35" s="58"/>
      <c r="CE35" s="58"/>
    </row>
    <row r="36" customFormat="false" ht="15.75" hidden="false" customHeight="true" outlineLevel="0" collapsed="false">
      <c r="A36" s="17"/>
      <c r="B36" s="58"/>
      <c r="C36" s="58"/>
      <c r="D36" s="59"/>
      <c r="E36" s="60" t="str">
        <f aca="false">IF(LEN(D36)=11,"PF",IF(LEN(D36)=14,"PJ",""))</f>
        <v/>
      </c>
      <c r="F36" s="59"/>
      <c r="G36" s="59"/>
      <c r="H36" s="61" t="str">
        <f aca="false">IF(G36&lt;&gt;"",VLOOKUP(G36,'Cnae  mcc  id'!$A:$M,9,0),"")</f>
        <v/>
      </c>
      <c r="I36" s="62"/>
      <c r="J36" s="63" t="str">
        <f aca="false">IF(I36&lt;&gt;"",VLOOKUP(I36,'Legal Nature'!$E$2:$G$84,3,0),"")</f>
        <v/>
      </c>
      <c r="K36" s="64"/>
      <c r="L36" s="65"/>
      <c r="M36" s="66"/>
      <c r="N36" s="66"/>
      <c r="O36" s="79"/>
      <c r="P36" s="26"/>
      <c r="Q36" s="58"/>
      <c r="R36" s="58"/>
      <c r="S36" s="58"/>
      <c r="T36" s="68" t="str">
        <f aca="false">IF(LEFT(S36,1)="9","Celular",IF(S36="","","Fixo"))</f>
        <v/>
      </c>
      <c r="U36" s="58" t="str">
        <f aca="false">IF( T36&lt;&gt;"",VLOOKUP(T36,Selects!$M$4:$N$1000,2,0),"")</f>
        <v/>
      </c>
      <c r="V36" s="26"/>
      <c r="W36" s="58"/>
      <c r="X36" s="58"/>
      <c r="Y36" s="58"/>
      <c r="Z36" s="58"/>
      <c r="AA36" s="69"/>
      <c r="AB36" s="58"/>
      <c r="AC36" s="58"/>
      <c r="AD36" s="70" t="str">
        <f aca="false">IF(AC36&lt;&gt;"",VLOOKUP(AC36,Selects!$B$4:$C$100,2,0),"")</f>
        <v/>
      </c>
      <c r="AE36" s="26"/>
      <c r="AF36" s="58"/>
      <c r="AG36" s="59"/>
      <c r="AH36" s="65"/>
      <c r="AI36" s="66"/>
      <c r="AJ36" s="66"/>
      <c r="AK36" s="58"/>
      <c r="AL36" s="58"/>
      <c r="AM36" s="68" t="str">
        <f aca="false">IF(LEFT(AL36,1)="9","Celular",IF(AL36="","","Fixo"))</f>
        <v/>
      </c>
      <c r="AN36" s="58" t="str">
        <f aca="false">IF( AM36&lt;&gt;"",VLOOKUP(AM36,Selects!$M$4:$N$1000,2,0),"")</f>
        <v/>
      </c>
      <c r="AO36" s="58"/>
      <c r="AP36" s="59"/>
      <c r="AQ36" s="65"/>
      <c r="AR36" s="58"/>
      <c r="AS36" s="58"/>
      <c r="AT36" s="26"/>
      <c r="AU36" s="58"/>
      <c r="AV36" s="58"/>
      <c r="AW36" s="58"/>
      <c r="AX36" s="58"/>
      <c r="AY36" s="71"/>
      <c r="AZ36" s="58"/>
      <c r="BA36" s="58"/>
      <c r="BB36" s="72" t="str">
        <f aca="false">IF(BA36&lt;&gt;"",VLOOKUP(BA36,Selects!$B$4:$C$100,2,0),"")</f>
        <v/>
      </c>
      <c r="BC36" s="26"/>
      <c r="BD36" s="26"/>
      <c r="BE36" s="73"/>
      <c r="BF36" s="74"/>
      <c r="BG36" s="75" t="str">
        <f aca="false">IF(LEN(BF36)=11,"PF",IF(LEN(BF36)=14,"PJ",""))</f>
        <v/>
      </c>
      <c r="BH36" s="66"/>
      <c r="BI36" s="58" t="str">
        <f aca="false">IF(BH36&lt;&gt;"",VLOOKUP(BH36,Selects!$G:$H,2,0),"")</f>
        <v/>
      </c>
      <c r="BJ36" s="58"/>
      <c r="BK36" s="58"/>
      <c r="BL36" s="59"/>
      <c r="BM36" s="58"/>
      <c r="BN36" s="58"/>
      <c r="BO36" s="58" t="str">
        <f aca="false">IF(BN36&lt;&gt;"",VLOOKUP(BN36,Selects!$J$4:$K$1000,2,0),"")</f>
        <v/>
      </c>
      <c r="BP36" s="76"/>
      <c r="BQ36" s="59"/>
      <c r="BR36" s="77"/>
      <c r="BS36" s="59"/>
      <c r="BT36" s="77"/>
      <c r="BU36" s="58"/>
      <c r="BV36" s="58"/>
      <c r="BW36" s="58"/>
      <c r="BX36" s="58"/>
      <c r="BY36" s="58"/>
      <c r="BZ36" s="58"/>
      <c r="CA36" s="58"/>
      <c r="CB36" s="72" t="str">
        <f aca="false">IF(AC36&lt;&gt;"",VLOOKUP(AC36,Selects!$B:$E,4,0),"")</f>
        <v/>
      </c>
      <c r="CC36" s="58"/>
      <c r="CD36" s="58"/>
      <c r="CE36" s="58"/>
    </row>
    <row r="37" customFormat="false" ht="15.75" hidden="false" customHeight="true" outlineLevel="0" collapsed="false">
      <c r="A37" s="17"/>
      <c r="B37" s="58"/>
      <c r="C37" s="58"/>
      <c r="D37" s="59"/>
      <c r="E37" s="60" t="str">
        <f aca="false">IF(LEN(D37)=11,"PF",IF(LEN(D37)=14,"PJ",""))</f>
        <v/>
      </c>
      <c r="F37" s="59"/>
      <c r="G37" s="59"/>
      <c r="H37" s="61" t="str">
        <f aca="false">IF(G37&lt;&gt;"",VLOOKUP(G37,'Cnae  mcc  id'!$A:$M,9,0),"")</f>
        <v/>
      </c>
      <c r="I37" s="62"/>
      <c r="J37" s="63" t="str">
        <f aca="false">IF(I37&lt;&gt;"",VLOOKUP(I37,'Legal Nature'!$E$2:$G$84,3,0),"")</f>
        <v/>
      </c>
      <c r="K37" s="64"/>
      <c r="L37" s="65"/>
      <c r="M37" s="66"/>
      <c r="N37" s="66"/>
      <c r="O37" s="79"/>
      <c r="P37" s="26"/>
      <c r="Q37" s="58"/>
      <c r="R37" s="58"/>
      <c r="S37" s="58"/>
      <c r="T37" s="68" t="str">
        <f aca="false">IF(LEFT(S37,1)="9","Celular",IF(S37="","","Fixo"))</f>
        <v/>
      </c>
      <c r="U37" s="58" t="str">
        <f aca="false">IF( T37&lt;&gt;"",VLOOKUP(T37,Selects!$M$4:$N$1000,2,0),"")</f>
        <v/>
      </c>
      <c r="V37" s="26"/>
      <c r="W37" s="58"/>
      <c r="X37" s="58"/>
      <c r="Y37" s="58"/>
      <c r="Z37" s="58"/>
      <c r="AA37" s="69"/>
      <c r="AB37" s="58"/>
      <c r="AC37" s="58"/>
      <c r="AD37" s="70" t="str">
        <f aca="false">IF(AC37&lt;&gt;"",VLOOKUP(AC37,Selects!$B$4:$C$100,2,0),"")</f>
        <v/>
      </c>
      <c r="AE37" s="26"/>
      <c r="AF37" s="58"/>
      <c r="AG37" s="59"/>
      <c r="AH37" s="65"/>
      <c r="AI37" s="66"/>
      <c r="AJ37" s="66"/>
      <c r="AK37" s="58"/>
      <c r="AL37" s="58"/>
      <c r="AM37" s="68" t="str">
        <f aca="false">IF(LEFT(AL37,1)="9","Celular",IF(AL37="","","Fixo"))</f>
        <v/>
      </c>
      <c r="AN37" s="58" t="str">
        <f aca="false">IF( AM37&lt;&gt;"",VLOOKUP(AM37,Selects!$M$4:$N$1000,2,0),"")</f>
        <v/>
      </c>
      <c r="AO37" s="58"/>
      <c r="AP37" s="59"/>
      <c r="AQ37" s="65"/>
      <c r="AR37" s="58"/>
      <c r="AS37" s="58"/>
      <c r="AT37" s="26"/>
      <c r="AU37" s="58"/>
      <c r="AV37" s="58"/>
      <c r="AW37" s="58"/>
      <c r="AX37" s="58"/>
      <c r="AY37" s="71"/>
      <c r="AZ37" s="58"/>
      <c r="BA37" s="58"/>
      <c r="BB37" s="72" t="str">
        <f aca="false">IF(BA37&lt;&gt;"",VLOOKUP(BA37,Selects!$B$4:$C$100,2,0),"")</f>
        <v/>
      </c>
      <c r="BC37" s="26"/>
      <c r="BD37" s="26"/>
      <c r="BE37" s="73"/>
      <c r="BF37" s="74"/>
      <c r="BG37" s="75" t="str">
        <f aca="false">IF(LEN(BF37)=11,"PF",IF(LEN(BF37)=14,"PJ",""))</f>
        <v/>
      </c>
      <c r="BH37" s="66"/>
      <c r="BI37" s="58" t="str">
        <f aca="false">IF(BH37&lt;&gt;"",VLOOKUP(BH37,Selects!$G:$H,2,0),"")</f>
        <v/>
      </c>
      <c r="BJ37" s="58"/>
      <c r="BK37" s="58"/>
      <c r="BL37" s="59"/>
      <c r="BM37" s="58"/>
      <c r="BN37" s="58"/>
      <c r="BO37" s="58" t="str">
        <f aca="false">IF(BN37&lt;&gt;"",VLOOKUP(BN37,Selects!$J$4:$K$1000,2,0),"")</f>
        <v/>
      </c>
      <c r="BP37" s="76"/>
      <c r="BQ37" s="59"/>
      <c r="BR37" s="77"/>
      <c r="BS37" s="59"/>
      <c r="BT37" s="77"/>
      <c r="BU37" s="58"/>
      <c r="BV37" s="58"/>
      <c r="BW37" s="58"/>
      <c r="BX37" s="58"/>
      <c r="BY37" s="58"/>
      <c r="BZ37" s="58"/>
      <c r="CA37" s="58"/>
      <c r="CB37" s="72" t="str">
        <f aca="false">IF(AC37&lt;&gt;"",VLOOKUP(AC37,Selects!$B:$E,4,0),"")</f>
        <v/>
      </c>
      <c r="CC37" s="58"/>
      <c r="CD37" s="58"/>
      <c r="CE37" s="58"/>
    </row>
    <row r="38" customFormat="false" ht="15.75" hidden="false" customHeight="true" outlineLevel="0" collapsed="false">
      <c r="A38" s="17"/>
      <c r="B38" s="58"/>
      <c r="C38" s="58"/>
      <c r="D38" s="59"/>
      <c r="E38" s="60" t="str">
        <f aca="false">IF(LEN(D38)=11,"PF",IF(LEN(D38)=14,"PJ",""))</f>
        <v/>
      </c>
      <c r="F38" s="59"/>
      <c r="G38" s="59"/>
      <c r="H38" s="61" t="str">
        <f aca="false">IF(G38&lt;&gt;"",VLOOKUP(G38,'Cnae  mcc  id'!$A:$M,9,0),"")</f>
        <v/>
      </c>
      <c r="I38" s="62"/>
      <c r="J38" s="63" t="str">
        <f aca="false">IF(I38&lt;&gt;"",VLOOKUP(I38,'Legal Nature'!$E$2:$G$84,3,0),"")</f>
        <v/>
      </c>
      <c r="K38" s="64"/>
      <c r="L38" s="65"/>
      <c r="M38" s="66"/>
      <c r="N38" s="66"/>
      <c r="O38" s="79"/>
      <c r="P38" s="26"/>
      <c r="Q38" s="58"/>
      <c r="R38" s="58"/>
      <c r="S38" s="58"/>
      <c r="T38" s="68" t="str">
        <f aca="false">IF(LEFT(S38,1)="9","Celular",IF(S38="","","Fixo"))</f>
        <v/>
      </c>
      <c r="U38" s="58" t="str">
        <f aca="false">IF( T38&lt;&gt;"",VLOOKUP(T38,Selects!$M$4:$N$1000,2,0),"")</f>
        <v/>
      </c>
      <c r="V38" s="26"/>
      <c r="W38" s="58"/>
      <c r="X38" s="58"/>
      <c r="Y38" s="58"/>
      <c r="Z38" s="58"/>
      <c r="AA38" s="69"/>
      <c r="AB38" s="58"/>
      <c r="AC38" s="58"/>
      <c r="AD38" s="70" t="str">
        <f aca="false">IF(AC38&lt;&gt;"",VLOOKUP(AC38,Selects!$B$4:$C$100,2,0),"")</f>
        <v/>
      </c>
      <c r="AE38" s="26"/>
      <c r="AF38" s="58"/>
      <c r="AG38" s="59"/>
      <c r="AH38" s="65"/>
      <c r="AI38" s="66"/>
      <c r="AJ38" s="66"/>
      <c r="AK38" s="58"/>
      <c r="AL38" s="58"/>
      <c r="AM38" s="68" t="str">
        <f aca="false">IF(LEFT(AL38,1)="9","Celular",IF(AL38="","","Fixo"))</f>
        <v/>
      </c>
      <c r="AN38" s="58" t="str">
        <f aca="false">IF( AM38&lt;&gt;"",VLOOKUP(AM38,Selects!$M$4:$N$1000,2,0),"")</f>
        <v/>
      </c>
      <c r="AO38" s="58"/>
      <c r="AP38" s="59"/>
      <c r="AQ38" s="65"/>
      <c r="AR38" s="58"/>
      <c r="AS38" s="58"/>
      <c r="AT38" s="26"/>
      <c r="AU38" s="58"/>
      <c r="AV38" s="58"/>
      <c r="AW38" s="58"/>
      <c r="AX38" s="58"/>
      <c r="AY38" s="71"/>
      <c r="AZ38" s="58"/>
      <c r="BA38" s="58"/>
      <c r="BB38" s="72" t="str">
        <f aca="false">IF(BA38&lt;&gt;"",VLOOKUP(BA38,Selects!$B$4:$C$100,2,0),"")</f>
        <v/>
      </c>
      <c r="BC38" s="26"/>
      <c r="BD38" s="26"/>
      <c r="BE38" s="73"/>
      <c r="BF38" s="74"/>
      <c r="BG38" s="75" t="str">
        <f aca="false">IF(LEN(BF38)=11,"PF",IF(LEN(BF38)=14,"PJ",""))</f>
        <v/>
      </c>
      <c r="BH38" s="66"/>
      <c r="BI38" s="58" t="str">
        <f aca="false">IF(BH38&lt;&gt;"",VLOOKUP(BH38,Selects!$G:$H,2,0),"")</f>
        <v/>
      </c>
      <c r="BJ38" s="58"/>
      <c r="BK38" s="58"/>
      <c r="BL38" s="59"/>
      <c r="BM38" s="58"/>
      <c r="BN38" s="58"/>
      <c r="BO38" s="58" t="str">
        <f aca="false">IF(BN38&lt;&gt;"",VLOOKUP(BN38,Selects!$J$4:$K$1000,2,0),"")</f>
        <v/>
      </c>
      <c r="BP38" s="76"/>
      <c r="BQ38" s="59"/>
      <c r="BR38" s="77"/>
      <c r="BS38" s="59"/>
      <c r="BT38" s="77"/>
      <c r="BU38" s="58"/>
      <c r="BV38" s="58"/>
      <c r="BW38" s="58"/>
      <c r="BX38" s="58"/>
      <c r="BY38" s="58"/>
      <c r="BZ38" s="58"/>
      <c r="CA38" s="58"/>
      <c r="CB38" s="72" t="str">
        <f aca="false">IF(AC38&lt;&gt;"",VLOOKUP(AC38,Selects!$B:$E,4,0),"")</f>
        <v/>
      </c>
      <c r="CC38" s="58"/>
      <c r="CD38" s="58"/>
      <c r="CE38" s="58"/>
    </row>
    <row r="39" customFormat="false" ht="15.75" hidden="false" customHeight="true" outlineLevel="0" collapsed="false">
      <c r="A39" s="17"/>
      <c r="B39" s="58"/>
      <c r="C39" s="58"/>
      <c r="D39" s="59"/>
      <c r="E39" s="60" t="str">
        <f aca="false">IF(LEN(D39)=11,"PF",IF(LEN(D39)=14,"PJ",""))</f>
        <v/>
      </c>
      <c r="F39" s="59"/>
      <c r="G39" s="59"/>
      <c r="H39" s="61" t="str">
        <f aca="false">IF(G39&lt;&gt;"",VLOOKUP(G39,'Cnae  mcc  id'!$A:$M,9,0),"")</f>
        <v/>
      </c>
      <c r="I39" s="62"/>
      <c r="J39" s="63" t="str">
        <f aca="false">IF(I39&lt;&gt;"",VLOOKUP(I39,'Legal Nature'!$E$2:$G$84,3,0),"")</f>
        <v/>
      </c>
      <c r="K39" s="64"/>
      <c r="L39" s="65"/>
      <c r="M39" s="66"/>
      <c r="N39" s="66"/>
      <c r="O39" s="79"/>
      <c r="P39" s="26"/>
      <c r="Q39" s="58"/>
      <c r="R39" s="58"/>
      <c r="S39" s="58"/>
      <c r="T39" s="68" t="str">
        <f aca="false">IF(LEFT(S39,1)="9","Celular",IF(S39="","","Fixo"))</f>
        <v/>
      </c>
      <c r="U39" s="58" t="str">
        <f aca="false">IF( T39&lt;&gt;"",VLOOKUP(T39,Selects!$M$4:$N$1000,2,0),"")</f>
        <v/>
      </c>
      <c r="V39" s="26"/>
      <c r="W39" s="58"/>
      <c r="X39" s="58"/>
      <c r="Y39" s="58"/>
      <c r="Z39" s="58"/>
      <c r="AA39" s="69"/>
      <c r="AB39" s="58"/>
      <c r="AC39" s="58"/>
      <c r="AD39" s="70" t="str">
        <f aca="false">IF(AC39&lt;&gt;"",VLOOKUP(AC39,Selects!$B$4:$C$100,2,0),"")</f>
        <v/>
      </c>
      <c r="AE39" s="26"/>
      <c r="AF39" s="58"/>
      <c r="AG39" s="59"/>
      <c r="AH39" s="65"/>
      <c r="AI39" s="66"/>
      <c r="AJ39" s="66"/>
      <c r="AK39" s="58"/>
      <c r="AL39" s="58"/>
      <c r="AM39" s="68" t="str">
        <f aca="false">IF(LEFT(AL39,1)="9","Celular",IF(AL39="","","Fixo"))</f>
        <v/>
      </c>
      <c r="AN39" s="58" t="str">
        <f aca="false">IF( AM39&lt;&gt;"",VLOOKUP(AM39,Selects!$M$4:$N$1000,2,0),"")</f>
        <v/>
      </c>
      <c r="AO39" s="58"/>
      <c r="AP39" s="59"/>
      <c r="AQ39" s="65"/>
      <c r="AR39" s="58"/>
      <c r="AS39" s="58"/>
      <c r="AT39" s="26"/>
      <c r="AU39" s="58"/>
      <c r="AV39" s="58"/>
      <c r="AW39" s="58"/>
      <c r="AX39" s="58"/>
      <c r="AY39" s="71"/>
      <c r="AZ39" s="58"/>
      <c r="BA39" s="58"/>
      <c r="BB39" s="72" t="str">
        <f aca="false">IF(BA39&lt;&gt;"",VLOOKUP(BA39,Selects!$B$4:$C$100,2,0),"")</f>
        <v/>
      </c>
      <c r="BC39" s="26"/>
      <c r="BD39" s="26"/>
      <c r="BE39" s="73"/>
      <c r="BF39" s="74"/>
      <c r="BG39" s="75" t="str">
        <f aca="false">IF(LEN(BF39)=11,"PF",IF(LEN(BF39)=14,"PJ",""))</f>
        <v/>
      </c>
      <c r="BH39" s="66"/>
      <c r="BI39" s="58" t="str">
        <f aca="false">IF(BH39&lt;&gt;"",VLOOKUP(BH39,Selects!$G:$H,2,0),"")</f>
        <v/>
      </c>
      <c r="BJ39" s="58"/>
      <c r="BK39" s="58"/>
      <c r="BL39" s="59"/>
      <c r="BM39" s="58"/>
      <c r="BN39" s="58"/>
      <c r="BO39" s="58" t="str">
        <f aca="false">IF(BN39&lt;&gt;"",VLOOKUP(BN39,Selects!$J$4:$K$1000,2,0),"")</f>
        <v/>
      </c>
      <c r="BP39" s="76"/>
      <c r="BQ39" s="59"/>
      <c r="BR39" s="77"/>
      <c r="BS39" s="59"/>
      <c r="BT39" s="77"/>
      <c r="BU39" s="58"/>
      <c r="BV39" s="58"/>
      <c r="BW39" s="58"/>
      <c r="BX39" s="58"/>
      <c r="BY39" s="58"/>
      <c r="BZ39" s="58"/>
      <c r="CA39" s="58"/>
      <c r="CB39" s="72" t="str">
        <f aca="false">IF(AC39&lt;&gt;"",VLOOKUP(AC39,Selects!$B:$E,4,0),"")</f>
        <v/>
      </c>
      <c r="CC39" s="58"/>
      <c r="CD39" s="58"/>
      <c r="CE39" s="58"/>
    </row>
    <row r="40" customFormat="false" ht="15.75" hidden="false" customHeight="true" outlineLevel="0" collapsed="false">
      <c r="A40" s="17"/>
      <c r="B40" s="58"/>
      <c r="C40" s="58"/>
      <c r="D40" s="59"/>
      <c r="E40" s="60" t="str">
        <f aca="false">IF(LEN(D40)=11,"PF",IF(LEN(D40)=14,"PJ",""))</f>
        <v/>
      </c>
      <c r="F40" s="59"/>
      <c r="G40" s="59"/>
      <c r="H40" s="61" t="str">
        <f aca="false">IF(G40&lt;&gt;"",VLOOKUP(G40,'Cnae  mcc  id'!$A:$M,9,0),"")</f>
        <v/>
      </c>
      <c r="I40" s="62"/>
      <c r="J40" s="63" t="str">
        <f aca="false">IF(I40&lt;&gt;"",VLOOKUP(I40,'Legal Nature'!$E$2:$G$84,3,0),"")</f>
        <v/>
      </c>
      <c r="K40" s="64"/>
      <c r="L40" s="65"/>
      <c r="M40" s="66"/>
      <c r="N40" s="66"/>
      <c r="O40" s="79"/>
      <c r="P40" s="26"/>
      <c r="Q40" s="58"/>
      <c r="R40" s="58"/>
      <c r="S40" s="58"/>
      <c r="T40" s="68" t="str">
        <f aca="false">IF(LEFT(S40,1)="9","Celular",IF(S40="","","Fixo"))</f>
        <v/>
      </c>
      <c r="U40" s="58" t="str">
        <f aca="false">IF( T40&lt;&gt;"",VLOOKUP(T40,Selects!$M$4:$N$1000,2,0),"")</f>
        <v/>
      </c>
      <c r="V40" s="26"/>
      <c r="W40" s="58"/>
      <c r="X40" s="58"/>
      <c r="Y40" s="58"/>
      <c r="Z40" s="58"/>
      <c r="AA40" s="69"/>
      <c r="AB40" s="58"/>
      <c r="AC40" s="58"/>
      <c r="AD40" s="70" t="str">
        <f aca="false">IF(AC40&lt;&gt;"",VLOOKUP(AC40,Selects!$B$4:$C$100,2,0),"")</f>
        <v/>
      </c>
      <c r="AE40" s="26"/>
      <c r="AF40" s="58"/>
      <c r="AG40" s="59"/>
      <c r="AH40" s="65"/>
      <c r="AI40" s="66"/>
      <c r="AJ40" s="66"/>
      <c r="AK40" s="58"/>
      <c r="AL40" s="58"/>
      <c r="AM40" s="68" t="str">
        <f aca="false">IF(LEFT(AL40,1)="9","Celular",IF(AL40="","","Fixo"))</f>
        <v/>
      </c>
      <c r="AN40" s="58" t="str">
        <f aca="false">IF( AM40&lt;&gt;"",VLOOKUP(AM40,Selects!$M$4:$N$1000,2,0),"")</f>
        <v/>
      </c>
      <c r="AO40" s="58"/>
      <c r="AP40" s="59"/>
      <c r="AQ40" s="65"/>
      <c r="AR40" s="58"/>
      <c r="AS40" s="58"/>
      <c r="AT40" s="26"/>
      <c r="AU40" s="58"/>
      <c r="AV40" s="58"/>
      <c r="AW40" s="58"/>
      <c r="AX40" s="58"/>
      <c r="AY40" s="71"/>
      <c r="AZ40" s="58"/>
      <c r="BA40" s="58"/>
      <c r="BB40" s="72" t="str">
        <f aca="false">IF(BA40&lt;&gt;"",VLOOKUP(BA40,Selects!$B$4:$C$100,2,0),"")</f>
        <v/>
      </c>
      <c r="BC40" s="26"/>
      <c r="BD40" s="26"/>
      <c r="BE40" s="73"/>
      <c r="BF40" s="74"/>
      <c r="BG40" s="75" t="str">
        <f aca="false">IF(LEN(BF40)=11,"PF",IF(LEN(BF40)=14,"PJ",""))</f>
        <v/>
      </c>
      <c r="BH40" s="66"/>
      <c r="BI40" s="58" t="str">
        <f aca="false">IF(BH40&lt;&gt;"",VLOOKUP(BH40,Selects!$G:$H,2,0),"")</f>
        <v/>
      </c>
      <c r="BJ40" s="58"/>
      <c r="BK40" s="58"/>
      <c r="BL40" s="59"/>
      <c r="BM40" s="58"/>
      <c r="BN40" s="58"/>
      <c r="BO40" s="58" t="str">
        <f aca="false">IF(BN40&lt;&gt;"",VLOOKUP(BN40,Selects!$J$4:$K$1000,2,0),"")</f>
        <v/>
      </c>
      <c r="BP40" s="76"/>
      <c r="BQ40" s="59"/>
      <c r="BR40" s="77"/>
      <c r="BS40" s="59"/>
      <c r="BT40" s="77"/>
      <c r="BU40" s="58"/>
      <c r="BV40" s="58"/>
      <c r="BW40" s="58"/>
      <c r="BX40" s="58"/>
      <c r="BY40" s="58"/>
      <c r="BZ40" s="58"/>
      <c r="CA40" s="58"/>
      <c r="CB40" s="72" t="str">
        <f aca="false">IF(AC40&lt;&gt;"",VLOOKUP(AC40,Selects!$B:$E,4,0),"")</f>
        <v/>
      </c>
      <c r="CC40" s="58"/>
      <c r="CD40" s="58"/>
      <c r="CE40" s="58"/>
    </row>
    <row r="41" customFormat="false" ht="15.75" hidden="false" customHeight="true" outlineLevel="0" collapsed="false">
      <c r="A41" s="17"/>
      <c r="B41" s="58"/>
      <c r="C41" s="58"/>
      <c r="D41" s="59"/>
      <c r="E41" s="60" t="str">
        <f aca="false">IF(LEN(D41)=11,"PF",IF(LEN(D41)=14,"PJ",""))</f>
        <v/>
      </c>
      <c r="F41" s="59"/>
      <c r="G41" s="59"/>
      <c r="H41" s="61" t="str">
        <f aca="false">IF(G41&lt;&gt;"",VLOOKUP(G41,'Cnae  mcc  id'!$A:$M,9,0),"")</f>
        <v/>
      </c>
      <c r="I41" s="62"/>
      <c r="J41" s="63" t="str">
        <f aca="false">IF(I41&lt;&gt;"",VLOOKUP(I41,'Legal Nature'!$E$2:$G$84,3,0),"")</f>
        <v/>
      </c>
      <c r="K41" s="64"/>
      <c r="L41" s="65"/>
      <c r="M41" s="66"/>
      <c r="N41" s="66"/>
      <c r="O41" s="79"/>
      <c r="P41" s="26"/>
      <c r="Q41" s="58"/>
      <c r="R41" s="58"/>
      <c r="S41" s="58"/>
      <c r="T41" s="68" t="str">
        <f aca="false">IF(LEFT(S41,1)="9","Celular",IF(S41="","","Fixo"))</f>
        <v/>
      </c>
      <c r="U41" s="58" t="str">
        <f aca="false">IF( T41&lt;&gt;"",VLOOKUP(T41,Selects!$M$4:$N$1000,2,0),"")</f>
        <v/>
      </c>
      <c r="V41" s="26"/>
      <c r="W41" s="58"/>
      <c r="X41" s="58"/>
      <c r="Y41" s="58"/>
      <c r="Z41" s="58"/>
      <c r="AA41" s="69"/>
      <c r="AB41" s="58"/>
      <c r="AC41" s="58"/>
      <c r="AD41" s="70" t="str">
        <f aca="false">IF(AC41&lt;&gt;"",VLOOKUP(AC41,Selects!$B$4:$C$100,2,0),"")</f>
        <v/>
      </c>
      <c r="AE41" s="26"/>
      <c r="AF41" s="58"/>
      <c r="AG41" s="59"/>
      <c r="AH41" s="65"/>
      <c r="AI41" s="66"/>
      <c r="AJ41" s="66"/>
      <c r="AK41" s="58"/>
      <c r="AL41" s="58"/>
      <c r="AM41" s="68" t="str">
        <f aca="false">IF(LEFT(AL41,1)="9","Celular",IF(AL41="","","Fixo"))</f>
        <v/>
      </c>
      <c r="AN41" s="58" t="str">
        <f aca="false">IF( AM41&lt;&gt;"",VLOOKUP(AM41,Selects!$M$4:$N$1000,2,0),"")</f>
        <v/>
      </c>
      <c r="AO41" s="58"/>
      <c r="AP41" s="59"/>
      <c r="AQ41" s="65"/>
      <c r="AR41" s="58"/>
      <c r="AS41" s="58"/>
      <c r="AT41" s="26"/>
      <c r="AU41" s="58"/>
      <c r="AV41" s="58"/>
      <c r="AW41" s="58"/>
      <c r="AX41" s="58"/>
      <c r="AY41" s="71"/>
      <c r="AZ41" s="58"/>
      <c r="BA41" s="58"/>
      <c r="BB41" s="72" t="str">
        <f aca="false">IF(BA41&lt;&gt;"",VLOOKUP(BA41,Selects!$B$4:$C$100,2,0),"")</f>
        <v/>
      </c>
      <c r="BC41" s="26"/>
      <c r="BD41" s="26"/>
      <c r="BE41" s="73"/>
      <c r="BF41" s="74"/>
      <c r="BG41" s="75" t="str">
        <f aca="false">IF(LEN(BF41)=11,"PF",IF(LEN(BF41)=14,"PJ",""))</f>
        <v/>
      </c>
      <c r="BH41" s="66"/>
      <c r="BI41" s="58" t="str">
        <f aca="false">IF(BH41&lt;&gt;"",VLOOKUP(BH41,Selects!$G:$H,2,0),"")</f>
        <v/>
      </c>
      <c r="BJ41" s="58"/>
      <c r="BK41" s="58"/>
      <c r="BL41" s="59"/>
      <c r="BM41" s="58"/>
      <c r="BN41" s="58"/>
      <c r="BO41" s="58" t="str">
        <f aca="false">IF(BN41&lt;&gt;"",VLOOKUP(BN41,Selects!$J$4:$K$1000,2,0),"")</f>
        <v/>
      </c>
      <c r="BP41" s="76"/>
      <c r="BQ41" s="59"/>
      <c r="BR41" s="77"/>
      <c r="BS41" s="59"/>
      <c r="BT41" s="77"/>
      <c r="BU41" s="58"/>
      <c r="BV41" s="58"/>
      <c r="BW41" s="58"/>
      <c r="BX41" s="58"/>
      <c r="BY41" s="58"/>
      <c r="BZ41" s="58"/>
      <c r="CA41" s="58"/>
      <c r="CB41" s="72" t="str">
        <f aca="false">IF(AC41&lt;&gt;"",VLOOKUP(AC41,Selects!$B:$E,4,0),"")</f>
        <v/>
      </c>
      <c r="CC41" s="58"/>
      <c r="CD41" s="58"/>
      <c r="CE41" s="58"/>
    </row>
    <row r="42" customFormat="false" ht="15.75" hidden="false" customHeight="true" outlineLevel="0" collapsed="false">
      <c r="A42" s="17"/>
      <c r="B42" s="58"/>
      <c r="C42" s="58"/>
      <c r="D42" s="59"/>
      <c r="E42" s="60" t="str">
        <f aca="false">IF(LEN(D42)=11,"PF",IF(LEN(D42)=14,"PJ",""))</f>
        <v/>
      </c>
      <c r="F42" s="59"/>
      <c r="G42" s="59"/>
      <c r="H42" s="61" t="str">
        <f aca="false">IF(G42&lt;&gt;"",VLOOKUP(G42,'Cnae  mcc  id'!$A:$M,9,0),"")</f>
        <v/>
      </c>
      <c r="I42" s="62"/>
      <c r="J42" s="63" t="str">
        <f aca="false">IF(I42&lt;&gt;"",VLOOKUP(I42,'Legal Nature'!$E$2:$G$84,3,0),"")</f>
        <v/>
      </c>
      <c r="K42" s="64"/>
      <c r="L42" s="65"/>
      <c r="M42" s="66"/>
      <c r="N42" s="66"/>
      <c r="O42" s="79"/>
      <c r="P42" s="26"/>
      <c r="Q42" s="58"/>
      <c r="R42" s="58"/>
      <c r="S42" s="58"/>
      <c r="T42" s="68" t="str">
        <f aca="false">IF(LEFT(S42,1)="9","Celular",IF(S42="","","Fixo"))</f>
        <v/>
      </c>
      <c r="U42" s="58" t="str">
        <f aca="false">IF( T42&lt;&gt;"",VLOOKUP(T42,Selects!$M$4:$N$1000,2,0),"")</f>
        <v/>
      </c>
      <c r="V42" s="26"/>
      <c r="W42" s="58"/>
      <c r="X42" s="58"/>
      <c r="Y42" s="58"/>
      <c r="Z42" s="58"/>
      <c r="AA42" s="69"/>
      <c r="AB42" s="58"/>
      <c r="AC42" s="58"/>
      <c r="AD42" s="70" t="str">
        <f aca="false">IF(AC42&lt;&gt;"",VLOOKUP(AC42,Selects!$B$4:$C$100,2,0),"")</f>
        <v/>
      </c>
      <c r="AE42" s="26"/>
      <c r="AF42" s="58"/>
      <c r="AG42" s="59"/>
      <c r="AH42" s="65"/>
      <c r="AI42" s="66"/>
      <c r="AJ42" s="66"/>
      <c r="AK42" s="58"/>
      <c r="AL42" s="58"/>
      <c r="AM42" s="68" t="str">
        <f aca="false">IF(LEFT(AL42,1)="9","Celular",IF(AL42="","","Fixo"))</f>
        <v/>
      </c>
      <c r="AN42" s="58" t="str">
        <f aca="false">IF( AM42&lt;&gt;"",VLOOKUP(AM42,Selects!$M$4:$N$1000,2,0),"")</f>
        <v/>
      </c>
      <c r="AO42" s="58"/>
      <c r="AP42" s="59"/>
      <c r="AQ42" s="65"/>
      <c r="AR42" s="58"/>
      <c r="AS42" s="58"/>
      <c r="AT42" s="26"/>
      <c r="AU42" s="58"/>
      <c r="AV42" s="58"/>
      <c r="AW42" s="58"/>
      <c r="AX42" s="58"/>
      <c r="AY42" s="71"/>
      <c r="AZ42" s="58"/>
      <c r="BA42" s="58"/>
      <c r="BB42" s="72" t="str">
        <f aca="false">IF(BA42&lt;&gt;"",VLOOKUP(BA42,Selects!$B$4:$C$100,2,0),"")</f>
        <v/>
      </c>
      <c r="BC42" s="26"/>
      <c r="BD42" s="26"/>
      <c r="BE42" s="73"/>
      <c r="BF42" s="74"/>
      <c r="BG42" s="75" t="str">
        <f aca="false">IF(LEN(BF42)=11,"PF",IF(LEN(BF42)=14,"PJ",""))</f>
        <v/>
      </c>
      <c r="BH42" s="66"/>
      <c r="BI42" s="58" t="str">
        <f aca="false">IF(BH42&lt;&gt;"",VLOOKUP(BH42,Selects!$G:$H,2,0),"")</f>
        <v/>
      </c>
      <c r="BJ42" s="58"/>
      <c r="BK42" s="58"/>
      <c r="BL42" s="59"/>
      <c r="BM42" s="58"/>
      <c r="BN42" s="58"/>
      <c r="BO42" s="58" t="str">
        <f aca="false">IF(BN42&lt;&gt;"",VLOOKUP(BN42,Selects!$J$4:$K$1000,2,0),"")</f>
        <v/>
      </c>
      <c r="BP42" s="76"/>
      <c r="BQ42" s="59"/>
      <c r="BR42" s="77"/>
      <c r="BS42" s="59"/>
      <c r="BT42" s="77"/>
      <c r="BU42" s="58"/>
      <c r="BV42" s="58"/>
      <c r="BW42" s="58"/>
      <c r="BX42" s="58"/>
      <c r="BY42" s="58"/>
      <c r="BZ42" s="58"/>
      <c r="CA42" s="58"/>
      <c r="CB42" s="72" t="str">
        <f aca="false">IF(AC42&lt;&gt;"",VLOOKUP(AC42,Selects!$B:$E,4,0),"")</f>
        <v/>
      </c>
      <c r="CC42" s="58"/>
      <c r="CD42" s="58"/>
      <c r="CE42" s="58"/>
    </row>
    <row r="43" customFormat="false" ht="15.75" hidden="false" customHeight="true" outlineLevel="0" collapsed="false">
      <c r="A43" s="17"/>
      <c r="B43" s="58"/>
      <c r="C43" s="58"/>
      <c r="D43" s="59"/>
      <c r="E43" s="60" t="str">
        <f aca="false">IF(LEN(D43)=11,"PF",IF(LEN(D43)=14,"PJ",""))</f>
        <v/>
      </c>
      <c r="F43" s="59"/>
      <c r="G43" s="59"/>
      <c r="H43" s="61" t="str">
        <f aca="false">IF(G43&lt;&gt;"",VLOOKUP(G43,'Cnae  mcc  id'!$A:$M,9,0),"")</f>
        <v/>
      </c>
      <c r="I43" s="62"/>
      <c r="J43" s="63" t="str">
        <f aca="false">IF(I43&lt;&gt;"",VLOOKUP(I43,'Legal Nature'!$E$2:$G$84,3,0),"")</f>
        <v/>
      </c>
      <c r="K43" s="64"/>
      <c r="L43" s="65"/>
      <c r="M43" s="66"/>
      <c r="N43" s="66"/>
      <c r="O43" s="79"/>
      <c r="P43" s="26"/>
      <c r="Q43" s="58"/>
      <c r="R43" s="58"/>
      <c r="S43" s="58"/>
      <c r="T43" s="68" t="str">
        <f aca="false">IF(LEFT(S43,1)="9","Celular",IF(S43="","","Fixo"))</f>
        <v/>
      </c>
      <c r="U43" s="58" t="str">
        <f aca="false">IF( T43&lt;&gt;"",VLOOKUP(T43,Selects!$M$4:$N$1000,2,0),"")</f>
        <v/>
      </c>
      <c r="V43" s="26"/>
      <c r="W43" s="58"/>
      <c r="X43" s="58"/>
      <c r="Y43" s="58"/>
      <c r="Z43" s="58"/>
      <c r="AA43" s="69"/>
      <c r="AB43" s="58"/>
      <c r="AC43" s="58"/>
      <c r="AD43" s="70" t="str">
        <f aca="false">IF(AC43&lt;&gt;"",VLOOKUP(AC43,Selects!$B$4:$C$100,2,0),"")</f>
        <v/>
      </c>
      <c r="AE43" s="26"/>
      <c r="AF43" s="58"/>
      <c r="AG43" s="59"/>
      <c r="AH43" s="65"/>
      <c r="AI43" s="66"/>
      <c r="AJ43" s="66"/>
      <c r="AK43" s="58"/>
      <c r="AL43" s="58"/>
      <c r="AM43" s="68" t="str">
        <f aca="false">IF(LEFT(AL43,1)="9","Celular",IF(AL43="","","Fixo"))</f>
        <v/>
      </c>
      <c r="AN43" s="58" t="str">
        <f aca="false">IF( AM43&lt;&gt;"",VLOOKUP(AM43,Selects!$M$4:$N$1000,2,0),"")</f>
        <v/>
      </c>
      <c r="AO43" s="58"/>
      <c r="AP43" s="59"/>
      <c r="AQ43" s="65"/>
      <c r="AR43" s="58"/>
      <c r="AS43" s="58"/>
      <c r="AT43" s="26"/>
      <c r="AU43" s="58"/>
      <c r="AV43" s="58"/>
      <c r="AW43" s="58"/>
      <c r="AX43" s="58"/>
      <c r="AY43" s="71"/>
      <c r="AZ43" s="58"/>
      <c r="BA43" s="58"/>
      <c r="BB43" s="72" t="str">
        <f aca="false">IF(BA43&lt;&gt;"",VLOOKUP(BA43,Selects!$B$4:$C$100,2,0),"")</f>
        <v/>
      </c>
      <c r="BC43" s="26"/>
      <c r="BD43" s="26"/>
      <c r="BE43" s="73"/>
      <c r="BF43" s="74"/>
      <c r="BG43" s="75" t="str">
        <f aca="false">IF(LEN(BF43)=11,"PF",IF(LEN(BF43)=14,"PJ",""))</f>
        <v/>
      </c>
      <c r="BH43" s="66"/>
      <c r="BI43" s="58" t="str">
        <f aca="false">IF(BH43&lt;&gt;"",VLOOKUP(BH43,Selects!$G:$H,2,0),"")</f>
        <v/>
      </c>
      <c r="BJ43" s="58"/>
      <c r="BK43" s="58"/>
      <c r="BL43" s="59"/>
      <c r="BM43" s="58"/>
      <c r="BN43" s="58"/>
      <c r="BO43" s="58" t="str">
        <f aca="false">IF(BN43&lt;&gt;"",VLOOKUP(BN43,Selects!$J$4:$K$1000,2,0),"")</f>
        <v/>
      </c>
      <c r="BP43" s="76"/>
      <c r="BQ43" s="59"/>
      <c r="BR43" s="77"/>
      <c r="BS43" s="59"/>
      <c r="BT43" s="77"/>
      <c r="BU43" s="58"/>
      <c r="BV43" s="58"/>
      <c r="BW43" s="58"/>
      <c r="BX43" s="58"/>
      <c r="BY43" s="58"/>
      <c r="BZ43" s="58"/>
      <c r="CA43" s="58"/>
      <c r="CB43" s="72" t="str">
        <f aca="false">IF(AC43&lt;&gt;"",VLOOKUP(AC43,Selects!$B:$E,4,0),"")</f>
        <v/>
      </c>
      <c r="CC43" s="58"/>
      <c r="CD43" s="58"/>
      <c r="CE43" s="58"/>
    </row>
    <row r="44" customFormat="false" ht="15.75" hidden="false" customHeight="true" outlineLevel="0" collapsed="false">
      <c r="A44" s="17"/>
      <c r="B44" s="58"/>
      <c r="C44" s="58"/>
      <c r="D44" s="59"/>
      <c r="E44" s="60" t="str">
        <f aca="false">IF(LEN(D44)=11,"PF",IF(LEN(D44)=14,"PJ",""))</f>
        <v/>
      </c>
      <c r="F44" s="59"/>
      <c r="G44" s="59"/>
      <c r="H44" s="61" t="str">
        <f aca="false">IF(G44&lt;&gt;"",VLOOKUP(G44,'Cnae  mcc  id'!$A:$M,9,0),"")</f>
        <v/>
      </c>
      <c r="I44" s="62"/>
      <c r="J44" s="63" t="str">
        <f aca="false">IF(I44&lt;&gt;"",VLOOKUP(I44,'Legal Nature'!$E$2:$G$84,3,0),"")</f>
        <v/>
      </c>
      <c r="K44" s="64"/>
      <c r="L44" s="65"/>
      <c r="M44" s="66"/>
      <c r="N44" s="66"/>
      <c r="O44" s="79"/>
      <c r="P44" s="26"/>
      <c r="Q44" s="58"/>
      <c r="R44" s="58"/>
      <c r="S44" s="58"/>
      <c r="T44" s="68" t="str">
        <f aca="false">IF(LEFT(S44,1)="9","Celular",IF(S44="","","Fixo"))</f>
        <v/>
      </c>
      <c r="U44" s="58" t="str">
        <f aca="false">IF( T44&lt;&gt;"",VLOOKUP(T44,Selects!$M$4:$N$1000,2,0),"")</f>
        <v/>
      </c>
      <c r="V44" s="26"/>
      <c r="W44" s="58"/>
      <c r="X44" s="58"/>
      <c r="Y44" s="58"/>
      <c r="Z44" s="58"/>
      <c r="AA44" s="69"/>
      <c r="AB44" s="58"/>
      <c r="AC44" s="58"/>
      <c r="AD44" s="70" t="str">
        <f aca="false">IF(AC44&lt;&gt;"",VLOOKUP(AC44,Selects!$B$4:$C$100,2,0),"")</f>
        <v/>
      </c>
      <c r="AE44" s="26"/>
      <c r="AF44" s="58"/>
      <c r="AG44" s="59"/>
      <c r="AH44" s="65"/>
      <c r="AI44" s="66"/>
      <c r="AJ44" s="66"/>
      <c r="AK44" s="58"/>
      <c r="AL44" s="58"/>
      <c r="AM44" s="68" t="str">
        <f aca="false">IF(LEFT(AL44,1)="9","Celular",IF(AL44="","","Fixo"))</f>
        <v/>
      </c>
      <c r="AN44" s="58" t="str">
        <f aca="false">IF( AM44&lt;&gt;"",VLOOKUP(AM44,Selects!$M$4:$N$1000,2,0),"")</f>
        <v/>
      </c>
      <c r="AO44" s="58"/>
      <c r="AP44" s="59"/>
      <c r="AQ44" s="65"/>
      <c r="AR44" s="58"/>
      <c r="AS44" s="58"/>
      <c r="AT44" s="26"/>
      <c r="AU44" s="58"/>
      <c r="AV44" s="58"/>
      <c r="AW44" s="58"/>
      <c r="AX44" s="58"/>
      <c r="AY44" s="71"/>
      <c r="AZ44" s="58"/>
      <c r="BA44" s="58"/>
      <c r="BB44" s="72" t="str">
        <f aca="false">IF(BA44&lt;&gt;"",VLOOKUP(BA44,Selects!$B$4:$C$100,2,0),"")</f>
        <v/>
      </c>
      <c r="BC44" s="26"/>
      <c r="BD44" s="26"/>
      <c r="BE44" s="73"/>
      <c r="BF44" s="74"/>
      <c r="BG44" s="75" t="str">
        <f aca="false">IF(LEN(BF44)=11,"PF",IF(LEN(BF44)=14,"PJ",""))</f>
        <v/>
      </c>
      <c r="BH44" s="66"/>
      <c r="BI44" s="58" t="str">
        <f aca="false">IF(BH44&lt;&gt;"",VLOOKUP(BH44,Selects!$G:$H,2,0),"")</f>
        <v/>
      </c>
      <c r="BJ44" s="58"/>
      <c r="BK44" s="58"/>
      <c r="BL44" s="59"/>
      <c r="BM44" s="58"/>
      <c r="BN44" s="58"/>
      <c r="BO44" s="58" t="str">
        <f aca="false">IF(BN44&lt;&gt;"",VLOOKUP(BN44,Selects!$J$4:$K$1000,2,0),"")</f>
        <v/>
      </c>
      <c r="BP44" s="76"/>
      <c r="BQ44" s="59"/>
      <c r="BR44" s="77"/>
      <c r="BS44" s="59"/>
      <c r="BT44" s="77"/>
      <c r="BU44" s="58"/>
      <c r="BV44" s="58"/>
      <c r="BW44" s="58"/>
      <c r="BX44" s="58"/>
      <c r="BY44" s="58"/>
      <c r="BZ44" s="58"/>
      <c r="CA44" s="58"/>
      <c r="CB44" s="72" t="str">
        <f aca="false">IF(AC44&lt;&gt;"",VLOOKUP(AC44,Selects!$B:$E,4,0),"")</f>
        <v/>
      </c>
      <c r="CC44" s="58"/>
      <c r="CD44" s="58"/>
      <c r="CE44" s="58"/>
    </row>
    <row r="45" customFormat="false" ht="15.75" hidden="false" customHeight="true" outlineLevel="0" collapsed="false">
      <c r="A45" s="17"/>
      <c r="B45" s="58"/>
      <c r="C45" s="58"/>
      <c r="D45" s="59"/>
      <c r="E45" s="60" t="str">
        <f aca="false">IF(LEN(D45)=11,"PF",IF(LEN(D45)=14,"PJ",""))</f>
        <v/>
      </c>
      <c r="F45" s="59"/>
      <c r="G45" s="59"/>
      <c r="H45" s="61" t="str">
        <f aca="false">IF(G45&lt;&gt;"",VLOOKUP(G45,'Cnae  mcc  id'!$A:$M,9,0),"")</f>
        <v/>
      </c>
      <c r="I45" s="62"/>
      <c r="J45" s="63" t="str">
        <f aca="false">IF(I45&lt;&gt;"",VLOOKUP(I45,'Legal Nature'!$E$2:$G$84,3,0),"")</f>
        <v/>
      </c>
      <c r="K45" s="64"/>
      <c r="L45" s="65"/>
      <c r="M45" s="66"/>
      <c r="N45" s="66"/>
      <c r="O45" s="79"/>
      <c r="P45" s="26"/>
      <c r="Q45" s="58"/>
      <c r="R45" s="58"/>
      <c r="S45" s="58"/>
      <c r="T45" s="68" t="str">
        <f aca="false">IF(LEFT(S45,1)="9","Celular",IF(S45="","","Fixo"))</f>
        <v/>
      </c>
      <c r="U45" s="58" t="str">
        <f aca="false">IF( T45&lt;&gt;"",VLOOKUP(T45,Selects!$M$4:$N$1000,2,0),"")</f>
        <v/>
      </c>
      <c r="V45" s="26"/>
      <c r="W45" s="58"/>
      <c r="X45" s="58"/>
      <c r="Y45" s="58"/>
      <c r="Z45" s="58"/>
      <c r="AA45" s="69"/>
      <c r="AB45" s="58"/>
      <c r="AC45" s="58"/>
      <c r="AD45" s="70" t="str">
        <f aca="false">IF(AC45&lt;&gt;"",VLOOKUP(AC45,Selects!$B$4:$C$100,2,0),"")</f>
        <v/>
      </c>
      <c r="AE45" s="26"/>
      <c r="AF45" s="58"/>
      <c r="AG45" s="59"/>
      <c r="AH45" s="65"/>
      <c r="AI45" s="66"/>
      <c r="AJ45" s="66"/>
      <c r="AK45" s="58"/>
      <c r="AL45" s="58"/>
      <c r="AM45" s="68" t="str">
        <f aca="false">IF(LEFT(AL45,1)="9","Celular",IF(AL45="","","Fixo"))</f>
        <v/>
      </c>
      <c r="AN45" s="58" t="str">
        <f aca="false">IF( AM45&lt;&gt;"",VLOOKUP(AM45,Selects!$M$4:$N$1000,2,0),"")</f>
        <v/>
      </c>
      <c r="AO45" s="58"/>
      <c r="AP45" s="59"/>
      <c r="AQ45" s="65"/>
      <c r="AR45" s="58"/>
      <c r="AS45" s="58"/>
      <c r="AT45" s="26"/>
      <c r="AU45" s="58"/>
      <c r="AV45" s="58"/>
      <c r="AW45" s="58"/>
      <c r="AX45" s="58"/>
      <c r="AY45" s="71"/>
      <c r="AZ45" s="58"/>
      <c r="BA45" s="58"/>
      <c r="BB45" s="72" t="str">
        <f aca="false">IF(BA45&lt;&gt;"",VLOOKUP(BA45,Selects!$B$4:$C$100,2,0),"")</f>
        <v/>
      </c>
      <c r="BC45" s="26"/>
      <c r="BD45" s="26"/>
      <c r="BE45" s="73"/>
      <c r="BF45" s="74"/>
      <c r="BG45" s="75" t="str">
        <f aca="false">IF(LEN(BF45)=11,"PF",IF(LEN(BF45)=14,"PJ",""))</f>
        <v/>
      </c>
      <c r="BH45" s="66"/>
      <c r="BI45" s="58" t="str">
        <f aca="false">IF(BH45&lt;&gt;"",VLOOKUP(BH45,Selects!$G:$H,2,0),"")</f>
        <v/>
      </c>
      <c r="BJ45" s="58"/>
      <c r="BK45" s="58"/>
      <c r="BL45" s="59"/>
      <c r="BM45" s="58"/>
      <c r="BN45" s="58"/>
      <c r="BO45" s="58" t="str">
        <f aca="false">IF(BN45&lt;&gt;"",VLOOKUP(BN45,Selects!$J$4:$K$1000,2,0),"")</f>
        <v/>
      </c>
      <c r="BP45" s="76"/>
      <c r="BQ45" s="59"/>
      <c r="BR45" s="77"/>
      <c r="BS45" s="59"/>
      <c r="BT45" s="77"/>
      <c r="BU45" s="58"/>
      <c r="BV45" s="58"/>
      <c r="BW45" s="58"/>
      <c r="BX45" s="58"/>
      <c r="BY45" s="58"/>
      <c r="BZ45" s="58"/>
      <c r="CA45" s="58"/>
      <c r="CB45" s="72" t="str">
        <f aca="false">IF(AC45&lt;&gt;"",VLOOKUP(AC45,Selects!$B:$E,4,0),"")</f>
        <v/>
      </c>
      <c r="CC45" s="58"/>
      <c r="CD45" s="58"/>
      <c r="CE45" s="58"/>
    </row>
    <row r="46" customFormat="false" ht="15.75" hidden="false" customHeight="true" outlineLevel="0" collapsed="false">
      <c r="A46" s="17"/>
      <c r="B46" s="58"/>
      <c r="C46" s="58"/>
      <c r="D46" s="59"/>
      <c r="E46" s="60" t="str">
        <f aca="false">IF(LEN(D46)=11,"PF",IF(LEN(D46)=14,"PJ",""))</f>
        <v/>
      </c>
      <c r="F46" s="59"/>
      <c r="G46" s="59"/>
      <c r="H46" s="61" t="str">
        <f aca="false">IF(G46&lt;&gt;"",VLOOKUP(G46,'Cnae  mcc  id'!$A:$M,9,0),"")</f>
        <v/>
      </c>
      <c r="I46" s="62"/>
      <c r="J46" s="63" t="str">
        <f aca="false">IF(I46&lt;&gt;"",VLOOKUP(I46,'Legal Nature'!$E$2:$G$84,3,0),"")</f>
        <v/>
      </c>
      <c r="K46" s="64"/>
      <c r="L46" s="65"/>
      <c r="M46" s="66"/>
      <c r="N46" s="66"/>
      <c r="O46" s="79"/>
      <c r="P46" s="26"/>
      <c r="Q46" s="58"/>
      <c r="R46" s="58"/>
      <c r="S46" s="58"/>
      <c r="T46" s="68" t="str">
        <f aca="false">IF(LEFT(S46,1)="9","Celular",IF(S46="","","Fixo"))</f>
        <v/>
      </c>
      <c r="U46" s="58" t="str">
        <f aca="false">IF( T46&lt;&gt;"",VLOOKUP(T46,Selects!$M$4:$N$1000,2,0),"")</f>
        <v/>
      </c>
      <c r="V46" s="26"/>
      <c r="W46" s="58"/>
      <c r="X46" s="58"/>
      <c r="Y46" s="58"/>
      <c r="Z46" s="58"/>
      <c r="AA46" s="69"/>
      <c r="AB46" s="58"/>
      <c r="AC46" s="58"/>
      <c r="AD46" s="70" t="str">
        <f aca="false">IF(AC46&lt;&gt;"",VLOOKUP(AC46,Selects!$B$4:$C$100,2,0),"")</f>
        <v/>
      </c>
      <c r="AE46" s="26"/>
      <c r="AF46" s="58"/>
      <c r="AG46" s="59"/>
      <c r="AH46" s="65"/>
      <c r="AI46" s="66"/>
      <c r="AJ46" s="66"/>
      <c r="AK46" s="58"/>
      <c r="AL46" s="58"/>
      <c r="AM46" s="68" t="str">
        <f aca="false">IF(LEFT(AL46,1)="9","Celular",IF(AL46="","","Fixo"))</f>
        <v/>
      </c>
      <c r="AN46" s="58" t="str">
        <f aca="false">IF( AM46&lt;&gt;"",VLOOKUP(AM46,Selects!$M$4:$N$1000,2,0),"")</f>
        <v/>
      </c>
      <c r="AO46" s="58"/>
      <c r="AP46" s="59"/>
      <c r="AQ46" s="65"/>
      <c r="AR46" s="58"/>
      <c r="AS46" s="58"/>
      <c r="AT46" s="26"/>
      <c r="AU46" s="58"/>
      <c r="AV46" s="58"/>
      <c r="AW46" s="58"/>
      <c r="AX46" s="58"/>
      <c r="AY46" s="71"/>
      <c r="AZ46" s="58"/>
      <c r="BA46" s="58"/>
      <c r="BB46" s="72" t="str">
        <f aca="false">IF(BA46&lt;&gt;"",VLOOKUP(BA46,Selects!$B$4:$C$100,2,0),"")</f>
        <v/>
      </c>
      <c r="BC46" s="26"/>
      <c r="BD46" s="26"/>
      <c r="BE46" s="73"/>
      <c r="BF46" s="74"/>
      <c r="BG46" s="75" t="str">
        <f aca="false">IF(LEN(BF46)=11,"PF",IF(LEN(BF46)=14,"PJ",""))</f>
        <v/>
      </c>
      <c r="BH46" s="66"/>
      <c r="BI46" s="58" t="str">
        <f aca="false">IF(BH46&lt;&gt;"",VLOOKUP(BH46,Selects!$G:$H,2,0),"")</f>
        <v/>
      </c>
      <c r="BJ46" s="58"/>
      <c r="BK46" s="58"/>
      <c r="BL46" s="59"/>
      <c r="BM46" s="58"/>
      <c r="BN46" s="58"/>
      <c r="BO46" s="58" t="str">
        <f aca="false">IF(BN46&lt;&gt;"",VLOOKUP(BN46,Selects!$J$4:$K$1000,2,0),"")</f>
        <v/>
      </c>
      <c r="BP46" s="76"/>
      <c r="BQ46" s="59"/>
      <c r="BR46" s="77"/>
      <c r="BS46" s="59"/>
      <c r="BT46" s="77"/>
      <c r="BU46" s="58"/>
      <c r="BV46" s="58"/>
      <c r="BW46" s="58"/>
      <c r="BX46" s="58"/>
      <c r="BY46" s="58"/>
      <c r="BZ46" s="58"/>
      <c r="CA46" s="58"/>
      <c r="CB46" s="72" t="str">
        <f aca="false">IF(AC46&lt;&gt;"",VLOOKUP(AC46,Selects!$B:$E,4,0),"")</f>
        <v/>
      </c>
      <c r="CC46" s="58"/>
      <c r="CD46" s="58"/>
      <c r="CE46" s="58"/>
    </row>
    <row r="47" customFormat="false" ht="15.75" hidden="false" customHeight="true" outlineLevel="0" collapsed="false">
      <c r="A47" s="17"/>
      <c r="B47" s="58"/>
      <c r="C47" s="58"/>
      <c r="D47" s="59"/>
      <c r="E47" s="60" t="str">
        <f aca="false">IF(LEN(D47)=11,"PF",IF(LEN(D47)=14,"PJ",""))</f>
        <v/>
      </c>
      <c r="F47" s="59"/>
      <c r="G47" s="59"/>
      <c r="H47" s="61" t="str">
        <f aca="false">IF(G47&lt;&gt;"",VLOOKUP(G47,'Cnae  mcc  id'!$A:$M,9,0),"")</f>
        <v/>
      </c>
      <c r="I47" s="62"/>
      <c r="J47" s="63" t="str">
        <f aca="false">IF(I47&lt;&gt;"",VLOOKUP(I47,'Legal Nature'!$E$2:$G$84,3,0),"")</f>
        <v/>
      </c>
      <c r="K47" s="64"/>
      <c r="L47" s="65"/>
      <c r="M47" s="66"/>
      <c r="N47" s="66"/>
      <c r="O47" s="79"/>
      <c r="P47" s="26"/>
      <c r="Q47" s="58"/>
      <c r="R47" s="58"/>
      <c r="S47" s="58"/>
      <c r="T47" s="68" t="str">
        <f aca="false">IF(LEFT(S47,1)="9","Celular",IF(S47="","","Fixo"))</f>
        <v/>
      </c>
      <c r="U47" s="58" t="str">
        <f aca="false">IF( T47&lt;&gt;"",VLOOKUP(T47,Selects!$M$4:$N$1000,2,0),"")</f>
        <v/>
      </c>
      <c r="V47" s="26"/>
      <c r="W47" s="58"/>
      <c r="X47" s="58"/>
      <c r="Y47" s="58"/>
      <c r="Z47" s="58"/>
      <c r="AA47" s="69"/>
      <c r="AB47" s="58"/>
      <c r="AC47" s="58"/>
      <c r="AD47" s="70" t="str">
        <f aca="false">IF(AC47&lt;&gt;"",VLOOKUP(AC47,Selects!$B$4:$C$100,2,0),"")</f>
        <v/>
      </c>
      <c r="AE47" s="26"/>
      <c r="AF47" s="58"/>
      <c r="AG47" s="59"/>
      <c r="AH47" s="65"/>
      <c r="AI47" s="66"/>
      <c r="AJ47" s="66"/>
      <c r="AK47" s="58"/>
      <c r="AL47" s="58"/>
      <c r="AM47" s="68" t="str">
        <f aca="false">IF(LEFT(AL47,1)="9","Celular",IF(AL47="","","Fixo"))</f>
        <v/>
      </c>
      <c r="AN47" s="58" t="str">
        <f aca="false">IF( AM47&lt;&gt;"",VLOOKUP(AM47,Selects!$M$4:$N$1000,2,0),"")</f>
        <v/>
      </c>
      <c r="AO47" s="58"/>
      <c r="AP47" s="59"/>
      <c r="AQ47" s="65"/>
      <c r="AR47" s="58"/>
      <c r="AS47" s="58"/>
      <c r="AT47" s="26"/>
      <c r="AU47" s="58"/>
      <c r="AV47" s="58"/>
      <c r="AW47" s="58"/>
      <c r="AX47" s="58"/>
      <c r="AY47" s="71"/>
      <c r="AZ47" s="58"/>
      <c r="BA47" s="58"/>
      <c r="BB47" s="72" t="str">
        <f aca="false">IF(BA47&lt;&gt;"",VLOOKUP(BA47,Selects!$B$4:$C$100,2,0),"")</f>
        <v/>
      </c>
      <c r="BC47" s="26"/>
      <c r="BD47" s="26"/>
      <c r="BE47" s="73"/>
      <c r="BF47" s="74"/>
      <c r="BG47" s="75" t="str">
        <f aca="false">IF(LEN(BF47)=11,"PF",IF(LEN(BF47)=14,"PJ",""))</f>
        <v/>
      </c>
      <c r="BH47" s="66"/>
      <c r="BI47" s="58" t="str">
        <f aca="false">IF(BH47&lt;&gt;"",VLOOKUP(BH47,Selects!$G:$H,2,0),"")</f>
        <v/>
      </c>
      <c r="BJ47" s="58"/>
      <c r="BK47" s="58"/>
      <c r="BL47" s="59"/>
      <c r="BM47" s="58"/>
      <c r="BN47" s="58"/>
      <c r="BO47" s="58" t="str">
        <f aca="false">IF(BN47&lt;&gt;"",VLOOKUP(BN47,Selects!$J$4:$K$1000,2,0),"")</f>
        <v/>
      </c>
      <c r="BP47" s="76"/>
      <c r="BQ47" s="59"/>
      <c r="BR47" s="77"/>
      <c r="BS47" s="59"/>
      <c r="BT47" s="77"/>
      <c r="BU47" s="58"/>
      <c r="BV47" s="58"/>
      <c r="BW47" s="58"/>
      <c r="BX47" s="58"/>
      <c r="BY47" s="58"/>
      <c r="BZ47" s="58"/>
      <c r="CA47" s="58"/>
      <c r="CB47" s="72" t="str">
        <f aca="false">IF(AC47&lt;&gt;"",VLOOKUP(AC47,Selects!$B:$E,4,0),"")</f>
        <v/>
      </c>
      <c r="CC47" s="58"/>
      <c r="CD47" s="58"/>
      <c r="CE47" s="58"/>
    </row>
    <row r="48" customFormat="false" ht="15.75" hidden="false" customHeight="true" outlineLevel="0" collapsed="false">
      <c r="A48" s="17"/>
      <c r="B48" s="58"/>
      <c r="C48" s="58"/>
      <c r="D48" s="59"/>
      <c r="E48" s="60" t="str">
        <f aca="false">IF(LEN(D48)=11,"PF",IF(LEN(D48)=14,"PJ",""))</f>
        <v/>
      </c>
      <c r="F48" s="59"/>
      <c r="G48" s="59"/>
      <c r="H48" s="61" t="str">
        <f aca="false">IF(G48&lt;&gt;"",VLOOKUP(G48,'Cnae  mcc  id'!$A:$M,9,0),"")</f>
        <v/>
      </c>
      <c r="I48" s="62"/>
      <c r="J48" s="63" t="str">
        <f aca="false">IF(I48&lt;&gt;"",VLOOKUP(I48,'Legal Nature'!$E$2:$G$84,3,0),"")</f>
        <v/>
      </c>
      <c r="K48" s="64"/>
      <c r="L48" s="65"/>
      <c r="M48" s="66"/>
      <c r="N48" s="66"/>
      <c r="O48" s="79"/>
      <c r="P48" s="26"/>
      <c r="Q48" s="58"/>
      <c r="R48" s="58"/>
      <c r="S48" s="58"/>
      <c r="T48" s="68" t="str">
        <f aca="false">IF(LEFT(S48,1)="9","Celular",IF(S48="","","Fixo"))</f>
        <v/>
      </c>
      <c r="U48" s="58" t="str">
        <f aca="false">IF( T48&lt;&gt;"",VLOOKUP(T48,Selects!$M$4:$N$1000,2,0),"")</f>
        <v/>
      </c>
      <c r="V48" s="26"/>
      <c r="W48" s="58"/>
      <c r="X48" s="58"/>
      <c r="Y48" s="58"/>
      <c r="Z48" s="58"/>
      <c r="AA48" s="69"/>
      <c r="AB48" s="58"/>
      <c r="AC48" s="58"/>
      <c r="AD48" s="70" t="str">
        <f aca="false">IF(AC48&lt;&gt;"",VLOOKUP(AC48,Selects!$B$4:$C$100,2,0),"")</f>
        <v/>
      </c>
      <c r="AE48" s="26"/>
      <c r="AF48" s="58"/>
      <c r="AG48" s="59"/>
      <c r="AH48" s="65"/>
      <c r="AI48" s="66"/>
      <c r="AJ48" s="66"/>
      <c r="AK48" s="58"/>
      <c r="AL48" s="58"/>
      <c r="AM48" s="68" t="str">
        <f aca="false">IF(LEFT(AL48,1)="9","Celular",IF(AL48="","","Fixo"))</f>
        <v/>
      </c>
      <c r="AN48" s="58" t="str">
        <f aca="false">IF( AM48&lt;&gt;"",VLOOKUP(AM48,Selects!$M$4:$N$1000,2,0),"")</f>
        <v/>
      </c>
      <c r="AO48" s="58"/>
      <c r="AP48" s="59"/>
      <c r="AQ48" s="65"/>
      <c r="AR48" s="58"/>
      <c r="AS48" s="58"/>
      <c r="AT48" s="26"/>
      <c r="AU48" s="58"/>
      <c r="AV48" s="58"/>
      <c r="AW48" s="58"/>
      <c r="AX48" s="58"/>
      <c r="AY48" s="71"/>
      <c r="AZ48" s="58"/>
      <c r="BA48" s="58"/>
      <c r="BB48" s="72" t="str">
        <f aca="false">IF(BA48&lt;&gt;"",VLOOKUP(BA48,Selects!$B$4:$C$100,2,0),"")</f>
        <v/>
      </c>
      <c r="BC48" s="26"/>
      <c r="BD48" s="26"/>
      <c r="BE48" s="73"/>
      <c r="BF48" s="74"/>
      <c r="BG48" s="75" t="str">
        <f aca="false">IF(LEN(BF48)=11,"PF",IF(LEN(BF48)=14,"PJ",""))</f>
        <v/>
      </c>
      <c r="BH48" s="66"/>
      <c r="BI48" s="58" t="str">
        <f aca="false">IF(BH48&lt;&gt;"",VLOOKUP(BH48,Selects!$G:$H,2,0),"")</f>
        <v/>
      </c>
      <c r="BJ48" s="58"/>
      <c r="BK48" s="58"/>
      <c r="BL48" s="59"/>
      <c r="BM48" s="58"/>
      <c r="BN48" s="58"/>
      <c r="BO48" s="58" t="str">
        <f aca="false">IF(BN48&lt;&gt;"",VLOOKUP(BN48,Selects!$J$4:$K$1000,2,0),"")</f>
        <v/>
      </c>
      <c r="BP48" s="76"/>
      <c r="BQ48" s="59"/>
      <c r="BR48" s="77"/>
      <c r="BS48" s="59"/>
      <c r="BT48" s="77"/>
      <c r="BU48" s="58"/>
      <c r="BV48" s="58"/>
      <c r="BW48" s="58"/>
      <c r="BX48" s="58"/>
      <c r="BY48" s="58"/>
      <c r="BZ48" s="58"/>
      <c r="CA48" s="58"/>
      <c r="CB48" s="72" t="str">
        <f aca="false">IF(AC48&lt;&gt;"",VLOOKUP(AC48,Selects!$B:$E,4,0),"")</f>
        <v/>
      </c>
      <c r="CC48" s="58"/>
      <c r="CD48" s="58"/>
      <c r="CE48" s="58"/>
    </row>
    <row r="49" customFormat="false" ht="15.75" hidden="false" customHeight="true" outlineLevel="0" collapsed="false">
      <c r="A49" s="17"/>
      <c r="B49" s="58"/>
      <c r="C49" s="58"/>
      <c r="D49" s="59"/>
      <c r="E49" s="60" t="str">
        <f aca="false">IF(LEN(D49)=11,"PF",IF(LEN(D49)=14,"PJ",""))</f>
        <v/>
      </c>
      <c r="F49" s="59"/>
      <c r="G49" s="59"/>
      <c r="H49" s="61" t="str">
        <f aca="false">IF(G49&lt;&gt;"",VLOOKUP(G49,'Cnae  mcc  id'!$A:$M,9,0),"")</f>
        <v/>
      </c>
      <c r="I49" s="62"/>
      <c r="J49" s="63" t="str">
        <f aca="false">IF(I49&lt;&gt;"",VLOOKUP(I49,'Legal Nature'!$E$2:$G$84,3,0),"")</f>
        <v/>
      </c>
      <c r="K49" s="64"/>
      <c r="L49" s="65"/>
      <c r="M49" s="66"/>
      <c r="N49" s="66"/>
      <c r="O49" s="79"/>
      <c r="P49" s="26"/>
      <c r="Q49" s="58"/>
      <c r="R49" s="58"/>
      <c r="S49" s="58"/>
      <c r="T49" s="68" t="str">
        <f aca="false">IF(LEFT(S49,1)="9","Celular",IF(S49="","","Fixo"))</f>
        <v/>
      </c>
      <c r="U49" s="58" t="str">
        <f aca="false">IF( T49&lt;&gt;"",VLOOKUP(T49,Selects!$M$4:$N$1000,2,0),"")</f>
        <v/>
      </c>
      <c r="V49" s="26"/>
      <c r="W49" s="58"/>
      <c r="X49" s="58"/>
      <c r="Y49" s="58"/>
      <c r="Z49" s="58"/>
      <c r="AA49" s="69"/>
      <c r="AB49" s="58"/>
      <c r="AC49" s="58"/>
      <c r="AD49" s="70" t="str">
        <f aca="false">IF(AC49&lt;&gt;"",VLOOKUP(AC49,Selects!$B$4:$C$100,2,0),"")</f>
        <v/>
      </c>
      <c r="AE49" s="26"/>
      <c r="AF49" s="58"/>
      <c r="AG49" s="59"/>
      <c r="AH49" s="65"/>
      <c r="AI49" s="66"/>
      <c r="AJ49" s="66"/>
      <c r="AK49" s="58"/>
      <c r="AL49" s="58"/>
      <c r="AM49" s="68" t="str">
        <f aca="false">IF(LEFT(AL49,1)="9","Celular",IF(AL49="","","Fixo"))</f>
        <v/>
      </c>
      <c r="AN49" s="58" t="str">
        <f aca="false">IF( AM49&lt;&gt;"",VLOOKUP(AM49,Selects!$M$4:$N$1000,2,0),"")</f>
        <v/>
      </c>
      <c r="AO49" s="58"/>
      <c r="AP49" s="59"/>
      <c r="AQ49" s="65"/>
      <c r="AR49" s="58"/>
      <c r="AS49" s="58"/>
      <c r="AT49" s="26"/>
      <c r="AU49" s="58"/>
      <c r="AV49" s="58"/>
      <c r="AW49" s="58"/>
      <c r="AX49" s="58"/>
      <c r="AY49" s="71"/>
      <c r="AZ49" s="58"/>
      <c r="BA49" s="58"/>
      <c r="BB49" s="72" t="str">
        <f aca="false">IF(BA49&lt;&gt;"",VLOOKUP(BA49,Selects!$B$4:$C$100,2,0),"")</f>
        <v/>
      </c>
      <c r="BC49" s="26"/>
      <c r="BD49" s="26"/>
      <c r="BE49" s="73"/>
      <c r="BF49" s="74"/>
      <c r="BG49" s="75" t="str">
        <f aca="false">IF(LEN(BF49)=11,"PF",IF(LEN(BF49)=14,"PJ",""))</f>
        <v/>
      </c>
      <c r="BH49" s="66"/>
      <c r="BI49" s="58" t="str">
        <f aca="false">IF(BH49&lt;&gt;"",VLOOKUP(BH49,Selects!$G:$H,2,0),"")</f>
        <v/>
      </c>
      <c r="BJ49" s="58"/>
      <c r="BK49" s="58"/>
      <c r="BL49" s="59"/>
      <c r="BM49" s="58"/>
      <c r="BN49" s="58"/>
      <c r="BO49" s="58" t="str">
        <f aca="false">IF(BN49&lt;&gt;"",VLOOKUP(BN49,Selects!$J$4:$K$1000,2,0),"")</f>
        <v/>
      </c>
      <c r="BP49" s="76"/>
      <c r="BQ49" s="59"/>
      <c r="BR49" s="77"/>
      <c r="BS49" s="59"/>
      <c r="BT49" s="77"/>
      <c r="BU49" s="58"/>
      <c r="BV49" s="58"/>
      <c r="BW49" s="58"/>
      <c r="BX49" s="58"/>
      <c r="BY49" s="58"/>
      <c r="BZ49" s="58"/>
      <c r="CA49" s="58"/>
      <c r="CB49" s="72" t="str">
        <f aca="false">IF(AC49&lt;&gt;"",VLOOKUP(AC49,Selects!$B:$E,4,0),"")</f>
        <v/>
      </c>
      <c r="CC49" s="58"/>
      <c r="CD49" s="58"/>
      <c r="CE49" s="58"/>
    </row>
    <row r="50" customFormat="false" ht="15.75" hidden="false" customHeight="true" outlineLevel="0" collapsed="false">
      <c r="A50" s="17"/>
      <c r="B50" s="58"/>
      <c r="C50" s="58"/>
      <c r="D50" s="59"/>
      <c r="E50" s="60" t="str">
        <f aca="false">IF(LEN(D50)=11,"PF",IF(LEN(D50)=14,"PJ",""))</f>
        <v/>
      </c>
      <c r="F50" s="59"/>
      <c r="G50" s="59"/>
      <c r="H50" s="61" t="str">
        <f aca="false">IF(G50&lt;&gt;"",VLOOKUP(G50,'Cnae  mcc  id'!$A:$M,9,0),"")</f>
        <v/>
      </c>
      <c r="I50" s="62"/>
      <c r="J50" s="63" t="str">
        <f aca="false">IF(I50&lt;&gt;"",VLOOKUP(I50,'Legal Nature'!$E$2:$G$84,3,0),"")</f>
        <v/>
      </c>
      <c r="K50" s="64"/>
      <c r="L50" s="65"/>
      <c r="M50" s="66"/>
      <c r="N50" s="66"/>
      <c r="O50" s="79"/>
      <c r="P50" s="26"/>
      <c r="Q50" s="58"/>
      <c r="R50" s="58"/>
      <c r="S50" s="58"/>
      <c r="T50" s="68" t="str">
        <f aca="false">IF(LEFT(S50,1)="9","Celular",IF(S50="","","Fixo"))</f>
        <v/>
      </c>
      <c r="U50" s="58" t="str">
        <f aca="false">IF( T50&lt;&gt;"",VLOOKUP(T50,Selects!$M$4:$N$1000,2,0),"")</f>
        <v/>
      </c>
      <c r="V50" s="26"/>
      <c r="W50" s="58"/>
      <c r="X50" s="58"/>
      <c r="Y50" s="58"/>
      <c r="Z50" s="58"/>
      <c r="AA50" s="69"/>
      <c r="AB50" s="58"/>
      <c r="AC50" s="58"/>
      <c r="AD50" s="70" t="str">
        <f aca="false">IF(AC50&lt;&gt;"",VLOOKUP(AC50,Selects!$B$4:$C$100,2,0),"")</f>
        <v/>
      </c>
      <c r="AE50" s="26"/>
      <c r="AF50" s="58"/>
      <c r="AG50" s="59"/>
      <c r="AH50" s="65"/>
      <c r="AI50" s="66"/>
      <c r="AJ50" s="66"/>
      <c r="AK50" s="58"/>
      <c r="AL50" s="58"/>
      <c r="AM50" s="68" t="str">
        <f aca="false">IF(LEFT(AL50,1)="9","Celular",IF(AL50="","","Fixo"))</f>
        <v/>
      </c>
      <c r="AN50" s="58" t="str">
        <f aca="false">IF( AM50&lt;&gt;"",VLOOKUP(AM50,Selects!$M$4:$N$1000,2,0),"")</f>
        <v/>
      </c>
      <c r="AO50" s="58"/>
      <c r="AP50" s="59"/>
      <c r="AQ50" s="65"/>
      <c r="AR50" s="58"/>
      <c r="AS50" s="58"/>
      <c r="AT50" s="26"/>
      <c r="AU50" s="58"/>
      <c r="AV50" s="58"/>
      <c r="AW50" s="58"/>
      <c r="AX50" s="58"/>
      <c r="AY50" s="71"/>
      <c r="AZ50" s="58"/>
      <c r="BA50" s="58"/>
      <c r="BB50" s="72" t="str">
        <f aca="false">IF(BA50&lt;&gt;"",VLOOKUP(BA50,Selects!$B$4:$C$100,2,0),"")</f>
        <v/>
      </c>
      <c r="BC50" s="26"/>
      <c r="BD50" s="26"/>
      <c r="BE50" s="73"/>
      <c r="BF50" s="74"/>
      <c r="BG50" s="75" t="str">
        <f aca="false">IF(LEN(BF50)=11,"PF",IF(LEN(BF50)=14,"PJ",""))</f>
        <v/>
      </c>
      <c r="BH50" s="66"/>
      <c r="BI50" s="58" t="str">
        <f aca="false">IF(BH50&lt;&gt;"",VLOOKUP(BH50,Selects!$G:$H,2,0),"")</f>
        <v/>
      </c>
      <c r="BJ50" s="58"/>
      <c r="BK50" s="58"/>
      <c r="BL50" s="59"/>
      <c r="BM50" s="58"/>
      <c r="BN50" s="58"/>
      <c r="BO50" s="58" t="str">
        <f aca="false">IF(BN50&lt;&gt;"",VLOOKUP(BN50,Selects!$J$4:$K$1000,2,0),"")</f>
        <v/>
      </c>
      <c r="BP50" s="76"/>
      <c r="BQ50" s="59"/>
      <c r="BR50" s="77"/>
      <c r="BS50" s="59"/>
      <c r="BT50" s="77"/>
      <c r="BU50" s="58"/>
      <c r="BV50" s="58"/>
      <c r="BW50" s="58"/>
      <c r="BX50" s="58"/>
      <c r="BY50" s="58"/>
      <c r="BZ50" s="58"/>
      <c r="CA50" s="58"/>
      <c r="CB50" s="72" t="str">
        <f aca="false">IF(AC50&lt;&gt;"",VLOOKUP(AC50,Selects!$B:$E,4,0),"")</f>
        <v/>
      </c>
      <c r="CC50" s="58"/>
      <c r="CD50" s="58"/>
      <c r="CE50" s="58"/>
    </row>
    <row r="51" customFormat="false" ht="15.75" hidden="false" customHeight="true" outlineLevel="0" collapsed="false">
      <c r="A51" s="17"/>
      <c r="B51" s="58"/>
      <c r="C51" s="58"/>
      <c r="D51" s="59"/>
      <c r="E51" s="60" t="str">
        <f aca="false">IF(LEN(D51)=11,"PF",IF(LEN(D51)=14,"PJ",""))</f>
        <v/>
      </c>
      <c r="F51" s="59"/>
      <c r="G51" s="59"/>
      <c r="H51" s="61" t="str">
        <f aca="false">IF(G51&lt;&gt;"",VLOOKUP(G51,'Cnae  mcc  id'!$A:$M,9,0),"")</f>
        <v/>
      </c>
      <c r="I51" s="62"/>
      <c r="J51" s="63" t="str">
        <f aca="false">IF(I51&lt;&gt;"",VLOOKUP(I51,'Legal Nature'!$E$2:$G$84,3,0),"")</f>
        <v/>
      </c>
      <c r="K51" s="64"/>
      <c r="L51" s="65"/>
      <c r="M51" s="66"/>
      <c r="N51" s="66"/>
      <c r="O51" s="79"/>
      <c r="P51" s="26"/>
      <c r="Q51" s="58"/>
      <c r="R51" s="58"/>
      <c r="S51" s="58"/>
      <c r="T51" s="68" t="str">
        <f aca="false">IF(LEFT(S51,1)="9","Celular",IF(S51="","","Fixo"))</f>
        <v/>
      </c>
      <c r="U51" s="58" t="str">
        <f aca="false">IF( T51&lt;&gt;"",VLOOKUP(T51,Selects!$M$4:$N$1000,2,0),"")</f>
        <v/>
      </c>
      <c r="V51" s="26"/>
      <c r="W51" s="58"/>
      <c r="X51" s="58"/>
      <c r="Y51" s="58"/>
      <c r="Z51" s="58"/>
      <c r="AA51" s="69"/>
      <c r="AB51" s="58"/>
      <c r="AC51" s="58"/>
      <c r="AD51" s="70" t="str">
        <f aca="false">IF(AC51&lt;&gt;"",VLOOKUP(AC51,Selects!$B$4:$C$100,2,0),"")</f>
        <v/>
      </c>
      <c r="AE51" s="26"/>
      <c r="AF51" s="58"/>
      <c r="AG51" s="59"/>
      <c r="AH51" s="65"/>
      <c r="AI51" s="66"/>
      <c r="AJ51" s="66"/>
      <c r="AK51" s="58"/>
      <c r="AL51" s="58"/>
      <c r="AM51" s="68" t="str">
        <f aca="false">IF(LEFT(AL51,1)="9","Celular",IF(AL51="","","Fixo"))</f>
        <v/>
      </c>
      <c r="AN51" s="58" t="str">
        <f aca="false">IF( AM51&lt;&gt;"",VLOOKUP(AM51,Selects!$M$4:$N$1000,2,0),"")</f>
        <v/>
      </c>
      <c r="AO51" s="58"/>
      <c r="AP51" s="59"/>
      <c r="AQ51" s="65"/>
      <c r="AR51" s="58"/>
      <c r="AS51" s="58"/>
      <c r="AT51" s="26"/>
      <c r="AU51" s="58"/>
      <c r="AV51" s="58"/>
      <c r="AW51" s="58"/>
      <c r="AX51" s="58"/>
      <c r="AY51" s="71"/>
      <c r="AZ51" s="58"/>
      <c r="BA51" s="58"/>
      <c r="BB51" s="72" t="str">
        <f aca="false">IF(BA51&lt;&gt;"",VLOOKUP(BA51,Selects!$B$4:$C$100,2,0),"")</f>
        <v/>
      </c>
      <c r="BC51" s="26"/>
      <c r="BD51" s="26"/>
      <c r="BE51" s="73"/>
      <c r="BF51" s="74"/>
      <c r="BG51" s="75" t="str">
        <f aca="false">IF(LEN(BF51)=11,"PF",IF(LEN(BF51)=14,"PJ",""))</f>
        <v/>
      </c>
      <c r="BH51" s="66"/>
      <c r="BI51" s="58" t="str">
        <f aca="false">IF(BH51&lt;&gt;"",VLOOKUP(BH51,Selects!$G:$H,2,0),"")</f>
        <v/>
      </c>
      <c r="BJ51" s="58"/>
      <c r="BK51" s="58"/>
      <c r="BL51" s="59"/>
      <c r="BM51" s="58"/>
      <c r="BN51" s="58"/>
      <c r="BO51" s="58" t="str">
        <f aca="false">IF(BN51&lt;&gt;"",VLOOKUP(BN51,Selects!$J$4:$K$1000,2,0),"")</f>
        <v/>
      </c>
      <c r="BP51" s="76"/>
      <c r="BQ51" s="59"/>
      <c r="BR51" s="77"/>
      <c r="BS51" s="59"/>
      <c r="BT51" s="77"/>
      <c r="BU51" s="58"/>
      <c r="BV51" s="58"/>
      <c r="BW51" s="58"/>
      <c r="BX51" s="58"/>
      <c r="BY51" s="58"/>
      <c r="BZ51" s="58"/>
      <c r="CA51" s="58"/>
      <c r="CB51" s="72" t="str">
        <f aca="false">IF(AC51&lt;&gt;"",VLOOKUP(AC51,Selects!$B:$E,4,0),"")</f>
        <v/>
      </c>
      <c r="CC51" s="58"/>
      <c r="CD51" s="58"/>
      <c r="CE51" s="58"/>
    </row>
    <row r="52" customFormat="false" ht="15.75" hidden="false" customHeight="true" outlineLevel="0" collapsed="false">
      <c r="A52" s="17"/>
      <c r="B52" s="58"/>
      <c r="C52" s="58"/>
      <c r="D52" s="59"/>
      <c r="E52" s="60" t="str">
        <f aca="false">IF(LEN(D52)=11,"PF",IF(LEN(D52)=14,"PJ",""))</f>
        <v/>
      </c>
      <c r="F52" s="59"/>
      <c r="G52" s="59"/>
      <c r="H52" s="61" t="str">
        <f aca="false">IF(G52&lt;&gt;"",VLOOKUP(G52,'Cnae  mcc  id'!$A:$M,9,0),"")</f>
        <v/>
      </c>
      <c r="I52" s="62"/>
      <c r="J52" s="63" t="str">
        <f aca="false">IF(I52&lt;&gt;"",VLOOKUP(I52,'Legal Nature'!$E$2:$G$84,3,0),"")</f>
        <v/>
      </c>
      <c r="K52" s="64"/>
      <c r="L52" s="65"/>
      <c r="M52" s="66"/>
      <c r="N52" s="66"/>
      <c r="O52" s="79"/>
      <c r="P52" s="26"/>
      <c r="Q52" s="58"/>
      <c r="R52" s="58"/>
      <c r="S52" s="58"/>
      <c r="T52" s="68" t="str">
        <f aca="false">IF(LEFT(S52,1)="9","Celular",IF(S52="","","Fixo"))</f>
        <v/>
      </c>
      <c r="U52" s="58" t="str">
        <f aca="false">IF( T52&lt;&gt;"",VLOOKUP(T52,Selects!$M$4:$N$1000,2,0),"")</f>
        <v/>
      </c>
      <c r="V52" s="26"/>
      <c r="W52" s="58"/>
      <c r="X52" s="58"/>
      <c r="Y52" s="58"/>
      <c r="Z52" s="58"/>
      <c r="AA52" s="69"/>
      <c r="AB52" s="58"/>
      <c r="AC52" s="58"/>
      <c r="AD52" s="70" t="str">
        <f aca="false">IF(AC52&lt;&gt;"",VLOOKUP(AC52,Selects!$B$4:$C$100,2,0),"")</f>
        <v/>
      </c>
      <c r="AE52" s="26"/>
      <c r="AF52" s="58"/>
      <c r="AG52" s="59"/>
      <c r="AH52" s="65"/>
      <c r="AI52" s="66"/>
      <c r="AJ52" s="66"/>
      <c r="AK52" s="58"/>
      <c r="AL52" s="58"/>
      <c r="AM52" s="68" t="str">
        <f aca="false">IF(LEFT(AL52,1)="9","Celular",IF(AL52="","","Fixo"))</f>
        <v/>
      </c>
      <c r="AN52" s="58" t="str">
        <f aca="false">IF( AM52&lt;&gt;"",VLOOKUP(AM52,Selects!$M$4:$N$1000,2,0),"")</f>
        <v/>
      </c>
      <c r="AO52" s="58"/>
      <c r="AP52" s="59"/>
      <c r="AQ52" s="65"/>
      <c r="AR52" s="58"/>
      <c r="AS52" s="58"/>
      <c r="AT52" s="26"/>
      <c r="AU52" s="58"/>
      <c r="AV52" s="58"/>
      <c r="AW52" s="58"/>
      <c r="AX52" s="58"/>
      <c r="AY52" s="71"/>
      <c r="AZ52" s="58"/>
      <c r="BA52" s="58"/>
      <c r="BB52" s="72" t="str">
        <f aca="false">IF(BA52&lt;&gt;"",VLOOKUP(BA52,Selects!$B$4:$C$100,2,0),"")</f>
        <v/>
      </c>
      <c r="BC52" s="26"/>
      <c r="BD52" s="26"/>
      <c r="BE52" s="73"/>
      <c r="BF52" s="74"/>
      <c r="BG52" s="75" t="str">
        <f aca="false">IF(LEN(BF52)=11,"PF",IF(LEN(BF52)=14,"PJ",""))</f>
        <v/>
      </c>
      <c r="BH52" s="66"/>
      <c r="BI52" s="58" t="str">
        <f aca="false">IF(BH52&lt;&gt;"",VLOOKUP(BH52,Selects!$G:$H,2,0),"")</f>
        <v/>
      </c>
      <c r="BJ52" s="58"/>
      <c r="BK52" s="58"/>
      <c r="BL52" s="59"/>
      <c r="BM52" s="58"/>
      <c r="BN52" s="58"/>
      <c r="BO52" s="58" t="str">
        <f aca="false">IF(BN52&lt;&gt;"",VLOOKUP(BN52,Selects!$J$4:$K$1000,2,0),"")</f>
        <v/>
      </c>
      <c r="BP52" s="76"/>
      <c r="BQ52" s="59"/>
      <c r="BR52" s="77"/>
      <c r="BS52" s="59"/>
      <c r="BT52" s="77"/>
      <c r="BU52" s="58"/>
      <c r="BV52" s="58"/>
      <c r="BW52" s="58"/>
      <c r="BX52" s="58"/>
      <c r="BY52" s="58"/>
      <c r="BZ52" s="58"/>
      <c r="CA52" s="58"/>
      <c r="CB52" s="72" t="str">
        <f aca="false">IF(AC52&lt;&gt;"",VLOOKUP(AC52,Selects!$B:$E,4,0),"")</f>
        <v/>
      </c>
      <c r="CC52" s="58"/>
      <c r="CD52" s="58"/>
      <c r="CE52" s="58"/>
    </row>
    <row r="53" customFormat="false" ht="15.75" hidden="false" customHeight="true" outlineLevel="0" collapsed="false">
      <c r="A53" s="17"/>
      <c r="B53" s="58"/>
      <c r="C53" s="58"/>
      <c r="D53" s="59"/>
      <c r="E53" s="60" t="str">
        <f aca="false">IF(LEN(D53)=11,"PF",IF(LEN(D53)=14,"PJ",""))</f>
        <v/>
      </c>
      <c r="F53" s="59"/>
      <c r="G53" s="59"/>
      <c r="H53" s="61" t="str">
        <f aca="false">IF(G53&lt;&gt;"",VLOOKUP(G53,'Cnae  mcc  id'!$A:$M,9,0),"")</f>
        <v/>
      </c>
      <c r="I53" s="62"/>
      <c r="J53" s="63" t="str">
        <f aca="false">IF(I53&lt;&gt;"",VLOOKUP(I53,'Legal Nature'!$E$2:$G$84,3,0),"")</f>
        <v/>
      </c>
      <c r="K53" s="64"/>
      <c r="L53" s="65"/>
      <c r="M53" s="66"/>
      <c r="N53" s="66"/>
      <c r="O53" s="79"/>
      <c r="P53" s="26"/>
      <c r="Q53" s="58"/>
      <c r="R53" s="58"/>
      <c r="S53" s="58"/>
      <c r="T53" s="68" t="str">
        <f aca="false">IF(LEFT(S53,1)="9","Celular",IF(S53="","","Fixo"))</f>
        <v/>
      </c>
      <c r="U53" s="58" t="str">
        <f aca="false">IF( T53&lt;&gt;"",VLOOKUP(T53,Selects!$M$4:$N$1000,2,0),"")</f>
        <v/>
      </c>
      <c r="V53" s="26"/>
      <c r="W53" s="58"/>
      <c r="X53" s="58"/>
      <c r="Y53" s="58"/>
      <c r="Z53" s="58"/>
      <c r="AA53" s="69"/>
      <c r="AB53" s="58"/>
      <c r="AC53" s="58"/>
      <c r="AD53" s="70" t="str">
        <f aca="false">IF(AC53&lt;&gt;"",VLOOKUP(AC53,Selects!$B$4:$C$100,2,0),"")</f>
        <v/>
      </c>
      <c r="AE53" s="26"/>
      <c r="AF53" s="58"/>
      <c r="AG53" s="59"/>
      <c r="AH53" s="65"/>
      <c r="AI53" s="66"/>
      <c r="AJ53" s="66"/>
      <c r="AK53" s="58"/>
      <c r="AL53" s="58"/>
      <c r="AM53" s="68" t="str">
        <f aca="false">IF(LEFT(AL53,1)="9","Celular",IF(AL53="","","Fixo"))</f>
        <v/>
      </c>
      <c r="AN53" s="58" t="str">
        <f aca="false">IF( AM53&lt;&gt;"",VLOOKUP(AM53,Selects!$M$4:$N$1000,2,0),"")</f>
        <v/>
      </c>
      <c r="AO53" s="58"/>
      <c r="AP53" s="59"/>
      <c r="AQ53" s="65"/>
      <c r="AR53" s="58"/>
      <c r="AS53" s="58"/>
      <c r="AT53" s="26"/>
      <c r="AU53" s="58"/>
      <c r="AV53" s="58"/>
      <c r="AW53" s="58"/>
      <c r="AX53" s="58"/>
      <c r="AY53" s="71"/>
      <c r="AZ53" s="58"/>
      <c r="BA53" s="58"/>
      <c r="BB53" s="72" t="str">
        <f aca="false">IF(BA53&lt;&gt;"",VLOOKUP(BA53,Selects!$B$4:$C$100,2,0),"")</f>
        <v/>
      </c>
      <c r="BC53" s="26"/>
      <c r="BD53" s="26"/>
      <c r="BE53" s="73"/>
      <c r="BF53" s="74"/>
      <c r="BG53" s="75" t="str">
        <f aca="false">IF(LEN(BF53)=11,"PF",IF(LEN(BF53)=14,"PJ",""))</f>
        <v/>
      </c>
      <c r="BH53" s="66"/>
      <c r="BI53" s="58" t="str">
        <f aca="false">IF(BH53&lt;&gt;"",VLOOKUP(BH53,Selects!$G:$H,2,0),"")</f>
        <v/>
      </c>
      <c r="BJ53" s="58"/>
      <c r="BK53" s="58"/>
      <c r="BL53" s="59"/>
      <c r="BM53" s="58"/>
      <c r="BN53" s="58"/>
      <c r="BO53" s="58" t="str">
        <f aca="false">IF(BN53&lt;&gt;"",VLOOKUP(BN53,Selects!$J$4:$K$1000,2,0),"")</f>
        <v/>
      </c>
      <c r="BP53" s="76"/>
      <c r="BQ53" s="59"/>
      <c r="BR53" s="77"/>
      <c r="BS53" s="59"/>
      <c r="BT53" s="77"/>
      <c r="BU53" s="58"/>
      <c r="BV53" s="58"/>
      <c r="BW53" s="58"/>
      <c r="BX53" s="58"/>
      <c r="BY53" s="58"/>
      <c r="BZ53" s="58"/>
      <c r="CA53" s="58"/>
      <c r="CB53" s="72" t="str">
        <f aca="false">IF(AC53&lt;&gt;"",VLOOKUP(AC53,Selects!$B:$E,4,0),"")</f>
        <v/>
      </c>
      <c r="CC53" s="58"/>
      <c r="CD53" s="58"/>
      <c r="CE53" s="58"/>
    </row>
    <row r="54" customFormat="false" ht="15.75" hidden="false" customHeight="true" outlineLevel="0" collapsed="false">
      <c r="A54" s="17"/>
      <c r="B54" s="58"/>
      <c r="C54" s="58"/>
      <c r="D54" s="59"/>
      <c r="E54" s="60" t="str">
        <f aca="false">IF(LEN(D54)=11,"PF",IF(LEN(D54)=14,"PJ",""))</f>
        <v/>
      </c>
      <c r="F54" s="59"/>
      <c r="G54" s="59"/>
      <c r="H54" s="61" t="str">
        <f aca="false">IF(G54&lt;&gt;"",VLOOKUP(G54,'Cnae  mcc  id'!$A:$M,9,0),"")</f>
        <v/>
      </c>
      <c r="I54" s="62"/>
      <c r="J54" s="63" t="str">
        <f aca="false">IF(I54&lt;&gt;"",VLOOKUP(I54,'Legal Nature'!$E$2:$G$84,3,0),"")</f>
        <v/>
      </c>
      <c r="K54" s="64"/>
      <c r="L54" s="65"/>
      <c r="M54" s="66"/>
      <c r="N54" s="66"/>
      <c r="O54" s="79"/>
      <c r="P54" s="26"/>
      <c r="Q54" s="58"/>
      <c r="R54" s="58"/>
      <c r="S54" s="58"/>
      <c r="T54" s="68" t="str">
        <f aca="false">IF(LEFT(S54,1)="9","Celular",IF(S54="","","Fixo"))</f>
        <v/>
      </c>
      <c r="U54" s="58" t="str">
        <f aca="false">IF( T54&lt;&gt;"",VLOOKUP(T54,Selects!$M$4:$N$1000,2,0),"")</f>
        <v/>
      </c>
      <c r="V54" s="26"/>
      <c r="W54" s="58"/>
      <c r="X54" s="58"/>
      <c r="Y54" s="58"/>
      <c r="Z54" s="58"/>
      <c r="AA54" s="69"/>
      <c r="AB54" s="58"/>
      <c r="AC54" s="58"/>
      <c r="AD54" s="70" t="str">
        <f aca="false">IF(AC54&lt;&gt;"",VLOOKUP(AC54,Selects!$B$4:$C$100,2,0),"")</f>
        <v/>
      </c>
      <c r="AE54" s="26"/>
      <c r="AF54" s="58"/>
      <c r="AG54" s="59"/>
      <c r="AH54" s="65"/>
      <c r="AI54" s="66"/>
      <c r="AJ54" s="66"/>
      <c r="AK54" s="58"/>
      <c r="AL54" s="58"/>
      <c r="AM54" s="68" t="str">
        <f aca="false">IF(LEFT(AL54,1)="9","Celular",IF(AL54="","","Fixo"))</f>
        <v/>
      </c>
      <c r="AN54" s="58" t="str">
        <f aca="false">IF( AM54&lt;&gt;"",VLOOKUP(AM54,Selects!$M$4:$N$1000,2,0),"")</f>
        <v/>
      </c>
      <c r="AO54" s="58"/>
      <c r="AP54" s="59"/>
      <c r="AQ54" s="65"/>
      <c r="AR54" s="58"/>
      <c r="AS54" s="58"/>
      <c r="AT54" s="26"/>
      <c r="AU54" s="58"/>
      <c r="AV54" s="58"/>
      <c r="AW54" s="58"/>
      <c r="AX54" s="58"/>
      <c r="AY54" s="71"/>
      <c r="AZ54" s="58"/>
      <c r="BA54" s="58"/>
      <c r="BB54" s="72" t="str">
        <f aca="false">IF(BA54&lt;&gt;"",VLOOKUP(BA54,Selects!$B$4:$C$100,2,0),"")</f>
        <v/>
      </c>
      <c r="BC54" s="26"/>
      <c r="BD54" s="26"/>
      <c r="BE54" s="73"/>
      <c r="BF54" s="74"/>
      <c r="BG54" s="75" t="str">
        <f aca="false">IF(LEN(BF54)=11,"PF",IF(LEN(BF54)=14,"PJ",""))</f>
        <v/>
      </c>
      <c r="BH54" s="66"/>
      <c r="BI54" s="58" t="str">
        <f aca="false">IF(BH54&lt;&gt;"",VLOOKUP(BH54,Selects!$G:$H,2,0),"")</f>
        <v/>
      </c>
      <c r="BJ54" s="58"/>
      <c r="BK54" s="58"/>
      <c r="BL54" s="59"/>
      <c r="BM54" s="58"/>
      <c r="BN54" s="58"/>
      <c r="BO54" s="58" t="str">
        <f aca="false">IF(BN54&lt;&gt;"",VLOOKUP(BN54,Selects!$J$4:$K$1000,2,0),"")</f>
        <v/>
      </c>
      <c r="BP54" s="76"/>
      <c r="BQ54" s="59"/>
      <c r="BR54" s="77"/>
      <c r="BS54" s="59"/>
      <c r="BT54" s="77"/>
      <c r="BU54" s="58"/>
      <c r="BV54" s="58"/>
      <c r="BW54" s="58"/>
      <c r="BX54" s="58"/>
      <c r="BY54" s="58"/>
      <c r="BZ54" s="58"/>
      <c r="CA54" s="58"/>
      <c r="CB54" s="72" t="str">
        <f aca="false">IF(AC54&lt;&gt;"",VLOOKUP(AC54,Selects!$B:$E,4,0),"")</f>
        <v/>
      </c>
      <c r="CC54" s="58"/>
      <c r="CD54" s="58"/>
      <c r="CE54" s="58"/>
    </row>
    <row r="55" customFormat="false" ht="15.75" hidden="false" customHeight="true" outlineLevel="0" collapsed="false">
      <c r="A55" s="17"/>
      <c r="B55" s="58"/>
      <c r="C55" s="58"/>
      <c r="D55" s="59"/>
      <c r="E55" s="60" t="str">
        <f aca="false">IF(LEN(D55)=11,"PF",IF(LEN(D55)=14,"PJ",""))</f>
        <v/>
      </c>
      <c r="F55" s="59"/>
      <c r="G55" s="59"/>
      <c r="H55" s="61" t="str">
        <f aca="false">IF(G55&lt;&gt;"",VLOOKUP(G55,'Cnae  mcc  id'!$A:$M,9,0),"")</f>
        <v/>
      </c>
      <c r="I55" s="62"/>
      <c r="J55" s="63" t="str">
        <f aca="false">IF(I55&lt;&gt;"",VLOOKUP(I55,'Legal Nature'!$E$2:$G$84,3,0),"")</f>
        <v/>
      </c>
      <c r="K55" s="64"/>
      <c r="L55" s="65"/>
      <c r="M55" s="66"/>
      <c r="N55" s="66"/>
      <c r="O55" s="79"/>
      <c r="P55" s="26"/>
      <c r="Q55" s="58"/>
      <c r="R55" s="58"/>
      <c r="S55" s="58"/>
      <c r="T55" s="68" t="str">
        <f aca="false">IF(LEFT(S55,1)="9","Celular",IF(S55="","","Fixo"))</f>
        <v/>
      </c>
      <c r="U55" s="58" t="str">
        <f aca="false">IF( T55&lt;&gt;"",VLOOKUP(T55,Selects!$M$4:$N$1000,2,0),"")</f>
        <v/>
      </c>
      <c r="V55" s="26"/>
      <c r="W55" s="58"/>
      <c r="X55" s="58"/>
      <c r="Y55" s="58"/>
      <c r="Z55" s="58"/>
      <c r="AA55" s="69"/>
      <c r="AB55" s="58"/>
      <c r="AC55" s="58"/>
      <c r="AD55" s="70" t="str">
        <f aca="false">IF(AC55&lt;&gt;"",VLOOKUP(AC55,Selects!$B$4:$C$100,2,0),"")</f>
        <v/>
      </c>
      <c r="AE55" s="26"/>
      <c r="AF55" s="58"/>
      <c r="AG55" s="59"/>
      <c r="AH55" s="65"/>
      <c r="AI55" s="66"/>
      <c r="AJ55" s="66"/>
      <c r="AK55" s="58"/>
      <c r="AL55" s="58"/>
      <c r="AM55" s="68" t="str">
        <f aca="false">IF(LEFT(AL55,1)="9","Celular",IF(AL55="","","Fixo"))</f>
        <v/>
      </c>
      <c r="AN55" s="58" t="str">
        <f aca="false">IF( AM55&lt;&gt;"",VLOOKUP(AM55,Selects!$M$4:$N$1000,2,0),"")</f>
        <v/>
      </c>
      <c r="AO55" s="58"/>
      <c r="AP55" s="59"/>
      <c r="AQ55" s="65"/>
      <c r="AR55" s="58"/>
      <c r="AS55" s="58"/>
      <c r="AT55" s="26"/>
      <c r="AU55" s="58"/>
      <c r="AV55" s="58"/>
      <c r="AW55" s="58"/>
      <c r="AX55" s="58"/>
      <c r="AY55" s="71"/>
      <c r="AZ55" s="58"/>
      <c r="BA55" s="58"/>
      <c r="BB55" s="72" t="str">
        <f aca="false">IF(BA55&lt;&gt;"",VLOOKUP(BA55,Selects!$B$4:$C$100,2,0),"")</f>
        <v/>
      </c>
      <c r="BC55" s="26"/>
      <c r="BD55" s="26"/>
      <c r="BE55" s="73"/>
      <c r="BF55" s="74"/>
      <c r="BG55" s="75" t="str">
        <f aca="false">IF(LEN(BF55)=11,"PF",IF(LEN(BF55)=14,"PJ",""))</f>
        <v/>
      </c>
      <c r="BH55" s="66"/>
      <c r="BI55" s="58" t="str">
        <f aca="false">IF(BH55&lt;&gt;"",VLOOKUP(BH55,Selects!$G:$H,2,0),"")</f>
        <v/>
      </c>
      <c r="BJ55" s="58"/>
      <c r="BK55" s="58"/>
      <c r="BL55" s="59"/>
      <c r="BM55" s="58"/>
      <c r="BN55" s="58"/>
      <c r="BO55" s="58" t="str">
        <f aca="false">IF(BN55&lt;&gt;"",VLOOKUP(BN55,Selects!$J$4:$K$1000,2,0),"")</f>
        <v/>
      </c>
      <c r="BP55" s="76"/>
      <c r="BQ55" s="59"/>
      <c r="BR55" s="77"/>
      <c r="BS55" s="59"/>
      <c r="BT55" s="77"/>
      <c r="BU55" s="58"/>
      <c r="BV55" s="58"/>
      <c r="BW55" s="58"/>
      <c r="BX55" s="58"/>
      <c r="BY55" s="58"/>
      <c r="BZ55" s="58"/>
      <c r="CA55" s="58"/>
      <c r="CB55" s="72" t="str">
        <f aca="false">IF(AC55&lt;&gt;"",VLOOKUP(AC55,Selects!$B:$E,4,0),"")</f>
        <v/>
      </c>
      <c r="CC55" s="58"/>
      <c r="CD55" s="58"/>
      <c r="CE55" s="58"/>
    </row>
    <row r="56" customFormat="false" ht="15.75" hidden="false" customHeight="true" outlineLevel="0" collapsed="false">
      <c r="A56" s="17"/>
      <c r="B56" s="58"/>
      <c r="C56" s="58"/>
      <c r="D56" s="59"/>
      <c r="E56" s="60" t="str">
        <f aca="false">IF(LEN(D56)=11,"PF",IF(LEN(D56)=14,"PJ",""))</f>
        <v/>
      </c>
      <c r="F56" s="59"/>
      <c r="G56" s="59"/>
      <c r="H56" s="61" t="str">
        <f aca="false">IF(G56&lt;&gt;"",VLOOKUP(G56,'Cnae  mcc  id'!$A:$M,9,0),"")</f>
        <v/>
      </c>
      <c r="I56" s="62"/>
      <c r="J56" s="63" t="str">
        <f aca="false">IF(I56&lt;&gt;"",VLOOKUP(I56,'Legal Nature'!$E$2:$G$84,3,0),"")</f>
        <v/>
      </c>
      <c r="K56" s="64"/>
      <c r="L56" s="65"/>
      <c r="M56" s="66"/>
      <c r="N56" s="66"/>
      <c r="O56" s="79"/>
      <c r="P56" s="26"/>
      <c r="Q56" s="58"/>
      <c r="R56" s="58"/>
      <c r="S56" s="58"/>
      <c r="T56" s="68" t="str">
        <f aca="false">IF(LEFT(S56,1)="9","Celular",IF(S56="","","Fixo"))</f>
        <v/>
      </c>
      <c r="U56" s="58" t="str">
        <f aca="false">IF( T56&lt;&gt;"",VLOOKUP(T56,Selects!$M$4:$N$1000,2,0),"")</f>
        <v/>
      </c>
      <c r="V56" s="26"/>
      <c r="W56" s="58"/>
      <c r="X56" s="58"/>
      <c r="Y56" s="58"/>
      <c r="Z56" s="58"/>
      <c r="AA56" s="69"/>
      <c r="AB56" s="58"/>
      <c r="AC56" s="58"/>
      <c r="AD56" s="70" t="str">
        <f aca="false">IF(AC56&lt;&gt;"",VLOOKUP(AC56,Selects!$B$4:$C$100,2,0),"")</f>
        <v/>
      </c>
      <c r="AE56" s="26"/>
      <c r="AF56" s="58"/>
      <c r="AG56" s="59"/>
      <c r="AH56" s="65"/>
      <c r="AI56" s="66"/>
      <c r="AJ56" s="66"/>
      <c r="AK56" s="58"/>
      <c r="AL56" s="58"/>
      <c r="AM56" s="68" t="str">
        <f aca="false">IF(LEFT(AL56,1)="9","Celular",IF(AL56="","","Fixo"))</f>
        <v/>
      </c>
      <c r="AN56" s="58" t="str">
        <f aca="false">IF( AM56&lt;&gt;"",VLOOKUP(AM56,Selects!$M$4:$N$1000,2,0),"")</f>
        <v/>
      </c>
      <c r="AO56" s="58"/>
      <c r="AP56" s="59"/>
      <c r="AQ56" s="65"/>
      <c r="AR56" s="58"/>
      <c r="AS56" s="58"/>
      <c r="AT56" s="26"/>
      <c r="AU56" s="58"/>
      <c r="AV56" s="58"/>
      <c r="AW56" s="58"/>
      <c r="AX56" s="58"/>
      <c r="AY56" s="71"/>
      <c r="AZ56" s="58"/>
      <c r="BA56" s="58"/>
      <c r="BB56" s="72" t="str">
        <f aca="false">IF(BA56&lt;&gt;"",VLOOKUP(BA56,Selects!$B$4:$C$100,2,0),"")</f>
        <v/>
      </c>
      <c r="BC56" s="26"/>
      <c r="BD56" s="26"/>
      <c r="BE56" s="73"/>
      <c r="BF56" s="74"/>
      <c r="BG56" s="75" t="str">
        <f aca="false">IF(LEN(BF56)=11,"PF",IF(LEN(BF56)=14,"PJ",""))</f>
        <v/>
      </c>
      <c r="BH56" s="66"/>
      <c r="BI56" s="58" t="str">
        <f aca="false">IF(BH56&lt;&gt;"",VLOOKUP(BH56,Selects!$G:$H,2,0),"")</f>
        <v/>
      </c>
      <c r="BJ56" s="58"/>
      <c r="BK56" s="58"/>
      <c r="BL56" s="59"/>
      <c r="BM56" s="58"/>
      <c r="BN56" s="58"/>
      <c r="BO56" s="58" t="str">
        <f aca="false">IF(BN56&lt;&gt;"",VLOOKUP(BN56,Selects!$J$4:$K$1000,2,0),"")</f>
        <v/>
      </c>
      <c r="BP56" s="76"/>
      <c r="BQ56" s="59"/>
      <c r="BR56" s="77"/>
      <c r="BS56" s="59"/>
      <c r="BT56" s="77"/>
      <c r="BU56" s="58"/>
      <c r="BV56" s="58"/>
      <c r="BW56" s="58"/>
      <c r="BX56" s="58"/>
      <c r="BY56" s="58"/>
      <c r="BZ56" s="58"/>
      <c r="CA56" s="58"/>
      <c r="CB56" s="72" t="str">
        <f aca="false">IF(AC56&lt;&gt;"",VLOOKUP(AC56,Selects!$B:$E,4,0),"")</f>
        <v/>
      </c>
      <c r="CC56" s="58"/>
      <c r="CD56" s="58"/>
      <c r="CE56" s="58"/>
    </row>
    <row r="57" customFormat="false" ht="15.75" hidden="false" customHeight="true" outlineLevel="0" collapsed="false">
      <c r="A57" s="17"/>
      <c r="B57" s="58"/>
      <c r="C57" s="58"/>
      <c r="D57" s="59"/>
      <c r="E57" s="60" t="str">
        <f aca="false">IF(LEN(D57)=11,"PF",IF(LEN(D57)=14,"PJ",""))</f>
        <v/>
      </c>
      <c r="F57" s="59"/>
      <c r="G57" s="59"/>
      <c r="H57" s="61" t="str">
        <f aca="false">IF(G57&lt;&gt;"",VLOOKUP(G57,'Cnae  mcc  id'!$A:$M,9,0),"")</f>
        <v/>
      </c>
      <c r="I57" s="62"/>
      <c r="J57" s="63" t="str">
        <f aca="false">IF(I57&lt;&gt;"",VLOOKUP(I57,'Legal Nature'!$E$2:$G$84,3,0),"")</f>
        <v/>
      </c>
      <c r="K57" s="64"/>
      <c r="L57" s="65"/>
      <c r="M57" s="66"/>
      <c r="N57" s="66"/>
      <c r="O57" s="79"/>
      <c r="P57" s="26"/>
      <c r="Q57" s="58"/>
      <c r="R57" s="58"/>
      <c r="S57" s="58"/>
      <c r="T57" s="68" t="str">
        <f aca="false">IF(LEFT(S57,1)="9","Celular",IF(S57="","","Fixo"))</f>
        <v/>
      </c>
      <c r="U57" s="58" t="str">
        <f aca="false">IF( T57&lt;&gt;"",VLOOKUP(T57,Selects!$M$4:$N$1000,2,0),"")</f>
        <v/>
      </c>
      <c r="V57" s="26"/>
      <c r="W57" s="58"/>
      <c r="X57" s="58"/>
      <c r="Y57" s="58"/>
      <c r="Z57" s="58"/>
      <c r="AA57" s="69"/>
      <c r="AB57" s="58"/>
      <c r="AC57" s="58"/>
      <c r="AD57" s="70" t="str">
        <f aca="false">IF(AC57&lt;&gt;"",VLOOKUP(AC57,Selects!$B$4:$C$100,2,0),"")</f>
        <v/>
      </c>
      <c r="AE57" s="26"/>
      <c r="AF57" s="58"/>
      <c r="AG57" s="59"/>
      <c r="AH57" s="65"/>
      <c r="AI57" s="66"/>
      <c r="AJ57" s="66"/>
      <c r="AK57" s="58"/>
      <c r="AL57" s="58"/>
      <c r="AM57" s="68" t="str">
        <f aca="false">IF(LEFT(AL57,1)="9","Celular",IF(AL57="","","Fixo"))</f>
        <v/>
      </c>
      <c r="AN57" s="58" t="str">
        <f aca="false">IF( AM57&lt;&gt;"",VLOOKUP(AM57,Selects!$M$4:$N$1000,2,0),"")</f>
        <v/>
      </c>
      <c r="AO57" s="58"/>
      <c r="AP57" s="59"/>
      <c r="AQ57" s="65"/>
      <c r="AR57" s="58"/>
      <c r="AS57" s="58"/>
      <c r="AT57" s="26"/>
      <c r="AU57" s="58"/>
      <c r="AV57" s="58"/>
      <c r="AW57" s="58"/>
      <c r="AX57" s="58"/>
      <c r="AY57" s="71"/>
      <c r="AZ57" s="58"/>
      <c r="BA57" s="58"/>
      <c r="BB57" s="72" t="str">
        <f aca="false">IF(BA57&lt;&gt;"",VLOOKUP(BA57,Selects!$B$4:$C$100,2,0),"")</f>
        <v/>
      </c>
      <c r="BC57" s="26"/>
      <c r="BD57" s="26"/>
      <c r="BE57" s="73"/>
      <c r="BF57" s="74"/>
      <c r="BG57" s="75" t="str">
        <f aca="false">IF(LEN(BF57)=11,"PF",IF(LEN(BF57)=14,"PJ",""))</f>
        <v/>
      </c>
      <c r="BH57" s="66"/>
      <c r="BI57" s="58" t="str">
        <f aca="false">IF(BH57&lt;&gt;"",VLOOKUP(BH57,Selects!$G:$H,2,0),"")</f>
        <v/>
      </c>
      <c r="BJ57" s="58"/>
      <c r="BK57" s="58"/>
      <c r="BL57" s="59"/>
      <c r="BM57" s="58"/>
      <c r="BN57" s="58"/>
      <c r="BO57" s="58" t="str">
        <f aca="false">IF(BN57&lt;&gt;"",VLOOKUP(BN57,Selects!$J$4:$K$1000,2,0),"")</f>
        <v/>
      </c>
      <c r="BP57" s="76"/>
      <c r="BQ57" s="59"/>
      <c r="BR57" s="77"/>
      <c r="BS57" s="59"/>
      <c r="BT57" s="77"/>
      <c r="BU57" s="58"/>
      <c r="BV57" s="58"/>
      <c r="BW57" s="58"/>
      <c r="BX57" s="58"/>
      <c r="BY57" s="58"/>
      <c r="BZ57" s="58"/>
      <c r="CA57" s="58"/>
      <c r="CB57" s="72" t="str">
        <f aca="false">IF(AC57&lt;&gt;"",VLOOKUP(AC57,Selects!$B:$E,4,0),"")</f>
        <v/>
      </c>
      <c r="CC57" s="58"/>
      <c r="CD57" s="58"/>
      <c r="CE57" s="58"/>
    </row>
    <row r="58" customFormat="false" ht="15.75" hidden="false" customHeight="true" outlineLevel="0" collapsed="false">
      <c r="A58" s="17"/>
      <c r="B58" s="58"/>
      <c r="C58" s="58"/>
      <c r="D58" s="59"/>
      <c r="E58" s="60" t="str">
        <f aca="false">IF(LEN(D58)=11,"PF",IF(LEN(D58)=14,"PJ",""))</f>
        <v/>
      </c>
      <c r="F58" s="59"/>
      <c r="G58" s="59"/>
      <c r="H58" s="61" t="str">
        <f aca="false">IF(G58&lt;&gt;"",VLOOKUP(G58,'Cnae  mcc  id'!$A:$M,9,0),"")</f>
        <v/>
      </c>
      <c r="I58" s="62"/>
      <c r="J58" s="63" t="str">
        <f aca="false">IF(I58&lt;&gt;"",VLOOKUP(I58,'Legal Nature'!$E$2:$G$84,3,0),"")</f>
        <v/>
      </c>
      <c r="K58" s="64"/>
      <c r="L58" s="65"/>
      <c r="M58" s="66"/>
      <c r="N58" s="66"/>
      <c r="O58" s="79"/>
      <c r="P58" s="26"/>
      <c r="Q58" s="58"/>
      <c r="R58" s="58"/>
      <c r="S58" s="58"/>
      <c r="T58" s="68" t="str">
        <f aca="false">IF(LEFT(S58,1)="9","Celular",IF(S58="","","Fixo"))</f>
        <v/>
      </c>
      <c r="U58" s="58" t="str">
        <f aca="false">IF( T58&lt;&gt;"",VLOOKUP(T58,Selects!$M$4:$N$1000,2,0),"")</f>
        <v/>
      </c>
      <c r="V58" s="26"/>
      <c r="W58" s="58"/>
      <c r="X58" s="58"/>
      <c r="Y58" s="58"/>
      <c r="Z58" s="58"/>
      <c r="AA58" s="69"/>
      <c r="AB58" s="58"/>
      <c r="AC58" s="58"/>
      <c r="AD58" s="70" t="str">
        <f aca="false">IF(AC58&lt;&gt;"",VLOOKUP(AC58,Selects!$B$4:$C$100,2,0),"")</f>
        <v/>
      </c>
      <c r="AE58" s="26"/>
      <c r="AF58" s="58"/>
      <c r="AG58" s="59"/>
      <c r="AH58" s="65"/>
      <c r="AI58" s="66"/>
      <c r="AJ58" s="66"/>
      <c r="AK58" s="58"/>
      <c r="AL58" s="58"/>
      <c r="AM58" s="68" t="str">
        <f aca="false">IF(LEFT(AL58,1)="9","Celular",IF(AL58="","","Fixo"))</f>
        <v/>
      </c>
      <c r="AN58" s="58" t="str">
        <f aca="false">IF( AM58&lt;&gt;"",VLOOKUP(AM58,Selects!$M$4:$N$1000,2,0),"")</f>
        <v/>
      </c>
      <c r="AO58" s="58"/>
      <c r="AP58" s="59"/>
      <c r="AQ58" s="65"/>
      <c r="AR58" s="58"/>
      <c r="AS58" s="58"/>
      <c r="AT58" s="26"/>
      <c r="AU58" s="58"/>
      <c r="AV58" s="58"/>
      <c r="AW58" s="58"/>
      <c r="AX58" s="58"/>
      <c r="AY58" s="71"/>
      <c r="AZ58" s="58"/>
      <c r="BA58" s="58"/>
      <c r="BB58" s="72" t="str">
        <f aca="false">IF(BA58&lt;&gt;"",VLOOKUP(BA58,Selects!$B$4:$C$100,2,0),"")</f>
        <v/>
      </c>
      <c r="BC58" s="26"/>
      <c r="BD58" s="26"/>
      <c r="BE58" s="73"/>
      <c r="BF58" s="74"/>
      <c r="BG58" s="75" t="str">
        <f aca="false">IF(LEN(BF58)=11,"PF",IF(LEN(BF58)=14,"PJ",""))</f>
        <v/>
      </c>
      <c r="BH58" s="66"/>
      <c r="BI58" s="58" t="str">
        <f aca="false">IF(BH58&lt;&gt;"",VLOOKUP(BH58,Selects!$G:$H,2,0),"")</f>
        <v/>
      </c>
      <c r="BJ58" s="58"/>
      <c r="BK58" s="58"/>
      <c r="BL58" s="59"/>
      <c r="BM58" s="58"/>
      <c r="BN58" s="58"/>
      <c r="BO58" s="58" t="str">
        <f aca="false">IF(BN58&lt;&gt;"",VLOOKUP(BN58,Selects!$J$4:$K$1000,2,0),"")</f>
        <v/>
      </c>
      <c r="BP58" s="76"/>
      <c r="BQ58" s="59"/>
      <c r="BR58" s="77"/>
      <c r="BS58" s="59"/>
      <c r="BT58" s="77"/>
      <c r="BU58" s="58"/>
      <c r="BV58" s="58"/>
      <c r="BW58" s="58"/>
      <c r="BX58" s="58"/>
      <c r="BY58" s="58"/>
      <c r="BZ58" s="58"/>
      <c r="CA58" s="58"/>
      <c r="CB58" s="72" t="str">
        <f aca="false">IF(AC58&lt;&gt;"",VLOOKUP(AC58,Selects!$B:$E,4,0),"")</f>
        <v/>
      </c>
      <c r="CC58" s="58"/>
      <c r="CD58" s="58"/>
      <c r="CE58" s="58"/>
    </row>
    <row r="59" customFormat="false" ht="15.75" hidden="false" customHeight="true" outlineLevel="0" collapsed="false">
      <c r="A59" s="17"/>
      <c r="B59" s="58"/>
      <c r="C59" s="58"/>
      <c r="D59" s="59"/>
      <c r="E59" s="60" t="str">
        <f aca="false">IF(LEN(D59)=11,"PF",IF(LEN(D59)=14,"PJ",""))</f>
        <v/>
      </c>
      <c r="F59" s="59"/>
      <c r="G59" s="59"/>
      <c r="H59" s="61" t="str">
        <f aca="false">IF(G59&lt;&gt;"",VLOOKUP(G59,'Cnae  mcc  id'!$A:$M,9,0),"")</f>
        <v/>
      </c>
      <c r="I59" s="62"/>
      <c r="J59" s="63" t="str">
        <f aca="false">IF(I59&lt;&gt;"",VLOOKUP(I59,'Legal Nature'!$E$2:$G$84,3,0),"")</f>
        <v/>
      </c>
      <c r="K59" s="64"/>
      <c r="L59" s="65"/>
      <c r="M59" s="66"/>
      <c r="N59" s="66"/>
      <c r="O59" s="79"/>
      <c r="P59" s="26"/>
      <c r="Q59" s="58"/>
      <c r="R59" s="58"/>
      <c r="S59" s="58"/>
      <c r="T59" s="68" t="str">
        <f aca="false">IF(LEFT(S59,1)="9","Celular",IF(S59="","","Fixo"))</f>
        <v/>
      </c>
      <c r="U59" s="58" t="str">
        <f aca="false">IF( T59&lt;&gt;"",VLOOKUP(T59,Selects!$M$4:$N$1000,2,0),"")</f>
        <v/>
      </c>
      <c r="V59" s="26"/>
      <c r="W59" s="58"/>
      <c r="X59" s="58"/>
      <c r="Y59" s="58"/>
      <c r="Z59" s="58"/>
      <c r="AA59" s="69"/>
      <c r="AB59" s="58"/>
      <c r="AC59" s="58"/>
      <c r="AD59" s="70" t="str">
        <f aca="false">IF(AC59&lt;&gt;"",VLOOKUP(AC59,Selects!$B$4:$C$100,2,0),"")</f>
        <v/>
      </c>
      <c r="AE59" s="26"/>
      <c r="AF59" s="58"/>
      <c r="AG59" s="59"/>
      <c r="AH59" s="65"/>
      <c r="AI59" s="66"/>
      <c r="AJ59" s="66"/>
      <c r="AK59" s="58"/>
      <c r="AL59" s="58"/>
      <c r="AM59" s="68" t="str">
        <f aca="false">IF(LEFT(AL59,1)="9","Celular",IF(AL59="","","Fixo"))</f>
        <v/>
      </c>
      <c r="AN59" s="58" t="str">
        <f aca="false">IF( AM59&lt;&gt;"",VLOOKUP(AM59,Selects!$M$4:$N$1000,2,0),"")</f>
        <v/>
      </c>
      <c r="AO59" s="58"/>
      <c r="AP59" s="59"/>
      <c r="AQ59" s="65"/>
      <c r="AR59" s="58"/>
      <c r="AS59" s="58"/>
      <c r="AT59" s="26"/>
      <c r="AU59" s="58"/>
      <c r="AV59" s="58"/>
      <c r="AW59" s="58"/>
      <c r="AX59" s="58"/>
      <c r="AY59" s="71"/>
      <c r="AZ59" s="58"/>
      <c r="BA59" s="58"/>
      <c r="BB59" s="72" t="str">
        <f aca="false">IF(BA59&lt;&gt;"",VLOOKUP(BA59,Selects!$B$4:$C$100,2,0),"")</f>
        <v/>
      </c>
      <c r="BC59" s="26"/>
      <c r="BD59" s="26"/>
      <c r="BE59" s="73"/>
      <c r="BF59" s="74"/>
      <c r="BG59" s="75" t="str">
        <f aca="false">IF(LEN(BF59)=11,"PF",IF(LEN(BF59)=14,"PJ",""))</f>
        <v/>
      </c>
      <c r="BH59" s="66"/>
      <c r="BI59" s="58" t="str">
        <f aca="false">IF(BH59&lt;&gt;"",VLOOKUP(BH59,Selects!$G:$H,2,0),"")</f>
        <v/>
      </c>
      <c r="BJ59" s="58"/>
      <c r="BK59" s="58"/>
      <c r="BL59" s="59"/>
      <c r="BM59" s="58"/>
      <c r="BN59" s="58"/>
      <c r="BO59" s="58" t="str">
        <f aca="false">IF(BN59&lt;&gt;"",VLOOKUP(BN59,Selects!$J$4:$K$1000,2,0),"")</f>
        <v/>
      </c>
      <c r="BP59" s="76"/>
      <c r="BQ59" s="59"/>
      <c r="BR59" s="77"/>
      <c r="BS59" s="59"/>
      <c r="BT59" s="77"/>
      <c r="BU59" s="58"/>
      <c r="BV59" s="58"/>
      <c r="BW59" s="58"/>
      <c r="BX59" s="58"/>
      <c r="BY59" s="58"/>
      <c r="BZ59" s="58"/>
      <c r="CA59" s="58"/>
      <c r="CB59" s="72" t="str">
        <f aca="false">IF(AC59&lt;&gt;"",VLOOKUP(AC59,Selects!$B:$E,4,0),"")</f>
        <v/>
      </c>
      <c r="CC59" s="58"/>
      <c r="CD59" s="58"/>
      <c r="CE59" s="58"/>
    </row>
    <row r="60" customFormat="false" ht="15.75" hidden="false" customHeight="true" outlineLevel="0" collapsed="false">
      <c r="A60" s="17"/>
      <c r="B60" s="58"/>
      <c r="C60" s="58"/>
      <c r="D60" s="59"/>
      <c r="E60" s="60" t="str">
        <f aca="false">IF(LEN(D60)=11,"PF",IF(LEN(D60)=14,"PJ",""))</f>
        <v/>
      </c>
      <c r="F60" s="59"/>
      <c r="G60" s="59"/>
      <c r="H60" s="61" t="str">
        <f aca="false">IF(G60&lt;&gt;"",VLOOKUP(G60,'Cnae  mcc  id'!$A:$M,9,0),"")</f>
        <v/>
      </c>
      <c r="I60" s="62"/>
      <c r="J60" s="63" t="str">
        <f aca="false">IF(I60&lt;&gt;"",VLOOKUP(I60,'Legal Nature'!$E$2:$G$84,3,0),"")</f>
        <v/>
      </c>
      <c r="K60" s="64"/>
      <c r="L60" s="65"/>
      <c r="M60" s="66"/>
      <c r="N60" s="66"/>
      <c r="O60" s="79"/>
      <c r="P60" s="26"/>
      <c r="Q60" s="58"/>
      <c r="R60" s="58"/>
      <c r="S60" s="58"/>
      <c r="T60" s="68" t="str">
        <f aca="false">IF(LEFT(S60,1)="9","Celular",IF(S60="","","Fixo"))</f>
        <v/>
      </c>
      <c r="U60" s="58" t="str">
        <f aca="false">IF( T60&lt;&gt;"",VLOOKUP(T60,Selects!$M$4:$N$1000,2,0),"")</f>
        <v/>
      </c>
      <c r="V60" s="26"/>
      <c r="W60" s="58"/>
      <c r="X60" s="58"/>
      <c r="Y60" s="58"/>
      <c r="Z60" s="58"/>
      <c r="AA60" s="69"/>
      <c r="AB60" s="58"/>
      <c r="AC60" s="58"/>
      <c r="AD60" s="70" t="str">
        <f aca="false">IF(AC60&lt;&gt;"",VLOOKUP(AC60,Selects!$B$4:$C$100,2,0),"")</f>
        <v/>
      </c>
      <c r="AE60" s="26"/>
      <c r="AF60" s="58"/>
      <c r="AG60" s="59"/>
      <c r="AH60" s="65"/>
      <c r="AI60" s="66"/>
      <c r="AJ60" s="66"/>
      <c r="AK60" s="58"/>
      <c r="AL60" s="58"/>
      <c r="AM60" s="68" t="str">
        <f aca="false">IF(LEFT(AL60,1)="9","Celular",IF(AL60="","","Fixo"))</f>
        <v/>
      </c>
      <c r="AN60" s="58" t="str">
        <f aca="false">IF( AM60&lt;&gt;"",VLOOKUP(AM60,Selects!$M$4:$N$1000,2,0),"")</f>
        <v/>
      </c>
      <c r="AO60" s="58"/>
      <c r="AP60" s="59"/>
      <c r="AQ60" s="65"/>
      <c r="AR60" s="58"/>
      <c r="AS60" s="58"/>
      <c r="AT60" s="26"/>
      <c r="AU60" s="58"/>
      <c r="AV60" s="58"/>
      <c r="AW60" s="58"/>
      <c r="AX60" s="58"/>
      <c r="AY60" s="71"/>
      <c r="AZ60" s="58"/>
      <c r="BA60" s="58"/>
      <c r="BB60" s="72" t="str">
        <f aca="false">IF(BA60&lt;&gt;"",VLOOKUP(BA60,Selects!$B$4:$C$100,2,0),"")</f>
        <v/>
      </c>
      <c r="BC60" s="26"/>
      <c r="BD60" s="26"/>
      <c r="BE60" s="73"/>
      <c r="BF60" s="74"/>
      <c r="BG60" s="75" t="str">
        <f aca="false">IF(LEN(BF60)=11,"PF",IF(LEN(BF60)=14,"PJ",""))</f>
        <v/>
      </c>
      <c r="BH60" s="66"/>
      <c r="BI60" s="58" t="str">
        <f aca="false">IF(BH60&lt;&gt;"",VLOOKUP(BH60,Selects!$G:$H,2,0),"")</f>
        <v/>
      </c>
      <c r="BJ60" s="58"/>
      <c r="BK60" s="58"/>
      <c r="BL60" s="59"/>
      <c r="BM60" s="58"/>
      <c r="BN60" s="58"/>
      <c r="BO60" s="58" t="str">
        <f aca="false">IF(BN60&lt;&gt;"",VLOOKUP(BN60,Selects!$J$4:$K$1000,2,0),"")</f>
        <v/>
      </c>
      <c r="BP60" s="76"/>
      <c r="BQ60" s="59"/>
      <c r="BR60" s="77"/>
      <c r="BS60" s="59"/>
      <c r="BT60" s="77"/>
      <c r="BU60" s="58"/>
      <c r="BV60" s="58"/>
      <c r="BW60" s="58"/>
      <c r="BX60" s="58"/>
      <c r="BY60" s="58"/>
      <c r="BZ60" s="58"/>
      <c r="CA60" s="58"/>
      <c r="CB60" s="72" t="str">
        <f aca="false">IF(AC60&lt;&gt;"",VLOOKUP(AC60,Selects!$B:$E,4,0),"")</f>
        <v/>
      </c>
      <c r="CC60" s="58"/>
      <c r="CD60" s="58"/>
      <c r="CE60" s="58"/>
    </row>
    <row r="61" customFormat="false" ht="15.75" hidden="false" customHeight="true" outlineLevel="0" collapsed="false">
      <c r="A61" s="17"/>
      <c r="B61" s="58"/>
      <c r="C61" s="58"/>
      <c r="D61" s="59"/>
      <c r="E61" s="60" t="str">
        <f aca="false">IF(LEN(D61)=11,"PF",IF(LEN(D61)=14,"PJ",""))</f>
        <v/>
      </c>
      <c r="F61" s="59"/>
      <c r="G61" s="59"/>
      <c r="H61" s="61" t="str">
        <f aca="false">IF(G61&lt;&gt;"",VLOOKUP(G61,'Cnae  mcc  id'!$A:$M,9,0),"")</f>
        <v/>
      </c>
      <c r="I61" s="62"/>
      <c r="J61" s="63" t="str">
        <f aca="false">IF(I61&lt;&gt;"",VLOOKUP(I61,'Legal Nature'!$E$2:$G$84,3,0),"")</f>
        <v/>
      </c>
      <c r="K61" s="64"/>
      <c r="L61" s="65"/>
      <c r="M61" s="66"/>
      <c r="N61" s="66"/>
      <c r="O61" s="79"/>
      <c r="P61" s="26"/>
      <c r="Q61" s="58"/>
      <c r="R61" s="58"/>
      <c r="S61" s="58"/>
      <c r="T61" s="68" t="str">
        <f aca="false">IF(LEFT(S61,1)="9","Celular",IF(S61="","","Fixo"))</f>
        <v/>
      </c>
      <c r="U61" s="58" t="str">
        <f aca="false">IF( T61&lt;&gt;"",VLOOKUP(T61,Selects!$M$4:$N$1000,2,0),"")</f>
        <v/>
      </c>
      <c r="V61" s="26"/>
      <c r="W61" s="58"/>
      <c r="X61" s="58"/>
      <c r="Y61" s="58"/>
      <c r="Z61" s="58"/>
      <c r="AA61" s="69"/>
      <c r="AB61" s="58"/>
      <c r="AC61" s="58"/>
      <c r="AD61" s="70" t="str">
        <f aca="false">IF(AC61&lt;&gt;"",VLOOKUP(AC61,Selects!$B$4:$C$100,2,0),"")</f>
        <v/>
      </c>
      <c r="AE61" s="26"/>
      <c r="AF61" s="58"/>
      <c r="AG61" s="59"/>
      <c r="AH61" s="65"/>
      <c r="AI61" s="66"/>
      <c r="AJ61" s="66"/>
      <c r="AK61" s="58"/>
      <c r="AL61" s="58"/>
      <c r="AM61" s="68" t="str">
        <f aca="false">IF(LEFT(AL61,1)="9","Celular",IF(AL61="","","Fixo"))</f>
        <v/>
      </c>
      <c r="AN61" s="58" t="str">
        <f aca="false">IF( AM61&lt;&gt;"",VLOOKUP(AM61,Selects!$M$4:$N$1000,2,0),"")</f>
        <v/>
      </c>
      <c r="AO61" s="58"/>
      <c r="AP61" s="59"/>
      <c r="AQ61" s="65"/>
      <c r="AR61" s="58"/>
      <c r="AS61" s="58"/>
      <c r="AT61" s="26"/>
      <c r="AU61" s="58"/>
      <c r="AV61" s="58"/>
      <c r="AW61" s="58"/>
      <c r="AX61" s="58"/>
      <c r="AY61" s="71"/>
      <c r="AZ61" s="58"/>
      <c r="BA61" s="58"/>
      <c r="BB61" s="72" t="str">
        <f aca="false">IF(BA61&lt;&gt;"",VLOOKUP(BA61,Selects!$B$4:$C$100,2,0),"")</f>
        <v/>
      </c>
      <c r="BC61" s="26"/>
      <c r="BD61" s="26"/>
      <c r="BE61" s="73"/>
      <c r="BF61" s="74"/>
      <c r="BG61" s="75" t="str">
        <f aca="false">IF(LEN(BF61)=11,"PF",IF(LEN(BF61)=14,"PJ",""))</f>
        <v/>
      </c>
      <c r="BH61" s="66"/>
      <c r="BI61" s="58" t="str">
        <f aca="false">IF(BH61&lt;&gt;"",VLOOKUP(BH61,Selects!$G:$H,2,0),"")</f>
        <v/>
      </c>
      <c r="BJ61" s="58"/>
      <c r="BK61" s="58"/>
      <c r="BL61" s="59"/>
      <c r="BM61" s="58"/>
      <c r="BN61" s="58"/>
      <c r="BO61" s="58" t="str">
        <f aca="false">IF(BN61&lt;&gt;"",VLOOKUP(BN61,Selects!$J$4:$K$1000,2,0),"")</f>
        <v/>
      </c>
      <c r="BP61" s="76"/>
      <c r="BQ61" s="59"/>
      <c r="BR61" s="77"/>
      <c r="BS61" s="59"/>
      <c r="BT61" s="77"/>
      <c r="BU61" s="58"/>
      <c r="BV61" s="58"/>
      <c r="BW61" s="58"/>
      <c r="BX61" s="58"/>
      <c r="BY61" s="58"/>
      <c r="BZ61" s="58"/>
      <c r="CA61" s="58"/>
      <c r="CB61" s="72" t="str">
        <f aca="false">IF(AC61&lt;&gt;"",VLOOKUP(AC61,Selects!$B:$E,4,0),"")</f>
        <v/>
      </c>
      <c r="CC61" s="58"/>
      <c r="CD61" s="58"/>
      <c r="CE61" s="58"/>
    </row>
    <row r="62" customFormat="false" ht="15.75" hidden="false" customHeight="true" outlineLevel="0" collapsed="false">
      <c r="A62" s="17"/>
      <c r="B62" s="58"/>
      <c r="C62" s="58"/>
      <c r="D62" s="59"/>
      <c r="E62" s="60" t="str">
        <f aca="false">IF(LEN(D62)=11,"PF",IF(LEN(D62)=14,"PJ",""))</f>
        <v/>
      </c>
      <c r="F62" s="59"/>
      <c r="G62" s="59"/>
      <c r="H62" s="61" t="str">
        <f aca="false">IF(G62&lt;&gt;"",VLOOKUP(G62,'Cnae  mcc  id'!$A:$M,9,0),"")</f>
        <v/>
      </c>
      <c r="I62" s="62"/>
      <c r="J62" s="63" t="str">
        <f aca="false">IF(I62&lt;&gt;"",VLOOKUP(I62,'Legal Nature'!$E$2:$G$84,3,0),"")</f>
        <v/>
      </c>
      <c r="K62" s="64"/>
      <c r="L62" s="65"/>
      <c r="M62" s="66"/>
      <c r="N62" s="66"/>
      <c r="O62" s="79"/>
      <c r="P62" s="26"/>
      <c r="Q62" s="58"/>
      <c r="R62" s="58"/>
      <c r="S62" s="58"/>
      <c r="T62" s="68" t="str">
        <f aca="false">IF(LEFT(S62,1)="9","Celular",IF(S62="","","Fixo"))</f>
        <v/>
      </c>
      <c r="U62" s="58" t="str">
        <f aca="false">IF( T62&lt;&gt;"",VLOOKUP(T62,Selects!$M$4:$N$1000,2,0),"")</f>
        <v/>
      </c>
      <c r="V62" s="26"/>
      <c r="W62" s="58"/>
      <c r="X62" s="58"/>
      <c r="Y62" s="58"/>
      <c r="Z62" s="58"/>
      <c r="AA62" s="69"/>
      <c r="AB62" s="58"/>
      <c r="AC62" s="58"/>
      <c r="AD62" s="70" t="str">
        <f aca="false">IF(AC62&lt;&gt;"",VLOOKUP(AC62,Selects!$B$4:$C$100,2,0),"")</f>
        <v/>
      </c>
      <c r="AE62" s="26"/>
      <c r="AF62" s="58"/>
      <c r="AG62" s="59"/>
      <c r="AH62" s="65"/>
      <c r="AI62" s="66"/>
      <c r="AJ62" s="66"/>
      <c r="AK62" s="58"/>
      <c r="AL62" s="58"/>
      <c r="AM62" s="68" t="str">
        <f aca="false">IF(LEFT(AL62,1)="9","Celular",IF(AL62="","","Fixo"))</f>
        <v/>
      </c>
      <c r="AN62" s="58" t="str">
        <f aca="false">IF( AM62&lt;&gt;"",VLOOKUP(AM62,Selects!$M$4:$N$1000,2,0),"")</f>
        <v/>
      </c>
      <c r="AO62" s="58"/>
      <c r="AP62" s="59"/>
      <c r="AQ62" s="65"/>
      <c r="AR62" s="58"/>
      <c r="AS62" s="58"/>
      <c r="AT62" s="26"/>
      <c r="AU62" s="58"/>
      <c r="AV62" s="58"/>
      <c r="AW62" s="58"/>
      <c r="AX62" s="58"/>
      <c r="AY62" s="71"/>
      <c r="AZ62" s="58"/>
      <c r="BA62" s="58"/>
      <c r="BB62" s="72" t="str">
        <f aca="false">IF(BA62&lt;&gt;"",VLOOKUP(BA62,Selects!$B$4:$C$100,2,0),"")</f>
        <v/>
      </c>
      <c r="BC62" s="26"/>
      <c r="BD62" s="26"/>
      <c r="BE62" s="73"/>
      <c r="BF62" s="74"/>
      <c r="BG62" s="75" t="str">
        <f aca="false">IF(LEN(BF62)=11,"PF",IF(LEN(BF62)=14,"PJ",""))</f>
        <v/>
      </c>
      <c r="BH62" s="66"/>
      <c r="BI62" s="58" t="str">
        <f aca="false">IF(BH62&lt;&gt;"",VLOOKUP(BH62,Selects!$G:$H,2,0),"")</f>
        <v/>
      </c>
      <c r="BJ62" s="58"/>
      <c r="BK62" s="58"/>
      <c r="BL62" s="59"/>
      <c r="BM62" s="58"/>
      <c r="BN62" s="58"/>
      <c r="BO62" s="58" t="str">
        <f aca="false">IF(BN62&lt;&gt;"",VLOOKUP(BN62,Selects!$J$4:$K$1000,2,0),"")</f>
        <v/>
      </c>
      <c r="BP62" s="76"/>
      <c r="BQ62" s="59"/>
      <c r="BR62" s="77"/>
      <c r="BS62" s="59"/>
      <c r="BT62" s="77"/>
      <c r="BU62" s="58"/>
      <c r="BV62" s="58"/>
      <c r="BW62" s="58"/>
      <c r="BX62" s="58"/>
      <c r="BY62" s="58"/>
      <c r="BZ62" s="58"/>
      <c r="CA62" s="58"/>
      <c r="CB62" s="72" t="str">
        <f aca="false">IF(AC62&lt;&gt;"",VLOOKUP(AC62,Selects!$B:$E,4,0),"")</f>
        <v/>
      </c>
      <c r="CC62" s="58"/>
      <c r="CD62" s="58"/>
      <c r="CE62" s="58"/>
    </row>
    <row r="63" customFormat="false" ht="15.75" hidden="false" customHeight="true" outlineLevel="0" collapsed="false">
      <c r="A63" s="17"/>
      <c r="B63" s="58"/>
      <c r="C63" s="58"/>
      <c r="D63" s="59"/>
      <c r="E63" s="60" t="str">
        <f aca="false">IF(LEN(D63)=11,"PF",IF(LEN(D63)=14,"PJ",""))</f>
        <v/>
      </c>
      <c r="F63" s="59"/>
      <c r="G63" s="59"/>
      <c r="H63" s="61" t="str">
        <f aca="false">IF(G63&lt;&gt;"",VLOOKUP(G63,'Cnae  mcc  id'!$A:$M,9,0),"")</f>
        <v/>
      </c>
      <c r="I63" s="62"/>
      <c r="J63" s="63" t="str">
        <f aca="false">IF(I63&lt;&gt;"",VLOOKUP(I63,'Legal Nature'!$E$2:$G$84,3,0),"")</f>
        <v/>
      </c>
      <c r="K63" s="64"/>
      <c r="L63" s="65"/>
      <c r="M63" s="66"/>
      <c r="N63" s="66"/>
      <c r="O63" s="79"/>
      <c r="P63" s="26"/>
      <c r="Q63" s="58"/>
      <c r="R63" s="58"/>
      <c r="S63" s="58"/>
      <c r="T63" s="68" t="str">
        <f aca="false">IF(LEFT(S63,1)="9","Celular",IF(S63="","","Fixo"))</f>
        <v/>
      </c>
      <c r="U63" s="58" t="str">
        <f aca="false">IF( T63&lt;&gt;"",VLOOKUP(T63,Selects!$M$4:$N$1000,2,0),"")</f>
        <v/>
      </c>
      <c r="V63" s="26"/>
      <c r="W63" s="58"/>
      <c r="X63" s="58"/>
      <c r="Y63" s="58"/>
      <c r="Z63" s="58"/>
      <c r="AA63" s="69"/>
      <c r="AB63" s="58"/>
      <c r="AC63" s="58"/>
      <c r="AD63" s="70" t="str">
        <f aca="false">IF(AC63&lt;&gt;"",VLOOKUP(AC63,Selects!$B$4:$C$100,2,0),"")</f>
        <v/>
      </c>
      <c r="AE63" s="26"/>
      <c r="AF63" s="58"/>
      <c r="AG63" s="59"/>
      <c r="AH63" s="65"/>
      <c r="AI63" s="66"/>
      <c r="AJ63" s="66"/>
      <c r="AK63" s="58"/>
      <c r="AL63" s="58"/>
      <c r="AM63" s="68" t="str">
        <f aca="false">IF(LEFT(AL63,1)="9","Celular",IF(AL63="","","Fixo"))</f>
        <v/>
      </c>
      <c r="AN63" s="58" t="str">
        <f aca="false">IF( AM63&lt;&gt;"",VLOOKUP(AM63,Selects!$M$4:$N$1000,2,0),"")</f>
        <v/>
      </c>
      <c r="AO63" s="58"/>
      <c r="AP63" s="59"/>
      <c r="AQ63" s="65"/>
      <c r="AR63" s="58"/>
      <c r="AS63" s="58"/>
      <c r="AT63" s="26"/>
      <c r="AU63" s="58"/>
      <c r="AV63" s="58"/>
      <c r="AW63" s="58"/>
      <c r="AX63" s="58"/>
      <c r="AY63" s="71"/>
      <c r="AZ63" s="58"/>
      <c r="BA63" s="58"/>
      <c r="BB63" s="72" t="str">
        <f aca="false">IF(BA63&lt;&gt;"",VLOOKUP(BA63,Selects!$B$4:$C$100,2,0),"")</f>
        <v/>
      </c>
      <c r="BC63" s="26"/>
      <c r="BD63" s="26"/>
      <c r="BE63" s="73"/>
      <c r="BF63" s="74"/>
      <c r="BG63" s="75" t="str">
        <f aca="false">IF(LEN(BF63)=11,"PF",IF(LEN(BF63)=14,"PJ",""))</f>
        <v/>
      </c>
      <c r="BH63" s="66"/>
      <c r="BI63" s="58" t="str">
        <f aca="false">IF(BH63&lt;&gt;"",VLOOKUP(BH63,Selects!$G:$H,2,0),"")</f>
        <v/>
      </c>
      <c r="BJ63" s="58"/>
      <c r="BK63" s="58"/>
      <c r="BL63" s="59"/>
      <c r="BM63" s="58"/>
      <c r="BN63" s="58"/>
      <c r="BO63" s="58" t="str">
        <f aca="false">IF(BN63&lt;&gt;"",VLOOKUP(BN63,Selects!$J$4:$K$1000,2,0),"")</f>
        <v/>
      </c>
      <c r="BP63" s="76"/>
      <c r="BQ63" s="59"/>
      <c r="BR63" s="77"/>
      <c r="BS63" s="59"/>
      <c r="BT63" s="77"/>
      <c r="BU63" s="58"/>
      <c r="BV63" s="58"/>
      <c r="BW63" s="58"/>
      <c r="BX63" s="58"/>
      <c r="BY63" s="58"/>
      <c r="BZ63" s="58"/>
      <c r="CA63" s="58"/>
      <c r="CB63" s="72" t="str">
        <f aca="false">IF(AC63&lt;&gt;"",VLOOKUP(AC63,Selects!$B:$E,4,0),"")</f>
        <v/>
      </c>
      <c r="CC63" s="58"/>
      <c r="CD63" s="58"/>
      <c r="CE63" s="58"/>
    </row>
    <row r="64" customFormat="false" ht="15.75" hidden="false" customHeight="true" outlineLevel="0" collapsed="false">
      <c r="A64" s="17"/>
      <c r="B64" s="58"/>
      <c r="C64" s="58"/>
      <c r="D64" s="59"/>
      <c r="E64" s="60" t="str">
        <f aca="false">IF(LEN(D64)=11,"PF",IF(LEN(D64)=14,"PJ",""))</f>
        <v/>
      </c>
      <c r="F64" s="59"/>
      <c r="G64" s="59"/>
      <c r="H64" s="61" t="str">
        <f aca="false">IF(G64&lt;&gt;"",VLOOKUP(G64,'Cnae  mcc  id'!$A:$M,9,0),"")</f>
        <v/>
      </c>
      <c r="I64" s="62"/>
      <c r="J64" s="63" t="str">
        <f aca="false">IF(I64&lt;&gt;"",VLOOKUP(I64,'Legal Nature'!$E$2:$G$84,3,0),"")</f>
        <v/>
      </c>
      <c r="K64" s="64"/>
      <c r="L64" s="65"/>
      <c r="M64" s="66"/>
      <c r="N64" s="66"/>
      <c r="O64" s="79"/>
      <c r="P64" s="26"/>
      <c r="Q64" s="58"/>
      <c r="R64" s="58"/>
      <c r="S64" s="58"/>
      <c r="T64" s="68" t="str">
        <f aca="false">IF(LEFT(S64,1)="9","Celular",IF(S64="","","Fixo"))</f>
        <v/>
      </c>
      <c r="U64" s="58" t="str">
        <f aca="false">IF( T64&lt;&gt;"",VLOOKUP(T64,Selects!$M$4:$N$1000,2,0),"")</f>
        <v/>
      </c>
      <c r="V64" s="26"/>
      <c r="W64" s="58"/>
      <c r="X64" s="58"/>
      <c r="Y64" s="58"/>
      <c r="Z64" s="58"/>
      <c r="AA64" s="69"/>
      <c r="AB64" s="58"/>
      <c r="AC64" s="58"/>
      <c r="AD64" s="70" t="str">
        <f aca="false">IF(AC64&lt;&gt;"",VLOOKUP(AC64,Selects!$B$4:$C$100,2,0),"")</f>
        <v/>
      </c>
      <c r="AE64" s="26"/>
      <c r="AF64" s="58"/>
      <c r="AG64" s="59"/>
      <c r="AH64" s="65"/>
      <c r="AI64" s="66"/>
      <c r="AJ64" s="66"/>
      <c r="AK64" s="58"/>
      <c r="AL64" s="58"/>
      <c r="AM64" s="68" t="str">
        <f aca="false">IF(LEFT(AL64,1)="9","Celular",IF(AL64="","","Fixo"))</f>
        <v/>
      </c>
      <c r="AN64" s="58" t="str">
        <f aca="false">IF( AM64&lt;&gt;"",VLOOKUP(AM64,Selects!$M$4:$N$1000,2,0),"")</f>
        <v/>
      </c>
      <c r="AO64" s="58"/>
      <c r="AP64" s="59"/>
      <c r="AQ64" s="65"/>
      <c r="AR64" s="58"/>
      <c r="AS64" s="58"/>
      <c r="AT64" s="26"/>
      <c r="AU64" s="58"/>
      <c r="AV64" s="58"/>
      <c r="AW64" s="58"/>
      <c r="AX64" s="58"/>
      <c r="AY64" s="71"/>
      <c r="AZ64" s="58"/>
      <c r="BA64" s="58"/>
      <c r="BB64" s="72" t="str">
        <f aca="false">IF(BA64&lt;&gt;"",VLOOKUP(BA64,Selects!$B$4:$C$100,2,0),"")</f>
        <v/>
      </c>
      <c r="BC64" s="26"/>
      <c r="BD64" s="26"/>
      <c r="BE64" s="73"/>
      <c r="BF64" s="74"/>
      <c r="BG64" s="75" t="str">
        <f aca="false">IF(LEN(BF64)=11,"PF",IF(LEN(BF64)=14,"PJ",""))</f>
        <v/>
      </c>
      <c r="BH64" s="66"/>
      <c r="BI64" s="58" t="str">
        <f aca="false">IF(BH64&lt;&gt;"",VLOOKUP(BH64,Selects!$G:$H,2,0),"")</f>
        <v/>
      </c>
      <c r="BJ64" s="58"/>
      <c r="BK64" s="58"/>
      <c r="BL64" s="59"/>
      <c r="BM64" s="58"/>
      <c r="BN64" s="58"/>
      <c r="BO64" s="58" t="str">
        <f aca="false">IF(BN64&lt;&gt;"",VLOOKUP(BN64,Selects!$J$4:$K$1000,2,0),"")</f>
        <v/>
      </c>
      <c r="BP64" s="76"/>
      <c r="BQ64" s="59"/>
      <c r="BR64" s="77"/>
      <c r="BS64" s="59"/>
      <c r="BT64" s="77"/>
      <c r="BU64" s="58"/>
      <c r="BV64" s="58"/>
      <c r="BW64" s="58"/>
      <c r="BX64" s="58"/>
      <c r="BY64" s="58"/>
      <c r="BZ64" s="58"/>
      <c r="CA64" s="58"/>
      <c r="CB64" s="72" t="str">
        <f aca="false">IF(AC64&lt;&gt;"",VLOOKUP(AC64,Selects!$B:$E,4,0),"")</f>
        <v/>
      </c>
      <c r="CC64" s="58"/>
      <c r="CD64" s="58"/>
      <c r="CE64" s="58"/>
    </row>
    <row r="65" customFormat="false" ht="15.75" hidden="false" customHeight="true" outlineLevel="0" collapsed="false">
      <c r="A65" s="17"/>
      <c r="B65" s="58"/>
      <c r="C65" s="58"/>
      <c r="D65" s="59"/>
      <c r="E65" s="60" t="str">
        <f aca="false">IF(LEN(D65)=11,"PF",IF(LEN(D65)=14,"PJ",""))</f>
        <v/>
      </c>
      <c r="F65" s="59"/>
      <c r="G65" s="59"/>
      <c r="H65" s="61" t="str">
        <f aca="false">IF(G65&lt;&gt;"",VLOOKUP(G65,'Cnae  mcc  id'!$A:$M,9,0),"")</f>
        <v/>
      </c>
      <c r="I65" s="62"/>
      <c r="J65" s="63" t="str">
        <f aca="false">IF(I65&lt;&gt;"",VLOOKUP(I65,'Legal Nature'!$E$2:$G$84,3,0),"")</f>
        <v/>
      </c>
      <c r="K65" s="64"/>
      <c r="L65" s="65"/>
      <c r="M65" s="66"/>
      <c r="N65" s="66"/>
      <c r="O65" s="79"/>
      <c r="P65" s="26"/>
      <c r="Q65" s="58"/>
      <c r="R65" s="58"/>
      <c r="S65" s="58"/>
      <c r="T65" s="68" t="str">
        <f aca="false">IF(LEFT(S65,1)="9","Celular",IF(S65="","","Fixo"))</f>
        <v/>
      </c>
      <c r="U65" s="58" t="str">
        <f aca="false">IF( T65&lt;&gt;"",VLOOKUP(T65,Selects!$M$4:$N$1000,2,0),"")</f>
        <v/>
      </c>
      <c r="V65" s="26"/>
      <c r="W65" s="58"/>
      <c r="X65" s="58"/>
      <c r="Y65" s="58"/>
      <c r="Z65" s="58"/>
      <c r="AA65" s="69"/>
      <c r="AB65" s="58"/>
      <c r="AC65" s="58"/>
      <c r="AD65" s="70" t="str">
        <f aca="false">IF(AC65&lt;&gt;"",VLOOKUP(AC65,Selects!$B$4:$C$100,2,0),"")</f>
        <v/>
      </c>
      <c r="AE65" s="26"/>
      <c r="AF65" s="58"/>
      <c r="AG65" s="59"/>
      <c r="AH65" s="65"/>
      <c r="AI65" s="66"/>
      <c r="AJ65" s="66"/>
      <c r="AK65" s="58"/>
      <c r="AL65" s="58"/>
      <c r="AM65" s="68" t="str">
        <f aca="false">IF(LEFT(AL65,1)="9","Celular",IF(AL65="","","Fixo"))</f>
        <v/>
      </c>
      <c r="AN65" s="58" t="str">
        <f aca="false">IF( AM65&lt;&gt;"",VLOOKUP(AM65,Selects!$M$4:$N$1000,2,0),"")</f>
        <v/>
      </c>
      <c r="AO65" s="58"/>
      <c r="AP65" s="59"/>
      <c r="AQ65" s="65"/>
      <c r="AR65" s="58"/>
      <c r="AS65" s="58"/>
      <c r="AT65" s="26"/>
      <c r="AU65" s="58"/>
      <c r="AV65" s="58"/>
      <c r="AW65" s="58"/>
      <c r="AX65" s="58"/>
      <c r="AY65" s="71"/>
      <c r="AZ65" s="58"/>
      <c r="BA65" s="58"/>
      <c r="BB65" s="72" t="str">
        <f aca="false">IF(BA65&lt;&gt;"",VLOOKUP(BA65,Selects!$B$4:$C$100,2,0),"")</f>
        <v/>
      </c>
      <c r="BC65" s="26"/>
      <c r="BD65" s="26"/>
      <c r="BE65" s="73"/>
      <c r="BF65" s="74"/>
      <c r="BG65" s="75" t="str">
        <f aca="false">IF(LEN(BF65)=11,"PF",IF(LEN(BF65)=14,"PJ",""))</f>
        <v/>
      </c>
      <c r="BH65" s="66"/>
      <c r="BI65" s="58" t="str">
        <f aca="false">IF(BH65&lt;&gt;"",VLOOKUP(BH65,Selects!$G:$H,2,0),"")</f>
        <v/>
      </c>
      <c r="BJ65" s="58"/>
      <c r="BK65" s="58"/>
      <c r="BL65" s="59"/>
      <c r="BM65" s="58"/>
      <c r="BN65" s="58"/>
      <c r="BO65" s="58" t="str">
        <f aca="false">IF(BN65&lt;&gt;"",VLOOKUP(BN65,Selects!$J$4:$K$1000,2,0),"")</f>
        <v/>
      </c>
      <c r="BP65" s="76"/>
      <c r="BQ65" s="59"/>
      <c r="BR65" s="77"/>
      <c r="BS65" s="59"/>
      <c r="BT65" s="77"/>
      <c r="BU65" s="58"/>
      <c r="BV65" s="58"/>
      <c r="BW65" s="58"/>
      <c r="BX65" s="58"/>
      <c r="BY65" s="58"/>
      <c r="BZ65" s="58"/>
      <c r="CA65" s="58"/>
      <c r="CB65" s="72" t="str">
        <f aca="false">IF(AC65&lt;&gt;"",VLOOKUP(AC65,Selects!$B:$E,4,0),"")</f>
        <v/>
      </c>
      <c r="CC65" s="58"/>
      <c r="CD65" s="58"/>
      <c r="CE65" s="58"/>
    </row>
    <row r="66" customFormat="false" ht="15.75" hidden="false" customHeight="true" outlineLevel="0" collapsed="false">
      <c r="A66" s="17"/>
      <c r="B66" s="58"/>
      <c r="C66" s="58"/>
      <c r="D66" s="59"/>
      <c r="E66" s="60" t="str">
        <f aca="false">IF(LEN(D66)=11,"PF",IF(LEN(D66)=14,"PJ",""))</f>
        <v/>
      </c>
      <c r="F66" s="59"/>
      <c r="G66" s="59"/>
      <c r="H66" s="61" t="str">
        <f aca="false">IF(G66&lt;&gt;"",VLOOKUP(G66,'Cnae  mcc  id'!$A:$M,9,0),"")</f>
        <v/>
      </c>
      <c r="I66" s="62"/>
      <c r="J66" s="63" t="str">
        <f aca="false">IF(I66&lt;&gt;"",VLOOKUP(I66,'Legal Nature'!$E$2:$G$84,3,0),"")</f>
        <v/>
      </c>
      <c r="K66" s="64"/>
      <c r="L66" s="65"/>
      <c r="M66" s="66"/>
      <c r="N66" s="66"/>
      <c r="O66" s="79"/>
      <c r="P66" s="26"/>
      <c r="Q66" s="58"/>
      <c r="R66" s="58"/>
      <c r="S66" s="58"/>
      <c r="T66" s="68" t="str">
        <f aca="false">IF(LEFT(S66,1)="9","Celular",IF(S66="","","Fixo"))</f>
        <v/>
      </c>
      <c r="U66" s="58" t="str">
        <f aca="false">IF( T66&lt;&gt;"",VLOOKUP(T66,Selects!$M$4:$N$1000,2,0),"")</f>
        <v/>
      </c>
      <c r="V66" s="26"/>
      <c r="W66" s="58"/>
      <c r="X66" s="58"/>
      <c r="Y66" s="58"/>
      <c r="Z66" s="58"/>
      <c r="AA66" s="69"/>
      <c r="AB66" s="58"/>
      <c r="AC66" s="58"/>
      <c r="AD66" s="70" t="str">
        <f aca="false">IF(AC66&lt;&gt;"",VLOOKUP(AC66,Selects!$B$4:$C$100,2,0),"")</f>
        <v/>
      </c>
      <c r="AE66" s="26"/>
      <c r="AF66" s="58"/>
      <c r="AG66" s="59"/>
      <c r="AH66" s="65"/>
      <c r="AI66" s="66"/>
      <c r="AJ66" s="66"/>
      <c r="AK66" s="58"/>
      <c r="AL66" s="58"/>
      <c r="AM66" s="68" t="str">
        <f aca="false">IF(LEFT(AL66,1)="9","Celular",IF(AL66="","","Fixo"))</f>
        <v/>
      </c>
      <c r="AN66" s="58" t="str">
        <f aca="false">IF( AM66&lt;&gt;"",VLOOKUP(AM66,Selects!$M$4:$N$1000,2,0),"")</f>
        <v/>
      </c>
      <c r="AO66" s="58"/>
      <c r="AP66" s="59"/>
      <c r="AQ66" s="65"/>
      <c r="AR66" s="58"/>
      <c r="AS66" s="58"/>
      <c r="AT66" s="26"/>
      <c r="AU66" s="58"/>
      <c r="AV66" s="58"/>
      <c r="AW66" s="58"/>
      <c r="AX66" s="58"/>
      <c r="AY66" s="71"/>
      <c r="AZ66" s="58"/>
      <c r="BA66" s="58"/>
      <c r="BB66" s="72" t="str">
        <f aca="false">IF(BA66&lt;&gt;"",VLOOKUP(BA66,Selects!$B$4:$C$100,2,0),"")</f>
        <v/>
      </c>
      <c r="BC66" s="26"/>
      <c r="BD66" s="26"/>
      <c r="BE66" s="73"/>
      <c r="BF66" s="74"/>
      <c r="BG66" s="75" t="str">
        <f aca="false">IF(LEN(BF66)=11,"PF",IF(LEN(BF66)=14,"PJ",""))</f>
        <v/>
      </c>
      <c r="BH66" s="66"/>
      <c r="BI66" s="58" t="str">
        <f aca="false">IF(BH66&lt;&gt;"",VLOOKUP(BH66,Selects!$G:$H,2,0),"")</f>
        <v/>
      </c>
      <c r="BJ66" s="58"/>
      <c r="BK66" s="58"/>
      <c r="BL66" s="59"/>
      <c r="BM66" s="58"/>
      <c r="BN66" s="58"/>
      <c r="BO66" s="58" t="str">
        <f aca="false">IF(BN66&lt;&gt;"",VLOOKUP(BN66,Selects!$J$4:$K$1000,2,0),"")</f>
        <v/>
      </c>
      <c r="BP66" s="76"/>
      <c r="BQ66" s="59"/>
      <c r="BR66" s="77"/>
      <c r="BS66" s="59"/>
      <c r="BT66" s="77"/>
      <c r="BU66" s="58"/>
      <c r="BV66" s="58"/>
      <c r="BW66" s="58"/>
      <c r="BX66" s="58"/>
      <c r="BY66" s="58"/>
      <c r="BZ66" s="58"/>
      <c r="CA66" s="58"/>
      <c r="CB66" s="72" t="str">
        <f aca="false">IF(AC66&lt;&gt;"",VLOOKUP(AC66,Selects!$B:$E,4,0),"")</f>
        <v/>
      </c>
      <c r="CC66" s="58"/>
      <c r="CD66" s="58"/>
      <c r="CE66" s="58"/>
    </row>
    <row r="67" customFormat="false" ht="15.75" hidden="false" customHeight="true" outlineLevel="0" collapsed="false">
      <c r="A67" s="17"/>
      <c r="B67" s="58"/>
      <c r="C67" s="58"/>
      <c r="D67" s="59"/>
      <c r="E67" s="60" t="str">
        <f aca="false">IF(LEN(D67)=11,"PF",IF(LEN(D67)=14,"PJ",""))</f>
        <v/>
      </c>
      <c r="F67" s="59"/>
      <c r="G67" s="59"/>
      <c r="H67" s="61" t="str">
        <f aca="false">IF(G67&lt;&gt;"",VLOOKUP(G67,'Cnae  mcc  id'!$A:$M,9,0),"")</f>
        <v/>
      </c>
      <c r="I67" s="62"/>
      <c r="J67" s="63" t="str">
        <f aca="false">IF(I67&lt;&gt;"",VLOOKUP(I67,'Legal Nature'!$E$2:$G$84,3,0),"")</f>
        <v/>
      </c>
      <c r="K67" s="64"/>
      <c r="L67" s="65"/>
      <c r="M67" s="66"/>
      <c r="N67" s="66"/>
      <c r="O67" s="79"/>
      <c r="P67" s="26"/>
      <c r="Q67" s="58"/>
      <c r="R67" s="58"/>
      <c r="S67" s="58"/>
      <c r="T67" s="68" t="str">
        <f aca="false">IF(LEFT(S67,1)="9","Celular",IF(S67="","","Fixo"))</f>
        <v/>
      </c>
      <c r="U67" s="58" t="str">
        <f aca="false">IF( T67&lt;&gt;"",VLOOKUP(T67,Selects!$M$4:$N$1000,2,0),"")</f>
        <v/>
      </c>
      <c r="V67" s="26"/>
      <c r="W67" s="58"/>
      <c r="X67" s="58"/>
      <c r="Y67" s="58"/>
      <c r="Z67" s="58"/>
      <c r="AA67" s="69"/>
      <c r="AB67" s="58"/>
      <c r="AC67" s="58"/>
      <c r="AD67" s="70" t="str">
        <f aca="false">IF(AC67&lt;&gt;"",VLOOKUP(AC67,Selects!$B$4:$C$100,2,0),"")</f>
        <v/>
      </c>
      <c r="AE67" s="26"/>
      <c r="AF67" s="58"/>
      <c r="AG67" s="59"/>
      <c r="AH67" s="65"/>
      <c r="AI67" s="66"/>
      <c r="AJ67" s="66"/>
      <c r="AK67" s="58"/>
      <c r="AL67" s="58"/>
      <c r="AM67" s="68" t="str">
        <f aca="false">IF(LEFT(AL67,1)="9","Celular",IF(AL67="","","Fixo"))</f>
        <v/>
      </c>
      <c r="AN67" s="58" t="str">
        <f aca="false">IF( AM67&lt;&gt;"",VLOOKUP(AM67,Selects!$M$4:$N$1000,2,0),"")</f>
        <v/>
      </c>
      <c r="AO67" s="58"/>
      <c r="AP67" s="59"/>
      <c r="AQ67" s="65"/>
      <c r="AR67" s="58"/>
      <c r="AS67" s="58"/>
      <c r="AT67" s="26"/>
      <c r="AU67" s="58"/>
      <c r="AV67" s="58"/>
      <c r="AW67" s="58"/>
      <c r="AX67" s="58"/>
      <c r="AY67" s="71"/>
      <c r="AZ67" s="58"/>
      <c r="BA67" s="58"/>
      <c r="BB67" s="72" t="str">
        <f aca="false">IF(BA67&lt;&gt;"",VLOOKUP(BA67,Selects!$B$4:$C$100,2,0),"")</f>
        <v/>
      </c>
      <c r="BC67" s="26"/>
      <c r="BD67" s="26"/>
      <c r="BE67" s="73"/>
      <c r="BF67" s="74"/>
      <c r="BG67" s="75" t="str">
        <f aca="false">IF(LEN(BF67)=11,"PF",IF(LEN(BF67)=14,"PJ",""))</f>
        <v/>
      </c>
      <c r="BH67" s="66"/>
      <c r="BI67" s="58" t="str">
        <f aca="false">IF(BH67&lt;&gt;"",VLOOKUP(BH67,Selects!$G:$H,2,0),"")</f>
        <v/>
      </c>
      <c r="BJ67" s="58"/>
      <c r="BK67" s="58"/>
      <c r="BL67" s="59"/>
      <c r="BM67" s="58"/>
      <c r="BN67" s="58"/>
      <c r="BO67" s="58" t="str">
        <f aca="false">IF(BN67&lt;&gt;"",VLOOKUP(BN67,Selects!$J$4:$K$1000,2,0),"")</f>
        <v/>
      </c>
      <c r="BP67" s="76"/>
      <c r="BQ67" s="59"/>
      <c r="BR67" s="77"/>
      <c r="BS67" s="59"/>
      <c r="BT67" s="77"/>
      <c r="BU67" s="58"/>
      <c r="BV67" s="58"/>
      <c r="BW67" s="58"/>
      <c r="BX67" s="58"/>
      <c r="BY67" s="58"/>
      <c r="BZ67" s="58"/>
      <c r="CA67" s="58"/>
      <c r="CB67" s="72" t="str">
        <f aca="false">IF(AC67&lt;&gt;"",VLOOKUP(AC67,Selects!$B:$E,4,0),"")</f>
        <v/>
      </c>
      <c r="CC67" s="58"/>
      <c r="CD67" s="58"/>
      <c r="CE67" s="58"/>
    </row>
    <row r="68" customFormat="false" ht="15.75" hidden="false" customHeight="true" outlineLevel="0" collapsed="false">
      <c r="A68" s="17"/>
      <c r="B68" s="58"/>
      <c r="C68" s="58"/>
      <c r="D68" s="59"/>
      <c r="E68" s="60" t="str">
        <f aca="false">IF(LEN(D68)=11,"PF",IF(LEN(D68)=14,"PJ",""))</f>
        <v/>
      </c>
      <c r="F68" s="59"/>
      <c r="G68" s="59"/>
      <c r="H68" s="61" t="str">
        <f aca="false">IF(G68&lt;&gt;"",VLOOKUP(G68,'Cnae  mcc  id'!$A:$M,9,0),"")</f>
        <v/>
      </c>
      <c r="I68" s="62"/>
      <c r="J68" s="63" t="str">
        <f aca="false">IF(I68&lt;&gt;"",VLOOKUP(I68,'Legal Nature'!$E$2:$G$84,3,0),"")</f>
        <v/>
      </c>
      <c r="K68" s="64"/>
      <c r="L68" s="65"/>
      <c r="M68" s="66"/>
      <c r="N68" s="66"/>
      <c r="O68" s="79"/>
      <c r="P68" s="26"/>
      <c r="Q68" s="58"/>
      <c r="R68" s="58"/>
      <c r="S68" s="58"/>
      <c r="T68" s="68" t="str">
        <f aca="false">IF(LEFT(S68,1)="9","Celular",IF(S68="","","Fixo"))</f>
        <v/>
      </c>
      <c r="U68" s="58" t="str">
        <f aca="false">IF( T68&lt;&gt;"",VLOOKUP(T68,Selects!$M$4:$N$1000,2,0),"")</f>
        <v/>
      </c>
      <c r="V68" s="26"/>
      <c r="W68" s="58"/>
      <c r="X68" s="58"/>
      <c r="Y68" s="58"/>
      <c r="Z68" s="58"/>
      <c r="AA68" s="69"/>
      <c r="AB68" s="58"/>
      <c r="AC68" s="58"/>
      <c r="AD68" s="70" t="str">
        <f aca="false">IF(AC68&lt;&gt;"",VLOOKUP(AC68,Selects!$B$4:$C$100,2,0),"")</f>
        <v/>
      </c>
      <c r="AE68" s="26"/>
      <c r="AF68" s="58"/>
      <c r="AG68" s="59"/>
      <c r="AH68" s="65"/>
      <c r="AI68" s="66"/>
      <c r="AJ68" s="66"/>
      <c r="AK68" s="58"/>
      <c r="AL68" s="58"/>
      <c r="AM68" s="68" t="str">
        <f aca="false">IF(LEFT(AL68,1)="9","Celular",IF(AL68="","","Fixo"))</f>
        <v/>
      </c>
      <c r="AN68" s="58" t="str">
        <f aca="false">IF( AM68&lt;&gt;"",VLOOKUP(AM68,Selects!$M$4:$N$1000,2,0),"")</f>
        <v/>
      </c>
      <c r="AO68" s="58"/>
      <c r="AP68" s="59"/>
      <c r="AQ68" s="65"/>
      <c r="AR68" s="58"/>
      <c r="AS68" s="58"/>
      <c r="AT68" s="26"/>
      <c r="AU68" s="58"/>
      <c r="AV68" s="58"/>
      <c r="AW68" s="58"/>
      <c r="AX68" s="58"/>
      <c r="AY68" s="71"/>
      <c r="AZ68" s="58"/>
      <c r="BA68" s="58"/>
      <c r="BB68" s="72" t="str">
        <f aca="false">IF(BA68&lt;&gt;"",VLOOKUP(BA68,Selects!$B$4:$C$100,2,0),"")</f>
        <v/>
      </c>
      <c r="BC68" s="26"/>
      <c r="BD68" s="26"/>
      <c r="BE68" s="73"/>
      <c r="BF68" s="74"/>
      <c r="BG68" s="75" t="str">
        <f aca="false">IF(LEN(BF68)=11,"PF",IF(LEN(BF68)=14,"PJ",""))</f>
        <v/>
      </c>
      <c r="BH68" s="66"/>
      <c r="BI68" s="58" t="str">
        <f aca="false">IF(BH68&lt;&gt;"",VLOOKUP(BH68,Selects!$G:$H,2,0),"")</f>
        <v/>
      </c>
      <c r="BJ68" s="58"/>
      <c r="BK68" s="58"/>
      <c r="BL68" s="59"/>
      <c r="BM68" s="58"/>
      <c r="BN68" s="58"/>
      <c r="BO68" s="58" t="str">
        <f aca="false">IF(BN68&lt;&gt;"",VLOOKUP(BN68,Selects!$J$4:$K$1000,2,0),"")</f>
        <v/>
      </c>
      <c r="BP68" s="76"/>
      <c r="BQ68" s="59"/>
      <c r="BR68" s="77"/>
      <c r="BS68" s="59"/>
      <c r="BT68" s="77"/>
      <c r="BU68" s="58"/>
      <c r="BV68" s="58"/>
      <c r="BW68" s="58"/>
      <c r="BX68" s="58"/>
      <c r="BY68" s="58"/>
      <c r="BZ68" s="58"/>
      <c r="CA68" s="58"/>
      <c r="CB68" s="72" t="str">
        <f aca="false">IF(AC68&lt;&gt;"",VLOOKUP(AC68,Selects!$B:$E,4,0),"")</f>
        <v/>
      </c>
      <c r="CC68" s="58"/>
      <c r="CD68" s="58"/>
      <c r="CE68" s="58"/>
    </row>
    <row r="69" customFormat="false" ht="15.75" hidden="false" customHeight="true" outlineLevel="0" collapsed="false">
      <c r="A69" s="17"/>
      <c r="B69" s="58"/>
      <c r="C69" s="58"/>
      <c r="D69" s="59"/>
      <c r="E69" s="60" t="str">
        <f aca="false">IF(LEN(D69)=11,"PF",IF(LEN(D69)=14,"PJ",""))</f>
        <v/>
      </c>
      <c r="F69" s="59"/>
      <c r="G69" s="59"/>
      <c r="H69" s="61" t="str">
        <f aca="false">IF(G69&lt;&gt;"",VLOOKUP(G69,'Cnae  mcc  id'!$A:$M,9,0),"")</f>
        <v/>
      </c>
      <c r="I69" s="62"/>
      <c r="J69" s="63" t="str">
        <f aca="false">IF(I69&lt;&gt;"",VLOOKUP(I69,'Legal Nature'!$E$2:$G$84,3,0),"")</f>
        <v/>
      </c>
      <c r="K69" s="64"/>
      <c r="L69" s="65"/>
      <c r="M69" s="66"/>
      <c r="N69" s="66"/>
      <c r="O69" s="79"/>
      <c r="P69" s="26"/>
      <c r="Q69" s="58"/>
      <c r="R69" s="58"/>
      <c r="S69" s="58"/>
      <c r="T69" s="68" t="str">
        <f aca="false">IF(LEFT(S69,1)="9","Celular",IF(S69="","","Fixo"))</f>
        <v/>
      </c>
      <c r="U69" s="58" t="str">
        <f aca="false">IF( T69&lt;&gt;"",VLOOKUP(T69,Selects!$M$4:$N$1000,2,0),"")</f>
        <v/>
      </c>
      <c r="V69" s="26"/>
      <c r="W69" s="58"/>
      <c r="X69" s="58"/>
      <c r="Y69" s="58"/>
      <c r="Z69" s="58"/>
      <c r="AA69" s="69"/>
      <c r="AB69" s="58"/>
      <c r="AC69" s="58"/>
      <c r="AD69" s="70" t="str">
        <f aca="false">IF(AC69&lt;&gt;"",VLOOKUP(AC69,Selects!$B$4:$C$100,2,0),"")</f>
        <v/>
      </c>
      <c r="AE69" s="26"/>
      <c r="AF69" s="58"/>
      <c r="AG69" s="59"/>
      <c r="AH69" s="65"/>
      <c r="AI69" s="66"/>
      <c r="AJ69" s="66"/>
      <c r="AK69" s="58"/>
      <c r="AL69" s="58"/>
      <c r="AM69" s="68" t="str">
        <f aca="false">IF(LEFT(AL69,1)="9","Celular",IF(AL69="","","Fixo"))</f>
        <v/>
      </c>
      <c r="AN69" s="58" t="str">
        <f aca="false">IF( AM69&lt;&gt;"",VLOOKUP(AM69,Selects!$M$4:$N$1000,2,0),"")</f>
        <v/>
      </c>
      <c r="AO69" s="58"/>
      <c r="AP69" s="59"/>
      <c r="AQ69" s="65"/>
      <c r="AR69" s="58"/>
      <c r="AS69" s="58"/>
      <c r="AT69" s="26"/>
      <c r="AU69" s="58"/>
      <c r="AV69" s="58"/>
      <c r="AW69" s="58"/>
      <c r="AX69" s="58"/>
      <c r="AY69" s="71"/>
      <c r="AZ69" s="58"/>
      <c r="BA69" s="58"/>
      <c r="BB69" s="72" t="str">
        <f aca="false">IF(BA69&lt;&gt;"",VLOOKUP(BA69,Selects!$B$4:$C$100,2,0),"")</f>
        <v/>
      </c>
      <c r="BC69" s="26"/>
      <c r="BD69" s="26"/>
      <c r="BE69" s="73"/>
      <c r="BF69" s="74"/>
      <c r="BG69" s="75" t="str">
        <f aca="false">IF(LEN(BF69)=11,"PF",IF(LEN(BF69)=14,"PJ",""))</f>
        <v/>
      </c>
      <c r="BH69" s="66"/>
      <c r="BI69" s="58" t="str">
        <f aca="false">IF(BH69&lt;&gt;"",VLOOKUP(BH69,Selects!$G:$H,2,0),"")</f>
        <v/>
      </c>
      <c r="BJ69" s="58"/>
      <c r="BK69" s="58"/>
      <c r="BL69" s="59"/>
      <c r="BM69" s="58"/>
      <c r="BN69" s="58"/>
      <c r="BO69" s="58" t="str">
        <f aca="false">IF(BN69&lt;&gt;"",VLOOKUP(BN69,Selects!$J$4:$K$1000,2,0),"")</f>
        <v/>
      </c>
      <c r="BP69" s="76"/>
      <c r="BQ69" s="59"/>
      <c r="BR69" s="77"/>
      <c r="BS69" s="59"/>
      <c r="BT69" s="77"/>
      <c r="BU69" s="58"/>
      <c r="BV69" s="58"/>
      <c r="BW69" s="58"/>
      <c r="BX69" s="58"/>
      <c r="BY69" s="58"/>
      <c r="BZ69" s="58"/>
      <c r="CA69" s="58"/>
      <c r="CB69" s="72" t="str">
        <f aca="false">IF(AC69&lt;&gt;"",VLOOKUP(AC69,Selects!$B:$E,4,0),"")</f>
        <v/>
      </c>
      <c r="CC69" s="58"/>
      <c r="CD69" s="58"/>
      <c r="CE69" s="58"/>
    </row>
    <row r="70" customFormat="false" ht="15.75" hidden="false" customHeight="true" outlineLevel="0" collapsed="false">
      <c r="A70" s="17"/>
      <c r="B70" s="58"/>
      <c r="C70" s="58"/>
      <c r="D70" s="59"/>
      <c r="E70" s="60" t="str">
        <f aca="false">IF(LEN(D70)=11,"PF",IF(LEN(D70)=14,"PJ",""))</f>
        <v/>
      </c>
      <c r="F70" s="59"/>
      <c r="G70" s="59"/>
      <c r="H70" s="61" t="str">
        <f aca="false">IF(G70&lt;&gt;"",VLOOKUP(G70,'Cnae  mcc  id'!$A:$M,9,0),"")</f>
        <v/>
      </c>
      <c r="I70" s="62"/>
      <c r="J70" s="63" t="str">
        <f aca="false">IF(I70&lt;&gt;"",VLOOKUP(I70,'Legal Nature'!$E$2:$G$84,3,0),"")</f>
        <v/>
      </c>
      <c r="K70" s="64"/>
      <c r="L70" s="65"/>
      <c r="M70" s="66"/>
      <c r="N70" s="66"/>
      <c r="O70" s="79"/>
      <c r="P70" s="26"/>
      <c r="Q70" s="58"/>
      <c r="R70" s="58"/>
      <c r="S70" s="58"/>
      <c r="T70" s="68" t="str">
        <f aca="false">IF(LEFT(S70,1)="9","Celular",IF(S70="","","Fixo"))</f>
        <v/>
      </c>
      <c r="U70" s="58" t="str">
        <f aca="false">IF( T70&lt;&gt;"",VLOOKUP(T70,Selects!$M$4:$N$1000,2,0),"")</f>
        <v/>
      </c>
      <c r="V70" s="26"/>
      <c r="W70" s="58"/>
      <c r="X70" s="58"/>
      <c r="Y70" s="58"/>
      <c r="Z70" s="58"/>
      <c r="AA70" s="69"/>
      <c r="AB70" s="58"/>
      <c r="AC70" s="58"/>
      <c r="AD70" s="70" t="str">
        <f aca="false">IF(AC70&lt;&gt;"",VLOOKUP(AC70,Selects!$B$4:$C$100,2,0),"")</f>
        <v/>
      </c>
      <c r="AE70" s="26"/>
      <c r="AF70" s="58"/>
      <c r="AG70" s="59"/>
      <c r="AH70" s="65"/>
      <c r="AI70" s="66"/>
      <c r="AJ70" s="66"/>
      <c r="AK70" s="58"/>
      <c r="AL70" s="58"/>
      <c r="AM70" s="68" t="str">
        <f aca="false">IF(LEFT(AL70,1)="9","Celular",IF(AL70="","","Fixo"))</f>
        <v/>
      </c>
      <c r="AN70" s="58" t="str">
        <f aca="false">IF( AM70&lt;&gt;"",VLOOKUP(AM70,Selects!$M$4:$N$1000,2,0),"")</f>
        <v/>
      </c>
      <c r="AO70" s="58"/>
      <c r="AP70" s="59"/>
      <c r="AQ70" s="65"/>
      <c r="AR70" s="58"/>
      <c r="AS70" s="58"/>
      <c r="AT70" s="26"/>
      <c r="AU70" s="58"/>
      <c r="AV70" s="58"/>
      <c r="AW70" s="58"/>
      <c r="AX70" s="58"/>
      <c r="AY70" s="71"/>
      <c r="AZ70" s="58"/>
      <c r="BA70" s="58"/>
      <c r="BB70" s="72" t="str">
        <f aca="false">IF(BA70&lt;&gt;"",VLOOKUP(BA70,Selects!$B$4:$C$100,2,0),"")</f>
        <v/>
      </c>
      <c r="BC70" s="26"/>
      <c r="BD70" s="26"/>
      <c r="BE70" s="73"/>
      <c r="BF70" s="74"/>
      <c r="BG70" s="75" t="str">
        <f aca="false">IF(LEN(BF70)=11,"PF",IF(LEN(BF70)=14,"PJ",""))</f>
        <v/>
      </c>
      <c r="BH70" s="66"/>
      <c r="BI70" s="58" t="str">
        <f aca="false">IF(BH70&lt;&gt;"",VLOOKUP(BH70,Selects!$G:$H,2,0),"")</f>
        <v/>
      </c>
      <c r="BJ70" s="58"/>
      <c r="BK70" s="58"/>
      <c r="BL70" s="59"/>
      <c r="BM70" s="58"/>
      <c r="BN70" s="58"/>
      <c r="BO70" s="58" t="str">
        <f aca="false">IF(BN70&lt;&gt;"",VLOOKUP(BN70,Selects!$J$4:$K$1000,2,0),"")</f>
        <v/>
      </c>
      <c r="BP70" s="76"/>
      <c r="BQ70" s="59"/>
      <c r="BR70" s="77"/>
      <c r="BS70" s="59"/>
      <c r="BT70" s="77"/>
      <c r="BU70" s="58"/>
      <c r="BV70" s="58"/>
      <c r="BW70" s="58"/>
      <c r="BX70" s="58"/>
      <c r="BY70" s="58"/>
      <c r="BZ70" s="58"/>
      <c r="CA70" s="58"/>
      <c r="CB70" s="72" t="str">
        <f aca="false">IF(AC70&lt;&gt;"",VLOOKUP(AC70,Selects!$B:$E,4,0),"")</f>
        <v/>
      </c>
      <c r="CC70" s="58"/>
      <c r="CD70" s="58"/>
      <c r="CE70" s="58"/>
    </row>
    <row r="71" customFormat="false" ht="15.75" hidden="false" customHeight="true" outlineLevel="0" collapsed="false">
      <c r="A71" s="17"/>
      <c r="B71" s="58"/>
      <c r="C71" s="58"/>
      <c r="D71" s="59"/>
      <c r="E71" s="60" t="str">
        <f aca="false">IF(LEN(D71)=11,"PF",IF(LEN(D71)=14,"PJ",""))</f>
        <v/>
      </c>
      <c r="F71" s="59"/>
      <c r="G71" s="59"/>
      <c r="H71" s="61" t="str">
        <f aca="false">IF(G71&lt;&gt;"",VLOOKUP(G71,'Cnae  mcc  id'!$A:$M,9,0),"")</f>
        <v/>
      </c>
      <c r="I71" s="62"/>
      <c r="J71" s="63" t="str">
        <f aca="false">IF(I71&lt;&gt;"",VLOOKUP(I71,'Legal Nature'!$E$2:$G$84,3,0),"")</f>
        <v/>
      </c>
      <c r="K71" s="64"/>
      <c r="L71" s="65"/>
      <c r="M71" s="66"/>
      <c r="N71" s="66"/>
      <c r="O71" s="79"/>
      <c r="P71" s="26"/>
      <c r="Q71" s="58"/>
      <c r="R71" s="58"/>
      <c r="S71" s="58"/>
      <c r="T71" s="68" t="str">
        <f aca="false">IF(LEFT(S71,1)="9","Celular",IF(S71="","","Fixo"))</f>
        <v/>
      </c>
      <c r="U71" s="58" t="str">
        <f aca="false">IF( T71&lt;&gt;"",VLOOKUP(T71,Selects!$M$4:$N$1000,2,0),"")</f>
        <v/>
      </c>
      <c r="V71" s="26"/>
      <c r="W71" s="58"/>
      <c r="X71" s="58"/>
      <c r="Y71" s="58"/>
      <c r="Z71" s="58"/>
      <c r="AA71" s="69"/>
      <c r="AB71" s="58"/>
      <c r="AC71" s="58"/>
      <c r="AD71" s="70" t="str">
        <f aca="false">IF(AC71&lt;&gt;"",VLOOKUP(AC71,Selects!$B$4:$C$100,2,0),"")</f>
        <v/>
      </c>
      <c r="AE71" s="26"/>
      <c r="AF71" s="58"/>
      <c r="AG71" s="59"/>
      <c r="AH71" s="65"/>
      <c r="AI71" s="66"/>
      <c r="AJ71" s="66"/>
      <c r="AK71" s="58"/>
      <c r="AL71" s="58"/>
      <c r="AM71" s="68" t="str">
        <f aca="false">IF(LEFT(AL71,1)="9","Celular",IF(AL71="","","Fixo"))</f>
        <v/>
      </c>
      <c r="AN71" s="58" t="str">
        <f aca="false">IF( AM71&lt;&gt;"",VLOOKUP(AM71,Selects!$M$4:$N$1000,2,0),"")</f>
        <v/>
      </c>
      <c r="AO71" s="58"/>
      <c r="AP71" s="59"/>
      <c r="AQ71" s="65"/>
      <c r="AR71" s="58"/>
      <c r="AS71" s="58"/>
      <c r="AT71" s="26"/>
      <c r="AU71" s="58"/>
      <c r="AV71" s="58"/>
      <c r="AW71" s="58"/>
      <c r="AX71" s="58"/>
      <c r="AY71" s="71"/>
      <c r="AZ71" s="58"/>
      <c r="BA71" s="58"/>
      <c r="BB71" s="72" t="str">
        <f aca="false">IF(BA71&lt;&gt;"",VLOOKUP(BA71,Selects!$B$4:$C$100,2,0),"")</f>
        <v/>
      </c>
      <c r="BC71" s="26"/>
      <c r="BD71" s="26"/>
      <c r="BE71" s="73"/>
      <c r="BF71" s="74"/>
      <c r="BG71" s="75" t="str">
        <f aca="false">IF(LEN(BF71)=11,"PF",IF(LEN(BF71)=14,"PJ",""))</f>
        <v/>
      </c>
      <c r="BH71" s="66"/>
      <c r="BI71" s="58" t="str">
        <f aca="false">IF(BH71&lt;&gt;"",VLOOKUP(BH71,Selects!$G:$H,2,0),"")</f>
        <v/>
      </c>
      <c r="BJ71" s="58"/>
      <c r="BK71" s="58"/>
      <c r="BL71" s="59"/>
      <c r="BM71" s="58"/>
      <c r="BN71" s="58"/>
      <c r="BO71" s="58" t="str">
        <f aca="false">IF(BN71&lt;&gt;"",VLOOKUP(BN71,Selects!$J$4:$K$1000,2,0),"")</f>
        <v/>
      </c>
      <c r="BP71" s="76"/>
      <c r="BQ71" s="59"/>
      <c r="BR71" s="77"/>
      <c r="BS71" s="59"/>
      <c r="BT71" s="77"/>
      <c r="BU71" s="58"/>
      <c r="BV71" s="58"/>
      <c r="BW71" s="58"/>
      <c r="BX71" s="58"/>
      <c r="BY71" s="58"/>
      <c r="BZ71" s="58"/>
      <c r="CA71" s="58"/>
      <c r="CB71" s="72" t="str">
        <f aca="false">IF(AC71&lt;&gt;"",VLOOKUP(AC71,Selects!$B:$E,4,0),"")</f>
        <v/>
      </c>
      <c r="CC71" s="58"/>
      <c r="CD71" s="58"/>
      <c r="CE71" s="58"/>
    </row>
    <row r="72" customFormat="false" ht="15.75" hidden="false" customHeight="true" outlineLevel="0" collapsed="false">
      <c r="A72" s="17"/>
      <c r="B72" s="58"/>
      <c r="C72" s="58"/>
      <c r="D72" s="59"/>
      <c r="E72" s="60" t="str">
        <f aca="false">IF(LEN(D72)=11,"PF",IF(LEN(D72)=14,"PJ",""))</f>
        <v/>
      </c>
      <c r="F72" s="59"/>
      <c r="G72" s="59"/>
      <c r="H72" s="61" t="str">
        <f aca="false">IF(G72&lt;&gt;"",VLOOKUP(G72,'Cnae  mcc  id'!$A:$M,9,0),"")</f>
        <v/>
      </c>
      <c r="I72" s="62"/>
      <c r="J72" s="63" t="str">
        <f aca="false">IF(I72&lt;&gt;"",VLOOKUP(I72,'Legal Nature'!$E$2:$G$84,3,0),"")</f>
        <v/>
      </c>
      <c r="K72" s="64"/>
      <c r="L72" s="65"/>
      <c r="M72" s="66"/>
      <c r="N72" s="66"/>
      <c r="O72" s="79"/>
      <c r="P72" s="26"/>
      <c r="Q72" s="58"/>
      <c r="R72" s="58"/>
      <c r="S72" s="58"/>
      <c r="T72" s="68" t="str">
        <f aca="false">IF(LEFT(S72,1)="9","Celular",IF(S72="","","Fixo"))</f>
        <v/>
      </c>
      <c r="U72" s="58" t="str">
        <f aca="false">IF( T72&lt;&gt;"",VLOOKUP(T72,Selects!$M$4:$N$1000,2,0),"")</f>
        <v/>
      </c>
      <c r="V72" s="26"/>
      <c r="W72" s="58"/>
      <c r="X72" s="58"/>
      <c r="Y72" s="58"/>
      <c r="Z72" s="58"/>
      <c r="AA72" s="69"/>
      <c r="AB72" s="58"/>
      <c r="AC72" s="58"/>
      <c r="AD72" s="70" t="str">
        <f aca="false">IF(AC72&lt;&gt;"",VLOOKUP(AC72,Selects!$B$4:$C$100,2,0),"")</f>
        <v/>
      </c>
      <c r="AE72" s="26"/>
      <c r="AF72" s="58"/>
      <c r="AG72" s="59"/>
      <c r="AH72" s="65"/>
      <c r="AI72" s="66"/>
      <c r="AJ72" s="66"/>
      <c r="AK72" s="58"/>
      <c r="AL72" s="58"/>
      <c r="AM72" s="68" t="str">
        <f aca="false">IF(LEFT(AL72,1)="9","Celular",IF(AL72="","","Fixo"))</f>
        <v/>
      </c>
      <c r="AN72" s="58" t="str">
        <f aca="false">IF( AM72&lt;&gt;"",VLOOKUP(AM72,Selects!$M$4:$N$1000,2,0),"")</f>
        <v/>
      </c>
      <c r="AO72" s="58"/>
      <c r="AP72" s="59"/>
      <c r="AQ72" s="65"/>
      <c r="AR72" s="58"/>
      <c r="AS72" s="58"/>
      <c r="AT72" s="26"/>
      <c r="AU72" s="58"/>
      <c r="AV72" s="58"/>
      <c r="AW72" s="58"/>
      <c r="AX72" s="58"/>
      <c r="AY72" s="71"/>
      <c r="AZ72" s="58"/>
      <c r="BA72" s="58"/>
      <c r="BB72" s="72" t="str">
        <f aca="false">IF(BA72&lt;&gt;"",VLOOKUP(BA72,Selects!$B$4:$C$100,2,0),"")</f>
        <v/>
      </c>
      <c r="BC72" s="26"/>
      <c r="BD72" s="26"/>
      <c r="BE72" s="73"/>
      <c r="BF72" s="74"/>
      <c r="BG72" s="75" t="str">
        <f aca="false">IF(LEN(BF72)=11,"PF",IF(LEN(BF72)=14,"PJ",""))</f>
        <v/>
      </c>
      <c r="BH72" s="66"/>
      <c r="BI72" s="58" t="str">
        <f aca="false">IF(BH72&lt;&gt;"",VLOOKUP(BH72,Selects!$G:$H,2,0),"")</f>
        <v/>
      </c>
      <c r="BJ72" s="58"/>
      <c r="BK72" s="58"/>
      <c r="BL72" s="59"/>
      <c r="BM72" s="58"/>
      <c r="BN72" s="58"/>
      <c r="BO72" s="58" t="str">
        <f aca="false">IF(BN72&lt;&gt;"",VLOOKUP(BN72,Selects!$J$4:$K$1000,2,0),"")</f>
        <v/>
      </c>
      <c r="BP72" s="76"/>
      <c r="BQ72" s="59"/>
      <c r="BR72" s="77"/>
      <c r="BS72" s="59"/>
      <c r="BT72" s="77"/>
      <c r="BU72" s="58"/>
      <c r="BV72" s="58"/>
      <c r="BW72" s="58"/>
      <c r="BX72" s="58"/>
      <c r="BY72" s="58"/>
      <c r="BZ72" s="58"/>
      <c r="CA72" s="58"/>
      <c r="CB72" s="72" t="str">
        <f aca="false">IF(AC72&lt;&gt;"",VLOOKUP(AC72,Selects!$B:$E,4,0),"")</f>
        <v/>
      </c>
      <c r="CC72" s="58"/>
      <c r="CD72" s="58"/>
      <c r="CE72" s="58"/>
    </row>
    <row r="73" customFormat="false" ht="15.75" hidden="false" customHeight="true" outlineLevel="0" collapsed="false">
      <c r="A73" s="17"/>
      <c r="B73" s="58"/>
      <c r="C73" s="58"/>
      <c r="D73" s="59"/>
      <c r="E73" s="60" t="str">
        <f aca="false">IF(LEN(D73)=11,"PF",IF(LEN(D73)=14,"PJ",""))</f>
        <v/>
      </c>
      <c r="F73" s="59"/>
      <c r="G73" s="59"/>
      <c r="H73" s="61" t="str">
        <f aca="false">IF(G73&lt;&gt;"",VLOOKUP(G73,'Cnae  mcc  id'!$A:$M,9,0),"")</f>
        <v/>
      </c>
      <c r="I73" s="62"/>
      <c r="J73" s="63" t="str">
        <f aca="false">IF(I73&lt;&gt;"",VLOOKUP(I73,'Legal Nature'!$E$2:$G$84,3,0),"")</f>
        <v/>
      </c>
      <c r="K73" s="64"/>
      <c r="L73" s="65"/>
      <c r="M73" s="66"/>
      <c r="N73" s="66"/>
      <c r="O73" s="79"/>
      <c r="P73" s="26"/>
      <c r="Q73" s="58"/>
      <c r="R73" s="58"/>
      <c r="S73" s="58"/>
      <c r="T73" s="68" t="str">
        <f aca="false">IF(LEFT(S73,1)="9","Celular",IF(S73="","","Fixo"))</f>
        <v/>
      </c>
      <c r="U73" s="58" t="str">
        <f aca="false">IF( T73&lt;&gt;"",VLOOKUP(T73,Selects!$M$4:$N$1000,2,0),"")</f>
        <v/>
      </c>
      <c r="V73" s="26"/>
      <c r="W73" s="58"/>
      <c r="X73" s="58"/>
      <c r="Y73" s="58"/>
      <c r="Z73" s="58"/>
      <c r="AA73" s="69"/>
      <c r="AB73" s="58"/>
      <c r="AC73" s="58"/>
      <c r="AD73" s="70" t="str">
        <f aca="false">IF(AC73&lt;&gt;"",VLOOKUP(AC73,Selects!$B$4:$C$100,2,0),"")</f>
        <v/>
      </c>
      <c r="AE73" s="26"/>
      <c r="AF73" s="58"/>
      <c r="AG73" s="59"/>
      <c r="AH73" s="65"/>
      <c r="AI73" s="66"/>
      <c r="AJ73" s="66"/>
      <c r="AK73" s="58"/>
      <c r="AL73" s="58"/>
      <c r="AM73" s="68" t="str">
        <f aca="false">IF(LEFT(AL73,1)="9","Celular",IF(AL73="","","Fixo"))</f>
        <v/>
      </c>
      <c r="AN73" s="58" t="str">
        <f aca="false">IF( AM73&lt;&gt;"",VLOOKUP(AM73,Selects!$M$4:$N$1000,2,0),"")</f>
        <v/>
      </c>
      <c r="AO73" s="58"/>
      <c r="AP73" s="59"/>
      <c r="AQ73" s="65"/>
      <c r="AR73" s="58"/>
      <c r="AS73" s="58"/>
      <c r="AT73" s="26"/>
      <c r="AU73" s="58"/>
      <c r="AV73" s="58"/>
      <c r="AW73" s="58"/>
      <c r="AX73" s="58"/>
      <c r="AY73" s="71"/>
      <c r="AZ73" s="58"/>
      <c r="BA73" s="58"/>
      <c r="BB73" s="72" t="str">
        <f aca="false">IF(BA73&lt;&gt;"",VLOOKUP(BA73,Selects!$B$4:$C$100,2,0),"")</f>
        <v/>
      </c>
      <c r="BC73" s="26"/>
      <c r="BD73" s="26"/>
      <c r="BE73" s="73"/>
      <c r="BF73" s="74"/>
      <c r="BG73" s="75" t="str">
        <f aca="false">IF(LEN(BF73)=11,"PF",IF(LEN(BF73)=14,"PJ",""))</f>
        <v/>
      </c>
      <c r="BH73" s="66"/>
      <c r="BI73" s="58" t="str">
        <f aca="false">IF(BH73&lt;&gt;"",VLOOKUP(BH73,Selects!$G:$H,2,0),"")</f>
        <v/>
      </c>
      <c r="BJ73" s="58"/>
      <c r="BK73" s="58"/>
      <c r="BL73" s="59"/>
      <c r="BM73" s="58"/>
      <c r="BN73" s="58"/>
      <c r="BO73" s="58" t="str">
        <f aca="false">IF(BN73&lt;&gt;"",VLOOKUP(BN73,Selects!$J$4:$K$1000,2,0),"")</f>
        <v/>
      </c>
      <c r="BP73" s="76"/>
      <c r="BQ73" s="59"/>
      <c r="BR73" s="77"/>
      <c r="BS73" s="59"/>
      <c r="BT73" s="77"/>
      <c r="BU73" s="58"/>
      <c r="BV73" s="58"/>
      <c r="BW73" s="58"/>
      <c r="BX73" s="58"/>
      <c r="BY73" s="58"/>
      <c r="BZ73" s="58"/>
      <c r="CA73" s="58"/>
      <c r="CB73" s="72" t="str">
        <f aca="false">IF(AC73&lt;&gt;"",VLOOKUP(AC73,Selects!$B:$E,4,0),"")</f>
        <v/>
      </c>
      <c r="CC73" s="58"/>
      <c r="CD73" s="58"/>
      <c r="CE73" s="58"/>
    </row>
    <row r="74" customFormat="false" ht="15.75" hidden="false" customHeight="true" outlineLevel="0" collapsed="false">
      <c r="A74" s="17"/>
      <c r="B74" s="58"/>
      <c r="C74" s="58"/>
      <c r="D74" s="59"/>
      <c r="E74" s="60" t="str">
        <f aca="false">IF(LEN(D74)=11,"PF",IF(LEN(D74)=14,"PJ",""))</f>
        <v/>
      </c>
      <c r="F74" s="59"/>
      <c r="G74" s="59"/>
      <c r="H74" s="61" t="str">
        <f aca="false">IF(G74&lt;&gt;"",VLOOKUP(G74,'Cnae  mcc  id'!$A:$M,9,0),"")</f>
        <v/>
      </c>
      <c r="I74" s="62"/>
      <c r="J74" s="63" t="str">
        <f aca="false">IF(I74&lt;&gt;"",VLOOKUP(I74,'Legal Nature'!$E$2:$G$84,3,0),"")</f>
        <v/>
      </c>
      <c r="K74" s="64"/>
      <c r="L74" s="65"/>
      <c r="M74" s="66"/>
      <c r="N74" s="66"/>
      <c r="O74" s="79"/>
      <c r="P74" s="26"/>
      <c r="Q74" s="58"/>
      <c r="R74" s="58"/>
      <c r="S74" s="58"/>
      <c r="T74" s="68" t="str">
        <f aca="false">IF(LEFT(S74,1)="9","Celular",IF(S74="","","Fixo"))</f>
        <v/>
      </c>
      <c r="U74" s="58" t="str">
        <f aca="false">IF( T74&lt;&gt;"",VLOOKUP(T74,Selects!$M$4:$N$1000,2,0),"")</f>
        <v/>
      </c>
      <c r="V74" s="26"/>
      <c r="W74" s="58"/>
      <c r="X74" s="58"/>
      <c r="Y74" s="58"/>
      <c r="Z74" s="58"/>
      <c r="AA74" s="69"/>
      <c r="AB74" s="58"/>
      <c r="AC74" s="58"/>
      <c r="AD74" s="70" t="str">
        <f aca="false">IF(AC74&lt;&gt;"",VLOOKUP(AC74,Selects!$B$4:$C$100,2,0),"")</f>
        <v/>
      </c>
      <c r="AE74" s="26"/>
      <c r="AF74" s="58"/>
      <c r="AG74" s="59"/>
      <c r="AH74" s="65"/>
      <c r="AI74" s="66"/>
      <c r="AJ74" s="66"/>
      <c r="AK74" s="58"/>
      <c r="AL74" s="58"/>
      <c r="AM74" s="68" t="str">
        <f aca="false">IF(LEFT(AL74,1)="9","Celular",IF(AL74="","","Fixo"))</f>
        <v/>
      </c>
      <c r="AN74" s="58" t="str">
        <f aca="false">IF( AM74&lt;&gt;"",VLOOKUP(AM74,Selects!$M$4:$N$1000,2,0),"")</f>
        <v/>
      </c>
      <c r="AO74" s="58"/>
      <c r="AP74" s="59"/>
      <c r="AQ74" s="65"/>
      <c r="AR74" s="58"/>
      <c r="AS74" s="58"/>
      <c r="AT74" s="26"/>
      <c r="AU74" s="58"/>
      <c r="AV74" s="58"/>
      <c r="AW74" s="58"/>
      <c r="AX74" s="58"/>
      <c r="AY74" s="71"/>
      <c r="AZ74" s="58"/>
      <c r="BA74" s="58"/>
      <c r="BB74" s="72" t="str">
        <f aca="false">IF(BA74&lt;&gt;"",VLOOKUP(BA74,Selects!$B$4:$C$100,2,0),"")</f>
        <v/>
      </c>
      <c r="BC74" s="26"/>
      <c r="BD74" s="26"/>
      <c r="BE74" s="73"/>
      <c r="BF74" s="74"/>
      <c r="BG74" s="75" t="str">
        <f aca="false">IF(LEN(BF74)=11,"PF",IF(LEN(BF74)=14,"PJ",""))</f>
        <v/>
      </c>
      <c r="BH74" s="66"/>
      <c r="BI74" s="58" t="str">
        <f aca="false">IF(BH74&lt;&gt;"",VLOOKUP(BH74,Selects!$G:$H,2,0),"")</f>
        <v/>
      </c>
      <c r="BJ74" s="58"/>
      <c r="BK74" s="58"/>
      <c r="BL74" s="59"/>
      <c r="BM74" s="58"/>
      <c r="BN74" s="58"/>
      <c r="BO74" s="58" t="str">
        <f aca="false">IF(BN74&lt;&gt;"",VLOOKUP(BN74,Selects!$J$4:$K$1000,2,0),"")</f>
        <v/>
      </c>
      <c r="BP74" s="76"/>
      <c r="BQ74" s="59"/>
      <c r="BR74" s="77"/>
      <c r="BS74" s="59"/>
      <c r="BT74" s="77"/>
      <c r="BU74" s="58"/>
      <c r="BV74" s="58"/>
      <c r="BW74" s="58"/>
      <c r="BX74" s="58"/>
      <c r="BY74" s="58"/>
      <c r="BZ74" s="58"/>
      <c r="CA74" s="58"/>
      <c r="CB74" s="72" t="str">
        <f aca="false">IF(AC74&lt;&gt;"",VLOOKUP(AC74,Selects!$B:$E,4,0),"")</f>
        <v/>
      </c>
      <c r="CC74" s="58"/>
      <c r="CD74" s="58"/>
      <c r="CE74" s="58"/>
    </row>
    <row r="75" customFormat="false" ht="15.75" hidden="false" customHeight="true" outlineLevel="0" collapsed="false">
      <c r="A75" s="17"/>
      <c r="B75" s="58"/>
      <c r="C75" s="58"/>
      <c r="D75" s="59"/>
      <c r="E75" s="60" t="str">
        <f aca="false">IF(LEN(D75)=11,"PF",IF(LEN(D75)=14,"PJ",""))</f>
        <v/>
      </c>
      <c r="F75" s="59"/>
      <c r="G75" s="59"/>
      <c r="H75" s="61" t="str">
        <f aca="false">IF(G75&lt;&gt;"",VLOOKUP(G75,'Cnae  mcc  id'!$A:$M,9,0),"")</f>
        <v/>
      </c>
      <c r="I75" s="62"/>
      <c r="J75" s="63" t="str">
        <f aca="false">IF(I75&lt;&gt;"",VLOOKUP(I75,'Legal Nature'!$E$2:$G$84,3,0),"")</f>
        <v/>
      </c>
      <c r="K75" s="64"/>
      <c r="L75" s="65"/>
      <c r="M75" s="66"/>
      <c r="N75" s="66"/>
      <c r="O75" s="79"/>
      <c r="P75" s="26"/>
      <c r="Q75" s="58"/>
      <c r="R75" s="58"/>
      <c r="S75" s="58"/>
      <c r="T75" s="68" t="str">
        <f aca="false">IF(LEFT(S75,1)="9","Celular",IF(S75="","","Fixo"))</f>
        <v/>
      </c>
      <c r="U75" s="58" t="str">
        <f aca="false">IF( T75&lt;&gt;"",VLOOKUP(T75,Selects!$M$4:$N$1000,2,0),"")</f>
        <v/>
      </c>
      <c r="V75" s="26"/>
      <c r="W75" s="58"/>
      <c r="X75" s="58"/>
      <c r="Y75" s="58"/>
      <c r="Z75" s="58"/>
      <c r="AA75" s="69"/>
      <c r="AB75" s="58"/>
      <c r="AC75" s="58"/>
      <c r="AD75" s="70" t="str">
        <f aca="false">IF(AC75&lt;&gt;"",VLOOKUP(AC75,Selects!$B$4:$C$100,2,0),"")</f>
        <v/>
      </c>
      <c r="AE75" s="26"/>
      <c r="AF75" s="58"/>
      <c r="AG75" s="59"/>
      <c r="AH75" s="65"/>
      <c r="AI75" s="66"/>
      <c r="AJ75" s="66"/>
      <c r="AK75" s="58"/>
      <c r="AL75" s="58"/>
      <c r="AM75" s="68" t="str">
        <f aca="false">IF(LEFT(AL75,1)="9","Celular",IF(AL75="","","Fixo"))</f>
        <v/>
      </c>
      <c r="AN75" s="58" t="str">
        <f aca="false">IF( AM75&lt;&gt;"",VLOOKUP(AM75,Selects!$M$4:$N$1000,2,0),"")</f>
        <v/>
      </c>
      <c r="AO75" s="58"/>
      <c r="AP75" s="59"/>
      <c r="AQ75" s="65"/>
      <c r="AR75" s="58"/>
      <c r="AS75" s="58"/>
      <c r="AT75" s="26"/>
      <c r="AU75" s="58"/>
      <c r="AV75" s="58"/>
      <c r="AW75" s="58"/>
      <c r="AX75" s="58"/>
      <c r="AY75" s="71"/>
      <c r="AZ75" s="58"/>
      <c r="BA75" s="58"/>
      <c r="BB75" s="72" t="str">
        <f aca="false">IF(BA75&lt;&gt;"",VLOOKUP(BA75,Selects!$B$4:$C$100,2,0),"")</f>
        <v/>
      </c>
      <c r="BC75" s="26"/>
      <c r="BD75" s="26"/>
      <c r="BE75" s="73"/>
      <c r="BF75" s="74"/>
      <c r="BG75" s="75" t="str">
        <f aca="false">IF(LEN(BF75)=11,"PF",IF(LEN(BF75)=14,"PJ",""))</f>
        <v/>
      </c>
      <c r="BH75" s="66"/>
      <c r="BI75" s="58" t="str">
        <f aca="false">IF(BH75&lt;&gt;"",VLOOKUP(BH75,Selects!$G:$H,2,0),"")</f>
        <v/>
      </c>
      <c r="BJ75" s="58"/>
      <c r="BK75" s="58"/>
      <c r="BL75" s="59"/>
      <c r="BM75" s="58"/>
      <c r="BN75" s="58"/>
      <c r="BO75" s="58" t="str">
        <f aca="false">IF(BN75&lt;&gt;"",VLOOKUP(BN75,Selects!$J$4:$K$1000,2,0),"")</f>
        <v/>
      </c>
      <c r="BP75" s="76"/>
      <c r="BQ75" s="59"/>
      <c r="BR75" s="77"/>
      <c r="BS75" s="59"/>
      <c r="BT75" s="77"/>
      <c r="BU75" s="58"/>
      <c r="BV75" s="58"/>
      <c r="BW75" s="58"/>
      <c r="BX75" s="58"/>
      <c r="BY75" s="58"/>
      <c r="BZ75" s="58"/>
      <c r="CA75" s="58"/>
      <c r="CB75" s="72" t="str">
        <f aca="false">IF(AC75&lt;&gt;"",VLOOKUP(AC75,Selects!$B:$E,4,0),"")</f>
        <v/>
      </c>
      <c r="CC75" s="58"/>
      <c r="CD75" s="58"/>
      <c r="CE75" s="58"/>
    </row>
    <row r="76" customFormat="false" ht="15.75" hidden="false" customHeight="true" outlineLevel="0" collapsed="false">
      <c r="A76" s="17"/>
      <c r="B76" s="58"/>
      <c r="C76" s="58"/>
      <c r="D76" s="59"/>
      <c r="E76" s="60" t="str">
        <f aca="false">IF(LEN(D76)=11,"PF",IF(LEN(D76)=14,"PJ",""))</f>
        <v/>
      </c>
      <c r="F76" s="59"/>
      <c r="G76" s="59"/>
      <c r="H76" s="61" t="str">
        <f aca="false">IF(G76&lt;&gt;"",VLOOKUP(G76,'Cnae  mcc  id'!$A:$M,9,0),"")</f>
        <v/>
      </c>
      <c r="I76" s="62"/>
      <c r="J76" s="63" t="str">
        <f aca="false">IF(I76&lt;&gt;"",VLOOKUP(I76,'Legal Nature'!$E$2:$G$84,3,0),"")</f>
        <v/>
      </c>
      <c r="K76" s="64"/>
      <c r="L76" s="65"/>
      <c r="M76" s="66"/>
      <c r="N76" s="66"/>
      <c r="O76" s="79"/>
      <c r="P76" s="26"/>
      <c r="Q76" s="58"/>
      <c r="R76" s="58"/>
      <c r="S76" s="58"/>
      <c r="T76" s="68" t="str">
        <f aca="false">IF(LEFT(S76,1)="9","Celular",IF(S76="","","Fixo"))</f>
        <v/>
      </c>
      <c r="U76" s="58" t="str">
        <f aca="false">IF( T76&lt;&gt;"",VLOOKUP(T76,Selects!$M$4:$N$1000,2,0),"")</f>
        <v/>
      </c>
      <c r="V76" s="26"/>
      <c r="W76" s="58"/>
      <c r="X76" s="58"/>
      <c r="Y76" s="58"/>
      <c r="Z76" s="58"/>
      <c r="AA76" s="69"/>
      <c r="AB76" s="58"/>
      <c r="AC76" s="58"/>
      <c r="AD76" s="70" t="str">
        <f aca="false">IF(AC76&lt;&gt;"",VLOOKUP(AC76,Selects!$B$4:$C$100,2,0),"")</f>
        <v/>
      </c>
      <c r="AE76" s="26"/>
      <c r="AF76" s="58"/>
      <c r="AG76" s="59"/>
      <c r="AH76" s="65"/>
      <c r="AI76" s="66"/>
      <c r="AJ76" s="66"/>
      <c r="AK76" s="58"/>
      <c r="AL76" s="58"/>
      <c r="AM76" s="68" t="str">
        <f aca="false">IF(LEFT(AL76,1)="9","Celular",IF(AL76="","","Fixo"))</f>
        <v/>
      </c>
      <c r="AN76" s="58" t="str">
        <f aca="false">IF( AM76&lt;&gt;"",VLOOKUP(AM76,Selects!$M$4:$N$1000,2,0),"")</f>
        <v/>
      </c>
      <c r="AO76" s="58"/>
      <c r="AP76" s="59"/>
      <c r="AQ76" s="65"/>
      <c r="AR76" s="58"/>
      <c r="AS76" s="58"/>
      <c r="AT76" s="26"/>
      <c r="AU76" s="58"/>
      <c r="AV76" s="58"/>
      <c r="AW76" s="58"/>
      <c r="AX76" s="58"/>
      <c r="AY76" s="71"/>
      <c r="AZ76" s="58"/>
      <c r="BA76" s="58"/>
      <c r="BB76" s="72" t="str">
        <f aca="false">IF(BA76&lt;&gt;"",VLOOKUP(BA76,Selects!$B$4:$C$100,2,0),"")</f>
        <v/>
      </c>
      <c r="BC76" s="26"/>
      <c r="BD76" s="26"/>
      <c r="BE76" s="73"/>
      <c r="BF76" s="74"/>
      <c r="BG76" s="75" t="str">
        <f aca="false">IF(LEN(BF76)=11,"PF",IF(LEN(BF76)=14,"PJ",""))</f>
        <v/>
      </c>
      <c r="BH76" s="66"/>
      <c r="BI76" s="58" t="str">
        <f aca="false">IF(BH76&lt;&gt;"",VLOOKUP(BH76,Selects!$G:$H,2,0),"")</f>
        <v/>
      </c>
      <c r="BJ76" s="58"/>
      <c r="BK76" s="58"/>
      <c r="BL76" s="59"/>
      <c r="BM76" s="58"/>
      <c r="BN76" s="58"/>
      <c r="BO76" s="58" t="str">
        <f aca="false">IF(BN76&lt;&gt;"",VLOOKUP(BN76,Selects!$J$4:$K$1000,2,0),"")</f>
        <v/>
      </c>
      <c r="BP76" s="76"/>
      <c r="BQ76" s="59"/>
      <c r="BR76" s="77"/>
      <c r="BS76" s="59"/>
      <c r="BT76" s="77"/>
      <c r="BU76" s="58"/>
      <c r="BV76" s="58"/>
      <c r="BW76" s="58"/>
      <c r="BX76" s="58"/>
      <c r="BY76" s="58"/>
      <c r="BZ76" s="58"/>
      <c r="CA76" s="58"/>
      <c r="CB76" s="72" t="str">
        <f aca="false">IF(AC76&lt;&gt;"",VLOOKUP(AC76,Selects!$B:$E,4,0),"")</f>
        <v/>
      </c>
      <c r="CC76" s="58"/>
      <c r="CD76" s="58"/>
      <c r="CE76" s="58"/>
    </row>
    <row r="77" customFormat="false" ht="15.75" hidden="false" customHeight="true" outlineLevel="0" collapsed="false">
      <c r="A77" s="17"/>
      <c r="B77" s="58"/>
      <c r="C77" s="58"/>
      <c r="D77" s="59"/>
      <c r="E77" s="60" t="str">
        <f aca="false">IF(LEN(D77)=11,"PF",IF(LEN(D77)=14,"PJ",""))</f>
        <v/>
      </c>
      <c r="F77" s="59"/>
      <c r="G77" s="59"/>
      <c r="H77" s="61" t="str">
        <f aca="false">IF(G77&lt;&gt;"",VLOOKUP(G77,'Cnae  mcc  id'!$A:$M,9,0),"")</f>
        <v/>
      </c>
      <c r="I77" s="62"/>
      <c r="J77" s="63" t="str">
        <f aca="false">IF(I77&lt;&gt;"",VLOOKUP(I77,'Legal Nature'!$E$2:$G$84,3,0),"")</f>
        <v/>
      </c>
      <c r="K77" s="64"/>
      <c r="L77" s="65"/>
      <c r="M77" s="66"/>
      <c r="N77" s="66"/>
      <c r="O77" s="79"/>
      <c r="P77" s="26"/>
      <c r="Q77" s="58"/>
      <c r="R77" s="58"/>
      <c r="S77" s="58"/>
      <c r="T77" s="68" t="str">
        <f aca="false">IF(LEFT(S77,1)="9","Celular",IF(S77="","","Fixo"))</f>
        <v/>
      </c>
      <c r="U77" s="58" t="str">
        <f aca="false">IF( T77&lt;&gt;"",VLOOKUP(T77,Selects!$M$4:$N$1000,2,0),"")</f>
        <v/>
      </c>
      <c r="V77" s="26"/>
      <c r="W77" s="58"/>
      <c r="X77" s="58"/>
      <c r="Y77" s="58"/>
      <c r="Z77" s="58"/>
      <c r="AA77" s="69"/>
      <c r="AB77" s="58"/>
      <c r="AC77" s="58"/>
      <c r="AD77" s="70" t="str">
        <f aca="false">IF(AC77&lt;&gt;"",VLOOKUP(AC77,Selects!$B$4:$C$100,2,0),"")</f>
        <v/>
      </c>
      <c r="AE77" s="26"/>
      <c r="AF77" s="58"/>
      <c r="AG77" s="59"/>
      <c r="AH77" s="65"/>
      <c r="AI77" s="66"/>
      <c r="AJ77" s="66"/>
      <c r="AK77" s="58"/>
      <c r="AL77" s="58"/>
      <c r="AM77" s="68" t="str">
        <f aca="false">IF(LEFT(AL77,1)="9","Celular",IF(AL77="","","Fixo"))</f>
        <v/>
      </c>
      <c r="AN77" s="58" t="str">
        <f aca="false">IF( AM77&lt;&gt;"",VLOOKUP(AM77,Selects!$M$4:$N$1000,2,0),"")</f>
        <v/>
      </c>
      <c r="AO77" s="58"/>
      <c r="AP77" s="59"/>
      <c r="AQ77" s="65"/>
      <c r="AR77" s="58"/>
      <c r="AS77" s="58"/>
      <c r="AT77" s="26"/>
      <c r="AU77" s="58"/>
      <c r="AV77" s="58"/>
      <c r="AW77" s="58"/>
      <c r="AX77" s="58"/>
      <c r="AY77" s="71"/>
      <c r="AZ77" s="58"/>
      <c r="BA77" s="58"/>
      <c r="BB77" s="72" t="str">
        <f aca="false">IF(BA77&lt;&gt;"",VLOOKUP(BA77,Selects!$B$4:$C$100,2,0),"")</f>
        <v/>
      </c>
      <c r="BC77" s="26"/>
      <c r="BD77" s="26"/>
      <c r="BE77" s="73"/>
      <c r="BF77" s="74"/>
      <c r="BG77" s="75" t="str">
        <f aca="false">IF(LEN(BF77)=11,"PF",IF(LEN(BF77)=14,"PJ",""))</f>
        <v/>
      </c>
      <c r="BH77" s="66"/>
      <c r="BI77" s="58" t="str">
        <f aca="false">IF(BH77&lt;&gt;"",VLOOKUP(BH77,Selects!$G:$H,2,0),"")</f>
        <v/>
      </c>
      <c r="BJ77" s="58"/>
      <c r="BK77" s="58"/>
      <c r="BL77" s="59"/>
      <c r="BM77" s="58"/>
      <c r="BN77" s="58"/>
      <c r="BO77" s="58" t="str">
        <f aca="false">IF(BN77&lt;&gt;"",VLOOKUP(BN77,Selects!$J$4:$K$1000,2,0),"")</f>
        <v/>
      </c>
      <c r="BP77" s="76"/>
      <c r="BQ77" s="59"/>
      <c r="BR77" s="77"/>
      <c r="BS77" s="59"/>
      <c r="BT77" s="77"/>
      <c r="BU77" s="58"/>
      <c r="BV77" s="58"/>
      <c r="BW77" s="58"/>
      <c r="BX77" s="58"/>
      <c r="BY77" s="58"/>
      <c r="BZ77" s="58"/>
      <c r="CA77" s="58"/>
      <c r="CB77" s="72" t="str">
        <f aca="false">IF(AC77&lt;&gt;"",VLOOKUP(AC77,Selects!$B:$E,4,0),"")</f>
        <v/>
      </c>
      <c r="CC77" s="58"/>
      <c r="CD77" s="58"/>
      <c r="CE77" s="58"/>
    </row>
    <row r="78" customFormat="false" ht="15.75" hidden="false" customHeight="true" outlineLevel="0" collapsed="false">
      <c r="A78" s="17"/>
      <c r="B78" s="58"/>
      <c r="C78" s="58"/>
      <c r="D78" s="59"/>
      <c r="E78" s="60" t="str">
        <f aca="false">IF(LEN(D78)=11,"PF",IF(LEN(D78)=14,"PJ",""))</f>
        <v/>
      </c>
      <c r="F78" s="59"/>
      <c r="G78" s="59"/>
      <c r="H78" s="61" t="str">
        <f aca="false">IF(G78&lt;&gt;"",VLOOKUP(G78,'Cnae  mcc  id'!$A:$M,9,0),"")</f>
        <v/>
      </c>
      <c r="I78" s="62"/>
      <c r="J78" s="63" t="str">
        <f aca="false">IF(I78&lt;&gt;"",VLOOKUP(I78,'Legal Nature'!$E$2:$G$84,3,0),"")</f>
        <v/>
      </c>
      <c r="K78" s="64"/>
      <c r="L78" s="65"/>
      <c r="M78" s="66"/>
      <c r="N78" s="66"/>
      <c r="O78" s="79"/>
      <c r="P78" s="26"/>
      <c r="Q78" s="58"/>
      <c r="R78" s="58"/>
      <c r="S78" s="58"/>
      <c r="T78" s="68" t="str">
        <f aca="false">IF(LEFT(S78,1)="9","Celular",IF(S78="","","Fixo"))</f>
        <v/>
      </c>
      <c r="U78" s="58" t="str">
        <f aca="false">IF( T78&lt;&gt;"",VLOOKUP(T78,Selects!$M$4:$N$1000,2,0),"")</f>
        <v/>
      </c>
      <c r="V78" s="26"/>
      <c r="W78" s="58"/>
      <c r="X78" s="58"/>
      <c r="Y78" s="58"/>
      <c r="Z78" s="58"/>
      <c r="AA78" s="69"/>
      <c r="AB78" s="58"/>
      <c r="AC78" s="58"/>
      <c r="AD78" s="70" t="str">
        <f aca="false">IF(AC78&lt;&gt;"",VLOOKUP(AC78,Selects!$B$4:$C$100,2,0),"")</f>
        <v/>
      </c>
      <c r="AE78" s="26"/>
      <c r="AF78" s="58"/>
      <c r="AG78" s="59"/>
      <c r="AH78" s="65"/>
      <c r="AI78" s="66"/>
      <c r="AJ78" s="66"/>
      <c r="AK78" s="58"/>
      <c r="AL78" s="58"/>
      <c r="AM78" s="68" t="str">
        <f aca="false">IF(LEFT(AL78,1)="9","Celular",IF(AL78="","","Fixo"))</f>
        <v/>
      </c>
      <c r="AN78" s="58" t="str">
        <f aca="false">IF( AM78&lt;&gt;"",VLOOKUP(AM78,Selects!$M$4:$N$1000,2,0),"")</f>
        <v/>
      </c>
      <c r="AO78" s="58"/>
      <c r="AP78" s="59"/>
      <c r="AQ78" s="65"/>
      <c r="AR78" s="58"/>
      <c r="AS78" s="58"/>
      <c r="AT78" s="26"/>
      <c r="AU78" s="58"/>
      <c r="AV78" s="58"/>
      <c r="AW78" s="58"/>
      <c r="AX78" s="58"/>
      <c r="AY78" s="71"/>
      <c r="AZ78" s="58"/>
      <c r="BA78" s="58"/>
      <c r="BB78" s="72" t="str">
        <f aca="false">IF(BA78&lt;&gt;"",VLOOKUP(BA78,Selects!$B$4:$C$100,2,0),"")</f>
        <v/>
      </c>
      <c r="BC78" s="26"/>
      <c r="BD78" s="26"/>
      <c r="BE78" s="73"/>
      <c r="BF78" s="74"/>
      <c r="BG78" s="75" t="str">
        <f aca="false">IF(LEN(BF78)=11,"PF",IF(LEN(BF78)=14,"PJ",""))</f>
        <v/>
      </c>
      <c r="BH78" s="66"/>
      <c r="BI78" s="58" t="str">
        <f aca="false">IF(BH78&lt;&gt;"",VLOOKUP(BH78,Selects!$G:$H,2,0),"")</f>
        <v/>
      </c>
      <c r="BJ78" s="58"/>
      <c r="BK78" s="58"/>
      <c r="BL78" s="59"/>
      <c r="BM78" s="58"/>
      <c r="BN78" s="58"/>
      <c r="BO78" s="58" t="str">
        <f aca="false">IF(BN78&lt;&gt;"",VLOOKUP(BN78,Selects!$J$4:$K$1000,2,0),"")</f>
        <v/>
      </c>
      <c r="BP78" s="76"/>
      <c r="BQ78" s="59"/>
      <c r="BR78" s="77"/>
      <c r="BS78" s="59"/>
      <c r="BT78" s="77"/>
      <c r="BU78" s="58"/>
      <c r="BV78" s="58"/>
      <c r="BW78" s="58"/>
      <c r="BX78" s="58"/>
      <c r="BY78" s="58"/>
      <c r="BZ78" s="58"/>
      <c r="CA78" s="58"/>
      <c r="CB78" s="72" t="str">
        <f aca="false">IF(AC78&lt;&gt;"",VLOOKUP(AC78,Selects!$B:$E,4,0),"")</f>
        <v/>
      </c>
      <c r="CC78" s="58"/>
      <c r="CD78" s="58"/>
      <c r="CE78" s="58"/>
    </row>
    <row r="79" customFormat="false" ht="15.75" hidden="false" customHeight="true" outlineLevel="0" collapsed="false">
      <c r="A79" s="17"/>
      <c r="B79" s="58"/>
      <c r="C79" s="58"/>
      <c r="D79" s="59"/>
      <c r="E79" s="60" t="str">
        <f aca="false">IF(LEN(D79)=11,"PF",IF(LEN(D79)=14,"PJ",""))</f>
        <v/>
      </c>
      <c r="F79" s="59"/>
      <c r="G79" s="59"/>
      <c r="H79" s="61" t="str">
        <f aca="false">IF(G79&lt;&gt;"",VLOOKUP(G79,'Cnae  mcc  id'!$A:$M,9,0),"")</f>
        <v/>
      </c>
      <c r="I79" s="62"/>
      <c r="J79" s="63" t="str">
        <f aca="false">IF(I79&lt;&gt;"",VLOOKUP(I79,'Legal Nature'!$E$2:$G$84,3,0),"")</f>
        <v/>
      </c>
      <c r="K79" s="64"/>
      <c r="L79" s="65"/>
      <c r="M79" s="66"/>
      <c r="N79" s="66"/>
      <c r="O79" s="79"/>
      <c r="P79" s="26"/>
      <c r="Q79" s="58"/>
      <c r="R79" s="58"/>
      <c r="S79" s="58"/>
      <c r="T79" s="68" t="str">
        <f aca="false">IF(LEFT(S79,1)="9","Celular",IF(S79="","","Fixo"))</f>
        <v/>
      </c>
      <c r="U79" s="58" t="str">
        <f aca="false">IF( T79&lt;&gt;"",VLOOKUP(T79,Selects!$M$4:$N$1000,2,0),"")</f>
        <v/>
      </c>
      <c r="V79" s="26"/>
      <c r="W79" s="58"/>
      <c r="X79" s="58"/>
      <c r="Y79" s="58"/>
      <c r="Z79" s="58"/>
      <c r="AA79" s="69"/>
      <c r="AB79" s="58"/>
      <c r="AC79" s="58"/>
      <c r="AD79" s="70" t="str">
        <f aca="false">IF(AC79&lt;&gt;"",VLOOKUP(AC79,Selects!$B$4:$C$100,2,0),"")</f>
        <v/>
      </c>
      <c r="AE79" s="26"/>
      <c r="AF79" s="58"/>
      <c r="AG79" s="59"/>
      <c r="AH79" s="65"/>
      <c r="AI79" s="66"/>
      <c r="AJ79" s="66"/>
      <c r="AK79" s="58"/>
      <c r="AL79" s="58"/>
      <c r="AM79" s="68" t="str">
        <f aca="false">IF(LEFT(AL79,1)="9","Celular",IF(AL79="","","Fixo"))</f>
        <v/>
      </c>
      <c r="AN79" s="58" t="str">
        <f aca="false">IF( AM79&lt;&gt;"",VLOOKUP(AM79,Selects!$M$4:$N$1000,2,0),"")</f>
        <v/>
      </c>
      <c r="AO79" s="58"/>
      <c r="AP79" s="59"/>
      <c r="AQ79" s="65"/>
      <c r="AR79" s="58"/>
      <c r="AS79" s="58"/>
      <c r="AT79" s="26"/>
      <c r="AU79" s="58"/>
      <c r="AV79" s="58"/>
      <c r="AW79" s="58"/>
      <c r="AX79" s="58"/>
      <c r="AY79" s="71"/>
      <c r="AZ79" s="58"/>
      <c r="BA79" s="58"/>
      <c r="BB79" s="72" t="str">
        <f aca="false">IF(BA79&lt;&gt;"",VLOOKUP(BA79,Selects!$B$4:$C$100,2,0),"")</f>
        <v/>
      </c>
      <c r="BC79" s="26"/>
      <c r="BD79" s="26"/>
      <c r="BE79" s="73"/>
      <c r="BF79" s="74"/>
      <c r="BG79" s="75" t="str">
        <f aca="false">IF(LEN(BF79)=11,"PF",IF(LEN(BF79)=14,"PJ",""))</f>
        <v/>
      </c>
      <c r="BH79" s="66"/>
      <c r="BI79" s="58" t="str">
        <f aca="false">IF(BH79&lt;&gt;"",VLOOKUP(BH79,Selects!$G:$H,2,0),"")</f>
        <v/>
      </c>
      <c r="BJ79" s="58"/>
      <c r="BK79" s="58"/>
      <c r="BL79" s="59"/>
      <c r="BM79" s="58"/>
      <c r="BN79" s="58"/>
      <c r="BO79" s="58" t="str">
        <f aca="false">IF(BN79&lt;&gt;"",VLOOKUP(BN79,Selects!$J$4:$K$1000,2,0),"")</f>
        <v/>
      </c>
      <c r="BP79" s="76"/>
      <c r="BQ79" s="59"/>
      <c r="BR79" s="77"/>
      <c r="BS79" s="59"/>
      <c r="BT79" s="77"/>
      <c r="BU79" s="58"/>
      <c r="BV79" s="58"/>
      <c r="BW79" s="58"/>
      <c r="BX79" s="58"/>
      <c r="BY79" s="58"/>
      <c r="BZ79" s="58"/>
      <c r="CA79" s="58"/>
      <c r="CB79" s="72" t="str">
        <f aca="false">IF(AC79&lt;&gt;"",VLOOKUP(AC79,Selects!$B:$E,4,0),"")</f>
        <v/>
      </c>
      <c r="CC79" s="58"/>
      <c r="CD79" s="58"/>
      <c r="CE79" s="58"/>
    </row>
    <row r="80" customFormat="false" ht="15.75" hidden="false" customHeight="true" outlineLevel="0" collapsed="false">
      <c r="A80" s="17"/>
      <c r="B80" s="58"/>
      <c r="C80" s="58"/>
      <c r="D80" s="59"/>
      <c r="E80" s="60" t="str">
        <f aca="false">IF(LEN(D80)=11,"PF",IF(LEN(D80)=14,"PJ",""))</f>
        <v/>
      </c>
      <c r="F80" s="59"/>
      <c r="G80" s="59"/>
      <c r="H80" s="61" t="str">
        <f aca="false">IF(G80&lt;&gt;"",VLOOKUP(G80,'Cnae  mcc  id'!$A:$M,9,0),"")</f>
        <v/>
      </c>
      <c r="I80" s="62"/>
      <c r="J80" s="63" t="str">
        <f aca="false">IF(I80&lt;&gt;"",VLOOKUP(I80,'Legal Nature'!$E$2:$G$84,3,0),"")</f>
        <v/>
      </c>
      <c r="K80" s="64"/>
      <c r="L80" s="65"/>
      <c r="M80" s="66"/>
      <c r="N80" s="66"/>
      <c r="O80" s="79"/>
      <c r="P80" s="26"/>
      <c r="Q80" s="58"/>
      <c r="R80" s="58"/>
      <c r="S80" s="58"/>
      <c r="T80" s="68" t="str">
        <f aca="false">IF(LEFT(S80,1)="9","Celular",IF(S80="","","Fixo"))</f>
        <v/>
      </c>
      <c r="U80" s="58" t="str">
        <f aca="false">IF( T80&lt;&gt;"",VLOOKUP(T80,Selects!$M$4:$N$1000,2,0),"")</f>
        <v/>
      </c>
      <c r="V80" s="26"/>
      <c r="W80" s="58"/>
      <c r="X80" s="58"/>
      <c r="Y80" s="58"/>
      <c r="Z80" s="58"/>
      <c r="AA80" s="69"/>
      <c r="AB80" s="58"/>
      <c r="AC80" s="58"/>
      <c r="AD80" s="70" t="str">
        <f aca="false">IF(AC80&lt;&gt;"",VLOOKUP(AC80,Selects!$B$4:$C$100,2,0),"")</f>
        <v/>
      </c>
      <c r="AE80" s="26"/>
      <c r="AF80" s="58"/>
      <c r="AG80" s="59"/>
      <c r="AH80" s="65"/>
      <c r="AI80" s="66"/>
      <c r="AJ80" s="66"/>
      <c r="AK80" s="58"/>
      <c r="AL80" s="58"/>
      <c r="AM80" s="68" t="str">
        <f aca="false">IF(LEFT(AL80,1)="9","Celular",IF(AL80="","","Fixo"))</f>
        <v/>
      </c>
      <c r="AN80" s="58" t="str">
        <f aca="false">IF( AM80&lt;&gt;"",VLOOKUP(AM80,Selects!$M$4:$N$1000,2,0),"")</f>
        <v/>
      </c>
      <c r="AO80" s="58"/>
      <c r="AP80" s="59"/>
      <c r="AQ80" s="65"/>
      <c r="AR80" s="58"/>
      <c r="AS80" s="58"/>
      <c r="AT80" s="26"/>
      <c r="AU80" s="58"/>
      <c r="AV80" s="58"/>
      <c r="AW80" s="58"/>
      <c r="AX80" s="58"/>
      <c r="AY80" s="71"/>
      <c r="AZ80" s="58"/>
      <c r="BA80" s="58"/>
      <c r="BB80" s="72" t="str">
        <f aca="false">IF(BA80&lt;&gt;"",VLOOKUP(BA80,Selects!$B$4:$C$100,2,0),"")</f>
        <v/>
      </c>
      <c r="BC80" s="26"/>
      <c r="BD80" s="26"/>
      <c r="BE80" s="73"/>
      <c r="BF80" s="74"/>
      <c r="BG80" s="75" t="str">
        <f aca="false">IF(LEN(BF80)=11,"PF",IF(LEN(BF80)=14,"PJ",""))</f>
        <v/>
      </c>
      <c r="BH80" s="66"/>
      <c r="BI80" s="58" t="str">
        <f aca="false">IF(BH80&lt;&gt;"",VLOOKUP(BH80,Selects!$G:$H,2,0),"")</f>
        <v/>
      </c>
      <c r="BJ80" s="58"/>
      <c r="BK80" s="58"/>
      <c r="BL80" s="59"/>
      <c r="BM80" s="58"/>
      <c r="BN80" s="58"/>
      <c r="BO80" s="58" t="str">
        <f aca="false">IF(BN80&lt;&gt;"",VLOOKUP(BN80,Selects!$J$4:$K$1000,2,0),"")</f>
        <v/>
      </c>
      <c r="BP80" s="76"/>
      <c r="BQ80" s="59"/>
      <c r="BR80" s="77"/>
      <c r="BS80" s="59"/>
      <c r="BT80" s="77"/>
      <c r="BU80" s="58"/>
      <c r="BV80" s="58"/>
      <c r="BW80" s="58"/>
      <c r="BX80" s="58"/>
      <c r="BY80" s="58"/>
      <c r="BZ80" s="58"/>
      <c r="CA80" s="58"/>
      <c r="CB80" s="72" t="str">
        <f aca="false">IF(AC80&lt;&gt;"",VLOOKUP(AC80,Selects!$B:$E,4,0),"")</f>
        <v/>
      </c>
      <c r="CC80" s="58"/>
      <c r="CD80" s="58"/>
      <c r="CE80" s="58"/>
    </row>
    <row r="81" customFormat="false" ht="15.75" hidden="false" customHeight="true" outlineLevel="0" collapsed="false">
      <c r="A81" s="17"/>
      <c r="B81" s="58"/>
      <c r="C81" s="58"/>
      <c r="D81" s="59"/>
      <c r="E81" s="60" t="str">
        <f aca="false">IF(LEN(D81)=11,"PF",IF(LEN(D81)=14,"PJ",""))</f>
        <v/>
      </c>
      <c r="F81" s="59"/>
      <c r="G81" s="59"/>
      <c r="H81" s="61" t="str">
        <f aca="false">IF(G81&lt;&gt;"",VLOOKUP(G81,'Cnae  mcc  id'!$A:$M,9,0),"")</f>
        <v/>
      </c>
      <c r="I81" s="62"/>
      <c r="J81" s="63" t="str">
        <f aca="false">IF(I81&lt;&gt;"",VLOOKUP(I81,'Legal Nature'!$E$2:$G$84,3,0),"")</f>
        <v/>
      </c>
      <c r="K81" s="64"/>
      <c r="L81" s="65"/>
      <c r="M81" s="66"/>
      <c r="N81" s="66"/>
      <c r="O81" s="79"/>
      <c r="P81" s="26"/>
      <c r="Q81" s="58"/>
      <c r="R81" s="58"/>
      <c r="S81" s="58"/>
      <c r="T81" s="68" t="str">
        <f aca="false">IF(LEFT(S81,1)="9","Celular",IF(S81="","","Fixo"))</f>
        <v/>
      </c>
      <c r="U81" s="58" t="str">
        <f aca="false">IF( T81&lt;&gt;"",VLOOKUP(T81,Selects!$M$4:$N$1000,2,0),"")</f>
        <v/>
      </c>
      <c r="V81" s="26"/>
      <c r="W81" s="58"/>
      <c r="X81" s="58"/>
      <c r="Y81" s="58"/>
      <c r="Z81" s="58"/>
      <c r="AA81" s="69"/>
      <c r="AB81" s="58"/>
      <c r="AC81" s="58"/>
      <c r="AD81" s="70" t="str">
        <f aca="false">IF(AC81&lt;&gt;"",VLOOKUP(AC81,Selects!$B$4:$C$100,2,0),"")</f>
        <v/>
      </c>
      <c r="AE81" s="26"/>
      <c r="AF81" s="58"/>
      <c r="AG81" s="59"/>
      <c r="AH81" s="65"/>
      <c r="AI81" s="66"/>
      <c r="AJ81" s="66"/>
      <c r="AK81" s="58"/>
      <c r="AL81" s="58"/>
      <c r="AM81" s="68" t="str">
        <f aca="false">IF(LEFT(AL81,1)="9","Celular",IF(AL81="","","Fixo"))</f>
        <v/>
      </c>
      <c r="AN81" s="58" t="str">
        <f aca="false">IF( AM81&lt;&gt;"",VLOOKUP(AM81,Selects!$M$4:$N$1000,2,0),"")</f>
        <v/>
      </c>
      <c r="AO81" s="58"/>
      <c r="AP81" s="59"/>
      <c r="AQ81" s="65"/>
      <c r="AR81" s="58"/>
      <c r="AS81" s="58"/>
      <c r="AT81" s="26"/>
      <c r="AU81" s="58"/>
      <c r="AV81" s="58"/>
      <c r="AW81" s="58"/>
      <c r="AX81" s="58"/>
      <c r="AY81" s="71"/>
      <c r="AZ81" s="58"/>
      <c r="BA81" s="58"/>
      <c r="BB81" s="72" t="str">
        <f aca="false">IF(BA81&lt;&gt;"",VLOOKUP(BA81,Selects!$B$4:$C$100,2,0),"")</f>
        <v/>
      </c>
      <c r="BC81" s="26"/>
      <c r="BD81" s="26"/>
      <c r="BE81" s="73"/>
      <c r="BF81" s="74"/>
      <c r="BG81" s="75" t="str">
        <f aca="false">IF(LEN(BF81)=11,"PF",IF(LEN(BF81)=14,"PJ",""))</f>
        <v/>
      </c>
      <c r="BH81" s="66"/>
      <c r="BI81" s="58" t="str">
        <f aca="false">IF(BH81&lt;&gt;"",VLOOKUP(BH81,Selects!$G:$H,2,0),"")</f>
        <v/>
      </c>
      <c r="BJ81" s="58"/>
      <c r="BK81" s="58"/>
      <c r="BL81" s="59"/>
      <c r="BM81" s="58"/>
      <c r="BN81" s="58"/>
      <c r="BO81" s="58" t="str">
        <f aca="false">IF(BN81&lt;&gt;"",VLOOKUP(BN81,Selects!$J$4:$K$1000,2,0),"")</f>
        <v/>
      </c>
      <c r="BP81" s="76"/>
      <c r="BQ81" s="59"/>
      <c r="BR81" s="77"/>
      <c r="BS81" s="59"/>
      <c r="BT81" s="77"/>
      <c r="BU81" s="58"/>
      <c r="BV81" s="58"/>
      <c r="BW81" s="58"/>
      <c r="BX81" s="58"/>
      <c r="BY81" s="58"/>
      <c r="BZ81" s="58"/>
      <c r="CA81" s="58"/>
      <c r="CB81" s="72" t="str">
        <f aca="false">IF(AC81&lt;&gt;"",VLOOKUP(AC81,Selects!$B:$E,4,0),"")</f>
        <v/>
      </c>
      <c r="CC81" s="58"/>
      <c r="CD81" s="58"/>
      <c r="CE81" s="58"/>
    </row>
    <row r="82" customFormat="false" ht="15.75" hidden="false" customHeight="true" outlineLevel="0" collapsed="false">
      <c r="A82" s="17"/>
      <c r="B82" s="58"/>
      <c r="C82" s="58"/>
      <c r="D82" s="59"/>
      <c r="E82" s="60" t="str">
        <f aca="false">IF(LEN(D82)=11,"PF",IF(LEN(D82)=14,"PJ",""))</f>
        <v/>
      </c>
      <c r="F82" s="59"/>
      <c r="G82" s="59"/>
      <c r="H82" s="61" t="str">
        <f aca="false">IF(G82&lt;&gt;"",VLOOKUP(G82,'Cnae  mcc  id'!$A:$M,9,0),"")</f>
        <v/>
      </c>
      <c r="I82" s="62"/>
      <c r="J82" s="63" t="str">
        <f aca="false">IF(I82&lt;&gt;"",VLOOKUP(I82,'Legal Nature'!$E$2:$G$84,3,0),"")</f>
        <v/>
      </c>
      <c r="K82" s="64"/>
      <c r="L82" s="65"/>
      <c r="M82" s="66"/>
      <c r="N82" s="66"/>
      <c r="O82" s="79"/>
      <c r="P82" s="26"/>
      <c r="Q82" s="58"/>
      <c r="R82" s="58"/>
      <c r="S82" s="58"/>
      <c r="T82" s="68" t="str">
        <f aca="false">IF(LEFT(S82,1)="9","Celular",IF(S82="","","Fixo"))</f>
        <v/>
      </c>
      <c r="U82" s="58" t="str">
        <f aca="false">IF( T82&lt;&gt;"",VLOOKUP(T82,Selects!$M$4:$N$1000,2,0),"")</f>
        <v/>
      </c>
      <c r="V82" s="26"/>
      <c r="W82" s="58"/>
      <c r="X82" s="58"/>
      <c r="Y82" s="58"/>
      <c r="Z82" s="58"/>
      <c r="AA82" s="69"/>
      <c r="AB82" s="58"/>
      <c r="AC82" s="58"/>
      <c r="AD82" s="70" t="str">
        <f aca="false">IF(AC82&lt;&gt;"",VLOOKUP(AC82,Selects!$B$4:$C$100,2,0),"")</f>
        <v/>
      </c>
      <c r="AE82" s="26"/>
      <c r="AF82" s="58"/>
      <c r="AG82" s="59"/>
      <c r="AH82" s="65"/>
      <c r="AI82" s="66"/>
      <c r="AJ82" s="66"/>
      <c r="AK82" s="58"/>
      <c r="AL82" s="58"/>
      <c r="AM82" s="68" t="str">
        <f aca="false">IF(LEFT(AL82,1)="9","Celular",IF(AL82="","","Fixo"))</f>
        <v/>
      </c>
      <c r="AN82" s="58" t="str">
        <f aca="false">IF( AM82&lt;&gt;"",VLOOKUP(AM82,Selects!$M$4:$N$1000,2,0),"")</f>
        <v/>
      </c>
      <c r="AO82" s="58"/>
      <c r="AP82" s="59"/>
      <c r="AQ82" s="65"/>
      <c r="AR82" s="58"/>
      <c r="AS82" s="58"/>
      <c r="AT82" s="26"/>
      <c r="AU82" s="58"/>
      <c r="AV82" s="58"/>
      <c r="AW82" s="58"/>
      <c r="AX82" s="58"/>
      <c r="AY82" s="71"/>
      <c r="AZ82" s="58"/>
      <c r="BA82" s="58"/>
      <c r="BB82" s="72" t="str">
        <f aca="false">IF(BA82&lt;&gt;"",VLOOKUP(BA82,Selects!$B$4:$C$100,2,0),"")</f>
        <v/>
      </c>
      <c r="BC82" s="26"/>
      <c r="BD82" s="26"/>
      <c r="BE82" s="73"/>
      <c r="BF82" s="74"/>
      <c r="BG82" s="75" t="str">
        <f aca="false">IF(LEN(BF82)=11,"PF",IF(LEN(BF82)=14,"PJ",""))</f>
        <v/>
      </c>
      <c r="BH82" s="66"/>
      <c r="BI82" s="58" t="str">
        <f aca="false">IF(BH82&lt;&gt;"",VLOOKUP(BH82,Selects!$G:$H,2,0),"")</f>
        <v/>
      </c>
      <c r="BJ82" s="58"/>
      <c r="BK82" s="58"/>
      <c r="BL82" s="59"/>
      <c r="BM82" s="58"/>
      <c r="BN82" s="58"/>
      <c r="BO82" s="58" t="str">
        <f aca="false">IF(BN82&lt;&gt;"",VLOOKUP(BN82,Selects!$J$4:$K$1000,2,0),"")</f>
        <v/>
      </c>
      <c r="BP82" s="76"/>
      <c r="BQ82" s="59"/>
      <c r="BR82" s="77"/>
      <c r="BS82" s="59"/>
      <c r="BT82" s="77"/>
      <c r="BU82" s="58"/>
      <c r="BV82" s="58"/>
      <c r="BW82" s="58"/>
      <c r="BX82" s="58"/>
      <c r="BY82" s="58"/>
      <c r="BZ82" s="58"/>
      <c r="CA82" s="58"/>
      <c r="CB82" s="72" t="str">
        <f aca="false">IF(AC82&lt;&gt;"",VLOOKUP(AC82,Selects!$B:$E,4,0),"")</f>
        <v/>
      </c>
      <c r="CC82" s="58"/>
      <c r="CD82" s="58"/>
      <c r="CE82" s="58"/>
    </row>
    <row r="83" customFormat="false" ht="15.75" hidden="false" customHeight="true" outlineLevel="0" collapsed="false">
      <c r="A83" s="17"/>
      <c r="B83" s="58"/>
      <c r="C83" s="58"/>
      <c r="D83" s="59"/>
      <c r="E83" s="60" t="str">
        <f aca="false">IF(LEN(D83)=11,"PF",IF(LEN(D83)=14,"PJ",""))</f>
        <v/>
      </c>
      <c r="F83" s="59"/>
      <c r="G83" s="59"/>
      <c r="H83" s="61" t="str">
        <f aca="false">IF(G83&lt;&gt;"",VLOOKUP(G83,'Cnae  mcc  id'!$A:$M,9,0),"")</f>
        <v/>
      </c>
      <c r="I83" s="62"/>
      <c r="J83" s="63" t="str">
        <f aca="false">IF(I83&lt;&gt;"",VLOOKUP(I83,'Legal Nature'!$E$2:$G$84,3,0),"")</f>
        <v/>
      </c>
      <c r="K83" s="64"/>
      <c r="L83" s="65"/>
      <c r="M83" s="66"/>
      <c r="N83" s="66"/>
      <c r="O83" s="79"/>
      <c r="P83" s="26"/>
      <c r="Q83" s="58"/>
      <c r="R83" s="58"/>
      <c r="S83" s="58"/>
      <c r="T83" s="68" t="str">
        <f aca="false">IF(LEFT(S83,1)="9","Celular",IF(S83="","","Fixo"))</f>
        <v/>
      </c>
      <c r="U83" s="58" t="str">
        <f aca="false">IF( T83&lt;&gt;"",VLOOKUP(T83,Selects!$M$4:$N$1000,2,0),"")</f>
        <v/>
      </c>
      <c r="V83" s="26"/>
      <c r="W83" s="58"/>
      <c r="X83" s="58"/>
      <c r="Y83" s="58"/>
      <c r="Z83" s="58"/>
      <c r="AA83" s="69"/>
      <c r="AB83" s="58"/>
      <c r="AC83" s="58"/>
      <c r="AD83" s="70" t="str">
        <f aca="false">IF(AC83&lt;&gt;"",VLOOKUP(AC83,Selects!$B$4:$C$100,2,0),"")</f>
        <v/>
      </c>
      <c r="AE83" s="26"/>
      <c r="AF83" s="58"/>
      <c r="AG83" s="59"/>
      <c r="AH83" s="65"/>
      <c r="AI83" s="66"/>
      <c r="AJ83" s="66"/>
      <c r="AK83" s="58"/>
      <c r="AL83" s="58"/>
      <c r="AM83" s="68" t="str">
        <f aca="false">IF(LEFT(AL83,1)="9","Celular",IF(AL83="","","Fixo"))</f>
        <v/>
      </c>
      <c r="AN83" s="58" t="str">
        <f aca="false">IF( AM83&lt;&gt;"",VLOOKUP(AM83,Selects!$M$4:$N$1000,2,0),"")</f>
        <v/>
      </c>
      <c r="AO83" s="58"/>
      <c r="AP83" s="59"/>
      <c r="AQ83" s="65"/>
      <c r="AR83" s="58"/>
      <c r="AS83" s="58"/>
      <c r="AT83" s="26"/>
      <c r="AU83" s="58"/>
      <c r="AV83" s="58"/>
      <c r="AW83" s="58"/>
      <c r="AX83" s="58"/>
      <c r="AY83" s="71"/>
      <c r="AZ83" s="58"/>
      <c r="BA83" s="58"/>
      <c r="BB83" s="72" t="str">
        <f aca="false">IF(BA83&lt;&gt;"",VLOOKUP(BA83,Selects!$B$4:$C$100,2,0),"")</f>
        <v/>
      </c>
      <c r="BC83" s="26"/>
      <c r="BD83" s="26"/>
      <c r="BE83" s="73"/>
      <c r="BF83" s="74"/>
      <c r="BG83" s="75" t="str">
        <f aca="false">IF(LEN(BF83)=11,"PF",IF(LEN(BF83)=14,"PJ",""))</f>
        <v/>
      </c>
      <c r="BH83" s="66"/>
      <c r="BI83" s="58" t="str">
        <f aca="false">IF(BH83&lt;&gt;"",VLOOKUP(BH83,Selects!$G:$H,2,0),"")</f>
        <v/>
      </c>
      <c r="BJ83" s="58"/>
      <c r="BK83" s="58"/>
      <c r="BL83" s="59"/>
      <c r="BM83" s="58"/>
      <c r="BN83" s="58"/>
      <c r="BO83" s="58" t="str">
        <f aca="false">IF(BN83&lt;&gt;"",VLOOKUP(BN83,Selects!$J$4:$K$1000,2,0),"")</f>
        <v/>
      </c>
      <c r="BP83" s="76"/>
      <c r="BQ83" s="59"/>
      <c r="BR83" s="77"/>
      <c r="BS83" s="59"/>
      <c r="BT83" s="77"/>
      <c r="BU83" s="58"/>
      <c r="BV83" s="58"/>
      <c r="BW83" s="58"/>
      <c r="BX83" s="58"/>
      <c r="BY83" s="58"/>
      <c r="BZ83" s="58"/>
      <c r="CA83" s="58"/>
      <c r="CB83" s="72" t="str">
        <f aca="false">IF(AC83&lt;&gt;"",VLOOKUP(AC83,Selects!$B:$E,4,0),"")</f>
        <v/>
      </c>
      <c r="CC83" s="58"/>
      <c r="CD83" s="58"/>
      <c r="CE83" s="58"/>
    </row>
    <row r="84" customFormat="false" ht="15.75" hidden="false" customHeight="true" outlineLevel="0" collapsed="false">
      <c r="A84" s="17"/>
      <c r="B84" s="58"/>
      <c r="C84" s="58"/>
      <c r="D84" s="59"/>
      <c r="E84" s="60" t="str">
        <f aca="false">IF(LEN(D84)=11,"PF",IF(LEN(D84)=14,"PJ",""))</f>
        <v/>
      </c>
      <c r="F84" s="59"/>
      <c r="G84" s="59"/>
      <c r="H84" s="61" t="str">
        <f aca="false">IF(G84&lt;&gt;"",VLOOKUP(G84,'Cnae  mcc  id'!$A:$M,9,0),"")</f>
        <v/>
      </c>
      <c r="I84" s="62"/>
      <c r="J84" s="63" t="str">
        <f aca="false">IF(I84&lt;&gt;"",VLOOKUP(I84,'Legal Nature'!$E$2:$G$84,3,0),"")</f>
        <v/>
      </c>
      <c r="K84" s="64"/>
      <c r="L84" s="65"/>
      <c r="M84" s="66"/>
      <c r="N84" s="66"/>
      <c r="O84" s="79"/>
      <c r="P84" s="26"/>
      <c r="Q84" s="58"/>
      <c r="R84" s="58"/>
      <c r="S84" s="58"/>
      <c r="T84" s="68" t="str">
        <f aca="false">IF(LEFT(S84,1)="9","Celular",IF(S84="","","Fixo"))</f>
        <v/>
      </c>
      <c r="U84" s="58" t="str">
        <f aca="false">IF( T84&lt;&gt;"",VLOOKUP(T84,Selects!$M$4:$N$1000,2,0),"")</f>
        <v/>
      </c>
      <c r="V84" s="26"/>
      <c r="W84" s="58"/>
      <c r="X84" s="58"/>
      <c r="Y84" s="58"/>
      <c r="Z84" s="58"/>
      <c r="AA84" s="69"/>
      <c r="AB84" s="58"/>
      <c r="AC84" s="58"/>
      <c r="AD84" s="70" t="str">
        <f aca="false">IF(AC84&lt;&gt;"",VLOOKUP(AC84,Selects!$B$4:$C$100,2,0),"")</f>
        <v/>
      </c>
      <c r="AE84" s="26"/>
      <c r="AF84" s="58"/>
      <c r="AG84" s="59"/>
      <c r="AH84" s="65"/>
      <c r="AI84" s="66"/>
      <c r="AJ84" s="66"/>
      <c r="AK84" s="58"/>
      <c r="AL84" s="58"/>
      <c r="AM84" s="68" t="str">
        <f aca="false">IF(LEFT(AL84,1)="9","Celular",IF(AL84="","","Fixo"))</f>
        <v/>
      </c>
      <c r="AN84" s="58" t="str">
        <f aca="false">IF( AM84&lt;&gt;"",VLOOKUP(AM84,Selects!$M$4:$N$1000,2,0),"")</f>
        <v/>
      </c>
      <c r="AO84" s="58"/>
      <c r="AP84" s="59"/>
      <c r="AQ84" s="65"/>
      <c r="AR84" s="58"/>
      <c r="AS84" s="58"/>
      <c r="AT84" s="26"/>
      <c r="AU84" s="58"/>
      <c r="AV84" s="58"/>
      <c r="AW84" s="58"/>
      <c r="AX84" s="58"/>
      <c r="AY84" s="71"/>
      <c r="AZ84" s="58"/>
      <c r="BA84" s="58"/>
      <c r="BB84" s="72" t="str">
        <f aca="false">IF(BA84&lt;&gt;"",VLOOKUP(BA84,Selects!$B$4:$C$100,2,0),"")</f>
        <v/>
      </c>
      <c r="BC84" s="26"/>
      <c r="BD84" s="26"/>
      <c r="BE84" s="73"/>
      <c r="BF84" s="74"/>
      <c r="BG84" s="75" t="str">
        <f aca="false">IF(LEN(BF84)=11,"PF",IF(LEN(BF84)=14,"PJ",""))</f>
        <v/>
      </c>
      <c r="BH84" s="66"/>
      <c r="BI84" s="58" t="str">
        <f aca="false">IF(BH84&lt;&gt;"",VLOOKUP(BH84,Selects!$G:$H,2,0),"")</f>
        <v/>
      </c>
      <c r="BJ84" s="58"/>
      <c r="BK84" s="58"/>
      <c r="BL84" s="59"/>
      <c r="BM84" s="58"/>
      <c r="BN84" s="58"/>
      <c r="BO84" s="58" t="str">
        <f aca="false">IF(BN84&lt;&gt;"",VLOOKUP(BN84,Selects!$J$4:$K$1000,2,0),"")</f>
        <v/>
      </c>
      <c r="BP84" s="76"/>
      <c r="BQ84" s="59"/>
      <c r="BR84" s="77"/>
      <c r="BS84" s="59"/>
      <c r="BT84" s="77"/>
      <c r="BU84" s="58"/>
      <c r="BV84" s="58"/>
      <c r="BW84" s="58"/>
      <c r="BX84" s="58"/>
      <c r="BY84" s="58"/>
      <c r="BZ84" s="58"/>
      <c r="CA84" s="58"/>
      <c r="CB84" s="72" t="str">
        <f aca="false">IF(AC84&lt;&gt;"",VLOOKUP(AC84,Selects!$B:$E,4,0),"")</f>
        <v/>
      </c>
      <c r="CC84" s="58"/>
      <c r="CD84" s="58"/>
      <c r="CE84" s="58"/>
    </row>
    <row r="85" customFormat="false" ht="15.75" hidden="false" customHeight="true" outlineLevel="0" collapsed="false">
      <c r="A85" s="17"/>
      <c r="B85" s="58"/>
      <c r="C85" s="58"/>
      <c r="D85" s="59"/>
      <c r="E85" s="60" t="str">
        <f aca="false">IF(LEN(D85)=11,"PF",IF(LEN(D85)=14,"PJ",""))</f>
        <v/>
      </c>
      <c r="F85" s="59"/>
      <c r="G85" s="59"/>
      <c r="H85" s="61" t="str">
        <f aca="false">IF(G85&lt;&gt;"",VLOOKUP(G85,'Cnae  mcc  id'!$A:$M,9,0),"")</f>
        <v/>
      </c>
      <c r="I85" s="62"/>
      <c r="J85" s="63" t="str">
        <f aca="false">IF(I85&lt;&gt;"",VLOOKUP(I85,'Legal Nature'!$E$2:$G$84,3,0),"")</f>
        <v/>
      </c>
      <c r="K85" s="64"/>
      <c r="L85" s="65"/>
      <c r="M85" s="66"/>
      <c r="N85" s="66"/>
      <c r="O85" s="79"/>
      <c r="P85" s="26"/>
      <c r="Q85" s="58"/>
      <c r="R85" s="58"/>
      <c r="S85" s="58"/>
      <c r="T85" s="68" t="str">
        <f aca="false">IF(LEFT(S85,1)="9","Celular",IF(S85="","","Fixo"))</f>
        <v/>
      </c>
      <c r="U85" s="58" t="str">
        <f aca="false">IF( T85&lt;&gt;"",VLOOKUP(T85,Selects!$M$4:$N$1000,2,0),"")</f>
        <v/>
      </c>
      <c r="V85" s="26"/>
      <c r="W85" s="58"/>
      <c r="X85" s="58"/>
      <c r="Y85" s="58"/>
      <c r="Z85" s="58"/>
      <c r="AA85" s="69"/>
      <c r="AB85" s="58"/>
      <c r="AC85" s="58"/>
      <c r="AD85" s="70" t="str">
        <f aca="false">IF(AC85&lt;&gt;"",VLOOKUP(AC85,Selects!$B$4:$C$100,2,0),"")</f>
        <v/>
      </c>
      <c r="AE85" s="26"/>
      <c r="AF85" s="58"/>
      <c r="AG85" s="59"/>
      <c r="AH85" s="65"/>
      <c r="AI85" s="66"/>
      <c r="AJ85" s="66"/>
      <c r="AK85" s="58"/>
      <c r="AL85" s="58"/>
      <c r="AM85" s="68" t="str">
        <f aca="false">IF(LEFT(AL85,1)="9","Celular",IF(AL85="","","Fixo"))</f>
        <v/>
      </c>
      <c r="AN85" s="58" t="str">
        <f aca="false">IF( AM85&lt;&gt;"",VLOOKUP(AM85,Selects!$M$4:$N$1000,2,0),"")</f>
        <v/>
      </c>
      <c r="AO85" s="58"/>
      <c r="AP85" s="59"/>
      <c r="AQ85" s="65"/>
      <c r="AR85" s="58"/>
      <c r="AS85" s="58"/>
      <c r="AT85" s="26"/>
      <c r="AU85" s="58"/>
      <c r="AV85" s="58"/>
      <c r="AW85" s="58"/>
      <c r="AX85" s="58"/>
      <c r="AY85" s="71"/>
      <c r="AZ85" s="58"/>
      <c r="BA85" s="58"/>
      <c r="BB85" s="72" t="str">
        <f aca="false">IF(BA85&lt;&gt;"",VLOOKUP(BA85,Selects!$B$4:$C$100,2,0),"")</f>
        <v/>
      </c>
      <c r="BC85" s="26"/>
      <c r="BD85" s="26"/>
      <c r="BE85" s="73"/>
      <c r="BF85" s="74"/>
      <c r="BG85" s="75" t="str">
        <f aca="false">IF(LEN(BF85)=11,"PF",IF(LEN(BF85)=14,"PJ",""))</f>
        <v/>
      </c>
      <c r="BH85" s="66"/>
      <c r="BI85" s="58" t="str">
        <f aca="false">IF(BH85&lt;&gt;"",VLOOKUP(BH85,Selects!$G:$H,2,0),"")</f>
        <v/>
      </c>
      <c r="BJ85" s="58"/>
      <c r="BK85" s="58"/>
      <c r="BL85" s="59"/>
      <c r="BM85" s="58"/>
      <c r="BN85" s="58"/>
      <c r="BO85" s="58" t="str">
        <f aca="false">IF(BN85&lt;&gt;"",VLOOKUP(BN85,Selects!$J$4:$K$1000,2,0),"")</f>
        <v/>
      </c>
      <c r="BP85" s="76"/>
      <c r="BQ85" s="59"/>
      <c r="BR85" s="77"/>
      <c r="BS85" s="59"/>
      <c r="BT85" s="77"/>
      <c r="BU85" s="58"/>
      <c r="BV85" s="58"/>
      <c r="BW85" s="58"/>
      <c r="BX85" s="58"/>
      <c r="BY85" s="58"/>
      <c r="BZ85" s="58"/>
      <c r="CA85" s="58"/>
      <c r="CB85" s="72" t="str">
        <f aca="false">IF(AC85&lt;&gt;"",VLOOKUP(AC85,Selects!$B:$E,4,0),"")</f>
        <v/>
      </c>
      <c r="CC85" s="58"/>
      <c r="CD85" s="58"/>
      <c r="CE85" s="58"/>
    </row>
    <row r="86" customFormat="false" ht="15.75" hidden="false" customHeight="true" outlineLevel="0" collapsed="false">
      <c r="A86" s="17"/>
      <c r="B86" s="58"/>
      <c r="C86" s="58"/>
      <c r="D86" s="59"/>
      <c r="E86" s="60" t="str">
        <f aca="false">IF(LEN(D86)=11,"PF",IF(LEN(D86)=14,"PJ",""))</f>
        <v/>
      </c>
      <c r="F86" s="59"/>
      <c r="G86" s="59"/>
      <c r="H86" s="61" t="str">
        <f aca="false">IF(G86&lt;&gt;"",VLOOKUP(G86,'Cnae  mcc  id'!$A:$M,9,0),"")</f>
        <v/>
      </c>
      <c r="I86" s="62"/>
      <c r="J86" s="63" t="str">
        <f aca="false">IF(I86&lt;&gt;"",VLOOKUP(I86,'Legal Nature'!$E$2:$G$84,3,0),"")</f>
        <v/>
      </c>
      <c r="K86" s="64"/>
      <c r="L86" s="65"/>
      <c r="M86" s="66"/>
      <c r="N86" s="66"/>
      <c r="O86" s="79"/>
      <c r="P86" s="26"/>
      <c r="Q86" s="58"/>
      <c r="R86" s="58"/>
      <c r="S86" s="58"/>
      <c r="T86" s="68" t="str">
        <f aca="false">IF(LEFT(S86,1)="9","Celular",IF(S86="","","Fixo"))</f>
        <v/>
      </c>
      <c r="U86" s="58" t="str">
        <f aca="false">IF( T86&lt;&gt;"",VLOOKUP(T86,Selects!$M$4:$N$1000,2,0),"")</f>
        <v/>
      </c>
      <c r="V86" s="26"/>
      <c r="W86" s="58"/>
      <c r="X86" s="58"/>
      <c r="Y86" s="58"/>
      <c r="Z86" s="58"/>
      <c r="AA86" s="69"/>
      <c r="AB86" s="58"/>
      <c r="AC86" s="58"/>
      <c r="AD86" s="70" t="str">
        <f aca="false">IF(AC86&lt;&gt;"",VLOOKUP(AC86,Selects!$B$4:$C$100,2,0),"")</f>
        <v/>
      </c>
      <c r="AE86" s="26"/>
      <c r="AF86" s="58"/>
      <c r="AG86" s="59"/>
      <c r="AH86" s="65"/>
      <c r="AI86" s="66"/>
      <c r="AJ86" s="66"/>
      <c r="AK86" s="58"/>
      <c r="AL86" s="58"/>
      <c r="AM86" s="68" t="str">
        <f aca="false">IF(LEFT(AL86,1)="9","Celular",IF(AL86="","","Fixo"))</f>
        <v/>
      </c>
      <c r="AN86" s="58" t="str">
        <f aca="false">IF( AM86&lt;&gt;"",VLOOKUP(AM86,Selects!$M$4:$N$1000,2,0),"")</f>
        <v/>
      </c>
      <c r="AO86" s="58"/>
      <c r="AP86" s="59"/>
      <c r="AQ86" s="65"/>
      <c r="AR86" s="58"/>
      <c r="AS86" s="58"/>
      <c r="AT86" s="26"/>
      <c r="AU86" s="58"/>
      <c r="AV86" s="58"/>
      <c r="AW86" s="58"/>
      <c r="AX86" s="58"/>
      <c r="AY86" s="71"/>
      <c r="AZ86" s="58"/>
      <c r="BA86" s="58"/>
      <c r="BB86" s="72" t="str">
        <f aca="false">IF(BA86&lt;&gt;"",VLOOKUP(BA86,Selects!$B$4:$C$100,2,0),"")</f>
        <v/>
      </c>
      <c r="BC86" s="26"/>
      <c r="BD86" s="26"/>
      <c r="BE86" s="73"/>
      <c r="BF86" s="74"/>
      <c r="BG86" s="75" t="str">
        <f aca="false">IF(LEN(BF86)=11,"PF",IF(LEN(BF86)=14,"PJ",""))</f>
        <v/>
      </c>
      <c r="BH86" s="66"/>
      <c r="BI86" s="58" t="str">
        <f aca="false">IF(BH86&lt;&gt;"",VLOOKUP(BH86,Selects!$G:$H,2,0),"")</f>
        <v/>
      </c>
      <c r="BJ86" s="58"/>
      <c r="BK86" s="58"/>
      <c r="BL86" s="59"/>
      <c r="BM86" s="58"/>
      <c r="BN86" s="58"/>
      <c r="BO86" s="58" t="str">
        <f aca="false">IF(BN86&lt;&gt;"",VLOOKUP(BN86,Selects!$J$4:$K$1000,2,0),"")</f>
        <v/>
      </c>
      <c r="BP86" s="76"/>
      <c r="BQ86" s="59"/>
      <c r="BR86" s="77"/>
      <c r="BS86" s="59"/>
      <c r="BT86" s="77"/>
      <c r="BU86" s="58"/>
      <c r="BV86" s="58"/>
      <c r="BW86" s="58"/>
      <c r="BX86" s="58"/>
      <c r="BY86" s="58"/>
      <c r="BZ86" s="58"/>
      <c r="CA86" s="58"/>
      <c r="CB86" s="72" t="str">
        <f aca="false">IF(AC86&lt;&gt;"",VLOOKUP(AC86,Selects!$B:$E,4,0),"")</f>
        <v/>
      </c>
      <c r="CC86" s="58"/>
      <c r="CD86" s="58"/>
      <c r="CE86" s="58"/>
    </row>
    <row r="87" customFormat="false" ht="15.75" hidden="false" customHeight="true" outlineLevel="0" collapsed="false">
      <c r="A87" s="17"/>
      <c r="B87" s="58"/>
      <c r="C87" s="58"/>
      <c r="D87" s="59"/>
      <c r="E87" s="60" t="str">
        <f aca="false">IF(LEN(D87)=11,"PF",IF(LEN(D87)=14,"PJ",""))</f>
        <v/>
      </c>
      <c r="F87" s="59"/>
      <c r="G87" s="59"/>
      <c r="H87" s="61" t="str">
        <f aca="false">IF(G87&lt;&gt;"",VLOOKUP(G87,'Cnae  mcc  id'!$A:$M,9,0),"")</f>
        <v/>
      </c>
      <c r="I87" s="62"/>
      <c r="J87" s="63" t="str">
        <f aca="false">IF(I87&lt;&gt;"",VLOOKUP(I87,'Legal Nature'!$E$2:$G$84,3,0),"")</f>
        <v/>
      </c>
      <c r="K87" s="64"/>
      <c r="L87" s="65"/>
      <c r="M87" s="66"/>
      <c r="N87" s="66"/>
      <c r="O87" s="79"/>
      <c r="P87" s="26"/>
      <c r="Q87" s="58"/>
      <c r="R87" s="58"/>
      <c r="S87" s="58"/>
      <c r="T87" s="68" t="str">
        <f aca="false">IF(LEFT(S87,1)="9","Celular",IF(S87="","","Fixo"))</f>
        <v/>
      </c>
      <c r="U87" s="58" t="str">
        <f aca="false">IF( T87&lt;&gt;"",VLOOKUP(T87,Selects!$M$4:$N$1000,2,0),"")</f>
        <v/>
      </c>
      <c r="V87" s="26"/>
      <c r="W87" s="58"/>
      <c r="X87" s="58"/>
      <c r="Y87" s="58"/>
      <c r="Z87" s="58"/>
      <c r="AA87" s="69"/>
      <c r="AB87" s="58"/>
      <c r="AC87" s="58"/>
      <c r="AD87" s="70" t="str">
        <f aca="false">IF(AC87&lt;&gt;"",VLOOKUP(AC87,Selects!$B$4:$C$100,2,0),"")</f>
        <v/>
      </c>
      <c r="AE87" s="26"/>
      <c r="AF87" s="58"/>
      <c r="AG87" s="59"/>
      <c r="AH87" s="65"/>
      <c r="AI87" s="66"/>
      <c r="AJ87" s="66"/>
      <c r="AK87" s="58"/>
      <c r="AL87" s="58"/>
      <c r="AM87" s="68" t="str">
        <f aca="false">IF(LEFT(AL87,1)="9","Celular",IF(AL87="","","Fixo"))</f>
        <v/>
      </c>
      <c r="AN87" s="58" t="str">
        <f aca="false">IF( AM87&lt;&gt;"",VLOOKUP(AM87,Selects!$M$4:$N$1000,2,0),"")</f>
        <v/>
      </c>
      <c r="AO87" s="58"/>
      <c r="AP87" s="59"/>
      <c r="AQ87" s="65"/>
      <c r="AR87" s="58"/>
      <c r="AS87" s="58"/>
      <c r="AT87" s="26"/>
      <c r="AU87" s="58"/>
      <c r="AV87" s="58"/>
      <c r="AW87" s="58"/>
      <c r="AX87" s="58"/>
      <c r="AY87" s="71"/>
      <c r="AZ87" s="58"/>
      <c r="BA87" s="58"/>
      <c r="BB87" s="72" t="str">
        <f aca="false">IF(BA87&lt;&gt;"",VLOOKUP(BA87,Selects!$B$4:$C$100,2,0),"")</f>
        <v/>
      </c>
      <c r="BC87" s="26"/>
      <c r="BD87" s="26"/>
      <c r="BE87" s="73"/>
      <c r="BF87" s="74"/>
      <c r="BG87" s="75" t="str">
        <f aca="false">IF(LEN(BF87)=11,"PF",IF(LEN(BF87)=14,"PJ",""))</f>
        <v/>
      </c>
      <c r="BH87" s="66"/>
      <c r="BI87" s="58" t="str">
        <f aca="false">IF(BH87&lt;&gt;"",VLOOKUP(BH87,Selects!$G:$H,2,0),"")</f>
        <v/>
      </c>
      <c r="BJ87" s="58"/>
      <c r="BK87" s="58"/>
      <c r="BL87" s="59"/>
      <c r="BM87" s="58"/>
      <c r="BN87" s="58"/>
      <c r="BO87" s="58" t="str">
        <f aca="false">IF(BN87&lt;&gt;"",VLOOKUP(BN87,Selects!$J$4:$K$1000,2,0),"")</f>
        <v/>
      </c>
      <c r="BP87" s="76"/>
      <c r="BQ87" s="59"/>
      <c r="BR87" s="77"/>
      <c r="BS87" s="59"/>
      <c r="BT87" s="77"/>
      <c r="BU87" s="58"/>
      <c r="BV87" s="58"/>
      <c r="BW87" s="58"/>
      <c r="BX87" s="58"/>
      <c r="BY87" s="58"/>
      <c r="BZ87" s="58"/>
      <c r="CA87" s="58"/>
      <c r="CB87" s="72" t="str">
        <f aca="false">IF(AC87&lt;&gt;"",VLOOKUP(AC87,Selects!$B:$E,4,0),"")</f>
        <v/>
      </c>
      <c r="CC87" s="58"/>
      <c r="CD87" s="58"/>
      <c r="CE87" s="58"/>
    </row>
    <row r="88" customFormat="false" ht="15.75" hidden="false" customHeight="true" outlineLevel="0" collapsed="false">
      <c r="A88" s="17"/>
      <c r="B88" s="58"/>
      <c r="C88" s="58"/>
      <c r="D88" s="59"/>
      <c r="E88" s="60" t="str">
        <f aca="false">IF(LEN(D88)=11,"PF",IF(LEN(D88)=14,"PJ",""))</f>
        <v/>
      </c>
      <c r="F88" s="59"/>
      <c r="G88" s="59"/>
      <c r="H88" s="61" t="str">
        <f aca="false">IF(G88&lt;&gt;"",VLOOKUP(G88,'Cnae  mcc  id'!$A:$M,9,0),"")</f>
        <v/>
      </c>
      <c r="I88" s="62"/>
      <c r="J88" s="63" t="str">
        <f aca="false">IF(I88&lt;&gt;"",VLOOKUP(I88,'Legal Nature'!$E$2:$G$84,3,0),"")</f>
        <v/>
      </c>
      <c r="K88" s="64"/>
      <c r="L88" s="65"/>
      <c r="M88" s="66"/>
      <c r="N88" s="66"/>
      <c r="O88" s="79"/>
      <c r="P88" s="26"/>
      <c r="Q88" s="58"/>
      <c r="R88" s="58"/>
      <c r="S88" s="58"/>
      <c r="T88" s="68" t="str">
        <f aca="false">IF(LEFT(S88,1)="9","Celular",IF(S88="","","Fixo"))</f>
        <v/>
      </c>
      <c r="U88" s="58" t="str">
        <f aca="false">IF( T88&lt;&gt;"",VLOOKUP(T88,Selects!$M$4:$N$1000,2,0),"")</f>
        <v/>
      </c>
      <c r="V88" s="26"/>
      <c r="W88" s="58"/>
      <c r="X88" s="58"/>
      <c r="Y88" s="58"/>
      <c r="Z88" s="58"/>
      <c r="AA88" s="69"/>
      <c r="AB88" s="58"/>
      <c r="AC88" s="58"/>
      <c r="AD88" s="70" t="str">
        <f aca="false">IF(AC88&lt;&gt;"",VLOOKUP(AC88,Selects!$B$4:$C$100,2,0),"")</f>
        <v/>
      </c>
      <c r="AE88" s="26"/>
      <c r="AF88" s="58"/>
      <c r="AG88" s="59"/>
      <c r="AH88" s="65"/>
      <c r="AI88" s="66"/>
      <c r="AJ88" s="66"/>
      <c r="AK88" s="58"/>
      <c r="AL88" s="58"/>
      <c r="AM88" s="68" t="str">
        <f aca="false">IF(LEFT(AL88,1)="9","Celular",IF(AL88="","","Fixo"))</f>
        <v/>
      </c>
      <c r="AN88" s="58" t="str">
        <f aca="false">IF( AM88&lt;&gt;"",VLOOKUP(AM88,Selects!$M$4:$N$1000,2,0),"")</f>
        <v/>
      </c>
      <c r="AO88" s="58"/>
      <c r="AP88" s="59"/>
      <c r="AQ88" s="65"/>
      <c r="AR88" s="58"/>
      <c r="AS88" s="58"/>
      <c r="AT88" s="26"/>
      <c r="AU88" s="58"/>
      <c r="AV88" s="58"/>
      <c r="AW88" s="58"/>
      <c r="AX88" s="58"/>
      <c r="AY88" s="71"/>
      <c r="AZ88" s="58"/>
      <c r="BA88" s="58"/>
      <c r="BB88" s="72" t="str">
        <f aca="false">IF(BA88&lt;&gt;"",VLOOKUP(BA88,Selects!$B$4:$C$100,2,0),"")</f>
        <v/>
      </c>
      <c r="BC88" s="26"/>
      <c r="BD88" s="26"/>
      <c r="BE88" s="73"/>
      <c r="BF88" s="74"/>
      <c r="BG88" s="75" t="str">
        <f aca="false">IF(LEN(BF88)=11,"PF",IF(LEN(BF88)=14,"PJ",""))</f>
        <v/>
      </c>
      <c r="BH88" s="66"/>
      <c r="BI88" s="58" t="str">
        <f aca="false">IF(BH88&lt;&gt;"",VLOOKUP(BH88,Selects!$G:$H,2,0),"")</f>
        <v/>
      </c>
      <c r="BJ88" s="58"/>
      <c r="BK88" s="58"/>
      <c r="BL88" s="59"/>
      <c r="BM88" s="58"/>
      <c r="BN88" s="58"/>
      <c r="BO88" s="58" t="str">
        <f aca="false">IF(BN88&lt;&gt;"",VLOOKUP(BN88,Selects!$J$4:$K$1000,2,0),"")</f>
        <v/>
      </c>
      <c r="BP88" s="76"/>
      <c r="BQ88" s="59"/>
      <c r="BR88" s="77"/>
      <c r="BS88" s="59"/>
      <c r="BT88" s="77"/>
      <c r="BU88" s="58"/>
      <c r="BV88" s="58"/>
      <c r="BW88" s="58"/>
      <c r="BX88" s="58"/>
      <c r="BY88" s="58"/>
      <c r="BZ88" s="58"/>
      <c r="CA88" s="58"/>
      <c r="CB88" s="72" t="str">
        <f aca="false">IF(AC88&lt;&gt;"",VLOOKUP(AC88,Selects!$B:$E,4,0),"")</f>
        <v/>
      </c>
      <c r="CC88" s="58"/>
      <c r="CD88" s="58"/>
      <c r="CE88" s="58"/>
    </row>
    <row r="89" customFormat="false" ht="15.75" hidden="false" customHeight="true" outlineLevel="0" collapsed="false">
      <c r="A89" s="17"/>
      <c r="B89" s="58"/>
      <c r="C89" s="58"/>
      <c r="D89" s="59"/>
      <c r="E89" s="60" t="str">
        <f aca="false">IF(LEN(D89)=11,"PF",IF(LEN(D89)=14,"PJ",""))</f>
        <v/>
      </c>
      <c r="F89" s="59"/>
      <c r="G89" s="59"/>
      <c r="H89" s="61" t="str">
        <f aca="false">IF(G89&lt;&gt;"",VLOOKUP(G89,'Cnae  mcc  id'!$A:$M,9,0),"")</f>
        <v/>
      </c>
      <c r="I89" s="62"/>
      <c r="J89" s="63" t="str">
        <f aca="false">IF(I89&lt;&gt;"",VLOOKUP(I89,'Legal Nature'!$E$2:$G$84,3,0),"")</f>
        <v/>
      </c>
      <c r="K89" s="64"/>
      <c r="L89" s="65"/>
      <c r="M89" s="66"/>
      <c r="N89" s="66"/>
      <c r="O89" s="79"/>
      <c r="P89" s="26"/>
      <c r="Q89" s="58"/>
      <c r="R89" s="58"/>
      <c r="S89" s="58"/>
      <c r="T89" s="68" t="str">
        <f aca="false">IF(LEFT(S89,1)="9","Celular",IF(S89="","","Fixo"))</f>
        <v/>
      </c>
      <c r="U89" s="58" t="str">
        <f aca="false">IF( T89&lt;&gt;"",VLOOKUP(T89,Selects!$M$4:$N$1000,2,0),"")</f>
        <v/>
      </c>
      <c r="V89" s="26"/>
      <c r="W89" s="58"/>
      <c r="X89" s="58"/>
      <c r="Y89" s="58"/>
      <c r="Z89" s="58"/>
      <c r="AA89" s="69"/>
      <c r="AB89" s="58"/>
      <c r="AC89" s="58"/>
      <c r="AD89" s="70" t="str">
        <f aca="false">IF(AC89&lt;&gt;"",VLOOKUP(AC89,Selects!$B$4:$C$100,2,0),"")</f>
        <v/>
      </c>
      <c r="AE89" s="26"/>
      <c r="AF89" s="58"/>
      <c r="AG89" s="59"/>
      <c r="AH89" s="65"/>
      <c r="AI89" s="66"/>
      <c r="AJ89" s="66"/>
      <c r="AK89" s="58"/>
      <c r="AL89" s="58"/>
      <c r="AM89" s="68" t="str">
        <f aca="false">IF(LEFT(AL89,1)="9","Celular",IF(AL89="","","Fixo"))</f>
        <v/>
      </c>
      <c r="AN89" s="58" t="str">
        <f aca="false">IF( AM89&lt;&gt;"",VLOOKUP(AM89,Selects!$M$4:$N$1000,2,0),"")</f>
        <v/>
      </c>
      <c r="AO89" s="58"/>
      <c r="AP89" s="59"/>
      <c r="AQ89" s="65"/>
      <c r="AR89" s="58"/>
      <c r="AS89" s="58"/>
      <c r="AT89" s="26"/>
      <c r="AU89" s="58"/>
      <c r="AV89" s="58"/>
      <c r="AW89" s="58"/>
      <c r="AX89" s="58"/>
      <c r="AY89" s="71"/>
      <c r="AZ89" s="58"/>
      <c r="BA89" s="58"/>
      <c r="BB89" s="72" t="str">
        <f aca="false">IF(BA89&lt;&gt;"",VLOOKUP(BA89,Selects!$B$4:$C$100,2,0),"")</f>
        <v/>
      </c>
      <c r="BC89" s="26"/>
      <c r="BD89" s="26"/>
      <c r="BE89" s="73"/>
      <c r="BF89" s="74"/>
      <c r="BG89" s="75" t="str">
        <f aca="false">IF(LEN(BF89)=11,"PF",IF(LEN(BF89)=14,"PJ",""))</f>
        <v/>
      </c>
      <c r="BH89" s="66"/>
      <c r="BI89" s="58" t="str">
        <f aca="false">IF(BH89&lt;&gt;"",VLOOKUP(BH89,Selects!$G:$H,2,0),"")</f>
        <v/>
      </c>
      <c r="BJ89" s="58"/>
      <c r="BK89" s="58"/>
      <c r="BL89" s="59"/>
      <c r="BM89" s="58"/>
      <c r="BN89" s="58"/>
      <c r="BO89" s="58" t="str">
        <f aca="false">IF(BN89&lt;&gt;"",VLOOKUP(BN89,Selects!$J$4:$K$1000,2,0),"")</f>
        <v/>
      </c>
      <c r="BP89" s="76"/>
      <c r="BQ89" s="59"/>
      <c r="BR89" s="77"/>
      <c r="BS89" s="59"/>
      <c r="BT89" s="77"/>
      <c r="BU89" s="58"/>
      <c r="BV89" s="58"/>
      <c r="BW89" s="58"/>
      <c r="BX89" s="58"/>
      <c r="BY89" s="58"/>
      <c r="BZ89" s="58"/>
      <c r="CA89" s="58"/>
      <c r="CB89" s="72" t="str">
        <f aca="false">IF(AC89&lt;&gt;"",VLOOKUP(AC89,Selects!$B:$E,4,0),"")</f>
        <v/>
      </c>
      <c r="CC89" s="58"/>
      <c r="CD89" s="58"/>
      <c r="CE89" s="58"/>
    </row>
    <row r="90" customFormat="false" ht="15.75" hidden="false" customHeight="true" outlineLevel="0" collapsed="false">
      <c r="A90" s="17"/>
      <c r="B90" s="58"/>
      <c r="C90" s="58"/>
      <c r="D90" s="59"/>
      <c r="E90" s="60" t="str">
        <f aca="false">IF(LEN(D90)=11,"PF",IF(LEN(D90)=14,"PJ",""))</f>
        <v/>
      </c>
      <c r="F90" s="59"/>
      <c r="G90" s="59"/>
      <c r="H90" s="61" t="str">
        <f aca="false">IF(G90&lt;&gt;"",VLOOKUP(G90,'Cnae  mcc  id'!$A:$M,9,0),"")</f>
        <v/>
      </c>
      <c r="I90" s="62"/>
      <c r="J90" s="63" t="str">
        <f aca="false">IF(I90&lt;&gt;"",VLOOKUP(I90,'Legal Nature'!$E$2:$G$84,3,0),"")</f>
        <v/>
      </c>
      <c r="K90" s="64"/>
      <c r="L90" s="65"/>
      <c r="M90" s="66"/>
      <c r="N90" s="66"/>
      <c r="O90" s="79"/>
      <c r="P90" s="26"/>
      <c r="Q90" s="58"/>
      <c r="R90" s="58"/>
      <c r="S90" s="58"/>
      <c r="T90" s="68" t="str">
        <f aca="false">IF(LEFT(S90,1)="9","Celular",IF(S90="","","Fixo"))</f>
        <v/>
      </c>
      <c r="U90" s="58" t="str">
        <f aca="false">IF( T90&lt;&gt;"",VLOOKUP(T90,Selects!$M$4:$N$1000,2,0),"")</f>
        <v/>
      </c>
      <c r="V90" s="26"/>
      <c r="W90" s="58"/>
      <c r="X90" s="58"/>
      <c r="Y90" s="58"/>
      <c r="Z90" s="58"/>
      <c r="AA90" s="69"/>
      <c r="AB90" s="58"/>
      <c r="AC90" s="58"/>
      <c r="AD90" s="70" t="str">
        <f aca="false">IF(AC90&lt;&gt;"",VLOOKUP(AC90,Selects!$B$4:$C$100,2,0),"")</f>
        <v/>
      </c>
      <c r="AE90" s="26"/>
      <c r="AF90" s="58"/>
      <c r="AG90" s="59"/>
      <c r="AH90" s="65"/>
      <c r="AI90" s="66"/>
      <c r="AJ90" s="66"/>
      <c r="AK90" s="58"/>
      <c r="AL90" s="58"/>
      <c r="AM90" s="68" t="str">
        <f aca="false">IF(LEFT(AL90,1)="9","Celular",IF(AL90="","","Fixo"))</f>
        <v/>
      </c>
      <c r="AN90" s="58" t="str">
        <f aca="false">IF( AM90&lt;&gt;"",VLOOKUP(AM90,Selects!$M$4:$N$1000,2,0),"")</f>
        <v/>
      </c>
      <c r="AO90" s="58"/>
      <c r="AP90" s="59"/>
      <c r="AQ90" s="65"/>
      <c r="AR90" s="58"/>
      <c r="AS90" s="58"/>
      <c r="AT90" s="26"/>
      <c r="AU90" s="58"/>
      <c r="AV90" s="58"/>
      <c r="AW90" s="58"/>
      <c r="AX90" s="58"/>
      <c r="AY90" s="71"/>
      <c r="AZ90" s="58"/>
      <c r="BA90" s="58"/>
      <c r="BB90" s="72" t="str">
        <f aca="false">IF(BA90&lt;&gt;"",VLOOKUP(BA90,Selects!$B$4:$C$100,2,0),"")</f>
        <v/>
      </c>
      <c r="BC90" s="26"/>
      <c r="BD90" s="26"/>
      <c r="BE90" s="73"/>
      <c r="BF90" s="74"/>
      <c r="BG90" s="75" t="str">
        <f aca="false">IF(LEN(BF90)=11,"PF",IF(LEN(BF90)=14,"PJ",""))</f>
        <v/>
      </c>
      <c r="BH90" s="66"/>
      <c r="BI90" s="58" t="str">
        <f aca="false">IF(BH90&lt;&gt;"",VLOOKUP(BH90,Selects!$G:$H,2,0),"")</f>
        <v/>
      </c>
      <c r="BJ90" s="58"/>
      <c r="BK90" s="58"/>
      <c r="BL90" s="59"/>
      <c r="BM90" s="58"/>
      <c r="BN90" s="58"/>
      <c r="BO90" s="58" t="str">
        <f aca="false">IF(BN90&lt;&gt;"",VLOOKUP(BN90,Selects!$J$4:$K$1000,2,0),"")</f>
        <v/>
      </c>
      <c r="BP90" s="76"/>
      <c r="BQ90" s="59"/>
      <c r="BR90" s="77"/>
      <c r="BS90" s="59"/>
      <c r="BT90" s="77"/>
      <c r="BU90" s="58"/>
      <c r="BV90" s="58"/>
      <c r="BW90" s="58"/>
      <c r="BX90" s="58"/>
      <c r="BY90" s="58"/>
      <c r="BZ90" s="58"/>
      <c r="CA90" s="58"/>
      <c r="CB90" s="72" t="str">
        <f aca="false">IF(AC90&lt;&gt;"",VLOOKUP(AC90,Selects!$B:$E,4,0),"")</f>
        <v/>
      </c>
      <c r="CC90" s="58"/>
      <c r="CD90" s="58"/>
      <c r="CE90" s="58"/>
    </row>
    <row r="91" customFormat="false" ht="15.75" hidden="false" customHeight="true" outlineLevel="0" collapsed="false">
      <c r="A91" s="17"/>
      <c r="B91" s="58"/>
      <c r="C91" s="58"/>
      <c r="D91" s="59"/>
      <c r="E91" s="60" t="str">
        <f aca="false">IF(LEN(D91)=11,"PF",IF(LEN(D91)=14,"PJ",""))</f>
        <v/>
      </c>
      <c r="F91" s="59"/>
      <c r="G91" s="59"/>
      <c r="H91" s="61" t="str">
        <f aca="false">IF(G91&lt;&gt;"",VLOOKUP(G91,'Cnae  mcc  id'!$A:$M,9,0),"")</f>
        <v/>
      </c>
      <c r="I91" s="62"/>
      <c r="J91" s="63" t="str">
        <f aca="false">IF(I91&lt;&gt;"",VLOOKUP(I91,'Legal Nature'!$E$2:$G$84,3,0),"")</f>
        <v/>
      </c>
      <c r="K91" s="64"/>
      <c r="L91" s="65"/>
      <c r="M91" s="66"/>
      <c r="N91" s="66"/>
      <c r="O91" s="79"/>
      <c r="P91" s="26"/>
      <c r="Q91" s="58"/>
      <c r="R91" s="58"/>
      <c r="S91" s="58"/>
      <c r="T91" s="68" t="str">
        <f aca="false">IF(LEFT(S91,1)="9","Celular",IF(S91="","","Fixo"))</f>
        <v/>
      </c>
      <c r="U91" s="58" t="str">
        <f aca="false">IF( T91&lt;&gt;"",VLOOKUP(T91,Selects!$M$4:$N$1000,2,0),"")</f>
        <v/>
      </c>
      <c r="V91" s="26"/>
      <c r="W91" s="58"/>
      <c r="X91" s="58"/>
      <c r="Y91" s="58"/>
      <c r="Z91" s="58"/>
      <c r="AA91" s="69"/>
      <c r="AB91" s="58"/>
      <c r="AC91" s="58"/>
      <c r="AD91" s="70" t="str">
        <f aca="false">IF(AC91&lt;&gt;"",VLOOKUP(AC91,Selects!$B$4:$C$100,2,0),"")</f>
        <v/>
      </c>
      <c r="AE91" s="26"/>
      <c r="AF91" s="58"/>
      <c r="AG91" s="59"/>
      <c r="AH91" s="65"/>
      <c r="AI91" s="66"/>
      <c r="AJ91" s="66"/>
      <c r="AK91" s="58"/>
      <c r="AL91" s="58"/>
      <c r="AM91" s="68" t="str">
        <f aca="false">IF(LEFT(AL91,1)="9","Celular",IF(AL91="","","Fixo"))</f>
        <v/>
      </c>
      <c r="AN91" s="58" t="str">
        <f aca="false">IF( AM91&lt;&gt;"",VLOOKUP(AM91,Selects!$M$4:$N$1000,2,0),"")</f>
        <v/>
      </c>
      <c r="AO91" s="58"/>
      <c r="AP91" s="59"/>
      <c r="AQ91" s="65"/>
      <c r="AR91" s="58"/>
      <c r="AS91" s="58"/>
      <c r="AT91" s="26"/>
      <c r="AU91" s="58"/>
      <c r="AV91" s="58"/>
      <c r="AW91" s="58"/>
      <c r="AX91" s="58"/>
      <c r="AY91" s="71"/>
      <c r="AZ91" s="58"/>
      <c r="BA91" s="58"/>
      <c r="BB91" s="72" t="str">
        <f aca="false">IF(BA91&lt;&gt;"",VLOOKUP(BA91,Selects!$B$4:$C$100,2,0),"")</f>
        <v/>
      </c>
      <c r="BC91" s="26"/>
      <c r="BD91" s="26"/>
      <c r="BE91" s="73"/>
      <c r="BF91" s="74"/>
      <c r="BG91" s="75" t="str">
        <f aca="false">IF(LEN(BF91)=11,"PF",IF(LEN(BF91)=14,"PJ",""))</f>
        <v/>
      </c>
      <c r="BH91" s="66"/>
      <c r="BI91" s="58" t="str">
        <f aca="false">IF(BH91&lt;&gt;"",VLOOKUP(BH91,Selects!$G:$H,2,0),"")</f>
        <v/>
      </c>
      <c r="BJ91" s="58"/>
      <c r="BK91" s="58"/>
      <c r="BL91" s="59"/>
      <c r="BM91" s="58"/>
      <c r="BN91" s="58"/>
      <c r="BO91" s="58" t="str">
        <f aca="false">IF(BN91&lt;&gt;"",VLOOKUP(BN91,Selects!$J$4:$K$1000,2,0),"")</f>
        <v/>
      </c>
      <c r="BP91" s="76"/>
      <c r="BQ91" s="59"/>
      <c r="BR91" s="77"/>
      <c r="BS91" s="59"/>
      <c r="BT91" s="77"/>
      <c r="BU91" s="58"/>
      <c r="BV91" s="58"/>
      <c r="BW91" s="58"/>
      <c r="BX91" s="58"/>
      <c r="BY91" s="58"/>
      <c r="BZ91" s="58"/>
      <c r="CA91" s="58"/>
      <c r="CB91" s="72" t="str">
        <f aca="false">IF(AC91&lt;&gt;"",VLOOKUP(AC91,Selects!$B:$E,4,0),"")</f>
        <v/>
      </c>
      <c r="CC91" s="58"/>
      <c r="CD91" s="58"/>
      <c r="CE91" s="58"/>
    </row>
    <row r="92" customFormat="false" ht="15.75" hidden="false" customHeight="true" outlineLevel="0" collapsed="false">
      <c r="A92" s="17"/>
      <c r="B92" s="58"/>
      <c r="C92" s="58"/>
      <c r="D92" s="59"/>
      <c r="E92" s="60" t="str">
        <f aca="false">IF(LEN(D92)=11,"PF",IF(LEN(D92)=14,"PJ",""))</f>
        <v/>
      </c>
      <c r="F92" s="59"/>
      <c r="G92" s="59"/>
      <c r="H92" s="61" t="str">
        <f aca="false">IF(G92&lt;&gt;"",VLOOKUP(G92,'Cnae  mcc  id'!$A:$M,9,0),"")</f>
        <v/>
      </c>
      <c r="I92" s="62"/>
      <c r="J92" s="63" t="str">
        <f aca="false">IF(I92&lt;&gt;"",VLOOKUP(I92,'Legal Nature'!$E$2:$G$84,3,0),"")</f>
        <v/>
      </c>
      <c r="K92" s="64"/>
      <c r="L92" s="65"/>
      <c r="M92" s="66"/>
      <c r="N92" s="66"/>
      <c r="O92" s="79"/>
      <c r="P92" s="26"/>
      <c r="Q92" s="58"/>
      <c r="R92" s="58"/>
      <c r="S92" s="58"/>
      <c r="T92" s="68" t="str">
        <f aca="false">IF(LEFT(S92,1)="9","Celular",IF(S92="","","Fixo"))</f>
        <v/>
      </c>
      <c r="U92" s="58" t="str">
        <f aca="false">IF( T92&lt;&gt;"",VLOOKUP(T92,Selects!$M$4:$N$1000,2,0),"")</f>
        <v/>
      </c>
      <c r="V92" s="26"/>
      <c r="W92" s="58"/>
      <c r="X92" s="58"/>
      <c r="Y92" s="58"/>
      <c r="Z92" s="58"/>
      <c r="AA92" s="69"/>
      <c r="AB92" s="58"/>
      <c r="AC92" s="58"/>
      <c r="AD92" s="70" t="str">
        <f aca="false">IF(AC92&lt;&gt;"",VLOOKUP(AC92,Selects!$B$4:$C$100,2,0),"")</f>
        <v/>
      </c>
      <c r="AE92" s="26"/>
      <c r="AF92" s="58"/>
      <c r="AG92" s="59"/>
      <c r="AH92" s="65"/>
      <c r="AI92" s="66"/>
      <c r="AJ92" s="66"/>
      <c r="AK92" s="58"/>
      <c r="AL92" s="58"/>
      <c r="AM92" s="68" t="str">
        <f aca="false">IF(LEFT(AL92,1)="9","Celular",IF(AL92="","","Fixo"))</f>
        <v/>
      </c>
      <c r="AN92" s="58" t="str">
        <f aca="false">IF( AM92&lt;&gt;"",VLOOKUP(AM92,Selects!$M$4:$N$1000,2,0),"")</f>
        <v/>
      </c>
      <c r="AO92" s="58"/>
      <c r="AP92" s="59"/>
      <c r="AQ92" s="65"/>
      <c r="AR92" s="58"/>
      <c r="AS92" s="58"/>
      <c r="AT92" s="26"/>
      <c r="AU92" s="58"/>
      <c r="AV92" s="58"/>
      <c r="AW92" s="58"/>
      <c r="AX92" s="58"/>
      <c r="AY92" s="71"/>
      <c r="AZ92" s="58"/>
      <c r="BA92" s="58"/>
      <c r="BB92" s="72" t="str">
        <f aca="false">IF(BA92&lt;&gt;"",VLOOKUP(BA92,Selects!$B$4:$C$100,2,0),"")</f>
        <v/>
      </c>
      <c r="BC92" s="26"/>
      <c r="BD92" s="26"/>
      <c r="BE92" s="73"/>
      <c r="BF92" s="74"/>
      <c r="BG92" s="75" t="str">
        <f aca="false">IF(LEN(BF92)=11,"PF",IF(LEN(BF92)=14,"PJ",""))</f>
        <v/>
      </c>
      <c r="BH92" s="66"/>
      <c r="BI92" s="58" t="str">
        <f aca="false">IF(BH92&lt;&gt;"",VLOOKUP(BH92,Selects!$G:$H,2,0),"")</f>
        <v/>
      </c>
      <c r="BJ92" s="58"/>
      <c r="BK92" s="58"/>
      <c r="BL92" s="59"/>
      <c r="BM92" s="58"/>
      <c r="BN92" s="58"/>
      <c r="BO92" s="58" t="str">
        <f aca="false">IF(BN92&lt;&gt;"",VLOOKUP(BN92,Selects!$J$4:$K$1000,2,0),"")</f>
        <v/>
      </c>
      <c r="BP92" s="76"/>
      <c r="BQ92" s="59"/>
      <c r="BR92" s="77"/>
      <c r="BS92" s="59"/>
      <c r="BT92" s="77"/>
      <c r="BU92" s="58"/>
      <c r="BV92" s="58"/>
      <c r="BW92" s="58"/>
      <c r="BX92" s="58"/>
      <c r="BY92" s="58"/>
      <c r="BZ92" s="58"/>
      <c r="CA92" s="58"/>
      <c r="CB92" s="72" t="str">
        <f aca="false">IF(AC92&lt;&gt;"",VLOOKUP(AC92,Selects!$B:$E,4,0),"")</f>
        <v/>
      </c>
      <c r="CC92" s="58"/>
      <c r="CD92" s="58"/>
      <c r="CE92" s="58"/>
    </row>
    <row r="93" customFormat="false" ht="15.75" hidden="false" customHeight="true" outlineLevel="0" collapsed="false">
      <c r="A93" s="17"/>
      <c r="B93" s="58"/>
      <c r="C93" s="58"/>
      <c r="D93" s="59"/>
      <c r="E93" s="60" t="str">
        <f aca="false">IF(LEN(D93)=11,"PF",IF(LEN(D93)=14,"PJ",""))</f>
        <v/>
      </c>
      <c r="F93" s="59"/>
      <c r="G93" s="59"/>
      <c r="H93" s="61" t="str">
        <f aca="false">IF(G93&lt;&gt;"",VLOOKUP(G93,'Cnae  mcc  id'!$A:$M,9,0),"")</f>
        <v/>
      </c>
      <c r="I93" s="62"/>
      <c r="J93" s="63" t="str">
        <f aca="false">IF(I93&lt;&gt;"",VLOOKUP(I93,'Legal Nature'!$E$2:$G$84,3,0),"")</f>
        <v/>
      </c>
      <c r="K93" s="64"/>
      <c r="L93" s="65"/>
      <c r="M93" s="66"/>
      <c r="N93" s="66"/>
      <c r="O93" s="79"/>
      <c r="P93" s="26"/>
      <c r="Q93" s="58"/>
      <c r="R93" s="58"/>
      <c r="S93" s="58"/>
      <c r="T93" s="68" t="str">
        <f aca="false">IF(LEFT(S93,1)="9","Celular",IF(S93="","","Fixo"))</f>
        <v/>
      </c>
      <c r="U93" s="58" t="str">
        <f aca="false">IF( T93&lt;&gt;"",VLOOKUP(T93,Selects!$M$4:$N$1000,2,0),"")</f>
        <v/>
      </c>
      <c r="V93" s="26"/>
      <c r="W93" s="58"/>
      <c r="X93" s="58"/>
      <c r="Y93" s="58"/>
      <c r="Z93" s="58"/>
      <c r="AA93" s="69"/>
      <c r="AB93" s="58"/>
      <c r="AC93" s="58"/>
      <c r="AD93" s="70" t="str">
        <f aca="false">IF(AC93&lt;&gt;"",VLOOKUP(AC93,Selects!$B$4:$C$100,2,0),"")</f>
        <v/>
      </c>
      <c r="AE93" s="26"/>
      <c r="AF93" s="58"/>
      <c r="AG93" s="59"/>
      <c r="AH93" s="65"/>
      <c r="AI93" s="66"/>
      <c r="AJ93" s="66"/>
      <c r="AK93" s="58"/>
      <c r="AL93" s="58"/>
      <c r="AM93" s="68" t="str">
        <f aca="false">IF(LEFT(AL93,1)="9","Celular",IF(AL93="","","Fixo"))</f>
        <v/>
      </c>
      <c r="AN93" s="58" t="str">
        <f aca="false">IF( AM93&lt;&gt;"",VLOOKUP(AM93,Selects!$M$4:$N$1000,2,0),"")</f>
        <v/>
      </c>
      <c r="AO93" s="58"/>
      <c r="AP93" s="59"/>
      <c r="AQ93" s="65"/>
      <c r="AR93" s="58"/>
      <c r="AS93" s="58"/>
      <c r="AT93" s="26"/>
      <c r="AU93" s="58"/>
      <c r="AV93" s="58"/>
      <c r="AW93" s="58"/>
      <c r="AX93" s="58"/>
      <c r="AY93" s="71"/>
      <c r="AZ93" s="58"/>
      <c r="BA93" s="58"/>
      <c r="BB93" s="72" t="str">
        <f aca="false">IF(BA93&lt;&gt;"",VLOOKUP(BA93,Selects!$B$4:$C$100,2,0),"")</f>
        <v/>
      </c>
      <c r="BC93" s="26"/>
      <c r="BD93" s="26"/>
      <c r="BE93" s="73"/>
      <c r="BF93" s="74"/>
      <c r="BG93" s="75" t="str">
        <f aca="false">IF(LEN(BF93)=11,"PF",IF(LEN(BF93)=14,"PJ",""))</f>
        <v/>
      </c>
      <c r="BH93" s="66"/>
      <c r="BI93" s="58" t="str">
        <f aca="false">IF(BH93&lt;&gt;"",VLOOKUP(BH93,Selects!$G:$H,2,0),"")</f>
        <v/>
      </c>
      <c r="BJ93" s="58"/>
      <c r="BK93" s="58"/>
      <c r="BL93" s="59"/>
      <c r="BM93" s="58"/>
      <c r="BN93" s="58"/>
      <c r="BO93" s="58" t="str">
        <f aca="false">IF(BN93&lt;&gt;"",VLOOKUP(BN93,Selects!$J$4:$K$1000,2,0),"")</f>
        <v/>
      </c>
      <c r="BP93" s="76"/>
      <c r="BQ93" s="59"/>
      <c r="BR93" s="77"/>
      <c r="BS93" s="59"/>
      <c r="BT93" s="77"/>
      <c r="BU93" s="58"/>
      <c r="BV93" s="58"/>
      <c r="BW93" s="58"/>
      <c r="BX93" s="58"/>
      <c r="BY93" s="58"/>
      <c r="BZ93" s="58"/>
      <c r="CA93" s="58"/>
      <c r="CB93" s="72" t="str">
        <f aca="false">IF(AC93&lt;&gt;"",VLOOKUP(AC93,Selects!$B:$E,4,0),"")</f>
        <v/>
      </c>
      <c r="CC93" s="58"/>
      <c r="CD93" s="58"/>
      <c r="CE93" s="58"/>
    </row>
    <row r="94" customFormat="false" ht="15.75" hidden="false" customHeight="true" outlineLevel="0" collapsed="false">
      <c r="A94" s="17"/>
      <c r="B94" s="58"/>
      <c r="C94" s="58"/>
      <c r="D94" s="59"/>
      <c r="E94" s="60" t="str">
        <f aca="false">IF(LEN(D94)=11,"PF",IF(LEN(D94)=14,"PJ",""))</f>
        <v/>
      </c>
      <c r="F94" s="59"/>
      <c r="G94" s="59"/>
      <c r="H94" s="61" t="str">
        <f aca="false">IF(G94&lt;&gt;"",VLOOKUP(G94,'Cnae  mcc  id'!$A:$M,9,0),"")</f>
        <v/>
      </c>
      <c r="I94" s="62"/>
      <c r="J94" s="63" t="str">
        <f aca="false">IF(I94&lt;&gt;"",VLOOKUP(I94,'Legal Nature'!$E$2:$G$84,3,0),"")</f>
        <v/>
      </c>
      <c r="K94" s="64"/>
      <c r="L94" s="65"/>
      <c r="M94" s="66"/>
      <c r="N94" s="66"/>
      <c r="O94" s="79"/>
      <c r="P94" s="26"/>
      <c r="Q94" s="58"/>
      <c r="R94" s="58"/>
      <c r="S94" s="58"/>
      <c r="T94" s="68" t="str">
        <f aca="false">IF(LEFT(S94,1)="9","Celular",IF(S94="","","Fixo"))</f>
        <v/>
      </c>
      <c r="U94" s="58" t="str">
        <f aca="false">IF( T94&lt;&gt;"",VLOOKUP(T94,Selects!$M$4:$N$1000,2,0),"")</f>
        <v/>
      </c>
      <c r="V94" s="26"/>
      <c r="W94" s="58"/>
      <c r="X94" s="58"/>
      <c r="Y94" s="58"/>
      <c r="Z94" s="58"/>
      <c r="AA94" s="69"/>
      <c r="AB94" s="58"/>
      <c r="AC94" s="58"/>
      <c r="AD94" s="70" t="str">
        <f aca="false">IF(AC94&lt;&gt;"",VLOOKUP(AC94,Selects!$B$4:$C$100,2,0),"")</f>
        <v/>
      </c>
      <c r="AE94" s="26"/>
      <c r="AF94" s="58"/>
      <c r="AG94" s="59"/>
      <c r="AH94" s="65"/>
      <c r="AI94" s="66"/>
      <c r="AJ94" s="66"/>
      <c r="AK94" s="58"/>
      <c r="AL94" s="58"/>
      <c r="AM94" s="68" t="str">
        <f aca="false">IF(LEFT(AL94,1)="9","Celular",IF(AL94="","","Fixo"))</f>
        <v/>
      </c>
      <c r="AN94" s="58" t="str">
        <f aca="false">IF( AM94&lt;&gt;"",VLOOKUP(AM94,Selects!$M$4:$N$1000,2,0),"")</f>
        <v/>
      </c>
      <c r="AO94" s="58"/>
      <c r="AP94" s="59"/>
      <c r="AQ94" s="65"/>
      <c r="AR94" s="58"/>
      <c r="AS94" s="58"/>
      <c r="AT94" s="26"/>
      <c r="AU94" s="58"/>
      <c r="AV94" s="58"/>
      <c r="AW94" s="58"/>
      <c r="AX94" s="58"/>
      <c r="AY94" s="71"/>
      <c r="AZ94" s="58"/>
      <c r="BA94" s="58"/>
      <c r="BB94" s="72" t="str">
        <f aca="false">IF(BA94&lt;&gt;"",VLOOKUP(BA94,Selects!$B$4:$C$100,2,0),"")</f>
        <v/>
      </c>
      <c r="BC94" s="26"/>
      <c r="BD94" s="26"/>
      <c r="BE94" s="73"/>
      <c r="BF94" s="74"/>
      <c r="BG94" s="75" t="str">
        <f aca="false">IF(LEN(BF94)=11,"PF",IF(LEN(BF94)=14,"PJ",""))</f>
        <v/>
      </c>
      <c r="BH94" s="66"/>
      <c r="BI94" s="58" t="str">
        <f aca="false">IF(BH94&lt;&gt;"",VLOOKUP(BH94,Selects!$G:$H,2,0),"")</f>
        <v/>
      </c>
      <c r="BJ94" s="58"/>
      <c r="BK94" s="58"/>
      <c r="BL94" s="59"/>
      <c r="BM94" s="58"/>
      <c r="BN94" s="58"/>
      <c r="BO94" s="58" t="str">
        <f aca="false">IF(BN94&lt;&gt;"",VLOOKUP(BN94,Selects!$J$4:$K$1000,2,0),"")</f>
        <v/>
      </c>
      <c r="BP94" s="76"/>
      <c r="BQ94" s="59"/>
      <c r="BR94" s="77"/>
      <c r="BS94" s="59"/>
      <c r="BT94" s="77"/>
      <c r="BU94" s="58"/>
      <c r="BV94" s="58"/>
      <c r="BW94" s="58"/>
      <c r="BX94" s="58"/>
      <c r="BY94" s="58"/>
      <c r="BZ94" s="58"/>
      <c r="CA94" s="58"/>
      <c r="CB94" s="72" t="str">
        <f aca="false">IF(AC94&lt;&gt;"",VLOOKUP(AC94,Selects!$B:$E,4,0),"")</f>
        <v/>
      </c>
      <c r="CC94" s="58"/>
      <c r="CD94" s="58"/>
      <c r="CE94" s="58"/>
    </row>
    <row r="95" customFormat="false" ht="15.75" hidden="false" customHeight="true" outlineLevel="0" collapsed="false">
      <c r="A95" s="17"/>
      <c r="B95" s="58"/>
      <c r="C95" s="58"/>
      <c r="D95" s="59"/>
      <c r="E95" s="60" t="str">
        <f aca="false">IF(LEN(D95)=11,"PF",IF(LEN(D95)=14,"PJ",""))</f>
        <v/>
      </c>
      <c r="F95" s="59"/>
      <c r="G95" s="59"/>
      <c r="H95" s="61" t="str">
        <f aca="false">IF(G95&lt;&gt;"",VLOOKUP(G95,'Cnae  mcc  id'!$A:$M,9,0),"")</f>
        <v/>
      </c>
      <c r="I95" s="62"/>
      <c r="J95" s="63" t="str">
        <f aca="false">IF(I95&lt;&gt;"",VLOOKUP(I95,'Legal Nature'!$E$2:$G$84,3,0),"")</f>
        <v/>
      </c>
      <c r="K95" s="64"/>
      <c r="L95" s="65"/>
      <c r="M95" s="66"/>
      <c r="N95" s="66"/>
      <c r="O95" s="79"/>
      <c r="P95" s="26"/>
      <c r="Q95" s="58"/>
      <c r="R95" s="58"/>
      <c r="S95" s="58"/>
      <c r="T95" s="68" t="str">
        <f aca="false">IF(LEFT(S95,1)="9","Celular",IF(S95="","","Fixo"))</f>
        <v/>
      </c>
      <c r="U95" s="58" t="str">
        <f aca="false">IF( T95&lt;&gt;"",VLOOKUP(T95,Selects!$M$4:$N$1000,2,0),"")</f>
        <v/>
      </c>
      <c r="V95" s="26"/>
      <c r="W95" s="58"/>
      <c r="X95" s="58"/>
      <c r="Y95" s="58"/>
      <c r="Z95" s="58"/>
      <c r="AA95" s="69"/>
      <c r="AB95" s="58"/>
      <c r="AC95" s="58"/>
      <c r="AD95" s="70" t="str">
        <f aca="false">IF(AC95&lt;&gt;"",VLOOKUP(AC95,Selects!$B$4:$C$100,2,0),"")</f>
        <v/>
      </c>
      <c r="AE95" s="26"/>
      <c r="AF95" s="58"/>
      <c r="AG95" s="59"/>
      <c r="AH95" s="65"/>
      <c r="AI95" s="66"/>
      <c r="AJ95" s="66"/>
      <c r="AK95" s="58"/>
      <c r="AL95" s="58"/>
      <c r="AM95" s="68" t="str">
        <f aca="false">IF(LEFT(AL95,1)="9","Celular",IF(AL95="","","Fixo"))</f>
        <v/>
      </c>
      <c r="AN95" s="58" t="str">
        <f aca="false">IF( AM95&lt;&gt;"",VLOOKUP(AM95,Selects!$M$4:$N$1000,2,0),"")</f>
        <v/>
      </c>
      <c r="AO95" s="58"/>
      <c r="AP95" s="59"/>
      <c r="AQ95" s="65"/>
      <c r="AR95" s="58"/>
      <c r="AS95" s="58"/>
      <c r="AT95" s="26"/>
      <c r="AU95" s="58"/>
      <c r="AV95" s="58"/>
      <c r="AW95" s="58"/>
      <c r="AX95" s="58"/>
      <c r="AY95" s="71"/>
      <c r="AZ95" s="58"/>
      <c r="BA95" s="58"/>
      <c r="BB95" s="72" t="str">
        <f aca="false">IF(BA95&lt;&gt;"",VLOOKUP(BA95,Selects!$B$4:$C$100,2,0),"")</f>
        <v/>
      </c>
      <c r="BC95" s="26"/>
      <c r="BD95" s="26"/>
      <c r="BE95" s="73"/>
      <c r="BF95" s="74"/>
      <c r="BG95" s="75" t="str">
        <f aca="false">IF(LEN(BF95)=11,"PF",IF(LEN(BF95)=14,"PJ",""))</f>
        <v/>
      </c>
      <c r="BH95" s="66"/>
      <c r="BI95" s="58" t="str">
        <f aca="false">IF(BH95&lt;&gt;"",VLOOKUP(BH95,Selects!$G:$H,2,0),"")</f>
        <v/>
      </c>
      <c r="BJ95" s="58"/>
      <c r="BK95" s="58"/>
      <c r="BL95" s="59"/>
      <c r="BM95" s="58"/>
      <c r="BN95" s="58"/>
      <c r="BO95" s="58" t="str">
        <f aca="false">IF(BN95&lt;&gt;"",VLOOKUP(BN95,Selects!$J$4:$K$1000,2,0),"")</f>
        <v/>
      </c>
      <c r="BP95" s="76"/>
      <c r="BQ95" s="59"/>
      <c r="BR95" s="77"/>
      <c r="BS95" s="59"/>
      <c r="BT95" s="77"/>
      <c r="BU95" s="58"/>
      <c r="BV95" s="58"/>
      <c r="BW95" s="58"/>
      <c r="BX95" s="58"/>
      <c r="BY95" s="58"/>
      <c r="BZ95" s="58"/>
      <c r="CA95" s="58"/>
      <c r="CB95" s="72" t="str">
        <f aca="false">IF(AC95&lt;&gt;"",VLOOKUP(AC95,Selects!$B:$E,4,0),"")</f>
        <v/>
      </c>
      <c r="CC95" s="58"/>
      <c r="CD95" s="58"/>
      <c r="CE95" s="58"/>
    </row>
    <row r="96" customFormat="false" ht="15.75" hidden="false" customHeight="true" outlineLevel="0" collapsed="false">
      <c r="A96" s="17"/>
      <c r="B96" s="58"/>
      <c r="C96" s="58"/>
      <c r="D96" s="59"/>
      <c r="E96" s="60" t="str">
        <f aca="false">IF(LEN(D96)=11,"PF",IF(LEN(D96)=14,"PJ",""))</f>
        <v/>
      </c>
      <c r="F96" s="59"/>
      <c r="G96" s="59"/>
      <c r="H96" s="61" t="str">
        <f aca="false">IF(G96&lt;&gt;"",VLOOKUP(G96,'Cnae  mcc  id'!$A:$M,9,0),"")</f>
        <v/>
      </c>
      <c r="I96" s="62"/>
      <c r="J96" s="63" t="str">
        <f aca="false">IF(I96&lt;&gt;"",VLOOKUP(I96,'Legal Nature'!$E$2:$G$84,3,0),"")</f>
        <v/>
      </c>
      <c r="K96" s="64"/>
      <c r="L96" s="65"/>
      <c r="M96" s="66"/>
      <c r="N96" s="66"/>
      <c r="O96" s="79"/>
      <c r="P96" s="26"/>
      <c r="Q96" s="58"/>
      <c r="R96" s="58"/>
      <c r="S96" s="58"/>
      <c r="T96" s="68" t="str">
        <f aca="false">IF(LEFT(S96,1)="9","Celular",IF(S96="","","Fixo"))</f>
        <v/>
      </c>
      <c r="U96" s="58" t="str">
        <f aca="false">IF( T96&lt;&gt;"",VLOOKUP(T96,Selects!$M$4:$N$1000,2,0),"")</f>
        <v/>
      </c>
      <c r="V96" s="26"/>
      <c r="W96" s="58"/>
      <c r="X96" s="58"/>
      <c r="Y96" s="58"/>
      <c r="Z96" s="58"/>
      <c r="AA96" s="69"/>
      <c r="AB96" s="58"/>
      <c r="AC96" s="58"/>
      <c r="AD96" s="70" t="str">
        <f aca="false">IF(AC96&lt;&gt;"",VLOOKUP(AC96,Selects!$B$4:$C$100,2,0),"")</f>
        <v/>
      </c>
      <c r="AE96" s="26"/>
      <c r="AF96" s="58"/>
      <c r="AG96" s="59"/>
      <c r="AH96" s="65"/>
      <c r="AI96" s="66"/>
      <c r="AJ96" s="66"/>
      <c r="AK96" s="58"/>
      <c r="AL96" s="58"/>
      <c r="AM96" s="68" t="str">
        <f aca="false">IF(LEFT(AL96,1)="9","Celular",IF(AL96="","","Fixo"))</f>
        <v/>
      </c>
      <c r="AN96" s="58" t="str">
        <f aca="false">IF( AM96&lt;&gt;"",VLOOKUP(AM96,Selects!$M$4:$N$1000,2,0),"")</f>
        <v/>
      </c>
      <c r="AO96" s="58"/>
      <c r="AP96" s="59"/>
      <c r="AQ96" s="65"/>
      <c r="AR96" s="58"/>
      <c r="AS96" s="58"/>
      <c r="AT96" s="26"/>
      <c r="AU96" s="58"/>
      <c r="AV96" s="58"/>
      <c r="AW96" s="58"/>
      <c r="AX96" s="58"/>
      <c r="AY96" s="71"/>
      <c r="AZ96" s="58"/>
      <c r="BA96" s="58"/>
      <c r="BB96" s="72" t="str">
        <f aca="false">IF(BA96&lt;&gt;"",VLOOKUP(BA96,Selects!$B$4:$C$100,2,0),"")</f>
        <v/>
      </c>
      <c r="BC96" s="26"/>
      <c r="BD96" s="26"/>
      <c r="BE96" s="73"/>
      <c r="BF96" s="74"/>
      <c r="BG96" s="75" t="str">
        <f aca="false">IF(LEN(BF96)=11,"PF",IF(LEN(BF96)=14,"PJ",""))</f>
        <v/>
      </c>
      <c r="BH96" s="66"/>
      <c r="BI96" s="58" t="str">
        <f aca="false">IF(BH96&lt;&gt;"",VLOOKUP(BH96,Selects!$G:$H,2,0),"")</f>
        <v/>
      </c>
      <c r="BJ96" s="58"/>
      <c r="BK96" s="58"/>
      <c r="BL96" s="59"/>
      <c r="BM96" s="58"/>
      <c r="BN96" s="58"/>
      <c r="BO96" s="58" t="str">
        <f aca="false">IF(BN96&lt;&gt;"",VLOOKUP(BN96,Selects!$J$4:$K$1000,2,0),"")</f>
        <v/>
      </c>
      <c r="BP96" s="76"/>
      <c r="BQ96" s="59"/>
      <c r="BR96" s="77"/>
      <c r="BS96" s="59"/>
      <c r="BT96" s="77"/>
      <c r="BU96" s="58"/>
      <c r="BV96" s="58"/>
      <c r="BW96" s="58"/>
      <c r="BX96" s="58"/>
      <c r="BY96" s="58"/>
      <c r="BZ96" s="58"/>
      <c r="CA96" s="58"/>
      <c r="CB96" s="72" t="str">
        <f aca="false">IF(AC96&lt;&gt;"",VLOOKUP(AC96,Selects!$B:$E,4,0),"")</f>
        <v/>
      </c>
      <c r="CC96" s="58"/>
      <c r="CD96" s="58"/>
      <c r="CE96" s="58"/>
    </row>
    <row r="97" customFormat="false" ht="15.75" hidden="false" customHeight="true" outlineLevel="0" collapsed="false">
      <c r="A97" s="17"/>
      <c r="B97" s="58"/>
      <c r="C97" s="58"/>
      <c r="D97" s="59"/>
      <c r="E97" s="60" t="str">
        <f aca="false">IF(LEN(D97)=11,"PF",IF(LEN(D97)=14,"PJ",""))</f>
        <v/>
      </c>
      <c r="F97" s="59"/>
      <c r="G97" s="59"/>
      <c r="H97" s="61" t="str">
        <f aca="false">IF(G97&lt;&gt;"",VLOOKUP(G97,'Cnae  mcc  id'!$A:$M,9,0),"")</f>
        <v/>
      </c>
      <c r="I97" s="62"/>
      <c r="J97" s="63" t="str">
        <f aca="false">IF(I97&lt;&gt;"",VLOOKUP(I97,'Legal Nature'!$E$2:$G$84,3,0),"")</f>
        <v/>
      </c>
      <c r="K97" s="64"/>
      <c r="L97" s="65"/>
      <c r="M97" s="66"/>
      <c r="N97" s="66"/>
      <c r="O97" s="79"/>
      <c r="P97" s="26"/>
      <c r="Q97" s="58"/>
      <c r="R97" s="58"/>
      <c r="S97" s="58"/>
      <c r="T97" s="68" t="str">
        <f aca="false">IF(LEFT(S97,1)="9","Celular",IF(S97="","","Fixo"))</f>
        <v/>
      </c>
      <c r="U97" s="58" t="str">
        <f aca="false">IF( T97&lt;&gt;"",VLOOKUP(T97,Selects!$M$4:$N$1000,2,0),"")</f>
        <v/>
      </c>
      <c r="V97" s="26"/>
      <c r="W97" s="58"/>
      <c r="X97" s="58"/>
      <c r="Y97" s="58"/>
      <c r="Z97" s="58"/>
      <c r="AA97" s="69"/>
      <c r="AB97" s="58"/>
      <c r="AC97" s="58"/>
      <c r="AD97" s="70" t="str">
        <f aca="false">IF(AC97&lt;&gt;"",VLOOKUP(AC97,Selects!$B$4:$C$100,2,0),"")</f>
        <v/>
      </c>
      <c r="AE97" s="26"/>
      <c r="AF97" s="58"/>
      <c r="AG97" s="59"/>
      <c r="AH97" s="65"/>
      <c r="AI97" s="66"/>
      <c r="AJ97" s="66"/>
      <c r="AK97" s="58"/>
      <c r="AL97" s="58"/>
      <c r="AM97" s="68" t="str">
        <f aca="false">IF(LEFT(AL97,1)="9","Celular",IF(AL97="","","Fixo"))</f>
        <v/>
      </c>
      <c r="AN97" s="58" t="str">
        <f aca="false">IF( AM97&lt;&gt;"",VLOOKUP(AM97,Selects!$M$4:$N$1000,2,0),"")</f>
        <v/>
      </c>
      <c r="AO97" s="58"/>
      <c r="AP97" s="59"/>
      <c r="AQ97" s="65"/>
      <c r="AR97" s="58"/>
      <c r="AS97" s="58"/>
      <c r="AT97" s="26"/>
      <c r="AU97" s="58"/>
      <c r="AV97" s="58"/>
      <c r="AW97" s="58"/>
      <c r="AX97" s="58"/>
      <c r="AY97" s="71"/>
      <c r="AZ97" s="58"/>
      <c r="BA97" s="58"/>
      <c r="BB97" s="72" t="str">
        <f aca="false">IF(BA97&lt;&gt;"",VLOOKUP(BA97,Selects!$B$4:$C$100,2,0),"")</f>
        <v/>
      </c>
      <c r="BC97" s="26"/>
      <c r="BD97" s="26"/>
      <c r="BE97" s="73"/>
      <c r="BF97" s="74"/>
      <c r="BG97" s="75" t="str">
        <f aca="false">IF(LEN(BF97)=11,"PF",IF(LEN(BF97)=14,"PJ",""))</f>
        <v/>
      </c>
      <c r="BH97" s="66"/>
      <c r="BI97" s="58" t="str">
        <f aca="false">IF(BH97&lt;&gt;"",VLOOKUP(BH97,Selects!$G:$H,2,0),"")</f>
        <v/>
      </c>
      <c r="BJ97" s="58"/>
      <c r="BK97" s="58"/>
      <c r="BL97" s="59"/>
      <c r="BM97" s="58"/>
      <c r="BN97" s="58"/>
      <c r="BO97" s="58" t="str">
        <f aca="false">IF(BN97&lt;&gt;"",VLOOKUP(BN97,Selects!$J$4:$K$1000,2,0),"")</f>
        <v/>
      </c>
      <c r="BP97" s="76"/>
      <c r="BQ97" s="59"/>
      <c r="BR97" s="77"/>
      <c r="BS97" s="59"/>
      <c r="BT97" s="77"/>
      <c r="BU97" s="58"/>
      <c r="BV97" s="58"/>
      <c r="BW97" s="58"/>
      <c r="BX97" s="58"/>
      <c r="BY97" s="58"/>
      <c r="BZ97" s="58"/>
      <c r="CA97" s="58"/>
      <c r="CB97" s="72" t="str">
        <f aca="false">IF(AC97&lt;&gt;"",VLOOKUP(AC97,Selects!$B:$E,4,0),"")</f>
        <v/>
      </c>
      <c r="CC97" s="58"/>
      <c r="CD97" s="58"/>
      <c r="CE97" s="58"/>
    </row>
    <row r="98" customFormat="false" ht="15.75" hidden="false" customHeight="true" outlineLevel="0" collapsed="false">
      <c r="A98" s="17"/>
      <c r="B98" s="58"/>
      <c r="C98" s="58"/>
      <c r="D98" s="59"/>
      <c r="E98" s="60" t="str">
        <f aca="false">IF(LEN(D98)=11,"PF",IF(LEN(D98)=14,"PJ",""))</f>
        <v/>
      </c>
      <c r="F98" s="59"/>
      <c r="G98" s="59"/>
      <c r="H98" s="61" t="str">
        <f aca="false">IF(G98&lt;&gt;"",VLOOKUP(G98,'Cnae  mcc  id'!$A:$M,9,0),"")</f>
        <v/>
      </c>
      <c r="I98" s="62"/>
      <c r="J98" s="63" t="str">
        <f aca="false">IF(I98&lt;&gt;"",VLOOKUP(I98,'Legal Nature'!$E$2:$G$84,3,0),"")</f>
        <v/>
      </c>
      <c r="K98" s="64"/>
      <c r="L98" s="65"/>
      <c r="M98" s="66"/>
      <c r="N98" s="66"/>
      <c r="O98" s="79"/>
      <c r="P98" s="26"/>
      <c r="Q98" s="58"/>
      <c r="R98" s="58"/>
      <c r="S98" s="58"/>
      <c r="T98" s="68" t="str">
        <f aca="false">IF(LEFT(S98,1)="9","Celular",IF(S98="","","Fixo"))</f>
        <v/>
      </c>
      <c r="U98" s="58" t="str">
        <f aca="false">IF( T98&lt;&gt;"",VLOOKUP(T98,Selects!$M$4:$N$1000,2,0),"")</f>
        <v/>
      </c>
      <c r="V98" s="26"/>
      <c r="W98" s="58"/>
      <c r="X98" s="58"/>
      <c r="Y98" s="58"/>
      <c r="Z98" s="58"/>
      <c r="AA98" s="69"/>
      <c r="AB98" s="58"/>
      <c r="AC98" s="58"/>
      <c r="AD98" s="70" t="str">
        <f aca="false">IF(AC98&lt;&gt;"",VLOOKUP(AC98,Selects!$B$4:$C$100,2,0),"")</f>
        <v/>
      </c>
      <c r="AE98" s="26"/>
      <c r="AF98" s="58"/>
      <c r="AG98" s="59"/>
      <c r="AH98" s="65"/>
      <c r="AI98" s="66"/>
      <c r="AJ98" s="66"/>
      <c r="AK98" s="58"/>
      <c r="AL98" s="58"/>
      <c r="AM98" s="68" t="str">
        <f aca="false">IF(LEFT(AL98,1)="9","Celular",IF(AL98="","","Fixo"))</f>
        <v/>
      </c>
      <c r="AN98" s="58" t="str">
        <f aca="false">IF( AM98&lt;&gt;"",VLOOKUP(AM98,Selects!$M$4:$N$1000,2,0),"")</f>
        <v/>
      </c>
      <c r="AO98" s="58"/>
      <c r="AP98" s="59"/>
      <c r="AQ98" s="65"/>
      <c r="AR98" s="58"/>
      <c r="AS98" s="58"/>
      <c r="AT98" s="26"/>
      <c r="AU98" s="58"/>
      <c r="AV98" s="58"/>
      <c r="AW98" s="58"/>
      <c r="AX98" s="58"/>
      <c r="AY98" s="71"/>
      <c r="AZ98" s="58"/>
      <c r="BA98" s="58"/>
      <c r="BB98" s="72" t="str">
        <f aca="false">IF(BA98&lt;&gt;"",VLOOKUP(BA98,Selects!$B$4:$C$100,2,0),"")</f>
        <v/>
      </c>
      <c r="BC98" s="26"/>
      <c r="BD98" s="26"/>
      <c r="BE98" s="73"/>
      <c r="BF98" s="74"/>
      <c r="BG98" s="75" t="str">
        <f aca="false">IF(LEN(BF98)=11,"PF",IF(LEN(BF98)=14,"PJ",""))</f>
        <v/>
      </c>
      <c r="BH98" s="66"/>
      <c r="BI98" s="58" t="str">
        <f aca="false">IF(BH98&lt;&gt;"",VLOOKUP(BH98,Selects!$G:$H,2,0),"")</f>
        <v/>
      </c>
      <c r="BJ98" s="58"/>
      <c r="BK98" s="58"/>
      <c r="BL98" s="59"/>
      <c r="BM98" s="58"/>
      <c r="BN98" s="58"/>
      <c r="BO98" s="58" t="str">
        <f aca="false">IF(BN98&lt;&gt;"",VLOOKUP(BN98,Selects!$J$4:$K$1000,2,0),"")</f>
        <v/>
      </c>
      <c r="BP98" s="76"/>
      <c r="BQ98" s="59"/>
      <c r="BR98" s="77"/>
      <c r="BS98" s="59"/>
      <c r="BT98" s="77"/>
      <c r="BU98" s="58"/>
      <c r="BV98" s="58"/>
      <c r="BW98" s="58"/>
      <c r="BX98" s="58"/>
      <c r="BY98" s="58"/>
      <c r="BZ98" s="58"/>
      <c r="CA98" s="58"/>
      <c r="CB98" s="72" t="str">
        <f aca="false">IF(AC98&lt;&gt;"",VLOOKUP(AC98,Selects!$B:$E,4,0),"")</f>
        <v/>
      </c>
      <c r="CC98" s="58"/>
      <c r="CD98" s="58"/>
      <c r="CE98" s="58"/>
    </row>
    <row r="99" customFormat="false" ht="15.75" hidden="false" customHeight="true" outlineLevel="0" collapsed="false">
      <c r="A99" s="17"/>
      <c r="B99" s="58"/>
      <c r="C99" s="58"/>
      <c r="D99" s="59"/>
      <c r="E99" s="60" t="str">
        <f aca="false">IF(LEN(D99)=11,"PF",IF(LEN(D99)=14,"PJ",""))</f>
        <v/>
      </c>
      <c r="F99" s="59"/>
      <c r="G99" s="59"/>
      <c r="H99" s="61" t="str">
        <f aca="false">IF(G99&lt;&gt;"",VLOOKUP(G99,'Cnae  mcc  id'!$A:$M,9,0),"")</f>
        <v/>
      </c>
      <c r="I99" s="62"/>
      <c r="J99" s="63" t="str">
        <f aca="false">IF(I99&lt;&gt;"",VLOOKUP(I99,'Legal Nature'!$E$2:$G$84,3,0),"")</f>
        <v/>
      </c>
      <c r="K99" s="64"/>
      <c r="L99" s="65"/>
      <c r="M99" s="66"/>
      <c r="N99" s="66"/>
      <c r="O99" s="79"/>
      <c r="P99" s="26"/>
      <c r="Q99" s="58"/>
      <c r="R99" s="58"/>
      <c r="S99" s="58"/>
      <c r="T99" s="68" t="str">
        <f aca="false">IF(LEFT(S99,1)="9","Celular",IF(S99="","","Fixo"))</f>
        <v/>
      </c>
      <c r="U99" s="58" t="str">
        <f aca="false">IF( T99&lt;&gt;"",VLOOKUP(T99,Selects!$M$4:$N$1000,2,0),"")</f>
        <v/>
      </c>
      <c r="V99" s="26"/>
      <c r="W99" s="58"/>
      <c r="X99" s="58"/>
      <c r="Y99" s="58"/>
      <c r="Z99" s="58"/>
      <c r="AA99" s="69"/>
      <c r="AB99" s="58"/>
      <c r="AC99" s="58"/>
      <c r="AD99" s="70" t="str">
        <f aca="false">IF(AC99&lt;&gt;"",VLOOKUP(AC99,Selects!$B$4:$C$100,2,0),"")</f>
        <v/>
      </c>
      <c r="AE99" s="26"/>
      <c r="AF99" s="58"/>
      <c r="AG99" s="59"/>
      <c r="AH99" s="65"/>
      <c r="AI99" s="66"/>
      <c r="AJ99" s="66"/>
      <c r="AK99" s="58"/>
      <c r="AL99" s="58"/>
      <c r="AM99" s="68" t="str">
        <f aca="false">IF(LEFT(AL99,1)="9","Celular",IF(AL99="","","Fixo"))</f>
        <v/>
      </c>
      <c r="AN99" s="58" t="str">
        <f aca="false">IF( AM99&lt;&gt;"",VLOOKUP(AM99,Selects!$M$4:$N$1000,2,0),"")</f>
        <v/>
      </c>
      <c r="AO99" s="58"/>
      <c r="AP99" s="59"/>
      <c r="AQ99" s="65"/>
      <c r="AR99" s="58"/>
      <c r="AS99" s="58"/>
      <c r="AT99" s="26"/>
      <c r="AU99" s="58"/>
      <c r="AV99" s="58"/>
      <c r="AW99" s="58"/>
      <c r="AX99" s="58"/>
      <c r="AY99" s="71"/>
      <c r="AZ99" s="58"/>
      <c r="BA99" s="58"/>
      <c r="BB99" s="72" t="str">
        <f aca="false">IF(BA99&lt;&gt;"",VLOOKUP(BA99,Selects!$B$4:$C$100,2,0),"")</f>
        <v/>
      </c>
      <c r="BC99" s="26"/>
      <c r="BD99" s="26"/>
      <c r="BE99" s="73"/>
      <c r="BF99" s="74"/>
      <c r="BG99" s="75" t="str">
        <f aca="false">IF(LEN(BF99)=11,"PF",IF(LEN(BF99)=14,"PJ",""))</f>
        <v/>
      </c>
      <c r="BH99" s="66"/>
      <c r="BI99" s="58" t="str">
        <f aca="false">IF(BH99&lt;&gt;"",VLOOKUP(BH99,Selects!$G:$H,2,0),"")</f>
        <v/>
      </c>
      <c r="BJ99" s="58"/>
      <c r="BK99" s="58"/>
      <c r="BL99" s="59"/>
      <c r="BM99" s="58"/>
      <c r="BN99" s="58"/>
      <c r="BO99" s="58" t="str">
        <f aca="false">IF(BN99&lt;&gt;"",VLOOKUP(BN99,Selects!$J$4:$K$1000,2,0),"")</f>
        <v/>
      </c>
      <c r="BP99" s="76"/>
      <c r="BQ99" s="59"/>
      <c r="BR99" s="77"/>
      <c r="BS99" s="59"/>
      <c r="BT99" s="77"/>
      <c r="BU99" s="58"/>
      <c r="BV99" s="58"/>
      <c r="BW99" s="58"/>
      <c r="BX99" s="58"/>
      <c r="BY99" s="58"/>
      <c r="BZ99" s="58"/>
      <c r="CA99" s="58"/>
      <c r="CB99" s="72" t="str">
        <f aca="false">IF(AC99&lt;&gt;"",VLOOKUP(AC99,Selects!$B:$E,4,0),"")</f>
        <v/>
      </c>
      <c r="CC99" s="58"/>
      <c r="CD99" s="58"/>
      <c r="CE99" s="58"/>
    </row>
    <row r="100" customFormat="false" ht="15.75" hidden="false" customHeight="true" outlineLevel="0" collapsed="false">
      <c r="A100" s="17"/>
      <c r="B100" s="58"/>
      <c r="C100" s="58"/>
      <c r="D100" s="59"/>
      <c r="E100" s="60" t="str">
        <f aca="false">IF(LEN(D100)=11,"PF",IF(LEN(D100)=14,"PJ",""))</f>
        <v/>
      </c>
      <c r="F100" s="59"/>
      <c r="G100" s="59"/>
      <c r="H100" s="61" t="str">
        <f aca="false">IF(G100&lt;&gt;"",VLOOKUP(G100,'Cnae  mcc  id'!$A:$M,9,0),"")</f>
        <v/>
      </c>
      <c r="I100" s="62"/>
      <c r="J100" s="63" t="str">
        <f aca="false">IF(I100&lt;&gt;"",VLOOKUP(I100,'Legal Nature'!$E$2:$G$84,3,0),"")</f>
        <v/>
      </c>
      <c r="K100" s="64"/>
      <c r="L100" s="65"/>
      <c r="M100" s="66"/>
      <c r="N100" s="66"/>
      <c r="O100" s="79"/>
      <c r="P100" s="26"/>
      <c r="Q100" s="58"/>
      <c r="R100" s="58"/>
      <c r="S100" s="58"/>
      <c r="T100" s="68" t="str">
        <f aca="false">IF(LEFT(S100,1)="9","Celular",IF(S100="","","Fixo"))</f>
        <v/>
      </c>
      <c r="U100" s="58" t="str">
        <f aca="false">IF( T100&lt;&gt;"",VLOOKUP(T100,Selects!$M$4:$N$1000,2,0),"")</f>
        <v/>
      </c>
      <c r="V100" s="26"/>
      <c r="W100" s="58"/>
      <c r="X100" s="58"/>
      <c r="Y100" s="58"/>
      <c r="Z100" s="58"/>
      <c r="AA100" s="69"/>
      <c r="AB100" s="58"/>
      <c r="AC100" s="58"/>
      <c r="AD100" s="70" t="str">
        <f aca="false">IF(AC100&lt;&gt;"",VLOOKUP(AC100,Selects!$B$4:$C$100,2,0),"")</f>
        <v/>
      </c>
      <c r="AE100" s="26"/>
      <c r="AF100" s="58"/>
      <c r="AG100" s="59"/>
      <c r="AH100" s="65"/>
      <c r="AI100" s="66"/>
      <c r="AJ100" s="66"/>
      <c r="AK100" s="58"/>
      <c r="AL100" s="58"/>
      <c r="AM100" s="68" t="str">
        <f aca="false">IF(LEFT(AL100,1)="9","Celular",IF(AL100="","","Fixo"))</f>
        <v/>
      </c>
      <c r="AN100" s="58" t="str">
        <f aca="false">IF( AM100&lt;&gt;"",VLOOKUP(AM100,Selects!$M$4:$N$1000,2,0),"")</f>
        <v/>
      </c>
      <c r="AO100" s="58"/>
      <c r="AP100" s="59"/>
      <c r="AQ100" s="65"/>
      <c r="AR100" s="58"/>
      <c r="AS100" s="58"/>
      <c r="AT100" s="26"/>
      <c r="AU100" s="58"/>
      <c r="AV100" s="58"/>
      <c r="AW100" s="58"/>
      <c r="AX100" s="58"/>
      <c r="AY100" s="71"/>
      <c r="AZ100" s="58"/>
      <c r="BA100" s="58"/>
      <c r="BB100" s="72" t="str">
        <f aca="false">IF(BA100&lt;&gt;"",VLOOKUP(BA100,Selects!$B$4:$C$100,2,0),"")</f>
        <v/>
      </c>
      <c r="BC100" s="26"/>
      <c r="BD100" s="26"/>
      <c r="BE100" s="73"/>
      <c r="BF100" s="74"/>
      <c r="BG100" s="75" t="str">
        <f aca="false">IF(LEN(BF100)=11,"PF",IF(LEN(BF100)=14,"PJ",""))</f>
        <v/>
      </c>
      <c r="BH100" s="66"/>
      <c r="BI100" s="58" t="str">
        <f aca="false">IF(BH100&lt;&gt;"",VLOOKUP(BH100,Selects!$G:$H,2,0),"")</f>
        <v/>
      </c>
      <c r="BJ100" s="58"/>
      <c r="BK100" s="58"/>
      <c r="BL100" s="59"/>
      <c r="BM100" s="58"/>
      <c r="BN100" s="58"/>
      <c r="BO100" s="58" t="str">
        <f aca="false">IF(BN100&lt;&gt;"",VLOOKUP(BN100,Selects!$J$4:$K$1000,2,0),"")</f>
        <v/>
      </c>
      <c r="BP100" s="76"/>
      <c r="BQ100" s="59"/>
      <c r="BR100" s="77"/>
      <c r="BS100" s="59"/>
      <c r="BT100" s="77"/>
      <c r="BU100" s="58"/>
      <c r="BV100" s="58"/>
      <c r="BW100" s="58"/>
      <c r="BX100" s="58"/>
      <c r="BY100" s="58"/>
      <c r="BZ100" s="58"/>
      <c r="CA100" s="58"/>
      <c r="CB100" s="72" t="str">
        <f aca="false">IF(AC100&lt;&gt;"",VLOOKUP(AC100,Selects!$B:$E,4,0),"")</f>
        <v/>
      </c>
      <c r="CC100" s="58"/>
      <c r="CD100" s="58"/>
      <c r="CE100" s="58"/>
    </row>
    <row r="101" customFormat="false" ht="15.75" hidden="false" customHeight="true" outlineLevel="0" collapsed="false">
      <c r="A101" s="17"/>
      <c r="B101" s="58"/>
      <c r="C101" s="58"/>
      <c r="D101" s="59"/>
      <c r="E101" s="60" t="str">
        <f aca="false">IF(LEN(D101)=11,"PF",IF(LEN(D101)=14,"PJ",""))</f>
        <v/>
      </c>
      <c r="F101" s="59"/>
      <c r="G101" s="59"/>
      <c r="H101" s="61" t="str">
        <f aca="false">IF(G101&lt;&gt;"",VLOOKUP(G101,'Cnae  mcc  id'!$A:$M,9,0),"")</f>
        <v/>
      </c>
      <c r="I101" s="62"/>
      <c r="J101" s="63" t="str">
        <f aca="false">IF(I101&lt;&gt;"",VLOOKUP(I101,'Legal Nature'!$E$2:$G$84,3,0),"")</f>
        <v/>
      </c>
      <c r="K101" s="64"/>
      <c r="L101" s="65"/>
      <c r="M101" s="66"/>
      <c r="N101" s="66"/>
      <c r="O101" s="79"/>
      <c r="P101" s="26"/>
      <c r="Q101" s="58"/>
      <c r="R101" s="58"/>
      <c r="S101" s="58"/>
      <c r="T101" s="68" t="str">
        <f aca="false">IF(LEFT(S101,1)="9","Celular",IF(S101="","","Fixo"))</f>
        <v/>
      </c>
      <c r="U101" s="58" t="str">
        <f aca="false">IF( T101&lt;&gt;"",VLOOKUP(T101,Selects!$M$4:$N$1000,2,0),"")</f>
        <v/>
      </c>
      <c r="V101" s="26"/>
      <c r="W101" s="58"/>
      <c r="X101" s="58"/>
      <c r="Y101" s="58"/>
      <c r="Z101" s="58"/>
      <c r="AA101" s="69"/>
      <c r="AB101" s="58"/>
      <c r="AC101" s="58"/>
      <c r="AD101" s="70" t="str">
        <f aca="false">IF(AC101&lt;&gt;"",VLOOKUP(AC101,Selects!$B$4:$C$100,2,0),"")</f>
        <v/>
      </c>
      <c r="AE101" s="26"/>
      <c r="AF101" s="58"/>
      <c r="AG101" s="59"/>
      <c r="AH101" s="65"/>
      <c r="AI101" s="66"/>
      <c r="AJ101" s="66"/>
      <c r="AK101" s="58"/>
      <c r="AL101" s="58"/>
      <c r="AM101" s="68" t="str">
        <f aca="false">IF(LEFT(AL101,1)="9","Celular",IF(AL101="","","Fixo"))</f>
        <v/>
      </c>
      <c r="AN101" s="58" t="str">
        <f aca="false">IF( AM101&lt;&gt;"",VLOOKUP(AM101,Selects!$M$4:$N$1000,2,0),"")</f>
        <v/>
      </c>
      <c r="AO101" s="58"/>
      <c r="AP101" s="59"/>
      <c r="AQ101" s="65"/>
      <c r="AR101" s="58"/>
      <c r="AS101" s="58"/>
      <c r="AT101" s="26"/>
      <c r="AU101" s="58"/>
      <c r="AV101" s="58"/>
      <c r="AW101" s="58"/>
      <c r="AX101" s="58"/>
      <c r="AY101" s="71"/>
      <c r="AZ101" s="58"/>
      <c r="BA101" s="58"/>
      <c r="BB101" s="72" t="str">
        <f aca="false">IF(BA101&lt;&gt;"",VLOOKUP(BA101,Selects!$B$4:$C$100,2,0),"")</f>
        <v/>
      </c>
      <c r="BC101" s="26"/>
      <c r="BD101" s="26"/>
      <c r="BE101" s="73"/>
      <c r="BF101" s="74"/>
      <c r="BG101" s="75" t="str">
        <f aca="false">IF(LEN(BF101)=11,"PF",IF(LEN(BF101)=14,"PJ",""))</f>
        <v/>
      </c>
      <c r="BH101" s="66"/>
      <c r="BI101" s="58" t="str">
        <f aca="false">IF(BH101&lt;&gt;"",VLOOKUP(BH101,Selects!$G:$H,2,0),"")</f>
        <v/>
      </c>
      <c r="BJ101" s="58"/>
      <c r="BK101" s="58"/>
      <c r="BL101" s="59"/>
      <c r="BM101" s="58"/>
      <c r="BN101" s="58"/>
      <c r="BO101" s="58" t="str">
        <f aca="false">IF(BN101&lt;&gt;"",VLOOKUP(BN101,Selects!$J$4:$K$1000,2,0),"")</f>
        <v/>
      </c>
      <c r="BP101" s="76"/>
      <c r="BQ101" s="59"/>
      <c r="BR101" s="77"/>
      <c r="BS101" s="59"/>
      <c r="BT101" s="77"/>
      <c r="BU101" s="58"/>
      <c r="BV101" s="58"/>
      <c r="BW101" s="58"/>
      <c r="BX101" s="58"/>
      <c r="BY101" s="58"/>
      <c r="BZ101" s="58"/>
      <c r="CA101" s="58"/>
      <c r="CB101" s="72" t="str">
        <f aca="false">IF(AC101&lt;&gt;"",VLOOKUP(AC101,Selects!$B:$E,4,0),"")</f>
        <v/>
      </c>
      <c r="CC101" s="58"/>
      <c r="CD101" s="58"/>
      <c r="CE101" s="58"/>
    </row>
    <row r="102" customFormat="false" ht="15.75" hidden="false" customHeight="true" outlineLevel="0" collapsed="false">
      <c r="A102" s="17"/>
      <c r="B102" s="58"/>
      <c r="C102" s="58"/>
      <c r="D102" s="59"/>
      <c r="E102" s="60" t="str">
        <f aca="false">IF(LEN(D102)=11,"PF",IF(LEN(D102)=14,"PJ",""))</f>
        <v/>
      </c>
      <c r="F102" s="59"/>
      <c r="G102" s="59"/>
      <c r="H102" s="61" t="str">
        <f aca="false">IF(G102&lt;&gt;"",VLOOKUP(G102,'Cnae  mcc  id'!$A:$M,9,0),"")</f>
        <v/>
      </c>
      <c r="I102" s="62"/>
      <c r="J102" s="63" t="str">
        <f aca="false">IF(I102&lt;&gt;"",VLOOKUP(I102,'Legal Nature'!$E$2:$G$84,3,0),"")</f>
        <v/>
      </c>
      <c r="K102" s="64"/>
      <c r="L102" s="65"/>
      <c r="M102" s="66"/>
      <c r="N102" s="66"/>
      <c r="O102" s="79"/>
      <c r="P102" s="26"/>
      <c r="Q102" s="58"/>
      <c r="R102" s="58"/>
      <c r="S102" s="58"/>
      <c r="T102" s="68" t="str">
        <f aca="false">IF(LEFT(S102,1)="9","Celular",IF(S102="","","Fixo"))</f>
        <v/>
      </c>
      <c r="U102" s="58" t="str">
        <f aca="false">IF( T102&lt;&gt;"",VLOOKUP(T102,Selects!$M$4:$N$1000,2,0),"")</f>
        <v/>
      </c>
      <c r="V102" s="26"/>
      <c r="W102" s="58"/>
      <c r="X102" s="58"/>
      <c r="Y102" s="58"/>
      <c r="Z102" s="58"/>
      <c r="AA102" s="69"/>
      <c r="AB102" s="58"/>
      <c r="AC102" s="58"/>
      <c r="AD102" s="70" t="str">
        <f aca="false">IF(AC102&lt;&gt;"",VLOOKUP(AC102,Selects!$B$4:$C$100,2,0),"")</f>
        <v/>
      </c>
      <c r="AE102" s="26"/>
      <c r="AF102" s="58"/>
      <c r="AG102" s="59"/>
      <c r="AH102" s="65"/>
      <c r="AI102" s="66"/>
      <c r="AJ102" s="66"/>
      <c r="AK102" s="58"/>
      <c r="AL102" s="58"/>
      <c r="AM102" s="68" t="str">
        <f aca="false">IF(LEFT(AL102,1)="9","Celular",IF(AL102="","","Fixo"))</f>
        <v/>
      </c>
      <c r="AN102" s="58" t="str">
        <f aca="false">IF( AM102&lt;&gt;"",VLOOKUP(AM102,Selects!$M$4:$N$1000,2,0),"")</f>
        <v/>
      </c>
      <c r="AO102" s="58"/>
      <c r="AP102" s="59"/>
      <c r="AQ102" s="65"/>
      <c r="AR102" s="58"/>
      <c r="AS102" s="58"/>
      <c r="AT102" s="26"/>
      <c r="AU102" s="58"/>
      <c r="AV102" s="58"/>
      <c r="AW102" s="58"/>
      <c r="AX102" s="58"/>
      <c r="AY102" s="71"/>
      <c r="AZ102" s="58"/>
      <c r="BA102" s="58"/>
      <c r="BB102" s="72" t="str">
        <f aca="false">IF(BA102&lt;&gt;"",VLOOKUP(BA102,Selects!$B$4:$C$100,2,0),"")</f>
        <v/>
      </c>
      <c r="BC102" s="26"/>
      <c r="BD102" s="26"/>
      <c r="BE102" s="73"/>
      <c r="BF102" s="74"/>
      <c r="BG102" s="75" t="str">
        <f aca="false">IF(LEN(BF102)=11,"PF",IF(LEN(BF102)=14,"PJ",""))</f>
        <v/>
      </c>
      <c r="BH102" s="66"/>
      <c r="BI102" s="58" t="str">
        <f aca="false">IF(BH102&lt;&gt;"",VLOOKUP(BH102,Selects!$G:$H,2,0),"")</f>
        <v/>
      </c>
      <c r="BJ102" s="58"/>
      <c r="BK102" s="58"/>
      <c r="BL102" s="59"/>
      <c r="BM102" s="58"/>
      <c r="BN102" s="58"/>
      <c r="BO102" s="58" t="str">
        <f aca="false">IF(BN102&lt;&gt;"",VLOOKUP(BN102,Selects!$J$4:$K$1000,2,0),"")</f>
        <v/>
      </c>
      <c r="BP102" s="76"/>
      <c r="BQ102" s="59"/>
      <c r="BR102" s="77"/>
      <c r="BS102" s="59"/>
      <c r="BT102" s="77"/>
      <c r="BU102" s="58"/>
      <c r="BV102" s="58"/>
      <c r="BW102" s="58"/>
      <c r="BX102" s="58"/>
      <c r="BY102" s="58"/>
      <c r="BZ102" s="58"/>
      <c r="CA102" s="58"/>
      <c r="CB102" s="72" t="str">
        <f aca="false">IF(AC102&lt;&gt;"",VLOOKUP(AC102,Selects!$B:$E,4,0),"")</f>
        <v/>
      </c>
      <c r="CC102" s="58"/>
      <c r="CD102" s="58"/>
      <c r="CE102" s="58"/>
    </row>
    <row r="103" customFormat="false" ht="15.75" hidden="false" customHeight="true" outlineLevel="0" collapsed="false">
      <c r="A103" s="17"/>
      <c r="B103" s="58"/>
      <c r="C103" s="58"/>
      <c r="D103" s="59"/>
      <c r="E103" s="60" t="str">
        <f aca="false">IF(LEN(D103)=11,"PF",IF(LEN(D103)=14,"PJ",""))</f>
        <v/>
      </c>
      <c r="F103" s="59"/>
      <c r="G103" s="59"/>
      <c r="H103" s="61" t="str">
        <f aca="false">IF(G103&lt;&gt;"",VLOOKUP(G103,'Cnae  mcc  id'!$A:$M,9,0),"")</f>
        <v/>
      </c>
      <c r="I103" s="62"/>
      <c r="J103" s="63" t="str">
        <f aca="false">IF(I103&lt;&gt;"",VLOOKUP(I103,'Legal Nature'!$E$2:$G$84,3,0),"")</f>
        <v/>
      </c>
      <c r="K103" s="64"/>
      <c r="L103" s="65"/>
      <c r="M103" s="66"/>
      <c r="N103" s="66"/>
      <c r="O103" s="79"/>
      <c r="P103" s="26"/>
      <c r="Q103" s="58"/>
      <c r="R103" s="58"/>
      <c r="S103" s="58"/>
      <c r="T103" s="68" t="str">
        <f aca="false">IF(LEFT(S103,1)="9","Celular",IF(S103="","","Fixo"))</f>
        <v/>
      </c>
      <c r="U103" s="58" t="str">
        <f aca="false">IF( T103&lt;&gt;"",VLOOKUP(T103,Selects!$M$4:$N$1000,2,0),"")</f>
        <v/>
      </c>
      <c r="V103" s="26"/>
      <c r="W103" s="58"/>
      <c r="X103" s="58"/>
      <c r="Y103" s="58"/>
      <c r="Z103" s="58"/>
      <c r="AA103" s="69"/>
      <c r="AB103" s="58"/>
      <c r="AC103" s="58"/>
      <c r="AD103" s="70" t="str">
        <f aca="false">IF(AC103&lt;&gt;"",VLOOKUP(AC103,Selects!$B$4:$C$100,2,0),"")</f>
        <v/>
      </c>
      <c r="AE103" s="26"/>
      <c r="AF103" s="58"/>
      <c r="AG103" s="59"/>
      <c r="AH103" s="65"/>
      <c r="AI103" s="66"/>
      <c r="AJ103" s="66"/>
      <c r="AK103" s="58"/>
      <c r="AL103" s="58"/>
      <c r="AM103" s="68" t="str">
        <f aca="false">IF(LEFT(AL103,1)="9","Celular",IF(AL103="","","Fixo"))</f>
        <v/>
      </c>
      <c r="AN103" s="58" t="str">
        <f aca="false">IF( AM103&lt;&gt;"",VLOOKUP(AM103,Selects!$M$4:$N$1000,2,0),"")</f>
        <v/>
      </c>
      <c r="AO103" s="58"/>
      <c r="AP103" s="59"/>
      <c r="AQ103" s="65"/>
      <c r="AR103" s="58"/>
      <c r="AS103" s="58"/>
      <c r="AT103" s="26"/>
      <c r="AU103" s="58"/>
      <c r="AV103" s="58"/>
      <c r="AW103" s="58"/>
      <c r="AX103" s="58"/>
      <c r="AY103" s="71"/>
      <c r="AZ103" s="58"/>
      <c r="BA103" s="58"/>
      <c r="BB103" s="72" t="str">
        <f aca="false">IF(BA103&lt;&gt;"",VLOOKUP(BA103,Selects!$B$4:$C$100,2,0),"")</f>
        <v/>
      </c>
      <c r="BC103" s="26"/>
      <c r="BD103" s="26"/>
      <c r="BE103" s="73"/>
      <c r="BF103" s="74"/>
      <c r="BG103" s="75" t="str">
        <f aca="false">IF(LEN(BF103)=11,"PF",IF(LEN(BF103)=14,"PJ",""))</f>
        <v/>
      </c>
      <c r="BH103" s="66"/>
      <c r="BI103" s="58" t="str">
        <f aca="false">IF(BH103&lt;&gt;"",VLOOKUP(BH103,Selects!$G:$H,2,0),"")</f>
        <v/>
      </c>
      <c r="BJ103" s="58"/>
      <c r="BK103" s="58"/>
      <c r="BL103" s="59"/>
      <c r="BM103" s="58"/>
      <c r="BN103" s="58"/>
      <c r="BO103" s="58" t="str">
        <f aca="false">IF(BN103&lt;&gt;"",VLOOKUP(BN103,Selects!$J$4:$K$1000,2,0),"")</f>
        <v/>
      </c>
      <c r="BP103" s="76"/>
      <c r="BQ103" s="59"/>
      <c r="BR103" s="77"/>
      <c r="BS103" s="59"/>
      <c r="BT103" s="77"/>
      <c r="BU103" s="58"/>
      <c r="BV103" s="58"/>
      <c r="BW103" s="58"/>
      <c r="BX103" s="58"/>
      <c r="BY103" s="58"/>
      <c r="BZ103" s="58"/>
      <c r="CA103" s="58"/>
      <c r="CB103" s="72" t="str">
        <f aca="false">IF(AC103&lt;&gt;"",VLOOKUP(AC103,Selects!$B:$E,4,0),"")</f>
        <v/>
      </c>
      <c r="CC103" s="58"/>
      <c r="CD103" s="58"/>
      <c r="CE103" s="58"/>
    </row>
    <row r="104" customFormat="false" ht="15.75" hidden="false" customHeight="true" outlineLevel="0" collapsed="false">
      <c r="A104" s="17"/>
      <c r="B104" s="58"/>
      <c r="C104" s="58"/>
      <c r="D104" s="59"/>
      <c r="E104" s="60" t="str">
        <f aca="false">IF(LEN(D104)=11,"PF",IF(LEN(D104)=14,"PJ",""))</f>
        <v/>
      </c>
      <c r="F104" s="59"/>
      <c r="G104" s="59"/>
      <c r="H104" s="61" t="str">
        <f aca="false">IF(G104&lt;&gt;"",VLOOKUP(G104,'Cnae  mcc  id'!$A:$M,9,0),"")</f>
        <v/>
      </c>
      <c r="I104" s="62"/>
      <c r="J104" s="63" t="str">
        <f aca="false">IF(I104&lt;&gt;"",VLOOKUP(I104,'Legal Nature'!$E$2:$G$84,3,0),"")</f>
        <v/>
      </c>
      <c r="K104" s="64"/>
      <c r="L104" s="65"/>
      <c r="M104" s="66"/>
      <c r="N104" s="66"/>
      <c r="O104" s="79"/>
      <c r="P104" s="26"/>
      <c r="Q104" s="58"/>
      <c r="R104" s="58"/>
      <c r="S104" s="58"/>
      <c r="T104" s="68" t="str">
        <f aca="false">IF(LEFT(S104,1)="9","Celular",IF(S104="","","Fixo"))</f>
        <v/>
      </c>
      <c r="U104" s="58" t="str">
        <f aca="false">IF( T104&lt;&gt;"",VLOOKUP(T104,Selects!$M$4:$N$1000,2,0),"")</f>
        <v/>
      </c>
      <c r="V104" s="26"/>
      <c r="W104" s="58"/>
      <c r="X104" s="58"/>
      <c r="Y104" s="58"/>
      <c r="Z104" s="58"/>
      <c r="AA104" s="69"/>
      <c r="AB104" s="58"/>
      <c r="AC104" s="58"/>
      <c r="AD104" s="70" t="str">
        <f aca="false">IF(AC104&lt;&gt;"",VLOOKUP(AC104,Selects!$B$4:$C$100,2,0),"")</f>
        <v/>
      </c>
      <c r="AE104" s="26"/>
      <c r="AF104" s="58"/>
      <c r="AG104" s="59"/>
      <c r="AH104" s="65"/>
      <c r="AI104" s="66"/>
      <c r="AJ104" s="66"/>
      <c r="AK104" s="58"/>
      <c r="AL104" s="58"/>
      <c r="AM104" s="68" t="str">
        <f aca="false">IF(LEFT(AL104,1)="9","Celular",IF(AL104="","","Fixo"))</f>
        <v/>
      </c>
      <c r="AN104" s="58" t="str">
        <f aca="false">IF( AM104&lt;&gt;"",VLOOKUP(AM104,Selects!$M$4:$N$1000,2,0),"")</f>
        <v/>
      </c>
      <c r="AO104" s="58"/>
      <c r="AP104" s="59"/>
      <c r="AQ104" s="65"/>
      <c r="AR104" s="58"/>
      <c r="AS104" s="58"/>
      <c r="AT104" s="26"/>
      <c r="AU104" s="58"/>
      <c r="AV104" s="58"/>
      <c r="AW104" s="58"/>
      <c r="AX104" s="58"/>
      <c r="AY104" s="71"/>
      <c r="AZ104" s="58"/>
      <c r="BA104" s="58"/>
      <c r="BB104" s="72" t="str">
        <f aca="false">IF(BA104&lt;&gt;"",VLOOKUP(BA104,Selects!$B$4:$C$100,2,0),"")</f>
        <v/>
      </c>
      <c r="BC104" s="26"/>
      <c r="BD104" s="26"/>
      <c r="BE104" s="73"/>
      <c r="BF104" s="74"/>
      <c r="BG104" s="75" t="str">
        <f aca="false">IF(LEN(BF104)=11,"PF",IF(LEN(BF104)=14,"PJ",""))</f>
        <v/>
      </c>
      <c r="BH104" s="66"/>
      <c r="BI104" s="58" t="str">
        <f aca="false">IF(BH104&lt;&gt;"",VLOOKUP(BH104,Selects!$G:$H,2,0),"")</f>
        <v/>
      </c>
      <c r="BJ104" s="58"/>
      <c r="BK104" s="58"/>
      <c r="BL104" s="59"/>
      <c r="BM104" s="58"/>
      <c r="BN104" s="58"/>
      <c r="BO104" s="58" t="str">
        <f aca="false">IF(BN104&lt;&gt;"",VLOOKUP(BN104,Selects!$J$4:$K$1000,2,0),"")</f>
        <v/>
      </c>
      <c r="BP104" s="76"/>
      <c r="BQ104" s="59"/>
      <c r="BR104" s="77"/>
      <c r="BS104" s="59"/>
      <c r="BT104" s="77"/>
      <c r="BU104" s="58"/>
      <c r="BV104" s="58"/>
      <c r="BW104" s="58"/>
      <c r="BX104" s="58"/>
      <c r="BY104" s="58"/>
      <c r="BZ104" s="58"/>
      <c r="CA104" s="58"/>
      <c r="CB104" s="72" t="str">
        <f aca="false">IF(AC104&lt;&gt;"",VLOOKUP(AC104,Selects!$B:$E,4,0),"")</f>
        <v/>
      </c>
      <c r="CC104" s="58"/>
      <c r="CD104" s="58"/>
      <c r="CE104" s="58"/>
    </row>
    <row r="105" customFormat="false" ht="15.75" hidden="false" customHeight="true" outlineLevel="0" collapsed="false">
      <c r="A105" s="17"/>
      <c r="B105" s="58"/>
      <c r="C105" s="58"/>
      <c r="D105" s="59"/>
      <c r="E105" s="60" t="str">
        <f aca="false">IF(LEN(D105)=11,"PF",IF(LEN(D105)=14,"PJ",""))</f>
        <v/>
      </c>
      <c r="F105" s="59"/>
      <c r="G105" s="59"/>
      <c r="H105" s="61" t="str">
        <f aca="false">IF(G105&lt;&gt;"",VLOOKUP(G105,'Cnae  mcc  id'!$A:$M,9,0),"")</f>
        <v/>
      </c>
      <c r="I105" s="62"/>
      <c r="J105" s="63" t="str">
        <f aca="false">IF(I105&lt;&gt;"",VLOOKUP(I105,'Legal Nature'!$E$2:$G$84,3,0),"")</f>
        <v/>
      </c>
      <c r="K105" s="64"/>
      <c r="L105" s="65"/>
      <c r="M105" s="66"/>
      <c r="N105" s="66"/>
      <c r="O105" s="79"/>
      <c r="P105" s="26"/>
      <c r="Q105" s="58"/>
      <c r="R105" s="58"/>
      <c r="S105" s="58"/>
      <c r="T105" s="68" t="str">
        <f aca="false">IF(LEFT(S105,1)="9","Celular",IF(S105="","","Fixo"))</f>
        <v/>
      </c>
      <c r="U105" s="58" t="str">
        <f aca="false">IF( T105&lt;&gt;"",VLOOKUP(T105,Selects!$M$4:$N$1000,2,0),"")</f>
        <v/>
      </c>
      <c r="V105" s="26"/>
      <c r="W105" s="58"/>
      <c r="X105" s="58"/>
      <c r="Y105" s="58"/>
      <c r="Z105" s="58"/>
      <c r="AA105" s="69"/>
      <c r="AB105" s="58"/>
      <c r="AC105" s="58"/>
      <c r="AD105" s="70" t="str">
        <f aca="false">IF(AC105&lt;&gt;"",VLOOKUP(AC105,Selects!$B$4:$C$100,2,0),"")</f>
        <v/>
      </c>
      <c r="AE105" s="26"/>
      <c r="AF105" s="58"/>
      <c r="AG105" s="59"/>
      <c r="AH105" s="65"/>
      <c r="AI105" s="66"/>
      <c r="AJ105" s="66"/>
      <c r="AK105" s="58"/>
      <c r="AL105" s="58"/>
      <c r="AM105" s="68" t="str">
        <f aca="false">IF(LEFT(AL105,1)="9","Celular",IF(AL105="","","Fixo"))</f>
        <v/>
      </c>
      <c r="AN105" s="58" t="str">
        <f aca="false">IF( AM105&lt;&gt;"",VLOOKUP(AM105,Selects!$M$4:$N$1000,2,0),"")</f>
        <v/>
      </c>
      <c r="AO105" s="58"/>
      <c r="AP105" s="59"/>
      <c r="AQ105" s="65"/>
      <c r="AR105" s="58"/>
      <c r="AS105" s="58"/>
      <c r="AT105" s="26"/>
      <c r="AU105" s="58"/>
      <c r="AV105" s="58"/>
      <c r="AW105" s="58"/>
      <c r="AX105" s="58"/>
      <c r="AY105" s="71"/>
      <c r="AZ105" s="58"/>
      <c r="BA105" s="58"/>
      <c r="BB105" s="72" t="str">
        <f aca="false">IF(BA105&lt;&gt;"",VLOOKUP(BA105,Selects!$B$4:$C$100,2,0),"")</f>
        <v/>
      </c>
      <c r="BC105" s="26"/>
      <c r="BD105" s="26"/>
      <c r="BE105" s="73"/>
      <c r="BF105" s="74"/>
      <c r="BG105" s="75" t="str">
        <f aca="false">IF(LEN(BF105)=11,"PF",IF(LEN(BF105)=14,"PJ",""))</f>
        <v/>
      </c>
      <c r="BH105" s="66"/>
      <c r="BI105" s="58" t="str">
        <f aca="false">IF(BH105&lt;&gt;"",VLOOKUP(BH105,Selects!$G:$H,2,0),"")</f>
        <v/>
      </c>
      <c r="BJ105" s="58"/>
      <c r="BK105" s="58"/>
      <c r="BL105" s="59"/>
      <c r="BM105" s="58"/>
      <c r="BN105" s="58"/>
      <c r="BO105" s="58" t="str">
        <f aca="false">IF(BN105&lt;&gt;"",VLOOKUP(BN105,Selects!$J$4:$K$1000,2,0),"")</f>
        <v/>
      </c>
      <c r="BP105" s="76"/>
      <c r="BQ105" s="59"/>
      <c r="BR105" s="77"/>
      <c r="BS105" s="59"/>
      <c r="BT105" s="77"/>
      <c r="BU105" s="58"/>
      <c r="BV105" s="58"/>
      <c r="BW105" s="58"/>
      <c r="BX105" s="58"/>
      <c r="BY105" s="58"/>
      <c r="BZ105" s="58"/>
      <c r="CA105" s="58"/>
      <c r="CB105" s="72" t="str">
        <f aca="false">IF(AC105&lt;&gt;"",VLOOKUP(AC105,Selects!$B:$E,4,0),"")</f>
        <v/>
      </c>
      <c r="CC105" s="58"/>
      <c r="CD105" s="58"/>
      <c r="CE105" s="58"/>
    </row>
    <row r="106" customFormat="false" ht="15.75" hidden="false" customHeight="true" outlineLevel="0" collapsed="false">
      <c r="A106" s="17"/>
      <c r="B106" s="58"/>
      <c r="C106" s="58"/>
      <c r="D106" s="59"/>
      <c r="E106" s="60" t="str">
        <f aca="false">IF(LEN(D106)=11,"PF",IF(LEN(D106)=14,"PJ",""))</f>
        <v/>
      </c>
      <c r="F106" s="59"/>
      <c r="G106" s="59"/>
      <c r="H106" s="61" t="str">
        <f aca="false">IF(G106&lt;&gt;"",VLOOKUP(G106,'Cnae  mcc  id'!$A:$M,9,0),"")</f>
        <v/>
      </c>
      <c r="I106" s="62"/>
      <c r="J106" s="63" t="str">
        <f aca="false">IF(I106&lt;&gt;"",VLOOKUP(I106,'Legal Nature'!$E$2:$G$84,3,0),"")</f>
        <v/>
      </c>
      <c r="K106" s="64"/>
      <c r="L106" s="65"/>
      <c r="M106" s="66"/>
      <c r="N106" s="66"/>
      <c r="O106" s="79"/>
      <c r="P106" s="26"/>
      <c r="Q106" s="58"/>
      <c r="R106" s="58"/>
      <c r="S106" s="58"/>
      <c r="T106" s="68" t="str">
        <f aca="false">IF(LEFT(S106,1)="9","Celular",IF(S106="","","Fixo"))</f>
        <v/>
      </c>
      <c r="U106" s="58" t="str">
        <f aca="false">IF( T106&lt;&gt;"",VLOOKUP(T106,Selects!$M$4:$N$1000,2,0),"")</f>
        <v/>
      </c>
      <c r="V106" s="26"/>
      <c r="W106" s="58"/>
      <c r="X106" s="58"/>
      <c r="Y106" s="58"/>
      <c r="Z106" s="58"/>
      <c r="AA106" s="69"/>
      <c r="AB106" s="58"/>
      <c r="AC106" s="58"/>
      <c r="AD106" s="70" t="str">
        <f aca="false">IF(AC106&lt;&gt;"",VLOOKUP(AC106,Selects!$B$4:$C$100,2,0),"")</f>
        <v/>
      </c>
      <c r="AE106" s="26"/>
      <c r="AF106" s="58"/>
      <c r="AG106" s="59"/>
      <c r="AH106" s="65"/>
      <c r="AI106" s="66"/>
      <c r="AJ106" s="66"/>
      <c r="AK106" s="58"/>
      <c r="AL106" s="58"/>
      <c r="AM106" s="68" t="str">
        <f aca="false">IF(LEFT(AL106,1)="9","Celular",IF(AL106="","","Fixo"))</f>
        <v/>
      </c>
      <c r="AN106" s="58" t="str">
        <f aca="false">IF( AM106&lt;&gt;"",VLOOKUP(AM106,Selects!$M$4:$N$1000,2,0),"")</f>
        <v/>
      </c>
      <c r="AO106" s="58"/>
      <c r="AP106" s="59"/>
      <c r="AQ106" s="65"/>
      <c r="AR106" s="58"/>
      <c r="AS106" s="58"/>
      <c r="AT106" s="26"/>
      <c r="AU106" s="58"/>
      <c r="AV106" s="58"/>
      <c r="AW106" s="58"/>
      <c r="AX106" s="58"/>
      <c r="AY106" s="71"/>
      <c r="AZ106" s="58"/>
      <c r="BA106" s="58"/>
      <c r="BB106" s="72" t="str">
        <f aca="false">IF(BA106&lt;&gt;"",VLOOKUP(BA106,Selects!$B$4:$C$100,2,0),"")</f>
        <v/>
      </c>
      <c r="BC106" s="26"/>
      <c r="BD106" s="26"/>
      <c r="BE106" s="73"/>
      <c r="BF106" s="74"/>
      <c r="BG106" s="75" t="str">
        <f aca="false">IF(LEN(BF106)=11,"PF",IF(LEN(BF106)=14,"PJ",""))</f>
        <v/>
      </c>
      <c r="BH106" s="66"/>
      <c r="BI106" s="58" t="str">
        <f aca="false">IF(BH106&lt;&gt;"",VLOOKUP(BH106,Selects!$G:$H,2,0),"")</f>
        <v/>
      </c>
      <c r="BJ106" s="58"/>
      <c r="BK106" s="58"/>
      <c r="BL106" s="59"/>
      <c r="BM106" s="58"/>
      <c r="BN106" s="58"/>
      <c r="BO106" s="58" t="str">
        <f aca="false">IF(BN106&lt;&gt;"",VLOOKUP(BN106,Selects!$J$4:$K$1000,2,0),"")</f>
        <v/>
      </c>
      <c r="BP106" s="76"/>
      <c r="BQ106" s="59"/>
      <c r="BR106" s="77"/>
      <c r="BS106" s="59"/>
      <c r="BT106" s="77"/>
      <c r="BU106" s="58"/>
      <c r="BV106" s="58"/>
      <c r="BW106" s="58"/>
      <c r="BX106" s="58"/>
      <c r="BY106" s="58"/>
      <c r="BZ106" s="58"/>
      <c r="CA106" s="58"/>
      <c r="CB106" s="72" t="str">
        <f aca="false">IF(AC106&lt;&gt;"",VLOOKUP(AC106,Selects!$B:$E,4,0),"")</f>
        <v/>
      </c>
      <c r="CC106" s="58"/>
      <c r="CD106" s="58"/>
      <c r="CE106" s="58"/>
    </row>
    <row r="107" customFormat="false" ht="15.75" hidden="false" customHeight="true" outlineLevel="0" collapsed="false">
      <c r="A107" s="17"/>
      <c r="B107" s="58"/>
      <c r="C107" s="58"/>
      <c r="D107" s="59"/>
      <c r="E107" s="60" t="str">
        <f aca="false">IF(LEN(D107)=11,"PF",IF(LEN(D107)=14,"PJ",""))</f>
        <v/>
      </c>
      <c r="F107" s="59"/>
      <c r="G107" s="59"/>
      <c r="H107" s="61" t="str">
        <f aca="false">IF(G107&lt;&gt;"",VLOOKUP(G107,'Cnae  mcc  id'!$A:$M,9,0),"")</f>
        <v/>
      </c>
      <c r="I107" s="62"/>
      <c r="J107" s="63" t="str">
        <f aca="false">IF(I107&lt;&gt;"",VLOOKUP(I107,'Legal Nature'!$E$2:$G$84,3,0),"")</f>
        <v/>
      </c>
      <c r="K107" s="64"/>
      <c r="L107" s="65"/>
      <c r="M107" s="66"/>
      <c r="N107" s="66"/>
      <c r="O107" s="79"/>
      <c r="P107" s="26"/>
      <c r="Q107" s="58"/>
      <c r="R107" s="58"/>
      <c r="S107" s="58"/>
      <c r="T107" s="68" t="str">
        <f aca="false">IF(LEFT(S107,1)="9","Celular",IF(S107="","","Fixo"))</f>
        <v/>
      </c>
      <c r="U107" s="58" t="str">
        <f aca="false">IF( T107&lt;&gt;"",VLOOKUP(T107,Selects!$M$4:$N$1000,2,0),"")</f>
        <v/>
      </c>
      <c r="V107" s="26"/>
      <c r="W107" s="58"/>
      <c r="X107" s="58"/>
      <c r="Y107" s="58"/>
      <c r="Z107" s="58"/>
      <c r="AA107" s="69"/>
      <c r="AB107" s="58"/>
      <c r="AC107" s="58"/>
      <c r="AD107" s="70" t="str">
        <f aca="false">IF(AC107&lt;&gt;"",VLOOKUP(AC107,Selects!$B$4:$C$100,2,0),"")</f>
        <v/>
      </c>
      <c r="AE107" s="26"/>
      <c r="AF107" s="58"/>
      <c r="AG107" s="59"/>
      <c r="AH107" s="65"/>
      <c r="AI107" s="66"/>
      <c r="AJ107" s="66"/>
      <c r="AK107" s="58"/>
      <c r="AL107" s="58"/>
      <c r="AM107" s="68" t="str">
        <f aca="false">IF(LEFT(AL107,1)="9","Celular",IF(AL107="","","Fixo"))</f>
        <v/>
      </c>
      <c r="AN107" s="58" t="str">
        <f aca="false">IF( AM107&lt;&gt;"",VLOOKUP(AM107,Selects!$M$4:$N$1000,2,0),"")</f>
        <v/>
      </c>
      <c r="AO107" s="58"/>
      <c r="AP107" s="59"/>
      <c r="AQ107" s="65"/>
      <c r="AR107" s="58"/>
      <c r="AS107" s="58"/>
      <c r="AT107" s="26"/>
      <c r="AU107" s="58"/>
      <c r="AV107" s="58"/>
      <c r="AW107" s="58"/>
      <c r="AX107" s="58"/>
      <c r="AY107" s="71"/>
      <c r="AZ107" s="58"/>
      <c r="BA107" s="58"/>
      <c r="BB107" s="72" t="str">
        <f aca="false">IF(BA107&lt;&gt;"",VLOOKUP(BA107,Selects!$B$4:$C$100,2,0),"")</f>
        <v/>
      </c>
      <c r="BC107" s="26"/>
      <c r="BD107" s="26"/>
      <c r="BE107" s="73"/>
      <c r="BF107" s="74"/>
      <c r="BG107" s="75" t="str">
        <f aca="false">IF(LEN(BF107)=11,"PF",IF(LEN(BF107)=14,"PJ",""))</f>
        <v/>
      </c>
      <c r="BH107" s="66"/>
      <c r="BI107" s="58" t="str">
        <f aca="false">IF(BH107&lt;&gt;"",VLOOKUP(BH107,Selects!$G:$H,2,0),"")</f>
        <v/>
      </c>
      <c r="BJ107" s="58"/>
      <c r="BK107" s="58"/>
      <c r="BL107" s="59"/>
      <c r="BM107" s="58"/>
      <c r="BN107" s="58"/>
      <c r="BO107" s="58" t="str">
        <f aca="false">IF(BN107&lt;&gt;"",VLOOKUP(BN107,Selects!$J$4:$K$1000,2,0),"")</f>
        <v/>
      </c>
      <c r="BP107" s="76"/>
      <c r="BQ107" s="59"/>
      <c r="BR107" s="77"/>
      <c r="BS107" s="59"/>
      <c r="BT107" s="77"/>
      <c r="BU107" s="58"/>
      <c r="BV107" s="58"/>
      <c r="BW107" s="58"/>
      <c r="BX107" s="58"/>
      <c r="BY107" s="58"/>
      <c r="BZ107" s="58"/>
      <c r="CA107" s="58"/>
      <c r="CB107" s="72" t="str">
        <f aca="false">IF(AC107&lt;&gt;"",VLOOKUP(AC107,Selects!$B:$E,4,0),"")</f>
        <v/>
      </c>
      <c r="CC107" s="58"/>
      <c r="CD107" s="58"/>
      <c r="CE107" s="58"/>
    </row>
    <row r="108" customFormat="false" ht="15.75" hidden="false" customHeight="true" outlineLevel="0" collapsed="false">
      <c r="A108" s="17"/>
      <c r="B108" s="58"/>
      <c r="C108" s="58"/>
      <c r="D108" s="59"/>
      <c r="E108" s="60" t="str">
        <f aca="false">IF(LEN(D108)=11,"PF",IF(LEN(D108)=14,"PJ",""))</f>
        <v/>
      </c>
      <c r="F108" s="59"/>
      <c r="G108" s="59"/>
      <c r="H108" s="61" t="str">
        <f aca="false">IF(G108&lt;&gt;"",VLOOKUP(G108,'Cnae  mcc  id'!$A:$M,9,0),"")</f>
        <v/>
      </c>
      <c r="I108" s="62"/>
      <c r="J108" s="63" t="str">
        <f aca="false">IF(I108&lt;&gt;"",VLOOKUP(I108,'Legal Nature'!$E$2:$G$84,3,0),"")</f>
        <v/>
      </c>
      <c r="K108" s="64"/>
      <c r="L108" s="65"/>
      <c r="M108" s="66"/>
      <c r="N108" s="66"/>
      <c r="O108" s="79"/>
      <c r="P108" s="26"/>
      <c r="Q108" s="58"/>
      <c r="R108" s="58"/>
      <c r="S108" s="58"/>
      <c r="T108" s="68" t="str">
        <f aca="false">IF(LEFT(S108,1)="9","Celular",IF(S108="","","Fixo"))</f>
        <v/>
      </c>
      <c r="U108" s="58" t="str">
        <f aca="false">IF( T108&lt;&gt;"",VLOOKUP(T108,Selects!$M$4:$N$1000,2,0),"")</f>
        <v/>
      </c>
      <c r="V108" s="26"/>
      <c r="W108" s="58"/>
      <c r="X108" s="58"/>
      <c r="Y108" s="58"/>
      <c r="Z108" s="58"/>
      <c r="AA108" s="69"/>
      <c r="AB108" s="58"/>
      <c r="AC108" s="58"/>
      <c r="AD108" s="70" t="str">
        <f aca="false">IF(AC108&lt;&gt;"",VLOOKUP(AC108,Selects!$B$4:$C$100,2,0),"")</f>
        <v/>
      </c>
      <c r="AE108" s="26"/>
      <c r="AF108" s="58"/>
      <c r="AG108" s="59"/>
      <c r="AH108" s="65"/>
      <c r="AI108" s="66"/>
      <c r="AJ108" s="66"/>
      <c r="AK108" s="58"/>
      <c r="AL108" s="58"/>
      <c r="AM108" s="68" t="str">
        <f aca="false">IF(LEFT(AL108,1)="9","Celular",IF(AL108="","","Fixo"))</f>
        <v/>
      </c>
      <c r="AN108" s="58" t="str">
        <f aca="false">IF( AM108&lt;&gt;"",VLOOKUP(AM108,Selects!$M$4:$N$1000,2,0),"")</f>
        <v/>
      </c>
      <c r="AO108" s="58"/>
      <c r="AP108" s="59"/>
      <c r="AQ108" s="65"/>
      <c r="AR108" s="58"/>
      <c r="AS108" s="58"/>
      <c r="AT108" s="26"/>
      <c r="AU108" s="58"/>
      <c r="AV108" s="58"/>
      <c r="AW108" s="58"/>
      <c r="AX108" s="58"/>
      <c r="AY108" s="71"/>
      <c r="AZ108" s="58"/>
      <c r="BA108" s="58"/>
      <c r="BB108" s="72" t="str">
        <f aca="false">IF(BA108&lt;&gt;"",VLOOKUP(BA108,Selects!$B$4:$C$100,2,0),"")</f>
        <v/>
      </c>
      <c r="BC108" s="26"/>
      <c r="BD108" s="26"/>
      <c r="BE108" s="73"/>
      <c r="BF108" s="74"/>
      <c r="BG108" s="75" t="str">
        <f aca="false">IF(LEN(BF108)=11,"PF",IF(LEN(BF108)=14,"PJ",""))</f>
        <v/>
      </c>
      <c r="BH108" s="66"/>
      <c r="BI108" s="58" t="str">
        <f aca="false">IF(BH108&lt;&gt;"",VLOOKUP(BH108,Selects!$G:$H,2,0),"")</f>
        <v/>
      </c>
      <c r="BJ108" s="58"/>
      <c r="BK108" s="58"/>
      <c r="BL108" s="59"/>
      <c r="BM108" s="58"/>
      <c r="BN108" s="58"/>
      <c r="BO108" s="58" t="str">
        <f aca="false">IF(BN108&lt;&gt;"",VLOOKUP(BN108,Selects!$J$4:$K$1000,2,0),"")</f>
        <v/>
      </c>
      <c r="BP108" s="76"/>
      <c r="BQ108" s="59"/>
      <c r="BR108" s="77"/>
      <c r="BS108" s="59"/>
      <c r="BT108" s="77"/>
      <c r="BU108" s="58"/>
      <c r="BV108" s="58"/>
      <c r="BW108" s="58"/>
      <c r="BX108" s="58"/>
      <c r="BY108" s="58"/>
      <c r="BZ108" s="58"/>
      <c r="CA108" s="58"/>
      <c r="CB108" s="72" t="str">
        <f aca="false">IF(AC108&lt;&gt;"",VLOOKUP(AC108,Selects!$B:$E,4,0),"")</f>
        <v/>
      </c>
      <c r="CC108" s="58"/>
      <c r="CD108" s="58"/>
      <c r="CE108" s="58"/>
    </row>
    <row r="109" customFormat="false" ht="15.75" hidden="false" customHeight="true" outlineLevel="0" collapsed="false">
      <c r="A109" s="17"/>
      <c r="B109" s="58"/>
      <c r="C109" s="58"/>
      <c r="D109" s="59"/>
      <c r="E109" s="60" t="str">
        <f aca="false">IF(LEN(D109)=11,"PF",IF(LEN(D109)=14,"PJ",""))</f>
        <v/>
      </c>
      <c r="F109" s="59"/>
      <c r="G109" s="59"/>
      <c r="H109" s="61" t="str">
        <f aca="false">IF(G109&lt;&gt;"",VLOOKUP(G109,'Cnae  mcc  id'!$A:$M,9,0),"")</f>
        <v/>
      </c>
      <c r="I109" s="62"/>
      <c r="J109" s="63" t="str">
        <f aca="false">IF(I109&lt;&gt;"",VLOOKUP(I109,'Legal Nature'!$E$2:$G$84,3,0),"")</f>
        <v/>
      </c>
      <c r="K109" s="64"/>
      <c r="L109" s="65"/>
      <c r="M109" s="66"/>
      <c r="N109" s="66"/>
      <c r="O109" s="79"/>
      <c r="P109" s="26"/>
      <c r="Q109" s="58"/>
      <c r="R109" s="58"/>
      <c r="S109" s="58"/>
      <c r="T109" s="68" t="str">
        <f aca="false">IF(LEFT(S109,1)="9","Celular",IF(S109="","","Fixo"))</f>
        <v/>
      </c>
      <c r="U109" s="58" t="str">
        <f aca="false">IF( T109&lt;&gt;"",VLOOKUP(T109,Selects!$M$4:$N$1000,2,0),"")</f>
        <v/>
      </c>
      <c r="V109" s="26"/>
      <c r="W109" s="58"/>
      <c r="X109" s="58"/>
      <c r="Y109" s="58"/>
      <c r="Z109" s="58"/>
      <c r="AA109" s="69"/>
      <c r="AB109" s="58"/>
      <c r="AC109" s="58"/>
      <c r="AD109" s="70" t="str">
        <f aca="false">IF(AC109&lt;&gt;"",VLOOKUP(AC109,Selects!$B$4:$C$100,2,0),"")</f>
        <v/>
      </c>
      <c r="AE109" s="26"/>
      <c r="AF109" s="58"/>
      <c r="AG109" s="59"/>
      <c r="AH109" s="65"/>
      <c r="AI109" s="66"/>
      <c r="AJ109" s="66"/>
      <c r="AK109" s="58"/>
      <c r="AL109" s="58"/>
      <c r="AM109" s="68" t="str">
        <f aca="false">IF(LEFT(AL109,1)="9","Celular",IF(AL109="","","Fixo"))</f>
        <v/>
      </c>
      <c r="AN109" s="58" t="str">
        <f aca="false">IF( AM109&lt;&gt;"",VLOOKUP(AM109,Selects!$M$4:$N$1000,2,0),"")</f>
        <v/>
      </c>
      <c r="AO109" s="58"/>
      <c r="AP109" s="59"/>
      <c r="AQ109" s="65"/>
      <c r="AR109" s="58"/>
      <c r="AS109" s="58"/>
      <c r="AT109" s="26"/>
      <c r="AU109" s="58"/>
      <c r="AV109" s="58"/>
      <c r="AW109" s="58"/>
      <c r="AX109" s="58"/>
      <c r="AY109" s="71"/>
      <c r="AZ109" s="58"/>
      <c r="BA109" s="58"/>
      <c r="BB109" s="72" t="str">
        <f aca="false">IF(BA109&lt;&gt;"",VLOOKUP(BA109,Selects!$B$4:$C$100,2,0),"")</f>
        <v/>
      </c>
      <c r="BC109" s="26"/>
      <c r="BD109" s="26"/>
      <c r="BE109" s="73"/>
      <c r="BF109" s="74"/>
      <c r="BG109" s="75" t="str">
        <f aca="false">IF(LEN(BF109)=11,"PF",IF(LEN(BF109)=14,"PJ",""))</f>
        <v/>
      </c>
      <c r="BH109" s="66"/>
      <c r="BI109" s="58" t="str">
        <f aca="false">IF(BH109&lt;&gt;"",VLOOKUP(BH109,Selects!$G:$H,2,0),"")</f>
        <v/>
      </c>
      <c r="BJ109" s="58"/>
      <c r="BK109" s="58"/>
      <c r="BL109" s="59"/>
      <c r="BM109" s="58"/>
      <c r="BN109" s="58"/>
      <c r="BO109" s="58" t="str">
        <f aca="false">IF(BN109&lt;&gt;"",VLOOKUP(BN109,Selects!$J$4:$K$1000,2,0),"")</f>
        <v/>
      </c>
      <c r="BP109" s="76"/>
      <c r="BQ109" s="59"/>
      <c r="BR109" s="77"/>
      <c r="BS109" s="59"/>
      <c r="BT109" s="77"/>
      <c r="BU109" s="58"/>
      <c r="BV109" s="58"/>
      <c r="BW109" s="58"/>
      <c r="BX109" s="58"/>
      <c r="BY109" s="58"/>
      <c r="BZ109" s="58"/>
      <c r="CA109" s="58"/>
      <c r="CB109" s="72" t="str">
        <f aca="false">IF(AC109&lt;&gt;"",VLOOKUP(AC109,Selects!$B:$E,4,0),"")</f>
        <v/>
      </c>
      <c r="CC109" s="58"/>
      <c r="CD109" s="58"/>
      <c r="CE109" s="58"/>
    </row>
    <row r="110" customFormat="false" ht="15.75" hidden="false" customHeight="true" outlineLevel="0" collapsed="false">
      <c r="A110" s="17"/>
      <c r="B110" s="58"/>
      <c r="C110" s="58"/>
      <c r="D110" s="59"/>
      <c r="E110" s="60" t="str">
        <f aca="false">IF(LEN(D110)=11,"PF",IF(LEN(D110)=14,"PJ",""))</f>
        <v/>
      </c>
      <c r="F110" s="59"/>
      <c r="G110" s="59"/>
      <c r="H110" s="61" t="str">
        <f aca="false">IF(G110&lt;&gt;"",VLOOKUP(G110,'Cnae  mcc  id'!$A:$M,9,0),"")</f>
        <v/>
      </c>
      <c r="I110" s="62"/>
      <c r="J110" s="63" t="str">
        <f aca="false">IF(I110&lt;&gt;"",VLOOKUP(I110,'Legal Nature'!$E$2:$G$84,3,0),"")</f>
        <v/>
      </c>
      <c r="K110" s="64"/>
      <c r="L110" s="65"/>
      <c r="M110" s="66"/>
      <c r="N110" s="66"/>
      <c r="O110" s="79"/>
      <c r="P110" s="26"/>
      <c r="Q110" s="58"/>
      <c r="R110" s="58"/>
      <c r="S110" s="58"/>
      <c r="T110" s="68" t="str">
        <f aca="false">IF(LEFT(S110,1)="9","Celular",IF(S110="","","Fixo"))</f>
        <v/>
      </c>
      <c r="U110" s="58" t="str">
        <f aca="false">IF( T110&lt;&gt;"",VLOOKUP(T110,Selects!$M$4:$N$1000,2,0),"")</f>
        <v/>
      </c>
      <c r="V110" s="26"/>
      <c r="W110" s="58"/>
      <c r="X110" s="58"/>
      <c r="Y110" s="58"/>
      <c r="Z110" s="58"/>
      <c r="AA110" s="69"/>
      <c r="AB110" s="58"/>
      <c r="AC110" s="58"/>
      <c r="AD110" s="70" t="str">
        <f aca="false">IF(AC110&lt;&gt;"",VLOOKUP(AC110,Selects!$B$4:$C$100,2,0),"")</f>
        <v/>
      </c>
      <c r="AE110" s="26"/>
      <c r="AF110" s="58"/>
      <c r="AG110" s="59"/>
      <c r="AH110" s="65"/>
      <c r="AI110" s="66"/>
      <c r="AJ110" s="66"/>
      <c r="AK110" s="58"/>
      <c r="AL110" s="58"/>
      <c r="AM110" s="68" t="str">
        <f aca="false">IF(LEFT(AL110,1)="9","Celular",IF(AL110="","","Fixo"))</f>
        <v/>
      </c>
      <c r="AN110" s="58" t="str">
        <f aca="false">IF( AM110&lt;&gt;"",VLOOKUP(AM110,Selects!$M$4:$N$1000,2,0),"")</f>
        <v/>
      </c>
      <c r="AO110" s="58"/>
      <c r="AP110" s="59"/>
      <c r="AQ110" s="65"/>
      <c r="AR110" s="58"/>
      <c r="AS110" s="58"/>
      <c r="AT110" s="26"/>
      <c r="AU110" s="58"/>
      <c r="AV110" s="58"/>
      <c r="AW110" s="58"/>
      <c r="AX110" s="58"/>
      <c r="AY110" s="71"/>
      <c r="AZ110" s="58"/>
      <c r="BA110" s="58"/>
      <c r="BB110" s="72" t="str">
        <f aca="false">IF(BA110&lt;&gt;"",VLOOKUP(BA110,Selects!$B$4:$C$100,2,0),"")</f>
        <v/>
      </c>
      <c r="BC110" s="26"/>
      <c r="BD110" s="26"/>
      <c r="BE110" s="73"/>
      <c r="BF110" s="74"/>
      <c r="BG110" s="75" t="str">
        <f aca="false">IF(LEN(BF110)=11,"PF",IF(LEN(BF110)=14,"PJ",""))</f>
        <v/>
      </c>
      <c r="BH110" s="66"/>
      <c r="BI110" s="58" t="str">
        <f aca="false">IF(BH110&lt;&gt;"",VLOOKUP(BH110,Selects!$G:$H,2,0),"")</f>
        <v/>
      </c>
      <c r="BJ110" s="58"/>
      <c r="BK110" s="58"/>
      <c r="BL110" s="59"/>
      <c r="BM110" s="58"/>
      <c r="BN110" s="58"/>
      <c r="BO110" s="58" t="str">
        <f aca="false">IF(BN110&lt;&gt;"",VLOOKUP(BN110,Selects!$J$4:$K$1000,2,0),"")</f>
        <v/>
      </c>
      <c r="BP110" s="76"/>
      <c r="BQ110" s="59"/>
      <c r="BR110" s="77"/>
      <c r="BS110" s="59"/>
      <c r="BT110" s="77"/>
      <c r="BU110" s="58"/>
      <c r="BV110" s="58"/>
      <c r="BW110" s="58"/>
      <c r="BX110" s="58"/>
      <c r="BY110" s="58"/>
      <c r="BZ110" s="58"/>
      <c r="CA110" s="58"/>
      <c r="CB110" s="72" t="str">
        <f aca="false">IF(AC110&lt;&gt;"",VLOOKUP(AC110,Selects!$B:$E,4,0),"")</f>
        <v/>
      </c>
      <c r="CC110" s="58"/>
      <c r="CD110" s="58"/>
      <c r="CE110" s="58"/>
    </row>
    <row r="111" customFormat="false" ht="15.75" hidden="false" customHeight="true" outlineLevel="0" collapsed="false">
      <c r="A111" s="17"/>
      <c r="B111" s="58"/>
      <c r="C111" s="58"/>
      <c r="D111" s="59"/>
      <c r="E111" s="60" t="str">
        <f aca="false">IF(LEN(D111)=11,"PF",IF(LEN(D111)=14,"PJ",""))</f>
        <v/>
      </c>
      <c r="F111" s="59"/>
      <c r="G111" s="59"/>
      <c r="H111" s="61" t="str">
        <f aca="false">IF(G111&lt;&gt;"",VLOOKUP(G111,'Cnae  mcc  id'!$A:$M,9,0),"")</f>
        <v/>
      </c>
      <c r="I111" s="62"/>
      <c r="J111" s="63" t="str">
        <f aca="false">IF(I111&lt;&gt;"",VLOOKUP(I111,'Legal Nature'!$E$2:$G$84,3,0),"")</f>
        <v/>
      </c>
      <c r="K111" s="64"/>
      <c r="L111" s="65"/>
      <c r="M111" s="66"/>
      <c r="N111" s="66"/>
      <c r="O111" s="79"/>
      <c r="P111" s="26"/>
      <c r="Q111" s="58"/>
      <c r="R111" s="58"/>
      <c r="S111" s="58"/>
      <c r="T111" s="68" t="str">
        <f aca="false">IF(LEFT(S111,1)="9","Celular",IF(S111="","","Fixo"))</f>
        <v/>
      </c>
      <c r="U111" s="58" t="str">
        <f aca="false">IF( T111&lt;&gt;"",VLOOKUP(T111,Selects!$M$4:$N$1000,2,0),"")</f>
        <v/>
      </c>
      <c r="V111" s="26"/>
      <c r="W111" s="58"/>
      <c r="X111" s="58"/>
      <c r="Y111" s="58"/>
      <c r="Z111" s="58"/>
      <c r="AA111" s="69"/>
      <c r="AB111" s="58"/>
      <c r="AC111" s="58"/>
      <c r="AD111" s="70" t="str">
        <f aca="false">IF(AC111&lt;&gt;"",VLOOKUP(AC111,Selects!$B$4:$C$100,2,0),"")</f>
        <v/>
      </c>
      <c r="AE111" s="26"/>
      <c r="AF111" s="58"/>
      <c r="AG111" s="59"/>
      <c r="AH111" s="65"/>
      <c r="AI111" s="66"/>
      <c r="AJ111" s="66"/>
      <c r="AK111" s="58"/>
      <c r="AL111" s="58"/>
      <c r="AM111" s="68" t="str">
        <f aca="false">IF(LEFT(AL111,1)="9","Celular",IF(AL111="","","Fixo"))</f>
        <v/>
      </c>
      <c r="AN111" s="58" t="str">
        <f aca="false">IF( AM111&lt;&gt;"",VLOOKUP(AM111,Selects!$M$4:$N$1000,2,0),"")</f>
        <v/>
      </c>
      <c r="AO111" s="58"/>
      <c r="AP111" s="59"/>
      <c r="AQ111" s="65"/>
      <c r="AR111" s="58"/>
      <c r="AS111" s="58"/>
      <c r="AT111" s="26"/>
      <c r="AU111" s="58"/>
      <c r="AV111" s="58"/>
      <c r="AW111" s="58"/>
      <c r="AX111" s="58"/>
      <c r="AY111" s="71"/>
      <c r="AZ111" s="58"/>
      <c r="BA111" s="58"/>
      <c r="BB111" s="72" t="str">
        <f aca="false">IF(BA111&lt;&gt;"",VLOOKUP(BA111,Selects!$B$4:$C$100,2,0),"")</f>
        <v/>
      </c>
      <c r="BC111" s="26"/>
      <c r="BD111" s="26"/>
      <c r="BE111" s="73"/>
      <c r="BF111" s="74"/>
      <c r="BG111" s="75" t="str">
        <f aca="false">IF(LEN(BF111)=11,"PF",IF(LEN(BF111)=14,"PJ",""))</f>
        <v/>
      </c>
      <c r="BH111" s="66"/>
      <c r="BI111" s="58" t="str">
        <f aca="false">IF(BH111&lt;&gt;"",VLOOKUP(BH111,Selects!$G:$H,2,0),"")</f>
        <v/>
      </c>
      <c r="BJ111" s="58"/>
      <c r="BK111" s="58"/>
      <c r="BL111" s="59"/>
      <c r="BM111" s="58"/>
      <c r="BN111" s="58"/>
      <c r="BO111" s="58" t="str">
        <f aca="false">IF(BN111&lt;&gt;"",VLOOKUP(BN111,Selects!$J$4:$K$1000,2,0),"")</f>
        <v/>
      </c>
      <c r="BP111" s="76"/>
      <c r="BQ111" s="59"/>
      <c r="BR111" s="77"/>
      <c r="BS111" s="59"/>
      <c r="BT111" s="77"/>
      <c r="BU111" s="58"/>
      <c r="BV111" s="58"/>
      <c r="BW111" s="58"/>
      <c r="BX111" s="58"/>
      <c r="BY111" s="58"/>
      <c r="BZ111" s="58"/>
      <c r="CA111" s="58"/>
      <c r="CB111" s="72" t="str">
        <f aca="false">IF(AC111&lt;&gt;"",VLOOKUP(AC111,Selects!$B:$E,4,0),"")</f>
        <v/>
      </c>
      <c r="CC111" s="58"/>
      <c r="CD111" s="58"/>
      <c r="CE111" s="58"/>
    </row>
    <row r="112" customFormat="false" ht="15.75" hidden="false" customHeight="true" outlineLevel="0" collapsed="false">
      <c r="A112" s="17"/>
      <c r="B112" s="58"/>
      <c r="C112" s="58"/>
      <c r="D112" s="59"/>
      <c r="E112" s="60" t="str">
        <f aca="false">IF(LEN(D112)=11,"PF",IF(LEN(D112)=14,"PJ",""))</f>
        <v/>
      </c>
      <c r="F112" s="59"/>
      <c r="G112" s="59"/>
      <c r="H112" s="61" t="str">
        <f aca="false">IF(G112&lt;&gt;"",VLOOKUP(G112,'Cnae  mcc  id'!$A:$M,9,0),"")</f>
        <v/>
      </c>
      <c r="I112" s="62"/>
      <c r="J112" s="63" t="str">
        <f aca="false">IF(I112&lt;&gt;"",VLOOKUP(I112,'Legal Nature'!$E$2:$G$84,3,0),"")</f>
        <v/>
      </c>
      <c r="K112" s="64"/>
      <c r="L112" s="65"/>
      <c r="M112" s="66"/>
      <c r="N112" s="66"/>
      <c r="O112" s="79"/>
      <c r="P112" s="26"/>
      <c r="Q112" s="58"/>
      <c r="R112" s="58"/>
      <c r="S112" s="58"/>
      <c r="T112" s="68" t="str">
        <f aca="false">IF(LEFT(S112,1)="9","Celular",IF(S112="","","Fixo"))</f>
        <v/>
      </c>
      <c r="U112" s="58" t="str">
        <f aca="false">IF( T112&lt;&gt;"",VLOOKUP(T112,Selects!$M$4:$N$1000,2,0),"")</f>
        <v/>
      </c>
      <c r="V112" s="26"/>
      <c r="W112" s="58"/>
      <c r="X112" s="58"/>
      <c r="Y112" s="58"/>
      <c r="Z112" s="58"/>
      <c r="AA112" s="69"/>
      <c r="AB112" s="58"/>
      <c r="AC112" s="58"/>
      <c r="AD112" s="70" t="str">
        <f aca="false">IF(AC112&lt;&gt;"",VLOOKUP(AC112,Selects!$B$4:$C$100,2,0),"")</f>
        <v/>
      </c>
      <c r="AE112" s="26"/>
      <c r="AF112" s="58"/>
      <c r="AG112" s="59"/>
      <c r="AH112" s="65"/>
      <c r="AI112" s="66"/>
      <c r="AJ112" s="66"/>
      <c r="AK112" s="58"/>
      <c r="AL112" s="58"/>
      <c r="AM112" s="68" t="str">
        <f aca="false">IF(LEFT(AL112,1)="9","Celular",IF(AL112="","","Fixo"))</f>
        <v/>
      </c>
      <c r="AN112" s="58" t="str">
        <f aca="false">IF( AM112&lt;&gt;"",VLOOKUP(AM112,Selects!$M$4:$N$1000,2,0),"")</f>
        <v/>
      </c>
      <c r="AO112" s="58"/>
      <c r="AP112" s="59"/>
      <c r="AQ112" s="65"/>
      <c r="AR112" s="58"/>
      <c r="AS112" s="58"/>
      <c r="AT112" s="26"/>
      <c r="AU112" s="58"/>
      <c r="AV112" s="58"/>
      <c r="AW112" s="58"/>
      <c r="AX112" s="58"/>
      <c r="AY112" s="71"/>
      <c r="AZ112" s="58"/>
      <c r="BA112" s="58"/>
      <c r="BB112" s="72" t="str">
        <f aca="false">IF(BA112&lt;&gt;"",VLOOKUP(BA112,Selects!$B$4:$C$100,2,0),"")</f>
        <v/>
      </c>
      <c r="BC112" s="26"/>
      <c r="BD112" s="26"/>
      <c r="BE112" s="73"/>
      <c r="BF112" s="74"/>
      <c r="BG112" s="75" t="str">
        <f aca="false">IF(LEN(BF112)=11,"PF",IF(LEN(BF112)=14,"PJ",""))</f>
        <v/>
      </c>
      <c r="BH112" s="66"/>
      <c r="BI112" s="58" t="str">
        <f aca="false">IF(BH112&lt;&gt;"",VLOOKUP(BH112,Selects!$G:$H,2,0),"")</f>
        <v/>
      </c>
      <c r="BJ112" s="58"/>
      <c r="BK112" s="58"/>
      <c r="BL112" s="59"/>
      <c r="BM112" s="58"/>
      <c r="BN112" s="58"/>
      <c r="BO112" s="58" t="str">
        <f aca="false">IF(BN112&lt;&gt;"",VLOOKUP(BN112,Selects!$J$4:$K$1000,2,0),"")</f>
        <v/>
      </c>
      <c r="BP112" s="76"/>
      <c r="BQ112" s="59"/>
      <c r="BR112" s="77"/>
      <c r="BS112" s="59"/>
      <c r="BT112" s="77"/>
      <c r="BU112" s="58"/>
      <c r="BV112" s="58"/>
      <c r="BW112" s="58"/>
      <c r="BX112" s="58"/>
      <c r="BY112" s="58"/>
      <c r="BZ112" s="58"/>
      <c r="CA112" s="58"/>
      <c r="CB112" s="72" t="str">
        <f aca="false">IF(AC112&lt;&gt;"",VLOOKUP(AC112,Selects!$B:$E,4,0),"")</f>
        <v/>
      </c>
      <c r="CC112" s="58"/>
      <c r="CD112" s="58"/>
      <c r="CE112" s="58"/>
    </row>
    <row r="113" customFormat="false" ht="15.75" hidden="false" customHeight="true" outlineLevel="0" collapsed="false">
      <c r="A113" s="17"/>
      <c r="B113" s="58"/>
      <c r="C113" s="58"/>
      <c r="D113" s="59"/>
      <c r="E113" s="60" t="str">
        <f aca="false">IF(LEN(D113)=11,"PF",IF(LEN(D113)=14,"PJ",""))</f>
        <v/>
      </c>
      <c r="F113" s="59"/>
      <c r="G113" s="59"/>
      <c r="H113" s="61" t="str">
        <f aca="false">IF(G113&lt;&gt;"",VLOOKUP(G113,'Cnae  mcc  id'!$A:$M,9,0),"")</f>
        <v/>
      </c>
      <c r="I113" s="62"/>
      <c r="J113" s="63" t="str">
        <f aca="false">IF(I113&lt;&gt;"",VLOOKUP(I113,'Legal Nature'!$E$2:$G$84,3,0),"")</f>
        <v/>
      </c>
      <c r="K113" s="64"/>
      <c r="L113" s="65"/>
      <c r="M113" s="66"/>
      <c r="N113" s="66"/>
      <c r="O113" s="79"/>
      <c r="P113" s="26"/>
      <c r="Q113" s="58"/>
      <c r="R113" s="58"/>
      <c r="S113" s="58"/>
      <c r="T113" s="68" t="str">
        <f aca="false">IF(LEFT(S113,1)="9","Celular",IF(S113="","","Fixo"))</f>
        <v/>
      </c>
      <c r="U113" s="58" t="str">
        <f aca="false">IF( T113&lt;&gt;"",VLOOKUP(T113,Selects!$M$4:$N$1000,2,0),"")</f>
        <v/>
      </c>
      <c r="V113" s="26"/>
      <c r="W113" s="58"/>
      <c r="X113" s="58"/>
      <c r="Y113" s="58"/>
      <c r="Z113" s="58"/>
      <c r="AA113" s="69"/>
      <c r="AB113" s="58"/>
      <c r="AC113" s="58"/>
      <c r="AD113" s="70" t="str">
        <f aca="false">IF(AC113&lt;&gt;"",VLOOKUP(AC113,Selects!$B$4:$C$100,2,0),"")</f>
        <v/>
      </c>
      <c r="AE113" s="26"/>
      <c r="AF113" s="58"/>
      <c r="AG113" s="59"/>
      <c r="AH113" s="65"/>
      <c r="AI113" s="66"/>
      <c r="AJ113" s="66"/>
      <c r="AK113" s="58"/>
      <c r="AL113" s="58"/>
      <c r="AM113" s="68" t="str">
        <f aca="false">IF(LEFT(AL113,1)="9","Celular",IF(AL113="","","Fixo"))</f>
        <v/>
      </c>
      <c r="AN113" s="58" t="str">
        <f aca="false">IF( AM113&lt;&gt;"",VLOOKUP(AM113,Selects!$M$4:$N$1000,2,0),"")</f>
        <v/>
      </c>
      <c r="AO113" s="58"/>
      <c r="AP113" s="59"/>
      <c r="AQ113" s="65"/>
      <c r="AR113" s="58"/>
      <c r="AS113" s="58"/>
      <c r="AT113" s="26"/>
      <c r="AU113" s="58"/>
      <c r="AV113" s="58"/>
      <c r="AW113" s="58"/>
      <c r="AX113" s="58"/>
      <c r="AY113" s="71"/>
      <c r="AZ113" s="58"/>
      <c r="BA113" s="58"/>
      <c r="BB113" s="72" t="str">
        <f aca="false">IF(BA113&lt;&gt;"",VLOOKUP(BA113,Selects!$B$4:$C$100,2,0),"")</f>
        <v/>
      </c>
      <c r="BC113" s="26"/>
      <c r="BD113" s="26"/>
      <c r="BE113" s="73"/>
      <c r="BF113" s="74"/>
      <c r="BG113" s="75" t="str">
        <f aca="false">IF(LEN(BF113)=11,"PF",IF(LEN(BF113)=14,"PJ",""))</f>
        <v/>
      </c>
      <c r="BH113" s="66"/>
      <c r="BI113" s="58" t="str">
        <f aca="false">IF(BH113&lt;&gt;"",VLOOKUP(BH113,Selects!$G:$H,2,0),"")</f>
        <v/>
      </c>
      <c r="BJ113" s="58"/>
      <c r="BK113" s="58"/>
      <c r="BL113" s="59"/>
      <c r="BM113" s="58"/>
      <c r="BN113" s="58"/>
      <c r="BO113" s="58" t="str">
        <f aca="false">IF(BN113&lt;&gt;"",VLOOKUP(BN113,Selects!$J$4:$K$1000,2,0),"")</f>
        <v/>
      </c>
      <c r="BP113" s="76"/>
      <c r="BQ113" s="59"/>
      <c r="BR113" s="77"/>
      <c r="BS113" s="59"/>
      <c r="BT113" s="77"/>
      <c r="BU113" s="58"/>
      <c r="BV113" s="58"/>
      <c r="BW113" s="58"/>
      <c r="BX113" s="58"/>
      <c r="BY113" s="58"/>
      <c r="BZ113" s="58"/>
      <c r="CA113" s="58"/>
      <c r="CB113" s="72" t="str">
        <f aca="false">IF(AC113&lt;&gt;"",VLOOKUP(AC113,Selects!$B:$E,4,0),"")</f>
        <v/>
      </c>
      <c r="CC113" s="58"/>
      <c r="CD113" s="58"/>
      <c r="CE113" s="58"/>
    </row>
    <row r="114" customFormat="false" ht="15.75" hidden="false" customHeight="true" outlineLevel="0" collapsed="false">
      <c r="A114" s="17"/>
      <c r="B114" s="58"/>
      <c r="C114" s="58"/>
      <c r="D114" s="59"/>
      <c r="E114" s="60" t="str">
        <f aca="false">IF(LEN(D114)=11,"PF",IF(LEN(D114)=14,"PJ",""))</f>
        <v/>
      </c>
      <c r="F114" s="59"/>
      <c r="G114" s="59"/>
      <c r="H114" s="61" t="str">
        <f aca="false">IF(G114&lt;&gt;"",VLOOKUP(G114,'Cnae  mcc  id'!$A:$M,9,0),"")</f>
        <v/>
      </c>
      <c r="I114" s="62"/>
      <c r="J114" s="63" t="str">
        <f aca="false">IF(I114&lt;&gt;"",VLOOKUP(I114,'Legal Nature'!$E$2:$G$84,3,0),"")</f>
        <v/>
      </c>
      <c r="K114" s="64"/>
      <c r="L114" s="65"/>
      <c r="M114" s="66"/>
      <c r="N114" s="66"/>
      <c r="O114" s="79"/>
      <c r="P114" s="26"/>
      <c r="Q114" s="58"/>
      <c r="R114" s="58"/>
      <c r="S114" s="58"/>
      <c r="T114" s="68" t="str">
        <f aca="false">IF(LEFT(S114,1)="9","Celular",IF(S114="","","Fixo"))</f>
        <v/>
      </c>
      <c r="U114" s="58" t="str">
        <f aca="false">IF( T114&lt;&gt;"",VLOOKUP(T114,Selects!$M$4:$N$1000,2,0),"")</f>
        <v/>
      </c>
      <c r="V114" s="26"/>
      <c r="W114" s="58"/>
      <c r="X114" s="58"/>
      <c r="Y114" s="58"/>
      <c r="Z114" s="58"/>
      <c r="AA114" s="69"/>
      <c r="AB114" s="58"/>
      <c r="AC114" s="58"/>
      <c r="AD114" s="70" t="str">
        <f aca="false">IF(AC114&lt;&gt;"",VLOOKUP(AC114,Selects!$B$4:$C$100,2,0),"")</f>
        <v/>
      </c>
      <c r="AE114" s="26"/>
      <c r="AF114" s="58"/>
      <c r="AG114" s="59"/>
      <c r="AH114" s="65"/>
      <c r="AI114" s="66"/>
      <c r="AJ114" s="66"/>
      <c r="AK114" s="58"/>
      <c r="AL114" s="58"/>
      <c r="AM114" s="68" t="str">
        <f aca="false">IF(LEFT(AL114,1)="9","Celular",IF(AL114="","","Fixo"))</f>
        <v/>
      </c>
      <c r="AN114" s="58" t="str">
        <f aca="false">IF( AM114&lt;&gt;"",VLOOKUP(AM114,Selects!$M$4:$N$1000,2,0),"")</f>
        <v/>
      </c>
      <c r="AO114" s="58"/>
      <c r="AP114" s="59"/>
      <c r="AQ114" s="65"/>
      <c r="AR114" s="58"/>
      <c r="AS114" s="58"/>
      <c r="AT114" s="26"/>
      <c r="AU114" s="58"/>
      <c r="AV114" s="58"/>
      <c r="AW114" s="58"/>
      <c r="AX114" s="58"/>
      <c r="AY114" s="71"/>
      <c r="AZ114" s="58"/>
      <c r="BA114" s="58"/>
      <c r="BB114" s="72" t="str">
        <f aca="false">IF(BA114&lt;&gt;"",VLOOKUP(BA114,Selects!$B$4:$C$100,2,0),"")</f>
        <v/>
      </c>
      <c r="BC114" s="26"/>
      <c r="BD114" s="26"/>
      <c r="BE114" s="73"/>
      <c r="BF114" s="74"/>
      <c r="BG114" s="75" t="str">
        <f aca="false">IF(LEN(BF114)=11,"PF",IF(LEN(BF114)=14,"PJ",""))</f>
        <v/>
      </c>
      <c r="BH114" s="66"/>
      <c r="BI114" s="58" t="str">
        <f aca="false">IF(BH114&lt;&gt;"",VLOOKUP(BH114,Selects!$G:$H,2,0),"")</f>
        <v/>
      </c>
      <c r="BJ114" s="58"/>
      <c r="BK114" s="58"/>
      <c r="BL114" s="59"/>
      <c r="BM114" s="58"/>
      <c r="BN114" s="58"/>
      <c r="BO114" s="58" t="str">
        <f aca="false">IF(BN114&lt;&gt;"",VLOOKUP(BN114,Selects!$J$4:$K$1000,2,0),"")</f>
        <v/>
      </c>
      <c r="BP114" s="76"/>
      <c r="BQ114" s="59"/>
      <c r="BR114" s="77"/>
      <c r="BS114" s="59"/>
      <c r="BT114" s="77"/>
      <c r="BU114" s="58"/>
      <c r="BV114" s="58"/>
      <c r="BW114" s="58"/>
      <c r="BX114" s="58"/>
      <c r="BY114" s="58"/>
      <c r="BZ114" s="58"/>
      <c r="CA114" s="58"/>
      <c r="CB114" s="72" t="str">
        <f aca="false">IF(AC114&lt;&gt;"",VLOOKUP(AC114,Selects!$B:$E,4,0),"")</f>
        <v/>
      </c>
      <c r="CC114" s="58"/>
      <c r="CD114" s="58"/>
      <c r="CE114" s="58"/>
    </row>
    <row r="115" customFormat="false" ht="15.75" hidden="false" customHeight="true" outlineLevel="0" collapsed="false">
      <c r="A115" s="17"/>
      <c r="B115" s="58"/>
      <c r="C115" s="58"/>
      <c r="D115" s="59"/>
      <c r="E115" s="60" t="str">
        <f aca="false">IF(LEN(D115)=11,"PF",IF(LEN(D115)=14,"PJ",""))</f>
        <v/>
      </c>
      <c r="F115" s="59"/>
      <c r="G115" s="59"/>
      <c r="H115" s="61" t="str">
        <f aca="false">IF(G115&lt;&gt;"",VLOOKUP(G115,'Cnae  mcc  id'!$A:$M,9,0),"")</f>
        <v/>
      </c>
      <c r="I115" s="62"/>
      <c r="J115" s="63" t="str">
        <f aca="false">IF(I115&lt;&gt;"",VLOOKUP(I115,'Legal Nature'!$E$2:$G$84,3,0),"")</f>
        <v/>
      </c>
      <c r="K115" s="64"/>
      <c r="L115" s="65"/>
      <c r="M115" s="66"/>
      <c r="N115" s="66"/>
      <c r="O115" s="79"/>
      <c r="P115" s="26"/>
      <c r="Q115" s="58"/>
      <c r="R115" s="58"/>
      <c r="S115" s="58"/>
      <c r="T115" s="68" t="str">
        <f aca="false">IF(LEFT(S115,1)="9","Celular",IF(S115="","","Fixo"))</f>
        <v/>
      </c>
      <c r="U115" s="58" t="str">
        <f aca="false">IF( T115&lt;&gt;"",VLOOKUP(T115,Selects!$M$4:$N$1000,2,0),"")</f>
        <v/>
      </c>
      <c r="V115" s="26"/>
      <c r="W115" s="58"/>
      <c r="X115" s="58"/>
      <c r="Y115" s="58"/>
      <c r="Z115" s="58"/>
      <c r="AA115" s="69"/>
      <c r="AB115" s="58"/>
      <c r="AC115" s="58"/>
      <c r="AD115" s="70" t="str">
        <f aca="false">IF(AC115&lt;&gt;"",VLOOKUP(AC115,Selects!$B$4:$C$100,2,0),"")</f>
        <v/>
      </c>
      <c r="AE115" s="26"/>
      <c r="AF115" s="58"/>
      <c r="AG115" s="59"/>
      <c r="AH115" s="65"/>
      <c r="AI115" s="66"/>
      <c r="AJ115" s="66"/>
      <c r="AK115" s="58"/>
      <c r="AL115" s="58"/>
      <c r="AM115" s="68" t="str">
        <f aca="false">IF(LEFT(AL115,1)="9","Celular",IF(AL115="","","Fixo"))</f>
        <v/>
      </c>
      <c r="AN115" s="58" t="str">
        <f aca="false">IF( AM115&lt;&gt;"",VLOOKUP(AM115,Selects!$M$4:$N$1000,2,0),"")</f>
        <v/>
      </c>
      <c r="AO115" s="58"/>
      <c r="AP115" s="59"/>
      <c r="AQ115" s="65"/>
      <c r="AR115" s="58"/>
      <c r="AS115" s="58"/>
      <c r="AT115" s="26"/>
      <c r="AU115" s="58"/>
      <c r="AV115" s="58"/>
      <c r="AW115" s="58"/>
      <c r="AX115" s="58"/>
      <c r="AY115" s="71"/>
      <c r="AZ115" s="58"/>
      <c r="BA115" s="58"/>
      <c r="BB115" s="72" t="str">
        <f aca="false">IF(BA115&lt;&gt;"",VLOOKUP(BA115,Selects!$B$4:$C$100,2,0),"")</f>
        <v/>
      </c>
      <c r="BC115" s="26"/>
      <c r="BD115" s="26"/>
      <c r="BE115" s="73"/>
      <c r="BF115" s="74"/>
      <c r="BG115" s="75" t="str">
        <f aca="false">IF(LEN(BF115)=11,"PF",IF(LEN(BF115)=14,"PJ",""))</f>
        <v/>
      </c>
      <c r="BH115" s="66"/>
      <c r="BI115" s="58" t="str">
        <f aca="false">IF(BH115&lt;&gt;"",VLOOKUP(BH115,Selects!$G:$H,2,0),"")</f>
        <v/>
      </c>
      <c r="BJ115" s="58"/>
      <c r="BK115" s="58"/>
      <c r="BL115" s="59"/>
      <c r="BM115" s="58"/>
      <c r="BN115" s="58"/>
      <c r="BO115" s="58" t="str">
        <f aca="false">IF(BN115&lt;&gt;"",VLOOKUP(BN115,Selects!$J$4:$K$1000,2,0),"")</f>
        <v/>
      </c>
      <c r="BP115" s="76"/>
      <c r="BQ115" s="59"/>
      <c r="BR115" s="77"/>
      <c r="BS115" s="59"/>
      <c r="BT115" s="77"/>
      <c r="BU115" s="58"/>
      <c r="BV115" s="58"/>
      <c r="BW115" s="58"/>
      <c r="BX115" s="58"/>
      <c r="BY115" s="58"/>
      <c r="BZ115" s="58"/>
      <c r="CA115" s="58"/>
      <c r="CB115" s="72" t="str">
        <f aca="false">IF(AC115&lt;&gt;"",VLOOKUP(AC115,Selects!$B:$E,4,0),"")</f>
        <v/>
      </c>
      <c r="CC115" s="58"/>
      <c r="CD115" s="58"/>
      <c r="CE115" s="58"/>
    </row>
    <row r="116" customFormat="false" ht="15.75" hidden="false" customHeight="true" outlineLevel="0" collapsed="false">
      <c r="A116" s="17"/>
      <c r="B116" s="58"/>
      <c r="C116" s="58"/>
      <c r="D116" s="59"/>
      <c r="E116" s="60" t="str">
        <f aca="false">IF(LEN(D116)=11,"PF",IF(LEN(D116)=14,"PJ",""))</f>
        <v/>
      </c>
      <c r="F116" s="59"/>
      <c r="G116" s="59"/>
      <c r="H116" s="61" t="str">
        <f aca="false">IF(G116&lt;&gt;"",VLOOKUP(G116,'Cnae  mcc  id'!$A:$M,9,0),"")</f>
        <v/>
      </c>
      <c r="I116" s="62"/>
      <c r="J116" s="63" t="str">
        <f aca="false">IF(I116&lt;&gt;"",VLOOKUP(I116,'Legal Nature'!$E$2:$G$84,3,0),"")</f>
        <v/>
      </c>
      <c r="K116" s="64"/>
      <c r="L116" s="65"/>
      <c r="M116" s="66"/>
      <c r="N116" s="66"/>
      <c r="O116" s="79"/>
      <c r="P116" s="26"/>
      <c r="Q116" s="58"/>
      <c r="R116" s="58"/>
      <c r="S116" s="58"/>
      <c r="T116" s="68" t="str">
        <f aca="false">IF(LEFT(S116,1)="9","Celular",IF(S116="","","Fixo"))</f>
        <v/>
      </c>
      <c r="U116" s="58" t="str">
        <f aca="false">IF( T116&lt;&gt;"",VLOOKUP(T116,Selects!$M$4:$N$1000,2,0),"")</f>
        <v/>
      </c>
      <c r="V116" s="26"/>
      <c r="W116" s="58"/>
      <c r="X116" s="58"/>
      <c r="Y116" s="58"/>
      <c r="Z116" s="58"/>
      <c r="AA116" s="69"/>
      <c r="AB116" s="58"/>
      <c r="AC116" s="58"/>
      <c r="AD116" s="70" t="str">
        <f aca="false">IF(AC116&lt;&gt;"",VLOOKUP(AC116,Selects!$B$4:$C$100,2,0),"")</f>
        <v/>
      </c>
      <c r="AE116" s="26"/>
      <c r="AF116" s="58"/>
      <c r="AG116" s="59"/>
      <c r="AH116" s="65"/>
      <c r="AI116" s="66"/>
      <c r="AJ116" s="66"/>
      <c r="AK116" s="58"/>
      <c r="AL116" s="58"/>
      <c r="AM116" s="68" t="str">
        <f aca="false">IF(LEFT(AL116,1)="9","Celular",IF(AL116="","","Fixo"))</f>
        <v/>
      </c>
      <c r="AN116" s="58" t="str">
        <f aca="false">IF( AM116&lt;&gt;"",VLOOKUP(AM116,Selects!$M$4:$N$1000,2,0),"")</f>
        <v/>
      </c>
      <c r="AO116" s="58"/>
      <c r="AP116" s="59"/>
      <c r="AQ116" s="65"/>
      <c r="AR116" s="58"/>
      <c r="AS116" s="58"/>
      <c r="AT116" s="26"/>
      <c r="AU116" s="58"/>
      <c r="AV116" s="58"/>
      <c r="AW116" s="58"/>
      <c r="AX116" s="58"/>
      <c r="AY116" s="71"/>
      <c r="AZ116" s="58"/>
      <c r="BA116" s="58"/>
      <c r="BB116" s="72" t="str">
        <f aca="false">IF(BA116&lt;&gt;"",VLOOKUP(BA116,Selects!$B$4:$C$100,2,0),"")</f>
        <v/>
      </c>
      <c r="BC116" s="26"/>
      <c r="BD116" s="26"/>
      <c r="BE116" s="73"/>
      <c r="BF116" s="74"/>
      <c r="BG116" s="75" t="str">
        <f aca="false">IF(LEN(BF116)=11,"PF",IF(LEN(BF116)=14,"PJ",""))</f>
        <v/>
      </c>
      <c r="BH116" s="66"/>
      <c r="BI116" s="58" t="str">
        <f aca="false">IF(BH116&lt;&gt;"",VLOOKUP(BH116,Selects!$G:$H,2,0),"")</f>
        <v/>
      </c>
      <c r="BJ116" s="58"/>
      <c r="BK116" s="58"/>
      <c r="BL116" s="59"/>
      <c r="BM116" s="58"/>
      <c r="BN116" s="58"/>
      <c r="BO116" s="58" t="str">
        <f aca="false">IF(BN116&lt;&gt;"",VLOOKUP(BN116,Selects!$J$4:$K$1000,2,0),"")</f>
        <v/>
      </c>
      <c r="BP116" s="76"/>
      <c r="BQ116" s="59"/>
      <c r="BR116" s="77"/>
      <c r="BS116" s="59"/>
      <c r="BT116" s="77"/>
      <c r="BU116" s="58"/>
      <c r="BV116" s="58"/>
      <c r="BW116" s="58"/>
      <c r="BX116" s="58"/>
      <c r="BY116" s="58"/>
      <c r="BZ116" s="58"/>
      <c r="CA116" s="58"/>
      <c r="CB116" s="72" t="str">
        <f aca="false">IF(AC116&lt;&gt;"",VLOOKUP(AC116,Selects!$B:$E,4,0),"")</f>
        <v/>
      </c>
      <c r="CC116" s="58"/>
      <c r="CD116" s="58"/>
      <c r="CE116" s="58"/>
    </row>
    <row r="117" customFormat="false" ht="15.75" hidden="false" customHeight="true" outlineLevel="0" collapsed="false">
      <c r="A117" s="17"/>
      <c r="B117" s="58"/>
      <c r="C117" s="58"/>
      <c r="D117" s="59"/>
      <c r="E117" s="60" t="str">
        <f aca="false">IF(LEN(D117)=11,"PF",IF(LEN(D117)=14,"PJ",""))</f>
        <v/>
      </c>
      <c r="F117" s="59"/>
      <c r="G117" s="59"/>
      <c r="H117" s="61" t="str">
        <f aca="false">IF(G117&lt;&gt;"",VLOOKUP(G117,'Cnae  mcc  id'!$A:$M,9,0),"")</f>
        <v/>
      </c>
      <c r="I117" s="62"/>
      <c r="J117" s="63" t="str">
        <f aca="false">IF(I117&lt;&gt;"",VLOOKUP(I117,'Legal Nature'!$E$2:$G$84,3,0),"")</f>
        <v/>
      </c>
      <c r="K117" s="64"/>
      <c r="L117" s="65"/>
      <c r="M117" s="66"/>
      <c r="N117" s="66"/>
      <c r="O117" s="79"/>
      <c r="P117" s="26"/>
      <c r="Q117" s="58"/>
      <c r="R117" s="58"/>
      <c r="S117" s="58"/>
      <c r="T117" s="68" t="str">
        <f aca="false">IF(LEFT(S117,1)="9","Celular",IF(S117="","","Fixo"))</f>
        <v/>
      </c>
      <c r="U117" s="58" t="str">
        <f aca="false">IF( T117&lt;&gt;"",VLOOKUP(T117,Selects!$M$4:$N$1000,2,0),"")</f>
        <v/>
      </c>
      <c r="V117" s="26"/>
      <c r="W117" s="58"/>
      <c r="X117" s="58"/>
      <c r="Y117" s="58"/>
      <c r="Z117" s="58"/>
      <c r="AA117" s="69"/>
      <c r="AB117" s="58"/>
      <c r="AC117" s="58"/>
      <c r="AD117" s="70" t="str">
        <f aca="false">IF(AC117&lt;&gt;"",VLOOKUP(AC117,Selects!$B$4:$C$100,2,0),"")</f>
        <v/>
      </c>
      <c r="AE117" s="26"/>
      <c r="AF117" s="58"/>
      <c r="AG117" s="59"/>
      <c r="AH117" s="65"/>
      <c r="AI117" s="66"/>
      <c r="AJ117" s="66"/>
      <c r="AK117" s="58"/>
      <c r="AL117" s="58"/>
      <c r="AM117" s="68" t="str">
        <f aca="false">IF(LEFT(AL117,1)="9","Celular",IF(AL117="","","Fixo"))</f>
        <v/>
      </c>
      <c r="AN117" s="58" t="str">
        <f aca="false">IF( AM117&lt;&gt;"",VLOOKUP(AM117,Selects!$M$4:$N$1000,2,0),"")</f>
        <v/>
      </c>
      <c r="AO117" s="58"/>
      <c r="AP117" s="59"/>
      <c r="AQ117" s="65"/>
      <c r="AR117" s="58"/>
      <c r="AS117" s="58"/>
      <c r="AT117" s="26"/>
      <c r="AU117" s="58"/>
      <c r="AV117" s="58"/>
      <c r="AW117" s="58"/>
      <c r="AX117" s="58"/>
      <c r="AY117" s="71"/>
      <c r="AZ117" s="58"/>
      <c r="BA117" s="58"/>
      <c r="BB117" s="72" t="str">
        <f aca="false">IF(BA117&lt;&gt;"",VLOOKUP(BA117,Selects!$B$4:$C$100,2,0),"")</f>
        <v/>
      </c>
      <c r="BC117" s="26"/>
      <c r="BD117" s="26"/>
      <c r="BE117" s="73"/>
      <c r="BF117" s="74"/>
      <c r="BG117" s="75" t="str">
        <f aca="false">IF(LEN(BF117)=11,"PF",IF(LEN(BF117)=14,"PJ",""))</f>
        <v/>
      </c>
      <c r="BH117" s="66"/>
      <c r="BI117" s="58" t="str">
        <f aca="false">IF(BH117&lt;&gt;"",VLOOKUP(BH117,Selects!$G:$H,2,0),"")</f>
        <v/>
      </c>
      <c r="BJ117" s="58"/>
      <c r="BK117" s="58"/>
      <c r="BL117" s="59"/>
      <c r="BM117" s="58"/>
      <c r="BN117" s="58"/>
      <c r="BO117" s="58" t="str">
        <f aca="false">IF(BN117&lt;&gt;"",VLOOKUP(BN117,Selects!$J$4:$K$1000,2,0),"")</f>
        <v/>
      </c>
      <c r="BP117" s="76"/>
      <c r="BQ117" s="59"/>
      <c r="BR117" s="77"/>
      <c r="BS117" s="59"/>
      <c r="BT117" s="77"/>
      <c r="BU117" s="58"/>
      <c r="BV117" s="58"/>
      <c r="BW117" s="58"/>
      <c r="BX117" s="58"/>
      <c r="BY117" s="58"/>
      <c r="BZ117" s="58"/>
      <c r="CA117" s="58"/>
      <c r="CB117" s="72" t="str">
        <f aca="false">IF(AC117&lt;&gt;"",VLOOKUP(AC117,Selects!$B:$E,4,0),"")</f>
        <v/>
      </c>
      <c r="CC117" s="58"/>
      <c r="CD117" s="58"/>
      <c r="CE117" s="58"/>
    </row>
    <row r="118" customFormat="false" ht="15.75" hidden="false" customHeight="true" outlineLevel="0" collapsed="false">
      <c r="A118" s="17"/>
      <c r="B118" s="58"/>
      <c r="C118" s="58"/>
      <c r="D118" s="59"/>
      <c r="E118" s="60" t="str">
        <f aca="false">IF(LEN(D118)=11,"PF",IF(LEN(D118)=14,"PJ",""))</f>
        <v/>
      </c>
      <c r="F118" s="59"/>
      <c r="G118" s="59"/>
      <c r="H118" s="61" t="str">
        <f aca="false">IF(G118&lt;&gt;"",VLOOKUP(G118,'Cnae  mcc  id'!$A:$M,9,0),"")</f>
        <v/>
      </c>
      <c r="I118" s="62"/>
      <c r="J118" s="63" t="str">
        <f aca="false">IF(I118&lt;&gt;"",VLOOKUP(I118,'Legal Nature'!$E$2:$G$84,3,0),"")</f>
        <v/>
      </c>
      <c r="K118" s="64"/>
      <c r="L118" s="65"/>
      <c r="M118" s="66"/>
      <c r="N118" s="66"/>
      <c r="O118" s="79"/>
      <c r="P118" s="26"/>
      <c r="Q118" s="58"/>
      <c r="R118" s="58"/>
      <c r="S118" s="58"/>
      <c r="T118" s="68" t="str">
        <f aca="false">IF(LEFT(S118,1)="9","Celular",IF(S118="","","Fixo"))</f>
        <v/>
      </c>
      <c r="U118" s="58" t="str">
        <f aca="false">IF( T118&lt;&gt;"",VLOOKUP(T118,Selects!$M$4:$N$1000,2,0),"")</f>
        <v/>
      </c>
      <c r="V118" s="26"/>
      <c r="W118" s="58"/>
      <c r="X118" s="58"/>
      <c r="Y118" s="58"/>
      <c r="Z118" s="58"/>
      <c r="AA118" s="69"/>
      <c r="AB118" s="58"/>
      <c r="AC118" s="58"/>
      <c r="AD118" s="70" t="str">
        <f aca="false">IF(AC118&lt;&gt;"",VLOOKUP(AC118,Selects!$B$4:$C$100,2,0),"")</f>
        <v/>
      </c>
      <c r="AE118" s="26"/>
      <c r="AF118" s="58"/>
      <c r="AG118" s="59"/>
      <c r="AH118" s="65"/>
      <c r="AI118" s="66"/>
      <c r="AJ118" s="66"/>
      <c r="AK118" s="58"/>
      <c r="AL118" s="58"/>
      <c r="AM118" s="68" t="str">
        <f aca="false">IF(LEFT(AL118,1)="9","Celular",IF(AL118="","","Fixo"))</f>
        <v/>
      </c>
      <c r="AN118" s="58" t="str">
        <f aca="false">IF( AM118&lt;&gt;"",VLOOKUP(AM118,Selects!$M$4:$N$1000,2,0),"")</f>
        <v/>
      </c>
      <c r="AO118" s="58"/>
      <c r="AP118" s="59"/>
      <c r="AQ118" s="65"/>
      <c r="AR118" s="58"/>
      <c r="AS118" s="58"/>
      <c r="AT118" s="26"/>
      <c r="AU118" s="58"/>
      <c r="AV118" s="58"/>
      <c r="AW118" s="58"/>
      <c r="AX118" s="58"/>
      <c r="AY118" s="71"/>
      <c r="AZ118" s="58"/>
      <c r="BA118" s="58"/>
      <c r="BB118" s="72" t="str">
        <f aca="false">IF(BA118&lt;&gt;"",VLOOKUP(BA118,Selects!$B$4:$C$100,2,0),"")</f>
        <v/>
      </c>
      <c r="BC118" s="26"/>
      <c r="BD118" s="26"/>
      <c r="BE118" s="73"/>
      <c r="BF118" s="74"/>
      <c r="BG118" s="75" t="str">
        <f aca="false">IF(LEN(BF118)=11,"PF",IF(LEN(BF118)=14,"PJ",""))</f>
        <v/>
      </c>
      <c r="BH118" s="66"/>
      <c r="BI118" s="58" t="str">
        <f aca="false">IF(BH118&lt;&gt;"",VLOOKUP(BH118,Selects!$G:$H,2,0),"")</f>
        <v/>
      </c>
      <c r="BJ118" s="58"/>
      <c r="BK118" s="58"/>
      <c r="BL118" s="59"/>
      <c r="BM118" s="58"/>
      <c r="BN118" s="58"/>
      <c r="BO118" s="58" t="str">
        <f aca="false">IF(BN118&lt;&gt;"",VLOOKUP(BN118,Selects!$J$4:$K$1000,2,0),"")</f>
        <v/>
      </c>
      <c r="BP118" s="76"/>
      <c r="BQ118" s="59"/>
      <c r="BR118" s="77"/>
      <c r="BS118" s="59"/>
      <c r="BT118" s="77"/>
      <c r="BU118" s="58"/>
      <c r="BV118" s="58"/>
      <c r="BW118" s="58"/>
      <c r="BX118" s="58"/>
      <c r="BY118" s="58"/>
      <c r="BZ118" s="58"/>
      <c r="CA118" s="58"/>
      <c r="CB118" s="72" t="str">
        <f aca="false">IF(AC118&lt;&gt;"",VLOOKUP(AC118,Selects!$B:$E,4,0),"")</f>
        <v/>
      </c>
      <c r="CC118" s="58"/>
      <c r="CD118" s="58"/>
      <c r="CE118" s="58"/>
    </row>
    <row r="119" customFormat="false" ht="15.75" hidden="false" customHeight="true" outlineLevel="0" collapsed="false">
      <c r="A119" s="17"/>
      <c r="B119" s="58"/>
      <c r="C119" s="58"/>
      <c r="D119" s="59"/>
      <c r="E119" s="60" t="str">
        <f aca="false">IF(LEN(D119)=11,"PF",IF(LEN(D119)=14,"PJ",""))</f>
        <v/>
      </c>
      <c r="F119" s="59"/>
      <c r="G119" s="59"/>
      <c r="H119" s="61" t="str">
        <f aca="false">IF(G119&lt;&gt;"",VLOOKUP(G119,'Cnae  mcc  id'!$A:$M,9,0),"")</f>
        <v/>
      </c>
      <c r="I119" s="62"/>
      <c r="J119" s="63" t="str">
        <f aca="false">IF(I119&lt;&gt;"",VLOOKUP(I119,'Legal Nature'!$E$2:$G$84,3,0),"")</f>
        <v/>
      </c>
      <c r="K119" s="64"/>
      <c r="L119" s="65"/>
      <c r="M119" s="66"/>
      <c r="N119" s="66"/>
      <c r="O119" s="79"/>
      <c r="P119" s="26"/>
      <c r="Q119" s="58"/>
      <c r="R119" s="58"/>
      <c r="S119" s="58"/>
      <c r="T119" s="68" t="str">
        <f aca="false">IF(LEFT(S119,1)="9","Celular",IF(S119="","","Fixo"))</f>
        <v/>
      </c>
      <c r="U119" s="58" t="str">
        <f aca="false">IF( T119&lt;&gt;"",VLOOKUP(T119,Selects!$M$4:$N$1000,2,0),"")</f>
        <v/>
      </c>
      <c r="V119" s="26"/>
      <c r="W119" s="58"/>
      <c r="X119" s="58"/>
      <c r="Y119" s="58"/>
      <c r="Z119" s="58"/>
      <c r="AA119" s="69"/>
      <c r="AB119" s="58"/>
      <c r="AC119" s="58"/>
      <c r="AD119" s="70" t="str">
        <f aca="false">IF(AC119&lt;&gt;"",VLOOKUP(AC119,Selects!$B$4:$C$100,2,0),"")</f>
        <v/>
      </c>
      <c r="AE119" s="26"/>
      <c r="AF119" s="58"/>
      <c r="AG119" s="59"/>
      <c r="AH119" s="65"/>
      <c r="AI119" s="66"/>
      <c r="AJ119" s="66"/>
      <c r="AK119" s="58"/>
      <c r="AL119" s="58"/>
      <c r="AM119" s="68" t="str">
        <f aca="false">IF(LEFT(AL119,1)="9","Celular",IF(AL119="","","Fixo"))</f>
        <v/>
      </c>
      <c r="AN119" s="58" t="str">
        <f aca="false">IF( AM119&lt;&gt;"",VLOOKUP(AM119,Selects!$M$4:$N$1000,2,0),"")</f>
        <v/>
      </c>
      <c r="AO119" s="58"/>
      <c r="AP119" s="59"/>
      <c r="AQ119" s="65"/>
      <c r="AR119" s="58"/>
      <c r="AS119" s="58"/>
      <c r="AT119" s="26"/>
      <c r="AU119" s="58"/>
      <c r="AV119" s="58"/>
      <c r="AW119" s="58"/>
      <c r="AX119" s="58"/>
      <c r="AY119" s="71"/>
      <c r="AZ119" s="58"/>
      <c r="BA119" s="58"/>
      <c r="BB119" s="72" t="str">
        <f aca="false">IF(BA119&lt;&gt;"",VLOOKUP(BA119,Selects!$B$4:$C$100,2,0),"")</f>
        <v/>
      </c>
      <c r="BC119" s="26"/>
      <c r="BD119" s="26"/>
      <c r="BE119" s="73"/>
      <c r="BF119" s="74"/>
      <c r="BG119" s="75" t="str">
        <f aca="false">IF(LEN(BF119)=11,"PF",IF(LEN(BF119)=14,"PJ",""))</f>
        <v/>
      </c>
      <c r="BH119" s="66"/>
      <c r="BI119" s="58" t="str">
        <f aca="false">IF(BH119&lt;&gt;"",VLOOKUP(BH119,Selects!$G:$H,2,0),"")</f>
        <v/>
      </c>
      <c r="BJ119" s="58"/>
      <c r="BK119" s="58"/>
      <c r="BL119" s="59"/>
      <c r="BM119" s="58"/>
      <c r="BN119" s="58"/>
      <c r="BO119" s="58" t="str">
        <f aca="false">IF(BN119&lt;&gt;"",VLOOKUP(BN119,Selects!$J$4:$K$1000,2,0),"")</f>
        <v/>
      </c>
      <c r="BP119" s="76"/>
      <c r="BQ119" s="59"/>
      <c r="BR119" s="77"/>
      <c r="BS119" s="59"/>
      <c r="BT119" s="77"/>
      <c r="BU119" s="58"/>
      <c r="BV119" s="58"/>
      <c r="BW119" s="58"/>
      <c r="BX119" s="58"/>
      <c r="BY119" s="58"/>
      <c r="BZ119" s="58"/>
      <c r="CA119" s="58"/>
      <c r="CB119" s="72" t="str">
        <f aca="false">IF(AC119&lt;&gt;"",VLOOKUP(AC119,Selects!$B:$E,4,0),"")</f>
        <v/>
      </c>
      <c r="CC119" s="58"/>
      <c r="CD119" s="58"/>
      <c r="CE119" s="58"/>
    </row>
    <row r="120" customFormat="false" ht="15.75" hidden="false" customHeight="true" outlineLevel="0" collapsed="false">
      <c r="A120" s="17"/>
      <c r="B120" s="58"/>
      <c r="C120" s="58"/>
      <c r="D120" s="59"/>
      <c r="E120" s="60" t="str">
        <f aca="false">IF(LEN(D120)=11,"PF",IF(LEN(D120)=14,"PJ",""))</f>
        <v/>
      </c>
      <c r="F120" s="59"/>
      <c r="G120" s="59"/>
      <c r="H120" s="61" t="str">
        <f aca="false">IF(G120&lt;&gt;"",VLOOKUP(G120,'Cnae  mcc  id'!$A:$M,9,0),"")</f>
        <v/>
      </c>
      <c r="I120" s="62"/>
      <c r="J120" s="63" t="str">
        <f aca="false">IF(I120&lt;&gt;"",VLOOKUP(I120,'Legal Nature'!$E$2:$G$84,3,0),"")</f>
        <v/>
      </c>
      <c r="K120" s="64"/>
      <c r="L120" s="65"/>
      <c r="M120" s="66"/>
      <c r="N120" s="66"/>
      <c r="O120" s="79"/>
      <c r="P120" s="26"/>
      <c r="Q120" s="58"/>
      <c r="R120" s="58"/>
      <c r="S120" s="58"/>
      <c r="T120" s="68" t="str">
        <f aca="false">IF(LEFT(S120,1)="9","Celular",IF(S120="","","Fixo"))</f>
        <v/>
      </c>
      <c r="U120" s="58" t="str">
        <f aca="false">IF( T120&lt;&gt;"",VLOOKUP(T120,Selects!$M$4:$N$1000,2,0),"")</f>
        <v/>
      </c>
      <c r="V120" s="26"/>
      <c r="W120" s="58"/>
      <c r="X120" s="58"/>
      <c r="Y120" s="58"/>
      <c r="Z120" s="58"/>
      <c r="AA120" s="69"/>
      <c r="AB120" s="58"/>
      <c r="AC120" s="58"/>
      <c r="AD120" s="70" t="str">
        <f aca="false">IF(AC120&lt;&gt;"",VLOOKUP(AC120,Selects!$B$4:$C$100,2,0),"")</f>
        <v/>
      </c>
      <c r="AE120" s="26"/>
      <c r="AF120" s="58"/>
      <c r="AG120" s="59"/>
      <c r="AH120" s="65"/>
      <c r="AI120" s="66"/>
      <c r="AJ120" s="66"/>
      <c r="AK120" s="58"/>
      <c r="AL120" s="58"/>
      <c r="AM120" s="68" t="str">
        <f aca="false">IF(LEFT(AL120,1)="9","Celular",IF(AL120="","","Fixo"))</f>
        <v/>
      </c>
      <c r="AN120" s="58" t="str">
        <f aca="false">IF( AM120&lt;&gt;"",VLOOKUP(AM120,Selects!$M$4:$N$1000,2,0),"")</f>
        <v/>
      </c>
      <c r="AO120" s="58"/>
      <c r="AP120" s="59"/>
      <c r="AQ120" s="65"/>
      <c r="AR120" s="58"/>
      <c r="AS120" s="58"/>
      <c r="AT120" s="26"/>
      <c r="AU120" s="58"/>
      <c r="AV120" s="58"/>
      <c r="AW120" s="58"/>
      <c r="AX120" s="58"/>
      <c r="AY120" s="71"/>
      <c r="AZ120" s="58"/>
      <c r="BA120" s="58"/>
      <c r="BB120" s="72" t="str">
        <f aca="false">IF(BA120&lt;&gt;"",VLOOKUP(BA120,Selects!$B$4:$C$100,2,0),"")</f>
        <v/>
      </c>
      <c r="BC120" s="26"/>
      <c r="BD120" s="26"/>
      <c r="BE120" s="73"/>
      <c r="BF120" s="74"/>
      <c r="BG120" s="75" t="str">
        <f aca="false">IF(LEN(BF120)=11,"PF",IF(LEN(BF120)=14,"PJ",""))</f>
        <v/>
      </c>
      <c r="BH120" s="66"/>
      <c r="BI120" s="58" t="str">
        <f aca="false">IF(BH120&lt;&gt;"",VLOOKUP(BH120,Selects!$G:$H,2,0),"")</f>
        <v/>
      </c>
      <c r="BJ120" s="58"/>
      <c r="BK120" s="58"/>
      <c r="BL120" s="59"/>
      <c r="BM120" s="58"/>
      <c r="BN120" s="58"/>
      <c r="BO120" s="58" t="str">
        <f aca="false">IF(BN120&lt;&gt;"",VLOOKUP(BN120,Selects!$J$4:$K$1000,2,0),"")</f>
        <v/>
      </c>
      <c r="BP120" s="76"/>
      <c r="BQ120" s="59"/>
      <c r="BR120" s="77"/>
      <c r="BS120" s="59"/>
      <c r="BT120" s="77"/>
      <c r="BU120" s="58"/>
      <c r="BV120" s="58"/>
      <c r="BW120" s="58"/>
      <c r="BX120" s="58"/>
      <c r="BY120" s="58"/>
      <c r="BZ120" s="58"/>
      <c r="CA120" s="58"/>
      <c r="CB120" s="72" t="str">
        <f aca="false">IF(AC120&lt;&gt;"",VLOOKUP(AC120,Selects!$B:$E,4,0),"")</f>
        <v/>
      </c>
      <c r="CC120" s="58"/>
      <c r="CD120" s="58"/>
      <c r="CE120" s="58"/>
    </row>
    <row r="121" customFormat="false" ht="15.75" hidden="false" customHeight="true" outlineLevel="0" collapsed="false">
      <c r="A121" s="17"/>
      <c r="B121" s="58"/>
      <c r="C121" s="58"/>
      <c r="D121" s="59"/>
      <c r="E121" s="60" t="str">
        <f aca="false">IF(LEN(D121)=11,"PF",IF(LEN(D121)=14,"PJ",""))</f>
        <v/>
      </c>
      <c r="F121" s="59"/>
      <c r="G121" s="59"/>
      <c r="H121" s="61" t="str">
        <f aca="false">IF(G121&lt;&gt;"",VLOOKUP(G121,'Cnae  mcc  id'!$A:$M,9,0),"")</f>
        <v/>
      </c>
      <c r="I121" s="62"/>
      <c r="J121" s="63" t="str">
        <f aca="false">IF(I121&lt;&gt;"",VLOOKUP(I121,'Legal Nature'!$E$2:$G$84,3,0),"")</f>
        <v/>
      </c>
      <c r="K121" s="64"/>
      <c r="L121" s="65"/>
      <c r="M121" s="66"/>
      <c r="N121" s="66"/>
      <c r="O121" s="79"/>
      <c r="P121" s="26"/>
      <c r="Q121" s="58"/>
      <c r="R121" s="58"/>
      <c r="S121" s="58"/>
      <c r="T121" s="68" t="str">
        <f aca="false">IF(LEFT(S121,1)="9","Celular",IF(S121="","","Fixo"))</f>
        <v/>
      </c>
      <c r="U121" s="58" t="str">
        <f aca="false">IF( T121&lt;&gt;"",VLOOKUP(T121,Selects!$M$4:$N$1000,2,0),"")</f>
        <v/>
      </c>
      <c r="V121" s="26"/>
      <c r="W121" s="58"/>
      <c r="X121" s="58"/>
      <c r="Y121" s="58"/>
      <c r="Z121" s="58"/>
      <c r="AA121" s="69"/>
      <c r="AB121" s="58"/>
      <c r="AC121" s="58"/>
      <c r="AD121" s="70" t="str">
        <f aca="false">IF(AC121&lt;&gt;"",VLOOKUP(AC121,Selects!$B$4:$C$100,2,0),"")</f>
        <v/>
      </c>
      <c r="AE121" s="26"/>
      <c r="AF121" s="58"/>
      <c r="AG121" s="59"/>
      <c r="AH121" s="65"/>
      <c r="AI121" s="66"/>
      <c r="AJ121" s="66"/>
      <c r="AK121" s="58"/>
      <c r="AL121" s="58"/>
      <c r="AM121" s="68" t="str">
        <f aca="false">IF(LEFT(AL121,1)="9","Celular",IF(AL121="","","Fixo"))</f>
        <v/>
      </c>
      <c r="AN121" s="58" t="str">
        <f aca="false">IF( AM121&lt;&gt;"",VLOOKUP(AM121,Selects!$M$4:$N$1000,2,0),"")</f>
        <v/>
      </c>
      <c r="AO121" s="58"/>
      <c r="AP121" s="59"/>
      <c r="AQ121" s="65"/>
      <c r="AR121" s="58"/>
      <c r="AS121" s="58"/>
      <c r="AT121" s="26"/>
      <c r="AU121" s="58"/>
      <c r="AV121" s="58"/>
      <c r="AW121" s="58"/>
      <c r="AX121" s="58"/>
      <c r="AY121" s="71"/>
      <c r="AZ121" s="58"/>
      <c r="BA121" s="58"/>
      <c r="BB121" s="72" t="str">
        <f aca="false">IF(BA121&lt;&gt;"",VLOOKUP(BA121,Selects!$B$4:$C$100,2,0),"")</f>
        <v/>
      </c>
      <c r="BC121" s="26"/>
      <c r="BD121" s="26"/>
      <c r="BE121" s="73"/>
      <c r="BF121" s="74"/>
      <c r="BG121" s="75" t="str">
        <f aca="false">IF(LEN(BF121)=11,"PF",IF(LEN(BF121)=14,"PJ",""))</f>
        <v/>
      </c>
      <c r="BH121" s="66"/>
      <c r="BI121" s="58" t="str">
        <f aca="false">IF(BH121&lt;&gt;"",VLOOKUP(BH121,Selects!$G:$H,2,0),"")</f>
        <v/>
      </c>
      <c r="BJ121" s="58"/>
      <c r="BK121" s="58"/>
      <c r="BL121" s="59"/>
      <c r="BM121" s="58"/>
      <c r="BN121" s="58"/>
      <c r="BO121" s="58" t="str">
        <f aca="false">IF(BN121&lt;&gt;"",VLOOKUP(BN121,Selects!$J$4:$K$1000,2,0),"")</f>
        <v/>
      </c>
      <c r="BP121" s="76"/>
      <c r="BQ121" s="59"/>
      <c r="BR121" s="77"/>
      <c r="BS121" s="59"/>
      <c r="BT121" s="77"/>
      <c r="BU121" s="58"/>
      <c r="BV121" s="58"/>
      <c r="BW121" s="58"/>
      <c r="BX121" s="58"/>
      <c r="BY121" s="58"/>
      <c r="BZ121" s="58"/>
      <c r="CA121" s="58"/>
      <c r="CB121" s="72" t="str">
        <f aca="false">IF(AC121&lt;&gt;"",VLOOKUP(AC121,Selects!$B:$E,4,0),"")</f>
        <v/>
      </c>
      <c r="CC121" s="58"/>
      <c r="CD121" s="58"/>
      <c r="CE121" s="58"/>
    </row>
    <row r="122" customFormat="false" ht="15.75" hidden="false" customHeight="true" outlineLevel="0" collapsed="false">
      <c r="A122" s="17"/>
      <c r="B122" s="58"/>
      <c r="C122" s="58"/>
      <c r="D122" s="59"/>
      <c r="E122" s="60" t="str">
        <f aca="false">IF(LEN(D122)=11,"PF",IF(LEN(D122)=14,"PJ",""))</f>
        <v/>
      </c>
      <c r="F122" s="59"/>
      <c r="G122" s="59"/>
      <c r="H122" s="61" t="str">
        <f aca="false">IF(G122&lt;&gt;"",VLOOKUP(G122,'Cnae  mcc  id'!$A:$M,9,0),"")</f>
        <v/>
      </c>
      <c r="I122" s="62"/>
      <c r="J122" s="63" t="str">
        <f aca="false">IF(I122&lt;&gt;"",VLOOKUP(I122,'Legal Nature'!$E$2:$G$84,3,0),"")</f>
        <v/>
      </c>
      <c r="K122" s="64"/>
      <c r="L122" s="65"/>
      <c r="M122" s="66"/>
      <c r="N122" s="66"/>
      <c r="O122" s="79"/>
      <c r="P122" s="26"/>
      <c r="Q122" s="58"/>
      <c r="R122" s="58"/>
      <c r="S122" s="58"/>
      <c r="T122" s="68" t="str">
        <f aca="false">IF(LEFT(S122,1)="9","Celular",IF(S122="","","Fixo"))</f>
        <v/>
      </c>
      <c r="U122" s="58" t="str">
        <f aca="false">IF( T122&lt;&gt;"",VLOOKUP(T122,Selects!$M$4:$N$1000,2,0),"")</f>
        <v/>
      </c>
      <c r="V122" s="26"/>
      <c r="W122" s="58"/>
      <c r="X122" s="58"/>
      <c r="Y122" s="58"/>
      <c r="Z122" s="58"/>
      <c r="AA122" s="69"/>
      <c r="AB122" s="58"/>
      <c r="AC122" s="58"/>
      <c r="AD122" s="70" t="str">
        <f aca="false">IF(AC122&lt;&gt;"",VLOOKUP(AC122,Selects!$B$4:$C$100,2,0),"")</f>
        <v/>
      </c>
      <c r="AE122" s="26"/>
      <c r="AF122" s="58"/>
      <c r="AG122" s="59"/>
      <c r="AH122" s="65"/>
      <c r="AI122" s="66"/>
      <c r="AJ122" s="66"/>
      <c r="AK122" s="58"/>
      <c r="AL122" s="58"/>
      <c r="AM122" s="68" t="str">
        <f aca="false">IF(LEFT(AL122,1)="9","Celular",IF(AL122="","","Fixo"))</f>
        <v/>
      </c>
      <c r="AN122" s="58" t="str">
        <f aca="false">IF( AM122&lt;&gt;"",VLOOKUP(AM122,Selects!$M$4:$N$1000,2,0),"")</f>
        <v/>
      </c>
      <c r="AO122" s="58"/>
      <c r="AP122" s="59"/>
      <c r="AQ122" s="65"/>
      <c r="AR122" s="58"/>
      <c r="AS122" s="58"/>
      <c r="AT122" s="26"/>
      <c r="AU122" s="58"/>
      <c r="AV122" s="58"/>
      <c r="AW122" s="58"/>
      <c r="AX122" s="58"/>
      <c r="AY122" s="71"/>
      <c r="AZ122" s="58"/>
      <c r="BA122" s="58"/>
      <c r="BB122" s="72" t="str">
        <f aca="false">IF(BA122&lt;&gt;"",VLOOKUP(BA122,Selects!$B$4:$C$100,2,0),"")</f>
        <v/>
      </c>
      <c r="BC122" s="26"/>
      <c r="BD122" s="26"/>
      <c r="BE122" s="73"/>
      <c r="BF122" s="74"/>
      <c r="BG122" s="75" t="str">
        <f aca="false">IF(LEN(BF122)=11,"PF",IF(LEN(BF122)=14,"PJ",""))</f>
        <v/>
      </c>
      <c r="BH122" s="66"/>
      <c r="BI122" s="58" t="str">
        <f aca="false">IF(BH122&lt;&gt;"",VLOOKUP(BH122,Selects!$G:$H,2,0),"")</f>
        <v/>
      </c>
      <c r="BJ122" s="58"/>
      <c r="BK122" s="58"/>
      <c r="BL122" s="59"/>
      <c r="BM122" s="58"/>
      <c r="BN122" s="58"/>
      <c r="BO122" s="58" t="str">
        <f aca="false">IF(BN122&lt;&gt;"",VLOOKUP(BN122,Selects!$J$4:$K$1000,2,0),"")</f>
        <v/>
      </c>
      <c r="BP122" s="76"/>
      <c r="BQ122" s="59"/>
      <c r="BR122" s="77"/>
      <c r="BS122" s="59"/>
      <c r="BT122" s="77"/>
      <c r="BU122" s="58"/>
      <c r="BV122" s="58"/>
      <c r="BW122" s="58"/>
      <c r="BX122" s="58"/>
      <c r="BY122" s="58"/>
      <c r="BZ122" s="58"/>
      <c r="CA122" s="58"/>
      <c r="CB122" s="72" t="str">
        <f aca="false">IF(AC122&lt;&gt;"",VLOOKUP(AC122,Selects!$B:$E,4,0),"")</f>
        <v/>
      </c>
      <c r="CC122" s="58"/>
      <c r="CD122" s="58"/>
      <c r="CE122" s="58"/>
    </row>
    <row r="123" customFormat="false" ht="15.75" hidden="false" customHeight="true" outlineLevel="0" collapsed="false">
      <c r="A123" s="17"/>
      <c r="B123" s="58"/>
      <c r="C123" s="58"/>
      <c r="D123" s="59"/>
      <c r="E123" s="60" t="str">
        <f aca="false">IF(LEN(D123)=11,"PF",IF(LEN(D123)=14,"PJ",""))</f>
        <v/>
      </c>
      <c r="F123" s="59"/>
      <c r="G123" s="59"/>
      <c r="H123" s="61" t="str">
        <f aca="false">IF(G123&lt;&gt;"",VLOOKUP(G123,'Cnae  mcc  id'!$A:$M,9,0),"")</f>
        <v/>
      </c>
      <c r="I123" s="62"/>
      <c r="J123" s="63" t="str">
        <f aca="false">IF(I123&lt;&gt;"",VLOOKUP(I123,'Legal Nature'!$E$2:$G$84,3,0),"")</f>
        <v/>
      </c>
      <c r="K123" s="64"/>
      <c r="L123" s="65"/>
      <c r="M123" s="66"/>
      <c r="N123" s="66"/>
      <c r="O123" s="79"/>
      <c r="P123" s="26"/>
      <c r="Q123" s="58"/>
      <c r="R123" s="58"/>
      <c r="S123" s="58"/>
      <c r="T123" s="68" t="str">
        <f aca="false">IF(LEFT(S123,1)="9","Celular",IF(S123="","","Fixo"))</f>
        <v/>
      </c>
      <c r="U123" s="58" t="str">
        <f aca="false">IF( T123&lt;&gt;"",VLOOKUP(T123,Selects!$M$4:$N$1000,2,0),"")</f>
        <v/>
      </c>
      <c r="V123" s="26"/>
      <c r="W123" s="58"/>
      <c r="X123" s="58"/>
      <c r="Y123" s="58"/>
      <c r="Z123" s="58"/>
      <c r="AA123" s="69"/>
      <c r="AB123" s="58"/>
      <c r="AC123" s="58"/>
      <c r="AD123" s="70" t="str">
        <f aca="false">IF(AC123&lt;&gt;"",VLOOKUP(AC123,Selects!$B$4:$C$100,2,0),"")</f>
        <v/>
      </c>
      <c r="AE123" s="26"/>
      <c r="AF123" s="58"/>
      <c r="AG123" s="59"/>
      <c r="AH123" s="65"/>
      <c r="AI123" s="66"/>
      <c r="AJ123" s="66"/>
      <c r="AK123" s="58"/>
      <c r="AL123" s="58"/>
      <c r="AM123" s="68" t="str">
        <f aca="false">IF(LEFT(AL123,1)="9","Celular",IF(AL123="","","Fixo"))</f>
        <v/>
      </c>
      <c r="AN123" s="58" t="str">
        <f aca="false">IF( AM123&lt;&gt;"",VLOOKUP(AM123,Selects!$M$4:$N$1000,2,0),"")</f>
        <v/>
      </c>
      <c r="AO123" s="58"/>
      <c r="AP123" s="59"/>
      <c r="AQ123" s="65"/>
      <c r="AR123" s="58"/>
      <c r="AS123" s="58"/>
      <c r="AT123" s="26"/>
      <c r="AU123" s="58"/>
      <c r="AV123" s="58"/>
      <c r="AW123" s="58"/>
      <c r="AX123" s="58"/>
      <c r="AY123" s="71"/>
      <c r="AZ123" s="58"/>
      <c r="BA123" s="58"/>
      <c r="BB123" s="72" t="str">
        <f aca="false">IF(BA123&lt;&gt;"",VLOOKUP(BA123,Selects!$B$4:$C$100,2,0),"")</f>
        <v/>
      </c>
      <c r="BC123" s="26"/>
      <c r="BD123" s="26"/>
      <c r="BE123" s="73"/>
      <c r="BF123" s="74"/>
      <c r="BG123" s="75" t="str">
        <f aca="false">IF(LEN(BF123)=11,"PF",IF(LEN(BF123)=14,"PJ",""))</f>
        <v/>
      </c>
      <c r="BH123" s="66"/>
      <c r="BI123" s="58" t="str">
        <f aca="false">IF(BH123&lt;&gt;"",VLOOKUP(BH123,Selects!$G:$H,2,0),"")</f>
        <v/>
      </c>
      <c r="BJ123" s="58"/>
      <c r="BK123" s="58"/>
      <c r="BL123" s="59"/>
      <c r="BM123" s="58"/>
      <c r="BN123" s="58"/>
      <c r="BO123" s="58" t="str">
        <f aca="false">IF(BN123&lt;&gt;"",VLOOKUP(BN123,Selects!$J$4:$K$1000,2,0),"")</f>
        <v/>
      </c>
      <c r="BP123" s="76"/>
      <c r="BQ123" s="59"/>
      <c r="BR123" s="77"/>
      <c r="BS123" s="59"/>
      <c r="BT123" s="77"/>
      <c r="BU123" s="58"/>
      <c r="BV123" s="58"/>
      <c r="BW123" s="58"/>
      <c r="BX123" s="58"/>
      <c r="BY123" s="58"/>
      <c r="BZ123" s="58"/>
      <c r="CA123" s="58"/>
      <c r="CB123" s="72" t="str">
        <f aca="false">IF(AC123&lt;&gt;"",VLOOKUP(AC123,Selects!$B:$E,4,0),"")</f>
        <v/>
      </c>
      <c r="CC123" s="58"/>
      <c r="CD123" s="58"/>
      <c r="CE123" s="58"/>
    </row>
    <row r="124" customFormat="false" ht="15.75" hidden="false" customHeight="true" outlineLevel="0" collapsed="false">
      <c r="A124" s="17"/>
      <c r="B124" s="58"/>
      <c r="C124" s="58"/>
      <c r="D124" s="59"/>
      <c r="E124" s="60" t="str">
        <f aca="false">IF(LEN(D124)=11,"PF",IF(LEN(D124)=14,"PJ",""))</f>
        <v/>
      </c>
      <c r="F124" s="59"/>
      <c r="G124" s="59"/>
      <c r="H124" s="61" t="str">
        <f aca="false">IF(G124&lt;&gt;"",VLOOKUP(G124,'Cnae  mcc  id'!$A:$M,9,0),"")</f>
        <v/>
      </c>
      <c r="I124" s="62"/>
      <c r="J124" s="63" t="str">
        <f aca="false">IF(I124&lt;&gt;"",VLOOKUP(I124,'Legal Nature'!$E$2:$G$84,3,0),"")</f>
        <v/>
      </c>
      <c r="K124" s="64"/>
      <c r="L124" s="65"/>
      <c r="M124" s="66"/>
      <c r="N124" s="66"/>
      <c r="O124" s="79"/>
      <c r="P124" s="26"/>
      <c r="Q124" s="58"/>
      <c r="R124" s="58"/>
      <c r="S124" s="58"/>
      <c r="T124" s="68" t="str">
        <f aca="false">IF(LEFT(S124,1)="9","Celular",IF(S124="","","Fixo"))</f>
        <v/>
      </c>
      <c r="U124" s="58" t="str">
        <f aca="false">IF( T124&lt;&gt;"",VLOOKUP(T124,Selects!$M$4:$N$1000,2,0),"")</f>
        <v/>
      </c>
      <c r="V124" s="26"/>
      <c r="W124" s="58"/>
      <c r="X124" s="58"/>
      <c r="Y124" s="58"/>
      <c r="Z124" s="58"/>
      <c r="AA124" s="69"/>
      <c r="AB124" s="58"/>
      <c r="AC124" s="58"/>
      <c r="AD124" s="70" t="str">
        <f aca="false">IF(AC124&lt;&gt;"",VLOOKUP(AC124,Selects!$B$4:$C$100,2,0),"")</f>
        <v/>
      </c>
      <c r="AE124" s="26"/>
      <c r="AF124" s="58"/>
      <c r="AG124" s="59"/>
      <c r="AH124" s="65"/>
      <c r="AI124" s="66"/>
      <c r="AJ124" s="66"/>
      <c r="AK124" s="58"/>
      <c r="AL124" s="58"/>
      <c r="AM124" s="68" t="str">
        <f aca="false">IF(LEFT(AL124,1)="9","Celular",IF(AL124="","","Fixo"))</f>
        <v/>
      </c>
      <c r="AN124" s="58" t="str">
        <f aca="false">IF( AM124&lt;&gt;"",VLOOKUP(AM124,Selects!$M$4:$N$1000,2,0),"")</f>
        <v/>
      </c>
      <c r="AO124" s="58"/>
      <c r="AP124" s="59"/>
      <c r="AQ124" s="65"/>
      <c r="AR124" s="58"/>
      <c r="AS124" s="58"/>
      <c r="AT124" s="26"/>
      <c r="AU124" s="58"/>
      <c r="AV124" s="58"/>
      <c r="AW124" s="58"/>
      <c r="AX124" s="58"/>
      <c r="AY124" s="71"/>
      <c r="AZ124" s="58"/>
      <c r="BA124" s="58"/>
      <c r="BB124" s="72" t="str">
        <f aca="false">IF(BA124&lt;&gt;"",VLOOKUP(BA124,Selects!$B$4:$C$100,2,0),"")</f>
        <v/>
      </c>
      <c r="BC124" s="26"/>
      <c r="BD124" s="26"/>
      <c r="BE124" s="73"/>
      <c r="BF124" s="74"/>
      <c r="BG124" s="75" t="str">
        <f aca="false">IF(LEN(BF124)=11,"PF",IF(LEN(BF124)=14,"PJ",""))</f>
        <v/>
      </c>
      <c r="BH124" s="66"/>
      <c r="BI124" s="58" t="str">
        <f aca="false">IF(BH124&lt;&gt;"",VLOOKUP(BH124,Selects!$G:$H,2,0),"")</f>
        <v/>
      </c>
      <c r="BJ124" s="58"/>
      <c r="BK124" s="58"/>
      <c r="BL124" s="59"/>
      <c r="BM124" s="58"/>
      <c r="BN124" s="58"/>
      <c r="BO124" s="58" t="str">
        <f aca="false">IF(BN124&lt;&gt;"",VLOOKUP(BN124,Selects!$J$4:$K$1000,2,0),"")</f>
        <v/>
      </c>
      <c r="BP124" s="76"/>
      <c r="BQ124" s="59"/>
      <c r="BR124" s="77"/>
      <c r="BS124" s="59"/>
      <c r="BT124" s="77"/>
      <c r="BU124" s="58"/>
      <c r="BV124" s="58"/>
      <c r="BW124" s="58"/>
      <c r="BX124" s="58"/>
      <c r="BY124" s="58"/>
      <c r="BZ124" s="58"/>
      <c r="CA124" s="58"/>
      <c r="CB124" s="72" t="str">
        <f aca="false">IF(AC124&lt;&gt;"",VLOOKUP(AC124,Selects!$B:$E,4,0),"")</f>
        <v/>
      </c>
      <c r="CC124" s="58"/>
      <c r="CD124" s="58"/>
      <c r="CE124" s="58"/>
    </row>
    <row r="125" customFormat="false" ht="15.75" hidden="false" customHeight="true" outlineLevel="0" collapsed="false">
      <c r="A125" s="17"/>
      <c r="B125" s="58"/>
      <c r="C125" s="58"/>
      <c r="D125" s="59"/>
      <c r="E125" s="60" t="str">
        <f aca="false">IF(LEN(D125)=11,"PF",IF(LEN(D125)=14,"PJ",""))</f>
        <v/>
      </c>
      <c r="F125" s="59"/>
      <c r="G125" s="59"/>
      <c r="H125" s="61" t="str">
        <f aca="false">IF(G125&lt;&gt;"",VLOOKUP(G125,'Cnae  mcc  id'!$A:$M,9,0),"")</f>
        <v/>
      </c>
      <c r="I125" s="62"/>
      <c r="J125" s="63" t="str">
        <f aca="false">IF(I125&lt;&gt;"",VLOOKUP(I125,'Legal Nature'!$E$2:$G$84,3,0),"")</f>
        <v/>
      </c>
      <c r="K125" s="64"/>
      <c r="L125" s="65"/>
      <c r="M125" s="66"/>
      <c r="N125" s="66"/>
      <c r="O125" s="79"/>
      <c r="P125" s="26"/>
      <c r="Q125" s="58"/>
      <c r="R125" s="58"/>
      <c r="S125" s="58"/>
      <c r="T125" s="68" t="str">
        <f aca="false">IF(LEFT(S125,1)="9","Celular",IF(S125="","","Fixo"))</f>
        <v/>
      </c>
      <c r="U125" s="58" t="str">
        <f aca="false">IF( T125&lt;&gt;"",VLOOKUP(T125,Selects!$M$4:$N$1000,2,0),"")</f>
        <v/>
      </c>
      <c r="V125" s="26"/>
      <c r="W125" s="58"/>
      <c r="X125" s="58"/>
      <c r="Y125" s="58"/>
      <c r="Z125" s="58"/>
      <c r="AA125" s="69"/>
      <c r="AB125" s="58"/>
      <c r="AC125" s="58"/>
      <c r="AD125" s="70" t="str">
        <f aca="false">IF(AC125&lt;&gt;"",VLOOKUP(AC125,Selects!$B$4:$C$100,2,0),"")</f>
        <v/>
      </c>
      <c r="AE125" s="26"/>
      <c r="AF125" s="58"/>
      <c r="AG125" s="59"/>
      <c r="AH125" s="65"/>
      <c r="AI125" s="66"/>
      <c r="AJ125" s="66"/>
      <c r="AK125" s="58"/>
      <c r="AL125" s="58"/>
      <c r="AM125" s="68" t="str">
        <f aca="false">IF(LEFT(AL125,1)="9","Celular",IF(AL125="","","Fixo"))</f>
        <v/>
      </c>
      <c r="AN125" s="58" t="str">
        <f aca="false">IF( AM125&lt;&gt;"",VLOOKUP(AM125,Selects!$M$4:$N$1000,2,0),"")</f>
        <v/>
      </c>
      <c r="AO125" s="58"/>
      <c r="AP125" s="59"/>
      <c r="AQ125" s="65"/>
      <c r="AR125" s="58"/>
      <c r="AS125" s="58"/>
      <c r="AT125" s="26"/>
      <c r="AU125" s="58"/>
      <c r="AV125" s="58"/>
      <c r="AW125" s="58"/>
      <c r="AX125" s="58"/>
      <c r="AY125" s="71"/>
      <c r="AZ125" s="58"/>
      <c r="BA125" s="58"/>
      <c r="BB125" s="72" t="str">
        <f aca="false">IF(BA125&lt;&gt;"",VLOOKUP(BA125,Selects!$B$4:$C$100,2,0),"")</f>
        <v/>
      </c>
      <c r="BC125" s="26"/>
      <c r="BD125" s="26"/>
      <c r="BE125" s="73"/>
      <c r="BF125" s="74"/>
      <c r="BG125" s="75" t="str">
        <f aca="false">IF(LEN(BF125)=11,"PF",IF(LEN(BF125)=14,"PJ",""))</f>
        <v/>
      </c>
      <c r="BH125" s="66"/>
      <c r="BI125" s="58" t="str">
        <f aca="false">IF(BH125&lt;&gt;"",VLOOKUP(BH125,Selects!$G:$H,2,0),"")</f>
        <v/>
      </c>
      <c r="BJ125" s="58"/>
      <c r="BK125" s="58"/>
      <c r="BL125" s="59"/>
      <c r="BM125" s="58"/>
      <c r="BN125" s="58"/>
      <c r="BO125" s="58" t="str">
        <f aca="false">IF(BN125&lt;&gt;"",VLOOKUP(BN125,Selects!$J$4:$K$1000,2,0),"")</f>
        <v/>
      </c>
      <c r="BP125" s="76"/>
      <c r="BQ125" s="59"/>
      <c r="BR125" s="77"/>
      <c r="BS125" s="59"/>
      <c r="BT125" s="77"/>
      <c r="BU125" s="58"/>
      <c r="BV125" s="58"/>
      <c r="BW125" s="58"/>
      <c r="BX125" s="58"/>
      <c r="BY125" s="58"/>
      <c r="BZ125" s="58"/>
      <c r="CA125" s="58"/>
      <c r="CB125" s="72" t="str">
        <f aca="false">IF(AC125&lt;&gt;"",VLOOKUP(AC125,Selects!$B:$E,4,0),"")</f>
        <v/>
      </c>
      <c r="CC125" s="58"/>
      <c r="CD125" s="58"/>
      <c r="CE125" s="58"/>
    </row>
    <row r="126" customFormat="false" ht="15.75" hidden="false" customHeight="true" outlineLevel="0" collapsed="false">
      <c r="A126" s="17"/>
      <c r="B126" s="58"/>
      <c r="C126" s="58"/>
      <c r="D126" s="59"/>
      <c r="E126" s="60" t="str">
        <f aca="false">IF(LEN(D126)=11,"PF",IF(LEN(D126)=14,"PJ",""))</f>
        <v/>
      </c>
      <c r="F126" s="59"/>
      <c r="G126" s="59"/>
      <c r="H126" s="61" t="str">
        <f aca="false">IF(G126&lt;&gt;"",VLOOKUP(G126,'Cnae  mcc  id'!$A:$M,9,0),"")</f>
        <v/>
      </c>
      <c r="I126" s="62"/>
      <c r="J126" s="63" t="str">
        <f aca="false">IF(I126&lt;&gt;"",VLOOKUP(I126,'Legal Nature'!$E$2:$G$84,3,0),"")</f>
        <v/>
      </c>
      <c r="K126" s="64"/>
      <c r="L126" s="65"/>
      <c r="M126" s="66"/>
      <c r="N126" s="66"/>
      <c r="O126" s="79"/>
      <c r="P126" s="26"/>
      <c r="Q126" s="58"/>
      <c r="R126" s="58"/>
      <c r="S126" s="58"/>
      <c r="T126" s="68" t="str">
        <f aca="false">IF(LEFT(S126,1)="9","Celular",IF(S126="","","Fixo"))</f>
        <v/>
      </c>
      <c r="U126" s="58" t="str">
        <f aca="false">IF( T126&lt;&gt;"",VLOOKUP(T126,Selects!$M$4:$N$1000,2,0),"")</f>
        <v/>
      </c>
      <c r="V126" s="26"/>
      <c r="W126" s="58"/>
      <c r="X126" s="58"/>
      <c r="Y126" s="58"/>
      <c r="Z126" s="58"/>
      <c r="AA126" s="69"/>
      <c r="AB126" s="58"/>
      <c r="AC126" s="58"/>
      <c r="AD126" s="70" t="str">
        <f aca="false">IF(AC126&lt;&gt;"",VLOOKUP(AC126,Selects!$B$4:$C$100,2,0),"")</f>
        <v/>
      </c>
      <c r="AE126" s="26"/>
      <c r="AF126" s="58"/>
      <c r="AG126" s="59"/>
      <c r="AH126" s="65"/>
      <c r="AI126" s="66"/>
      <c r="AJ126" s="66"/>
      <c r="AK126" s="58"/>
      <c r="AL126" s="58"/>
      <c r="AM126" s="68" t="str">
        <f aca="false">IF(LEFT(AL126,1)="9","Celular",IF(AL126="","","Fixo"))</f>
        <v/>
      </c>
      <c r="AN126" s="58" t="str">
        <f aca="false">IF( AM126&lt;&gt;"",VLOOKUP(AM126,Selects!$M$4:$N$1000,2,0),"")</f>
        <v/>
      </c>
      <c r="AO126" s="58"/>
      <c r="AP126" s="59"/>
      <c r="AQ126" s="65"/>
      <c r="AR126" s="58"/>
      <c r="AS126" s="58"/>
      <c r="AT126" s="26"/>
      <c r="AU126" s="58"/>
      <c r="AV126" s="58"/>
      <c r="AW126" s="58"/>
      <c r="AX126" s="58"/>
      <c r="AY126" s="71"/>
      <c r="AZ126" s="58"/>
      <c r="BA126" s="58"/>
      <c r="BB126" s="72" t="str">
        <f aca="false">IF(BA126&lt;&gt;"",VLOOKUP(BA126,Selects!$B$4:$C$100,2,0),"")</f>
        <v/>
      </c>
      <c r="BC126" s="26"/>
      <c r="BD126" s="26"/>
      <c r="BE126" s="73"/>
      <c r="BF126" s="74"/>
      <c r="BG126" s="75" t="str">
        <f aca="false">IF(LEN(BF126)=11,"PF",IF(LEN(BF126)=14,"PJ",""))</f>
        <v/>
      </c>
      <c r="BH126" s="66"/>
      <c r="BI126" s="58" t="str">
        <f aca="false">IF(BH126&lt;&gt;"",VLOOKUP(BH126,Selects!$G:$H,2,0),"")</f>
        <v/>
      </c>
      <c r="BJ126" s="58"/>
      <c r="BK126" s="58"/>
      <c r="BL126" s="59"/>
      <c r="BM126" s="58"/>
      <c r="BN126" s="58"/>
      <c r="BO126" s="58" t="str">
        <f aca="false">IF(BN126&lt;&gt;"",VLOOKUP(BN126,Selects!$J$4:$K$1000,2,0),"")</f>
        <v/>
      </c>
      <c r="BP126" s="76"/>
      <c r="BQ126" s="59"/>
      <c r="BR126" s="77"/>
      <c r="BS126" s="59"/>
      <c r="BT126" s="77"/>
      <c r="BU126" s="58"/>
      <c r="BV126" s="58"/>
      <c r="BW126" s="58"/>
      <c r="BX126" s="58"/>
      <c r="BY126" s="58"/>
      <c r="BZ126" s="58"/>
      <c r="CA126" s="58"/>
      <c r="CB126" s="72" t="str">
        <f aca="false">IF(AC126&lt;&gt;"",VLOOKUP(AC126,Selects!$B:$E,4,0),"")</f>
        <v/>
      </c>
      <c r="CC126" s="58"/>
      <c r="CD126" s="58"/>
      <c r="CE126" s="58"/>
    </row>
    <row r="127" customFormat="false" ht="15.75" hidden="false" customHeight="true" outlineLevel="0" collapsed="false">
      <c r="A127" s="17"/>
      <c r="B127" s="58"/>
      <c r="C127" s="58"/>
      <c r="D127" s="59"/>
      <c r="E127" s="60" t="str">
        <f aca="false">IF(LEN(D127)=11,"PF",IF(LEN(D127)=14,"PJ",""))</f>
        <v/>
      </c>
      <c r="F127" s="59"/>
      <c r="G127" s="59"/>
      <c r="H127" s="61" t="str">
        <f aca="false">IF(G127&lt;&gt;"",VLOOKUP(G127,'Cnae  mcc  id'!$A:$M,9,0),"")</f>
        <v/>
      </c>
      <c r="I127" s="62"/>
      <c r="J127" s="63" t="str">
        <f aca="false">IF(I127&lt;&gt;"",VLOOKUP(I127,'Legal Nature'!$E$2:$G$84,3,0),"")</f>
        <v/>
      </c>
      <c r="K127" s="64"/>
      <c r="L127" s="65"/>
      <c r="M127" s="66"/>
      <c r="N127" s="66"/>
      <c r="O127" s="79"/>
      <c r="P127" s="26"/>
      <c r="Q127" s="58"/>
      <c r="R127" s="58"/>
      <c r="S127" s="58"/>
      <c r="T127" s="68" t="str">
        <f aca="false">IF(LEFT(S127,1)="9","Celular",IF(S127="","","Fixo"))</f>
        <v/>
      </c>
      <c r="U127" s="58" t="str">
        <f aca="false">IF( T127&lt;&gt;"",VLOOKUP(T127,Selects!$M$4:$N$1000,2,0),"")</f>
        <v/>
      </c>
      <c r="V127" s="26"/>
      <c r="W127" s="58"/>
      <c r="X127" s="58"/>
      <c r="Y127" s="58"/>
      <c r="Z127" s="58"/>
      <c r="AA127" s="69"/>
      <c r="AB127" s="58"/>
      <c r="AC127" s="58"/>
      <c r="AD127" s="70" t="str">
        <f aca="false">IF(AC127&lt;&gt;"",VLOOKUP(AC127,Selects!$B$4:$C$100,2,0),"")</f>
        <v/>
      </c>
      <c r="AE127" s="26"/>
      <c r="AF127" s="58"/>
      <c r="AG127" s="59"/>
      <c r="AH127" s="65"/>
      <c r="AI127" s="66"/>
      <c r="AJ127" s="66"/>
      <c r="AK127" s="58"/>
      <c r="AL127" s="58"/>
      <c r="AM127" s="68" t="str">
        <f aca="false">IF(LEFT(AL127,1)="9","Celular",IF(AL127="","","Fixo"))</f>
        <v/>
      </c>
      <c r="AN127" s="58" t="str">
        <f aca="false">IF( AM127&lt;&gt;"",VLOOKUP(AM127,Selects!$M$4:$N$1000,2,0),"")</f>
        <v/>
      </c>
      <c r="AO127" s="58"/>
      <c r="AP127" s="59"/>
      <c r="AQ127" s="65"/>
      <c r="AR127" s="58"/>
      <c r="AS127" s="58"/>
      <c r="AT127" s="26"/>
      <c r="AU127" s="58"/>
      <c r="AV127" s="58"/>
      <c r="AW127" s="58"/>
      <c r="AX127" s="58"/>
      <c r="AY127" s="71"/>
      <c r="AZ127" s="58"/>
      <c r="BA127" s="58"/>
      <c r="BB127" s="72" t="str">
        <f aca="false">IF(BA127&lt;&gt;"",VLOOKUP(BA127,Selects!$B$4:$C$100,2,0),"")</f>
        <v/>
      </c>
      <c r="BC127" s="26"/>
      <c r="BD127" s="26"/>
      <c r="BE127" s="73"/>
      <c r="BF127" s="74"/>
      <c r="BG127" s="75" t="str">
        <f aca="false">IF(LEN(BF127)=11,"PF",IF(LEN(BF127)=14,"PJ",""))</f>
        <v/>
      </c>
      <c r="BH127" s="66"/>
      <c r="BI127" s="58" t="str">
        <f aca="false">IF(BH127&lt;&gt;"",VLOOKUP(BH127,Selects!$G:$H,2,0),"")</f>
        <v/>
      </c>
      <c r="BJ127" s="58"/>
      <c r="BK127" s="58"/>
      <c r="BL127" s="59"/>
      <c r="BM127" s="58"/>
      <c r="BN127" s="58"/>
      <c r="BO127" s="58" t="str">
        <f aca="false">IF(BN127&lt;&gt;"",VLOOKUP(BN127,Selects!$J$4:$K$1000,2,0),"")</f>
        <v/>
      </c>
      <c r="BP127" s="76"/>
      <c r="BQ127" s="59"/>
      <c r="BR127" s="77"/>
      <c r="BS127" s="59"/>
      <c r="BT127" s="77"/>
      <c r="BU127" s="58"/>
      <c r="BV127" s="58"/>
      <c r="BW127" s="58"/>
      <c r="BX127" s="58"/>
      <c r="BY127" s="58"/>
      <c r="BZ127" s="58"/>
      <c r="CA127" s="58"/>
      <c r="CB127" s="72" t="str">
        <f aca="false">IF(AC127&lt;&gt;"",VLOOKUP(AC127,Selects!$B:$E,4,0),"")</f>
        <v/>
      </c>
      <c r="CC127" s="58"/>
      <c r="CD127" s="58"/>
      <c r="CE127" s="58"/>
    </row>
    <row r="128" customFormat="false" ht="15.75" hidden="false" customHeight="true" outlineLevel="0" collapsed="false">
      <c r="A128" s="17"/>
      <c r="B128" s="58"/>
      <c r="C128" s="58"/>
      <c r="D128" s="59"/>
      <c r="E128" s="60" t="str">
        <f aca="false">IF(LEN(D128)=11,"PF",IF(LEN(D128)=14,"PJ",""))</f>
        <v/>
      </c>
      <c r="F128" s="59"/>
      <c r="G128" s="59"/>
      <c r="H128" s="61" t="str">
        <f aca="false">IF(G128&lt;&gt;"",VLOOKUP(G128,'Cnae  mcc  id'!$A:$M,9,0),"")</f>
        <v/>
      </c>
      <c r="I128" s="62"/>
      <c r="J128" s="63" t="str">
        <f aca="false">IF(I128&lt;&gt;"",VLOOKUP(I128,'Legal Nature'!$E$2:$G$84,3,0),"")</f>
        <v/>
      </c>
      <c r="K128" s="64"/>
      <c r="L128" s="65"/>
      <c r="M128" s="66"/>
      <c r="N128" s="66"/>
      <c r="O128" s="79"/>
      <c r="P128" s="26"/>
      <c r="Q128" s="58"/>
      <c r="R128" s="58"/>
      <c r="S128" s="58"/>
      <c r="T128" s="68" t="str">
        <f aca="false">IF(LEFT(S128,1)="9","Celular",IF(S128="","","Fixo"))</f>
        <v/>
      </c>
      <c r="U128" s="58" t="str">
        <f aca="false">IF( T128&lt;&gt;"",VLOOKUP(T128,Selects!$M$4:$N$1000,2,0),"")</f>
        <v/>
      </c>
      <c r="V128" s="26"/>
      <c r="W128" s="58"/>
      <c r="X128" s="58"/>
      <c r="Y128" s="58"/>
      <c r="Z128" s="58"/>
      <c r="AA128" s="69"/>
      <c r="AB128" s="58"/>
      <c r="AC128" s="58"/>
      <c r="AD128" s="70" t="str">
        <f aca="false">IF(AC128&lt;&gt;"",VLOOKUP(AC128,Selects!$B$4:$C$100,2,0),"")</f>
        <v/>
      </c>
      <c r="AE128" s="26"/>
      <c r="AF128" s="58"/>
      <c r="AG128" s="59"/>
      <c r="AH128" s="65"/>
      <c r="AI128" s="66"/>
      <c r="AJ128" s="66"/>
      <c r="AK128" s="58"/>
      <c r="AL128" s="58"/>
      <c r="AM128" s="68" t="str">
        <f aca="false">IF(LEFT(AL128,1)="9","Celular",IF(AL128="","","Fixo"))</f>
        <v/>
      </c>
      <c r="AN128" s="58" t="str">
        <f aca="false">IF( AM128&lt;&gt;"",VLOOKUP(AM128,Selects!$M$4:$N$1000,2,0),"")</f>
        <v/>
      </c>
      <c r="AO128" s="58"/>
      <c r="AP128" s="59"/>
      <c r="AQ128" s="65"/>
      <c r="AR128" s="58"/>
      <c r="AS128" s="58"/>
      <c r="AT128" s="26"/>
      <c r="AU128" s="58"/>
      <c r="AV128" s="58"/>
      <c r="AW128" s="58"/>
      <c r="AX128" s="58"/>
      <c r="AY128" s="71"/>
      <c r="AZ128" s="58"/>
      <c r="BA128" s="58"/>
      <c r="BB128" s="72" t="str">
        <f aca="false">IF(BA128&lt;&gt;"",VLOOKUP(BA128,Selects!$B$4:$C$100,2,0),"")</f>
        <v/>
      </c>
      <c r="BC128" s="26"/>
      <c r="BD128" s="26"/>
      <c r="BE128" s="73"/>
      <c r="BF128" s="74"/>
      <c r="BG128" s="75" t="str">
        <f aca="false">IF(LEN(BF128)=11,"PF",IF(LEN(BF128)=14,"PJ",""))</f>
        <v/>
      </c>
      <c r="BH128" s="66"/>
      <c r="BI128" s="58" t="str">
        <f aca="false">IF(BH128&lt;&gt;"",VLOOKUP(BH128,Selects!$G:$H,2,0),"")</f>
        <v/>
      </c>
      <c r="BJ128" s="58"/>
      <c r="BK128" s="58"/>
      <c r="BL128" s="59"/>
      <c r="BM128" s="58"/>
      <c r="BN128" s="58"/>
      <c r="BO128" s="58" t="str">
        <f aca="false">IF(BN128&lt;&gt;"",VLOOKUP(BN128,Selects!$J$4:$K$1000,2,0),"")</f>
        <v/>
      </c>
      <c r="BP128" s="76"/>
      <c r="BQ128" s="59"/>
      <c r="BR128" s="77"/>
      <c r="BS128" s="59"/>
      <c r="BT128" s="77"/>
      <c r="BU128" s="58"/>
      <c r="BV128" s="58"/>
      <c r="BW128" s="58"/>
      <c r="BX128" s="58"/>
      <c r="BY128" s="58"/>
      <c r="BZ128" s="58"/>
      <c r="CA128" s="58"/>
      <c r="CB128" s="72" t="str">
        <f aca="false">IF(AC128&lt;&gt;"",VLOOKUP(AC128,Selects!$B:$E,4,0),"")</f>
        <v/>
      </c>
      <c r="CC128" s="58"/>
      <c r="CD128" s="58"/>
      <c r="CE128" s="58"/>
    </row>
    <row r="129" customFormat="false" ht="15.75" hidden="false" customHeight="true" outlineLevel="0" collapsed="false">
      <c r="A129" s="17"/>
      <c r="B129" s="58"/>
      <c r="C129" s="58"/>
      <c r="D129" s="59"/>
      <c r="E129" s="60" t="str">
        <f aca="false">IF(LEN(D129)=11,"PF",IF(LEN(D129)=14,"PJ",""))</f>
        <v/>
      </c>
      <c r="F129" s="59"/>
      <c r="G129" s="59"/>
      <c r="H129" s="61" t="str">
        <f aca="false">IF(G129&lt;&gt;"",VLOOKUP(G129,'Cnae  mcc  id'!$A:$M,9,0),"")</f>
        <v/>
      </c>
      <c r="I129" s="62"/>
      <c r="J129" s="63" t="str">
        <f aca="false">IF(I129&lt;&gt;"",VLOOKUP(I129,'Legal Nature'!$E$2:$G$84,3,0),"")</f>
        <v/>
      </c>
      <c r="K129" s="64"/>
      <c r="L129" s="65"/>
      <c r="M129" s="66"/>
      <c r="N129" s="66"/>
      <c r="O129" s="79"/>
      <c r="P129" s="26"/>
      <c r="Q129" s="58"/>
      <c r="R129" s="58"/>
      <c r="S129" s="58"/>
      <c r="T129" s="68" t="str">
        <f aca="false">IF(LEFT(S129,1)="9","Celular",IF(S129="","","Fixo"))</f>
        <v/>
      </c>
      <c r="U129" s="58" t="str">
        <f aca="false">IF( T129&lt;&gt;"",VLOOKUP(T129,Selects!$M$4:$N$1000,2,0),"")</f>
        <v/>
      </c>
      <c r="V129" s="26"/>
      <c r="W129" s="58"/>
      <c r="X129" s="58"/>
      <c r="Y129" s="58"/>
      <c r="Z129" s="58"/>
      <c r="AA129" s="69"/>
      <c r="AB129" s="58"/>
      <c r="AC129" s="58"/>
      <c r="AD129" s="70" t="str">
        <f aca="false">IF(AC129&lt;&gt;"",VLOOKUP(AC129,Selects!$B$4:$C$100,2,0),"")</f>
        <v/>
      </c>
      <c r="AE129" s="26"/>
      <c r="AF129" s="58"/>
      <c r="AG129" s="59"/>
      <c r="AH129" s="65"/>
      <c r="AI129" s="66"/>
      <c r="AJ129" s="66"/>
      <c r="AK129" s="58"/>
      <c r="AL129" s="58"/>
      <c r="AM129" s="68" t="str">
        <f aca="false">IF(LEFT(AL129,1)="9","Celular",IF(AL129="","","Fixo"))</f>
        <v/>
      </c>
      <c r="AN129" s="58" t="str">
        <f aca="false">IF( AM129&lt;&gt;"",VLOOKUP(AM129,Selects!$M$4:$N$1000,2,0),"")</f>
        <v/>
      </c>
      <c r="AO129" s="58"/>
      <c r="AP129" s="59"/>
      <c r="AQ129" s="65"/>
      <c r="AR129" s="58"/>
      <c r="AS129" s="58"/>
      <c r="AT129" s="26"/>
      <c r="AU129" s="58"/>
      <c r="AV129" s="58"/>
      <c r="AW129" s="58"/>
      <c r="AX129" s="58"/>
      <c r="AY129" s="71"/>
      <c r="AZ129" s="58"/>
      <c r="BA129" s="58"/>
      <c r="BB129" s="72" t="str">
        <f aca="false">IF(BA129&lt;&gt;"",VLOOKUP(BA129,Selects!$B$4:$C$100,2,0),"")</f>
        <v/>
      </c>
      <c r="BC129" s="26"/>
      <c r="BD129" s="26"/>
      <c r="BE129" s="73"/>
      <c r="BF129" s="74"/>
      <c r="BG129" s="75" t="str">
        <f aca="false">IF(LEN(BF129)=11,"PF",IF(LEN(BF129)=14,"PJ",""))</f>
        <v/>
      </c>
      <c r="BH129" s="66"/>
      <c r="BI129" s="58" t="str">
        <f aca="false">IF(BH129&lt;&gt;"",VLOOKUP(BH129,Selects!$G:$H,2,0),"")</f>
        <v/>
      </c>
      <c r="BJ129" s="58"/>
      <c r="BK129" s="58"/>
      <c r="BL129" s="59"/>
      <c r="BM129" s="58"/>
      <c r="BN129" s="58"/>
      <c r="BO129" s="58" t="str">
        <f aca="false">IF(BN129&lt;&gt;"",VLOOKUP(BN129,Selects!$J$4:$K$1000,2,0),"")</f>
        <v/>
      </c>
      <c r="BP129" s="76"/>
      <c r="BQ129" s="59"/>
      <c r="BR129" s="77"/>
      <c r="BS129" s="59"/>
      <c r="BT129" s="77"/>
      <c r="BU129" s="58"/>
      <c r="BV129" s="58"/>
      <c r="BW129" s="58"/>
      <c r="BX129" s="58"/>
      <c r="BY129" s="58"/>
      <c r="BZ129" s="58"/>
      <c r="CA129" s="58"/>
      <c r="CB129" s="72" t="str">
        <f aca="false">IF(AC129&lt;&gt;"",VLOOKUP(AC129,Selects!$B:$E,4,0),"")</f>
        <v/>
      </c>
      <c r="CC129" s="58"/>
      <c r="CD129" s="58"/>
      <c r="CE129" s="58"/>
    </row>
    <row r="130" customFormat="false" ht="15.75" hidden="false" customHeight="true" outlineLevel="0" collapsed="false">
      <c r="A130" s="17"/>
      <c r="B130" s="58"/>
      <c r="C130" s="58"/>
      <c r="D130" s="59"/>
      <c r="E130" s="60" t="str">
        <f aca="false">IF(LEN(D130)=11,"PF",IF(LEN(D130)=14,"PJ",""))</f>
        <v/>
      </c>
      <c r="F130" s="59"/>
      <c r="G130" s="59"/>
      <c r="H130" s="61" t="str">
        <f aca="false">IF(G130&lt;&gt;"",VLOOKUP(G130,'Cnae  mcc  id'!$A:$M,9,0),"")</f>
        <v/>
      </c>
      <c r="I130" s="62"/>
      <c r="J130" s="63" t="str">
        <f aca="false">IF(I130&lt;&gt;"",VLOOKUP(I130,'Legal Nature'!$E$2:$G$84,3,0),"")</f>
        <v/>
      </c>
      <c r="K130" s="64"/>
      <c r="L130" s="65"/>
      <c r="M130" s="66"/>
      <c r="N130" s="66"/>
      <c r="O130" s="79"/>
      <c r="P130" s="26"/>
      <c r="Q130" s="58"/>
      <c r="R130" s="58"/>
      <c r="S130" s="58"/>
      <c r="T130" s="68" t="str">
        <f aca="false">IF(LEFT(S130,1)="9","Celular",IF(S130="","","Fixo"))</f>
        <v/>
      </c>
      <c r="U130" s="58" t="str">
        <f aca="false">IF( T130&lt;&gt;"",VLOOKUP(T130,Selects!$M$4:$N$1000,2,0),"")</f>
        <v/>
      </c>
      <c r="V130" s="26"/>
      <c r="W130" s="58"/>
      <c r="X130" s="58"/>
      <c r="Y130" s="58"/>
      <c r="Z130" s="58"/>
      <c r="AA130" s="69"/>
      <c r="AB130" s="58"/>
      <c r="AC130" s="58"/>
      <c r="AD130" s="70" t="str">
        <f aca="false">IF(AC130&lt;&gt;"",VLOOKUP(AC130,Selects!$B$4:$C$100,2,0),"")</f>
        <v/>
      </c>
      <c r="AE130" s="26"/>
      <c r="AF130" s="58"/>
      <c r="AG130" s="59"/>
      <c r="AH130" s="65"/>
      <c r="AI130" s="66"/>
      <c r="AJ130" s="66"/>
      <c r="AK130" s="58"/>
      <c r="AL130" s="58"/>
      <c r="AM130" s="68" t="str">
        <f aca="false">IF(LEFT(AL130,1)="9","Celular",IF(AL130="","","Fixo"))</f>
        <v/>
      </c>
      <c r="AN130" s="58" t="str">
        <f aca="false">IF( AM130&lt;&gt;"",VLOOKUP(AM130,Selects!$M$4:$N$1000,2,0),"")</f>
        <v/>
      </c>
      <c r="AO130" s="58"/>
      <c r="AP130" s="59"/>
      <c r="AQ130" s="65"/>
      <c r="AR130" s="58"/>
      <c r="AS130" s="58"/>
      <c r="AT130" s="26"/>
      <c r="AU130" s="58"/>
      <c r="AV130" s="58"/>
      <c r="AW130" s="58"/>
      <c r="AX130" s="58"/>
      <c r="AY130" s="71"/>
      <c r="AZ130" s="58"/>
      <c r="BA130" s="58"/>
      <c r="BB130" s="72" t="str">
        <f aca="false">IF(BA130&lt;&gt;"",VLOOKUP(BA130,Selects!$B$4:$C$100,2,0),"")</f>
        <v/>
      </c>
      <c r="BC130" s="26"/>
      <c r="BD130" s="26"/>
      <c r="BE130" s="73"/>
      <c r="BF130" s="74"/>
      <c r="BG130" s="75" t="str">
        <f aca="false">IF(LEN(BF130)=11,"PF",IF(LEN(BF130)=14,"PJ",""))</f>
        <v/>
      </c>
      <c r="BH130" s="66"/>
      <c r="BI130" s="58" t="str">
        <f aca="false">IF(BH130&lt;&gt;"",VLOOKUP(BH130,Selects!$G:$H,2,0),"")</f>
        <v/>
      </c>
      <c r="BJ130" s="58"/>
      <c r="BK130" s="58"/>
      <c r="BL130" s="59"/>
      <c r="BM130" s="58"/>
      <c r="BN130" s="58"/>
      <c r="BO130" s="58" t="str">
        <f aca="false">IF(BN130&lt;&gt;"",VLOOKUP(BN130,Selects!$J$4:$K$1000,2,0),"")</f>
        <v/>
      </c>
      <c r="BP130" s="76"/>
      <c r="BQ130" s="59"/>
      <c r="BR130" s="77"/>
      <c r="BS130" s="59"/>
      <c r="BT130" s="77"/>
      <c r="BU130" s="58"/>
      <c r="BV130" s="58"/>
      <c r="BW130" s="58"/>
      <c r="BX130" s="58"/>
      <c r="BY130" s="58"/>
      <c r="BZ130" s="58"/>
      <c r="CA130" s="58"/>
      <c r="CB130" s="72" t="str">
        <f aca="false">IF(AC130&lt;&gt;"",VLOOKUP(AC130,Selects!$B:$E,4,0),"")</f>
        <v/>
      </c>
      <c r="CC130" s="58"/>
      <c r="CD130" s="58"/>
      <c r="CE130" s="58"/>
    </row>
    <row r="131" customFormat="false" ht="15.75" hidden="false" customHeight="true" outlineLevel="0" collapsed="false">
      <c r="A131" s="17"/>
      <c r="B131" s="58"/>
      <c r="C131" s="58"/>
      <c r="D131" s="59"/>
      <c r="E131" s="60" t="str">
        <f aca="false">IF(LEN(D131)=11,"PF",IF(LEN(D131)=14,"PJ",""))</f>
        <v/>
      </c>
      <c r="F131" s="59"/>
      <c r="G131" s="59"/>
      <c r="H131" s="61" t="str">
        <f aca="false">IF(G131&lt;&gt;"",VLOOKUP(G131,'Cnae  mcc  id'!$A:$M,9,0),"")</f>
        <v/>
      </c>
      <c r="I131" s="62"/>
      <c r="J131" s="63" t="str">
        <f aca="false">IF(I131&lt;&gt;"",VLOOKUP(I131,'Legal Nature'!$E$2:$G$84,3,0),"")</f>
        <v/>
      </c>
      <c r="K131" s="64"/>
      <c r="L131" s="65"/>
      <c r="M131" s="66"/>
      <c r="N131" s="66"/>
      <c r="O131" s="79"/>
      <c r="P131" s="26"/>
      <c r="Q131" s="58"/>
      <c r="R131" s="58"/>
      <c r="S131" s="58"/>
      <c r="T131" s="68" t="str">
        <f aca="false">IF(LEFT(S131,1)="9","Celular",IF(S131="","","Fixo"))</f>
        <v/>
      </c>
      <c r="U131" s="58" t="str">
        <f aca="false">IF( T131&lt;&gt;"",VLOOKUP(T131,Selects!$M$4:$N$1000,2,0),"")</f>
        <v/>
      </c>
      <c r="V131" s="26"/>
      <c r="W131" s="58"/>
      <c r="X131" s="58"/>
      <c r="Y131" s="58"/>
      <c r="Z131" s="58"/>
      <c r="AA131" s="69"/>
      <c r="AB131" s="58"/>
      <c r="AC131" s="58"/>
      <c r="AD131" s="70" t="str">
        <f aca="false">IF(AC131&lt;&gt;"",VLOOKUP(AC131,Selects!$B$4:$C$100,2,0),"")</f>
        <v/>
      </c>
      <c r="AE131" s="26"/>
      <c r="AF131" s="58"/>
      <c r="AG131" s="59"/>
      <c r="AH131" s="65"/>
      <c r="AI131" s="66"/>
      <c r="AJ131" s="66"/>
      <c r="AK131" s="58"/>
      <c r="AL131" s="58"/>
      <c r="AM131" s="68" t="str">
        <f aca="false">IF(LEFT(AL131,1)="9","Celular",IF(AL131="","","Fixo"))</f>
        <v/>
      </c>
      <c r="AN131" s="58" t="str">
        <f aca="false">IF( AM131&lt;&gt;"",VLOOKUP(AM131,Selects!$M$4:$N$1000,2,0),"")</f>
        <v/>
      </c>
      <c r="AO131" s="58"/>
      <c r="AP131" s="59"/>
      <c r="AQ131" s="65"/>
      <c r="AR131" s="58"/>
      <c r="AS131" s="58"/>
      <c r="AT131" s="26"/>
      <c r="AU131" s="58"/>
      <c r="AV131" s="58"/>
      <c r="AW131" s="58"/>
      <c r="AX131" s="58"/>
      <c r="AY131" s="71"/>
      <c r="AZ131" s="58"/>
      <c r="BA131" s="58"/>
      <c r="BB131" s="72" t="str">
        <f aca="false">IF(BA131&lt;&gt;"",VLOOKUP(BA131,Selects!$B$4:$C$100,2,0),"")</f>
        <v/>
      </c>
      <c r="BC131" s="26"/>
      <c r="BD131" s="26"/>
      <c r="BE131" s="73"/>
      <c r="BF131" s="74"/>
      <c r="BG131" s="75" t="str">
        <f aca="false">IF(LEN(BF131)=11,"PF",IF(LEN(BF131)=14,"PJ",""))</f>
        <v/>
      </c>
      <c r="BH131" s="66"/>
      <c r="BI131" s="58" t="str">
        <f aca="false">IF(BH131&lt;&gt;"",VLOOKUP(BH131,Selects!$G:$H,2,0),"")</f>
        <v/>
      </c>
      <c r="BJ131" s="58"/>
      <c r="BK131" s="58"/>
      <c r="BL131" s="59"/>
      <c r="BM131" s="58"/>
      <c r="BN131" s="58"/>
      <c r="BO131" s="58" t="str">
        <f aca="false">IF(BN131&lt;&gt;"",VLOOKUP(BN131,Selects!$J$4:$K$1000,2,0),"")</f>
        <v/>
      </c>
      <c r="BP131" s="76"/>
      <c r="BQ131" s="59"/>
      <c r="BR131" s="77"/>
      <c r="BS131" s="59"/>
      <c r="BT131" s="77"/>
      <c r="BU131" s="58"/>
      <c r="BV131" s="58"/>
      <c r="BW131" s="58"/>
      <c r="BX131" s="58"/>
      <c r="BY131" s="58"/>
      <c r="BZ131" s="58"/>
      <c r="CA131" s="58"/>
      <c r="CB131" s="72" t="str">
        <f aca="false">IF(AC131&lt;&gt;"",VLOOKUP(AC131,Selects!$B:$E,4,0),"")</f>
        <v/>
      </c>
      <c r="CC131" s="58"/>
      <c r="CD131" s="58"/>
      <c r="CE131" s="58"/>
    </row>
    <row r="132" customFormat="false" ht="15.75" hidden="false" customHeight="true" outlineLevel="0" collapsed="false">
      <c r="A132" s="17"/>
      <c r="B132" s="58"/>
      <c r="C132" s="58"/>
      <c r="D132" s="59"/>
      <c r="E132" s="60" t="str">
        <f aca="false">IF(LEN(D132)=11,"PF",IF(LEN(D132)=14,"PJ",""))</f>
        <v/>
      </c>
      <c r="F132" s="59"/>
      <c r="G132" s="59"/>
      <c r="H132" s="61" t="str">
        <f aca="false">IF(G132&lt;&gt;"",VLOOKUP(G132,'Cnae  mcc  id'!$A:$M,9,0),"")</f>
        <v/>
      </c>
      <c r="I132" s="62"/>
      <c r="J132" s="63" t="str">
        <f aca="false">IF(I132&lt;&gt;"",VLOOKUP(I132,'Legal Nature'!$E$2:$G$84,3,0),"")</f>
        <v/>
      </c>
      <c r="K132" s="64"/>
      <c r="L132" s="65"/>
      <c r="M132" s="66"/>
      <c r="N132" s="66"/>
      <c r="O132" s="79"/>
      <c r="P132" s="26"/>
      <c r="Q132" s="58"/>
      <c r="R132" s="58"/>
      <c r="S132" s="58"/>
      <c r="T132" s="68" t="str">
        <f aca="false">IF(LEFT(S132,1)="9","Celular",IF(S132="","","Fixo"))</f>
        <v/>
      </c>
      <c r="U132" s="58" t="str">
        <f aca="false">IF( T132&lt;&gt;"",VLOOKUP(T132,Selects!$M$4:$N$1000,2,0),"")</f>
        <v/>
      </c>
      <c r="V132" s="26"/>
      <c r="W132" s="58"/>
      <c r="X132" s="58"/>
      <c r="Y132" s="58"/>
      <c r="Z132" s="58"/>
      <c r="AA132" s="69"/>
      <c r="AB132" s="58"/>
      <c r="AC132" s="58"/>
      <c r="AD132" s="70" t="str">
        <f aca="false">IF(AC132&lt;&gt;"",VLOOKUP(AC132,Selects!$B$4:$C$100,2,0),"")</f>
        <v/>
      </c>
      <c r="AE132" s="26"/>
      <c r="AF132" s="58"/>
      <c r="AG132" s="59"/>
      <c r="AH132" s="65"/>
      <c r="AI132" s="66"/>
      <c r="AJ132" s="66"/>
      <c r="AK132" s="58"/>
      <c r="AL132" s="58"/>
      <c r="AM132" s="68" t="str">
        <f aca="false">IF(LEFT(AL132,1)="9","Celular",IF(AL132="","","Fixo"))</f>
        <v/>
      </c>
      <c r="AN132" s="58" t="str">
        <f aca="false">IF( AM132&lt;&gt;"",VLOOKUP(AM132,Selects!$M$4:$N$1000,2,0),"")</f>
        <v/>
      </c>
      <c r="AO132" s="58"/>
      <c r="AP132" s="59"/>
      <c r="AQ132" s="65"/>
      <c r="AR132" s="58"/>
      <c r="AS132" s="58"/>
      <c r="AT132" s="26"/>
      <c r="AU132" s="58"/>
      <c r="AV132" s="58"/>
      <c r="AW132" s="58"/>
      <c r="AX132" s="58"/>
      <c r="AY132" s="71"/>
      <c r="AZ132" s="58"/>
      <c r="BA132" s="58"/>
      <c r="BB132" s="72" t="str">
        <f aca="false">IF(BA132&lt;&gt;"",VLOOKUP(BA132,Selects!$B$4:$C$100,2,0),"")</f>
        <v/>
      </c>
      <c r="BC132" s="26"/>
      <c r="BD132" s="26"/>
      <c r="BE132" s="73"/>
      <c r="BF132" s="74"/>
      <c r="BG132" s="75" t="str">
        <f aca="false">IF(LEN(BF132)=11,"PF",IF(LEN(BF132)=14,"PJ",""))</f>
        <v/>
      </c>
      <c r="BH132" s="66"/>
      <c r="BI132" s="58" t="str">
        <f aca="false">IF(BH132&lt;&gt;"",VLOOKUP(BH132,Selects!$G:$H,2,0),"")</f>
        <v/>
      </c>
      <c r="BJ132" s="58"/>
      <c r="BK132" s="58"/>
      <c r="BL132" s="59"/>
      <c r="BM132" s="58"/>
      <c r="BN132" s="58"/>
      <c r="BO132" s="58" t="str">
        <f aca="false">IF(BN132&lt;&gt;"",VLOOKUP(BN132,Selects!$J$4:$K$1000,2,0),"")</f>
        <v/>
      </c>
      <c r="BP132" s="76"/>
      <c r="BQ132" s="59"/>
      <c r="BR132" s="77"/>
      <c r="BS132" s="59"/>
      <c r="BT132" s="77"/>
      <c r="BU132" s="58"/>
      <c r="BV132" s="58"/>
      <c r="BW132" s="58"/>
      <c r="BX132" s="58"/>
      <c r="BY132" s="58"/>
      <c r="BZ132" s="58"/>
      <c r="CA132" s="58"/>
      <c r="CB132" s="72" t="str">
        <f aca="false">IF(AC132&lt;&gt;"",VLOOKUP(AC132,Selects!$B:$E,4,0),"")</f>
        <v/>
      </c>
      <c r="CC132" s="58"/>
      <c r="CD132" s="58"/>
      <c r="CE132" s="58"/>
    </row>
    <row r="133" customFormat="false" ht="15.75" hidden="false" customHeight="true" outlineLevel="0" collapsed="false">
      <c r="A133" s="17"/>
      <c r="B133" s="58"/>
      <c r="C133" s="58"/>
      <c r="D133" s="59"/>
      <c r="E133" s="60" t="str">
        <f aca="false">IF(LEN(D133)=11,"PF",IF(LEN(D133)=14,"PJ",""))</f>
        <v/>
      </c>
      <c r="F133" s="59"/>
      <c r="G133" s="59"/>
      <c r="H133" s="61" t="str">
        <f aca="false">IF(G133&lt;&gt;"",VLOOKUP(G133,'Cnae  mcc  id'!$A:$M,9,0),"")</f>
        <v/>
      </c>
      <c r="I133" s="62"/>
      <c r="J133" s="63" t="str">
        <f aca="false">IF(I133&lt;&gt;"",VLOOKUP(I133,'Legal Nature'!$E$2:$G$84,3,0),"")</f>
        <v/>
      </c>
      <c r="K133" s="64"/>
      <c r="L133" s="65"/>
      <c r="M133" s="66"/>
      <c r="N133" s="66"/>
      <c r="O133" s="79"/>
      <c r="P133" s="26"/>
      <c r="Q133" s="58"/>
      <c r="R133" s="58"/>
      <c r="S133" s="58"/>
      <c r="T133" s="68" t="str">
        <f aca="false">IF(LEFT(S133,1)="9","Celular",IF(S133="","","Fixo"))</f>
        <v/>
      </c>
      <c r="U133" s="58" t="str">
        <f aca="false">IF( T133&lt;&gt;"",VLOOKUP(T133,Selects!$M$4:$N$1000,2,0),"")</f>
        <v/>
      </c>
      <c r="V133" s="26"/>
      <c r="W133" s="58"/>
      <c r="X133" s="58"/>
      <c r="Y133" s="58"/>
      <c r="Z133" s="58"/>
      <c r="AA133" s="69"/>
      <c r="AB133" s="58"/>
      <c r="AC133" s="58"/>
      <c r="AD133" s="70" t="str">
        <f aca="false">IF(AC133&lt;&gt;"",VLOOKUP(AC133,Selects!$B$4:$C$100,2,0),"")</f>
        <v/>
      </c>
      <c r="AE133" s="26"/>
      <c r="AF133" s="58"/>
      <c r="AG133" s="59"/>
      <c r="AH133" s="65"/>
      <c r="AI133" s="66"/>
      <c r="AJ133" s="66"/>
      <c r="AK133" s="58"/>
      <c r="AL133" s="58"/>
      <c r="AM133" s="68" t="str">
        <f aca="false">IF(LEFT(AL133,1)="9","Celular",IF(AL133="","","Fixo"))</f>
        <v/>
      </c>
      <c r="AN133" s="58" t="str">
        <f aca="false">IF( AM133&lt;&gt;"",VLOOKUP(AM133,Selects!$M$4:$N$1000,2,0),"")</f>
        <v/>
      </c>
      <c r="AO133" s="58"/>
      <c r="AP133" s="59"/>
      <c r="AQ133" s="65"/>
      <c r="AR133" s="58"/>
      <c r="AS133" s="58"/>
      <c r="AT133" s="26"/>
      <c r="AU133" s="58"/>
      <c r="AV133" s="58"/>
      <c r="AW133" s="58"/>
      <c r="AX133" s="58"/>
      <c r="AY133" s="71"/>
      <c r="AZ133" s="58"/>
      <c r="BA133" s="58"/>
      <c r="BB133" s="72" t="str">
        <f aca="false">IF(BA133&lt;&gt;"",VLOOKUP(BA133,Selects!$B$4:$C$100,2,0),"")</f>
        <v/>
      </c>
      <c r="BC133" s="26"/>
      <c r="BD133" s="26"/>
      <c r="BE133" s="73"/>
      <c r="BF133" s="74"/>
      <c r="BG133" s="75" t="str">
        <f aca="false">IF(LEN(BF133)=11,"PF",IF(LEN(BF133)=14,"PJ",""))</f>
        <v/>
      </c>
      <c r="BH133" s="66"/>
      <c r="BI133" s="58" t="str">
        <f aca="false">IF(BH133&lt;&gt;"",VLOOKUP(BH133,Selects!$G:$H,2,0),"")</f>
        <v/>
      </c>
      <c r="BJ133" s="58"/>
      <c r="BK133" s="58"/>
      <c r="BL133" s="59"/>
      <c r="BM133" s="58"/>
      <c r="BN133" s="58"/>
      <c r="BO133" s="58" t="str">
        <f aca="false">IF(BN133&lt;&gt;"",VLOOKUP(BN133,Selects!$J$4:$K$1000,2,0),"")</f>
        <v/>
      </c>
      <c r="BP133" s="76"/>
      <c r="BQ133" s="59"/>
      <c r="BR133" s="77"/>
      <c r="BS133" s="59"/>
      <c r="BT133" s="77"/>
      <c r="BU133" s="58"/>
      <c r="BV133" s="58"/>
      <c r="BW133" s="58"/>
      <c r="BX133" s="58"/>
      <c r="BY133" s="58"/>
      <c r="BZ133" s="58"/>
      <c r="CA133" s="58"/>
      <c r="CB133" s="72" t="str">
        <f aca="false">IF(AC133&lt;&gt;"",VLOOKUP(AC133,Selects!$B:$E,4,0),"")</f>
        <v/>
      </c>
      <c r="CC133" s="58"/>
      <c r="CD133" s="58"/>
      <c r="CE133" s="58"/>
    </row>
    <row r="134" customFormat="false" ht="15.75" hidden="false" customHeight="true" outlineLevel="0" collapsed="false">
      <c r="A134" s="17"/>
      <c r="B134" s="58"/>
      <c r="C134" s="58"/>
      <c r="D134" s="59"/>
      <c r="E134" s="60" t="str">
        <f aca="false">IF(LEN(D134)=11,"PF",IF(LEN(D134)=14,"PJ",""))</f>
        <v/>
      </c>
      <c r="F134" s="59"/>
      <c r="G134" s="59"/>
      <c r="H134" s="61" t="str">
        <f aca="false">IF(G134&lt;&gt;"",VLOOKUP(G134,'Cnae  mcc  id'!$A:$M,9,0),"")</f>
        <v/>
      </c>
      <c r="I134" s="62"/>
      <c r="J134" s="63" t="str">
        <f aca="false">IF(I134&lt;&gt;"",VLOOKUP(I134,'Legal Nature'!$E$2:$G$84,3,0),"")</f>
        <v/>
      </c>
      <c r="K134" s="64"/>
      <c r="L134" s="65"/>
      <c r="M134" s="66"/>
      <c r="N134" s="66"/>
      <c r="O134" s="79"/>
      <c r="P134" s="26"/>
      <c r="Q134" s="58"/>
      <c r="R134" s="58"/>
      <c r="S134" s="58"/>
      <c r="T134" s="68" t="str">
        <f aca="false">IF(LEFT(S134,1)="9","Celular",IF(S134="","","Fixo"))</f>
        <v/>
      </c>
      <c r="U134" s="58" t="str">
        <f aca="false">IF( T134&lt;&gt;"",VLOOKUP(T134,Selects!$M$4:$N$1000,2,0),"")</f>
        <v/>
      </c>
      <c r="V134" s="26"/>
      <c r="W134" s="58"/>
      <c r="X134" s="58"/>
      <c r="Y134" s="58"/>
      <c r="Z134" s="58"/>
      <c r="AA134" s="69"/>
      <c r="AB134" s="58"/>
      <c r="AC134" s="58"/>
      <c r="AD134" s="70" t="str">
        <f aca="false">IF(AC134&lt;&gt;"",VLOOKUP(AC134,Selects!$B$4:$C$100,2,0),"")</f>
        <v/>
      </c>
      <c r="AE134" s="26"/>
      <c r="AF134" s="58"/>
      <c r="AG134" s="59"/>
      <c r="AH134" s="65"/>
      <c r="AI134" s="66"/>
      <c r="AJ134" s="66"/>
      <c r="AK134" s="58"/>
      <c r="AL134" s="58"/>
      <c r="AM134" s="68" t="str">
        <f aca="false">IF(LEFT(AL134,1)="9","Celular",IF(AL134="","","Fixo"))</f>
        <v/>
      </c>
      <c r="AN134" s="58" t="str">
        <f aca="false">IF( AM134&lt;&gt;"",VLOOKUP(AM134,Selects!$M$4:$N$1000,2,0),"")</f>
        <v/>
      </c>
      <c r="AO134" s="58"/>
      <c r="AP134" s="59"/>
      <c r="AQ134" s="65"/>
      <c r="AR134" s="58"/>
      <c r="AS134" s="58"/>
      <c r="AT134" s="26"/>
      <c r="AU134" s="58"/>
      <c r="AV134" s="58"/>
      <c r="AW134" s="58"/>
      <c r="AX134" s="58"/>
      <c r="AY134" s="71"/>
      <c r="AZ134" s="58"/>
      <c r="BA134" s="58"/>
      <c r="BB134" s="72" t="str">
        <f aca="false">IF(BA134&lt;&gt;"",VLOOKUP(BA134,Selects!$B$4:$C$100,2,0),"")</f>
        <v/>
      </c>
      <c r="BC134" s="26"/>
      <c r="BD134" s="26"/>
      <c r="BE134" s="73"/>
      <c r="BF134" s="74"/>
      <c r="BG134" s="75" t="str">
        <f aca="false">IF(LEN(BF134)=11,"PF",IF(LEN(BF134)=14,"PJ",""))</f>
        <v/>
      </c>
      <c r="BH134" s="66"/>
      <c r="BI134" s="58" t="str">
        <f aca="false">IF(BH134&lt;&gt;"",VLOOKUP(BH134,Selects!$G:$H,2,0),"")</f>
        <v/>
      </c>
      <c r="BJ134" s="58"/>
      <c r="BK134" s="58"/>
      <c r="BL134" s="59"/>
      <c r="BM134" s="58"/>
      <c r="BN134" s="58"/>
      <c r="BO134" s="58" t="str">
        <f aca="false">IF(BN134&lt;&gt;"",VLOOKUP(BN134,Selects!$J$4:$K$1000,2,0),"")</f>
        <v/>
      </c>
      <c r="BP134" s="76"/>
      <c r="BQ134" s="59"/>
      <c r="BR134" s="77"/>
      <c r="BS134" s="59"/>
      <c r="BT134" s="77"/>
      <c r="BU134" s="58"/>
      <c r="BV134" s="58"/>
      <c r="BW134" s="58"/>
      <c r="BX134" s="58"/>
      <c r="BY134" s="58"/>
      <c r="BZ134" s="58"/>
      <c r="CA134" s="58"/>
      <c r="CB134" s="72" t="str">
        <f aca="false">IF(AC134&lt;&gt;"",VLOOKUP(AC134,Selects!$B:$E,4,0),"")</f>
        <v/>
      </c>
      <c r="CC134" s="58"/>
      <c r="CD134" s="58"/>
      <c r="CE134" s="58"/>
    </row>
    <row r="135" customFormat="false" ht="15.75" hidden="false" customHeight="true" outlineLevel="0" collapsed="false">
      <c r="A135" s="17"/>
      <c r="B135" s="58"/>
      <c r="C135" s="58"/>
      <c r="D135" s="59"/>
      <c r="E135" s="60" t="str">
        <f aca="false">IF(LEN(D135)=11,"PF",IF(LEN(D135)=14,"PJ",""))</f>
        <v/>
      </c>
      <c r="F135" s="59"/>
      <c r="G135" s="59"/>
      <c r="H135" s="61" t="str">
        <f aca="false">IF(G135&lt;&gt;"",VLOOKUP(G135,'Cnae  mcc  id'!$A:$M,9,0),"")</f>
        <v/>
      </c>
      <c r="I135" s="62"/>
      <c r="J135" s="63" t="str">
        <f aca="false">IF(I135&lt;&gt;"",VLOOKUP(I135,'Legal Nature'!$E$2:$G$84,3,0),"")</f>
        <v/>
      </c>
      <c r="K135" s="64"/>
      <c r="L135" s="65"/>
      <c r="M135" s="66"/>
      <c r="N135" s="66"/>
      <c r="O135" s="79"/>
      <c r="P135" s="26"/>
      <c r="Q135" s="58"/>
      <c r="R135" s="58"/>
      <c r="S135" s="58"/>
      <c r="T135" s="68" t="str">
        <f aca="false">IF(LEFT(S135,1)="9","Celular",IF(S135="","","Fixo"))</f>
        <v/>
      </c>
      <c r="U135" s="58" t="str">
        <f aca="false">IF( T135&lt;&gt;"",VLOOKUP(T135,Selects!$M$4:$N$1000,2,0),"")</f>
        <v/>
      </c>
      <c r="V135" s="26"/>
      <c r="W135" s="58"/>
      <c r="X135" s="58"/>
      <c r="Y135" s="58"/>
      <c r="Z135" s="58"/>
      <c r="AA135" s="69"/>
      <c r="AB135" s="58"/>
      <c r="AC135" s="58"/>
      <c r="AD135" s="70" t="str">
        <f aca="false">IF(AC135&lt;&gt;"",VLOOKUP(AC135,Selects!$B$4:$C$100,2,0),"")</f>
        <v/>
      </c>
      <c r="AE135" s="26"/>
      <c r="AF135" s="58"/>
      <c r="AG135" s="59"/>
      <c r="AH135" s="65"/>
      <c r="AI135" s="66"/>
      <c r="AJ135" s="66"/>
      <c r="AK135" s="58"/>
      <c r="AL135" s="58"/>
      <c r="AM135" s="68" t="str">
        <f aca="false">IF(LEFT(AL135,1)="9","Celular",IF(AL135="","","Fixo"))</f>
        <v/>
      </c>
      <c r="AN135" s="58" t="str">
        <f aca="false">IF( AM135&lt;&gt;"",VLOOKUP(AM135,Selects!$M$4:$N$1000,2,0),"")</f>
        <v/>
      </c>
      <c r="AO135" s="58"/>
      <c r="AP135" s="59"/>
      <c r="AQ135" s="65"/>
      <c r="AR135" s="58"/>
      <c r="AS135" s="58"/>
      <c r="AT135" s="26"/>
      <c r="AU135" s="58"/>
      <c r="AV135" s="58"/>
      <c r="AW135" s="58"/>
      <c r="AX135" s="58"/>
      <c r="AY135" s="71"/>
      <c r="AZ135" s="58"/>
      <c r="BA135" s="58"/>
      <c r="BB135" s="72" t="str">
        <f aca="false">IF(BA135&lt;&gt;"",VLOOKUP(BA135,Selects!$B$4:$C$100,2,0),"")</f>
        <v/>
      </c>
      <c r="BC135" s="26"/>
      <c r="BD135" s="26"/>
      <c r="BE135" s="73"/>
      <c r="BF135" s="74"/>
      <c r="BG135" s="75" t="str">
        <f aca="false">IF(LEN(BF135)=11,"PF",IF(LEN(BF135)=14,"PJ",""))</f>
        <v/>
      </c>
      <c r="BH135" s="66"/>
      <c r="BI135" s="58" t="str">
        <f aca="false">IF(BH135&lt;&gt;"",VLOOKUP(BH135,Selects!$G:$H,2,0),"")</f>
        <v/>
      </c>
      <c r="BJ135" s="58"/>
      <c r="BK135" s="58"/>
      <c r="BL135" s="59"/>
      <c r="BM135" s="58"/>
      <c r="BN135" s="58"/>
      <c r="BO135" s="58" t="str">
        <f aca="false">IF(BN135&lt;&gt;"",VLOOKUP(BN135,Selects!$J$4:$K$1000,2,0),"")</f>
        <v/>
      </c>
      <c r="BP135" s="76"/>
      <c r="BQ135" s="59"/>
      <c r="BR135" s="77"/>
      <c r="BS135" s="59"/>
      <c r="BT135" s="77"/>
      <c r="BU135" s="58"/>
      <c r="BV135" s="58"/>
      <c r="BW135" s="58"/>
      <c r="BX135" s="58"/>
      <c r="BY135" s="58"/>
      <c r="BZ135" s="58"/>
      <c r="CA135" s="58"/>
      <c r="CB135" s="72" t="str">
        <f aca="false">IF(AC135&lt;&gt;"",VLOOKUP(AC135,Selects!$B:$E,4,0),"")</f>
        <v/>
      </c>
      <c r="CC135" s="58"/>
      <c r="CD135" s="58"/>
      <c r="CE135" s="58"/>
    </row>
    <row r="136" customFormat="false" ht="15.75" hidden="false" customHeight="true" outlineLevel="0" collapsed="false">
      <c r="A136" s="17"/>
      <c r="B136" s="58"/>
      <c r="C136" s="58"/>
      <c r="D136" s="59"/>
      <c r="E136" s="60" t="str">
        <f aca="false">IF(LEN(D136)=11,"PF",IF(LEN(D136)=14,"PJ",""))</f>
        <v/>
      </c>
      <c r="F136" s="59"/>
      <c r="G136" s="59"/>
      <c r="H136" s="61" t="str">
        <f aca="false">IF(G136&lt;&gt;"",VLOOKUP(G136,'Cnae  mcc  id'!$A:$M,9,0),"")</f>
        <v/>
      </c>
      <c r="I136" s="62"/>
      <c r="J136" s="63" t="str">
        <f aca="false">IF(I136&lt;&gt;"",VLOOKUP(I136,'Legal Nature'!$E$2:$G$84,3,0),"")</f>
        <v/>
      </c>
      <c r="K136" s="64"/>
      <c r="L136" s="65"/>
      <c r="M136" s="66"/>
      <c r="N136" s="66"/>
      <c r="O136" s="79"/>
      <c r="P136" s="26"/>
      <c r="Q136" s="58"/>
      <c r="R136" s="58"/>
      <c r="S136" s="58"/>
      <c r="T136" s="68" t="str">
        <f aca="false">IF(LEFT(S136,1)="9","Celular",IF(S136="","","Fixo"))</f>
        <v/>
      </c>
      <c r="U136" s="58" t="str">
        <f aca="false">IF( T136&lt;&gt;"",VLOOKUP(T136,Selects!$M$4:$N$1000,2,0),"")</f>
        <v/>
      </c>
      <c r="V136" s="26"/>
      <c r="W136" s="58"/>
      <c r="X136" s="58"/>
      <c r="Y136" s="58"/>
      <c r="Z136" s="58"/>
      <c r="AA136" s="69"/>
      <c r="AB136" s="58"/>
      <c r="AC136" s="58"/>
      <c r="AD136" s="70" t="str">
        <f aca="false">IF(AC136&lt;&gt;"",VLOOKUP(AC136,Selects!$B$4:$C$100,2,0),"")</f>
        <v/>
      </c>
      <c r="AE136" s="26"/>
      <c r="AF136" s="58"/>
      <c r="AG136" s="59"/>
      <c r="AH136" s="65"/>
      <c r="AI136" s="66"/>
      <c r="AJ136" s="66"/>
      <c r="AK136" s="58"/>
      <c r="AL136" s="58"/>
      <c r="AM136" s="68" t="str">
        <f aca="false">IF(LEFT(AL136,1)="9","Celular",IF(AL136="","","Fixo"))</f>
        <v/>
      </c>
      <c r="AN136" s="58" t="str">
        <f aca="false">IF( AM136&lt;&gt;"",VLOOKUP(AM136,Selects!$M$4:$N$1000,2,0),"")</f>
        <v/>
      </c>
      <c r="AO136" s="58"/>
      <c r="AP136" s="59"/>
      <c r="AQ136" s="65"/>
      <c r="AR136" s="58"/>
      <c r="AS136" s="58"/>
      <c r="AT136" s="26"/>
      <c r="AU136" s="58"/>
      <c r="AV136" s="58"/>
      <c r="AW136" s="58"/>
      <c r="AX136" s="58"/>
      <c r="AY136" s="71"/>
      <c r="AZ136" s="58"/>
      <c r="BA136" s="58"/>
      <c r="BB136" s="72" t="str">
        <f aca="false">IF(BA136&lt;&gt;"",VLOOKUP(BA136,Selects!$B$4:$C$100,2,0),"")</f>
        <v/>
      </c>
      <c r="BC136" s="26"/>
      <c r="BD136" s="26"/>
      <c r="BE136" s="73"/>
      <c r="BF136" s="74"/>
      <c r="BG136" s="75" t="str">
        <f aca="false">IF(LEN(BF136)=11,"PF",IF(LEN(BF136)=14,"PJ",""))</f>
        <v/>
      </c>
      <c r="BH136" s="66"/>
      <c r="BI136" s="58" t="str">
        <f aca="false">IF(BH136&lt;&gt;"",VLOOKUP(BH136,Selects!$G:$H,2,0),"")</f>
        <v/>
      </c>
      <c r="BJ136" s="58"/>
      <c r="BK136" s="58"/>
      <c r="BL136" s="59"/>
      <c r="BM136" s="58"/>
      <c r="BN136" s="58"/>
      <c r="BO136" s="58" t="str">
        <f aca="false">IF(BN136&lt;&gt;"",VLOOKUP(BN136,Selects!$J$4:$K$1000,2,0),"")</f>
        <v/>
      </c>
      <c r="BP136" s="76"/>
      <c r="BQ136" s="59"/>
      <c r="BR136" s="77"/>
      <c r="BS136" s="59"/>
      <c r="BT136" s="77"/>
      <c r="BU136" s="58"/>
      <c r="BV136" s="58"/>
      <c r="BW136" s="58"/>
      <c r="BX136" s="58"/>
      <c r="BY136" s="58"/>
      <c r="BZ136" s="58"/>
      <c r="CA136" s="58"/>
      <c r="CB136" s="72" t="str">
        <f aca="false">IF(AC136&lt;&gt;"",VLOOKUP(AC136,Selects!$B:$E,4,0),"")</f>
        <v/>
      </c>
      <c r="CC136" s="58"/>
      <c r="CD136" s="58"/>
      <c r="CE136" s="58"/>
    </row>
    <row r="137" customFormat="false" ht="15.75" hidden="false" customHeight="true" outlineLevel="0" collapsed="false">
      <c r="A137" s="17"/>
      <c r="B137" s="58"/>
      <c r="C137" s="58"/>
      <c r="D137" s="59"/>
      <c r="E137" s="60" t="str">
        <f aca="false">IF(LEN(D137)=11,"PF",IF(LEN(D137)=14,"PJ",""))</f>
        <v/>
      </c>
      <c r="F137" s="59"/>
      <c r="G137" s="59"/>
      <c r="H137" s="61" t="str">
        <f aca="false">IF(G137&lt;&gt;"",VLOOKUP(G137,'Cnae  mcc  id'!$A:$M,9,0),"")</f>
        <v/>
      </c>
      <c r="I137" s="62"/>
      <c r="J137" s="63" t="str">
        <f aca="false">IF(I137&lt;&gt;"",VLOOKUP(I137,'Legal Nature'!$E$2:$G$84,3,0),"")</f>
        <v/>
      </c>
      <c r="K137" s="64"/>
      <c r="L137" s="65"/>
      <c r="M137" s="66"/>
      <c r="N137" s="66"/>
      <c r="O137" s="79"/>
      <c r="P137" s="26"/>
      <c r="Q137" s="58"/>
      <c r="R137" s="58"/>
      <c r="S137" s="58"/>
      <c r="T137" s="68" t="str">
        <f aca="false">IF(LEFT(S137,1)="9","Celular",IF(S137="","","Fixo"))</f>
        <v/>
      </c>
      <c r="U137" s="58" t="str">
        <f aca="false">IF( T137&lt;&gt;"",VLOOKUP(T137,Selects!$M$4:$N$1000,2,0),"")</f>
        <v/>
      </c>
      <c r="V137" s="26"/>
      <c r="W137" s="58"/>
      <c r="X137" s="58"/>
      <c r="Y137" s="58"/>
      <c r="Z137" s="58"/>
      <c r="AA137" s="69"/>
      <c r="AB137" s="58"/>
      <c r="AC137" s="58"/>
      <c r="AD137" s="70" t="str">
        <f aca="false">IF(AC137&lt;&gt;"",VLOOKUP(AC137,Selects!$B$4:$C$100,2,0),"")</f>
        <v/>
      </c>
      <c r="AE137" s="26"/>
      <c r="AF137" s="58"/>
      <c r="AG137" s="59"/>
      <c r="AH137" s="65"/>
      <c r="AI137" s="66"/>
      <c r="AJ137" s="66"/>
      <c r="AK137" s="58"/>
      <c r="AL137" s="58"/>
      <c r="AM137" s="68" t="str">
        <f aca="false">IF(LEFT(AL137,1)="9","Celular",IF(AL137="","","Fixo"))</f>
        <v/>
      </c>
      <c r="AN137" s="58" t="str">
        <f aca="false">IF( AM137&lt;&gt;"",VLOOKUP(AM137,Selects!$M$4:$N$1000,2,0),"")</f>
        <v/>
      </c>
      <c r="AO137" s="58"/>
      <c r="AP137" s="59"/>
      <c r="AQ137" s="65"/>
      <c r="AR137" s="58"/>
      <c r="AS137" s="58"/>
      <c r="AT137" s="26"/>
      <c r="AU137" s="58"/>
      <c r="AV137" s="58"/>
      <c r="AW137" s="58"/>
      <c r="AX137" s="58"/>
      <c r="AY137" s="71"/>
      <c r="AZ137" s="58"/>
      <c r="BA137" s="58"/>
      <c r="BB137" s="72" t="str">
        <f aca="false">IF(BA137&lt;&gt;"",VLOOKUP(BA137,Selects!$B$4:$C$100,2,0),"")</f>
        <v/>
      </c>
      <c r="BC137" s="26"/>
      <c r="BD137" s="26"/>
      <c r="BE137" s="73"/>
      <c r="BF137" s="74"/>
      <c r="BG137" s="75" t="str">
        <f aca="false">IF(LEN(BF137)=11,"PF",IF(LEN(BF137)=14,"PJ",""))</f>
        <v/>
      </c>
      <c r="BH137" s="66"/>
      <c r="BI137" s="58" t="str">
        <f aca="false">IF(BH137&lt;&gt;"",VLOOKUP(BH137,Selects!$G:$H,2,0),"")</f>
        <v/>
      </c>
      <c r="BJ137" s="58"/>
      <c r="BK137" s="58"/>
      <c r="BL137" s="59"/>
      <c r="BM137" s="58"/>
      <c r="BN137" s="58"/>
      <c r="BO137" s="58" t="str">
        <f aca="false">IF(BN137&lt;&gt;"",VLOOKUP(BN137,Selects!$J$4:$K$1000,2,0),"")</f>
        <v/>
      </c>
      <c r="BP137" s="76"/>
      <c r="BQ137" s="59"/>
      <c r="BR137" s="77"/>
      <c r="BS137" s="59"/>
      <c r="BT137" s="77"/>
      <c r="BU137" s="58"/>
      <c r="BV137" s="58"/>
      <c r="BW137" s="58"/>
      <c r="BX137" s="58"/>
      <c r="BY137" s="58"/>
      <c r="BZ137" s="58"/>
      <c r="CA137" s="58"/>
      <c r="CB137" s="72" t="str">
        <f aca="false">IF(AC137&lt;&gt;"",VLOOKUP(AC137,Selects!$B:$E,4,0),"")</f>
        <v/>
      </c>
      <c r="CC137" s="58"/>
      <c r="CD137" s="58"/>
      <c r="CE137" s="58"/>
    </row>
    <row r="138" customFormat="false" ht="15.75" hidden="false" customHeight="true" outlineLevel="0" collapsed="false">
      <c r="A138" s="17"/>
      <c r="B138" s="58"/>
      <c r="C138" s="58"/>
      <c r="D138" s="59"/>
      <c r="E138" s="60" t="str">
        <f aca="false">IF(LEN(D138)=11,"PF",IF(LEN(D138)=14,"PJ",""))</f>
        <v/>
      </c>
      <c r="F138" s="59"/>
      <c r="G138" s="59"/>
      <c r="H138" s="61" t="str">
        <f aca="false">IF(G138&lt;&gt;"",VLOOKUP(G138,'Cnae  mcc  id'!$A:$M,9,0),"")</f>
        <v/>
      </c>
      <c r="I138" s="62"/>
      <c r="J138" s="63" t="str">
        <f aca="false">IF(I138&lt;&gt;"",VLOOKUP(I138,'Legal Nature'!$E$2:$G$84,3,0),"")</f>
        <v/>
      </c>
      <c r="K138" s="64"/>
      <c r="L138" s="65"/>
      <c r="M138" s="66"/>
      <c r="N138" s="66"/>
      <c r="O138" s="79"/>
      <c r="P138" s="26"/>
      <c r="Q138" s="58"/>
      <c r="R138" s="58"/>
      <c r="S138" s="58"/>
      <c r="T138" s="68" t="str">
        <f aca="false">IF(LEFT(S138,1)="9","Celular",IF(S138="","","Fixo"))</f>
        <v/>
      </c>
      <c r="U138" s="58" t="str">
        <f aca="false">IF( T138&lt;&gt;"",VLOOKUP(T138,Selects!$M$4:$N$1000,2,0),"")</f>
        <v/>
      </c>
      <c r="V138" s="26"/>
      <c r="W138" s="58"/>
      <c r="X138" s="58"/>
      <c r="Y138" s="58"/>
      <c r="Z138" s="58"/>
      <c r="AA138" s="69"/>
      <c r="AB138" s="58"/>
      <c r="AC138" s="58"/>
      <c r="AD138" s="70" t="str">
        <f aca="false">IF(AC138&lt;&gt;"",VLOOKUP(AC138,Selects!$B$4:$C$100,2,0),"")</f>
        <v/>
      </c>
      <c r="AE138" s="26"/>
      <c r="AF138" s="58"/>
      <c r="AG138" s="59"/>
      <c r="AH138" s="65"/>
      <c r="AI138" s="66"/>
      <c r="AJ138" s="66"/>
      <c r="AK138" s="58"/>
      <c r="AL138" s="58"/>
      <c r="AM138" s="68" t="str">
        <f aca="false">IF(LEFT(AL138,1)="9","Celular",IF(AL138="","","Fixo"))</f>
        <v/>
      </c>
      <c r="AN138" s="58" t="str">
        <f aca="false">IF( AM138&lt;&gt;"",VLOOKUP(AM138,Selects!$M$4:$N$1000,2,0),"")</f>
        <v/>
      </c>
      <c r="AO138" s="58"/>
      <c r="AP138" s="59"/>
      <c r="AQ138" s="65"/>
      <c r="AR138" s="58"/>
      <c r="AS138" s="58"/>
      <c r="AT138" s="26"/>
      <c r="AU138" s="58"/>
      <c r="AV138" s="58"/>
      <c r="AW138" s="58"/>
      <c r="AX138" s="58"/>
      <c r="AY138" s="71"/>
      <c r="AZ138" s="58"/>
      <c r="BA138" s="58"/>
      <c r="BB138" s="72" t="str">
        <f aca="false">IF(BA138&lt;&gt;"",VLOOKUP(BA138,Selects!$B$4:$C$100,2,0),"")</f>
        <v/>
      </c>
      <c r="BC138" s="26"/>
      <c r="BD138" s="26"/>
      <c r="BE138" s="73"/>
      <c r="BF138" s="74"/>
      <c r="BG138" s="75" t="str">
        <f aca="false">IF(LEN(BF138)=11,"PF",IF(LEN(BF138)=14,"PJ",""))</f>
        <v/>
      </c>
      <c r="BH138" s="66"/>
      <c r="BI138" s="58" t="str">
        <f aca="false">IF(BH138&lt;&gt;"",VLOOKUP(BH138,Selects!$G:$H,2,0),"")</f>
        <v/>
      </c>
      <c r="BJ138" s="58"/>
      <c r="BK138" s="58"/>
      <c r="BL138" s="59"/>
      <c r="BM138" s="58"/>
      <c r="BN138" s="58"/>
      <c r="BO138" s="58" t="str">
        <f aca="false">IF(BN138&lt;&gt;"",VLOOKUP(BN138,Selects!$J$4:$K$1000,2,0),"")</f>
        <v/>
      </c>
      <c r="BP138" s="76"/>
      <c r="BQ138" s="59"/>
      <c r="BR138" s="77"/>
      <c r="BS138" s="59"/>
      <c r="BT138" s="77"/>
      <c r="BU138" s="58"/>
      <c r="BV138" s="58"/>
      <c r="BW138" s="58"/>
      <c r="BX138" s="58"/>
      <c r="BY138" s="58"/>
      <c r="BZ138" s="58"/>
      <c r="CA138" s="58"/>
      <c r="CB138" s="72" t="str">
        <f aca="false">IF(AC138&lt;&gt;"",VLOOKUP(AC138,Selects!$B:$E,4,0),"")</f>
        <v/>
      </c>
      <c r="CC138" s="58"/>
      <c r="CD138" s="58"/>
      <c r="CE138" s="58"/>
    </row>
    <row r="139" customFormat="false" ht="15.75" hidden="false" customHeight="true" outlineLevel="0" collapsed="false">
      <c r="A139" s="17"/>
      <c r="B139" s="58"/>
      <c r="C139" s="58"/>
      <c r="D139" s="59"/>
      <c r="E139" s="60" t="str">
        <f aca="false">IF(LEN(D139)=11,"PF",IF(LEN(D139)=14,"PJ",""))</f>
        <v/>
      </c>
      <c r="F139" s="59"/>
      <c r="G139" s="59"/>
      <c r="H139" s="61" t="str">
        <f aca="false">IF(G139&lt;&gt;"",VLOOKUP(G139,'Cnae  mcc  id'!$A:$M,9,0),"")</f>
        <v/>
      </c>
      <c r="I139" s="62"/>
      <c r="J139" s="63" t="str">
        <f aca="false">IF(I139&lt;&gt;"",VLOOKUP(I139,'Legal Nature'!$E$2:$G$84,3,0),"")</f>
        <v/>
      </c>
      <c r="K139" s="64"/>
      <c r="L139" s="65"/>
      <c r="M139" s="66"/>
      <c r="N139" s="66"/>
      <c r="O139" s="79"/>
      <c r="P139" s="26"/>
      <c r="Q139" s="58"/>
      <c r="R139" s="58"/>
      <c r="S139" s="58"/>
      <c r="T139" s="68" t="str">
        <f aca="false">IF(LEFT(S139,1)="9","Celular",IF(S139="","","Fixo"))</f>
        <v/>
      </c>
      <c r="U139" s="58" t="str">
        <f aca="false">IF( T139&lt;&gt;"",VLOOKUP(T139,Selects!$M$4:$N$1000,2,0),"")</f>
        <v/>
      </c>
      <c r="V139" s="26"/>
      <c r="W139" s="58"/>
      <c r="X139" s="58"/>
      <c r="Y139" s="58"/>
      <c r="Z139" s="58"/>
      <c r="AA139" s="69"/>
      <c r="AB139" s="58"/>
      <c r="AC139" s="58"/>
      <c r="AD139" s="70" t="str">
        <f aca="false">IF(AC139&lt;&gt;"",VLOOKUP(AC139,Selects!$B$4:$C$100,2,0),"")</f>
        <v/>
      </c>
      <c r="AE139" s="26"/>
      <c r="AF139" s="58"/>
      <c r="AG139" s="59"/>
      <c r="AH139" s="65"/>
      <c r="AI139" s="66"/>
      <c r="AJ139" s="66"/>
      <c r="AK139" s="58"/>
      <c r="AL139" s="58"/>
      <c r="AM139" s="68" t="str">
        <f aca="false">IF(LEFT(AL139,1)="9","Celular",IF(AL139="","","Fixo"))</f>
        <v/>
      </c>
      <c r="AN139" s="58" t="str">
        <f aca="false">IF( AM139&lt;&gt;"",VLOOKUP(AM139,Selects!$M$4:$N$1000,2,0),"")</f>
        <v/>
      </c>
      <c r="AO139" s="58"/>
      <c r="AP139" s="59"/>
      <c r="AQ139" s="65"/>
      <c r="AR139" s="58"/>
      <c r="AS139" s="58"/>
      <c r="AT139" s="26"/>
      <c r="AU139" s="58"/>
      <c r="AV139" s="58"/>
      <c r="AW139" s="58"/>
      <c r="AX139" s="58"/>
      <c r="AY139" s="71"/>
      <c r="AZ139" s="58"/>
      <c r="BA139" s="58"/>
      <c r="BB139" s="72" t="str">
        <f aca="false">IF(BA139&lt;&gt;"",VLOOKUP(BA139,Selects!$B$4:$C$100,2,0),"")</f>
        <v/>
      </c>
      <c r="BC139" s="26"/>
      <c r="BD139" s="26"/>
      <c r="BE139" s="73"/>
      <c r="BF139" s="74"/>
      <c r="BG139" s="75" t="str">
        <f aca="false">IF(LEN(BF139)=11,"PF",IF(LEN(BF139)=14,"PJ",""))</f>
        <v/>
      </c>
      <c r="BH139" s="66"/>
      <c r="BI139" s="58" t="str">
        <f aca="false">IF(BH139&lt;&gt;"",VLOOKUP(BH139,Selects!$G:$H,2,0),"")</f>
        <v/>
      </c>
      <c r="BJ139" s="58"/>
      <c r="BK139" s="58"/>
      <c r="BL139" s="59"/>
      <c r="BM139" s="58"/>
      <c r="BN139" s="58"/>
      <c r="BO139" s="58" t="str">
        <f aca="false">IF(BN139&lt;&gt;"",VLOOKUP(BN139,Selects!$J$4:$K$1000,2,0),"")</f>
        <v/>
      </c>
      <c r="BP139" s="76"/>
      <c r="BQ139" s="59"/>
      <c r="BR139" s="77"/>
      <c r="BS139" s="59"/>
      <c r="BT139" s="77"/>
      <c r="BU139" s="58"/>
      <c r="BV139" s="58"/>
      <c r="BW139" s="58"/>
      <c r="BX139" s="58"/>
      <c r="BY139" s="58"/>
      <c r="BZ139" s="58"/>
      <c r="CA139" s="58"/>
      <c r="CB139" s="72" t="str">
        <f aca="false">IF(AC139&lt;&gt;"",VLOOKUP(AC139,Selects!$B:$E,4,0),"")</f>
        <v/>
      </c>
      <c r="CC139" s="58"/>
      <c r="CD139" s="58"/>
      <c r="CE139" s="58"/>
    </row>
    <row r="140" customFormat="false" ht="15.75" hidden="false" customHeight="true" outlineLevel="0" collapsed="false">
      <c r="A140" s="17"/>
      <c r="B140" s="58"/>
      <c r="C140" s="58"/>
      <c r="D140" s="59"/>
      <c r="E140" s="60" t="str">
        <f aca="false">IF(LEN(D140)=11,"PF",IF(LEN(D140)=14,"PJ",""))</f>
        <v/>
      </c>
      <c r="F140" s="59"/>
      <c r="G140" s="59"/>
      <c r="H140" s="61" t="str">
        <f aca="false">IF(G140&lt;&gt;"",VLOOKUP(G140,'Cnae  mcc  id'!$A:$M,9,0),"")</f>
        <v/>
      </c>
      <c r="I140" s="62"/>
      <c r="J140" s="63" t="str">
        <f aca="false">IF(I140&lt;&gt;"",VLOOKUP(I140,'Legal Nature'!$E$2:$G$84,3,0),"")</f>
        <v/>
      </c>
      <c r="K140" s="64"/>
      <c r="L140" s="65"/>
      <c r="M140" s="66"/>
      <c r="N140" s="66"/>
      <c r="O140" s="79"/>
      <c r="P140" s="26"/>
      <c r="Q140" s="58"/>
      <c r="R140" s="58"/>
      <c r="S140" s="58"/>
      <c r="T140" s="68" t="str">
        <f aca="false">IF(LEFT(S140,1)="9","Celular",IF(S140="","","Fixo"))</f>
        <v/>
      </c>
      <c r="U140" s="58" t="str">
        <f aca="false">IF( T140&lt;&gt;"",VLOOKUP(T140,Selects!$M$4:$N$1000,2,0),"")</f>
        <v/>
      </c>
      <c r="V140" s="26"/>
      <c r="W140" s="58"/>
      <c r="X140" s="58"/>
      <c r="Y140" s="58"/>
      <c r="Z140" s="58"/>
      <c r="AA140" s="69"/>
      <c r="AB140" s="58"/>
      <c r="AC140" s="58"/>
      <c r="AD140" s="70" t="str">
        <f aca="false">IF(AC140&lt;&gt;"",VLOOKUP(AC140,Selects!$B$4:$C$100,2,0),"")</f>
        <v/>
      </c>
      <c r="AE140" s="26"/>
      <c r="AF140" s="58"/>
      <c r="AG140" s="59"/>
      <c r="AH140" s="65"/>
      <c r="AI140" s="66"/>
      <c r="AJ140" s="66"/>
      <c r="AK140" s="58"/>
      <c r="AL140" s="58"/>
      <c r="AM140" s="68" t="str">
        <f aca="false">IF(LEFT(AL140,1)="9","Celular",IF(AL140="","","Fixo"))</f>
        <v/>
      </c>
      <c r="AN140" s="58" t="str">
        <f aca="false">IF( AM140&lt;&gt;"",VLOOKUP(AM140,Selects!$M$4:$N$1000,2,0),"")</f>
        <v/>
      </c>
      <c r="AO140" s="58"/>
      <c r="AP140" s="59"/>
      <c r="AQ140" s="65"/>
      <c r="AR140" s="58"/>
      <c r="AS140" s="58"/>
      <c r="AT140" s="26"/>
      <c r="AU140" s="58"/>
      <c r="AV140" s="58"/>
      <c r="AW140" s="58"/>
      <c r="AX140" s="58"/>
      <c r="AY140" s="71"/>
      <c r="AZ140" s="58"/>
      <c r="BA140" s="58"/>
      <c r="BB140" s="72" t="str">
        <f aca="false">IF(BA140&lt;&gt;"",VLOOKUP(BA140,Selects!$B$4:$C$100,2,0),"")</f>
        <v/>
      </c>
      <c r="BC140" s="26"/>
      <c r="BD140" s="26"/>
      <c r="BE140" s="73"/>
      <c r="BF140" s="74"/>
      <c r="BG140" s="75" t="str">
        <f aca="false">IF(LEN(BF140)=11,"PF",IF(LEN(BF140)=14,"PJ",""))</f>
        <v/>
      </c>
      <c r="BH140" s="66"/>
      <c r="BI140" s="58" t="str">
        <f aca="false">IF(BH140&lt;&gt;"",VLOOKUP(BH140,Selects!$G:$H,2,0),"")</f>
        <v/>
      </c>
      <c r="BJ140" s="58"/>
      <c r="BK140" s="58"/>
      <c r="BL140" s="59"/>
      <c r="BM140" s="58"/>
      <c r="BN140" s="58"/>
      <c r="BO140" s="58" t="str">
        <f aca="false">IF(BN140&lt;&gt;"",VLOOKUP(BN140,Selects!$J$4:$K$1000,2,0),"")</f>
        <v/>
      </c>
      <c r="BP140" s="76"/>
      <c r="BQ140" s="59"/>
      <c r="BR140" s="77"/>
      <c r="BS140" s="59"/>
      <c r="BT140" s="77"/>
      <c r="BU140" s="58"/>
      <c r="BV140" s="58"/>
      <c r="BW140" s="58"/>
      <c r="BX140" s="58"/>
      <c r="BY140" s="58"/>
      <c r="BZ140" s="58"/>
      <c r="CA140" s="58"/>
      <c r="CB140" s="72" t="str">
        <f aca="false">IF(AC140&lt;&gt;"",VLOOKUP(AC140,Selects!$B:$E,4,0),"")</f>
        <v/>
      </c>
      <c r="CC140" s="58"/>
      <c r="CD140" s="58"/>
      <c r="CE140" s="58"/>
    </row>
    <row r="141" customFormat="false" ht="15.75" hidden="false" customHeight="true" outlineLevel="0" collapsed="false">
      <c r="A141" s="17"/>
      <c r="B141" s="58"/>
      <c r="C141" s="58"/>
      <c r="D141" s="59"/>
      <c r="E141" s="60" t="str">
        <f aca="false">IF(LEN(D141)=11,"PF",IF(LEN(D141)=14,"PJ",""))</f>
        <v/>
      </c>
      <c r="F141" s="59"/>
      <c r="G141" s="59"/>
      <c r="H141" s="61" t="str">
        <f aca="false">IF(G141&lt;&gt;"",VLOOKUP(G141,'Cnae  mcc  id'!$A:$M,9,0),"")</f>
        <v/>
      </c>
      <c r="I141" s="62"/>
      <c r="J141" s="63" t="str">
        <f aca="false">IF(I141&lt;&gt;"",VLOOKUP(I141,'Legal Nature'!$E$2:$G$84,3,0),"")</f>
        <v/>
      </c>
      <c r="K141" s="64"/>
      <c r="L141" s="65"/>
      <c r="M141" s="66"/>
      <c r="N141" s="66"/>
      <c r="O141" s="79"/>
      <c r="P141" s="26"/>
      <c r="Q141" s="58"/>
      <c r="R141" s="58"/>
      <c r="S141" s="58"/>
      <c r="T141" s="68" t="str">
        <f aca="false">IF(LEFT(S141,1)="9","Celular",IF(S141="","","Fixo"))</f>
        <v/>
      </c>
      <c r="U141" s="58" t="str">
        <f aca="false">IF( T141&lt;&gt;"",VLOOKUP(T141,Selects!$M$4:$N$1000,2,0),"")</f>
        <v/>
      </c>
      <c r="V141" s="26"/>
      <c r="W141" s="58"/>
      <c r="X141" s="58"/>
      <c r="Y141" s="58"/>
      <c r="Z141" s="58"/>
      <c r="AA141" s="69"/>
      <c r="AB141" s="58"/>
      <c r="AC141" s="58"/>
      <c r="AD141" s="70" t="str">
        <f aca="false">IF(AC141&lt;&gt;"",VLOOKUP(AC141,Selects!$B$4:$C$100,2,0),"")</f>
        <v/>
      </c>
      <c r="AE141" s="26"/>
      <c r="AF141" s="58"/>
      <c r="AG141" s="59"/>
      <c r="AH141" s="65"/>
      <c r="AI141" s="66"/>
      <c r="AJ141" s="66"/>
      <c r="AK141" s="58"/>
      <c r="AL141" s="58"/>
      <c r="AM141" s="68" t="str">
        <f aca="false">IF(LEFT(AL141,1)="9","Celular",IF(AL141="","","Fixo"))</f>
        <v/>
      </c>
      <c r="AN141" s="58" t="str">
        <f aca="false">IF( AM141&lt;&gt;"",VLOOKUP(AM141,Selects!$M$4:$N$1000,2,0),"")</f>
        <v/>
      </c>
      <c r="AO141" s="58"/>
      <c r="AP141" s="59"/>
      <c r="AQ141" s="65"/>
      <c r="AR141" s="58"/>
      <c r="AS141" s="58"/>
      <c r="AT141" s="26"/>
      <c r="AU141" s="58"/>
      <c r="AV141" s="58"/>
      <c r="AW141" s="58"/>
      <c r="AX141" s="58"/>
      <c r="AY141" s="71"/>
      <c r="AZ141" s="58"/>
      <c r="BA141" s="58"/>
      <c r="BB141" s="72" t="str">
        <f aca="false">IF(BA141&lt;&gt;"",VLOOKUP(BA141,Selects!$B$4:$C$100,2,0),"")</f>
        <v/>
      </c>
      <c r="BC141" s="26"/>
      <c r="BD141" s="26"/>
      <c r="BE141" s="73"/>
      <c r="BF141" s="74"/>
      <c r="BG141" s="75" t="str">
        <f aca="false">IF(LEN(BF141)=11,"PF",IF(LEN(BF141)=14,"PJ",""))</f>
        <v/>
      </c>
      <c r="BH141" s="66"/>
      <c r="BI141" s="58" t="str">
        <f aca="false">IF(BH141&lt;&gt;"",VLOOKUP(BH141,Selects!$G:$H,2,0),"")</f>
        <v/>
      </c>
      <c r="BJ141" s="58"/>
      <c r="BK141" s="58"/>
      <c r="BL141" s="59"/>
      <c r="BM141" s="58"/>
      <c r="BN141" s="58"/>
      <c r="BO141" s="58" t="str">
        <f aca="false">IF(BN141&lt;&gt;"",VLOOKUP(BN141,Selects!$J$4:$K$1000,2,0),"")</f>
        <v/>
      </c>
      <c r="BP141" s="76"/>
      <c r="BQ141" s="59"/>
      <c r="BR141" s="77"/>
      <c r="BS141" s="59"/>
      <c r="BT141" s="77"/>
      <c r="BU141" s="58"/>
      <c r="BV141" s="58"/>
      <c r="BW141" s="58"/>
      <c r="BX141" s="58"/>
      <c r="BY141" s="58"/>
      <c r="BZ141" s="58"/>
      <c r="CA141" s="58"/>
      <c r="CB141" s="72" t="str">
        <f aca="false">IF(AC141&lt;&gt;"",VLOOKUP(AC141,Selects!$B:$E,4,0),"")</f>
        <v/>
      </c>
      <c r="CC141" s="58"/>
      <c r="CD141" s="58"/>
      <c r="CE141" s="58"/>
    </row>
    <row r="142" customFormat="false" ht="15.75" hidden="false" customHeight="true" outlineLevel="0" collapsed="false">
      <c r="A142" s="17"/>
      <c r="B142" s="58"/>
      <c r="C142" s="58"/>
      <c r="D142" s="59"/>
      <c r="E142" s="60" t="str">
        <f aca="false">IF(LEN(D142)=11,"PF",IF(LEN(D142)=14,"PJ",""))</f>
        <v/>
      </c>
      <c r="F142" s="59"/>
      <c r="G142" s="59"/>
      <c r="H142" s="61" t="str">
        <f aca="false">IF(G142&lt;&gt;"",VLOOKUP(G142,'Cnae  mcc  id'!$A:$M,9,0),"")</f>
        <v/>
      </c>
      <c r="I142" s="62"/>
      <c r="J142" s="63" t="str">
        <f aca="false">IF(I142&lt;&gt;"",VLOOKUP(I142,'Legal Nature'!$E$2:$G$84,3,0),"")</f>
        <v/>
      </c>
      <c r="K142" s="64"/>
      <c r="L142" s="65"/>
      <c r="M142" s="66"/>
      <c r="N142" s="66"/>
      <c r="O142" s="79"/>
      <c r="P142" s="26"/>
      <c r="Q142" s="58"/>
      <c r="R142" s="58"/>
      <c r="S142" s="58"/>
      <c r="T142" s="68" t="str">
        <f aca="false">IF(LEFT(S142,1)="9","Celular",IF(S142="","","Fixo"))</f>
        <v/>
      </c>
      <c r="U142" s="58" t="str">
        <f aca="false">IF( T142&lt;&gt;"",VLOOKUP(T142,Selects!$M$4:$N$1000,2,0),"")</f>
        <v/>
      </c>
      <c r="V142" s="26"/>
      <c r="W142" s="58"/>
      <c r="X142" s="58"/>
      <c r="Y142" s="58"/>
      <c r="Z142" s="58"/>
      <c r="AA142" s="69"/>
      <c r="AB142" s="58"/>
      <c r="AC142" s="58"/>
      <c r="AD142" s="70" t="str">
        <f aca="false">IF(AC142&lt;&gt;"",VLOOKUP(AC142,Selects!$B$4:$C$100,2,0),"")</f>
        <v/>
      </c>
      <c r="AE142" s="26"/>
      <c r="AF142" s="58"/>
      <c r="AG142" s="59"/>
      <c r="AH142" s="65"/>
      <c r="AI142" s="66"/>
      <c r="AJ142" s="66"/>
      <c r="AK142" s="58"/>
      <c r="AL142" s="58"/>
      <c r="AM142" s="68" t="str">
        <f aca="false">IF(LEFT(AL142,1)="9","Celular",IF(AL142="","","Fixo"))</f>
        <v/>
      </c>
      <c r="AN142" s="58" t="str">
        <f aca="false">IF( AM142&lt;&gt;"",VLOOKUP(AM142,Selects!$M$4:$N$1000,2,0),"")</f>
        <v/>
      </c>
      <c r="AO142" s="58"/>
      <c r="AP142" s="59"/>
      <c r="AQ142" s="65"/>
      <c r="AR142" s="58"/>
      <c r="AS142" s="58"/>
      <c r="AT142" s="26"/>
      <c r="AU142" s="58"/>
      <c r="AV142" s="58"/>
      <c r="AW142" s="58"/>
      <c r="AX142" s="58"/>
      <c r="AY142" s="71"/>
      <c r="AZ142" s="58"/>
      <c r="BA142" s="58"/>
      <c r="BB142" s="72" t="str">
        <f aca="false">IF(BA142&lt;&gt;"",VLOOKUP(BA142,Selects!$B$4:$C$100,2,0),"")</f>
        <v/>
      </c>
      <c r="BC142" s="26"/>
      <c r="BD142" s="26"/>
      <c r="BE142" s="73"/>
      <c r="BF142" s="74"/>
      <c r="BG142" s="75" t="str">
        <f aca="false">IF(LEN(BF142)=11,"PF",IF(LEN(BF142)=14,"PJ",""))</f>
        <v/>
      </c>
      <c r="BH142" s="66"/>
      <c r="BI142" s="58" t="str">
        <f aca="false">IF(BH142&lt;&gt;"",VLOOKUP(BH142,Selects!$G:$H,2,0),"")</f>
        <v/>
      </c>
      <c r="BJ142" s="58"/>
      <c r="BK142" s="58"/>
      <c r="BL142" s="59"/>
      <c r="BM142" s="58"/>
      <c r="BN142" s="58"/>
      <c r="BO142" s="58" t="str">
        <f aca="false">IF(BN142&lt;&gt;"",VLOOKUP(BN142,Selects!$J$4:$K$1000,2,0),"")</f>
        <v/>
      </c>
      <c r="BP142" s="76"/>
      <c r="BQ142" s="59"/>
      <c r="BR142" s="77"/>
      <c r="BS142" s="59"/>
      <c r="BT142" s="77"/>
      <c r="BU142" s="58"/>
      <c r="BV142" s="58"/>
      <c r="BW142" s="58"/>
      <c r="BX142" s="58"/>
      <c r="BY142" s="58"/>
      <c r="BZ142" s="58"/>
      <c r="CA142" s="58"/>
      <c r="CB142" s="72" t="str">
        <f aca="false">IF(AC142&lt;&gt;"",VLOOKUP(AC142,Selects!$B:$E,4,0),"")</f>
        <v/>
      </c>
      <c r="CC142" s="58"/>
      <c r="CD142" s="58"/>
      <c r="CE142" s="58"/>
    </row>
    <row r="143" customFormat="false" ht="15.75" hidden="false" customHeight="true" outlineLevel="0" collapsed="false">
      <c r="A143" s="17"/>
      <c r="B143" s="58"/>
      <c r="C143" s="58"/>
      <c r="D143" s="59"/>
      <c r="E143" s="60" t="str">
        <f aca="false">IF(LEN(D143)=11,"PF",IF(LEN(D143)=14,"PJ",""))</f>
        <v/>
      </c>
      <c r="F143" s="59"/>
      <c r="G143" s="59"/>
      <c r="H143" s="61" t="str">
        <f aca="false">IF(G143&lt;&gt;"",VLOOKUP(G143,'Cnae  mcc  id'!$A:$M,9,0),"")</f>
        <v/>
      </c>
      <c r="I143" s="62"/>
      <c r="J143" s="63" t="str">
        <f aca="false">IF(I143&lt;&gt;"",VLOOKUP(I143,'Legal Nature'!$E$2:$G$84,3,0),"")</f>
        <v/>
      </c>
      <c r="K143" s="64"/>
      <c r="L143" s="65"/>
      <c r="M143" s="66"/>
      <c r="N143" s="66"/>
      <c r="O143" s="79"/>
      <c r="P143" s="26"/>
      <c r="Q143" s="58"/>
      <c r="R143" s="58"/>
      <c r="S143" s="58"/>
      <c r="T143" s="68" t="str">
        <f aca="false">IF(LEFT(S143,1)="9","Celular",IF(S143="","","Fixo"))</f>
        <v/>
      </c>
      <c r="U143" s="58" t="str">
        <f aca="false">IF( T143&lt;&gt;"",VLOOKUP(T143,Selects!$M$4:$N$1000,2,0),"")</f>
        <v/>
      </c>
      <c r="V143" s="26"/>
      <c r="W143" s="58"/>
      <c r="X143" s="58"/>
      <c r="Y143" s="58"/>
      <c r="Z143" s="58"/>
      <c r="AA143" s="69"/>
      <c r="AB143" s="58"/>
      <c r="AC143" s="58"/>
      <c r="AD143" s="70" t="str">
        <f aca="false">IF(AC143&lt;&gt;"",VLOOKUP(AC143,Selects!$B$4:$C$100,2,0),"")</f>
        <v/>
      </c>
      <c r="AE143" s="26"/>
      <c r="AF143" s="58"/>
      <c r="AG143" s="59"/>
      <c r="AH143" s="65"/>
      <c r="AI143" s="66"/>
      <c r="AJ143" s="66"/>
      <c r="AK143" s="58"/>
      <c r="AL143" s="58"/>
      <c r="AM143" s="68" t="str">
        <f aca="false">IF(LEFT(AL143,1)="9","Celular",IF(AL143="","","Fixo"))</f>
        <v/>
      </c>
      <c r="AN143" s="58" t="str">
        <f aca="false">IF( AM143&lt;&gt;"",VLOOKUP(AM143,Selects!$M$4:$N$1000,2,0),"")</f>
        <v/>
      </c>
      <c r="AO143" s="58"/>
      <c r="AP143" s="59"/>
      <c r="AQ143" s="65"/>
      <c r="AR143" s="58"/>
      <c r="AS143" s="58"/>
      <c r="AT143" s="26"/>
      <c r="AU143" s="58"/>
      <c r="AV143" s="58"/>
      <c r="AW143" s="58"/>
      <c r="AX143" s="58"/>
      <c r="AY143" s="71"/>
      <c r="AZ143" s="58"/>
      <c r="BA143" s="58"/>
      <c r="BB143" s="72" t="str">
        <f aca="false">IF(BA143&lt;&gt;"",VLOOKUP(BA143,Selects!$B$4:$C$100,2,0),"")</f>
        <v/>
      </c>
      <c r="BC143" s="26"/>
      <c r="BD143" s="26"/>
      <c r="BE143" s="73"/>
      <c r="BF143" s="74"/>
      <c r="BG143" s="75" t="str">
        <f aca="false">IF(LEN(BF143)=11,"PF",IF(LEN(BF143)=14,"PJ",""))</f>
        <v/>
      </c>
      <c r="BH143" s="66"/>
      <c r="BI143" s="58" t="str">
        <f aca="false">IF(BH143&lt;&gt;"",VLOOKUP(BH143,Selects!$G:$H,2,0),"")</f>
        <v/>
      </c>
      <c r="BJ143" s="58"/>
      <c r="BK143" s="58"/>
      <c r="BL143" s="59"/>
      <c r="BM143" s="58"/>
      <c r="BN143" s="58"/>
      <c r="BO143" s="58" t="str">
        <f aca="false">IF(BN143&lt;&gt;"",VLOOKUP(BN143,Selects!$J$4:$K$1000,2,0),"")</f>
        <v/>
      </c>
      <c r="BP143" s="76"/>
      <c r="BQ143" s="59"/>
      <c r="BR143" s="77"/>
      <c r="BS143" s="59"/>
      <c r="BT143" s="77"/>
      <c r="BU143" s="58"/>
      <c r="BV143" s="58"/>
      <c r="BW143" s="58"/>
      <c r="BX143" s="58"/>
      <c r="BY143" s="58"/>
      <c r="BZ143" s="58"/>
      <c r="CA143" s="58"/>
      <c r="CB143" s="72" t="str">
        <f aca="false">IF(AC143&lt;&gt;"",VLOOKUP(AC143,Selects!$B:$E,4,0),"")</f>
        <v/>
      </c>
      <c r="CC143" s="58"/>
      <c r="CD143" s="58"/>
      <c r="CE143" s="58"/>
    </row>
    <row r="144" customFormat="false" ht="15.75" hidden="false" customHeight="true" outlineLevel="0" collapsed="false">
      <c r="A144" s="17"/>
      <c r="B144" s="58"/>
      <c r="C144" s="58"/>
      <c r="D144" s="59"/>
      <c r="E144" s="60" t="str">
        <f aca="false">IF(LEN(D144)=11,"PF",IF(LEN(D144)=14,"PJ",""))</f>
        <v/>
      </c>
      <c r="F144" s="59"/>
      <c r="G144" s="59"/>
      <c r="H144" s="61" t="str">
        <f aca="false">IF(G144&lt;&gt;"",VLOOKUP(G144,'Cnae  mcc  id'!$A:$M,9,0),"")</f>
        <v/>
      </c>
      <c r="I144" s="62"/>
      <c r="J144" s="63" t="str">
        <f aca="false">IF(I144&lt;&gt;"",VLOOKUP(I144,'Legal Nature'!$E$2:$G$84,3,0),"")</f>
        <v/>
      </c>
      <c r="K144" s="64"/>
      <c r="L144" s="65"/>
      <c r="M144" s="66"/>
      <c r="N144" s="66"/>
      <c r="O144" s="79"/>
      <c r="P144" s="26"/>
      <c r="Q144" s="58"/>
      <c r="R144" s="58"/>
      <c r="S144" s="58"/>
      <c r="T144" s="68" t="str">
        <f aca="false">IF(LEFT(S144,1)="9","Celular",IF(S144="","","Fixo"))</f>
        <v/>
      </c>
      <c r="U144" s="58" t="str">
        <f aca="false">IF( T144&lt;&gt;"",VLOOKUP(T144,Selects!$M$4:$N$1000,2,0),"")</f>
        <v/>
      </c>
      <c r="V144" s="26"/>
      <c r="W144" s="58"/>
      <c r="X144" s="58"/>
      <c r="Y144" s="58"/>
      <c r="Z144" s="58"/>
      <c r="AA144" s="69"/>
      <c r="AB144" s="58"/>
      <c r="AC144" s="58"/>
      <c r="AD144" s="70" t="str">
        <f aca="false">IF(AC144&lt;&gt;"",VLOOKUP(AC144,Selects!$B$4:$C$100,2,0),"")</f>
        <v/>
      </c>
      <c r="AE144" s="26"/>
      <c r="AF144" s="58"/>
      <c r="AG144" s="59"/>
      <c r="AH144" s="65"/>
      <c r="AI144" s="66"/>
      <c r="AJ144" s="66"/>
      <c r="AK144" s="58"/>
      <c r="AL144" s="58"/>
      <c r="AM144" s="68" t="str">
        <f aca="false">IF(LEFT(AL144,1)="9","Celular",IF(AL144="","","Fixo"))</f>
        <v/>
      </c>
      <c r="AN144" s="58" t="str">
        <f aca="false">IF( AM144&lt;&gt;"",VLOOKUP(AM144,Selects!$M$4:$N$1000,2,0),"")</f>
        <v/>
      </c>
      <c r="AO144" s="58"/>
      <c r="AP144" s="59"/>
      <c r="AQ144" s="65"/>
      <c r="AR144" s="58"/>
      <c r="AS144" s="58"/>
      <c r="AT144" s="26"/>
      <c r="AU144" s="58"/>
      <c r="AV144" s="58"/>
      <c r="AW144" s="58"/>
      <c r="AX144" s="58"/>
      <c r="AY144" s="71"/>
      <c r="AZ144" s="58"/>
      <c r="BA144" s="58"/>
      <c r="BB144" s="72" t="str">
        <f aca="false">IF(BA144&lt;&gt;"",VLOOKUP(BA144,Selects!$B$4:$C$100,2,0),"")</f>
        <v/>
      </c>
      <c r="BC144" s="26"/>
      <c r="BD144" s="26"/>
      <c r="BE144" s="73"/>
      <c r="BF144" s="74"/>
      <c r="BG144" s="75" t="str">
        <f aca="false">IF(LEN(BF144)=11,"PF",IF(LEN(BF144)=14,"PJ",""))</f>
        <v/>
      </c>
      <c r="BH144" s="66"/>
      <c r="BI144" s="58" t="str">
        <f aca="false">IF(BH144&lt;&gt;"",VLOOKUP(BH144,Selects!$G:$H,2,0),"")</f>
        <v/>
      </c>
      <c r="BJ144" s="58"/>
      <c r="BK144" s="58"/>
      <c r="BL144" s="59"/>
      <c r="BM144" s="58"/>
      <c r="BN144" s="58"/>
      <c r="BO144" s="58" t="str">
        <f aca="false">IF(BN144&lt;&gt;"",VLOOKUP(BN144,Selects!$J$4:$K$1000,2,0),"")</f>
        <v/>
      </c>
      <c r="BP144" s="76"/>
      <c r="BQ144" s="59"/>
      <c r="BR144" s="77"/>
      <c r="BS144" s="59"/>
      <c r="BT144" s="77"/>
      <c r="BU144" s="58"/>
      <c r="BV144" s="58"/>
      <c r="BW144" s="58"/>
      <c r="BX144" s="58"/>
      <c r="BY144" s="58"/>
      <c r="BZ144" s="58"/>
      <c r="CA144" s="58"/>
      <c r="CB144" s="72" t="str">
        <f aca="false">IF(AC144&lt;&gt;"",VLOOKUP(AC144,Selects!$B:$E,4,0),"")</f>
        <v/>
      </c>
      <c r="CC144" s="58"/>
      <c r="CD144" s="58"/>
      <c r="CE144" s="58"/>
    </row>
    <row r="145" customFormat="false" ht="15.75" hidden="false" customHeight="true" outlineLevel="0" collapsed="false">
      <c r="A145" s="17"/>
      <c r="B145" s="58"/>
      <c r="C145" s="58"/>
      <c r="D145" s="59"/>
      <c r="E145" s="60" t="str">
        <f aca="false">IF(LEN(D145)=11,"PF",IF(LEN(D145)=14,"PJ",""))</f>
        <v/>
      </c>
      <c r="F145" s="59"/>
      <c r="G145" s="59"/>
      <c r="H145" s="61" t="str">
        <f aca="false">IF(G145&lt;&gt;"",VLOOKUP(G145,'Cnae  mcc  id'!$A:$M,9,0),"")</f>
        <v/>
      </c>
      <c r="I145" s="62"/>
      <c r="J145" s="63" t="str">
        <f aca="false">IF(I145&lt;&gt;"",VLOOKUP(I145,'Legal Nature'!$E$2:$G$84,3,0),"")</f>
        <v/>
      </c>
      <c r="K145" s="64"/>
      <c r="L145" s="65"/>
      <c r="M145" s="66"/>
      <c r="N145" s="66"/>
      <c r="O145" s="79"/>
      <c r="P145" s="26"/>
      <c r="Q145" s="58"/>
      <c r="R145" s="58"/>
      <c r="S145" s="58"/>
      <c r="T145" s="68" t="str">
        <f aca="false">IF(LEFT(S145,1)="9","Celular",IF(S145="","","Fixo"))</f>
        <v/>
      </c>
      <c r="U145" s="58" t="str">
        <f aca="false">IF( T145&lt;&gt;"",VLOOKUP(T145,Selects!$M$4:$N$1000,2,0),"")</f>
        <v/>
      </c>
      <c r="V145" s="26"/>
      <c r="W145" s="58"/>
      <c r="X145" s="58"/>
      <c r="Y145" s="58"/>
      <c r="Z145" s="58"/>
      <c r="AA145" s="69"/>
      <c r="AB145" s="58"/>
      <c r="AC145" s="58"/>
      <c r="AD145" s="70" t="str">
        <f aca="false">IF(AC145&lt;&gt;"",VLOOKUP(AC145,Selects!$B$4:$C$100,2,0),"")</f>
        <v/>
      </c>
      <c r="AE145" s="26"/>
      <c r="AF145" s="58"/>
      <c r="AG145" s="59"/>
      <c r="AH145" s="65"/>
      <c r="AI145" s="66"/>
      <c r="AJ145" s="66"/>
      <c r="AK145" s="58"/>
      <c r="AL145" s="58"/>
      <c r="AM145" s="68" t="str">
        <f aca="false">IF(LEFT(AL145,1)="9","Celular",IF(AL145="","","Fixo"))</f>
        <v/>
      </c>
      <c r="AN145" s="58" t="str">
        <f aca="false">IF( AM145&lt;&gt;"",VLOOKUP(AM145,Selects!$M$4:$N$1000,2,0),"")</f>
        <v/>
      </c>
      <c r="AO145" s="58"/>
      <c r="AP145" s="59"/>
      <c r="AQ145" s="65"/>
      <c r="AR145" s="58"/>
      <c r="AS145" s="58"/>
      <c r="AT145" s="26"/>
      <c r="AU145" s="58"/>
      <c r="AV145" s="58"/>
      <c r="AW145" s="58"/>
      <c r="AX145" s="58"/>
      <c r="AY145" s="71"/>
      <c r="AZ145" s="58"/>
      <c r="BA145" s="58"/>
      <c r="BB145" s="72" t="str">
        <f aca="false">IF(BA145&lt;&gt;"",VLOOKUP(BA145,Selects!$B$4:$C$100,2,0),"")</f>
        <v/>
      </c>
      <c r="BC145" s="26"/>
      <c r="BD145" s="26"/>
      <c r="BE145" s="73"/>
      <c r="BF145" s="74"/>
      <c r="BG145" s="75" t="str">
        <f aca="false">IF(LEN(BF145)=11,"PF",IF(LEN(BF145)=14,"PJ",""))</f>
        <v/>
      </c>
      <c r="BH145" s="66"/>
      <c r="BI145" s="58" t="str">
        <f aca="false">IF(BH145&lt;&gt;"",VLOOKUP(BH145,Selects!$G:$H,2,0),"")</f>
        <v/>
      </c>
      <c r="BJ145" s="58"/>
      <c r="BK145" s="58"/>
      <c r="BL145" s="59"/>
      <c r="BM145" s="58"/>
      <c r="BN145" s="58"/>
      <c r="BO145" s="58" t="str">
        <f aca="false">IF(BN145&lt;&gt;"",VLOOKUP(BN145,Selects!$J$4:$K$1000,2,0),"")</f>
        <v/>
      </c>
      <c r="BP145" s="76"/>
      <c r="BQ145" s="59"/>
      <c r="BR145" s="77"/>
      <c r="BS145" s="59"/>
      <c r="BT145" s="77"/>
      <c r="BU145" s="58"/>
      <c r="BV145" s="58"/>
      <c r="BW145" s="58"/>
      <c r="BX145" s="58"/>
      <c r="BY145" s="58"/>
      <c r="BZ145" s="58"/>
      <c r="CA145" s="58"/>
      <c r="CB145" s="72" t="str">
        <f aca="false">IF(AC145&lt;&gt;"",VLOOKUP(AC145,Selects!$B:$E,4,0),"")</f>
        <v/>
      </c>
      <c r="CC145" s="58"/>
      <c r="CD145" s="58"/>
      <c r="CE145" s="58"/>
    </row>
    <row r="146" customFormat="false" ht="15.75" hidden="false" customHeight="true" outlineLevel="0" collapsed="false">
      <c r="A146" s="17"/>
      <c r="B146" s="58"/>
      <c r="C146" s="58"/>
      <c r="D146" s="59"/>
      <c r="E146" s="60" t="str">
        <f aca="false">IF(LEN(D146)=11,"PF",IF(LEN(D146)=14,"PJ",""))</f>
        <v/>
      </c>
      <c r="F146" s="59"/>
      <c r="G146" s="59"/>
      <c r="H146" s="61" t="str">
        <f aca="false">IF(G146&lt;&gt;"",VLOOKUP(G146,'Cnae  mcc  id'!$A:$M,9,0),"")</f>
        <v/>
      </c>
      <c r="I146" s="62"/>
      <c r="J146" s="63" t="str">
        <f aca="false">IF(I146&lt;&gt;"",VLOOKUP(I146,'Legal Nature'!$E$2:$G$84,3,0),"")</f>
        <v/>
      </c>
      <c r="K146" s="64"/>
      <c r="L146" s="65"/>
      <c r="M146" s="66"/>
      <c r="N146" s="66"/>
      <c r="O146" s="79"/>
      <c r="P146" s="26"/>
      <c r="Q146" s="58"/>
      <c r="R146" s="58"/>
      <c r="S146" s="58"/>
      <c r="T146" s="68" t="str">
        <f aca="false">IF(LEFT(S146,1)="9","Celular",IF(S146="","","Fixo"))</f>
        <v/>
      </c>
      <c r="U146" s="58" t="str">
        <f aca="false">IF( T146&lt;&gt;"",VLOOKUP(T146,Selects!$M$4:$N$1000,2,0),"")</f>
        <v/>
      </c>
      <c r="V146" s="26"/>
      <c r="W146" s="58"/>
      <c r="X146" s="58"/>
      <c r="Y146" s="58"/>
      <c r="Z146" s="58"/>
      <c r="AA146" s="69"/>
      <c r="AB146" s="58"/>
      <c r="AC146" s="58"/>
      <c r="AD146" s="70" t="str">
        <f aca="false">IF(AC146&lt;&gt;"",VLOOKUP(AC146,Selects!$B$4:$C$100,2,0),"")</f>
        <v/>
      </c>
      <c r="AE146" s="26"/>
      <c r="AF146" s="58"/>
      <c r="AG146" s="59"/>
      <c r="AH146" s="65"/>
      <c r="AI146" s="66"/>
      <c r="AJ146" s="66"/>
      <c r="AK146" s="58"/>
      <c r="AL146" s="58"/>
      <c r="AM146" s="68" t="str">
        <f aca="false">IF(LEFT(AL146,1)="9","Celular",IF(AL146="","","Fixo"))</f>
        <v/>
      </c>
      <c r="AN146" s="58" t="str">
        <f aca="false">IF( AM146&lt;&gt;"",VLOOKUP(AM146,Selects!$M$4:$N$1000,2,0),"")</f>
        <v/>
      </c>
      <c r="AO146" s="58"/>
      <c r="AP146" s="59"/>
      <c r="AQ146" s="65"/>
      <c r="AR146" s="58"/>
      <c r="AS146" s="58"/>
      <c r="AT146" s="26"/>
      <c r="AU146" s="58"/>
      <c r="AV146" s="58"/>
      <c r="AW146" s="58"/>
      <c r="AX146" s="58"/>
      <c r="AY146" s="71"/>
      <c r="AZ146" s="58"/>
      <c r="BA146" s="58"/>
      <c r="BB146" s="72" t="str">
        <f aca="false">IF(BA146&lt;&gt;"",VLOOKUP(BA146,Selects!$B$4:$C$100,2,0),"")</f>
        <v/>
      </c>
      <c r="BC146" s="26"/>
      <c r="BD146" s="26"/>
      <c r="BE146" s="73"/>
      <c r="BF146" s="74"/>
      <c r="BG146" s="75" t="str">
        <f aca="false">IF(LEN(BF146)=11,"PF",IF(LEN(BF146)=14,"PJ",""))</f>
        <v/>
      </c>
      <c r="BH146" s="66"/>
      <c r="BI146" s="58" t="str">
        <f aca="false">IF(BH146&lt;&gt;"",VLOOKUP(BH146,Selects!$G:$H,2,0),"")</f>
        <v/>
      </c>
      <c r="BJ146" s="58"/>
      <c r="BK146" s="58"/>
      <c r="BL146" s="59"/>
      <c r="BM146" s="58"/>
      <c r="BN146" s="58"/>
      <c r="BO146" s="58" t="str">
        <f aca="false">IF(BN146&lt;&gt;"",VLOOKUP(BN146,Selects!$J$4:$K$1000,2,0),"")</f>
        <v/>
      </c>
      <c r="BP146" s="76"/>
      <c r="BQ146" s="59"/>
      <c r="BR146" s="77"/>
      <c r="BS146" s="59"/>
      <c r="BT146" s="77"/>
      <c r="BU146" s="58"/>
      <c r="BV146" s="58"/>
      <c r="BW146" s="58"/>
      <c r="BX146" s="58"/>
      <c r="BY146" s="58"/>
      <c r="BZ146" s="58"/>
      <c r="CA146" s="58"/>
      <c r="CB146" s="72" t="str">
        <f aca="false">IF(AC146&lt;&gt;"",VLOOKUP(AC146,Selects!$B:$E,4,0),"")</f>
        <v/>
      </c>
      <c r="CC146" s="58"/>
      <c r="CD146" s="58"/>
      <c r="CE146" s="58"/>
    </row>
    <row r="147" customFormat="false" ht="15.75" hidden="false" customHeight="true" outlineLevel="0" collapsed="false">
      <c r="A147" s="17"/>
      <c r="B147" s="58"/>
      <c r="C147" s="58"/>
      <c r="D147" s="59"/>
      <c r="E147" s="60" t="str">
        <f aca="false">IF(LEN(D147)=11,"PF",IF(LEN(D147)=14,"PJ",""))</f>
        <v/>
      </c>
      <c r="F147" s="59"/>
      <c r="G147" s="59"/>
      <c r="H147" s="61" t="str">
        <f aca="false">IF(G147&lt;&gt;"",VLOOKUP(G147,'Cnae  mcc  id'!$A:$M,9,0),"")</f>
        <v/>
      </c>
      <c r="I147" s="62"/>
      <c r="J147" s="63" t="str">
        <f aca="false">IF(I147&lt;&gt;"",VLOOKUP(I147,'Legal Nature'!$E$2:$G$84,3,0),"")</f>
        <v/>
      </c>
      <c r="K147" s="64"/>
      <c r="L147" s="65"/>
      <c r="M147" s="66"/>
      <c r="N147" s="66"/>
      <c r="O147" s="79"/>
      <c r="P147" s="26"/>
      <c r="Q147" s="58"/>
      <c r="R147" s="58"/>
      <c r="S147" s="58"/>
      <c r="T147" s="68" t="str">
        <f aca="false">IF(LEFT(S147,1)="9","Celular",IF(S147="","","Fixo"))</f>
        <v/>
      </c>
      <c r="U147" s="58" t="str">
        <f aca="false">IF( T147&lt;&gt;"",VLOOKUP(T147,Selects!$M$4:$N$1000,2,0),"")</f>
        <v/>
      </c>
      <c r="V147" s="26"/>
      <c r="W147" s="58"/>
      <c r="X147" s="58"/>
      <c r="Y147" s="58"/>
      <c r="Z147" s="58"/>
      <c r="AA147" s="69"/>
      <c r="AB147" s="58"/>
      <c r="AC147" s="58"/>
      <c r="AD147" s="70" t="str">
        <f aca="false">IF(AC147&lt;&gt;"",VLOOKUP(AC147,Selects!$B$4:$C$100,2,0),"")</f>
        <v/>
      </c>
      <c r="AE147" s="26"/>
      <c r="AF147" s="58"/>
      <c r="AG147" s="59"/>
      <c r="AH147" s="65"/>
      <c r="AI147" s="66"/>
      <c r="AJ147" s="66"/>
      <c r="AK147" s="58"/>
      <c r="AL147" s="58"/>
      <c r="AM147" s="68" t="str">
        <f aca="false">IF(LEFT(AL147,1)="9","Celular",IF(AL147="","","Fixo"))</f>
        <v/>
      </c>
      <c r="AN147" s="58" t="str">
        <f aca="false">IF( AM147&lt;&gt;"",VLOOKUP(AM147,Selects!$M$4:$N$1000,2,0),"")</f>
        <v/>
      </c>
      <c r="AO147" s="58"/>
      <c r="AP147" s="59"/>
      <c r="AQ147" s="65"/>
      <c r="AR147" s="58"/>
      <c r="AS147" s="58"/>
      <c r="AT147" s="26"/>
      <c r="AU147" s="58"/>
      <c r="AV147" s="58"/>
      <c r="AW147" s="58"/>
      <c r="AX147" s="58"/>
      <c r="AY147" s="71"/>
      <c r="AZ147" s="58"/>
      <c r="BA147" s="58"/>
      <c r="BB147" s="72" t="str">
        <f aca="false">IF(BA147&lt;&gt;"",VLOOKUP(BA147,Selects!$B$4:$C$100,2,0),"")</f>
        <v/>
      </c>
      <c r="BC147" s="26"/>
      <c r="BD147" s="26"/>
      <c r="BE147" s="73"/>
      <c r="BF147" s="74"/>
      <c r="BG147" s="75" t="str">
        <f aca="false">IF(LEN(BF147)=11,"PF",IF(LEN(BF147)=14,"PJ",""))</f>
        <v/>
      </c>
      <c r="BH147" s="66"/>
      <c r="BI147" s="58" t="str">
        <f aca="false">IF(BH147&lt;&gt;"",VLOOKUP(BH147,Selects!$G:$H,2,0),"")</f>
        <v/>
      </c>
      <c r="BJ147" s="58"/>
      <c r="BK147" s="58"/>
      <c r="BL147" s="59"/>
      <c r="BM147" s="58"/>
      <c r="BN147" s="58"/>
      <c r="BO147" s="58" t="str">
        <f aca="false">IF(BN147&lt;&gt;"",VLOOKUP(BN147,Selects!$J$4:$K$1000,2,0),"")</f>
        <v/>
      </c>
      <c r="BP147" s="76"/>
      <c r="BQ147" s="59"/>
      <c r="BR147" s="77"/>
      <c r="BS147" s="59"/>
      <c r="BT147" s="77"/>
      <c r="BU147" s="58"/>
      <c r="BV147" s="58"/>
      <c r="BW147" s="58"/>
      <c r="BX147" s="58"/>
      <c r="BY147" s="58"/>
      <c r="BZ147" s="58"/>
      <c r="CA147" s="58"/>
      <c r="CB147" s="72" t="str">
        <f aca="false">IF(AC147&lt;&gt;"",VLOOKUP(AC147,Selects!$B:$E,4,0),"")</f>
        <v/>
      </c>
      <c r="CC147" s="58"/>
      <c r="CD147" s="58"/>
      <c r="CE147" s="58"/>
    </row>
    <row r="148" customFormat="false" ht="15.75" hidden="false" customHeight="true" outlineLevel="0" collapsed="false">
      <c r="A148" s="17"/>
      <c r="B148" s="58"/>
      <c r="C148" s="58"/>
      <c r="D148" s="59"/>
      <c r="E148" s="60" t="str">
        <f aca="false">IF(LEN(D148)=11,"PF",IF(LEN(D148)=14,"PJ",""))</f>
        <v/>
      </c>
      <c r="F148" s="59"/>
      <c r="G148" s="59"/>
      <c r="H148" s="61" t="str">
        <f aca="false">IF(G148&lt;&gt;"",VLOOKUP(G148,'Cnae  mcc  id'!$A:$M,9,0),"")</f>
        <v/>
      </c>
      <c r="I148" s="62"/>
      <c r="J148" s="63" t="str">
        <f aca="false">IF(I148&lt;&gt;"",VLOOKUP(I148,'Legal Nature'!$E$2:$G$84,3,0),"")</f>
        <v/>
      </c>
      <c r="K148" s="64"/>
      <c r="L148" s="65"/>
      <c r="M148" s="66"/>
      <c r="N148" s="66"/>
      <c r="O148" s="79"/>
      <c r="P148" s="26"/>
      <c r="Q148" s="58"/>
      <c r="R148" s="58"/>
      <c r="S148" s="58"/>
      <c r="T148" s="68" t="str">
        <f aca="false">IF(LEFT(S148,1)="9","Celular",IF(S148="","","Fixo"))</f>
        <v/>
      </c>
      <c r="U148" s="58" t="str">
        <f aca="false">IF( T148&lt;&gt;"",VLOOKUP(T148,Selects!$M$4:$N$1000,2,0),"")</f>
        <v/>
      </c>
      <c r="V148" s="26"/>
      <c r="W148" s="58"/>
      <c r="X148" s="58"/>
      <c r="Y148" s="58"/>
      <c r="Z148" s="58"/>
      <c r="AA148" s="69"/>
      <c r="AB148" s="58"/>
      <c r="AC148" s="58"/>
      <c r="AD148" s="70" t="str">
        <f aca="false">IF(AC148&lt;&gt;"",VLOOKUP(AC148,Selects!$B$4:$C$100,2,0),"")</f>
        <v/>
      </c>
      <c r="AE148" s="26"/>
      <c r="AF148" s="58"/>
      <c r="AG148" s="59"/>
      <c r="AH148" s="65"/>
      <c r="AI148" s="66"/>
      <c r="AJ148" s="66"/>
      <c r="AK148" s="58"/>
      <c r="AL148" s="58"/>
      <c r="AM148" s="68" t="str">
        <f aca="false">IF(LEFT(AL148,1)="9","Celular",IF(AL148="","","Fixo"))</f>
        <v/>
      </c>
      <c r="AN148" s="58" t="str">
        <f aca="false">IF( AM148&lt;&gt;"",VLOOKUP(AM148,Selects!$M$4:$N$1000,2,0),"")</f>
        <v/>
      </c>
      <c r="AO148" s="58"/>
      <c r="AP148" s="59"/>
      <c r="AQ148" s="65"/>
      <c r="AR148" s="58"/>
      <c r="AS148" s="58"/>
      <c r="AT148" s="26"/>
      <c r="AU148" s="58"/>
      <c r="AV148" s="58"/>
      <c r="AW148" s="58"/>
      <c r="AX148" s="58"/>
      <c r="AY148" s="71"/>
      <c r="AZ148" s="58"/>
      <c r="BA148" s="58"/>
      <c r="BB148" s="72" t="str">
        <f aca="false">IF(BA148&lt;&gt;"",VLOOKUP(BA148,Selects!$B$4:$C$100,2,0),"")</f>
        <v/>
      </c>
      <c r="BC148" s="26"/>
      <c r="BD148" s="26"/>
      <c r="BE148" s="73"/>
      <c r="BF148" s="74"/>
      <c r="BG148" s="75" t="str">
        <f aca="false">IF(LEN(BF148)=11,"PF",IF(LEN(BF148)=14,"PJ",""))</f>
        <v/>
      </c>
      <c r="BH148" s="66"/>
      <c r="BI148" s="58" t="str">
        <f aca="false">IF(BH148&lt;&gt;"",VLOOKUP(BH148,Selects!$G:$H,2,0),"")</f>
        <v/>
      </c>
      <c r="BJ148" s="58"/>
      <c r="BK148" s="58"/>
      <c r="BL148" s="59"/>
      <c r="BM148" s="58"/>
      <c r="BN148" s="58"/>
      <c r="BO148" s="58" t="str">
        <f aca="false">IF(BN148&lt;&gt;"",VLOOKUP(BN148,Selects!$J$4:$K$1000,2,0),"")</f>
        <v/>
      </c>
      <c r="BP148" s="76"/>
      <c r="BQ148" s="59"/>
      <c r="BR148" s="77"/>
      <c r="BS148" s="59"/>
      <c r="BT148" s="77"/>
      <c r="BU148" s="58"/>
      <c r="BV148" s="58"/>
      <c r="BW148" s="58"/>
      <c r="BX148" s="58"/>
      <c r="BY148" s="58"/>
      <c r="BZ148" s="58"/>
      <c r="CA148" s="58"/>
      <c r="CB148" s="72" t="str">
        <f aca="false">IF(AC148&lt;&gt;"",VLOOKUP(AC148,Selects!$B:$E,4,0),"")</f>
        <v/>
      </c>
      <c r="CC148" s="58"/>
      <c r="CD148" s="58"/>
      <c r="CE148" s="58"/>
    </row>
    <row r="149" customFormat="false" ht="15.75" hidden="false" customHeight="true" outlineLevel="0" collapsed="false">
      <c r="A149" s="17"/>
      <c r="B149" s="58"/>
      <c r="C149" s="58"/>
      <c r="D149" s="59"/>
      <c r="E149" s="60" t="str">
        <f aca="false">IF(LEN(D149)=11,"PF",IF(LEN(D149)=14,"PJ",""))</f>
        <v/>
      </c>
      <c r="F149" s="59"/>
      <c r="G149" s="59"/>
      <c r="H149" s="61" t="str">
        <f aca="false">IF(G149&lt;&gt;"",VLOOKUP(G149,'Cnae  mcc  id'!$A:$M,9,0),"")</f>
        <v/>
      </c>
      <c r="I149" s="62"/>
      <c r="J149" s="63" t="str">
        <f aca="false">IF(I149&lt;&gt;"",VLOOKUP(I149,'Legal Nature'!$E$2:$G$84,3,0),"")</f>
        <v/>
      </c>
      <c r="K149" s="64"/>
      <c r="L149" s="65"/>
      <c r="M149" s="66"/>
      <c r="N149" s="66"/>
      <c r="O149" s="79"/>
      <c r="P149" s="26"/>
      <c r="Q149" s="58"/>
      <c r="R149" s="58"/>
      <c r="S149" s="58"/>
      <c r="T149" s="68" t="str">
        <f aca="false">IF(LEFT(S149,1)="9","Celular",IF(S149="","","Fixo"))</f>
        <v/>
      </c>
      <c r="U149" s="58" t="str">
        <f aca="false">IF( T149&lt;&gt;"",VLOOKUP(T149,Selects!$M$4:$N$1000,2,0),"")</f>
        <v/>
      </c>
      <c r="V149" s="26"/>
      <c r="W149" s="58"/>
      <c r="X149" s="58"/>
      <c r="Y149" s="58"/>
      <c r="Z149" s="58"/>
      <c r="AA149" s="69"/>
      <c r="AB149" s="58"/>
      <c r="AC149" s="58"/>
      <c r="AD149" s="70" t="str">
        <f aca="false">IF(AC149&lt;&gt;"",VLOOKUP(AC149,Selects!$B$4:$C$100,2,0),"")</f>
        <v/>
      </c>
      <c r="AE149" s="26"/>
      <c r="AF149" s="58"/>
      <c r="AG149" s="59"/>
      <c r="AH149" s="65"/>
      <c r="AI149" s="66"/>
      <c r="AJ149" s="66"/>
      <c r="AK149" s="58"/>
      <c r="AL149" s="58"/>
      <c r="AM149" s="68" t="str">
        <f aca="false">IF(LEFT(AL149,1)="9","Celular",IF(AL149="","","Fixo"))</f>
        <v/>
      </c>
      <c r="AN149" s="58" t="str">
        <f aca="false">IF( AM149&lt;&gt;"",VLOOKUP(AM149,Selects!$M$4:$N$1000,2,0),"")</f>
        <v/>
      </c>
      <c r="AO149" s="58"/>
      <c r="AP149" s="59"/>
      <c r="AQ149" s="65"/>
      <c r="AR149" s="58"/>
      <c r="AS149" s="58"/>
      <c r="AT149" s="26"/>
      <c r="AU149" s="58"/>
      <c r="AV149" s="58"/>
      <c r="AW149" s="58"/>
      <c r="AX149" s="58"/>
      <c r="AY149" s="71"/>
      <c r="AZ149" s="58"/>
      <c r="BA149" s="58"/>
      <c r="BB149" s="72" t="str">
        <f aca="false">IF(BA149&lt;&gt;"",VLOOKUP(BA149,Selects!$B$4:$C$100,2,0),"")</f>
        <v/>
      </c>
      <c r="BC149" s="26"/>
      <c r="BD149" s="26"/>
      <c r="BE149" s="73"/>
      <c r="BF149" s="74"/>
      <c r="BG149" s="75" t="str">
        <f aca="false">IF(LEN(BF149)=11,"PF",IF(LEN(BF149)=14,"PJ",""))</f>
        <v/>
      </c>
      <c r="BH149" s="66"/>
      <c r="BI149" s="58" t="str">
        <f aca="false">IF(BH149&lt;&gt;"",VLOOKUP(BH149,Selects!$G:$H,2,0),"")</f>
        <v/>
      </c>
      <c r="BJ149" s="58"/>
      <c r="BK149" s="58"/>
      <c r="BL149" s="59"/>
      <c r="BM149" s="58"/>
      <c r="BN149" s="58"/>
      <c r="BO149" s="58" t="str">
        <f aca="false">IF(BN149&lt;&gt;"",VLOOKUP(BN149,Selects!$J$4:$K$1000,2,0),"")</f>
        <v/>
      </c>
      <c r="BP149" s="76"/>
      <c r="BQ149" s="59"/>
      <c r="BR149" s="77"/>
      <c r="BS149" s="59"/>
      <c r="BT149" s="77"/>
      <c r="BU149" s="58"/>
      <c r="BV149" s="58"/>
      <c r="BW149" s="58"/>
      <c r="BX149" s="58"/>
      <c r="BY149" s="58"/>
      <c r="BZ149" s="58"/>
      <c r="CA149" s="58"/>
      <c r="CB149" s="72" t="str">
        <f aca="false">IF(AC149&lt;&gt;"",VLOOKUP(AC149,Selects!$B:$E,4,0),"")</f>
        <v/>
      </c>
      <c r="CC149" s="58"/>
      <c r="CD149" s="58"/>
      <c r="CE149" s="58"/>
    </row>
    <row r="150" customFormat="false" ht="15.75" hidden="false" customHeight="true" outlineLevel="0" collapsed="false">
      <c r="A150" s="17"/>
      <c r="B150" s="58"/>
      <c r="C150" s="58"/>
      <c r="D150" s="59"/>
      <c r="E150" s="60" t="str">
        <f aca="false">IF(LEN(D150)=11,"PF",IF(LEN(D150)=14,"PJ",""))</f>
        <v/>
      </c>
      <c r="F150" s="59"/>
      <c r="G150" s="59"/>
      <c r="H150" s="61" t="str">
        <f aca="false">IF(G150&lt;&gt;"",VLOOKUP(G150,'Cnae  mcc  id'!$A:$M,9,0),"")</f>
        <v/>
      </c>
      <c r="I150" s="62"/>
      <c r="J150" s="63" t="str">
        <f aca="false">IF(I150&lt;&gt;"",VLOOKUP(I150,'Legal Nature'!$E$2:$G$84,3,0),"")</f>
        <v/>
      </c>
      <c r="K150" s="64"/>
      <c r="L150" s="65"/>
      <c r="M150" s="66"/>
      <c r="N150" s="66"/>
      <c r="O150" s="79"/>
      <c r="P150" s="26"/>
      <c r="Q150" s="58"/>
      <c r="R150" s="58"/>
      <c r="S150" s="58"/>
      <c r="T150" s="68" t="str">
        <f aca="false">IF(LEFT(S150,1)="9","Celular",IF(S150="","","Fixo"))</f>
        <v/>
      </c>
      <c r="U150" s="58" t="str">
        <f aca="false">IF( T150&lt;&gt;"",VLOOKUP(T150,Selects!$M$4:$N$1000,2,0),"")</f>
        <v/>
      </c>
      <c r="V150" s="26"/>
      <c r="W150" s="58"/>
      <c r="X150" s="58"/>
      <c r="Y150" s="58"/>
      <c r="Z150" s="58"/>
      <c r="AA150" s="69"/>
      <c r="AB150" s="58"/>
      <c r="AC150" s="58"/>
      <c r="AD150" s="70" t="str">
        <f aca="false">IF(AC150&lt;&gt;"",VLOOKUP(AC150,Selects!$B$4:$C$100,2,0),"")</f>
        <v/>
      </c>
      <c r="AE150" s="26"/>
      <c r="AF150" s="58"/>
      <c r="AG150" s="59"/>
      <c r="AH150" s="65"/>
      <c r="AI150" s="66"/>
      <c r="AJ150" s="66"/>
      <c r="AK150" s="58"/>
      <c r="AL150" s="58"/>
      <c r="AM150" s="68" t="str">
        <f aca="false">IF(LEFT(AL150,1)="9","Celular",IF(AL150="","","Fixo"))</f>
        <v/>
      </c>
      <c r="AN150" s="58" t="str">
        <f aca="false">IF( AM150&lt;&gt;"",VLOOKUP(AM150,Selects!$M$4:$N$1000,2,0),"")</f>
        <v/>
      </c>
      <c r="AO150" s="58"/>
      <c r="AP150" s="59"/>
      <c r="AQ150" s="65"/>
      <c r="AR150" s="58"/>
      <c r="AS150" s="58"/>
      <c r="AT150" s="26"/>
      <c r="AU150" s="58"/>
      <c r="AV150" s="58"/>
      <c r="AW150" s="58"/>
      <c r="AX150" s="58"/>
      <c r="AY150" s="71"/>
      <c r="AZ150" s="58"/>
      <c r="BA150" s="58"/>
      <c r="BB150" s="72" t="str">
        <f aca="false">IF(BA150&lt;&gt;"",VLOOKUP(BA150,Selects!$B$4:$C$100,2,0),"")</f>
        <v/>
      </c>
      <c r="BC150" s="26"/>
      <c r="BD150" s="26"/>
      <c r="BE150" s="73"/>
      <c r="BF150" s="74"/>
      <c r="BG150" s="75" t="str">
        <f aca="false">IF(LEN(BF150)=11,"PF",IF(LEN(BF150)=14,"PJ",""))</f>
        <v/>
      </c>
      <c r="BH150" s="66"/>
      <c r="BI150" s="58" t="str">
        <f aca="false">IF(BH150&lt;&gt;"",VLOOKUP(BH150,Selects!$G:$H,2,0),"")</f>
        <v/>
      </c>
      <c r="BJ150" s="58"/>
      <c r="BK150" s="58"/>
      <c r="BL150" s="59"/>
      <c r="BM150" s="58"/>
      <c r="BN150" s="58"/>
      <c r="BO150" s="58" t="str">
        <f aca="false">IF(BN150&lt;&gt;"",VLOOKUP(BN150,Selects!$J$4:$K$1000,2,0),"")</f>
        <v/>
      </c>
      <c r="BP150" s="76"/>
      <c r="BQ150" s="59"/>
      <c r="BR150" s="77"/>
      <c r="BS150" s="59"/>
      <c r="BT150" s="77"/>
      <c r="BU150" s="58"/>
      <c r="BV150" s="58"/>
      <c r="BW150" s="58"/>
      <c r="BX150" s="58"/>
      <c r="BY150" s="58"/>
      <c r="BZ150" s="58"/>
      <c r="CA150" s="58"/>
      <c r="CB150" s="72" t="str">
        <f aca="false">IF(AC150&lt;&gt;"",VLOOKUP(AC150,Selects!$B:$E,4,0),"")</f>
        <v/>
      </c>
      <c r="CC150" s="58"/>
      <c r="CD150" s="58"/>
      <c r="CE150" s="58"/>
    </row>
    <row r="151" customFormat="false" ht="15.75" hidden="false" customHeight="true" outlineLevel="0" collapsed="false">
      <c r="A151" s="17"/>
      <c r="B151" s="58"/>
      <c r="C151" s="58"/>
      <c r="D151" s="59"/>
      <c r="E151" s="60" t="str">
        <f aca="false">IF(LEN(D151)=11,"PF",IF(LEN(D151)=14,"PJ",""))</f>
        <v/>
      </c>
      <c r="F151" s="59"/>
      <c r="G151" s="59"/>
      <c r="H151" s="61" t="str">
        <f aca="false">IF(G151&lt;&gt;"",VLOOKUP(G151,'Cnae  mcc  id'!$A:$M,9,0),"")</f>
        <v/>
      </c>
      <c r="I151" s="62"/>
      <c r="J151" s="63" t="str">
        <f aca="false">IF(I151&lt;&gt;"",VLOOKUP(I151,'Legal Nature'!$E$2:$G$84,3,0),"")</f>
        <v/>
      </c>
      <c r="K151" s="64"/>
      <c r="L151" s="65"/>
      <c r="M151" s="66"/>
      <c r="N151" s="66"/>
      <c r="O151" s="79"/>
      <c r="P151" s="26"/>
      <c r="Q151" s="58"/>
      <c r="R151" s="58"/>
      <c r="S151" s="58"/>
      <c r="T151" s="68" t="str">
        <f aca="false">IF(LEFT(S151,1)="9","Celular",IF(S151="","","Fixo"))</f>
        <v/>
      </c>
      <c r="U151" s="58" t="str">
        <f aca="false">IF( T151&lt;&gt;"",VLOOKUP(T151,Selects!$M$4:$N$1000,2,0),"")</f>
        <v/>
      </c>
      <c r="V151" s="26"/>
      <c r="W151" s="58"/>
      <c r="X151" s="58"/>
      <c r="Y151" s="58"/>
      <c r="Z151" s="58"/>
      <c r="AA151" s="69"/>
      <c r="AB151" s="58"/>
      <c r="AC151" s="58"/>
      <c r="AD151" s="70" t="str">
        <f aca="false">IF(AC151&lt;&gt;"",VLOOKUP(AC151,Selects!$B$4:$C$100,2,0),"")</f>
        <v/>
      </c>
      <c r="AE151" s="26"/>
      <c r="AF151" s="58"/>
      <c r="AG151" s="59"/>
      <c r="AH151" s="65"/>
      <c r="AI151" s="66"/>
      <c r="AJ151" s="66"/>
      <c r="AK151" s="58"/>
      <c r="AL151" s="58"/>
      <c r="AM151" s="68" t="str">
        <f aca="false">IF(LEFT(AL151,1)="9","Celular",IF(AL151="","","Fixo"))</f>
        <v/>
      </c>
      <c r="AN151" s="58" t="str">
        <f aca="false">IF( AM151&lt;&gt;"",VLOOKUP(AM151,Selects!$M$4:$N$1000,2,0),"")</f>
        <v/>
      </c>
      <c r="AO151" s="58"/>
      <c r="AP151" s="59"/>
      <c r="AQ151" s="65"/>
      <c r="AR151" s="58"/>
      <c r="AS151" s="58"/>
      <c r="AT151" s="26"/>
      <c r="AU151" s="58"/>
      <c r="AV151" s="58"/>
      <c r="AW151" s="58"/>
      <c r="AX151" s="58"/>
      <c r="AY151" s="71"/>
      <c r="AZ151" s="58"/>
      <c r="BA151" s="58"/>
      <c r="BB151" s="72" t="str">
        <f aca="false">IF(BA151&lt;&gt;"",VLOOKUP(BA151,Selects!$B$4:$C$100,2,0),"")</f>
        <v/>
      </c>
      <c r="BC151" s="26"/>
      <c r="BD151" s="26"/>
      <c r="BE151" s="73"/>
      <c r="BF151" s="74"/>
      <c r="BG151" s="75" t="str">
        <f aca="false">IF(LEN(BF151)=11,"PF",IF(LEN(BF151)=14,"PJ",""))</f>
        <v/>
      </c>
      <c r="BH151" s="66"/>
      <c r="BI151" s="58" t="str">
        <f aca="false">IF(BH151&lt;&gt;"",VLOOKUP(BH151,Selects!$G:$H,2,0),"")</f>
        <v/>
      </c>
      <c r="BJ151" s="58"/>
      <c r="BK151" s="58"/>
      <c r="BL151" s="59"/>
      <c r="BM151" s="58"/>
      <c r="BN151" s="58"/>
      <c r="BO151" s="58" t="str">
        <f aca="false">IF(BN151&lt;&gt;"",VLOOKUP(BN151,Selects!$J$4:$K$1000,2,0),"")</f>
        <v/>
      </c>
      <c r="BP151" s="76"/>
      <c r="BQ151" s="59"/>
      <c r="BR151" s="77"/>
      <c r="BS151" s="59"/>
      <c r="BT151" s="77"/>
      <c r="BU151" s="58"/>
      <c r="BV151" s="58"/>
      <c r="BW151" s="58"/>
      <c r="BX151" s="58"/>
      <c r="BY151" s="58"/>
      <c r="BZ151" s="58"/>
      <c r="CA151" s="58"/>
      <c r="CB151" s="72" t="str">
        <f aca="false">IF(AC151&lt;&gt;"",VLOOKUP(AC151,Selects!$B:$E,4,0),"")</f>
        <v/>
      </c>
      <c r="CC151" s="58"/>
      <c r="CD151" s="58"/>
      <c r="CE151" s="58"/>
    </row>
    <row r="152" customFormat="false" ht="15.75" hidden="false" customHeight="true" outlineLevel="0" collapsed="false">
      <c r="A152" s="17"/>
      <c r="B152" s="58"/>
      <c r="C152" s="58"/>
      <c r="D152" s="59"/>
      <c r="E152" s="60" t="str">
        <f aca="false">IF(LEN(D152)=11,"PF",IF(LEN(D152)=14,"PJ",""))</f>
        <v/>
      </c>
      <c r="F152" s="59"/>
      <c r="G152" s="59"/>
      <c r="H152" s="61" t="str">
        <f aca="false">IF(G152&lt;&gt;"",VLOOKUP(G152,'Cnae  mcc  id'!$A:$M,9,0),"")</f>
        <v/>
      </c>
      <c r="I152" s="62"/>
      <c r="J152" s="63" t="str">
        <f aca="false">IF(I152&lt;&gt;"",VLOOKUP(I152,'Legal Nature'!$E$2:$G$84,3,0),"")</f>
        <v/>
      </c>
      <c r="K152" s="64"/>
      <c r="L152" s="65"/>
      <c r="M152" s="66"/>
      <c r="N152" s="66"/>
      <c r="O152" s="79"/>
      <c r="P152" s="26"/>
      <c r="Q152" s="58"/>
      <c r="R152" s="58"/>
      <c r="S152" s="58"/>
      <c r="T152" s="68" t="str">
        <f aca="false">IF(LEFT(S152,1)="9","Celular",IF(S152="","","Fixo"))</f>
        <v/>
      </c>
      <c r="U152" s="58" t="str">
        <f aca="false">IF( T152&lt;&gt;"",VLOOKUP(T152,Selects!$M$4:$N$1000,2,0),"")</f>
        <v/>
      </c>
      <c r="V152" s="26"/>
      <c r="W152" s="58"/>
      <c r="X152" s="58"/>
      <c r="Y152" s="58"/>
      <c r="Z152" s="58"/>
      <c r="AA152" s="69"/>
      <c r="AB152" s="58"/>
      <c r="AC152" s="58"/>
      <c r="AD152" s="70" t="str">
        <f aca="false">IF(AC152&lt;&gt;"",VLOOKUP(AC152,Selects!$B$4:$C$100,2,0),"")</f>
        <v/>
      </c>
      <c r="AE152" s="26"/>
      <c r="AF152" s="58"/>
      <c r="AG152" s="59"/>
      <c r="AH152" s="65"/>
      <c r="AI152" s="66"/>
      <c r="AJ152" s="66"/>
      <c r="AK152" s="58"/>
      <c r="AL152" s="58"/>
      <c r="AM152" s="68" t="str">
        <f aca="false">IF(LEFT(AL152,1)="9","Celular",IF(AL152="","","Fixo"))</f>
        <v/>
      </c>
      <c r="AN152" s="58" t="str">
        <f aca="false">IF( AM152&lt;&gt;"",VLOOKUP(AM152,Selects!$M$4:$N$1000,2,0),"")</f>
        <v/>
      </c>
      <c r="AO152" s="58"/>
      <c r="AP152" s="59"/>
      <c r="AQ152" s="65"/>
      <c r="AR152" s="58"/>
      <c r="AS152" s="58"/>
      <c r="AT152" s="26"/>
      <c r="AU152" s="58"/>
      <c r="AV152" s="58"/>
      <c r="AW152" s="58"/>
      <c r="AX152" s="58"/>
      <c r="AY152" s="71"/>
      <c r="AZ152" s="58"/>
      <c r="BA152" s="58"/>
      <c r="BB152" s="72" t="str">
        <f aca="false">IF(BA152&lt;&gt;"",VLOOKUP(BA152,Selects!$B$4:$C$100,2,0),"")</f>
        <v/>
      </c>
      <c r="BC152" s="26"/>
      <c r="BD152" s="26"/>
      <c r="BE152" s="73"/>
      <c r="BF152" s="74"/>
      <c r="BG152" s="75" t="str">
        <f aca="false">IF(LEN(BF152)=11,"PF",IF(LEN(BF152)=14,"PJ",""))</f>
        <v/>
      </c>
      <c r="BH152" s="66"/>
      <c r="BI152" s="58" t="str">
        <f aca="false">IF(BH152&lt;&gt;"",VLOOKUP(BH152,Selects!$G:$H,2,0),"")</f>
        <v/>
      </c>
      <c r="BJ152" s="58"/>
      <c r="BK152" s="58"/>
      <c r="BL152" s="59"/>
      <c r="BM152" s="58"/>
      <c r="BN152" s="58"/>
      <c r="BO152" s="58" t="str">
        <f aca="false">IF(BN152&lt;&gt;"",VLOOKUP(BN152,Selects!$J$4:$K$1000,2,0),"")</f>
        <v/>
      </c>
      <c r="BP152" s="76"/>
      <c r="BQ152" s="59"/>
      <c r="BR152" s="77"/>
      <c r="BS152" s="59"/>
      <c r="BT152" s="77"/>
      <c r="BU152" s="58"/>
      <c r="BV152" s="58"/>
      <c r="BW152" s="58"/>
      <c r="BX152" s="58"/>
      <c r="BY152" s="58"/>
      <c r="BZ152" s="58"/>
      <c r="CA152" s="58"/>
      <c r="CB152" s="72" t="str">
        <f aca="false">IF(AC152&lt;&gt;"",VLOOKUP(AC152,Selects!$B:$E,4,0),"")</f>
        <v/>
      </c>
      <c r="CC152" s="58"/>
      <c r="CD152" s="58"/>
      <c r="CE152" s="58"/>
    </row>
    <row r="153" customFormat="false" ht="15.75" hidden="false" customHeight="true" outlineLevel="0" collapsed="false">
      <c r="A153" s="17"/>
      <c r="B153" s="58"/>
      <c r="C153" s="58"/>
      <c r="D153" s="59"/>
      <c r="E153" s="60" t="str">
        <f aca="false">IF(LEN(D153)=11,"PF",IF(LEN(D153)=14,"PJ",""))</f>
        <v/>
      </c>
      <c r="F153" s="59"/>
      <c r="G153" s="59"/>
      <c r="H153" s="61" t="str">
        <f aca="false">IF(G153&lt;&gt;"",VLOOKUP(G153,'Cnae  mcc  id'!$A:$M,9,0),"")</f>
        <v/>
      </c>
      <c r="I153" s="62"/>
      <c r="J153" s="63" t="str">
        <f aca="false">IF(I153&lt;&gt;"",VLOOKUP(I153,'Legal Nature'!$E$2:$G$84,3,0),"")</f>
        <v/>
      </c>
      <c r="K153" s="64"/>
      <c r="L153" s="65"/>
      <c r="M153" s="66"/>
      <c r="N153" s="66"/>
      <c r="O153" s="79"/>
      <c r="P153" s="26"/>
      <c r="Q153" s="58"/>
      <c r="R153" s="58"/>
      <c r="S153" s="58"/>
      <c r="T153" s="68" t="str">
        <f aca="false">IF(LEFT(S153,1)="9","Celular",IF(S153="","","Fixo"))</f>
        <v/>
      </c>
      <c r="U153" s="58" t="str">
        <f aca="false">IF( T153&lt;&gt;"",VLOOKUP(T153,Selects!$M$4:$N$1000,2,0),"")</f>
        <v/>
      </c>
      <c r="V153" s="26"/>
      <c r="W153" s="58"/>
      <c r="X153" s="58"/>
      <c r="Y153" s="58"/>
      <c r="Z153" s="58"/>
      <c r="AA153" s="69"/>
      <c r="AB153" s="58"/>
      <c r="AC153" s="58"/>
      <c r="AD153" s="70" t="str">
        <f aca="false">IF(AC153&lt;&gt;"",VLOOKUP(AC153,Selects!$B$4:$C$100,2,0),"")</f>
        <v/>
      </c>
      <c r="AE153" s="26"/>
      <c r="AF153" s="58"/>
      <c r="AG153" s="59"/>
      <c r="AH153" s="65"/>
      <c r="AI153" s="66"/>
      <c r="AJ153" s="66"/>
      <c r="AK153" s="58"/>
      <c r="AL153" s="58"/>
      <c r="AM153" s="68" t="str">
        <f aca="false">IF(LEFT(AL153,1)="9","Celular",IF(AL153="","","Fixo"))</f>
        <v/>
      </c>
      <c r="AN153" s="58" t="str">
        <f aca="false">IF( AM153&lt;&gt;"",VLOOKUP(AM153,Selects!$M$4:$N$1000,2,0),"")</f>
        <v/>
      </c>
      <c r="AO153" s="58"/>
      <c r="AP153" s="59"/>
      <c r="AQ153" s="65"/>
      <c r="AR153" s="58"/>
      <c r="AS153" s="58"/>
      <c r="AT153" s="26"/>
      <c r="AU153" s="58"/>
      <c r="AV153" s="58"/>
      <c r="AW153" s="58"/>
      <c r="AX153" s="58"/>
      <c r="AY153" s="71"/>
      <c r="AZ153" s="58"/>
      <c r="BA153" s="58"/>
      <c r="BB153" s="72" t="str">
        <f aca="false">IF(BA153&lt;&gt;"",VLOOKUP(BA153,Selects!$B$4:$C$100,2,0),"")</f>
        <v/>
      </c>
      <c r="BC153" s="26"/>
      <c r="BD153" s="26"/>
      <c r="BE153" s="73"/>
      <c r="BF153" s="74"/>
      <c r="BG153" s="75" t="str">
        <f aca="false">IF(LEN(BF153)=11,"PF",IF(LEN(BF153)=14,"PJ",""))</f>
        <v/>
      </c>
      <c r="BH153" s="66"/>
      <c r="BI153" s="58" t="str">
        <f aca="false">IF(BH153&lt;&gt;"",VLOOKUP(BH153,Selects!$G:$H,2,0),"")</f>
        <v/>
      </c>
      <c r="BJ153" s="58"/>
      <c r="BK153" s="58"/>
      <c r="BL153" s="59"/>
      <c r="BM153" s="58"/>
      <c r="BN153" s="58"/>
      <c r="BO153" s="58" t="str">
        <f aca="false">IF(BN153&lt;&gt;"",VLOOKUP(BN153,Selects!$J$4:$K$1000,2,0),"")</f>
        <v/>
      </c>
      <c r="BP153" s="76"/>
      <c r="BQ153" s="59"/>
      <c r="BR153" s="77"/>
      <c r="BS153" s="59"/>
      <c r="BT153" s="77"/>
      <c r="BU153" s="58"/>
      <c r="BV153" s="58"/>
      <c r="BW153" s="58"/>
      <c r="BX153" s="58"/>
      <c r="BY153" s="58"/>
      <c r="BZ153" s="58"/>
      <c r="CA153" s="58"/>
      <c r="CB153" s="72" t="str">
        <f aca="false">IF(AC153&lt;&gt;"",VLOOKUP(AC153,Selects!$B:$E,4,0),"")</f>
        <v/>
      </c>
      <c r="CC153" s="58"/>
      <c r="CD153" s="58"/>
      <c r="CE153" s="58"/>
    </row>
    <row r="154" customFormat="false" ht="15.75" hidden="false" customHeight="true" outlineLevel="0" collapsed="false">
      <c r="A154" s="17"/>
      <c r="B154" s="58"/>
      <c r="C154" s="58"/>
      <c r="D154" s="59"/>
      <c r="E154" s="60" t="str">
        <f aca="false">IF(LEN(D154)=11,"PF",IF(LEN(D154)=14,"PJ",""))</f>
        <v/>
      </c>
      <c r="F154" s="59"/>
      <c r="G154" s="59"/>
      <c r="H154" s="61" t="str">
        <f aca="false">IF(G154&lt;&gt;"",VLOOKUP(G154,'Cnae  mcc  id'!$A:$M,9,0),"")</f>
        <v/>
      </c>
      <c r="I154" s="62"/>
      <c r="J154" s="63" t="str">
        <f aca="false">IF(I154&lt;&gt;"",VLOOKUP(I154,'Legal Nature'!$E$2:$G$84,3,0),"")</f>
        <v/>
      </c>
      <c r="K154" s="64"/>
      <c r="L154" s="65"/>
      <c r="M154" s="66"/>
      <c r="N154" s="66"/>
      <c r="O154" s="79"/>
      <c r="P154" s="26"/>
      <c r="Q154" s="58"/>
      <c r="R154" s="58"/>
      <c r="S154" s="58"/>
      <c r="T154" s="68" t="str">
        <f aca="false">IF(LEFT(S154,1)="9","Celular",IF(S154="","","Fixo"))</f>
        <v/>
      </c>
      <c r="U154" s="58" t="str">
        <f aca="false">IF( T154&lt;&gt;"",VLOOKUP(T154,Selects!$M$4:$N$1000,2,0),"")</f>
        <v/>
      </c>
      <c r="V154" s="26"/>
      <c r="W154" s="58"/>
      <c r="X154" s="58"/>
      <c r="Y154" s="58"/>
      <c r="Z154" s="58"/>
      <c r="AA154" s="69"/>
      <c r="AB154" s="58"/>
      <c r="AC154" s="58"/>
      <c r="AD154" s="70" t="str">
        <f aca="false">IF(AC154&lt;&gt;"",VLOOKUP(AC154,Selects!$B$4:$C$100,2,0),"")</f>
        <v/>
      </c>
      <c r="AE154" s="26"/>
      <c r="AF154" s="58"/>
      <c r="AG154" s="59"/>
      <c r="AH154" s="65"/>
      <c r="AI154" s="66"/>
      <c r="AJ154" s="66"/>
      <c r="AK154" s="58"/>
      <c r="AL154" s="58"/>
      <c r="AM154" s="68" t="str">
        <f aca="false">IF(LEFT(AL154,1)="9","Celular",IF(AL154="","","Fixo"))</f>
        <v/>
      </c>
      <c r="AN154" s="58" t="str">
        <f aca="false">IF( AM154&lt;&gt;"",VLOOKUP(AM154,Selects!$M$4:$N$1000,2,0),"")</f>
        <v/>
      </c>
      <c r="AO154" s="58"/>
      <c r="AP154" s="59"/>
      <c r="AQ154" s="65"/>
      <c r="AR154" s="58"/>
      <c r="AS154" s="58"/>
      <c r="AT154" s="26"/>
      <c r="AU154" s="58"/>
      <c r="AV154" s="58"/>
      <c r="AW154" s="58"/>
      <c r="AX154" s="58"/>
      <c r="AY154" s="71"/>
      <c r="AZ154" s="58"/>
      <c r="BA154" s="58"/>
      <c r="BB154" s="72" t="str">
        <f aca="false">IF(BA154&lt;&gt;"",VLOOKUP(BA154,Selects!$B$4:$C$100,2,0),"")</f>
        <v/>
      </c>
      <c r="BC154" s="26"/>
      <c r="BD154" s="26"/>
      <c r="BE154" s="73"/>
      <c r="BF154" s="74"/>
      <c r="BG154" s="75" t="str">
        <f aca="false">IF(LEN(BF154)=11,"PF",IF(LEN(BF154)=14,"PJ",""))</f>
        <v/>
      </c>
      <c r="BH154" s="66"/>
      <c r="BI154" s="58" t="str">
        <f aca="false">IF(BH154&lt;&gt;"",VLOOKUP(BH154,Selects!$G:$H,2,0),"")</f>
        <v/>
      </c>
      <c r="BJ154" s="58"/>
      <c r="BK154" s="58"/>
      <c r="BL154" s="59"/>
      <c r="BM154" s="58"/>
      <c r="BN154" s="58"/>
      <c r="BO154" s="58" t="str">
        <f aca="false">IF(BN154&lt;&gt;"",VLOOKUP(BN154,Selects!$J$4:$K$1000,2,0),"")</f>
        <v/>
      </c>
      <c r="BP154" s="76"/>
      <c r="BQ154" s="59"/>
      <c r="BR154" s="77"/>
      <c r="BS154" s="59"/>
      <c r="BT154" s="77"/>
      <c r="BU154" s="58"/>
      <c r="BV154" s="58"/>
      <c r="BW154" s="58"/>
      <c r="BX154" s="58"/>
      <c r="BY154" s="58"/>
      <c r="BZ154" s="58"/>
      <c r="CA154" s="58"/>
      <c r="CB154" s="72" t="str">
        <f aca="false">IF(AC154&lt;&gt;"",VLOOKUP(AC154,Selects!$B:$E,4,0),"")</f>
        <v/>
      </c>
      <c r="CC154" s="58"/>
      <c r="CD154" s="58"/>
      <c r="CE154" s="58"/>
    </row>
    <row r="155" customFormat="false" ht="15.75" hidden="false" customHeight="true" outlineLevel="0" collapsed="false">
      <c r="A155" s="17"/>
      <c r="B155" s="58"/>
      <c r="C155" s="58"/>
      <c r="D155" s="59"/>
      <c r="E155" s="60" t="str">
        <f aca="false">IF(LEN(D155)=11,"PF",IF(LEN(D155)=14,"PJ",""))</f>
        <v/>
      </c>
      <c r="F155" s="59"/>
      <c r="G155" s="59"/>
      <c r="H155" s="61" t="str">
        <f aca="false">IF(G155&lt;&gt;"",VLOOKUP(G155,'Cnae  mcc  id'!$A:$M,9,0),"")</f>
        <v/>
      </c>
      <c r="I155" s="62"/>
      <c r="J155" s="63" t="str">
        <f aca="false">IF(I155&lt;&gt;"",VLOOKUP(I155,'Legal Nature'!$E$2:$G$84,3,0),"")</f>
        <v/>
      </c>
      <c r="K155" s="64"/>
      <c r="L155" s="65"/>
      <c r="M155" s="66"/>
      <c r="N155" s="66"/>
      <c r="O155" s="79"/>
      <c r="P155" s="26"/>
      <c r="Q155" s="58"/>
      <c r="R155" s="58"/>
      <c r="S155" s="58"/>
      <c r="T155" s="68" t="str">
        <f aca="false">IF(LEFT(S155,1)="9","Celular",IF(S155="","","Fixo"))</f>
        <v/>
      </c>
      <c r="U155" s="58" t="str">
        <f aca="false">IF( T155&lt;&gt;"",VLOOKUP(T155,Selects!$M$4:$N$1000,2,0),"")</f>
        <v/>
      </c>
      <c r="V155" s="26"/>
      <c r="W155" s="58"/>
      <c r="X155" s="58"/>
      <c r="Y155" s="58"/>
      <c r="Z155" s="58"/>
      <c r="AA155" s="69"/>
      <c r="AB155" s="58"/>
      <c r="AC155" s="58"/>
      <c r="AD155" s="70" t="str">
        <f aca="false">IF(AC155&lt;&gt;"",VLOOKUP(AC155,Selects!$B$4:$C$100,2,0),"")</f>
        <v/>
      </c>
      <c r="AE155" s="26"/>
      <c r="AF155" s="58"/>
      <c r="AG155" s="59"/>
      <c r="AH155" s="65"/>
      <c r="AI155" s="66"/>
      <c r="AJ155" s="66"/>
      <c r="AK155" s="58"/>
      <c r="AL155" s="58"/>
      <c r="AM155" s="68" t="str">
        <f aca="false">IF(LEFT(AL155,1)="9","Celular",IF(AL155="","","Fixo"))</f>
        <v/>
      </c>
      <c r="AN155" s="58" t="str">
        <f aca="false">IF( AM155&lt;&gt;"",VLOOKUP(AM155,Selects!$M$4:$N$1000,2,0),"")</f>
        <v/>
      </c>
      <c r="AO155" s="58"/>
      <c r="AP155" s="59"/>
      <c r="AQ155" s="65"/>
      <c r="AR155" s="58"/>
      <c r="AS155" s="58"/>
      <c r="AT155" s="26"/>
      <c r="AU155" s="58"/>
      <c r="AV155" s="58"/>
      <c r="AW155" s="58"/>
      <c r="AX155" s="58"/>
      <c r="AY155" s="71"/>
      <c r="AZ155" s="58"/>
      <c r="BA155" s="58"/>
      <c r="BB155" s="72" t="str">
        <f aca="false">IF(BA155&lt;&gt;"",VLOOKUP(BA155,Selects!$B$4:$C$100,2,0),"")</f>
        <v/>
      </c>
      <c r="BC155" s="26"/>
      <c r="BD155" s="26"/>
      <c r="BE155" s="73"/>
      <c r="BF155" s="74"/>
      <c r="BG155" s="75" t="str">
        <f aca="false">IF(LEN(BF155)=11,"PF",IF(LEN(BF155)=14,"PJ",""))</f>
        <v/>
      </c>
      <c r="BH155" s="66"/>
      <c r="BI155" s="58" t="str">
        <f aca="false">IF(BH155&lt;&gt;"",VLOOKUP(BH155,Selects!$G:$H,2,0),"")</f>
        <v/>
      </c>
      <c r="BJ155" s="58"/>
      <c r="BK155" s="58"/>
      <c r="BL155" s="59"/>
      <c r="BM155" s="58"/>
      <c r="BN155" s="58"/>
      <c r="BO155" s="58" t="str">
        <f aca="false">IF(BN155&lt;&gt;"",VLOOKUP(BN155,Selects!$J$4:$K$1000,2,0),"")</f>
        <v/>
      </c>
      <c r="BP155" s="76"/>
      <c r="BQ155" s="59"/>
      <c r="BR155" s="77"/>
      <c r="BS155" s="59"/>
      <c r="BT155" s="77"/>
      <c r="BU155" s="58"/>
      <c r="BV155" s="58"/>
      <c r="BW155" s="58"/>
      <c r="BX155" s="58"/>
      <c r="BY155" s="58"/>
      <c r="BZ155" s="58"/>
      <c r="CA155" s="58"/>
      <c r="CB155" s="72" t="str">
        <f aca="false">IF(AC155&lt;&gt;"",VLOOKUP(AC155,Selects!$B:$E,4,0),"")</f>
        <v/>
      </c>
      <c r="CC155" s="58"/>
      <c r="CD155" s="58"/>
      <c r="CE155" s="58"/>
    </row>
    <row r="156" customFormat="false" ht="15.75" hidden="false" customHeight="true" outlineLevel="0" collapsed="false">
      <c r="A156" s="17"/>
      <c r="B156" s="58"/>
      <c r="C156" s="58"/>
      <c r="D156" s="59"/>
      <c r="E156" s="60" t="str">
        <f aca="false">IF(LEN(D156)=11,"PF",IF(LEN(D156)=14,"PJ",""))</f>
        <v/>
      </c>
      <c r="F156" s="59"/>
      <c r="G156" s="59"/>
      <c r="H156" s="61" t="str">
        <f aca="false">IF(G156&lt;&gt;"",VLOOKUP(G156,'Cnae  mcc  id'!$A:$M,9,0),"")</f>
        <v/>
      </c>
      <c r="I156" s="62"/>
      <c r="J156" s="63" t="str">
        <f aca="false">IF(I156&lt;&gt;"",VLOOKUP(I156,'Legal Nature'!$E$2:$G$84,3,0),"")</f>
        <v/>
      </c>
      <c r="K156" s="64"/>
      <c r="L156" s="65"/>
      <c r="M156" s="66"/>
      <c r="N156" s="66"/>
      <c r="O156" s="79"/>
      <c r="P156" s="26"/>
      <c r="Q156" s="58"/>
      <c r="R156" s="58"/>
      <c r="S156" s="58"/>
      <c r="T156" s="68" t="str">
        <f aca="false">IF(LEFT(S156,1)="9","Celular",IF(S156="","","Fixo"))</f>
        <v/>
      </c>
      <c r="U156" s="58" t="str">
        <f aca="false">IF( T156&lt;&gt;"",VLOOKUP(T156,Selects!$M$4:$N$1000,2,0),"")</f>
        <v/>
      </c>
      <c r="V156" s="26"/>
      <c r="W156" s="58"/>
      <c r="X156" s="58"/>
      <c r="Y156" s="58"/>
      <c r="Z156" s="58"/>
      <c r="AA156" s="69"/>
      <c r="AB156" s="58"/>
      <c r="AC156" s="58"/>
      <c r="AD156" s="70" t="str">
        <f aca="false">IF(AC156&lt;&gt;"",VLOOKUP(AC156,Selects!$B$4:$C$100,2,0),"")</f>
        <v/>
      </c>
      <c r="AE156" s="26"/>
      <c r="AF156" s="58"/>
      <c r="AG156" s="59"/>
      <c r="AH156" s="65"/>
      <c r="AI156" s="66"/>
      <c r="AJ156" s="66"/>
      <c r="AK156" s="58"/>
      <c r="AL156" s="58"/>
      <c r="AM156" s="68" t="str">
        <f aca="false">IF(LEFT(AL156,1)="9","Celular",IF(AL156="","","Fixo"))</f>
        <v/>
      </c>
      <c r="AN156" s="58" t="str">
        <f aca="false">IF( AM156&lt;&gt;"",VLOOKUP(AM156,Selects!$M$4:$N$1000,2,0),"")</f>
        <v/>
      </c>
      <c r="AO156" s="58"/>
      <c r="AP156" s="59"/>
      <c r="AQ156" s="65"/>
      <c r="AR156" s="58"/>
      <c r="AS156" s="58"/>
      <c r="AT156" s="26"/>
      <c r="AU156" s="58"/>
      <c r="AV156" s="58"/>
      <c r="AW156" s="58"/>
      <c r="AX156" s="58"/>
      <c r="AY156" s="71"/>
      <c r="AZ156" s="58"/>
      <c r="BA156" s="58"/>
      <c r="BB156" s="72" t="str">
        <f aca="false">IF(BA156&lt;&gt;"",VLOOKUP(BA156,Selects!$B$4:$C$100,2,0),"")</f>
        <v/>
      </c>
      <c r="BC156" s="26"/>
      <c r="BD156" s="26"/>
      <c r="BE156" s="73"/>
      <c r="BF156" s="74"/>
      <c r="BG156" s="75" t="str">
        <f aca="false">IF(LEN(BF156)=11,"PF",IF(LEN(BF156)=14,"PJ",""))</f>
        <v/>
      </c>
      <c r="BH156" s="66"/>
      <c r="BI156" s="58" t="str">
        <f aca="false">IF(BH156&lt;&gt;"",VLOOKUP(BH156,Selects!$G:$H,2,0),"")</f>
        <v/>
      </c>
      <c r="BJ156" s="58"/>
      <c r="BK156" s="58"/>
      <c r="BL156" s="59"/>
      <c r="BM156" s="58"/>
      <c r="BN156" s="58"/>
      <c r="BO156" s="58" t="str">
        <f aca="false">IF(BN156&lt;&gt;"",VLOOKUP(BN156,Selects!$J$4:$K$1000,2,0),"")</f>
        <v/>
      </c>
      <c r="BP156" s="76"/>
      <c r="BQ156" s="59"/>
      <c r="BR156" s="77"/>
      <c r="BS156" s="59"/>
      <c r="BT156" s="77"/>
      <c r="BU156" s="58"/>
      <c r="BV156" s="58"/>
      <c r="BW156" s="58"/>
      <c r="BX156" s="58"/>
      <c r="BY156" s="58"/>
      <c r="BZ156" s="58"/>
      <c r="CA156" s="58"/>
      <c r="CB156" s="72" t="str">
        <f aca="false">IF(AC156&lt;&gt;"",VLOOKUP(AC156,Selects!$B:$E,4,0),"")</f>
        <v/>
      </c>
      <c r="CC156" s="58"/>
      <c r="CD156" s="58"/>
      <c r="CE156" s="58"/>
    </row>
    <row r="157" customFormat="false" ht="15.75" hidden="false" customHeight="true" outlineLevel="0" collapsed="false">
      <c r="A157" s="17"/>
      <c r="B157" s="58"/>
      <c r="C157" s="58"/>
      <c r="D157" s="59"/>
      <c r="E157" s="60" t="str">
        <f aca="false">IF(LEN(D157)=11,"PF",IF(LEN(D157)=14,"PJ",""))</f>
        <v/>
      </c>
      <c r="F157" s="59"/>
      <c r="G157" s="59"/>
      <c r="H157" s="61" t="str">
        <f aca="false">IF(G157&lt;&gt;"",VLOOKUP(G157,'Cnae  mcc  id'!$A:$M,9,0),"")</f>
        <v/>
      </c>
      <c r="I157" s="62"/>
      <c r="J157" s="63" t="str">
        <f aca="false">IF(I157&lt;&gt;"",VLOOKUP(I157,'Legal Nature'!$E$2:$G$84,3,0),"")</f>
        <v/>
      </c>
      <c r="K157" s="64"/>
      <c r="L157" s="65"/>
      <c r="M157" s="66"/>
      <c r="N157" s="66"/>
      <c r="O157" s="79"/>
      <c r="P157" s="26"/>
      <c r="Q157" s="58"/>
      <c r="R157" s="58"/>
      <c r="S157" s="58"/>
      <c r="T157" s="68" t="str">
        <f aca="false">IF(LEFT(S157,1)="9","Celular",IF(S157="","","Fixo"))</f>
        <v/>
      </c>
      <c r="U157" s="58" t="str">
        <f aca="false">IF( T157&lt;&gt;"",VLOOKUP(T157,Selects!$M$4:$N$1000,2,0),"")</f>
        <v/>
      </c>
      <c r="V157" s="26"/>
      <c r="W157" s="58"/>
      <c r="X157" s="58"/>
      <c r="Y157" s="58"/>
      <c r="Z157" s="58"/>
      <c r="AA157" s="69"/>
      <c r="AB157" s="58"/>
      <c r="AC157" s="58"/>
      <c r="AD157" s="70" t="str">
        <f aca="false">IF(AC157&lt;&gt;"",VLOOKUP(AC157,Selects!$B$4:$C$100,2,0),"")</f>
        <v/>
      </c>
      <c r="AE157" s="26"/>
      <c r="AF157" s="58"/>
      <c r="AG157" s="59"/>
      <c r="AH157" s="65"/>
      <c r="AI157" s="66"/>
      <c r="AJ157" s="66"/>
      <c r="AK157" s="58"/>
      <c r="AL157" s="58"/>
      <c r="AM157" s="68" t="str">
        <f aca="false">IF(LEFT(AL157,1)="9","Celular",IF(AL157="","","Fixo"))</f>
        <v/>
      </c>
      <c r="AN157" s="58" t="str">
        <f aca="false">IF( AM157&lt;&gt;"",VLOOKUP(AM157,Selects!$M$4:$N$1000,2,0),"")</f>
        <v/>
      </c>
      <c r="AO157" s="58"/>
      <c r="AP157" s="59"/>
      <c r="AQ157" s="65"/>
      <c r="AR157" s="58"/>
      <c r="AS157" s="58"/>
      <c r="AT157" s="26"/>
      <c r="AU157" s="58"/>
      <c r="AV157" s="58"/>
      <c r="AW157" s="58"/>
      <c r="AX157" s="58"/>
      <c r="AY157" s="71"/>
      <c r="AZ157" s="58"/>
      <c r="BA157" s="58"/>
      <c r="BB157" s="72" t="str">
        <f aca="false">IF(BA157&lt;&gt;"",VLOOKUP(BA157,Selects!$B$4:$C$100,2,0),"")</f>
        <v/>
      </c>
      <c r="BC157" s="26"/>
      <c r="BD157" s="26"/>
      <c r="BE157" s="73"/>
      <c r="BF157" s="74"/>
      <c r="BG157" s="75" t="str">
        <f aca="false">IF(LEN(BF157)=11,"PF",IF(LEN(BF157)=14,"PJ",""))</f>
        <v/>
      </c>
      <c r="BH157" s="66"/>
      <c r="BI157" s="58" t="str">
        <f aca="false">IF(BH157&lt;&gt;"",VLOOKUP(BH157,Selects!$G:$H,2,0),"")</f>
        <v/>
      </c>
      <c r="BJ157" s="58"/>
      <c r="BK157" s="58"/>
      <c r="BL157" s="59"/>
      <c r="BM157" s="58"/>
      <c r="BN157" s="58"/>
      <c r="BO157" s="58" t="str">
        <f aca="false">IF(BN157&lt;&gt;"",VLOOKUP(BN157,Selects!$J$4:$K$1000,2,0),"")</f>
        <v/>
      </c>
      <c r="BP157" s="76"/>
      <c r="BQ157" s="59"/>
      <c r="BR157" s="77"/>
      <c r="BS157" s="59"/>
      <c r="BT157" s="77"/>
      <c r="BU157" s="58"/>
      <c r="BV157" s="58"/>
      <c r="BW157" s="58"/>
      <c r="BX157" s="58"/>
      <c r="BY157" s="58"/>
      <c r="BZ157" s="58"/>
      <c r="CA157" s="58"/>
      <c r="CB157" s="72" t="str">
        <f aca="false">IF(AC157&lt;&gt;"",VLOOKUP(AC157,Selects!$B:$E,4,0),"")</f>
        <v/>
      </c>
      <c r="CC157" s="58"/>
      <c r="CD157" s="58"/>
      <c r="CE157" s="58"/>
    </row>
    <row r="158" customFormat="false" ht="15.75" hidden="false" customHeight="true" outlineLevel="0" collapsed="false">
      <c r="A158" s="17"/>
      <c r="B158" s="58"/>
      <c r="C158" s="58"/>
      <c r="D158" s="59"/>
      <c r="E158" s="60" t="str">
        <f aca="false">IF(LEN(D158)=11,"PF",IF(LEN(D158)=14,"PJ",""))</f>
        <v/>
      </c>
      <c r="F158" s="59"/>
      <c r="G158" s="59"/>
      <c r="H158" s="61" t="str">
        <f aca="false">IF(G158&lt;&gt;"",VLOOKUP(G158,'Cnae  mcc  id'!$A:$M,9,0),"")</f>
        <v/>
      </c>
      <c r="I158" s="62"/>
      <c r="J158" s="63" t="str">
        <f aca="false">IF(I158&lt;&gt;"",VLOOKUP(I158,'Legal Nature'!$E$2:$G$84,3,0),"")</f>
        <v/>
      </c>
      <c r="K158" s="64"/>
      <c r="L158" s="65"/>
      <c r="M158" s="66"/>
      <c r="N158" s="66"/>
      <c r="O158" s="79"/>
      <c r="P158" s="26"/>
      <c r="Q158" s="58"/>
      <c r="R158" s="58"/>
      <c r="S158" s="58"/>
      <c r="T158" s="68" t="str">
        <f aca="false">IF(LEFT(S158,1)="9","Celular",IF(S158="","","Fixo"))</f>
        <v/>
      </c>
      <c r="U158" s="58" t="str">
        <f aca="false">IF( T158&lt;&gt;"",VLOOKUP(T158,Selects!$M$4:$N$1000,2,0),"")</f>
        <v/>
      </c>
      <c r="V158" s="26"/>
      <c r="W158" s="58"/>
      <c r="X158" s="58"/>
      <c r="Y158" s="58"/>
      <c r="Z158" s="58"/>
      <c r="AA158" s="69"/>
      <c r="AB158" s="58"/>
      <c r="AC158" s="58"/>
      <c r="AD158" s="70" t="str">
        <f aca="false">IF(AC158&lt;&gt;"",VLOOKUP(AC158,Selects!$B$4:$C$100,2,0),"")</f>
        <v/>
      </c>
      <c r="AE158" s="26"/>
      <c r="AF158" s="58"/>
      <c r="AG158" s="59"/>
      <c r="AH158" s="65"/>
      <c r="AI158" s="66"/>
      <c r="AJ158" s="66"/>
      <c r="AK158" s="58"/>
      <c r="AL158" s="58"/>
      <c r="AM158" s="68" t="str">
        <f aca="false">IF(LEFT(AL158,1)="9","Celular",IF(AL158="","","Fixo"))</f>
        <v/>
      </c>
      <c r="AN158" s="58" t="str">
        <f aca="false">IF( AM158&lt;&gt;"",VLOOKUP(AM158,Selects!$M$4:$N$1000,2,0),"")</f>
        <v/>
      </c>
      <c r="AO158" s="58"/>
      <c r="AP158" s="59"/>
      <c r="AQ158" s="65"/>
      <c r="AR158" s="58"/>
      <c r="AS158" s="58"/>
      <c r="AT158" s="26"/>
      <c r="AU158" s="58"/>
      <c r="AV158" s="58"/>
      <c r="AW158" s="58"/>
      <c r="AX158" s="58"/>
      <c r="AY158" s="71"/>
      <c r="AZ158" s="58"/>
      <c r="BA158" s="58"/>
      <c r="BB158" s="72" t="str">
        <f aca="false">IF(BA158&lt;&gt;"",VLOOKUP(BA158,Selects!$B$4:$C$100,2,0),"")</f>
        <v/>
      </c>
      <c r="BC158" s="26"/>
      <c r="BD158" s="26"/>
      <c r="BE158" s="73"/>
      <c r="BF158" s="74"/>
      <c r="BG158" s="75" t="str">
        <f aca="false">IF(LEN(BF158)=11,"PF",IF(LEN(BF158)=14,"PJ",""))</f>
        <v/>
      </c>
      <c r="BH158" s="66"/>
      <c r="BI158" s="58" t="str">
        <f aca="false">IF(BH158&lt;&gt;"",VLOOKUP(BH158,Selects!$G:$H,2,0),"")</f>
        <v/>
      </c>
      <c r="BJ158" s="58"/>
      <c r="BK158" s="58"/>
      <c r="BL158" s="59"/>
      <c r="BM158" s="58"/>
      <c r="BN158" s="58"/>
      <c r="BO158" s="58" t="str">
        <f aca="false">IF(BN158&lt;&gt;"",VLOOKUP(BN158,Selects!$J$4:$K$1000,2,0),"")</f>
        <v/>
      </c>
      <c r="BP158" s="76"/>
      <c r="BQ158" s="59"/>
      <c r="BR158" s="77"/>
      <c r="BS158" s="59"/>
      <c r="BT158" s="77"/>
      <c r="BU158" s="58"/>
      <c r="BV158" s="58"/>
      <c r="BW158" s="58"/>
      <c r="BX158" s="58"/>
      <c r="BY158" s="58"/>
      <c r="BZ158" s="58"/>
      <c r="CA158" s="58"/>
      <c r="CB158" s="72" t="str">
        <f aca="false">IF(AC158&lt;&gt;"",VLOOKUP(AC158,Selects!$B:$E,4,0),"")</f>
        <v/>
      </c>
      <c r="CC158" s="58"/>
      <c r="CD158" s="58"/>
      <c r="CE158" s="58"/>
    </row>
    <row r="159" customFormat="false" ht="15.75" hidden="false" customHeight="true" outlineLevel="0" collapsed="false">
      <c r="A159" s="17"/>
      <c r="B159" s="58"/>
      <c r="C159" s="58"/>
      <c r="D159" s="59"/>
      <c r="E159" s="60" t="str">
        <f aca="false">IF(LEN(D159)=11,"PF",IF(LEN(D159)=14,"PJ",""))</f>
        <v/>
      </c>
      <c r="F159" s="59"/>
      <c r="G159" s="59"/>
      <c r="H159" s="61" t="str">
        <f aca="false">IF(G159&lt;&gt;"",VLOOKUP(G159,'Cnae  mcc  id'!$A:$M,9,0),"")</f>
        <v/>
      </c>
      <c r="I159" s="62"/>
      <c r="J159" s="63" t="str">
        <f aca="false">IF(I159&lt;&gt;"",VLOOKUP(I159,'Legal Nature'!$E$2:$G$84,3,0),"")</f>
        <v/>
      </c>
      <c r="K159" s="64"/>
      <c r="L159" s="65"/>
      <c r="M159" s="66"/>
      <c r="N159" s="66"/>
      <c r="O159" s="79"/>
      <c r="P159" s="26"/>
      <c r="Q159" s="58"/>
      <c r="R159" s="58"/>
      <c r="S159" s="58"/>
      <c r="T159" s="68" t="str">
        <f aca="false">IF(LEFT(S159,1)="9","Celular",IF(S159="","","Fixo"))</f>
        <v/>
      </c>
      <c r="U159" s="58" t="str">
        <f aca="false">IF( T159&lt;&gt;"",VLOOKUP(T159,Selects!$M$4:$N$1000,2,0),"")</f>
        <v/>
      </c>
      <c r="V159" s="26"/>
      <c r="W159" s="58"/>
      <c r="X159" s="58"/>
      <c r="Y159" s="58"/>
      <c r="Z159" s="58"/>
      <c r="AA159" s="69"/>
      <c r="AB159" s="58"/>
      <c r="AC159" s="58"/>
      <c r="AD159" s="70" t="str">
        <f aca="false">IF(AC159&lt;&gt;"",VLOOKUP(AC159,Selects!$B$4:$C$100,2,0),"")</f>
        <v/>
      </c>
      <c r="AE159" s="26"/>
      <c r="AF159" s="58"/>
      <c r="AG159" s="59"/>
      <c r="AH159" s="65"/>
      <c r="AI159" s="66"/>
      <c r="AJ159" s="66"/>
      <c r="AK159" s="58"/>
      <c r="AL159" s="58"/>
      <c r="AM159" s="68" t="str">
        <f aca="false">IF(LEFT(AL159,1)="9","Celular",IF(AL159="","","Fixo"))</f>
        <v/>
      </c>
      <c r="AN159" s="58" t="str">
        <f aca="false">IF( AM159&lt;&gt;"",VLOOKUP(AM159,Selects!$M$4:$N$1000,2,0),"")</f>
        <v/>
      </c>
      <c r="AO159" s="58"/>
      <c r="AP159" s="59"/>
      <c r="AQ159" s="65"/>
      <c r="AR159" s="58"/>
      <c r="AS159" s="58"/>
      <c r="AT159" s="26"/>
      <c r="AU159" s="58"/>
      <c r="AV159" s="58"/>
      <c r="AW159" s="58"/>
      <c r="AX159" s="58"/>
      <c r="AY159" s="71"/>
      <c r="AZ159" s="58"/>
      <c r="BA159" s="58"/>
      <c r="BB159" s="72" t="str">
        <f aca="false">IF(BA159&lt;&gt;"",VLOOKUP(BA159,Selects!$B$4:$C$100,2,0),"")</f>
        <v/>
      </c>
      <c r="BC159" s="26"/>
      <c r="BD159" s="26"/>
      <c r="BE159" s="73"/>
      <c r="BF159" s="74"/>
      <c r="BG159" s="75" t="str">
        <f aca="false">IF(LEN(BF159)=11,"PF",IF(LEN(BF159)=14,"PJ",""))</f>
        <v/>
      </c>
      <c r="BH159" s="66"/>
      <c r="BI159" s="58" t="str">
        <f aca="false">IF(BH159&lt;&gt;"",VLOOKUP(BH159,Selects!$G:$H,2,0),"")</f>
        <v/>
      </c>
      <c r="BJ159" s="58"/>
      <c r="BK159" s="58"/>
      <c r="BL159" s="59"/>
      <c r="BM159" s="58"/>
      <c r="BN159" s="58"/>
      <c r="BO159" s="58" t="str">
        <f aca="false">IF(BN159&lt;&gt;"",VLOOKUP(BN159,Selects!$J$4:$K$1000,2,0),"")</f>
        <v/>
      </c>
      <c r="BP159" s="76"/>
      <c r="BQ159" s="59"/>
      <c r="BR159" s="77"/>
      <c r="BS159" s="59"/>
      <c r="BT159" s="77"/>
      <c r="BU159" s="58"/>
      <c r="BV159" s="58"/>
      <c r="BW159" s="58"/>
      <c r="BX159" s="58"/>
      <c r="BY159" s="58"/>
      <c r="BZ159" s="58"/>
      <c r="CA159" s="58"/>
      <c r="CB159" s="72" t="str">
        <f aca="false">IF(AC159&lt;&gt;"",VLOOKUP(AC159,Selects!$B:$E,4,0),"")</f>
        <v/>
      </c>
      <c r="CC159" s="58"/>
      <c r="CD159" s="58"/>
      <c r="CE159" s="58"/>
    </row>
    <row r="160" customFormat="false" ht="15.75" hidden="false" customHeight="true" outlineLevel="0" collapsed="false">
      <c r="A160" s="17"/>
      <c r="B160" s="58"/>
      <c r="C160" s="58"/>
      <c r="D160" s="59"/>
      <c r="E160" s="60" t="str">
        <f aca="false">IF(LEN(D160)=11,"PF",IF(LEN(D160)=14,"PJ",""))</f>
        <v/>
      </c>
      <c r="F160" s="59"/>
      <c r="G160" s="59"/>
      <c r="H160" s="61" t="str">
        <f aca="false">IF(G160&lt;&gt;"",VLOOKUP(G160,'Cnae  mcc  id'!$A:$M,9,0),"")</f>
        <v/>
      </c>
      <c r="I160" s="62"/>
      <c r="J160" s="63" t="str">
        <f aca="false">IF(I160&lt;&gt;"",VLOOKUP(I160,'Legal Nature'!$E$2:$G$84,3,0),"")</f>
        <v/>
      </c>
      <c r="K160" s="64"/>
      <c r="L160" s="65"/>
      <c r="M160" s="66"/>
      <c r="N160" s="66"/>
      <c r="O160" s="79"/>
      <c r="P160" s="26"/>
      <c r="Q160" s="58"/>
      <c r="R160" s="58"/>
      <c r="S160" s="58"/>
      <c r="T160" s="68" t="str">
        <f aca="false">IF(LEFT(S160,1)="9","Celular",IF(S160="","","Fixo"))</f>
        <v/>
      </c>
      <c r="U160" s="58" t="str">
        <f aca="false">IF( T160&lt;&gt;"",VLOOKUP(T160,Selects!$M$4:$N$1000,2,0),"")</f>
        <v/>
      </c>
      <c r="V160" s="26"/>
      <c r="W160" s="58"/>
      <c r="X160" s="58"/>
      <c r="Y160" s="58"/>
      <c r="Z160" s="58"/>
      <c r="AA160" s="69"/>
      <c r="AB160" s="58"/>
      <c r="AC160" s="58"/>
      <c r="AD160" s="70" t="str">
        <f aca="false">IF(AC160&lt;&gt;"",VLOOKUP(AC160,Selects!$B$4:$C$100,2,0),"")</f>
        <v/>
      </c>
      <c r="AE160" s="26"/>
      <c r="AF160" s="58"/>
      <c r="AG160" s="59"/>
      <c r="AH160" s="65"/>
      <c r="AI160" s="66"/>
      <c r="AJ160" s="66"/>
      <c r="AK160" s="58"/>
      <c r="AL160" s="58"/>
      <c r="AM160" s="68" t="str">
        <f aca="false">IF(LEFT(AL160,1)="9","Celular",IF(AL160="","","Fixo"))</f>
        <v/>
      </c>
      <c r="AN160" s="58" t="str">
        <f aca="false">IF( AM160&lt;&gt;"",VLOOKUP(AM160,Selects!$M$4:$N$1000,2,0),"")</f>
        <v/>
      </c>
      <c r="AO160" s="58"/>
      <c r="AP160" s="59"/>
      <c r="AQ160" s="65"/>
      <c r="AR160" s="58"/>
      <c r="AS160" s="58"/>
      <c r="AT160" s="26"/>
      <c r="AU160" s="58"/>
      <c r="AV160" s="58"/>
      <c r="AW160" s="58"/>
      <c r="AX160" s="58"/>
      <c r="AY160" s="71"/>
      <c r="AZ160" s="58"/>
      <c r="BA160" s="58"/>
      <c r="BB160" s="72" t="str">
        <f aca="false">IF(BA160&lt;&gt;"",VLOOKUP(BA160,Selects!$B$4:$C$100,2,0),"")</f>
        <v/>
      </c>
      <c r="BC160" s="26"/>
      <c r="BD160" s="26"/>
      <c r="BE160" s="73"/>
      <c r="BF160" s="74"/>
      <c r="BG160" s="75" t="str">
        <f aca="false">IF(LEN(BF160)=11,"PF",IF(LEN(BF160)=14,"PJ",""))</f>
        <v/>
      </c>
      <c r="BH160" s="66"/>
      <c r="BI160" s="58" t="str">
        <f aca="false">IF(BH160&lt;&gt;"",VLOOKUP(BH160,Selects!$G:$H,2,0),"")</f>
        <v/>
      </c>
      <c r="BJ160" s="58"/>
      <c r="BK160" s="58"/>
      <c r="BL160" s="59"/>
      <c r="BM160" s="58"/>
      <c r="BN160" s="58"/>
      <c r="BO160" s="58" t="str">
        <f aca="false">IF(BN160&lt;&gt;"",VLOOKUP(BN160,Selects!$J$4:$K$1000,2,0),"")</f>
        <v/>
      </c>
      <c r="BP160" s="76"/>
      <c r="BQ160" s="59"/>
      <c r="BR160" s="77"/>
      <c r="BS160" s="59"/>
      <c r="BT160" s="77"/>
      <c r="BU160" s="58"/>
      <c r="BV160" s="58"/>
      <c r="BW160" s="58"/>
      <c r="BX160" s="58"/>
      <c r="BY160" s="58"/>
      <c r="BZ160" s="58"/>
      <c r="CA160" s="58"/>
      <c r="CB160" s="72" t="str">
        <f aca="false">IF(AC160&lt;&gt;"",VLOOKUP(AC160,Selects!$B:$E,4,0),"")</f>
        <v/>
      </c>
      <c r="CC160" s="58"/>
      <c r="CD160" s="58"/>
      <c r="CE160" s="58"/>
    </row>
    <row r="161" customFormat="false" ht="15.75" hidden="false" customHeight="true" outlineLevel="0" collapsed="false">
      <c r="A161" s="17"/>
      <c r="B161" s="58"/>
      <c r="C161" s="58"/>
      <c r="D161" s="59"/>
      <c r="E161" s="60" t="str">
        <f aca="false">IF(LEN(D161)=11,"PF",IF(LEN(D161)=14,"PJ",""))</f>
        <v/>
      </c>
      <c r="F161" s="59"/>
      <c r="G161" s="59"/>
      <c r="H161" s="61" t="str">
        <f aca="false">IF(G161&lt;&gt;"",VLOOKUP(G161,'Cnae  mcc  id'!$A:$M,9,0),"")</f>
        <v/>
      </c>
      <c r="I161" s="62"/>
      <c r="J161" s="63" t="str">
        <f aca="false">IF(I161&lt;&gt;"",VLOOKUP(I161,'Legal Nature'!$E$2:$G$84,3,0),"")</f>
        <v/>
      </c>
      <c r="K161" s="64"/>
      <c r="L161" s="65"/>
      <c r="M161" s="66"/>
      <c r="N161" s="66"/>
      <c r="O161" s="79"/>
      <c r="P161" s="26"/>
      <c r="Q161" s="58"/>
      <c r="R161" s="58"/>
      <c r="S161" s="58"/>
      <c r="T161" s="68" t="str">
        <f aca="false">IF(LEFT(S161,1)="9","Celular",IF(S161="","","Fixo"))</f>
        <v/>
      </c>
      <c r="U161" s="58" t="str">
        <f aca="false">IF( T161&lt;&gt;"",VLOOKUP(T161,Selects!$M$4:$N$1000,2,0),"")</f>
        <v/>
      </c>
      <c r="V161" s="26"/>
      <c r="W161" s="58"/>
      <c r="X161" s="58"/>
      <c r="Y161" s="58"/>
      <c r="Z161" s="58"/>
      <c r="AA161" s="69"/>
      <c r="AB161" s="58"/>
      <c r="AC161" s="58"/>
      <c r="AD161" s="70" t="str">
        <f aca="false">IF(AC161&lt;&gt;"",VLOOKUP(AC161,Selects!$B$4:$C$100,2,0),"")</f>
        <v/>
      </c>
      <c r="AE161" s="26"/>
      <c r="AF161" s="58"/>
      <c r="AG161" s="59"/>
      <c r="AH161" s="65"/>
      <c r="AI161" s="66"/>
      <c r="AJ161" s="66"/>
      <c r="AK161" s="58"/>
      <c r="AL161" s="58"/>
      <c r="AM161" s="68" t="str">
        <f aca="false">IF(LEFT(AL161,1)="9","Celular",IF(AL161="","","Fixo"))</f>
        <v/>
      </c>
      <c r="AN161" s="58" t="str">
        <f aca="false">IF( AM161&lt;&gt;"",VLOOKUP(AM161,Selects!$M$4:$N$1000,2,0),"")</f>
        <v/>
      </c>
      <c r="AO161" s="58"/>
      <c r="AP161" s="59"/>
      <c r="AQ161" s="65"/>
      <c r="AR161" s="58"/>
      <c r="AS161" s="58"/>
      <c r="AT161" s="26"/>
      <c r="AU161" s="58"/>
      <c r="AV161" s="58"/>
      <c r="AW161" s="58"/>
      <c r="AX161" s="58"/>
      <c r="AY161" s="71"/>
      <c r="AZ161" s="58"/>
      <c r="BA161" s="58"/>
      <c r="BB161" s="72" t="str">
        <f aca="false">IF(BA161&lt;&gt;"",VLOOKUP(BA161,Selects!$B$4:$C$100,2,0),"")</f>
        <v/>
      </c>
      <c r="BC161" s="26"/>
      <c r="BD161" s="26"/>
      <c r="BE161" s="73"/>
      <c r="BF161" s="74"/>
      <c r="BG161" s="75" t="str">
        <f aca="false">IF(LEN(BF161)=11,"PF",IF(LEN(BF161)=14,"PJ",""))</f>
        <v/>
      </c>
      <c r="BH161" s="66"/>
      <c r="BI161" s="58" t="str">
        <f aca="false">IF(BH161&lt;&gt;"",VLOOKUP(BH161,Selects!$G:$H,2,0),"")</f>
        <v/>
      </c>
      <c r="BJ161" s="58"/>
      <c r="BK161" s="58"/>
      <c r="BL161" s="59"/>
      <c r="BM161" s="58"/>
      <c r="BN161" s="58"/>
      <c r="BO161" s="58" t="str">
        <f aca="false">IF(BN161&lt;&gt;"",VLOOKUP(BN161,Selects!$J$4:$K$1000,2,0),"")</f>
        <v/>
      </c>
      <c r="BP161" s="76"/>
      <c r="BQ161" s="59"/>
      <c r="BR161" s="77"/>
      <c r="BS161" s="59"/>
      <c r="BT161" s="77"/>
      <c r="BU161" s="58"/>
      <c r="BV161" s="58"/>
      <c r="BW161" s="58"/>
      <c r="BX161" s="58"/>
      <c r="BY161" s="58"/>
      <c r="BZ161" s="58"/>
      <c r="CA161" s="58"/>
      <c r="CB161" s="72" t="str">
        <f aca="false">IF(AC161&lt;&gt;"",VLOOKUP(AC161,Selects!$B:$E,4,0),"")</f>
        <v/>
      </c>
      <c r="CC161" s="58"/>
      <c r="CD161" s="58"/>
      <c r="CE161" s="58"/>
    </row>
    <row r="162" customFormat="false" ht="15.75" hidden="false" customHeight="true" outlineLevel="0" collapsed="false">
      <c r="A162" s="17"/>
      <c r="B162" s="58"/>
      <c r="C162" s="58"/>
      <c r="D162" s="59"/>
      <c r="E162" s="60" t="str">
        <f aca="false">IF(LEN(D162)=11,"PF",IF(LEN(D162)=14,"PJ",""))</f>
        <v/>
      </c>
      <c r="F162" s="59"/>
      <c r="G162" s="59"/>
      <c r="H162" s="61" t="str">
        <f aca="false">IF(G162&lt;&gt;"",VLOOKUP(G162,'Cnae  mcc  id'!$A:$M,9,0),"")</f>
        <v/>
      </c>
      <c r="I162" s="62"/>
      <c r="J162" s="63" t="str">
        <f aca="false">IF(I162&lt;&gt;"",VLOOKUP(I162,'Legal Nature'!$E$2:$G$84,3,0),"")</f>
        <v/>
      </c>
      <c r="K162" s="64"/>
      <c r="L162" s="65"/>
      <c r="M162" s="66"/>
      <c r="N162" s="66"/>
      <c r="O162" s="79"/>
      <c r="P162" s="26"/>
      <c r="Q162" s="58"/>
      <c r="R162" s="58"/>
      <c r="S162" s="58"/>
      <c r="T162" s="68" t="str">
        <f aca="false">IF(LEFT(S162,1)="9","Celular",IF(S162="","","Fixo"))</f>
        <v/>
      </c>
      <c r="U162" s="58" t="str">
        <f aca="false">IF( T162&lt;&gt;"",VLOOKUP(T162,Selects!$M$4:$N$1000,2,0),"")</f>
        <v/>
      </c>
      <c r="V162" s="26"/>
      <c r="W162" s="58"/>
      <c r="X162" s="58"/>
      <c r="Y162" s="58"/>
      <c r="Z162" s="58"/>
      <c r="AA162" s="69"/>
      <c r="AB162" s="58"/>
      <c r="AC162" s="58"/>
      <c r="AD162" s="70" t="str">
        <f aca="false">IF(AC162&lt;&gt;"",VLOOKUP(AC162,Selects!$B$4:$C$100,2,0),"")</f>
        <v/>
      </c>
      <c r="AE162" s="26"/>
      <c r="AF162" s="58"/>
      <c r="AG162" s="59"/>
      <c r="AH162" s="65"/>
      <c r="AI162" s="66"/>
      <c r="AJ162" s="66"/>
      <c r="AK162" s="58"/>
      <c r="AL162" s="58"/>
      <c r="AM162" s="68" t="str">
        <f aca="false">IF(LEFT(AL162,1)="9","Celular",IF(AL162="","","Fixo"))</f>
        <v/>
      </c>
      <c r="AN162" s="58" t="str">
        <f aca="false">IF( AM162&lt;&gt;"",VLOOKUP(AM162,Selects!$M$4:$N$1000,2,0),"")</f>
        <v/>
      </c>
      <c r="AO162" s="58"/>
      <c r="AP162" s="59"/>
      <c r="AQ162" s="65"/>
      <c r="AR162" s="58"/>
      <c r="AS162" s="58"/>
      <c r="AT162" s="26"/>
      <c r="AU162" s="58"/>
      <c r="AV162" s="58"/>
      <c r="AW162" s="58"/>
      <c r="AX162" s="58"/>
      <c r="AY162" s="71"/>
      <c r="AZ162" s="58"/>
      <c r="BA162" s="58"/>
      <c r="BB162" s="72" t="str">
        <f aca="false">IF(BA162&lt;&gt;"",VLOOKUP(BA162,Selects!$B$4:$C$100,2,0),"")</f>
        <v/>
      </c>
      <c r="BC162" s="26"/>
      <c r="BD162" s="26"/>
      <c r="BE162" s="73"/>
      <c r="BF162" s="74"/>
      <c r="BG162" s="75" t="str">
        <f aca="false">IF(LEN(BF162)=11,"PF",IF(LEN(BF162)=14,"PJ",""))</f>
        <v/>
      </c>
      <c r="BH162" s="66"/>
      <c r="BI162" s="58" t="str">
        <f aca="false">IF(BH162&lt;&gt;"",VLOOKUP(BH162,Selects!$G:$H,2,0),"")</f>
        <v/>
      </c>
      <c r="BJ162" s="58"/>
      <c r="BK162" s="58"/>
      <c r="BL162" s="59"/>
      <c r="BM162" s="58"/>
      <c r="BN162" s="58"/>
      <c r="BO162" s="58" t="str">
        <f aca="false">IF(BN162&lt;&gt;"",VLOOKUP(BN162,Selects!$J$4:$K$1000,2,0),"")</f>
        <v/>
      </c>
      <c r="BP162" s="76"/>
      <c r="BQ162" s="59"/>
      <c r="BR162" s="77"/>
      <c r="BS162" s="59"/>
      <c r="BT162" s="77"/>
      <c r="BU162" s="58"/>
      <c r="BV162" s="58"/>
      <c r="BW162" s="58"/>
      <c r="BX162" s="58"/>
      <c r="BY162" s="58"/>
      <c r="BZ162" s="58"/>
      <c r="CA162" s="58"/>
      <c r="CB162" s="72" t="str">
        <f aca="false">IF(AC162&lt;&gt;"",VLOOKUP(AC162,Selects!$B:$E,4,0),"")</f>
        <v/>
      </c>
      <c r="CC162" s="58"/>
      <c r="CD162" s="58"/>
      <c r="CE162" s="58"/>
    </row>
    <row r="163" customFormat="false" ht="15.75" hidden="false" customHeight="true" outlineLevel="0" collapsed="false">
      <c r="A163" s="17"/>
      <c r="B163" s="58"/>
      <c r="C163" s="58"/>
      <c r="D163" s="59"/>
      <c r="E163" s="60" t="str">
        <f aca="false">IF(LEN(D163)=11,"PF",IF(LEN(D163)=14,"PJ",""))</f>
        <v/>
      </c>
      <c r="F163" s="59"/>
      <c r="G163" s="59"/>
      <c r="H163" s="61" t="str">
        <f aca="false">IF(G163&lt;&gt;"",VLOOKUP(G163,'Cnae  mcc  id'!$A:$M,9,0),"")</f>
        <v/>
      </c>
      <c r="I163" s="62"/>
      <c r="J163" s="63" t="str">
        <f aca="false">IF(I163&lt;&gt;"",VLOOKUP(I163,'Legal Nature'!$E$2:$G$84,3,0),"")</f>
        <v/>
      </c>
      <c r="K163" s="64"/>
      <c r="L163" s="65"/>
      <c r="M163" s="66"/>
      <c r="N163" s="66"/>
      <c r="O163" s="79"/>
      <c r="P163" s="26"/>
      <c r="Q163" s="58"/>
      <c r="R163" s="58"/>
      <c r="S163" s="58"/>
      <c r="T163" s="68" t="str">
        <f aca="false">IF(LEFT(S163,1)="9","Celular",IF(S163="","","Fixo"))</f>
        <v/>
      </c>
      <c r="U163" s="58" t="str">
        <f aca="false">IF( T163&lt;&gt;"",VLOOKUP(T163,Selects!$M$4:$N$1000,2,0),"")</f>
        <v/>
      </c>
      <c r="V163" s="26"/>
      <c r="W163" s="58"/>
      <c r="X163" s="58"/>
      <c r="Y163" s="58"/>
      <c r="Z163" s="58"/>
      <c r="AA163" s="69"/>
      <c r="AB163" s="58"/>
      <c r="AC163" s="58"/>
      <c r="AD163" s="70" t="str">
        <f aca="false">IF(AC163&lt;&gt;"",VLOOKUP(AC163,Selects!$B$4:$C$100,2,0),"")</f>
        <v/>
      </c>
      <c r="AE163" s="26"/>
      <c r="AF163" s="58"/>
      <c r="AG163" s="59"/>
      <c r="AH163" s="65"/>
      <c r="AI163" s="66"/>
      <c r="AJ163" s="66"/>
      <c r="AK163" s="58"/>
      <c r="AL163" s="58"/>
      <c r="AM163" s="68" t="str">
        <f aca="false">IF(LEFT(AL163,1)="9","Celular",IF(AL163="","","Fixo"))</f>
        <v/>
      </c>
      <c r="AN163" s="58" t="str">
        <f aca="false">IF( AM163&lt;&gt;"",VLOOKUP(AM163,Selects!$M$4:$N$1000,2,0),"")</f>
        <v/>
      </c>
      <c r="AO163" s="58"/>
      <c r="AP163" s="59"/>
      <c r="AQ163" s="65"/>
      <c r="AR163" s="58"/>
      <c r="AS163" s="58"/>
      <c r="AT163" s="26"/>
      <c r="AU163" s="58"/>
      <c r="AV163" s="58"/>
      <c r="AW163" s="58"/>
      <c r="AX163" s="58"/>
      <c r="AY163" s="71"/>
      <c r="AZ163" s="58"/>
      <c r="BA163" s="58"/>
      <c r="BB163" s="72" t="str">
        <f aca="false">IF(BA163&lt;&gt;"",VLOOKUP(BA163,Selects!$B$4:$C$100,2,0),"")</f>
        <v/>
      </c>
      <c r="BC163" s="26"/>
      <c r="BD163" s="26"/>
      <c r="BE163" s="73"/>
      <c r="BF163" s="74"/>
      <c r="BG163" s="75" t="str">
        <f aca="false">IF(LEN(BF163)=11,"PF",IF(LEN(BF163)=14,"PJ",""))</f>
        <v/>
      </c>
      <c r="BH163" s="66"/>
      <c r="BI163" s="58" t="str">
        <f aca="false">IF(BH163&lt;&gt;"",VLOOKUP(BH163,Selects!$G:$H,2,0),"")</f>
        <v/>
      </c>
      <c r="BJ163" s="58"/>
      <c r="BK163" s="58"/>
      <c r="BL163" s="59"/>
      <c r="BM163" s="58"/>
      <c r="BN163" s="58"/>
      <c r="BO163" s="58" t="str">
        <f aca="false">IF(BN163&lt;&gt;"",VLOOKUP(BN163,Selects!$J$4:$K$1000,2,0),"")</f>
        <v/>
      </c>
      <c r="BP163" s="76"/>
      <c r="BQ163" s="59"/>
      <c r="BR163" s="77"/>
      <c r="BS163" s="59"/>
      <c r="BT163" s="77"/>
      <c r="BU163" s="58"/>
      <c r="BV163" s="58"/>
      <c r="BW163" s="58"/>
      <c r="BX163" s="58"/>
      <c r="BY163" s="58"/>
      <c r="BZ163" s="58"/>
      <c r="CA163" s="58"/>
      <c r="CB163" s="72" t="str">
        <f aca="false">IF(AC163&lt;&gt;"",VLOOKUP(AC163,Selects!$B:$E,4,0),"")</f>
        <v/>
      </c>
      <c r="CC163" s="58"/>
      <c r="CD163" s="58"/>
      <c r="CE163" s="58"/>
    </row>
    <row r="164" customFormat="false" ht="15.75" hidden="false" customHeight="true" outlineLevel="0" collapsed="false">
      <c r="A164" s="17"/>
      <c r="B164" s="58"/>
      <c r="C164" s="58"/>
      <c r="D164" s="59"/>
      <c r="E164" s="60" t="str">
        <f aca="false">IF(LEN(D164)=11,"PF",IF(LEN(D164)=14,"PJ",""))</f>
        <v/>
      </c>
      <c r="F164" s="59"/>
      <c r="G164" s="59"/>
      <c r="H164" s="61" t="str">
        <f aca="false">IF(G164&lt;&gt;"",VLOOKUP(G164,'Cnae  mcc  id'!$A:$M,9,0),"")</f>
        <v/>
      </c>
      <c r="I164" s="62"/>
      <c r="J164" s="63" t="str">
        <f aca="false">IF(I164&lt;&gt;"",VLOOKUP(I164,'Legal Nature'!$E$2:$G$84,3,0),"")</f>
        <v/>
      </c>
      <c r="K164" s="64"/>
      <c r="L164" s="65"/>
      <c r="M164" s="66"/>
      <c r="N164" s="66"/>
      <c r="O164" s="79"/>
      <c r="P164" s="26"/>
      <c r="Q164" s="58"/>
      <c r="R164" s="58"/>
      <c r="S164" s="58"/>
      <c r="T164" s="68" t="str">
        <f aca="false">IF(LEFT(S164,1)="9","Celular",IF(S164="","","Fixo"))</f>
        <v/>
      </c>
      <c r="U164" s="58" t="str">
        <f aca="false">IF( T164&lt;&gt;"",VLOOKUP(T164,Selects!$M$4:$N$1000,2,0),"")</f>
        <v/>
      </c>
      <c r="V164" s="26"/>
      <c r="W164" s="58"/>
      <c r="X164" s="58"/>
      <c r="Y164" s="58"/>
      <c r="Z164" s="58"/>
      <c r="AA164" s="69"/>
      <c r="AB164" s="58"/>
      <c r="AC164" s="58"/>
      <c r="AD164" s="70" t="str">
        <f aca="false">IF(AC164&lt;&gt;"",VLOOKUP(AC164,Selects!$B$4:$C$100,2,0),"")</f>
        <v/>
      </c>
      <c r="AE164" s="26"/>
      <c r="AF164" s="58"/>
      <c r="AG164" s="59"/>
      <c r="AH164" s="65"/>
      <c r="AI164" s="66"/>
      <c r="AJ164" s="66"/>
      <c r="AK164" s="58"/>
      <c r="AL164" s="58"/>
      <c r="AM164" s="68" t="str">
        <f aca="false">IF(LEFT(AL164,1)="9","Celular",IF(AL164="","","Fixo"))</f>
        <v/>
      </c>
      <c r="AN164" s="58" t="str">
        <f aca="false">IF( AM164&lt;&gt;"",VLOOKUP(AM164,Selects!$M$4:$N$1000,2,0),"")</f>
        <v/>
      </c>
      <c r="AO164" s="58"/>
      <c r="AP164" s="59"/>
      <c r="AQ164" s="65"/>
      <c r="AR164" s="58"/>
      <c r="AS164" s="58"/>
      <c r="AT164" s="26"/>
      <c r="AU164" s="58"/>
      <c r="AV164" s="58"/>
      <c r="AW164" s="58"/>
      <c r="AX164" s="58"/>
      <c r="AY164" s="71"/>
      <c r="AZ164" s="58"/>
      <c r="BA164" s="58"/>
      <c r="BB164" s="72" t="str">
        <f aca="false">IF(BA164&lt;&gt;"",VLOOKUP(BA164,Selects!$B$4:$C$100,2,0),"")</f>
        <v/>
      </c>
      <c r="BC164" s="26"/>
      <c r="BD164" s="26"/>
      <c r="BE164" s="73"/>
      <c r="BF164" s="74"/>
      <c r="BG164" s="75" t="str">
        <f aca="false">IF(LEN(BF164)=11,"PF",IF(LEN(BF164)=14,"PJ",""))</f>
        <v/>
      </c>
      <c r="BH164" s="66"/>
      <c r="BI164" s="58" t="str">
        <f aca="false">IF(BH164&lt;&gt;"",VLOOKUP(BH164,Selects!$G:$H,2,0),"")</f>
        <v/>
      </c>
      <c r="BJ164" s="58"/>
      <c r="BK164" s="58"/>
      <c r="BL164" s="59"/>
      <c r="BM164" s="58"/>
      <c r="BN164" s="58"/>
      <c r="BO164" s="58" t="str">
        <f aca="false">IF(BN164&lt;&gt;"",VLOOKUP(BN164,Selects!$J$4:$K$1000,2,0),"")</f>
        <v/>
      </c>
      <c r="BP164" s="76"/>
      <c r="BQ164" s="59"/>
      <c r="BR164" s="77"/>
      <c r="BS164" s="59"/>
      <c r="BT164" s="77"/>
      <c r="BU164" s="58"/>
      <c r="BV164" s="58"/>
      <c r="BW164" s="58"/>
      <c r="BX164" s="58"/>
      <c r="BY164" s="58"/>
      <c r="BZ164" s="58"/>
      <c r="CA164" s="58"/>
      <c r="CB164" s="72" t="str">
        <f aca="false">IF(AC164&lt;&gt;"",VLOOKUP(AC164,Selects!$B:$E,4,0),"")</f>
        <v/>
      </c>
      <c r="CC164" s="58"/>
      <c r="CD164" s="58"/>
      <c r="CE164" s="58"/>
    </row>
    <row r="165" customFormat="false" ht="15.75" hidden="false" customHeight="true" outlineLevel="0" collapsed="false">
      <c r="A165" s="17"/>
      <c r="B165" s="58"/>
      <c r="C165" s="58"/>
      <c r="D165" s="59"/>
      <c r="E165" s="60" t="str">
        <f aca="false">IF(LEN(D165)=11,"PF",IF(LEN(D165)=14,"PJ",""))</f>
        <v/>
      </c>
      <c r="F165" s="59"/>
      <c r="G165" s="59"/>
      <c r="H165" s="61" t="str">
        <f aca="false">IF(G165&lt;&gt;"",VLOOKUP(G165,'Cnae  mcc  id'!$A:$M,9,0),"")</f>
        <v/>
      </c>
      <c r="I165" s="62"/>
      <c r="J165" s="63" t="str">
        <f aca="false">IF(I165&lt;&gt;"",VLOOKUP(I165,'Legal Nature'!$E$2:$G$84,3,0),"")</f>
        <v/>
      </c>
      <c r="K165" s="64"/>
      <c r="L165" s="65"/>
      <c r="M165" s="66"/>
      <c r="N165" s="66"/>
      <c r="O165" s="79"/>
      <c r="P165" s="26"/>
      <c r="Q165" s="58"/>
      <c r="R165" s="58"/>
      <c r="S165" s="58"/>
      <c r="T165" s="68" t="str">
        <f aca="false">IF(LEFT(S165,1)="9","Celular",IF(S165="","","Fixo"))</f>
        <v/>
      </c>
      <c r="U165" s="58" t="str">
        <f aca="false">IF( T165&lt;&gt;"",VLOOKUP(T165,Selects!$M$4:$N$1000,2,0),"")</f>
        <v/>
      </c>
      <c r="V165" s="26"/>
      <c r="W165" s="58"/>
      <c r="X165" s="58"/>
      <c r="Y165" s="58"/>
      <c r="Z165" s="58"/>
      <c r="AA165" s="69"/>
      <c r="AB165" s="58"/>
      <c r="AC165" s="58"/>
      <c r="AD165" s="70" t="str">
        <f aca="false">IF(AC165&lt;&gt;"",VLOOKUP(AC165,Selects!$B$4:$C$100,2,0),"")</f>
        <v/>
      </c>
      <c r="AE165" s="26"/>
      <c r="AF165" s="58"/>
      <c r="AG165" s="59"/>
      <c r="AH165" s="65"/>
      <c r="AI165" s="66"/>
      <c r="AJ165" s="66"/>
      <c r="AK165" s="58"/>
      <c r="AL165" s="58"/>
      <c r="AM165" s="68" t="str">
        <f aca="false">IF(LEFT(AL165,1)="9","Celular",IF(AL165="","","Fixo"))</f>
        <v/>
      </c>
      <c r="AN165" s="58" t="str">
        <f aca="false">IF( AM165&lt;&gt;"",VLOOKUP(AM165,Selects!$M$4:$N$1000,2,0),"")</f>
        <v/>
      </c>
      <c r="AO165" s="58"/>
      <c r="AP165" s="59"/>
      <c r="AQ165" s="65"/>
      <c r="AR165" s="58"/>
      <c r="AS165" s="58"/>
      <c r="AT165" s="26"/>
      <c r="AU165" s="58"/>
      <c r="AV165" s="58"/>
      <c r="AW165" s="58"/>
      <c r="AX165" s="58"/>
      <c r="AY165" s="71"/>
      <c r="AZ165" s="58"/>
      <c r="BA165" s="58"/>
      <c r="BB165" s="72" t="str">
        <f aca="false">IF(BA165&lt;&gt;"",VLOOKUP(BA165,Selects!$B$4:$C$100,2,0),"")</f>
        <v/>
      </c>
      <c r="BC165" s="26"/>
      <c r="BD165" s="26"/>
      <c r="BE165" s="73"/>
      <c r="BF165" s="74"/>
      <c r="BG165" s="75" t="str">
        <f aca="false">IF(LEN(BF165)=11,"PF",IF(LEN(BF165)=14,"PJ",""))</f>
        <v/>
      </c>
      <c r="BH165" s="66"/>
      <c r="BI165" s="58" t="str">
        <f aca="false">IF(BH165&lt;&gt;"",VLOOKUP(BH165,Selects!$G:$H,2,0),"")</f>
        <v/>
      </c>
      <c r="BJ165" s="58"/>
      <c r="BK165" s="58"/>
      <c r="BL165" s="59"/>
      <c r="BM165" s="58"/>
      <c r="BN165" s="58"/>
      <c r="BO165" s="58" t="str">
        <f aca="false">IF(BN165&lt;&gt;"",VLOOKUP(BN165,Selects!$J$4:$K$1000,2,0),"")</f>
        <v/>
      </c>
      <c r="BP165" s="76"/>
      <c r="BQ165" s="59"/>
      <c r="BR165" s="77"/>
      <c r="BS165" s="59"/>
      <c r="BT165" s="77"/>
      <c r="BU165" s="58"/>
      <c r="BV165" s="58"/>
      <c r="BW165" s="58"/>
      <c r="BX165" s="58"/>
      <c r="BY165" s="58"/>
      <c r="BZ165" s="58"/>
      <c r="CA165" s="58"/>
      <c r="CB165" s="72" t="str">
        <f aca="false">IF(AC165&lt;&gt;"",VLOOKUP(AC165,Selects!$B:$E,4,0),"")</f>
        <v/>
      </c>
      <c r="CC165" s="58"/>
      <c r="CD165" s="58"/>
      <c r="CE165" s="58"/>
    </row>
    <row r="166" customFormat="false" ht="15.75" hidden="false" customHeight="true" outlineLevel="0" collapsed="false">
      <c r="A166" s="17"/>
      <c r="B166" s="58"/>
      <c r="C166" s="58"/>
      <c r="D166" s="59"/>
      <c r="E166" s="60" t="str">
        <f aca="false">IF(LEN(D166)=11,"PF",IF(LEN(D166)=14,"PJ",""))</f>
        <v/>
      </c>
      <c r="F166" s="59"/>
      <c r="G166" s="59"/>
      <c r="H166" s="61" t="str">
        <f aca="false">IF(G166&lt;&gt;"",VLOOKUP(G166,'Cnae  mcc  id'!$A:$M,9,0),"")</f>
        <v/>
      </c>
      <c r="I166" s="62"/>
      <c r="J166" s="63" t="str">
        <f aca="false">IF(I166&lt;&gt;"",VLOOKUP(I166,'Legal Nature'!$E$2:$G$84,3,0),"")</f>
        <v/>
      </c>
      <c r="K166" s="64"/>
      <c r="L166" s="65"/>
      <c r="M166" s="66"/>
      <c r="N166" s="66"/>
      <c r="O166" s="79"/>
      <c r="P166" s="26"/>
      <c r="Q166" s="58"/>
      <c r="R166" s="58"/>
      <c r="S166" s="58"/>
      <c r="T166" s="68" t="str">
        <f aca="false">IF(LEFT(S166,1)="9","Celular",IF(S166="","","Fixo"))</f>
        <v/>
      </c>
      <c r="U166" s="58" t="str">
        <f aca="false">IF( T166&lt;&gt;"",VLOOKUP(T166,Selects!$M$4:$N$1000,2,0),"")</f>
        <v/>
      </c>
      <c r="V166" s="26"/>
      <c r="W166" s="58"/>
      <c r="X166" s="58"/>
      <c r="Y166" s="58"/>
      <c r="Z166" s="58"/>
      <c r="AA166" s="69"/>
      <c r="AB166" s="58"/>
      <c r="AC166" s="58"/>
      <c r="AD166" s="70" t="str">
        <f aca="false">IF(AC166&lt;&gt;"",VLOOKUP(AC166,Selects!$B$4:$C$100,2,0),"")</f>
        <v/>
      </c>
      <c r="AE166" s="26"/>
      <c r="AF166" s="58"/>
      <c r="AG166" s="59"/>
      <c r="AH166" s="65"/>
      <c r="AI166" s="66"/>
      <c r="AJ166" s="66"/>
      <c r="AK166" s="58"/>
      <c r="AL166" s="58"/>
      <c r="AM166" s="68" t="str">
        <f aca="false">IF(LEFT(AL166,1)="9","Celular",IF(AL166="","","Fixo"))</f>
        <v/>
      </c>
      <c r="AN166" s="58" t="str">
        <f aca="false">IF( AM166&lt;&gt;"",VLOOKUP(AM166,Selects!$M$4:$N$1000,2,0),"")</f>
        <v/>
      </c>
      <c r="AO166" s="58"/>
      <c r="AP166" s="59"/>
      <c r="AQ166" s="65"/>
      <c r="AR166" s="58"/>
      <c r="AS166" s="58"/>
      <c r="AT166" s="26"/>
      <c r="AU166" s="58"/>
      <c r="AV166" s="58"/>
      <c r="AW166" s="58"/>
      <c r="AX166" s="58"/>
      <c r="AY166" s="71"/>
      <c r="AZ166" s="58"/>
      <c r="BA166" s="58"/>
      <c r="BB166" s="72" t="str">
        <f aca="false">IF(BA166&lt;&gt;"",VLOOKUP(BA166,Selects!$B$4:$C$100,2,0),"")</f>
        <v/>
      </c>
      <c r="BC166" s="26"/>
      <c r="BD166" s="26"/>
      <c r="BE166" s="73"/>
      <c r="BF166" s="74"/>
      <c r="BG166" s="75" t="str">
        <f aca="false">IF(LEN(BF166)=11,"PF",IF(LEN(BF166)=14,"PJ",""))</f>
        <v/>
      </c>
      <c r="BH166" s="66"/>
      <c r="BI166" s="58" t="str">
        <f aca="false">IF(BH166&lt;&gt;"",VLOOKUP(BH166,Selects!$G:$H,2,0),"")</f>
        <v/>
      </c>
      <c r="BJ166" s="58"/>
      <c r="BK166" s="58"/>
      <c r="BL166" s="59"/>
      <c r="BM166" s="58"/>
      <c r="BN166" s="58"/>
      <c r="BO166" s="58" t="str">
        <f aca="false">IF(BN166&lt;&gt;"",VLOOKUP(BN166,Selects!$J$4:$K$1000,2,0),"")</f>
        <v/>
      </c>
      <c r="BP166" s="76"/>
      <c r="BQ166" s="59"/>
      <c r="BR166" s="77"/>
      <c r="BS166" s="59"/>
      <c r="BT166" s="77"/>
      <c r="BU166" s="58"/>
      <c r="BV166" s="58"/>
      <c r="BW166" s="58"/>
      <c r="BX166" s="58"/>
      <c r="BY166" s="58"/>
      <c r="BZ166" s="58"/>
      <c r="CA166" s="58"/>
      <c r="CB166" s="72" t="str">
        <f aca="false">IF(AC166&lt;&gt;"",VLOOKUP(AC166,Selects!$B:$E,4,0),"")</f>
        <v/>
      </c>
      <c r="CC166" s="58"/>
      <c r="CD166" s="58"/>
      <c r="CE166" s="58"/>
    </row>
    <row r="167" customFormat="false" ht="15.75" hidden="false" customHeight="true" outlineLevel="0" collapsed="false">
      <c r="A167" s="17"/>
      <c r="B167" s="58"/>
      <c r="C167" s="58"/>
      <c r="D167" s="59"/>
      <c r="E167" s="60" t="str">
        <f aca="false">IF(LEN(D167)=11,"PF",IF(LEN(D167)=14,"PJ",""))</f>
        <v/>
      </c>
      <c r="F167" s="59"/>
      <c r="G167" s="59"/>
      <c r="H167" s="61" t="str">
        <f aca="false">IF(G167&lt;&gt;"",VLOOKUP(G167,'Cnae  mcc  id'!$A:$M,9,0),"")</f>
        <v/>
      </c>
      <c r="I167" s="62"/>
      <c r="J167" s="63" t="str">
        <f aca="false">IF(I167&lt;&gt;"",VLOOKUP(I167,'Legal Nature'!$E$2:$G$84,3,0),"")</f>
        <v/>
      </c>
      <c r="K167" s="64"/>
      <c r="L167" s="65"/>
      <c r="M167" s="66"/>
      <c r="N167" s="66"/>
      <c r="O167" s="79"/>
      <c r="P167" s="26"/>
      <c r="Q167" s="58"/>
      <c r="R167" s="58"/>
      <c r="S167" s="58"/>
      <c r="T167" s="68" t="str">
        <f aca="false">IF(LEFT(S167,1)="9","Celular",IF(S167="","","Fixo"))</f>
        <v/>
      </c>
      <c r="U167" s="58" t="str">
        <f aca="false">IF( T167&lt;&gt;"",VLOOKUP(T167,Selects!$M$4:$N$1000,2,0),"")</f>
        <v/>
      </c>
      <c r="V167" s="26"/>
      <c r="W167" s="58"/>
      <c r="X167" s="58"/>
      <c r="Y167" s="58"/>
      <c r="Z167" s="58"/>
      <c r="AA167" s="69"/>
      <c r="AB167" s="58"/>
      <c r="AC167" s="58"/>
      <c r="AD167" s="70" t="str">
        <f aca="false">IF(AC167&lt;&gt;"",VLOOKUP(AC167,Selects!$B$4:$C$100,2,0),"")</f>
        <v/>
      </c>
      <c r="AE167" s="26"/>
      <c r="AF167" s="58"/>
      <c r="AG167" s="59"/>
      <c r="AH167" s="65"/>
      <c r="AI167" s="66"/>
      <c r="AJ167" s="66"/>
      <c r="AK167" s="58"/>
      <c r="AL167" s="58"/>
      <c r="AM167" s="68" t="str">
        <f aca="false">IF(LEFT(AL167,1)="9","Celular",IF(AL167="","","Fixo"))</f>
        <v/>
      </c>
      <c r="AN167" s="58" t="str">
        <f aca="false">IF( AM167&lt;&gt;"",VLOOKUP(AM167,Selects!$M$4:$N$1000,2,0),"")</f>
        <v/>
      </c>
      <c r="AO167" s="58"/>
      <c r="AP167" s="59"/>
      <c r="AQ167" s="65"/>
      <c r="AR167" s="58"/>
      <c r="AS167" s="58"/>
      <c r="AT167" s="26"/>
      <c r="AU167" s="58"/>
      <c r="AV167" s="58"/>
      <c r="AW167" s="58"/>
      <c r="AX167" s="58"/>
      <c r="AY167" s="71"/>
      <c r="AZ167" s="58"/>
      <c r="BA167" s="58"/>
      <c r="BB167" s="72" t="str">
        <f aca="false">IF(BA167&lt;&gt;"",VLOOKUP(BA167,Selects!$B$4:$C$100,2,0),"")</f>
        <v/>
      </c>
      <c r="BC167" s="26"/>
      <c r="BD167" s="26"/>
      <c r="BE167" s="73"/>
      <c r="BF167" s="74"/>
      <c r="BG167" s="75" t="str">
        <f aca="false">IF(LEN(BF167)=11,"PF",IF(LEN(BF167)=14,"PJ",""))</f>
        <v/>
      </c>
      <c r="BH167" s="66"/>
      <c r="BI167" s="58" t="str">
        <f aca="false">IF(BH167&lt;&gt;"",VLOOKUP(BH167,Selects!$G:$H,2,0),"")</f>
        <v/>
      </c>
      <c r="BJ167" s="58"/>
      <c r="BK167" s="58"/>
      <c r="BL167" s="59"/>
      <c r="BM167" s="58"/>
      <c r="BN167" s="58"/>
      <c r="BO167" s="58" t="str">
        <f aca="false">IF(BN167&lt;&gt;"",VLOOKUP(BN167,Selects!$J$4:$K$1000,2,0),"")</f>
        <v/>
      </c>
      <c r="BP167" s="76"/>
      <c r="BQ167" s="59"/>
      <c r="BR167" s="77"/>
      <c r="BS167" s="59"/>
      <c r="BT167" s="77"/>
      <c r="BU167" s="58"/>
      <c r="BV167" s="58"/>
      <c r="BW167" s="58"/>
      <c r="BX167" s="58"/>
      <c r="BY167" s="58"/>
      <c r="BZ167" s="58"/>
      <c r="CA167" s="58"/>
      <c r="CB167" s="72" t="str">
        <f aca="false">IF(AC167&lt;&gt;"",VLOOKUP(AC167,Selects!$B:$E,4,0),"")</f>
        <v/>
      </c>
      <c r="CC167" s="58"/>
      <c r="CD167" s="58"/>
      <c r="CE167" s="58"/>
    </row>
    <row r="168" customFormat="false" ht="15.75" hidden="false" customHeight="true" outlineLevel="0" collapsed="false">
      <c r="A168" s="17"/>
      <c r="B168" s="58"/>
      <c r="C168" s="58"/>
      <c r="D168" s="59"/>
      <c r="E168" s="60" t="str">
        <f aca="false">IF(LEN(D168)=11,"PF",IF(LEN(D168)=14,"PJ",""))</f>
        <v/>
      </c>
      <c r="F168" s="59"/>
      <c r="G168" s="59"/>
      <c r="H168" s="61" t="str">
        <f aca="false">IF(G168&lt;&gt;"",VLOOKUP(G168,'Cnae  mcc  id'!$A:$M,9,0),"")</f>
        <v/>
      </c>
      <c r="I168" s="62"/>
      <c r="J168" s="63" t="str">
        <f aca="false">IF(I168&lt;&gt;"",VLOOKUP(I168,'Legal Nature'!$E$2:$G$84,3,0),"")</f>
        <v/>
      </c>
      <c r="K168" s="64"/>
      <c r="L168" s="65"/>
      <c r="M168" s="66"/>
      <c r="N168" s="66"/>
      <c r="O168" s="79"/>
      <c r="P168" s="26"/>
      <c r="Q168" s="58"/>
      <c r="R168" s="58"/>
      <c r="S168" s="58"/>
      <c r="T168" s="68" t="str">
        <f aca="false">IF(LEFT(S168,1)="9","Celular",IF(S168="","","Fixo"))</f>
        <v/>
      </c>
      <c r="U168" s="58" t="str">
        <f aca="false">IF( T168&lt;&gt;"",VLOOKUP(T168,Selects!$M$4:$N$1000,2,0),"")</f>
        <v/>
      </c>
      <c r="V168" s="26"/>
      <c r="W168" s="58"/>
      <c r="X168" s="58"/>
      <c r="Y168" s="58"/>
      <c r="Z168" s="58"/>
      <c r="AA168" s="69"/>
      <c r="AB168" s="58"/>
      <c r="AC168" s="58"/>
      <c r="AD168" s="70" t="str">
        <f aca="false">IF(AC168&lt;&gt;"",VLOOKUP(AC168,Selects!$B$4:$C$100,2,0),"")</f>
        <v/>
      </c>
      <c r="AE168" s="26"/>
      <c r="AF168" s="58"/>
      <c r="AG168" s="59"/>
      <c r="AH168" s="65"/>
      <c r="AI168" s="66"/>
      <c r="AJ168" s="66"/>
      <c r="AK168" s="58"/>
      <c r="AL168" s="58"/>
      <c r="AM168" s="68" t="str">
        <f aca="false">IF(LEFT(AL168,1)="9","Celular",IF(AL168="","","Fixo"))</f>
        <v/>
      </c>
      <c r="AN168" s="58" t="str">
        <f aca="false">IF( AM168&lt;&gt;"",VLOOKUP(AM168,Selects!$M$4:$N$1000,2,0),"")</f>
        <v/>
      </c>
      <c r="AO168" s="58"/>
      <c r="AP168" s="59"/>
      <c r="AQ168" s="65"/>
      <c r="AR168" s="58"/>
      <c r="AS168" s="58"/>
      <c r="AT168" s="26"/>
      <c r="AU168" s="58"/>
      <c r="AV168" s="58"/>
      <c r="AW168" s="58"/>
      <c r="AX168" s="58"/>
      <c r="AY168" s="71"/>
      <c r="AZ168" s="58"/>
      <c r="BA168" s="58"/>
      <c r="BB168" s="72" t="str">
        <f aca="false">IF(BA168&lt;&gt;"",VLOOKUP(BA168,Selects!$B$4:$C$100,2,0),"")</f>
        <v/>
      </c>
      <c r="BC168" s="26"/>
      <c r="BD168" s="26"/>
      <c r="BE168" s="73"/>
      <c r="BF168" s="74"/>
      <c r="BG168" s="75" t="str">
        <f aca="false">IF(LEN(BF168)=11,"PF",IF(LEN(BF168)=14,"PJ",""))</f>
        <v/>
      </c>
      <c r="BH168" s="66"/>
      <c r="BI168" s="58" t="str">
        <f aca="false">IF(BH168&lt;&gt;"",VLOOKUP(BH168,Selects!$G:$H,2,0),"")</f>
        <v/>
      </c>
      <c r="BJ168" s="58"/>
      <c r="BK168" s="58"/>
      <c r="BL168" s="59"/>
      <c r="BM168" s="58"/>
      <c r="BN168" s="58"/>
      <c r="BO168" s="58" t="str">
        <f aca="false">IF(BN168&lt;&gt;"",VLOOKUP(BN168,Selects!$J$4:$K$1000,2,0),"")</f>
        <v/>
      </c>
      <c r="BP168" s="76"/>
      <c r="BQ168" s="59"/>
      <c r="BR168" s="77"/>
      <c r="BS168" s="59"/>
      <c r="BT168" s="77"/>
      <c r="BU168" s="58"/>
      <c r="BV168" s="58"/>
      <c r="BW168" s="58"/>
      <c r="BX168" s="58"/>
      <c r="BY168" s="58"/>
      <c r="BZ168" s="58"/>
      <c r="CA168" s="58"/>
      <c r="CB168" s="72" t="str">
        <f aca="false">IF(AC168&lt;&gt;"",VLOOKUP(AC168,Selects!$B:$E,4,0),"")</f>
        <v/>
      </c>
      <c r="CC168" s="58"/>
      <c r="CD168" s="58"/>
      <c r="CE168" s="58"/>
    </row>
    <row r="169" customFormat="false" ht="15.75" hidden="false" customHeight="true" outlineLevel="0" collapsed="false">
      <c r="A169" s="17"/>
      <c r="B169" s="58"/>
      <c r="C169" s="58"/>
      <c r="D169" s="59"/>
      <c r="E169" s="60" t="str">
        <f aca="false">IF(LEN(D169)=11,"PF",IF(LEN(D169)=14,"PJ",""))</f>
        <v/>
      </c>
      <c r="F169" s="59"/>
      <c r="G169" s="59"/>
      <c r="H169" s="61" t="str">
        <f aca="false">IF(G169&lt;&gt;"",VLOOKUP(G169,'Cnae  mcc  id'!$A:$M,9,0),"")</f>
        <v/>
      </c>
      <c r="I169" s="62"/>
      <c r="J169" s="63" t="str">
        <f aca="false">IF(I169&lt;&gt;"",VLOOKUP(I169,'Legal Nature'!$E$2:$G$84,3,0),"")</f>
        <v/>
      </c>
      <c r="K169" s="64"/>
      <c r="L169" s="65"/>
      <c r="M169" s="66"/>
      <c r="N169" s="66"/>
      <c r="O169" s="79"/>
      <c r="P169" s="26"/>
      <c r="Q169" s="58"/>
      <c r="R169" s="58"/>
      <c r="S169" s="58"/>
      <c r="T169" s="68" t="str">
        <f aca="false">IF(LEFT(S169,1)="9","Celular",IF(S169="","","Fixo"))</f>
        <v/>
      </c>
      <c r="U169" s="58" t="str">
        <f aca="false">IF( T169&lt;&gt;"",VLOOKUP(T169,Selects!$M$4:$N$1000,2,0),"")</f>
        <v/>
      </c>
      <c r="V169" s="26"/>
      <c r="W169" s="58"/>
      <c r="X169" s="58"/>
      <c r="Y169" s="58"/>
      <c r="Z169" s="58"/>
      <c r="AA169" s="69"/>
      <c r="AB169" s="58"/>
      <c r="AC169" s="58"/>
      <c r="AD169" s="70" t="str">
        <f aca="false">IF(AC169&lt;&gt;"",VLOOKUP(AC169,Selects!$B$4:$C$100,2,0),"")</f>
        <v/>
      </c>
      <c r="AE169" s="26"/>
      <c r="AF169" s="58"/>
      <c r="AG169" s="59"/>
      <c r="AH169" s="65"/>
      <c r="AI169" s="66"/>
      <c r="AJ169" s="66"/>
      <c r="AK169" s="58"/>
      <c r="AL169" s="58"/>
      <c r="AM169" s="68" t="str">
        <f aca="false">IF(LEFT(AL169,1)="9","Celular",IF(AL169="","","Fixo"))</f>
        <v/>
      </c>
      <c r="AN169" s="58" t="str">
        <f aca="false">IF( AM169&lt;&gt;"",VLOOKUP(AM169,Selects!$M$4:$N$1000,2,0),"")</f>
        <v/>
      </c>
      <c r="AO169" s="58"/>
      <c r="AP169" s="59"/>
      <c r="AQ169" s="65"/>
      <c r="AR169" s="58"/>
      <c r="AS169" s="58"/>
      <c r="AT169" s="26"/>
      <c r="AU169" s="58"/>
      <c r="AV169" s="58"/>
      <c r="AW169" s="58"/>
      <c r="AX169" s="58"/>
      <c r="AY169" s="71"/>
      <c r="AZ169" s="58"/>
      <c r="BA169" s="58"/>
      <c r="BB169" s="72" t="str">
        <f aca="false">IF(BA169&lt;&gt;"",VLOOKUP(BA169,Selects!$B$4:$C$100,2,0),"")</f>
        <v/>
      </c>
      <c r="BC169" s="26"/>
      <c r="BD169" s="26"/>
      <c r="BE169" s="73"/>
      <c r="BF169" s="74"/>
      <c r="BG169" s="75" t="str">
        <f aca="false">IF(LEN(BF169)=11,"PF",IF(LEN(BF169)=14,"PJ",""))</f>
        <v/>
      </c>
      <c r="BH169" s="66"/>
      <c r="BI169" s="58" t="str">
        <f aca="false">IF(BH169&lt;&gt;"",VLOOKUP(BH169,Selects!$G:$H,2,0),"")</f>
        <v/>
      </c>
      <c r="BJ169" s="58"/>
      <c r="BK169" s="58"/>
      <c r="BL169" s="59"/>
      <c r="BM169" s="58"/>
      <c r="BN169" s="58"/>
      <c r="BO169" s="58" t="str">
        <f aca="false">IF(BN169&lt;&gt;"",VLOOKUP(BN169,Selects!$J$4:$K$1000,2,0),"")</f>
        <v/>
      </c>
      <c r="BP169" s="76"/>
      <c r="BQ169" s="59"/>
      <c r="BR169" s="77"/>
      <c r="BS169" s="59"/>
      <c r="BT169" s="77"/>
      <c r="BU169" s="58"/>
      <c r="BV169" s="58"/>
      <c r="BW169" s="58"/>
      <c r="BX169" s="58"/>
      <c r="BY169" s="58"/>
      <c r="BZ169" s="58"/>
      <c r="CA169" s="58"/>
      <c r="CB169" s="72" t="str">
        <f aca="false">IF(AC169&lt;&gt;"",VLOOKUP(AC169,Selects!$B:$E,4,0),"")</f>
        <v/>
      </c>
      <c r="CC169" s="58"/>
      <c r="CD169" s="58"/>
      <c r="CE169" s="58"/>
    </row>
    <row r="170" customFormat="false" ht="15.75" hidden="false" customHeight="true" outlineLevel="0" collapsed="false">
      <c r="A170" s="17"/>
      <c r="B170" s="58"/>
      <c r="C170" s="58"/>
      <c r="D170" s="59"/>
      <c r="E170" s="60" t="str">
        <f aca="false">IF(LEN(D170)=11,"PF",IF(LEN(D170)=14,"PJ",""))</f>
        <v/>
      </c>
      <c r="F170" s="59"/>
      <c r="G170" s="59"/>
      <c r="H170" s="61" t="str">
        <f aca="false">IF(G170&lt;&gt;"",VLOOKUP(G170,'Cnae  mcc  id'!$A:$M,9,0),"")</f>
        <v/>
      </c>
      <c r="I170" s="62"/>
      <c r="J170" s="63" t="str">
        <f aca="false">IF(I170&lt;&gt;"",VLOOKUP(I170,'Legal Nature'!$E$2:$G$84,3,0),"")</f>
        <v/>
      </c>
      <c r="K170" s="64"/>
      <c r="L170" s="65"/>
      <c r="M170" s="66"/>
      <c r="N170" s="66"/>
      <c r="O170" s="79"/>
      <c r="P170" s="26"/>
      <c r="Q170" s="58"/>
      <c r="R170" s="58"/>
      <c r="S170" s="58"/>
      <c r="T170" s="68" t="str">
        <f aca="false">IF(LEFT(S170,1)="9","Celular",IF(S170="","","Fixo"))</f>
        <v/>
      </c>
      <c r="U170" s="58" t="str">
        <f aca="false">IF( T170&lt;&gt;"",VLOOKUP(T170,Selects!$M$4:$N$1000,2,0),"")</f>
        <v/>
      </c>
      <c r="V170" s="26"/>
      <c r="W170" s="58"/>
      <c r="X170" s="58"/>
      <c r="Y170" s="58"/>
      <c r="Z170" s="58"/>
      <c r="AA170" s="69"/>
      <c r="AB170" s="58"/>
      <c r="AC170" s="58"/>
      <c r="AD170" s="70" t="str">
        <f aca="false">IF(AC170&lt;&gt;"",VLOOKUP(AC170,Selects!$B$4:$C$100,2,0),"")</f>
        <v/>
      </c>
      <c r="AE170" s="26"/>
      <c r="AF170" s="58"/>
      <c r="AG170" s="59"/>
      <c r="AH170" s="65"/>
      <c r="AI170" s="66"/>
      <c r="AJ170" s="66"/>
      <c r="AK170" s="58"/>
      <c r="AL170" s="58"/>
      <c r="AM170" s="68" t="str">
        <f aca="false">IF(LEFT(AL170,1)="9","Celular",IF(AL170="","","Fixo"))</f>
        <v/>
      </c>
      <c r="AN170" s="58" t="str">
        <f aca="false">IF( AM170&lt;&gt;"",VLOOKUP(AM170,Selects!$M$4:$N$1000,2,0),"")</f>
        <v/>
      </c>
      <c r="AO170" s="58"/>
      <c r="AP170" s="59"/>
      <c r="AQ170" s="65"/>
      <c r="AR170" s="58"/>
      <c r="AS170" s="58"/>
      <c r="AT170" s="26"/>
      <c r="AU170" s="58"/>
      <c r="AV170" s="58"/>
      <c r="AW170" s="58"/>
      <c r="AX170" s="58"/>
      <c r="AY170" s="71"/>
      <c r="AZ170" s="58"/>
      <c r="BA170" s="58"/>
      <c r="BB170" s="72" t="str">
        <f aca="false">IF(BA170&lt;&gt;"",VLOOKUP(BA170,Selects!$B$4:$C$100,2,0),"")</f>
        <v/>
      </c>
      <c r="BC170" s="26"/>
      <c r="BD170" s="26"/>
      <c r="BE170" s="73"/>
      <c r="BF170" s="74"/>
      <c r="BG170" s="75" t="str">
        <f aca="false">IF(LEN(BF170)=11,"PF",IF(LEN(BF170)=14,"PJ",""))</f>
        <v/>
      </c>
      <c r="BH170" s="66"/>
      <c r="BI170" s="58" t="str">
        <f aca="false">IF(BH170&lt;&gt;"",VLOOKUP(BH170,Selects!$G:$H,2,0),"")</f>
        <v/>
      </c>
      <c r="BJ170" s="58"/>
      <c r="BK170" s="58"/>
      <c r="BL170" s="59"/>
      <c r="BM170" s="58"/>
      <c r="BN170" s="58"/>
      <c r="BO170" s="58" t="str">
        <f aca="false">IF(BN170&lt;&gt;"",VLOOKUP(BN170,Selects!$J$4:$K$1000,2,0),"")</f>
        <v/>
      </c>
      <c r="BP170" s="76"/>
      <c r="BQ170" s="59"/>
      <c r="BR170" s="77"/>
      <c r="BS170" s="59"/>
      <c r="BT170" s="77"/>
      <c r="BU170" s="58"/>
      <c r="BV170" s="58"/>
      <c r="BW170" s="58"/>
      <c r="BX170" s="58"/>
      <c r="BY170" s="58"/>
      <c r="BZ170" s="58"/>
      <c r="CA170" s="58"/>
      <c r="CB170" s="72" t="str">
        <f aca="false">IF(AC170&lt;&gt;"",VLOOKUP(AC170,Selects!$B:$E,4,0),"")</f>
        <v/>
      </c>
      <c r="CC170" s="58"/>
      <c r="CD170" s="58"/>
      <c r="CE170" s="58"/>
    </row>
    <row r="171" customFormat="false" ht="15.75" hidden="false" customHeight="true" outlineLevel="0" collapsed="false">
      <c r="A171" s="17"/>
      <c r="B171" s="58"/>
      <c r="C171" s="58"/>
      <c r="D171" s="59"/>
      <c r="E171" s="60" t="str">
        <f aca="false">IF(LEN(D171)=11,"PF",IF(LEN(D171)=14,"PJ",""))</f>
        <v/>
      </c>
      <c r="F171" s="59"/>
      <c r="G171" s="59"/>
      <c r="H171" s="61" t="str">
        <f aca="false">IF(G171&lt;&gt;"",VLOOKUP(G171,'Cnae  mcc  id'!$A:$M,9,0),"")</f>
        <v/>
      </c>
      <c r="I171" s="62"/>
      <c r="J171" s="63" t="str">
        <f aca="false">IF(I171&lt;&gt;"",VLOOKUP(I171,'Legal Nature'!$E$2:$G$84,3,0),"")</f>
        <v/>
      </c>
      <c r="K171" s="64"/>
      <c r="L171" s="65"/>
      <c r="M171" s="66"/>
      <c r="N171" s="66"/>
      <c r="O171" s="79"/>
      <c r="P171" s="26"/>
      <c r="Q171" s="58"/>
      <c r="R171" s="58"/>
      <c r="S171" s="58"/>
      <c r="T171" s="68" t="str">
        <f aca="false">IF(LEFT(S171,1)="9","Celular",IF(S171="","","Fixo"))</f>
        <v/>
      </c>
      <c r="U171" s="58" t="str">
        <f aca="false">IF( T171&lt;&gt;"",VLOOKUP(T171,Selects!$M$4:$N$1000,2,0),"")</f>
        <v/>
      </c>
      <c r="V171" s="26"/>
      <c r="W171" s="58"/>
      <c r="X171" s="58"/>
      <c r="Y171" s="58"/>
      <c r="Z171" s="58"/>
      <c r="AA171" s="69"/>
      <c r="AB171" s="58"/>
      <c r="AC171" s="58"/>
      <c r="AD171" s="70" t="str">
        <f aca="false">IF(AC171&lt;&gt;"",VLOOKUP(AC171,Selects!$B$4:$C$100,2,0),"")</f>
        <v/>
      </c>
      <c r="AE171" s="26"/>
      <c r="AF171" s="58"/>
      <c r="AG171" s="59"/>
      <c r="AH171" s="65"/>
      <c r="AI171" s="66"/>
      <c r="AJ171" s="66"/>
      <c r="AK171" s="58"/>
      <c r="AL171" s="58"/>
      <c r="AM171" s="68" t="str">
        <f aca="false">IF(LEFT(AL171,1)="9","Celular",IF(AL171="","","Fixo"))</f>
        <v/>
      </c>
      <c r="AN171" s="58" t="str">
        <f aca="false">IF( AM171&lt;&gt;"",VLOOKUP(AM171,Selects!$M$4:$N$1000,2,0),"")</f>
        <v/>
      </c>
      <c r="AO171" s="58"/>
      <c r="AP171" s="59"/>
      <c r="AQ171" s="65"/>
      <c r="AR171" s="58"/>
      <c r="AS171" s="58"/>
      <c r="AT171" s="26"/>
      <c r="AU171" s="58"/>
      <c r="AV171" s="58"/>
      <c r="AW171" s="58"/>
      <c r="AX171" s="58"/>
      <c r="AY171" s="71"/>
      <c r="AZ171" s="58"/>
      <c r="BA171" s="58"/>
      <c r="BB171" s="72" t="str">
        <f aca="false">IF(BA171&lt;&gt;"",VLOOKUP(BA171,Selects!$B$4:$C$100,2,0),"")</f>
        <v/>
      </c>
      <c r="BC171" s="26"/>
      <c r="BD171" s="26"/>
      <c r="BE171" s="73"/>
      <c r="BF171" s="74"/>
      <c r="BG171" s="75" t="str">
        <f aca="false">IF(LEN(BF171)=11,"PF",IF(LEN(BF171)=14,"PJ",""))</f>
        <v/>
      </c>
      <c r="BH171" s="66"/>
      <c r="BI171" s="58" t="str">
        <f aca="false">IF(BH171&lt;&gt;"",VLOOKUP(BH171,Selects!$G:$H,2,0),"")</f>
        <v/>
      </c>
      <c r="BJ171" s="58"/>
      <c r="BK171" s="58"/>
      <c r="BL171" s="59"/>
      <c r="BM171" s="58"/>
      <c r="BN171" s="58"/>
      <c r="BO171" s="58" t="str">
        <f aca="false">IF(BN171&lt;&gt;"",VLOOKUP(BN171,Selects!$J$4:$K$1000,2,0),"")</f>
        <v/>
      </c>
      <c r="BP171" s="76"/>
      <c r="BQ171" s="59"/>
      <c r="BR171" s="77"/>
      <c r="BS171" s="59"/>
      <c r="BT171" s="77"/>
      <c r="BU171" s="58"/>
      <c r="BV171" s="58"/>
      <c r="BW171" s="58"/>
      <c r="BX171" s="58"/>
      <c r="BY171" s="58"/>
      <c r="BZ171" s="58"/>
      <c r="CA171" s="58"/>
      <c r="CB171" s="72" t="str">
        <f aca="false">IF(AC171&lt;&gt;"",VLOOKUP(AC171,Selects!$B:$E,4,0),"")</f>
        <v/>
      </c>
      <c r="CC171" s="58"/>
      <c r="CD171" s="58"/>
      <c r="CE171" s="58"/>
    </row>
    <row r="172" customFormat="false" ht="15.75" hidden="false" customHeight="true" outlineLevel="0" collapsed="false">
      <c r="A172" s="17"/>
      <c r="B172" s="58"/>
      <c r="C172" s="58"/>
      <c r="D172" s="59"/>
      <c r="E172" s="60" t="str">
        <f aca="false">IF(LEN(D172)=11,"PF",IF(LEN(D172)=14,"PJ",""))</f>
        <v/>
      </c>
      <c r="F172" s="59"/>
      <c r="G172" s="59"/>
      <c r="H172" s="61" t="str">
        <f aca="false">IF(G172&lt;&gt;"",VLOOKUP(G172,'Cnae  mcc  id'!$A:$M,9,0),"")</f>
        <v/>
      </c>
      <c r="I172" s="62"/>
      <c r="J172" s="63" t="str">
        <f aca="false">IF(I172&lt;&gt;"",VLOOKUP(I172,'Legal Nature'!$E$2:$G$84,3,0),"")</f>
        <v/>
      </c>
      <c r="K172" s="64"/>
      <c r="L172" s="65"/>
      <c r="M172" s="66"/>
      <c r="N172" s="66"/>
      <c r="O172" s="79"/>
      <c r="P172" s="26"/>
      <c r="Q172" s="58"/>
      <c r="R172" s="58"/>
      <c r="S172" s="58"/>
      <c r="T172" s="68" t="str">
        <f aca="false">IF(LEFT(S172,1)="9","Celular",IF(S172="","","Fixo"))</f>
        <v/>
      </c>
      <c r="U172" s="58" t="str">
        <f aca="false">IF( T172&lt;&gt;"",VLOOKUP(T172,Selects!$M$4:$N$1000,2,0),"")</f>
        <v/>
      </c>
      <c r="V172" s="26"/>
      <c r="W172" s="58"/>
      <c r="X172" s="58"/>
      <c r="Y172" s="58"/>
      <c r="Z172" s="58"/>
      <c r="AA172" s="69"/>
      <c r="AB172" s="58"/>
      <c r="AC172" s="58"/>
      <c r="AD172" s="70" t="str">
        <f aca="false">IF(AC172&lt;&gt;"",VLOOKUP(AC172,Selects!$B$4:$C$100,2,0),"")</f>
        <v/>
      </c>
      <c r="AE172" s="26"/>
      <c r="AF172" s="58"/>
      <c r="AG172" s="59"/>
      <c r="AH172" s="65"/>
      <c r="AI172" s="66"/>
      <c r="AJ172" s="66"/>
      <c r="AK172" s="58"/>
      <c r="AL172" s="58"/>
      <c r="AM172" s="68" t="str">
        <f aca="false">IF(LEFT(AL172,1)="9","Celular",IF(AL172="","","Fixo"))</f>
        <v/>
      </c>
      <c r="AN172" s="58" t="str">
        <f aca="false">IF( AM172&lt;&gt;"",VLOOKUP(AM172,Selects!$M$4:$N$1000,2,0),"")</f>
        <v/>
      </c>
      <c r="AO172" s="58"/>
      <c r="AP172" s="59"/>
      <c r="AQ172" s="65"/>
      <c r="AR172" s="58"/>
      <c r="AS172" s="58"/>
      <c r="AT172" s="26"/>
      <c r="AU172" s="58"/>
      <c r="AV172" s="58"/>
      <c r="AW172" s="58"/>
      <c r="AX172" s="58"/>
      <c r="AY172" s="71"/>
      <c r="AZ172" s="58"/>
      <c r="BA172" s="58"/>
      <c r="BB172" s="72" t="str">
        <f aca="false">IF(BA172&lt;&gt;"",VLOOKUP(BA172,Selects!$B$4:$C$100,2,0),"")</f>
        <v/>
      </c>
      <c r="BC172" s="26"/>
      <c r="BD172" s="26"/>
      <c r="BE172" s="73"/>
      <c r="BF172" s="74"/>
      <c r="BG172" s="75" t="str">
        <f aca="false">IF(LEN(BF172)=11,"PF",IF(LEN(BF172)=14,"PJ",""))</f>
        <v/>
      </c>
      <c r="BH172" s="66"/>
      <c r="BI172" s="58" t="str">
        <f aca="false">IF(BH172&lt;&gt;"",VLOOKUP(BH172,Selects!$G:$H,2,0),"")</f>
        <v/>
      </c>
      <c r="BJ172" s="58"/>
      <c r="BK172" s="58"/>
      <c r="BL172" s="59"/>
      <c r="BM172" s="58"/>
      <c r="BN172" s="58"/>
      <c r="BO172" s="58" t="str">
        <f aca="false">IF(BN172&lt;&gt;"",VLOOKUP(BN172,Selects!$J$4:$K$1000,2,0),"")</f>
        <v/>
      </c>
      <c r="BP172" s="76"/>
      <c r="BQ172" s="59"/>
      <c r="BR172" s="77"/>
      <c r="BS172" s="59"/>
      <c r="BT172" s="77"/>
      <c r="BU172" s="58"/>
      <c r="BV172" s="58"/>
      <c r="BW172" s="58"/>
      <c r="BX172" s="58"/>
      <c r="BY172" s="58"/>
      <c r="BZ172" s="58"/>
      <c r="CA172" s="58"/>
      <c r="CB172" s="72" t="str">
        <f aca="false">IF(AC172&lt;&gt;"",VLOOKUP(AC172,Selects!$B:$E,4,0),"")</f>
        <v/>
      </c>
      <c r="CC172" s="58"/>
      <c r="CD172" s="58"/>
      <c r="CE172" s="58"/>
    </row>
    <row r="173" customFormat="false" ht="15.75" hidden="false" customHeight="true" outlineLevel="0" collapsed="false">
      <c r="A173" s="17"/>
      <c r="B173" s="58"/>
      <c r="C173" s="58"/>
      <c r="D173" s="59"/>
      <c r="E173" s="60" t="str">
        <f aca="false">IF(LEN(D173)=11,"PF",IF(LEN(D173)=14,"PJ",""))</f>
        <v/>
      </c>
      <c r="F173" s="59"/>
      <c r="G173" s="59"/>
      <c r="H173" s="61" t="str">
        <f aca="false">IF(G173&lt;&gt;"",VLOOKUP(G173,'Cnae  mcc  id'!$A:$M,9,0),"")</f>
        <v/>
      </c>
      <c r="I173" s="62"/>
      <c r="J173" s="63" t="str">
        <f aca="false">IF(I173&lt;&gt;"",VLOOKUP(I173,'Legal Nature'!$E$2:$G$84,3,0),"")</f>
        <v/>
      </c>
      <c r="K173" s="64"/>
      <c r="L173" s="65"/>
      <c r="M173" s="66"/>
      <c r="N173" s="66"/>
      <c r="O173" s="79"/>
      <c r="P173" s="26"/>
      <c r="Q173" s="58"/>
      <c r="R173" s="58"/>
      <c r="S173" s="58"/>
      <c r="T173" s="68" t="str">
        <f aca="false">IF(LEFT(S173,1)="9","Celular",IF(S173="","","Fixo"))</f>
        <v/>
      </c>
      <c r="U173" s="58" t="str">
        <f aca="false">IF( T173&lt;&gt;"",VLOOKUP(T173,Selects!$M$4:$N$1000,2,0),"")</f>
        <v/>
      </c>
      <c r="V173" s="26"/>
      <c r="W173" s="58"/>
      <c r="X173" s="58"/>
      <c r="Y173" s="58"/>
      <c r="Z173" s="58"/>
      <c r="AA173" s="69"/>
      <c r="AB173" s="58"/>
      <c r="AC173" s="58"/>
      <c r="AD173" s="70" t="str">
        <f aca="false">IF(AC173&lt;&gt;"",VLOOKUP(AC173,Selects!$B$4:$C$100,2,0),"")</f>
        <v/>
      </c>
      <c r="AE173" s="26"/>
      <c r="AF173" s="58"/>
      <c r="AG173" s="59"/>
      <c r="AH173" s="65"/>
      <c r="AI173" s="66"/>
      <c r="AJ173" s="66"/>
      <c r="AK173" s="58"/>
      <c r="AL173" s="58"/>
      <c r="AM173" s="68" t="str">
        <f aca="false">IF(LEFT(AL173,1)="9","Celular",IF(AL173="","","Fixo"))</f>
        <v/>
      </c>
      <c r="AN173" s="58" t="str">
        <f aca="false">IF( AM173&lt;&gt;"",VLOOKUP(AM173,Selects!$M$4:$N$1000,2,0),"")</f>
        <v/>
      </c>
      <c r="AO173" s="58"/>
      <c r="AP173" s="59"/>
      <c r="AQ173" s="65"/>
      <c r="AR173" s="58"/>
      <c r="AS173" s="58"/>
      <c r="AT173" s="26"/>
      <c r="AU173" s="58"/>
      <c r="AV173" s="58"/>
      <c r="AW173" s="58"/>
      <c r="AX173" s="58"/>
      <c r="AY173" s="71"/>
      <c r="AZ173" s="58"/>
      <c r="BA173" s="58"/>
      <c r="BB173" s="72" t="str">
        <f aca="false">IF(BA173&lt;&gt;"",VLOOKUP(BA173,Selects!$B$4:$C$100,2,0),"")</f>
        <v/>
      </c>
      <c r="BC173" s="26"/>
      <c r="BD173" s="26"/>
      <c r="BE173" s="73"/>
      <c r="BF173" s="74"/>
      <c r="BG173" s="75" t="str">
        <f aca="false">IF(LEN(BF173)=11,"PF",IF(LEN(BF173)=14,"PJ",""))</f>
        <v/>
      </c>
      <c r="BH173" s="66"/>
      <c r="BI173" s="58" t="str">
        <f aca="false">IF(BH173&lt;&gt;"",VLOOKUP(BH173,Selects!$G:$H,2,0),"")</f>
        <v/>
      </c>
      <c r="BJ173" s="58"/>
      <c r="BK173" s="58"/>
      <c r="BL173" s="59"/>
      <c r="BM173" s="58"/>
      <c r="BN173" s="58"/>
      <c r="BO173" s="58" t="str">
        <f aca="false">IF(BN173&lt;&gt;"",VLOOKUP(BN173,Selects!$J$4:$K$1000,2,0),"")</f>
        <v/>
      </c>
      <c r="BP173" s="76"/>
      <c r="BQ173" s="59"/>
      <c r="BR173" s="77"/>
      <c r="BS173" s="59"/>
      <c r="BT173" s="77"/>
      <c r="BU173" s="58"/>
      <c r="BV173" s="58"/>
      <c r="BW173" s="58"/>
      <c r="BX173" s="58"/>
      <c r="BY173" s="58"/>
      <c r="BZ173" s="58"/>
      <c r="CA173" s="58"/>
      <c r="CB173" s="72" t="str">
        <f aca="false">IF(AC173&lt;&gt;"",VLOOKUP(AC173,Selects!$B:$E,4,0),"")</f>
        <v/>
      </c>
      <c r="CC173" s="58"/>
      <c r="CD173" s="58"/>
      <c r="CE173" s="58"/>
    </row>
    <row r="174" customFormat="false" ht="15.75" hidden="false" customHeight="true" outlineLevel="0" collapsed="false">
      <c r="A174" s="17"/>
      <c r="B174" s="58"/>
      <c r="C174" s="58"/>
      <c r="D174" s="59"/>
      <c r="E174" s="60" t="str">
        <f aca="false">IF(LEN(D174)=11,"PF",IF(LEN(D174)=14,"PJ",""))</f>
        <v/>
      </c>
      <c r="F174" s="59"/>
      <c r="G174" s="59"/>
      <c r="H174" s="61" t="str">
        <f aca="false">IF(G174&lt;&gt;"",VLOOKUP(G174,'Cnae  mcc  id'!$A:$M,9,0),"")</f>
        <v/>
      </c>
      <c r="I174" s="62"/>
      <c r="J174" s="63" t="str">
        <f aca="false">IF(I174&lt;&gt;"",VLOOKUP(I174,'Legal Nature'!$E$2:$G$84,3,0),"")</f>
        <v/>
      </c>
      <c r="K174" s="64"/>
      <c r="L174" s="65"/>
      <c r="M174" s="66"/>
      <c r="N174" s="66"/>
      <c r="O174" s="79"/>
      <c r="P174" s="26"/>
      <c r="Q174" s="58"/>
      <c r="R174" s="58"/>
      <c r="S174" s="58"/>
      <c r="T174" s="68" t="str">
        <f aca="false">IF(LEFT(S174,1)="9","Celular",IF(S174="","","Fixo"))</f>
        <v/>
      </c>
      <c r="U174" s="58" t="str">
        <f aca="false">IF( T174&lt;&gt;"",VLOOKUP(T174,Selects!$M$4:$N$1000,2,0),"")</f>
        <v/>
      </c>
      <c r="V174" s="26"/>
      <c r="W174" s="58"/>
      <c r="X174" s="58"/>
      <c r="Y174" s="58"/>
      <c r="Z174" s="58"/>
      <c r="AA174" s="69"/>
      <c r="AB174" s="58"/>
      <c r="AC174" s="58"/>
      <c r="AD174" s="70" t="str">
        <f aca="false">IF(AC174&lt;&gt;"",VLOOKUP(AC174,Selects!$B$4:$C$100,2,0),"")</f>
        <v/>
      </c>
      <c r="AE174" s="26"/>
      <c r="AF174" s="58"/>
      <c r="AG174" s="59"/>
      <c r="AH174" s="65"/>
      <c r="AI174" s="66"/>
      <c r="AJ174" s="66"/>
      <c r="AK174" s="58"/>
      <c r="AL174" s="58"/>
      <c r="AM174" s="68" t="str">
        <f aca="false">IF(LEFT(AL174,1)="9","Celular",IF(AL174="","","Fixo"))</f>
        <v/>
      </c>
      <c r="AN174" s="58" t="str">
        <f aca="false">IF( AM174&lt;&gt;"",VLOOKUP(AM174,Selects!$M$4:$N$1000,2,0),"")</f>
        <v/>
      </c>
      <c r="AO174" s="58"/>
      <c r="AP174" s="59"/>
      <c r="AQ174" s="65"/>
      <c r="AR174" s="58"/>
      <c r="AS174" s="58"/>
      <c r="AT174" s="26"/>
      <c r="AU174" s="58"/>
      <c r="AV174" s="58"/>
      <c r="AW174" s="58"/>
      <c r="AX174" s="58"/>
      <c r="AY174" s="71"/>
      <c r="AZ174" s="58"/>
      <c r="BA174" s="58"/>
      <c r="BB174" s="72" t="str">
        <f aca="false">IF(BA174&lt;&gt;"",VLOOKUP(BA174,Selects!$B$4:$C$100,2,0),"")</f>
        <v/>
      </c>
      <c r="BC174" s="26"/>
      <c r="BD174" s="26"/>
      <c r="BE174" s="73"/>
      <c r="BF174" s="74"/>
      <c r="BG174" s="75" t="str">
        <f aca="false">IF(LEN(BF174)=11,"PF",IF(LEN(BF174)=14,"PJ",""))</f>
        <v/>
      </c>
      <c r="BH174" s="66"/>
      <c r="BI174" s="58" t="str">
        <f aca="false">IF(BH174&lt;&gt;"",VLOOKUP(BH174,Selects!$G:$H,2,0),"")</f>
        <v/>
      </c>
      <c r="BJ174" s="58"/>
      <c r="BK174" s="58"/>
      <c r="BL174" s="59"/>
      <c r="BM174" s="58"/>
      <c r="BN174" s="58"/>
      <c r="BO174" s="58" t="str">
        <f aca="false">IF(BN174&lt;&gt;"",VLOOKUP(BN174,Selects!$J$4:$K$1000,2,0),"")</f>
        <v/>
      </c>
      <c r="BP174" s="76"/>
      <c r="BQ174" s="59"/>
      <c r="BR174" s="77"/>
      <c r="BS174" s="59"/>
      <c r="BT174" s="77"/>
      <c r="BU174" s="58"/>
      <c r="BV174" s="58"/>
      <c r="BW174" s="58"/>
      <c r="BX174" s="58"/>
      <c r="BY174" s="58"/>
      <c r="BZ174" s="58"/>
      <c r="CA174" s="58"/>
      <c r="CB174" s="72" t="str">
        <f aca="false">IF(AC174&lt;&gt;"",VLOOKUP(AC174,Selects!$B:$E,4,0),"")</f>
        <v/>
      </c>
      <c r="CC174" s="58"/>
      <c r="CD174" s="58"/>
      <c r="CE174" s="58"/>
    </row>
    <row r="175" customFormat="false" ht="15.75" hidden="false" customHeight="true" outlineLevel="0" collapsed="false">
      <c r="A175" s="17"/>
      <c r="B175" s="58"/>
      <c r="C175" s="58"/>
      <c r="D175" s="59"/>
      <c r="E175" s="60" t="str">
        <f aca="false">IF(LEN(D175)=11,"PF",IF(LEN(D175)=14,"PJ",""))</f>
        <v/>
      </c>
      <c r="F175" s="59"/>
      <c r="G175" s="59"/>
      <c r="H175" s="61" t="str">
        <f aca="false">IF(G175&lt;&gt;"",VLOOKUP(G175,'Cnae  mcc  id'!$A:$M,9,0),"")</f>
        <v/>
      </c>
      <c r="I175" s="62"/>
      <c r="J175" s="63" t="str">
        <f aca="false">IF(I175&lt;&gt;"",VLOOKUP(I175,'Legal Nature'!$E$2:$G$84,3,0),"")</f>
        <v/>
      </c>
      <c r="K175" s="64"/>
      <c r="L175" s="65"/>
      <c r="M175" s="66"/>
      <c r="N175" s="66"/>
      <c r="O175" s="79"/>
      <c r="P175" s="26"/>
      <c r="Q175" s="58"/>
      <c r="R175" s="58"/>
      <c r="S175" s="58"/>
      <c r="T175" s="68" t="str">
        <f aca="false">IF(LEFT(S175,1)="9","Celular",IF(S175="","","Fixo"))</f>
        <v/>
      </c>
      <c r="U175" s="58" t="str">
        <f aca="false">IF( T175&lt;&gt;"",VLOOKUP(T175,Selects!$M$4:$N$1000,2,0),"")</f>
        <v/>
      </c>
      <c r="V175" s="26"/>
      <c r="W175" s="58"/>
      <c r="X175" s="58"/>
      <c r="Y175" s="58"/>
      <c r="Z175" s="58"/>
      <c r="AA175" s="69"/>
      <c r="AB175" s="58"/>
      <c r="AC175" s="58"/>
      <c r="AD175" s="70" t="str">
        <f aca="false">IF(AC175&lt;&gt;"",VLOOKUP(AC175,Selects!$B$4:$C$100,2,0),"")</f>
        <v/>
      </c>
      <c r="AE175" s="26"/>
      <c r="AF175" s="58"/>
      <c r="AG175" s="59"/>
      <c r="AH175" s="65"/>
      <c r="AI175" s="66"/>
      <c r="AJ175" s="66"/>
      <c r="AK175" s="58"/>
      <c r="AL175" s="58"/>
      <c r="AM175" s="68" t="str">
        <f aca="false">IF(LEFT(AL175,1)="9","Celular",IF(AL175="","","Fixo"))</f>
        <v/>
      </c>
      <c r="AN175" s="58" t="str">
        <f aca="false">IF( AM175&lt;&gt;"",VLOOKUP(AM175,Selects!$M$4:$N$1000,2,0),"")</f>
        <v/>
      </c>
      <c r="AO175" s="58"/>
      <c r="AP175" s="59"/>
      <c r="AQ175" s="65"/>
      <c r="AR175" s="58"/>
      <c r="AS175" s="58"/>
      <c r="AT175" s="26"/>
      <c r="AU175" s="58"/>
      <c r="AV175" s="58"/>
      <c r="AW175" s="58"/>
      <c r="AX175" s="58"/>
      <c r="AY175" s="71"/>
      <c r="AZ175" s="58"/>
      <c r="BA175" s="58"/>
      <c r="BB175" s="72" t="str">
        <f aca="false">IF(BA175&lt;&gt;"",VLOOKUP(BA175,Selects!$B$4:$C$100,2,0),"")</f>
        <v/>
      </c>
      <c r="BC175" s="26"/>
      <c r="BD175" s="26"/>
      <c r="BE175" s="73"/>
      <c r="BF175" s="74"/>
      <c r="BG175" s="75" t="str">
        <f aca="false">IF(LEN(BF175)=11,"PF",IF(LEN(BF175)=14,"PJ",""))</f>
        <v/>
      </c>
      <c r="BH175" s="66"/>
      <c r="BI175" s="58" t="str">
        <f aca="false">IF(BH175&lt;&gt;"",VLOOKUP(BH175,Selects!$G:$H,2,0),"")</f>
        <v/>
      </c>
      <c r="BJ175" s="58"/>
      <c r="BK175" s="58"/>
      <c r="BL175" s="59"/>
      <c r="BM175" s="58"/>
      <c r="BN175" s="58"/>
      <c r="BO175" s="58" t="str">
        <f aca="false">IF(BN175&lt;&gt;"",VLOOKUP(BN175,Selects!$J$4:$K$1000,2,0),"")</f>
        <v/>
      </c>
      <c r="BP175" s="76"/>
      <c r="BQ175" s="59"/>
      <c r="BR175" s="77"/>
      <c r="BS175" s="59"/>
      <c r="BT175" s="77"/>
      <c r="BU175" s="58"/>
      <c r="BV175" s="58"/>
      <c r="BW175" s="58"/>
      <c r="BX175" s="58"/>
      <c r="BY175" s="58"/>
      <c r="BZ175" s="58"/>
      <c r="CA175" s="58"/>
      <c r="CB175" s="72" t="str">
        <f aca="false">IF(AC175&lt;&gt;"",VLOOKUP(AC175,Selects!$B:$E,4,0),"")</f>
        <v/>
      </c>
      <c r="CC175" s="58"/>
      <c r="CD175" s="58"/>
      <c r="CE175" s="58"/>
    </row>
    <row r="176" customFormat="false" ht="15.75" hidden="false" customHeight="true" outlineLevel="0" collapsed="false">
      <c r="A176" s="17"/>
      <c r="B176" s="58"/>
      <c r="C176" s="58"/>
      <c r="D176" s="59"/>
      <c r="E176" s="60" t="str">
        <f aca="false">IF(LEN(D176)=11,"PF",IF(LEN(D176)=14,"PJ",""))</f>
        <v/>
      </c>
      <c r="F176" s="59"/>
      <c r="G176" s="59"/>
      <c r="H176" s="61" t="str">
        <f aca="false">IF(G176&lt;&gt;"",VLOOKUP(G176,'Cnae  mcc  id'!$A:$M,9,0),"")</f>
        <v/>
      </c>
      <c r="I176" s="62"/>
      <c r="J176" s="63" t="str">
        <f aca="false">IF(I176&lt;&gt;"",VLOOKUP(I176,'Legal Nature'!$E$2:$G$84,3,0),"")</f>
        <v/>
      </c>
      <c r="K176" s="64"/>
      <c r="L176" s="65"/>
      <c r="M176" s="66"/>
      <c r="N176" s="66"/>
      <c r="O176" s="79"/>
      <c r="P176" s="26"/>
      <c r="Q176" s="58"/>
      <c r="R176" s="58"/>
      <c r="S176" s="58"/>
      <c r="T176" s="68" t="str">
        <f aca="false">IF(LEFT(S176,1)="9","Celular",IF(S176="","","Fixo"))</f>
        <v/>
      </c>
      <c r="U176" s="58" t="str">
        <f aca="false">IF( T176&lt;&gt;"",VLOOKUP(T176,Selects!$M$4:$N$1000,2,0),"")</f>
        <v/>
      </c>
      <c r="V176" s="26"/>
      <c r="W176" s="58"/>
      <c r="X176" s="58"/>
      <c r="Y176" s="58"/>
      <c r="Z176" s="58"/>
      <c r="AA176" s="69"/>
      <c r="AB176" s="58"/>
      <c r="AC176" s="58"/>
      <c r="AD176" s="70" t="str">
        <f aca="false">IF(AC176&lt;&gt;"",VLOOKUP(AC176,Selects!$B$4:$C$100,2,0),"")</f>
        <v/>
      </c>
      <c r="AE176" s="26"/>
      <c r="AF176" s="58"/>
      <c r="AG176" s="59"/>
      <c r="AH176" s="65"/>
      <c r="AI176" s="66"/>
      <c r="AJ176" s="66"/>
      <c r="AK176" s="58"/>
      <c r="AL176" s="58"/>
      <c r="AM176" s="68" t="str">
        <f aca="false">IF(LEFT(AL176,1)="9","Celular",IF(AL176="","","Fixo"))</f>
        <v/>
      </c>
      <c r="AN176" s="58" t="str">
        <f aca="false">IF( AM176&lt;&gt;"",VLOOKUP(AM176,Selects!$M$4:$N$1000,2,0),"")</f>
        <v/>
      </c>
      <c r="AO176" s="58"/>
      <c r="AP176" s="59"/>
      <c r="AQ176" s="65"/>
      <c r="AR176" s="58"/>
      <c r="AS176" s="58"/>
      <c r="AT176" s="26"/>
      <c r="AU176" s="58"/>
      <c r="AV176" s="58"/>
      <c r="AW176" s="58"/>
      <c r="AX176" s="58"/>
      <c r="AY176" s="71"/>
      <c r="AZ176" s="58"/>
      <c r="BA176" s="58"/>
      <c r="BB176" s="72" t="str">
        <f aca="false">IF(BA176&lt;&gt;"",VLOOKUP(BA176,Selects!$B$4:$C$100,2,0),"")</f>
        <v/>
      </c>
      <c r="BC176" s="26"/>
      <c r="BD176" s="26"/>
      <c r="BE176" s="73"/>
      <c r="BF176" s="74"/>
      <c r="BG176" s="75" t="str">
        <f aca="false">IF(LEN(BF176)=11,"PF",IF(LEN(BF176)=14,"PJ",""))</f>
        <v/>
      </c>
      <c r="BH176" s="66"/>
      <c r="BI176" s="58" t="str">
        <f aca="false">IF(BH176&lt;&gt;"",VLOOKUP(BH176,Selects!$G:$H,2,0),"")</f>
        <v/>
      </c>
      <c r="BJ176" s="58"/>
      <c r="BK176" s="58"/>
      <c r="BL176" s="59"/>
      <c r="BM176" s="58"/>
      <c r="BN176" s="58"/>
      <c r="BO176" s="58" t="str">
        <f aca="false">IF(BN176&lt;&gt;"",VLOOKUP(BN176,Selects!$J$4:$K$1000,2,0),"")</f>
        <v/>
      </c>
      <c r="BP176" s="76"/>
      <c r="BQ176" s="59"/>
      <c r="BR176" s="77"/>
      <c r="BS176" s="59"/>
      <c r="BT176" s="77"/>
      <c r="BU176" s="58"/>
      <c r="BV176" s="58"/>
      <c r="BW176" s="58"/>
      <c r="BX176" s="58"/>
      <c r="BY176" s="58"/>
      <c r="BZ176" s="58"/>
      <c r="CA176" s="58"/>
      <c r="CB176" s="72" t="str">
        <f aca="false">IF(AC176&lt;&gt;"",VLOOKUP(AC176,Selects!$B:$E,4,0),"")</f>
        <v/>
      </c>
      <c r="CC176" s="58"/>
      <c r="CD176" s="58"/>
      <c r="CE176" s="58"/>
    </row>
    <row r="177" customFormat="false" ht="15.75" hidden="false" customHeight="true" outlineLevel="0" collapsed="false">
      <c r="A177" s="17"/>
      <c r="B177" s="58"/>
      <c r="C177" s="58"/>
      <c r="D177" s="59"/>
      <c r="E177" s="60" t="str">
        <f aca="false">IF(LEN(D177)=11,"PF",IF(LEN(D177)=14,"PJ",""))</f>
        <v/>
      </c>
      <c r="F177" s="59"/>
      <c r="G177" s="59"/>
      <c r="H177" s="61" t="str">
        <f aca="false">IF(G177&lt;&gt;"",VLOOKUP(G177,'Cnae  mcc  id'!$A:$M,9,0),"")</f>
        <v/>
      </c>
      <c r="I177" s="62"/>
      <c r="J177" s="63" t="str">
        <f aca="false">IF(I177&lt;&gt;"",VLOOKUP(I177,'Legal Nature'!$E$2:$G$84,3,0),"")</f>
        <v/>
      </c>
      <c r="K177" s="64"/>
      <c r="L177" s="65"/>
      <c r="M177" s="66"/>
      <c r="N177" s="66"/>
      <c r="O177" s="79"/>
      <c r="P177" s="26"/>
      <c r="Q177" s="58"/>
      <c r="R177" s="58"/>
      <c r="S177" s="58"/>
      <c r="T177" s="68" t="str">
        <f aca="false">IF(LEFT(S177,1)="9","Celular",IF(S177="","","Fixo"))</f>
        <v/>
      </c>
      <c r="U177" s="58" t="str">
        <f aca="false">IF( T177&lt;&gt;"",VLOOKUP(T177,Selects!$M$4:$N$1000,2,0),"")</f>
        <v/>
      </c>
      <c r="V177" s="26"/>
      <c r="W177" s="58"/>
      <c r="X177" s="58"/>
      <c r="Y177" s="58"/>
      <c r="Z177" s="58"/>
      <c r="AA177" s="69"/>
      <c r="AB177" s="58"/>
      <c r="AC177" s="58"/>
      <c r="AD177" s="70" t="str">
        <f aca="false">IF(AC177&lt;&gt;"",VLOOKUP(AC177,Selects!$B$4:$C$100,2,0),"")</f>
        <v/>
      </c>
      <c r="AE177" s="26"/>
      <c r="AF177" s="58"/>
      <c r="AG177" s="59"/>
      <c r="AH177" s="65"/>
      <c r="AI177" s="66"/>
      <c r="AJ177" s="66"/>
      <c r="AK177" s="58"/>
      <c r="AL177" s="58"/>
      <c r="AM177" s="68" t="str">
        <f aca="false">IF(LEFT(AL177,1)="9","Celular",IF(AL177="","","Fixo"))</f>
        <v/>
      </c>
      <c r="AN177" s="58" t="str">
        <f aca="false">IF( AM177&lt;&gt;"",VLOOKUP(AM177,Selects!$M$4:$N$1000,2,0),"")</f>
        <v/>
      </c>
      <c r="AO177" s="58"/>
      <c r="AP177" s="59"/>
      <c r="AQ177" s="65"/>
      <c r="AR177" s="58"/>
      <c r="AS177" s="58"/>
      <c r="AT177" s="26"/>
      <c r="AU177" s="58"/>
      <c r="AV177" s="58"/>
      <c r="AW177" s="58"/>
      <c r="AX177" s="58"/>
      <c r="AY177" s="71"/>
      <c r="AZ177" s="58"/>
      <c r="BA177" s="58"/>
      <c r="BB177" s="72" t="str">
        <f aca="false">IF(BA177&lt;&gt;"",VLOOKUP(BA177,Selects!$B$4:$C$100,2,0),"")</f>
        <v/>
      </c>
      <c r="BC177" s="26"/>
      <c r="BD177" s="26"/>
      <c r="BE177" s="73"/>
      <c r="BF177" s="74"/>
      <c r="BG177" s="75" t="str">
        <f aca="false">IF(LEN(BF177)=11,"PF",IF(LEN(BF177)=14,"PJ",""))</f>
        <v/>
      </c>
      <c r="BH177" s="66"/>
      <c r="BI177" s="58" t="str">
        <f aca="false">IF(BH177&lt;&gt;"",VLOOKUP(BH177,Selects!$G:$H,2,0),"")</f>
        <v/>
      </c>
      <c r="BJ177" s="58"/>
      <c r="BK177" s="58"/>
      <c r="BL177" s="59"/>
      <c r="BM177" s="58"/>
      <c r="BN177" s="58"/>
      <c r="BO177" s="58" t="str">
        <f aca="false">IF(BN177&lt;&gt;"",VLOOKUP(BN177,Selects!$J$4:$K$1000,2,0),"")</f>
        <v/>
      </c>
      <c r="BP177" s="76"/>
      <c r="BQ177" s="59"/>
      <c r="BR177" s="77"/>
      <c r="BS177" s="59"/>
      <c r="BT177" s="77"/>
      <c r="BU177" s="58"/>
      <c r="BV177" s="58"/>
      <c r="BW177" s="58"/>
      <c r="BX177" s="58"/>
      <c r="BY177" s="58"/>
      <c r="BZ177" s="58"/>
      <c r="CA177" s="58"/>
      <c r="CB177" s="72" t="str">
        <f aca="false">IF(AC177&lt;&gt;"",VLOOKUP(AC177,Selects!$B:$E,4,0),"")</f>
        <v/>
      </c>
      <c r="CC177" s="58"/>
      <c r="CD177" s="58"/>
      <c r="CE177" s="58"/>
    </row>
    <row r="178" customFormat="false" ht="15.75" hidden="false" customHeight="true" outlineLevel="0" collapsed="false">
      <c r="A178" s="17"/>
      <c r="B178" s="58"/>
      <c r="C178" s="58"/>
      <c r="D178" s="59"/>
      <c r="E178" s="60" t="str">
        <f aca="false">IF(LEN(D178)=11,"PF",IF(LEN(D178)=14,"PJ",""))</f>
        <v/>
      </c>
      <c r="F178" s="59"/>
      <c r="G178" s="59"/>
      <c r="H178" s="61" t="str">
        <f aca="false">IF(G178&lt;&gt;"",VLOOKUP(G178,'Cnae  mcc  id'!$A:$M,9,0),"")</f>
        <v/>
      </c>
      <c r="I178" s="62"/>
      <c r="J178" s="63" t="str">
        <f aca="false">IF(I178&lt;&gt;"",VLOOKUP(I178,'Legal Nature'!$E$2:$G$84,3,0),"")</f>
        <v/>
      </c>
      <c r="K178" s="64"/>
      <c r="L178" s="65"/>
      <c r="M178" s="66"/>
      <c r="N178" s="66"/>
      <c r="O178" s="79"/>
      <c r="P178" s="26"/>
      <c r="Q178" s="58"/>
      <c r="R178" s="58"/>
      <c r="S178" s="58"/>
      <c r="T178" s="68" t="str">
        <f aca="false">IF(LEFT(S178,1)="9","Celular",IF(S178="","","Fixo"))</f>
        <v/>
      </c>
      <c r="U178" s="58" t="str">
        <f aca="false">IF( T178&lt;&gt;"",VLOOKUP(T178,Selects!$M$4:$N$1000,2,0),"")</f>
        <v/>
      </c>
      <c r="V178" s="26"/>
      <c r="W178" s="58"/>
      <c r="X178" s="58"/>
      <c r="Y178" s="58"/>
      <c r="Z178" s="58"/>
      <c r="AA178" s="69"/>
      <c r="AB178" s="58"/>
      <c r="AC178" s="58"/>
      <c r="AD178" s="70" t="str">
        <f aca="false">IF(AC178&lt;&gt;"",VLOOKUP(AC178,Selects!$B$4:$C$100,2,0),"")</f>
        <v/>
      </c>
      <c r="AE178" s="26"/>
      <c r="AF178" s="58"/>
      <c r="AG178" s="59"/>
      <c r="AH178" s="65"/>
      <c r="AI178" s="66"/>
      <c r="AJ178" s="66"/>
      <c r="AK178" s="58"/>
      <c r="AL178" s="58"/>
      <c r="AM178" s="68" t="str">
        <f aca="false">IF(LEFT(AL178,1)="9","Celular",IF(AL178="","","Fixo"))</f>
        <v/>
      </c>
      <c r="AN178" s="58" t="str">
        <f aca="false">IF( AM178&lt;&gt;"",VLOOKUP(AM178,Selects!$M$4:$N$1000,2,0),"")</f>
        <v/>
      </c>
      <c r="AO178" s="58"/>
      <c r="AP178" s="59"/>
      <c r="AQ178" s="65"/>
      <c r="AR178" s="58"/>
      <c r="AS178" s="58"/>
      <c r="AT178" s="26"/>
      <c r="AU178" s="58"/>
      <c r="AV178" s="58"/>
      <c r="AW178" s="58"/>
      <c r="AX178" s="58"/>
      <c r="AY178" s="71"/>
      <c r="AZ178" s="58"/>
      <c r="BA178" s="58"/>
      <c r="BB178" s="72" t="str">
        <f aca="false">IF(BA178&lt;&gt;"",VLOOKUP(BA178,Selects!$B$4:$C$100,2,0),"")</f>
        <v/>
      </c>
      <c r="BC178" s="26"/>
      <c r="BD178" s="26"/>
      <c r="BE178" s="73"/>
      <c r="BF178" s="74"/>
      <c r="BG178" s="75" t="str">
        <f aca="false">IF(LEN(BF178)=11,"PF",IF(LEN(BF178)=14,"PJ",""))</f>
        <v/>
      </c>
      <c r="BH178" s="66"/>
      <c r="BI178" s="58" t="str">
        <f aca="false">IF(BH178&lt;&gt;"",VLOOKUP(BH178,Selects!$G:$H,2,0),"")</f>
        <v/>
      </c>
      <c r="BJ178" s="58"/>
      <c r="BK178" s="58"/>
      <c r="BL178" s="59"/>
      <c r="BM178" s="58"/>
      <c r="BN178" s="58"/>
      <c r="BO178" s="58" t="str">
        <f aca="false">IF(BN178&lt;&gt;"",VLOOKUP(BN178,Selects!$J$4:$K$1000,2,0),"")</f>
        <v/>
      </c>
      <c r="BP178" s="76"/>
      <c r="BQ178" s="59"/>
      <c r="BR178" s="77"/>
      <c r="BS178" s="59"/>
      <c r="BT178" s="77"/>
      <c r="BU178" s="58"/>
      <c r="BV178" s="58"/>
      <c r="BW178" s="58"/>
      <c r="BX178" s="58"/>
      <c r="BY178" s="58"/>
      <c r="BZ178" s="58"/>
      <c r="CA178" s="58"/>
      <c r="CB178" s="72" t="str">
        <f aca="false">IF(AC178&lt;&gt;"",VLOOKUP(AC178,Selects!$B:$E,4,0),"")</f>
        <v/>
      </c>
      <c r="CC178" s="58"/>
      <c r="CD178" s="58"/>
      <c r="CE178" s="58"/>
    </row>
    <row r="179" customFormat="false" ht="15.75" hidden="false" customHeight="true" outlineLevel="0" collapsed="false">
      <c r="A179" s="17"/>
      <c r="B179" s="58"/>
      <c r="C179" s="58"/>
      <c r="D179" s="59"/>
      <c r="E179" s="60" t="str">
        <f aca="false">IF(LEN(D179)=11,"PF",IF(LEN(D179)=14,"PJ",""))</f>
        <v/>
      </c>
      <c r="F179" s="59"/>
      <c r="G179" s="59"/>
      <c r="H179" s="61" t="str">
        <f aca="false">IF(G179&lt;&gt;"",VLOOKUP(G179,'Cnae  mcc  id'!$A:$M,9,0),"")</f>
        <v/>
      </c>
      <c r="I179" s="62"/>
      <c r="J179" s="63" t="str">
        <f aca="false">IF(I179&lt;&gt;"",VLOOKUP(I179,'Legal Nature'!$E$2:$G$84,3,0),"")</f>
        <v/>
      </c>
      <c r="K179" s="64"/>
      <c r="L179" s="65"/>
      <c r="M179" s="66"/>
      <c r="N179" s="66"/>
      <c r="O179" s="79"/>
      <c r="P179" s="26"/>
      <c r="Q179" s="58"/>
      <c r="R179" s="58"/>
      <c r="S179" s="58"/>
      <c r="T179" s="68" t="str">
        <f aca="false">IF(LEFT(S179,1)="9","Celular",IF(S179="","","Fixo"))</f>
        <v/>
      </c>
      <c r="U179" s="58" t="str">
        <f aca="false">IF( T179&lt;&gt;"",VLOOKUP(T179,Selects!$M$4:$N$1000,2,0),"")</f>
        <v/>
      </c>
      <c r="V179" s="26"/>
      <c r="W179" s="58"/>
      <c r="X179" s="58"/>
      <c r="Y179" s="58"/>
      <c r="Z179" s="58"/>
      <c r="AA179" s="69"/>
      <c r="AB179" s="58"/>
      <c r="AC179" s="58"/>
      <c r="AD179" s="70" t="str">
        <f aca="false">IF(AC179&lt;&gt;"",VLOOKUP(AC179,Selects!$B$4:$C$100,2,0),"")</f>
        <v/>
      </c>
      <c r="AE179" s="26"/>
      <c r="AF179" s="58"/>
      <c r="AG179" s="59"/>
      <c r="AH179" s="65"/>
      <c r="AI179" s="66"/>
      <c r="AJ179" s="66"/>
      <c r="AK179" s="58"/>
      <c r="AL179" s="58"/>
      <c r="AM179" s="68" t="str">
        <f aca="false">IF(LEFT(AL179,1)="9","Celular",IF(AL179="","","Fixo"))</f>
        <v/>
      </c>
      <c r="AN179" s="58" t="str">
        <f aca="false">IF( AM179&lt;&gt;"",VLOOKUP(AM179,Selects!$M$4:$N$1000,2,0),"")</f>
        <v/>
      </c>
      <c r="AO179" s="58"/>
      <c r="AP179" s="59"/>
      <c r="AQ179" s="65"/>
      <c r="AR179" s="58"/>
      <c r="AS179" s="58"/>
      <c r="AT179" s="26"/>
      <c r="AU179" s="58"/>
      <c r="AV179" s="58"/>
      <c r="AW179" s="58"/>
      <c r="AX179" s="58"/>
      <c r="AY179" s="71"/>
      <c r="AZ179" s="58"/>
      <c r="BA179" s="58"/>
      <c r="BB179" s="72" t="str">
        <f aca="false">IF(BA179&lt;&gt;"",VLOOKUP(BA179,Selects!$B$4:$C$100,2,0),"")</f>
        <v/>
      </c>
      <c r="BC179" s="26"/>
      <c r="BD179" s="26"/>
      <c r="BE179" s="73"/>
      <c r="BF179" s="74"/>
      <c r="BG179" s="75" t="str">
        <f aca="false">IF(LEN(BF179)=11,"PF",IF(LEN(BF179)=14,"PJ",""))</f>
        <v/>
      </c>
      <c r="BH179" s="66"/>
      <c r="BI179" s="58" t="str">
        <f aca="false">IF(BH179&lt;&gt;"",VLOOKUP(BH179,Selects!$G:$H,2,0),"")</f>
        <v/>
      </c>
      <c r="BJ179" s="58"/>
      <c r="BK179" s="58"/>
      <c r="BL179" s="59"/>
      <c r="BM179" s="58"/>
      <c r="BN179" s="58"/>
      <c r="BO179" s="58" t="str">
        <f aca="false">IF(BN179&lt;&gt;"",VLOOKUP(BN179,Selects!$J$4:$K$1000,2,0),"")</f>
        <v/>
      </c>
      <c r="BP179" s="76"/>
      <c r="BQ179" s="59"/>
      <c r="BR179" s="77"/>
      <c r="BS179" s="59"/>
      <c r="BT179" s="77"/>
      <c r="BU179" s="58"/>
      <c r="BV179" s="58"/>
      <c r="BW179" s="58"/>
      <c r="BX179" s="58"/>
      <c r="BY179" s="58"/>
      <c r="BZ179" s="58"/>
      <c r="CA179" s="58"/>
      <c r="CB179" s="72" t="str">
        <f aca="false">IF(AC179&lt;&gt;"",VLOOKUP(AC179,Selects!$B:$E,4,0),"")</f>
        <v/>
      </c>
      <c r="CC179" s="58"/>
      <c r="CD179" s="58"/>
      <c r="CE179" s="58"/>
    </row>
    <row r="180" customFormat="false" ht="15.75" hidden="false" customHeight="true" outlineLevel="0" collapsed="false">
      <c r="A180" s="17"/>
      <c r="B180" s="58"/>
      <c r="C180" s="58"/>
      <c r="D180" s="59"/>
      <c r="E180" s="60" t="str">
        <f aca="false">IF(LEN(D180)=11,"PF",IF(LEN(D180)=14,"PJ",""))</f>
        <v/>
      </c>
      <c r="F180" s="59"/>
      <c r="G180" s="59"/>
      <c r="H180" s="61" t="str">
        <f aca="false">IF(G180&lt;&gt;"",VLOOKUP(G180,'Cnae  mcc  id'!$A:$M,9,0),"")</f>
        <v/>
      </c>
      <c r="I180" s="62"/>
      <c r="J180" s="63" t="str">
        <f aca="false">IF(I180&lt;&gt;"",VLOOKUP(I180,'Legal Nature'!$E$2:$G$84,3,0),"")</f>
        <v/>
      </c>
      <c r="K180" s="64"/>
      <c r="L180" s="65"/>
      <c r="M180" s="66"/>
      <c r="N180" s="66"/>
      <c r="O180" s="79"/>
      <c r="P180" s="26"/>
      <c r="Q180" s="58"/>
      <c r="R180" s="58"/>
      <c r="S180" s="58"/>
      <c r="T180" s="68" t="str">
        <f aca="false">IF(LEFT(S180,1)="9","Celular",IF(S180="","","Fixo"))</f>
        <v/>
      </c>
      <c r="U180" s="58" t="str">
        <f aca="false">IF( T180&lt;&gt;"",VLOOKUP(T180,Selects!$M$4:$N$1000,2,0),"")</f>
        <v/>
      </c>
      <c r="V180" s="26"/>
      <c r="W180" s="58"/>
      <c r="X180" s="58"/>
      <c r="Y180" s="58"/>
      <c r="Z180" s="58"/>
      <c r="AA180" s="69"/>
      <c r="AB180" s="58"/>
      <c r="AC180" s="58"/>
      <c r="AD180" s="70" t="str">
        <f aca="false">IF(AC180&lt;&gt;"",VLOOKUP(AC180,Selects!$B$4:$C$100,2,0),"")</f>
        <v/>
      </c>
      <c r="AE180" s="26"/>
      <c r="AF180" s="58"/>
      <c r="AG180" s="59"/>
      <c r="AH180" s="65"/>
      <c r="AI180" s="66"/>
      <c r="AJ180" s="66"/>
      <c r="AK180" s="58"/>
      <c r="AL180" s="58"/>
      <c r="AM180" s="68" t="str">
        <f aca="false">IF(LEFT(AL180,1)="9","Celular",IF(AL180="","","Fixo"))</f>
        <v/>
      </c>
      <c r="AN180" s="58" t="str">
        <f aca="false">IF( AM180&lt;&gt;"",VLOOKUP(AM180,Selects!$M$4:$N$1000,2,0),"")</f>
        <v/>
      </c>
      <c r="AO180" s="58"/>
      <c r="AP180" s="59"/>
      <c r="AQ180" s="65"/>
      <c r="AR180" s="58"/>
      <c r="AS180" s="58"/>
      <c r="AT180" s="26"/>
      <c r="AU180" s="58"/>
      <c r="AV180" s="58"/>
      <c r="AW180" s="58"/>
      <c r="AX180" s="58"/>
      <c r="AY180" s="71"/>
      <c r="AZ180" s="58"/>
      <c r="BA180" s="58"/>
      <c r="BB180" s="72" t="str">
        <f aca="false">IF(BA180&lt;&gt;"",VLOOKUP(BA180,Selects!$B$4:$C$100,2,0),"")</f>
        <v/>
      </c>
      <c r="BC180" s="26"/>
      <c r="BD180" s="26"/>
      <c r="BE180" s="73"/>
      <c r="BF180" s="74"/>
      <c r="BG180" s="75" t="str">
        <f aca="false">IF(LEN(BF180)=11,"PF",IF(LEN(BF180)=14,"PJ",""))</f>
        <v/>
      </c>
      <c r="BH180" s="66"/>
      <c r="BI180" s="58" t="str">
        <f aca="false">IF(BH180&lt;&gt;"",VLOOKUP(BH180,Selects!$G:$H,2,0),"")</f>
        <v/>
      </c>
      <c r="BJ180" s="58"/>
      <c r="BK180" s="58"/>
      <c r="BL180" s="59"/>
      <c r="BM180" s="58"/>
      <c r="BN180" s="58"/>
      <c r="BO180" s="58" t="str">
        <f aca="false">IF(BN180&lt;&gt;"",VLOOKUP(BN180,Selects!$J$4:$K$1000,2,0),"")</f>
        <v/>
      </c>
      <c r="BP180" s="76"/>
      <c r="BQ180" s="59"/>
      <c r="BR180" s="77"/>
      <c r="BS180" s="59"/>
      <c r="BT180" s="77"/>
      <c r="BU180" s="58"/>
      <c r="BV180" s="58"/>
      <c r="BW180" s="58"/>
      <c r="BX180" s="58"/>
      <c r="BY180" s="58"/>
      <c r="BZ180" s="58"/>
      <c r="CA180" s="58"/>
      <c r="CB180" s="72" t="str">
        <f aca="false">IF(AC180&lt;&gt;"",VLOOKUP(AC180,Selects!$B:$E,4,0),"")</f>
        <v/>
      </c>
      <c r="CC180" s="58"/>
      <c r="CD180" s="58"/>
      <c r="CE180" s="58"/>
    </row>
    <row r="181" customFormat="false" ht="15.75" hidden="false" customHeight="true" outlineLevel="0" collapsed="false">
      <c r="A181" s="17"/>
      <c r="B181" s="58"/>
      <c r="C181" s="58"/>
      <c r="D181" s="59"/>
      <c r="E181" s="60" t="str">
        <f aca="false">IF(LEN(D181)=11,"PF",IF(LEN(D181)=14,"PJ",""))</f>
        <v/>
      </c>
      <c r="F181" s="59"/>
      <c r="G181" s="59"/>
      <c r="H181" s="61" t="str">
        <f aca="false">IF(G181&lt;&gt;"",VLOOKUP(G181,'Cnae  mcc  id'!$A:$M,9,0),"")</f>
        <v/>
      </c>
      <c r="I181" s="62"/>
      <c r="J181" s="63" t="str">
        <f aca="false">IF(I181&lt;&gt;"",VLOOKUP(I181,'Legal Nature'!$E$2:$G$84,3,0),"")</f>
        <v/>
      </c>
      <c r="K181" s="64"/>
      <c r="L181" s="65"/>
      <c r="M181" s="66"/>
      <c r="N181" s="66"/>
      <c r="O181" s="79"/>
      <c r="P181" s="26"/>
      <c r="Q181" s="58"/>
      <c r="R181" s="58"/>
      <c r="S181" s="80"/>
      <c r="T181" s="68" t="str">
        <f aca="false">IF(LEFT(S181,1)="9","Celular",IF(S181="","","Fixo"))</f>
        <v/>
      </c>
      <c r="U181" s="58" t="str">
        <f aca="false">IF( T181&lt;&gt;"",VLOOKUP(T181,Selects!$M$4:$N$1000,2,0),"")</f>
        <v/>
      </c>
      <c r="V181" s="26"/>
      <c r="W181" s="58"/>
      <c r="X181" s="58"/>
      <c r="Y181" s="58"/>
      <c r="Z181" s="58"/>
      <c r="AA181" s="69"/>
      <c r="AB181" s="58"/>
      <c r="AC181" s="58"/>
      <c r="AD181" s="70" t="str">
        <f aca="false">IF(AC181&lt;&gt;"",VLOOKUP(AC181,Selects!$B$4:$C$100,2,0),"")</f>
        <v/>
      </c>
      <c r="AE181" s="26"/>
      <c r="AF181" s="58"/>
      <c r="AG181" s="59"/>
      <c r="AH181" s="65"/>
      <c r="AI181" s="66"/>
      <c r="AJ181" s="66"/>
      <c r="AK181" s="58"/>
      <c r="AL181" s="58"/>
      <c r="AM181" s="68" t="str">
        <f aca="false">IF(LEFT(AL181,1)="9","Celular",IF(AL181="","","Fixo"))</f>
        <v/>
      </c>
      <c r="AN181" s="58" t="str">
        <f aca="false">IF( AM181&lt;&gt;"",VLOOKUP(AM181,Selects!$M$4:$N$1000,2,0),"")</f>
        <v/>
      </c>
      <c r="AO181" s="58"/>
      <c r="AP181" s="59"/>
      <c r="AQ181" s="65"/>
      <c r="AR181" s="58"/>
      <c r="AS181" s="58"/>
      <c r="AT181" s="26"/>
      <c r="AU181" s="58"/>
      <c r="AV181" s="58"/>
      <c r="AW181" s="58"/>
      <c r="AX181" s="58"/>
      <c r="AY181" s="71"/>
      <c r="AZ181" s="58"/>
      <c r="BA181" s="58"/>
      <c r="BB181" s="72" t="str">
        <f aca="false">IF(BA181&lt;&gt;"",VLOOKUP(BA181,Selects!$B$4:$C$100,2,0),"")</f>
        <v/>
      </c>
      <c r="BC181" s="26"/>
      <c r="BD181" s="26"/>
      <c r="BE181" s="73"/>
      <c r="BF181" s="74"/>
      <c r="BG181" s="75" t="str">
        <f aca="false">IF(LEN(BF181)=11,"PF",IF(LEN(BF181)=14,"PJ",""))</f>
        <v/>
      </c>
      <c r="BH181" s="66"/>
      <c r="BI181" s="58" t="str">
        <f aca="false">IF(BH181&lt;&gt;"",VLOOKUP(BH181,Selects!$G:$H,2,0),"")</f>
        <v/>
      </c>
      <c r="BJ181" s="58"/>
      <c r="BK181" s="58"/>
      <c r="BL181" s="59"/>
      <c r="BM181" s="58"/>
      <c r="BN181" s="58"/>
      <c r="BO181" s="58" t="str">
        <f aca="false">IF(BN181&lt;&gt;"",VLOOKUP(BN181,Selects!$J$4:$K$1000,2,0),"")</f>
        <v/>
      </c>
      <c r="BP181" s="76"/>
      <c r="BQ181" s="59"/>
      <c r="BR181" s="77"/>
      <c r="BS181" s="59"/>
      <c r="BT181" s="77"/>
      <c r="BU181" s="58"/>
      <c r="BV181" s="58"/>
      <c r="BW181" s="58"/>
      <c r="BX181" s="58"/>
      <c r="BY181" s="58"/>
      <c r="BZ181" s="58"/>
      <c r="CA181" s="58"/>
      <c r="CB181" s="72" t="str">
        <f aca="false">IF(AC181&lt;&gt;"",VLOOKUP(AC181,Selects!$B:$E,4,0),"")</f>
        <v/>
      </c>
      <c r="CC181" s="58"/>
      <c r="CD181" s="58"/>
      <c r="CE181" s="58"/>
    </row>
    <row r="182" customFormat="false" ht="15.75" hidden="false" customHeight="true" outlineLevel="0" collapsed="false">
      <c r="A182" s="17"/>
      <c r="B182" s="58"/>
      <c r="C182" s="58"/>
      <c r="D182" s="59"/>
      <c r="E182" s="60" t="str">
        <f aca="false">IF(LEN(D182)=11,"PF",IF(LEN(D182)=14,"PJ",""))</f>
        <v/>
      </c>
      <c r="F182" s="59"/>
      <c r="G182" s="59"/>
      <c r="H182" s="61" t="str">
        <f aca="false">IF(G182&lt;&gt;"",VLOOKUP(G182,'Cnae  mcc  id'!$A:$M,9,0),"")</f>
        <v/>
      </c>
      <c r="I182" s="62"/>
      <c r="J182" s="63" t="str">
        <f aca="false">IF(I182&lt;&gt;"",VLOOKUP(I182,'Legal Nature'!$E$2:$G$84,3,0),"")</f>
        <v/>
      </c>
      <c r="K182" s="64"/>
      <c r="L182" s="65"/>
      <c r="M182" s="66"/>
      <c r="N182" s="66"/>
      <c r="O182" s="79"/>
      <c r="P182" s="26"/>
      <c r="Q182" s="58"/>
      <c r="R182" s="58"/>
      <c r="S182" s="80"/>
      <c r="T182" s="68" t="str">
        <f aca="false">IF(LEFT(S182,1)="9","Celular",IF(S182="","","Fixo"))</f>
        <v/>
      </c>
      <c r="U182" s="58" t="str">
        <f aca="false">IF( T182&lt;&gt;"",VLOOKUP(T182,Selects!$M$4:$N$1000,2,0),"")</f>
        <v/>
      </c>
      <c r="V182" s="26"/>
      <c r="W182" s="58"/>
      <c r="X182" s="58"/>
      <c r="Y182" s="58"/>
      <c r="Z182" s="58"/>
      <c r="AA182" s="69"/>
      <c r="AB182" s="58"/>
      <c r="AC182" s="58"/>
      <c r="AD182" s="70" t="str">
        <f aca="false">IF(AC182&lt;&gt;"",VLOOKUP(AC182,Selects!$B$4:$C$100,2,0),"")</f>
        <v/>
      </c>
      <c r="AE182" s="26"/>
      <c r="AF182" s="58"/>
      <c r="AG182" s="59"/>
      <c r="AH182" s="65"/>
      <c r="AI182" s="66"/>
      <c r="AJ182" s="66"/>
      <c r="AK182" s="58"/>
      <c r="AL182" s="58"/>
      <c r="AM182" s="68" t="str">
        <f aca="false">IF(LEFT(AL182,1)="9","Celular",IF(AL182="","","Fixo"))</f>
        <v/>
      </c>
      <c r="AN182" s="58" t="str">
        <f aca="false">IF( AM182&lt;&gt;"",VLOOKUP(AM182,Selects!$M$4:$N$1000,2,0),"")</f>
        <v/>
      </c>
      <c r="AO182" s="58"/>
      <c r="AP182" s="59"/>
      <c r="AQ182" s="65"/>
      <c r="AR182" s="58"/>
      <c r="AS182" s="58"/>
      <c r="AT182" s="26"/>
      <c r="AU182" s="58"/>
      <c r="AV182" s="58"/>
      <c r="AW182" s="58"/>
      <c r="AX182" s="58"/>
      <c r="AY182" s="71"/>
      <c r="AZ182" s="58"/>
      <c r="BA182" s="58"/>
      <c r="BB182" s="72" t="str">
        <f aca="false">IF(BA182&lt;&gt;"",VLOOKUP(BA182,Selects!$B$4:$C$100,2,0),"")</f>
        <v/>
      </c>
      <c r="BC182" s="26"/>
      <c r="BD182" s="26"/>
      <c r="BE182" s="73"/>
      <c r="BF182" s="74"/>
      <c r="BG182" s="75" t="str">
        <f aca="false">IF(LEN(BF182)=11,"PF",IF(LEN(BF182)=14,"PJ",""))</f>
        <v/>
      </c>
      <c r="BH182" s="66"/>
      <c r="BI182" s="58" t="str">
        <f aca="false">IF(BH182&lt;&gt;"",VLOOKUP(BH182,Selects!$G:$H,2,0),"")</f>
        <v/>
      </c>
      <c r="BJ182" s="58"/>
      <c r="BK182" s="58"/>
      <c r="BL182" s="59"/>
      <c r="BM182" s="58"/>
      <c r="BN182" s="58"/>
      <c r="BO182" s="58" t="str">
        <f aca="false">IF(BN182&lt;&gt;"",VLOOKUP(BN182,Selects!$J$4:$K$1000,2,0),"")</f>
        <v/>
      </c>
      <c r="BP182" s="76"/>
      <c r="BQ182" s="59"/>
      <c r="BR182" s="77"/>
      <c r="BS182" s="59"/>
      <c r="BT182" s="77"/>
      <c r="BU182" s="58"/>
      <c r="BV182" s="58"/>
      <c r="BW182" s="58"/>
      <c r="BX182" s="58"/>
      <c r="BY182" s="58"/>
      <c r="BZ182" s="58"/>
      <c r="CA182" s="58"/>
      <c r="CB182" s="72" t="str">
        <f aca="false">IF(AC182&lt;&gt;"",VLOOKUP(AC182,Selects!$B:$E,4,0),"")</f>
        <v/>
      </c>
      <c r="CC182" s="58"/>
      <c r="CD182" s="58"/>
      <c r="CE182" s="58"/>
    </row>
    <row r="183" customFormat="false" ht="15.75" hidden="false" customHeight="true" outlineLevel="0" collapsed="false">
      <c r="A183" s="17"/>
      <c r="B183" s="58"/>
      <c r="C183" s="58"/>
      <c r="D183" s="59"/>
      <c r="E183" s="60" t="str">
        <f aca="false">IF(LEN(D183)=11,"PF",IF(LEN(D183)=14,"PJ",""))</f>
        <v/>
      </c>
      <c r="F183" s="59"/>
      <c r="G183" s="59"/>
      <c r="H183" s="61" t="str">
        <f aca="false">IF(G183&lt;&gt;"",VLOOKUP(G183,'Cnae  mcc  id'!$A:$M,9,0),"")</f>
        <v/>
      </c>
      <c r="I183" s="62"/>
      <c r="J183" s="63" t="str">
        <f aca="false">IF(I183&lt;&gt;"",VLOOKUP(I183,'Legal Nature'!$E$2:$G$84,3,0),"")</f>
        <v/>
      </c>
      <c r="K183" s="64"/>
      <c r="L183" s="65"/>
      <c r="M183" s="66"/>
      <c r="N183" s="66"/>
      <c r="O183" s="79"/>
      <c r="P183" s="26"/>
      <c r="Q183" s="58"/>
      <c r="R183" s="58"/>
      <c r="S183" s="80"/>
      <c r="T183" s="68" t="str">
        <f aca="false">IF(LEFT(S183,1)="9","Celular",IF(S183="","","Fixo"))</f>
        <v/>
      </c>
      <c r="U183" s="58" t="str">
        <f aca="false">IF( T183&lt;&gt;"",VLOOKUP(T183,Selects!$M$4:$N$1000,2,0),"")</f>
        <v/>
      </c>
      <c r="V183" s="26"/>
      <c r="W183" s="58"/>
      <c r="X183" s="58"/>
      <c r="Y183" s="58"/>
      <c r="Z183" s="58"/>
      <c r="AA183" s="69"/>
      <c r="AB183" s="58"/>
      <c r="AC183" s="58"/>
      <c r="AD183" s="70" t="str">
        <f aca="false">IF(AC183&lt;&gt;"",VLOOKUP(AC183,Selects!$B$4:$C$100,2,0),"")</f>
        <v/>
      </c>
      <c r="AE183" s="26"/>
      <c r="AF183" s="58"/>
      <c r="AG183" s="59"/>
      <c r="AH183" s="65"/>
      <c r="AI183" s="66"/>
      <c r="AJ183" s="66"/>
      <c r="AK183" s="58"/>
      <c r="AL183" s="58"/>
      <c r="AM183" s="68" t="str">
        <f aca="false">IF(LEFT(AL183,1)="9","Celular",IF(AL183="","","Fixo"))</f>
        <v/>
      </c>
      <c r="AN183" s="58" t="str">
        <f aca="false">IF( AM183&lt;&gt;"",VLOOKUP(AM183,Selects!$M$4:$N$1000,2,0),"")</f>
        <v/>
      </c>
      <c r="AO183" s="58"/>
      <c r="AP183" s="59"/>
      <c r="AQ183" s="65"/>
      <c r="AR183" s="58"/>
      <c r="AS183" s="58"/>
      <c r="AT183" s="26"/>
      <c r="AU183" s="58"/>
      <c r="AV183" s="58"/>
      <c r="AW183" s="58"/>
      <c r="AX183" s="58"/>
      <c r="AY183" s="71"/>
      <c r="AZ183" s="58"/>
      <c r="BA183" s="58"/>
      <c r="BB183" s="72" t="str">
        <f aca="false">IF(BA183&lt;&gt;"",VLOOKUP(BA183,Selects!$B$4:$C$100,2,0),"")</f>
        <v/>
      </c>
      <c r="BC183" s="26"/>
      <c r="BD183" s="26"/>
      <c r="BE183" s="73"/>
      <c r="BF183" s="74"/>
      <c r="BG183" s="75" t="str">
        <f aca="false">IF(LEN(BF183)=11,"PF",IF(LEN(BF183)=14,"PJ",""))</f>
        <v/>
      </c>
      <c r="BH183" s="66"/>
      <c r="BI183" s="58" t="str">
        <f aca="false">IF(BH183&lt;&gt;"",VLOOKUP(BH183,Selects!$G:$H,2,0),"")</f>
        <v/>
      </c>
      <c r="BJ183" s="58"/>
      <c r="BK183" s="58"/>
      <c r="BL183" s="59"/>
      <c r="BM183" s="58"/>
      <c r="BN183" s="58"/>
      <c r="BO183" s="58" t="str">
        <f aca="false">IF(BN183&lt;&gt;"",VLOOKUP(BN183,Selects!$J$4:$K$1000,2,0),"")</f>
        <v/>
      </c>
      <c r="BP183" s="76"/>
      <c r="BQ183" s="59"/>
      <c r="BR183" s="77"/>
      <c r="BS183" s="59"/>
      <c r="BT183" s="77"/>
      <c r="BU183" s="58"/>
      <c r="BV183" s="58"/>
      <c r="BW183" s="58"/>
      <c r="BX183" s="58"/>
      <c r="BY183" s="58"/>
      <c r="BZ183" s="58"/>
      <c r="CA183" s="58"/>
      <c r="CB183" s="72" t="str">
        <f aca="false">IF(AC183&lt;&gt;"",VLOOKUP(AC183,Selects!$B:$E,4,0),"")</f>
        <v/>
      </c>
      <c r="CC183" s="58"/>
      <c r="CD183" s="58"/>
      <c r="CE183" s="58"/>
    </row>
    <row r="184" customFormat="false" ht="15.75" hidden="false" customHeight="true" outlineLevel="0" collapsed="false">
      <c r="A184" s="17"/>
      <c r="B184" s="58"/>
      <c r="C184" s="58"/>
      <c r="D184" s="59"/>
      <c r="E184" s="60" t="str">
        <f aca="false">IF(LEN(D184)=11,"PF",IF(LEN(D184)=14,"PJ",""))</f>
        <v/>
      </c>
      <c r="F184" s="59"/>
      <c r="G184" s="59"/>
      <c r="H184" s="61" t="str">
        <f aca="false">IF(G184&lt;&gt;"",VLOOKUP(G184,'Cnae  mcc  id'!$A:$M,9,0),"")</f>
        <v/>
      </c>
      <c r="I184" s="62"/>
      <c r="J184" s="63" t="str">
        <f aca="false">IF(I184&lt;&gt;"",VLOOKUP(I184,'Legal Nature'!$E$2:$G$84,3,0),"")</f>
        <v/>
      </c>
      <c r="K184" s="64"/>
      <c r="L184" s="65"/>
      <c r="M184" s="66"/>
      <c r="N184" s="66"/>
      <c r="O184" s="79"/>
      <c r="P184" s="26"/>
      <c r="Q184" s="58"/>
      <c r="R184" s="58"/>
      <c r="S184" s="80"/>
      <c r="T184" s="68" t="str">
        <f aca="false">IF(LEFT(S184,1)="9","Celular",IF(S184="","","Fixo"))</f>
        <v/>
      </c>
      <c r="U184" s="58" t="str">
        <f aca="false">IF( T184&lt;&gt;"",VLOOKUP(T184,Selects!$M$4:$N$1000,2,0),"")</f>
        <v/>
      </c>
      <c r="V184" s="26"/>
      <c r="W184" s="58"/>
      <c r="X184" s="58"/>
      <c r="Y184" s="58"/>
      <c r="Z184" s="58"/>
      <c r="AA184" s="69"/>
      <c r="AB184" s="58"/>
      <c r="AC184" s="58"/>
      <c r="AD184" s="70" t="str">
        <f aca="false">IF(AC184&lt;&gt;"",VLOOKUP(AC184,Selects!$B$4:$C$100,2,0),"")</f>
        <v/>
      </c>
      <c r="AE184" s="26"/>
      <c r="AF184" s="58"/>
      <c r="AG184" s="59"/>
      <c r="AH184" s="65"/>
      <c r="AI184" s="66"/>
      <c r="AJ184" s="66"/>
      <c r="AK184" s="58"/>
      <c r="AL184" s="58"/>
      <c r="AM184" s="68" t="str">
        <f aca="false">IF(LEFT(AL184,1)="9","Celular",IF(AL184="","","Fixo"))</f>
        <v/>
      </c>
      <c r="AN184" s="58" t="str">
        <f aca="false">IF( AM184&lt;&gt;"",VLOOKUP(AM184,Selects!$M$4:$N$1000,2,0),"")</f>
        <v/>
      </c>
      <c r="AO184" s="58"/>
      <c r="AP184" s="59"/>
      <c r="AQ184" s="65"/>
      <c r="AR184" s="58"/>
      <c r="AS184" s="58"/>
      <c r="AT184" s="26"/>
      <c r="AU184" s="58"/>
      <c r="AV184" s="58"/>
      <c r="AW184" s="58"/>
      <c r="AX184" s="58"/>
      <c r="AY184" s="71"/>
      <c r="AZ184" s="58"/>
      <c r="BA184" s="58"/>
      <c r="BB184" s="72" t="str">
        <f aca="false">IF(BA184&lt;&gt;"",VLOOKUP(BA184,Selects!$B$4:$C$100,2,0),"")</f>
        <v/>
      </c>
      <c r="BC184" s="26"/>
      <c r="BD184" s="26"/>
      <c r="BE184" s="73"/>
      <c r="BF184" s="74"/>
      <c r="BG184" s="75" t="str">
        <f aca="false">IF(LEN(BF184)=11,"PF",IF(LEN(BF184)=14,"PJ",""))</f>
        <v/>
      </c>
      <c r="BH184" s="66"/>
      <c r="BI184" s="58" t="str">
        <f aca="false">IF(BH184&lt;&gt;"",VLOOKUP(BH184,Selects!$G:$H,2,0),"")</f>
        <v/>
      </c>
      <c r="BJ184" s="58"/>
      <c r="BK184" s="58"/>
      <c r="BL184" s="59"/>
      <c r="BM184" s="58"/>
      <c r="BN184" s="58"/>
      <c r="BO184" s="58" t="str">
        <f aca="false">IF(BN184&lt;&gt;"",VLOOKUP(BN184,Selects!$J$4:$K$1000,2,0),"")</f>
        <v/>
      </c>
      <c r="BP184" s="76"/>
      <c r="BQ184" s="59"/>
      <c r="BR184" s="77"/>
      <c r="BS184" s="59"/>
      <c r="BT184" s="77"/>
      <c r="BU184" s="58"/>
      <c r="BV184" s="58"/>
      <c r="BW184" s="58"/>
      <c r="BX184" s="58"/>
      <c r="BY184" s="58"/>
      <c r="BZ184" s="58"/>
      <c r="CA184" s="58"/>
      <c r="CB184" s="72" t="str">
        <f aca="false">IF(AC184&lt;&gt;"",VLOOKUP(AC184,Selects!$B:$E,4,0),"")</f>
        <v/>
      </c>
      <c r="CC184" s="58"/>
      <c r="CD184" s="58"/>
      <c r="CE184" s="58"/>
    </row>
    <row r="185" customFormat="false" ht="15.75" hidden="false" customHeight="true" outlineLevel="0" collapsed="false">
      <c r="A185" s="17"/>
      <c r="B185" s="58"/>
      <c r="C185" s="58"/>
      <c r="D185" s="59"/>
      <c r="E185" s="60" t="str">
        <f aca="false">IF(LEN(D185)=11,"PF",IF(LEN(D185)=14,"PJ",""))</f>
        <v/>
      </c>
      <c r="F185" s="59"/>
      <c r="G185" s="59"/>
      <c r="H185" s="61" t="str">
        <f aca="false">IF(G185&lt;&gt;"",VLOOKUP(G185,'Cnae  mcc  id'!$A:$M,9,0),"")</f>
        <v/>
      </c>
      <c r="I185" s="62"/>
      <c r="J185" s="63" t="str">
        <f aca="false">IF(I185&lt;&gt;"",VLOOKUP(I185,'Legal Nature'!$E$2:$G$84,3,0),"")</f>
        <v/>
      </c>
      <c r="K185" s="64"/>
      <c r="L185" s="65"/>
      <c r="M185" s="66"/>
      <c r="N185" s="66"/>
      <c r="O185" s="79"/>
      <c r="P185" s="26"/>
      <c r="Q185" s="58"/>
      <c r="R185" s="58"/>
      <c r="S185" s="80"/>
      <c r="T185" s="68" t="str">
        <f aca="false">IF(LEFT(S185,1)="9","Celular",IF(S185="","","Fixo"))</f>
        <v/>
      </c>
      <c r="U185" s="58" t="str">
        <f aca="false">IF( T185&lt;&gt;"",VLOOKUP(T185,Selects!$M$4:$N$1000,2,0),"")</f>
        <v/>
      </c>
      <c r="V185" s="26"/>
      <c r="W185" s="58"/>
      <c r="X185" s="58"/>
      <c r="Y185" s="58"/>
      <c r="Z185" s="58"/>
      <c r="AA185" s="69"/>
      <c r="AB185" s="58"/>
      <c r="AC185" s="58"/>
      <c r="AD185" s="70" t="str">
        <f aca="false">IF(AC185&lt;&gt;"",VLOOKUP(AC185,Selects!$B$4:$C$100,2,0),"")</f>
        <v/>
      </c>
      <c r="AE185" s="26"/>
      <c r="AF185" s="58"/>
      <c r="AG185" s="59"/>
      <c r="AH185" s="65"/>
      <c r="AI185" s="66"/>
      <c r="AJ185" s="66"/>
      <c r="AK185" s="58"/>
      <c r="AL185" s="58"/>
      <c r="AM185" s="68" t="str">
        <f aca="false">IF(LEFT(AL185,1)="9","Celular",IF(AL185="","","Fixo"))</f>
        <v/>
      </c>
      <c r="AN185" s="58" t="str">
        <f aca="false">IF( AM185&lt;&gt;"",VLOOKUP(AM185,Selects!$M$4:$N$1000,2,0),"")</f>
        <v/>
      </c>
      <c r="AO185" s="58"/>
      <c r="AP185" s="59"/>
      <c r="AQ185" s="65"/>
      <c r="AR185" s="58"/>
      <c r="AS185" s="58"/>
      <c r="AT185" s="26"/>
      <c r="AU185" s="58"/>
      <c r="AV185" s="58"/>
      <c r="AW185" s="58"/>
      <c r="AX185" s="58"/>
      <c r="AY185" s="71"/>
      <c r="AZ185" s="58"/>
      <c r="BA185" s="58"/>
      <c r="BB185" s="72" t="str">
        <f aca="false">IF(BA185&lt;&gt;"",VLOOKUP(BA185,Selects!$B$4:$C$100,2,0),"")</f>
        <v/>
      </c>
      <c r="BC185" s="26"/>
      <c r="BD185" s="26"/>
      <c r="BE185" s="73"/>
      <c r="BF185" s="74"/>
      <c r="BG185" s="75" t="str">
        <f aca="false">IF(LEN(BF185)=11,"PF",IF(LEN(BF185)=14,"PJ",""))</f>
        <v/>
      </c>
      <c r="BH185" s="66"/>
      <c r="BI185" s="58" t="str">
        <f aca="false">IF(BH185&lt;&gt;"",VLOOKUP(BH185,Selects!$G:$H,2,0),"")</f>
        <v/>
      </c>
      <c r="BJ185" s="58"/>
      <c r="BK185" s="58"/>
      <c r="BL185" s="59"/>
      <c r="BM185" s="58"/>
      <c r="BN185" s="58"/>
      <c r="BO185" s="58" t="str">
        <f aca="false">IF(BN185&lt;&gt;"",VLOOKUP(BN185,Selects!$J$4:$K$1000,2,0),"")</f>
        <v/>
      </c>
      <c r="BP185" s="76"/>
      <c r="BQ185" s="59"/>
      <c r="BR185" s="77"/>
      <c r="BS185" s="59"/>
      <c r="BT185" s="77"/>
      <c r="BU185" s="58"/>
      <c r="BV185" s="58"/>
      <c r="BW185" s="58"/>
      <c r="BX185" s="58"/>
      <c r="BY185" s="58"/>
      <c r="BZ185" s="58"/>
      <c r="CA185" s="58"/>
      <c r="CB185" s="72" t="str">
        <f aca="false">IF(AC185&lt;&gt;"",VLOOKUP(AC185,Selects!$B:$E,4,0),"")</f>
        <v/>
      </c>
      <c r="CC185" s="58"/>
      <c r="CD185" s="58"/>
      <c r="CE185" s="58"/>
    </row>
    <row r="186" customFormat="false" ht="15.75" hidden="false" customHeight="true" outlineLevel="0" collapsed="false">
      <c r="A186" s="17"/>
      <c r="B186" s="58"/>
      <c r="C186" s="58"/>
      <c r="D186" s="59"/>
      <c r="E186" s="60" t="str">
        <f aca="false">IF(LEN(D186)=11,"PF",IF(LEN(D186)=14,"PJ",""))</f>
        <v/>
      </c>
      <c r="F186" s="59"/>
      <c r="G186" s="59"/>
      <c r="H186" s="61" t="str">
        <f aca="false">IF(G186&lt;&gt;"",VLOOKUP(G186,'Cnae  mcc  id'!$A:$M,9,0),"")</f>
        <v/>
      </c>
      <c r="I186" s="62"/>
      <c r="J186" s="63" t="str">
        <f aca="false">IF(I186&lt;&gt;"",VLOOKUP(I186,'Legal Nature'!$E$2:$G$84,3,0),"")</f>
        <v/>
      </c>
      <c r="K186" s="64"/>
      <c r="L186" s="65"/>
      <c r="M186" s="66"/>
      <c r="N186" s="66"/>
      <c r="O186" s="79"/>
      <c r="P186" s="26"/>
      <c r="Q186" s="58"/>
      <c r="R186" s="58"/>
      <c r="S186" s="80"/>
      <c r="T186" s="68" t="str">
        <f aca="false">IF(LEFT(S186,1)="9","Celular",IF(S186="","","Fixo"))</f>
        <v/>
      </c>
      <c r="U186" s="58" t="str">
        <f aca="false">IF( T186&lt;&gt;"",VLOOKUP(T186,Selects!$M$4:$N$1000,2,0),"")</f>
        <v/>
      </c>
      <c r="V186" s="26"/>
      <c r="W186" s="58"/>
      <c r="X186" s="58"/>
      <c r="Y186" s="58"/>
      <c r="Z186" s="58"/>
      <c r="AA186" s="69"/>
      <c r="AB186" s="58"/>
      <c r="AC186" s="58"/>
      <c r="AD186" s="70" t="str">
        <f aca="false">IF(AC186&lt;&gt;"",VLOOKUP(AC186,Selects!$B$4:$C$100,2,0),"")</f>
        <v/>
      </c>
      <c r="AE186" s="26"/>
      <c r="AF186" s="58"/>
      <c r="AG186" s="59"/>
      <c r="AH186" s="65"/>
      <c r="AI186" s="66"/>
      <c r="AJ186" s="66"/>
      <c r="AK186" s="58"/>
      <c r="AL186" s="58"/>
      <c r="AM186" s="68" t="str">
        <f aca="false">IF(LEFT(AL186,1)="9","Celular",IF(AL186="","","Fixo"))</f>
        <v/>
      </c>
      <c r="AN186" s="58" t="str">
        <f aca="false">IF( AM186&lt;&gt;"",VLOOKUP(AM186,Selects!$M$4:$N$1000,2,0),"")</f>
        <v/>
      </c>
      <c r="AO186" s="58"/>
      <c r="AP186" s="59"/>
      <c r="AQ186" s="65"/>
      <c r="AR186" s="58"/>
      <c r="AS186" s="58"/>
      <c r="AT186" s="26"/>
      <c r="AU186" s="58"/>
      <c r="AV186" s="58"/>
      <c r="AW186" s="58"/>
      <c r="AX186" s="58"/>
      <c r="AY186" s="71"/>
      <c r="AZ186" s="58"/>
      <c r="BA186" s="58"/>
      <c r="BB186" s="72" t="str">
        <f aca="false">IF(BA186&lt;&gt;"",VLOOKUP(BA186,Selects!$B$4:$C$100,2,0),"")</f>
        <v/>
      </c>
      <c r="BC186" s="26"/>
      <c r="BD186" s="26"/>
      <c r="BE186" s="73"/>
      <c r="BF186" s="74"/>
      <c r="BG186" s="75" t="str">
        <f aca="false">IF(LEN(BF186)=11,"PF",IF(LEN(BF186)=14,"PJ",""))</f>
        <v/>
      </c>
      <c r="BH186" s="66"/>
      <c r="BI186" s="58" t="str">
        <f aca="false">IF(BH186&lt;&gt;"",VLOOKUP(BH186,Selects!$G:$H,2,0),"")</f>
        <v/>
      </c>
      <c r="BJ186" s="58"/>
      <c r="BK186" s="58"/>
      <c r="BL186" s="59"/>
      <c r="BM186" s="58"/>
      <c r="BN186" s="58"/>
      <c r="BO186" s="58" t="str">
        <f aca="false">IF(BN186&lt;&gt;"",VLOOKUP(BN186,Selects!$J$4:$K$1000,2,0),"")</f>
        <v/>
      </c>
      <c r="BP186" s="76"/>
      <c r="BQ186" s="59"/>
      <c r="BR186" s="77"/>
      <c r="BS186" s="59"/>
      <c r="BT186" s="77"/>
      <c r="BU186" s="58"/>
      <c r="BV186" s="58"/>
      <c r="BW186" s="58"/>
      <c r="BX186" s="58"/>
      <c r="BY186" s="58"/>
      <c r="BZ186" s="58"/>
      <c r="CA186" s="58"/>
      <c r="CB186" s="72" t="str">
        <f aca="false">IF(AC186&lt;&gt;"",VLOOKUP(AC186,Selects!$B:$E,4,0),"")</f>
        <v/>
      </c>
      <c r="CC186" s="58"/>
      <c r="CD186" s="58"/>
      <c r="CE186" s="58"/>
    </row>
    <row r="187" customFormat="false" ht="15.75" hidden="false" customHeight="true" outlineLevel="0" collapsed="false">
      <c r="A187" s="17"/>
      <c r="B187" s="58"/>
      <c r="C187" s="58"/>
      <c r="D187" s="59"/>
      <c r="E187" s="60" t="str">
        <f aca="false">IF(LEN(D187)=11,"PF",IF(LEN(D187)=14,"PJ",""))</f>
        <v/>
      </c>
      <c r="F187" s="59"/>
      <c r="G187" s="59"/>
      <c r="H187" s="61" t="str">
        <f aca="false">IF(G187&lt;&gt;"",VLOOKUP(G187,'Cnae  mcc  id'!$A:$M,9,0),"")</f>
        <v/>
      </c>
      <c r="I187" s="62"/>
      <c r="J187" s="63" t="str">
        <f aca="false">IF(I187&lt;&gt;"",VLOOKUP(I187,'Legal Nature'!$E$2:$G$84,3,0),"")</f>
        <v/>
      </c>
      <c r="K187" s="64"/>
      <c r="L187" s="65"/>
      <c r="M187" s="66"/>
      <c r="N187" s="66"/>
      <c r="O187" s="79"/>
      <c r="P187" s="26"/>
      <c r="Q187" s="58"/>
      <c r="R187" s="58"/>
      <c r="S187" s="80"/>
      <c r="T187" s="68" t="str">
        <f aca="false">IF(LEFT(S187,1)="9","Celular",IF(S187="","","Fixo"))</f>
        <v/>
      </c>
      <c r="U187" s="58" t="str">
        <f aca="false">IF( T187&lt;&gt;"",VLOOKUP(T187,Selects!$M$4:$N$1000,2,0),"")</f>
        <v/>
      </c>
      <c r="V187" s="26"/>
      <c r="W187" s="58"/>
      <c r="X187" s="58"/>
      <c r="Y187" s="58"/>
      <c r="Z187" s="58"/>
      <c r="AA187" s="69"/>
      <c r="AB187" s="58"/>
      <c r="AC187" s="58"/>
      <c r="AD187" s="70" t="str">
        <f aca="false">IF(AC187&lt;&gt;"",VLOOKUP(AC187,Selects!$B$4:$C$100,2,0),"")</f>
        <v/>
      </c>
      <c r="AE187" s="26"/>
      <c r="AF187" s="58"/>
      <c r="AG187" s="59"/>
      <c r="AH187" s="65"/>
      <c r="AI187" s="66"/>
      <c r="AJ187" s="66"/>
      <c r="AK187" s="58"/>
      <c r="AL187" s="58"/>
      <c r="AM187" s="68" t="str">
        <f aca="false">IF(LEFT(AL187,1)="9","Celular",IF(AL187="","","Fixo"))</f>
        <v/>
      </c>
      <c r="AN187" s="58" t="str">
        <f aca="false">IF( AM187&lt;&gt;"",VLOOKUP(AM187,Selects!$M$4:$N$1000,2,0),"")</f>
        <v/>
      </c>
      <c r="AO187" s="58"/>
      <c r="AP187" s="59"/>
      <c r="AQ187" s="65"/>
      <c r="AR187" s="58"/>
      <c r="AS187" s="58"/>
      <c r="AT187" s="26"/>
      <c r="AU187" s="58"/>
      <c r="AV187" s="58"/>
      <c r="AW187" s="58"/>
      <c r="AX187" s="58"/>
      <c r="AY187" s="71"/>
      <c r="AZ187" s="58"/>
      <c r="BA187" s="58"/>
      <c r="BB187" s="72" t="str">
        <f aca="false">IF(BA187&lt;&gt;"",VLOOKUP(BA187,Selects!$B$4:$C$100,2,0),"")</f>
        <v/>
      </c>
      <c r="BC187" s="26"/>
      <c r="BD187" s="26"/>
      <c r="BE187" s="73"/>
      <c r="BF187" s="74"/>
      <c r="BG187" s="75" t="str">
        <f aca="false">IF(LEN(BF187)=11,"PF",IF(LEN(BF187)=14,"PJ",""))</f>
        <v/>
      </c>
      <c r="BH187" s="66"/>
      <c r="BI187" s="58" t="str">
        <f aca="false">IF(BH187&lt;&gt;"",VLOOKUP(BH187,Selects!$G:$H,2,0),"")</f>
        <v/>
      </c>
      <c r="BJ187" s="58"/>
      <c r="BK187" s="58"/>
      <c r="BL187" s="59"/>
      <c r="BM187" s="58"/>
      <c r="BN187" s="58"/>
      <c r="BO187" s="58" t="str">
        <f aca="false">IF(BN187&lt;&gt;"",VLOOKUP(BN187,Selects!$J$4:$K$1000,2,0),"")</f>
        <v/>
      </c>
      <c r="BP187" s="76"/>
      <c r="BQ187" s="59"/>
      <c r="BR187" s="77"/>
      <c r="BS187" s="59"/>
      <c r="BT187" s="77"/>
      <c r="BU187" s="58"/>
      <c r="BV187" s="58"/>
      <c r="BW187" s="58"/>
      <c r="BX187" s="58"/>
      <c r="BY187" s="58"/>
      <c r="BZ187" s="58"/>
      <c r="CA187" s="58"/>
      <c r="CB187" s="72" t="str">
        <f aca="false">IF(AC187&lt;&gt;"",VLOOKUP(AC187,Selects!$B:$E,4,0),"")</f>
        <v/>
      </c>
      <c r="CC187" s="58"/>
      <c r="CD187" s="58"/>
      <c r="CE187" s="58"/>
    </row>
    <row r="188" customFormat="false" ht="15.75" hidden="false" customHeight="true" outlineLevel="0" collapsed="false">
      <c r="A188" s="17"/>
      <c r="B188" s="58"/>
      <c r="C188" s="58"/>
      <c r="D188" s="59"/>
      <c r="E188" s="60" t="str">
        <f aca="false">IF(LEN(D188)=11,"PF",IF(LEN(D188)=14,"PJ",""))</f>
        <v/>
      </c>
      <c r="F188" s="59"/>
      <c r="G188" s="59"/>
      <c r="H188" s="61" t="str">
        <f aca="false">IF(G188&lt;&gt;"",VLOOKUP(G188,'Cnae  mcc  id'!$A:$M,9,0),"")</f>
        <v/>
      </c>
      <c r="I188" s="62"/>
      <c r="J188" s="63" t="str">
        <f aca="false">IF(I188&lt;&gt;"",VLOOKUP(I188,'Legal Nature'!$E$2:$G$84,3,0),"")</f>
        <v/>
      </c>
      <c r="K188" s="64"/>
      <c r="L188" s="65"/>
      <c r="M188" s="66"/>
      <c r="N188" s="66"/>
      <c r="O188" s="79"/>
      <c r="P188" s="26"/>
      <c r="Q188" s="58"/>
      <c r="R188" s="58"/>
      <c r="S188" s="80"/>
      <c r="T188" s="68" t="str">
        <f aca="false">IF(LEFT(S188,1)="9","Celular",IF(S188="","","Fixo"))</f>
        <v/>
      </c>
      <c r="U188" s="58" t="str">
        <f aca="false">IF( T188&lt;&gt;"",VLOOKUP(T188,Selects!$M$4:$N$1000,2,0),"")</f>
        <v/>
      </c>
      <c r="V188" s="26"/>
      <c r="W188" s="58"/>
      <c r="X188" s="58"/>
      <c r="Y188" s="58"/>
      <c r="Z188" s="58"/>
      <c r="AA188" s="69"/>
      <c r="AB188" s="58"/>
      <c r="AC188" s="58"/>
      <c r="AD188" s="70" t="str">
        <f aca="false">IF(AC188&lt;&gt;"",VLOOKUP(AC188,Selects!$B$4:$C$100,2,0),"")</f>
        <v/>
      </c>
      <c r="AE188" s="26"/>
      <c r="AF188" s="58"/>
      <c r="AG188" s="59"/>
      <c r="AH188" s="65"/>
      <c r="AI188" s="66"/>
      <c r="AJ188" s="66"/>
      <c r="AK188" s="58"/>
      <c r="AL188" s="58"/>
      <c r="AM188" s="68" t="str">
        <f aca="false">IF(LEFT(AL188,1)="9","Celular",IF(AL188="","","Fixo"))</f>
        <v/>
      </c>
      <c r="AN188" s="58" t="str">
        <f aca="false">IF( AM188&lt;&gt;"",VLOOKUP(AM188,Selects!$M$4:$N$1000,2,0),"")</f>
        <v/>
      </c>
      <c r="AO188" s="58"/>
      <c r="AP188" s="59"/>
      <c r="AQ188" s="65"/>
      <c r="AR188" s="58"/>
      <c r="AS188" s="58"/>
      <c r="AT188" s="26"/>
      <c r="AU188" s="58"/>
      <c r="AV188" s="58"/>
      <c r="AW188" s="58"/>
      <c r="AX188" s="58"/>
      <c r="AY188" s="71"/>
      <c r="AZ188" s="58"/>
      <c r="BA188" s="58"/>
      <c r="BB188" s="72" t="str">
        <f aca="false">IF(BA188&lt;&gt;"",VLOOKUP(BA188,Selects!$B$4:$C$100,2,0),"")</f>
        <v/>
      </c>
      <c r="BC188" s="26"/>
      <c r="BD188" s="26"/>
      <c r="BE188" s="73"/>
      <c r="BF188" s="74"/>
      <c r="BG188" s="75" t="str">
        <f aca="false">IF(LEN(BF188)=11,"PF",IF(LEN(BF188)=14,"PJ",""))</f>
        <v/>
      </c>
      <c r="BH188" s="66"/>
      <c r="BI188" s="58" t="str">
        <f aca="false">IF(BH188&lt;&gt;"",VLOOKUP(BH188,Selects!$G:$H,2,0),"")</f>
        <v/>
      </c>
      <c r="BJ188" s="58"/>
      <c r="BK188" s="58"/>
      <c r="BL188" s="59"/>
      <c r="BM188" s="58"/>
      <c r="BN188" s="58"/>
      <c r="BO188" s="58" t="str">
        <f aca="false">IF(BN188&lt;&gt;"",VLOOKUP(BN188,Selects!$J$4:$K$1000,2,0),"")</f>
        <v/>
      </c>
      <c r="BP188" s="76"/>
      <c r="BQ188" s="59"/>
      <c r="BR188" s="77"/>
      <c r="BS188" s="59"/>
      <c r="BT188" s="77"/>
      <c r="BU188" s="58"/>
      <c r="BV188" s="58"/>
      <c r="BW188" s="58"/>
      <c r="BX188" s="58"/>
      <c r="BY188" s="58"/>
      <c r="BZ188" s="58"/>
      <c r="CA188" s="58"/>
      <c r="CB188" s="72" t="str">
        <f aca="false">IF(AC188&lt;&gt;"",VLOOKUP(AC188,Selects!$B:$E,4,0),"")</f>
        <v/>
      </c>
      <c r="CC188" s="58"/>
      <c r="CD188" s="58"/>
      <c r="CE188" s="58"/>
    </row>
    <row r="189" customFormat="false" ht="15.75" hidden="false" customHeight="true" outlineLevel="0" collapsed="false">
      <c r="A189" s="17"/>
      <c r="B189" s="58"/>
      <c r="C189" s="58"/>
      <c r="D189" s="59"/>
      <c r="E189" s="60" t="str">
        <f aca="false">IF(LEN(D189)=11,"PF",IF(LEN(D189)=14,"PJ",""))</f>
        <v/>
      </c>
      <c r="F189" s="59"/>
      <c r="G189" s="59"/>
      <c r="H189" s="61" t="str">
        <f aca="false">IF(G189&lt;&gt;"",VLOOKUP(G189,'Cnae  mcc  id'!$A:$M,9,0),"")</f>
        <v/>
      </c>
      <c r="I189" s="62"/>
      <c r="J189" s="63" t="str">
        <f aca="false">IF(I189&lt;&gt;"",VLOOKUP(I189,'Legal Nature'!$E$2:$G$84,3,0),"")</f>
        <v/>
      </c>
      <c r="K189" s="64"/>
      <c r="L189" s="65"/>
      <c r="M189" s="66"/>
      <c r="N189" s="66"/>
      <c r="O189" s="79"/>
      <c r="P189" s="26"/>
      <c r="Q189" s="58"/>
      <c r="R189" s="58"/>
      <c r="S189" s="80"/>
      <c r="T189" s="68" t="str">
        <f aca="false">IF(LEFT(S189,1)="9","Celular",IF(S189="","","Fixo"))</f>
        <v/>
      </c>
      <c r="U189" s="58" t="str">
        <f aca="false">IF( T189&lt;&gt;"",VLOOKUP(T189,Selects!$M$4:$N$1000,2,0),"")</f>
        <v/>
      </c>
      <c r="V189" s="26"/>
      <c r="W189" s="58"/>
      <c r="X189" s="58"/>
      <c r="Y189" s="58"/>
      <c r="Z189" s="58"/>
      <c r="AA189" s="69"/>
      <c r="AB189" s="58"/>
      <c r="AC189" s="58"/>
      <c r="AD189" s="70" t="str">
        <f aca="false">IF(AC189&lt;&gt;"",VLOOKUP(AC189,Selects!$B$4:$C$100,2,0),"")</f>
        <v/>
      </c>
      <c r="AE189" s="26"/>
      <c r="AF189" s="58"/>
      <c r="AG189" s="59"/>
      <c r="AH189" s="65"/>
      <c r="AI189" s="66"/>
      <c r="AJ189" s="66"/>
      <c r="AK189" s="58"/>
      <c r="AL189" s="58"/>
      <c r="AM189" s="68" t="str">
        <f aca="false">IF(LEFT(AL189,1)="9","Celular",IF(AL189="","","Fixo"))</f>
        <v/>
      </c>
      <c r="AN189" s="58" t="str">
        <f aca="false">IF( AM189&lt;&gt;"",VLOOKUP(AM189,Selects!$M$4:$N$1000,2,0),"")</f>
        <v/>
      </c>
      <c r="AO189" s="58"/>
      <c r="AP189" s="59"/>
      <c r="AQ189" s="65"/>
      <c r="AR189" s="58"/>
      <c r="AS189" s="58"/>
      <c r="AT189" s="26"/>
      <c r="AU189" s="58"/>
      <c r="AV189" s="58"/>
      <c r="AW189" s="58"/>
      <c r="AX189" s="58"/>
      <c r="AY189" s="71"/>
      <c r="AZ189" s="58"/>
      <c r="BA189" s="58"/>
      <c r="BB189" s="72" t="str">
        <f aca="false">IF(BA189&lt;&gt;"",VLOOKUP(BA189,Selects!$B$4:$C$100,2,0),"")</f>
        <v/>
      </c>
      <c r="BC189" s="26"/>
      <c r="BD189" s="26"/>
      <c r="BE189" s="73"/>
      <c r="BF189" s="74"/>
      <c r="BG189" s="75" t="str">
        <f aca="false">IF(LEN(BF189)=11,"PF",IF(LEN(BF189)=14,"PJ",""))</f>
        <v/>
      </c>
      <c r="BH189" s="66"/>
      <c r="BI189" s="58" t="str">
        <f aca="false">IF(BH189&lt;&gt;"",VLOOKUP(BH189,Selects!$G:$H,2,0),"")</f>
        <v/>
      </c>
      <c r="BJ189" s="58"/>
      <c r="BK189" s="58"/>
      <c r="BL189" s="59"/>
      <c r="BM189" s="58"/>
      <c r="BN189" s="58"/>
      <c r="BO189" s="58" t="str">
        <f aca="false">IF(BN189&lt;&gt;"",VLOOKUP(BN189,Selects!$J$4:$K$1000,2,0),"")</f>
        <v/>
      </c>
      <c r="BP189" s="76"/>
      <c r="BQ189" s="59"/>
      <c r="BR189" s="77"/>
      <c r="BS189" s="59"/>
      <c r="BT189" s="77"/>
      <c r="BU189" s="58"/>
      <c r="BV189" s="58"/>
      <c r="BW189" s="58"/>
      <c r="BX189" s="58"/>
      <c r="BY189" s="58"/>
      <c r="BZ189" s="58"/>
      <c r="CA189" s="58"/>
      <c r="CB189" s="72" t="str">
        <f aca="false">IF(AC189&lt;&gt;"",VLOOKUP(AC189,Selects!$B:$E,4,0),"")</f>
        <v/>
      </c>
      <c r="CC189" s="58"/>
      <c r="CD189" s="58"/>
      <c r="CE189" s="58"/>
    </row>
    <row r="190" customFormat="false" ht="15.75" hidden="false" customHeight="true" outlineLevel="0" collapsed="false">
      <c r="A190" s="17"/>
      <c r="B190" s="58"/>
      <c r="C190" s="58"/>
      <c r="D190" s="59"/>
      <c r="E190" s="60" t="str">
        <f aca="false">IF(LEN(D190)=11,"PF",IF(LEN(D190)=14,"PJ",""))</f>
        <v/>
      </c>
      <c r="F190" s="59"/>
      <c r="G190" s="59"/>
      <c r="H190" s="61" t="str">
        <f aca="false">IF(G190&lt;&gt;"",VLOOKUP(G190,'Cnae  mcc  id'!$A:$M,9,0),"")</f>
        <v/>
      </c>
      <c r="I190" s="62"/>
      <c r="J190" s="63" t="str">
        <f aca="false">IF(I190&lt;&gt;"",VLOOKUP(I190,'Legal Nature'!$E$2:$G$84,3,0),"")</f>
        <v/>
      </c>
      <c r="K190" s="64"/>
      <c r="L190" s="65"/>
      <c r="M190" s="66"/>
      <c r="N190" s="66"/>
      <c r="O190" s="79"/>
      <c r="P190" s="26"/>
      <c r="Q190" s="58"/>
      <c r="R190" s="58"/>
      <c r="S190" s="80"/>
      <c r="T190" s="68" t="str">
        <f aca="false">IF(LEFT(S190,1)="9","Celular",IF(S190="","","Fixo"))</f>
        <v/>
      </c>
      <c r="U190" s="58" t="str">
        <f aca="false">IF( T190&lt;&gt;"",VLOOKUP(T190,Selects!$M$4:$N$1000,2,0),"")</f>
        <v/>
      </c>
      <c r="V190" s="26"/>
      <c r="W190" s="58"/>
      <c r="X190" s="58"/>
      <c r="Y190" s="58"/>
      <c r="Z190" s="58"/>
      <c r="AA190" s="69"/>
      <c r="AB190" s="58"/>
      <c r="AC190" s="58"/>
      <c r="AD190" s="70" t="str">
        <f aca="false">IF(AC190&lt;&gt;"",VLOOKUP(AC190,Selects!$B$4:$C$100,2,0),"")</f>
        <v/>
      </c>
      <c r="AE190" s="26"/>
      <c r="AF190" s="58"/>
      <c r="AG190" s="59"/>
      <c r="AH190" s="65"/>
      <c r="AI190" s="66"/>
      <c r="AJ190" s="66"/>
      <c r="AK190" s="58"/>
      <c r="AL190" s="58"/>
      <c r="AM190" s="68" t="str">
        <f aca="false">IF(LEFT(AL190,1)="9","Celular",IF(AL190="","","Fixo"))</f>
        <v/>
      </c>
      <c r="AN190" s="58" t="str">
        <f aca="false">IF( AM190&lt;&gt;"",VLOOKUP(AM190,Selects!$M$4:$N$1000,2,0),"")</f>
        <v/>
      </c>
      <c r="AO190" s="58"/>
      <c r="AP190" s="59"/>
      <c r="AQ190" s="65"/>
      <c r="AR190" s="58"/>
      <c r="AS190" s="58"/>
      <c r="AT190" s="26"/>
      <c r="AU190" s="58"/>
      <c r="AV190" s="58"/>
      <c r="AW190" s="58"/>
      <c r="AX190" s="58"/>
      <c r="AY190" s="71"/>
      <c r="AZ190" s="58"/>
      <c r="BA190" s="58"/>
      <c r="BB190" s="72" t="str">
        <f aca="false">IF(BA190&lt;&gt;"",VLOOKUP(BA190,Selects!$B$4:$C$100,2,0),"")</f>
        <v/>
      </c>
      <c r="BC190" s="26"/>
      <c r="BD190" s="26"/>
      <c r="BE190" s="73"/>
      <c r="BF190" s="74"/>
      <c r="BG190" s="75" t="str">
        <f aca="false">IF(LEN(BF190)=11,"PF",IF(LEN(BF190)=14,"PJ",""))</f>
        <v/>
      </c>
      <c r="BH190" s="66"/>
      <c r="BI190" s="58" t="str">
        <f aca="false">IF(BH190&lt;&gt;"",VLOOKUP(BH190,Selects!$G:$H,2,0),"")</f>
        <v/>
      </c>
      <c r="BJ190" s="58"/>
      <c r="BK190" s="58"/>
      <c r="BL190" s="59"/>
      <c r="BM190" s="58"/>
      <c r="BN190" s="58"/>
      <c r="BO190" s="58" t="str">
        <f aca="false">IF(BN190&lt;&gt;"",VLOOKUP(BN190,Selects!$J$4:$K$1000,2,0),"")</f>
        <v/>
      </c>
      <c r="BP190" s="76"/>
      <c r="BQ190" s="59"/>
      <c r="BR190" s="77"/>
      <c r="BS190" s="59"/>
      <c r="BT190" s="77"/>
      <c r="BU190" s="58"/>
      <c r="BV190" s="58"/>
      <c r="BW190" s="58"/>
      <c r="BX190" s="58"/>
      <c r="BY190" s="58"/>
      <c r="BZ190" s="58"/>
      <c r="CA190" s="58"/>
      <c r="CB190" s="72" t="str">
        <f aca="false">IF(AC190&lt;&gt;"",VLOOKUP(AC190,Selects!$B:$E,4,0),"")</f>
        <v/>
      </c>
      <c r="CC190" s="58"/>
      <c r="CD190" s="58"/>
      <c r="CE190" s="58"/>
    </row>
    <row r="191" customFormat="false" ht="15.75" hidden="false" customHeight="true" outlineLevel="0" collapsed="false">
      <c r="A191" s="17"/>
      <c r="B191" s="58"/>
      <c r="C191" s="58"/>
      <c r="D191" s="59"/>
      <c r="E191" s="60" t="str">
        <f aca="false">IF(LEN(D191)=11,"PF",IF(LEN(D191)=14,"PJ",""))</f>
        <v/>
      </c>
      <c r="F191" s="59"/>
      <c r="G191" s="59"/>
      <c r="H191" s="61" t="str">
        <f aca="false">IF(G191&lt;&gt;"",VLOOKUP(G191,'Cnae  mcc  id'!$A:$M,9,0),"")</f>
        <v/>
      </c>
      <c r="I191" s="62"/>
      <c r="J191" s="63" t="str">
        <f aca="false">IF(I191&lt;&gt;"",VLOOKUP(I191,'Legal Nature'!$E$2:$G$84,3,0),"")</f>
        <v/>
      </c>
      <c r="K191" s="64"/>
      <c r="L191" s="65"/>
      <c r="M191" s="66"/>
      <c r="N191" s="66"/>
      <c r="O191" s="79"/>
      <c r="P191" s="26"/>
      <c r="Q191" s="58"/>
      <c r="R191" s="58"/>
      <c r="S191" s="80"/>
      <c r="T191" s="68" t="str">
        <f aca="false">IF(LEFT(S191,1)="9","Celular",IF(S191="","","Fixo"))</f>
        <v/>
      </c>
      <c r="U191" s="58" t="str">
        <f aca="false">IF( T191&lt;&gt;"",VLOOKUP(T191,Selects!$M$4:$N$1000,2,0),"")</f>
        <v/>
      </c>
      <c r="V191" s="26"/>
      <c r="W191" s="58"/>
      <c r="X191" s="58"/>
      <c r="Y191" s="58"/>
      <c r="Z191" s="58"/>
      <c r="AA191" s="69"/>
      <c r="AB191" s="58"/>
      <c r="AC191" s="58"/>
      <c r="AD191" s="70" t="str">
        <f aca="false">IF(AC191&lt;&gt;"",VLOOKUP(AC191,Selects!$B$4:$C$100,2,0),"")</f>
        <v/>
      </c>
      <c r="AE191" s="26"/>
      <c r="AF191" s="58"/>
      <c r="AG191" s="59"/>
      <c r="AH191" s="65"/>
      <c r="AI191" s="66"/>
      <c r="AJ191" s="66"/>
      <c r="AK191" s="58"/>
      <c r="AL191" s="58"/>
      <c r="AM191" s="68" t="str">
        <f aca="false">IF(LEFT(AL191,1)="9","Celular",IF(AL191="","","Fixo"))</f>
        <v/>
      </c>
      <c r="AN191" s="58" t="str">
        <f aca="false">IF( AM191&lt;&gt;"",VLOOKUP(AM191,Selects!$M$4:$N$1000,2,0),"")</f>
        <v/>
      </c>
      <c r="AO191" s="58"/>
      <c r="AP191" s="59"/>
      <c r="AQ191" s="65"/>
      <c r="AR191" s="58"/>
      <c r="AS191" s="58"/>
      <c r="AT191" s="26"/>
      <c r="AU191" s="58"/>
      <c r="AV191" s="58"/>
      <c r="AW191" s="58"/>
      <c r="AX191" s="58"/>
      <c r="AY191" s="71"/>
      <c r="AZ191" s="58"/>
      <c r="BA191" s="58"/>
      <c r="BB191" s="72" t="str">
        <f aca="false">IF(BA191&lt;&gt;"",VLOOKUP(BA191,Selects!$B$4:$C$100,2,0),"")</f>
        <v/>
      </c>
      <c r="BC191" s="26"/>
      <c r="BD191" s="26"/>
      <c r="BE191" s="73"/>
      <c r="BF191" s="74"/>
      <c r="BG191" s="75" t="str">
        <f aca="false">IF(LEN(BF191)=11,"PF",IF(LEN(BF191)=14,"PJ",""))</f>
        <v/>
      </c>
      <c r="BH191" s="66"/>
      <c r="BI191" s="58" t="str">
        <f aca="false">IF(BH191&lt;&gt;"",VLOOKUP(BH191,Selects!$G:$H,2,0),"")</f>
        <v/>
      </c>
      <c r="BJ191" s="58"/>
      <c r="BK191" s="58"/>
      <c r="BL191" s="59"/>
      <c r="BM191" s="58"/>
      <c r="BN191" s="58"/>
      <c r="BO191" s="58" t="str">
        <f aca="false">IF(BN191&lt;&gt;"",VLOOKUP(BN191,Selects!$J$4:$K$1000,2,0),"")</f>
        <v/>
      </c>
      <c r="BP191" s="76"/>
      <c r="BQ191" s="59"/>
      <c r="BR191" s="77"/>
      <c r="BS191" s="59"/>
      <c r="BT191" s="77"/>
      <c r="BU191" s="58"/>
      <c r="BV191" s="58"/>
      <c r="BW191" s="58"/>
      <c r="BX191" s="58"/>
      <c r="BY191" s="58"/>
      <c r="BZ191" s="58"/>
      <c r="CA191" s="58"/>
      <c r="CB191" s="72" t="str">
        <f aca="false">IF(AC191&lt;&gt;"",VLOOKUP(AC191,Selects!$B:$E,4,0),"")</f>
        <v/>
      </c>
      <c r="CC191" s="58"/>
      <c r="CD191" s="58"/>
      <c r="CE191" s="58"/>
    </row>
    <row r="192" customFormat="false" ht="15.75" hidden="false" customHeight="true" outlineLevel="0" collapsed="false">
      <c r="A192" s="17"/>
      <c r="B192" s="58"/>
      <c r="C192" s="58"/>
      <c r="D192" s="59"/>
      <c r="E192" s="60" t="str">
        <f aca="false">IF(LEN(D192)=11,"PF",IF(LEN(D192)=14,"PJ",""))</f>
        <v/>
      </c>
      <c r="F192" s="59"/>
      <c r="G192" s="59"/>
      <c r="H192" s="61" t="str">
        <f aca="false">IF(G192&lt;&gt;"",VLOOKUP(G192,'Cnae  mcc  id'!$A:$M,9,0),"")</f>
        <v/>
      </c>
      <c r="I192" s="62"/>
      <c r="J192" s="63" t="str">
        <f aca="false">IF(I192&lt;&gt;"",VLOOKUP(I192,'Legal Nature'!$E$2:$G$84,3,0),"")</f>
        <v/>
      </c>
      <c r="K192" s="64"/>
      <c r="L192" s="65"/>
      <c r="M192" s="66"/>
      <c r="N192" s="66"/>
      <c r="O192" s="79"/>
      <c r="P192" s="26"/>
      <c r="Q192" s="58"/>
      <c r="R192" s="58"/>
      <c r="S192" s="80"/>
      <c r="T192" s="68" t="str">
        <f aca="false">IF(LEFT(S192,1)="9","Celular",IF(S192="","","Fixo"))</f>
        <v/>
      </c>
      <c r="U192" s="58" t="str">
        <f aca="false">IF( T192&lt;&gt;"",VLOOKUP(T192,Selects!$M$4:$N$1000,2,0),"")</f>
        <v/>
      </c>
      <c r="V192" s="26"/>
      <c r="W192" s="58"/>
      <c r="X192" s="58"/>
      <c r="Y192" s="58"/>
      <c r="Z192" s="58"/>
      <c r="AA192" s="69"/>
      <c r="AB192" s="58"/>
      <c r="AC192" s="58"/>
      <c r="AD192" s="70" t="str">
        <f aca="false">IF(AC192&lt;&gt;"",VLOOKUP(AC192,Selects!$B$4:$C$100,2,0),"")</f>
        <v/>
      </c>
      <c r="AE192" s="26"/>
      <c r="AF192" s="58"/>
      <c r="AG192" s="59"/>
      <c r="AH192" s="65"/>
      <c r="AI192" s="66"/>
      <c r="AJ192" s="66"/>
      <c r="AK192" s="58"/>
      <c r="AL192" s="58"/>
      <c r="AM192" s="68" t="str">
        <f aca="false">IF(LEFT(AL192,1)="9","Celular",IF(AL192="","","Fixo"))</f>
        <v/>
      </c>
      <c r="AN192" s="58" t="str">
        <f aca="false">IF( AM192&lt;&gt;"",VLOOKUP(AM192,Selects!$M$4:$N$1000,2,0),"")</f>
        <v/>
      </c>
      <c r="AO192" s="58"/>
      <c r="AP192" s="59"/>
      <c r="AQ192" s="65"/>
      <c r="AR192" s="58"/>
      <c r="AS192" s="58"/>
      <c r="AT192" s="26"/>
      <c r="AU192" s="58"/>
      <c r="AV192" s="58"/>
      <c r="AW192" s="58"/>
      <c r="AX192" s="58"/>
      <c r="AY192" s="71"/>
      <c r="AZ192" s="58"/>
      <c r="BA192" s="58"/>
      <c r="BB192" s="72" t="str">
        <f aca="false">IF(BA192&lt;&gt;"",VLOOKUP(BA192,Selects!$B$4:$C$100,2,0),"")</f>
        <v/>
      </c>
      <c r="BC192" s="26"/>
      <c r="BD192" s="26"/>
      <c r="BE192" s="73"/>
      <c r="BF192" s="74"/>
      <c r="BG192" s="75" t="str">
        <f aca="false">IF(LEN(BF192)=11,"PF",IF(LEN(BF192)=14,"PJ",""))</f>
        <v/>
      </c>
      <c r="BH192" s="66"/>
      <c r="BI192" s="58" t="str">
        <f aca="false">IF(BH192&lt;&gt;"",VLOOKUP(BH192,Selects!$G:$H,2,0),"")</f>
        <v/>
      </c>
      <c r="BJ192" s="58"/>
      <c r="BK192" s="58"/>
      <c r="BL192" s="59"/>
      <c r="BM192" s="58"/>
      <c r="BN192" s="58"/>
      <c r="BO192" s="58" t="str">
        <f aca="false">IF(BN192&lt;&gt;"",VLOOKUP(BN192,Selects!$J$4:$K$1000,2,0),"")</f>
        <v/>
      </c>
      <c r="BP192" s="76"/>
      <c r="BQ192" s="59"/>
      <c r="BR192" s="77"/>
      <c r="BS192" s="59"/>
      <c r="BT192" s="77"/>
      <c r="BU192" s="58"/>
      <c r="BV192" s="58"/>
      <c r="BW192" s="58"/>
      <c r="BX192" s="58"/>
      <c r="BY192" s="58"/>
      <c r="BZ192" s="58"/>
      <c r="CA192" s="58"/>
      <c r="CB192" s="72" t="str">
        <f aca="false">IF(AC192&lt;&gt;"",VLOOKUP(AC192,Selects!$B:$E,4,0),"")</f>
        <v/>
      </c>
      <c r="CC192" s="58"/>
      <c r="CD192" s="58"/>
      <c r="CE192" s="58"/>
    </row>
    <row r="193" customFormat="false" ht="15.75" hidden="false" customHeight="true" outlineLevel="0" collapsed="false">
      <c r="A193" s="17"/>
      <c r="B193" s="58"/>
      <c r="C193" s="58"/>
      <c r="D193" s="59"/>
      <c r="E193" s="60" t="str">
        <f aca="false">IF(LEN(D193)=11,"PF",IF(LEN(D193)=14,"PJ",""))</f>
        <v/>
      </c>
      <c r="F193" s="59"/>
      <c r="G193" s="59"/>
      <c r="H193" s="61" t="str">
        <f aca="false">IF(G193&lt;&gt;"",VLOOKUP(G193,'Cnae  mcc  id'!$A:$M,9,0),"")</f>
        <v/>
      </c>
      <c r="I193" s="62"/>
      <c r="J193" s="63" t="str">
        <f aca="false">IF(I193&lt;&gt;"",VLOOKUP(I193,'Legal Nature'!$E$2:$G$84,3,0),"")</f>
        <v/>
      </c>
      <c r="K193" s="64"/>
      <c r="L193" s="65"/>
      <c r="M193" s="66"/>
      <c r="N193" s="66"/>
      <c r="O193" s="79"/>
      <c r="P193" s="26"/>
      <c r="Q193" s="58"/>
      <c r="R193" s="58"/>
      <c r="S193" s="80"/>
      <c r="T193" s="68" t="str">
        <f aca="false">IF(LEFT(S193,1)="9","Celular",IF(S193="","","Fixo"))</f>
        <v/>
      </c>
      <c r="U193" s="58" t="str">
        <f aca="false">IF( T193&lt;&gt;"",VLOOKUP(T193,Selects!$M$4:$N$1000,2,0),"")</f>
        <v/>
      </c>
      <c r="V193" s="26"/>
      <c r="W193" s="58"/>
      <c r="X193" s="58"/>
      <c r="Y193" s="58"/>
      <c r="Z193" s="58"/>
      <c r="AA193" s="69"/>
      <c r="AB193" s="58"/>
      <c r="AC193" s="58"/>
      <c r="AD193" s="70" t="str">
        <f aca="false">IF(AC193&lt;&gt;"",VLOOKUP(AC193,Selects!$B$4:$C$100,2,0),"")</f>
        <v/>
      </c>
      <c r="AE193" s="26"/>
      <c r="AF193" s="58"/>
      <c r="AG193" s="59"/>
      <c r="AH193" s="65"/>
      <c r="AI193" s="66"/>
      <c r="AJ193" s="66"/>
      <c r="AK193" s="58"/>
      <c r="AL193" s="58"/>
      <c r="AM193" s="68" t="str">
        <f aca="false">IF(LEFT(AL193,1)="9","Celular",IF(AL193="","","Fixo"))</f>
        <v/>
      </c>
      <c r="AN193" s="58" t="str">
        <f aca="false">IF( AM193&lt;&gt;"",VLOOKUP(AM193,Selects!$M$4:$N$1000,2,0),"")</f>
        <v/>
      </c>
      <c r="AO193" s="58"/>
      <c r="AP193" s="59"/>
      <c r="AQ193" s="65"/>
      <c r="AR193" s="58"/>
      <c r="AS193" s="58"/>
      <c r="AT193" s="26"/>
      <c r="AU193" s="58"/>
      <c r="AV193" s="58"/>
      <c r="AW193" s="58"/>
      <c r="AX193" s="58"/>
      <c r="AY193" s="71"/>
      <c r="AZ193" s="58"/>
      <c r="BA193" s="58"/>
      <c r="BB193" s="72" t="str">
        <f aca="false">IF(BA193&lt;&gt;"",VLOOKUP(BA193,Selects!$B$4:$C$100,2,0),"")</f>
        <v/>
      </c>
      <c r="BC193" s="26"/>
      <c r="BD193" s="26"/>
      <c r="BE193" s="73"/>
      <c r="BF193" s="74"/>
      <c r="BG193" s="75" t="str">
        <f aca="false">IF(LEN(BF193)=11,"PF",IF(LEN(BF193)=14,"PJ",""))</f>
        <v/>
      </c>
      <c r="BH193" s="66"/>
      <c r="BI193" s="58" t="str">
        <f aca="false">IF(BH193&lt;&gt;"",VLOOKUP(BH193,Selects!$G:$H,2,0),"")</f>
        <v/>
      </c>
      <c r="BJ193" s="58"/>
      <c r="BK193" s="58"/>
      <c r="BL193" s="59"/>
      <c r="BM193" s="58"/>
      <c r="BN193" s="58"/>
      <c r="BO193" s="58" t="str">
        <f aca="false">IF(BN193&lt;&gt;"",VLOOKUP(BN193,Selects!$J$4:$K$1000,2,0),"")</f>
        <v/>
      </c>
      <c r="BP193" s="76"/>
      <c r="BQ193" s="59"/>
      <c r="BR193" s="77"/>
      <c r="BS193" s="59"/>
      <c r="BT193" s="77"/>
      <c r="BU193" s="58"/>
      <c r="BV193" s="58"/>
      <c r="BW193" s="58"/>
      <c r="BX193" s="58"/>
      <c r="BY193" s="58"/>
      <c r="BZ193" s="58"/>
      <c r="CA193" s="58"/>
      <c r="CB193" s="72" t="str">
        <f aca="false">IF(AC193&lt;&gt;"",VLOOKUP(AC193,Selects!$B:$E,4,0),"")</f>
        <v/>
      </c>
      <c r="CC193" s="58"/>
      <c r="CD193" s="58"/>
      <c r="CE193" s="58"/>
    </row>
    <row r="194" customFormat="false" ht="15.75" hidden="false" customHeight="true" outlineLevel="0" collapsed="false">
      <c r="A194" s="17"/>
      <c r="B194" s="58"/>
      <c r="C194" s="58"/>
      <c r="D194" s="59"/>
      <c r="E194" s="60" t="str">
        <f aca="false">IF(LEN(D194)=11,"PF",IF(LEN(D194)=14,"PJ",""))</f>
        <v/>
      </c>
      <c r="F194" s="59"/>
      <c r="G194" s="59"/>
      <c r="H194" s="61" t="str">
        <f aca="false">IF(G194&lt;&gt;"",VLOOKUP(G194,'Cnae  mcc  id'!$A:$M,9,0),"")</f>
        <v/>
      </c>
      <c r="I194" s="62"/>
      <c r="J194" s="63" t="str">
        <f aca="false">IF(I194&lt;&gt;"",VLOOKUP(I194,'Legal Nature'!$E$2:$G$84,3,0),"")</f>
        <v/>
      </c>
      <c r="K194" s="64"/>
      <c r="L194" s="65"/>
      <c r="M194" s="66"/>
      <c r="N194" s="66"/>
      <c r="O194" s="79"/>
      <c r="P194" s="26"/>
      <c r="Q194" s="58"/>
      <c r="R194" s="58"/>
      <c r="S194" s="80"/>
      <c r="T194" s="68" t="str">
        <f aca="false">IF(LEFT(S194,1)="9","Celular",IF(S194="","","Fixo"))</f>
        <v/>
      </c>
      <c r="U194" s="58" t="str">
        <f aca="false">IF( T194&lt;&gt;"",VLOOKUP(T194,Selects!$M$4:$N$1000,2,0),"")</f>
        <v/>
      </c>
      <c r="V194" s="26"/>
      <c r="W194" s="58"/>
      <c r="X194" s="58"/>
      <c r="Y194" s="58"/>
      <c r="Z194" s="58"/>
      <c r="AA194" s="69"/>
      <c r="AB194" s="58"/>
      <c r="AC194" s="58"/>
      <c r="AD194" s="70" t="str">
        <f aca="false">IF(AC194&lt;&gt;"",VLOOKUP(AC194,Selects!$B$4:$C$100,2,0),"")</f>
        <v/>
      </c>
      <c r="AE194" s="26"/>
      <c r="AF194" s="58"/>
      <c r="AG194" s="59"/>
      <c r="AH194" s="65"/>
      <c r="AI194" s="66"/>
      <c r="AJ194" s="66"/>
      <c r="AK194" s="58"/>
      <c r="AL194" s="58"/>
      <c r="AM194" s="68" t="str">
        <f aca="false">IF(LEFT(AL194,1)="9","Celular",IF(AL194="","","Fixo"))</f>
        <v/>
      </c>
      <c r="AN194" s="58" t="str">
        <f aca="false">IF( AM194&lt;&gt;"",VLOOKUP(AM194,Selects!$M$4:$N$1000,2,0),"")</f>
        <v/>
      </c>
      <c r="AO194" s="58"/>
      <c r="AP194" s="59"/>
      <c r="AQ194" s="65"/>
      <c r="AR194" s="58"/>
      <c r="AS194" s="58"/>
      <c r="AT194" s="26"/>
      <c r="AU194" s="58"/>
      <c r="AV194" s="58"/>
      <c r="AW194" s="58"/>
      <c r="AX194" s="58"/>
      <c r="AY194" s="71"/>
      <c r="AZ194" s="58"/>
      <c r="BA194" s="58"/>
      <c r="BB194" s="72" t="str">
        <f aca="false">IF(BA194&lt;&gt;"",VLOOKUP(BA194,Selects!$B$4:$C$100,2,0),"")</f>
        <v/>
      </c>
      <c r="BC194" s="26"/>
      <c r="BD194" s="26"/>
      <c r="BE194" s="73"/>
      <c r="BF194" s="74"/>
      <c r="BG194" s="75" t="str">
        <f aca="false">IF(LEN(BF194)=11,"PF",IF(LEN(BF194)=14,"PJ",""))</f>
        <v/>
      </c>
      <c r="BH194" s="66"/>
      <c r="BI194" s="58" t="str">
        <f aca="false">IF(BH194&lt;&gt;"",VLOOKUP(BH194,Selects!$G:$H,2,0),"")</f>
        <v/>
      </c>
      <c r="BJ194" s="58"/>
      <c r="BK194" s="58"/>
      <c r="BL194" s="59"/>
      <c r="BM194" s="58"/>
      <c r="BN194" s="58"/>
      <c r="BO194" s="58" t="str">
        <f aca="false">IF(BN194&lt;&gt;"",VLOOKUP(BN194,Selects!$J$4:$K$1000,2,0),"")</f>
        <v/>
      </c>
      <c r="BP194" s="76"/>
      <c r="BQ194" s="59"/>
      <c r="BR194" s="77"/>
      <c r="BS194" s="59"/>
      <c r="BT194" s="77"/>
      <c r="BU194" s="58"/>
      <c r="BV194" s="58"/>
      <c r="BW194" s="58"/>
      <c r="BX194" s="58"/>
      <c r="BY194" s="58"/>
      <c r="BZ194" s="58"/>
      <c r="CA194" s="58"/>
      <c r="CB194" s="72" t="str">
        <f aca="false">IF(AC194&lt;&gt;"",VLOOKUP(AC194,Selects!$B:$E,4,0),"")</f>
        <v/>
      </c>
      <c r="CC194" s="58"/>
      <c r="CD194" s="58"/>
      <c r="CE194" s="58"/>
    </row>
    <row r="195" customFormat="false" ht="15.75" hidden="false" customHeight="true" outlineLevel="0" collapsed="false">
      <c r="A195" s="17"/>
      <c r="B195" s="58"/>
      <c r="C195" s="58"/>
      <c r="D195" s="59"/>
      <c r="E195" s="60" t="str">
        <f aca="false">IF(LEN(D195)=11,"PF",IF(LEN(D195)=14,"PJ",""))</f>
        <v/>
      </c>
      <c r="F195" s="59"/>
      <c r="G195" s="59"/>
      <c r="H195" s="61" t="str">
        <f aca="false">IF(G195&lt;&gt;"",VLOOKUP(G195,'Cnae  mcc  id'!$A:$M,9,0),"")</f>
        <v/>
      </c>
      <c r="I195" s="62"/>
      <c r="J195" s="63" t="str">
        <f aca="false">IF(I195&lt;&gt;"",VLOOKUP(I195,'Legal Nature'!$E$2:$G$84,3,0),"")</f>
        <v/>
      </c>
      <c r="K195" s="64"/>
      <c r="L195" s="65"/>
      <c r="M195" s="66"/>
      <c r="N195" s="66"/>
      <c r="O195" s="79"/>
      <c r="P195" s="26"/>
      <c r="Q195" s="58"/>
      <c r="R195" s="58"/>
      <c r="S195" s="80"/>
      <c r="T195" s="68" t="str">
        <f aca="false">IF(LEFT(S195,1)="9","Celular",IF(S195="","","Fixo"))</f>
        <v/>
      </c>
      <c r="U195" s="58" t="str">
        <f aca="false">IF( T195&lt;&gt;"",VLOOKUP(T195,Selects!$M$4:$N$1000,2,0),"")</f>
        <v/>
      </c>
      <c r="V195" s="26"/>
      <c r="W195" s="58"/>
      <c r="X195" s="58"/>
      <c r="Y195" s="58"/>
      <c r="Z195" s="58"/>
      <c r="AA195" s="69"/>
      <c r="AB195" s="58"/>
      <c r="AC195" s="58"/>
      <c r="AD195" s="70" t="str">
        <f aca="false">IF(AC195&lt;&gt;"",VLOOKUP(AC195,Selects!$B$4:$C$100,2,0),"")</f>
        <v/>
      </c>
      <c r="AE195" s="26"/>
      <c r="AF195" s="58"/>
      <c r="AG195" s="59"/>
      <c r="AH195" s="65"/>
      <c r="AI195" s="66"/>
      <c r="AJ195" s="66"/>
      <c r="AK195" s="58"/>
      <c r="AL195" s="58"/>
      <c r="AM195" s="68" t="str">
        <f aca="false">IF(LEFT(AL195,1)="9","Celular",IF(AL195="","","Fixo"))</f>
        <v/>
      </c>
      <c r="AN195" s="58" t="str">
        <f aca="false">IF( AM195&lt;&gt;"",VLOOKUP(AM195,Selects!$M$4:$N$1000,2,0),"")</f>
        <v/>
      </c>
      <c r="AO195" s="58"/>
      <c r="AP195" s="59"/>
      <c r="AQ195" s="65"/>
      <c r="AR195" s="58"/>
      <c r="AS195" s="58"/>
      <c r="AT195" s="26"/>
      <c r="AU195" s="58"/>
      <c r="AV195" s="58"/>
      <c r="AW195" s="58"/>
      <c r="AX195" s="58"/>
      <c r="AY195" s="71"/>
      <c r="AZ195" s="58"/>
      <c r="BA195" s="58"/>
      <c r="BB195" s="72" t="str">
        <f aca="false">IF(BA195&lt;&gt;"",VLOOKUP(BA195,Selects!$B$4:$C$100,2,0),"")</f>
        <v/>
      </c>
      <c r="BC195" s="26"/>
      <c r="BD195" s="26"/>
      <c r="BE195" s="73"/>
      <c r="BF195" s="74"/>
      <c r="BG195" s="75" t="str">
        <f aca="false">IF(LEN(BF195)=11,"PF",IF(LEN(BF195)=14,"PJ",""))</f>
        <v/>
      </c>
      <c r="BH195" s="66"/>
      <c r="BI195" s="58" t="str">
        <f aca="false">IF(BH195&lt;&gt;"",VLOOKUP(BH195,Selects!$G:$H,2,0),"")</f>
        <v/>
      </c>
      <c r="BJ195" s="58"/>
      <c r="BK195" s="58"/>
      <c r="BL195" s="59"/>
      <c r="BM195" s="58"/>
      <c r="BN195" s="58"/>
      <c r="BO195" s="58" t="str">
        <f aca="false">IF(BN195&lt;&gt;"",VLOOKUP(BN195,Selects!$J$4:$K$1000,2,0),"")</f>
        <v/>
      </c>
      <c r="BP195" s="76"/>
      <c r="BQ195" s="59"/>
      <c r="BR195" s="77"/>
      <c r="BS195" s="59"/>
      <c r="BT195" s="77"/>
      <c r="BU195" s="58"/>
      <c r="BV195" s="58"/>
      <c r="BW195" s="58"/>
      <c r="BX195" s="58"/>
      <c r="BY195" s="58"/>
      <c r="BZ195" s="58"/>
      <c r="CA195" s="58"/>
      <c r="CB195" s="72" t="str">
        <f aca="false">IF(AC195&lt;&gt;"",VLOOKUP(AC195,Selects!$B:$E,4,0),"")</f>
        <v/>
      </c>
      <c r="CC195" s="58"/>
      <c r="CD195" s="58"/>
      <c r="CE195" s="58"/>
    </row>
    <row r="196" customFormat="false" ht="15.75" hidden="false" customHeight="true" outlineLevel="0" collapsed="false">
      <c r="A196" s="17"/>
      <c r="B196" s="58"/>
      <c r="C196" s="58"/>
      <c r="D196" s="59"/>
      <c r="E196" s="60" t="str">
        <f aca="false">IF(LEN(D196)=11,"PF",IF(LEN(D196)=14,"PJ",""))</f>
        <v/>
      </c>
      <c r="F196" s="59"/>
      <c r="G196" s="59"/>
      <c r="H196" s="61" t="str">
        <f aca="false">IF(G196&lt;&gt;"",VLOOKUP(G196,'Cnae  mcc  id'!$A:$M,9,0),"")</f>
        <v/>
      </c>
      <c r="I196" s="62"/>
      <c r="J196" s="63" t="str">
        <f aca="false">IF(I196&lt;&gt;"",VLOOKUP(I196,'Legal Nature'!$E$2:$G$84,3,0),"")</f>
        <v/>
      </c>
      <c r="K196" s="64"/>
      <c r="L196" s="65"/>
      <c r="M196" s="66"/>
      <c r="N196" s="66"/>
      <c r="O196" s="79"/>
      <c r="P196" s="26"/>
      <c r="Q196" s="58"/>
      <c r="R196" s="58"/>
      <c r="S196" s="80"/>
      <c r="T196" s="68" t="str">
        <f aca="false">IF(LEFT(S196,1)="9","Celular",IF(S196="","","Fixo"))</f>
        <v/>
      </c>
      <c r="U196" s="58" t="str">
        <f aca="false">IF( T196&lt;&gt;"",VLOOKUP(T196,Selects!$M$4:$N$1000,2,0),"")</f>
        <v/>
      </c>
      <c r="V196" s="26"/>
      <c r="W196" s="58"/>
      <c r="X196" s="58"/>
      <c r="Y196" s="58"/>
      <c r="Z196" s="58"/>
      <c r="AA196" s="69"/>
      <c r="AB196" s="58"/>
      <c r="AC196" s="58"/>
      <c r="AD196" s="70" t="str">
        <f aca="false">IF(AC196&lt;&gt;"",VLOOKUP(AC196,Selects!$B$4:$C$100,2,0),"")</f>
        <v/>
      </c>
      <c r="AE196" s="26"/>
      <c r="AF196" s="58"/>
      <c r="AG196" s="59"/>
      <c r="AH196" s="65"/>
      <c r="AI196" s="66"/>
      <c r="AJ196" s="66"/>
      <c r="AK196" s="58"/>
      <c r="AL196" s="58"/>
      <c r="AM196" s="68" t="str">
        <f aca="false">IF(LEFT(AL196,1)="9","Celular",IF(AL196="","","Fixo"))</f>
        <v/>
      </c>
      <c r="AN196" s="58" t="str">
        <f aca="false">IF( AM196&lt;&gt;"",VLOOKUP(AM196,Selects!$M$4:$N$1000,2,0),"")</f>
        <v/>
      </c>
      <c r="AO196" s="58"/>
      <c r="AP196" s="59"/>
      <c r="AQ196" s="65"/>
      <c r="AR196" s="58"/>
      <c r="AS196" s="58"/>
      <c r="AT196" s="26"/>
      <c r="AU196" s="58"/>
      <c r="AV196" s="58"/>
      <c r="AW196" s="58"/>
      <c r="AX196" s="58"/>
      <c r="AY196" s="71"/>
      <c r="AZ196" s="58"/>
      <c r="BA196" s="58"/>
      <c r="BB196" s="72" t="str">
        <f aca="false">IF(BA196&lt;&gt;"",VLOOKUP(BA196,Selects!$B$4:$C$100,2,0),"")</f>
        <v/>
      </c>
      <c r="BC196" s="26"/>
      <c r="BD196" s="26"/>
      <c r="BE196" s="73"/>
      <c r="BF196" s="74"/>
      <c r="BG196" s="75" t="str">
        <f aca="false">IF(LEN(BF196)=11,"PF",IF(LEN(BF196)=14,"PJ",""))</f>
        <v/>
      </c>
      <c r="BH196" s="66"/>
      <c r="BI196" s="58" t="str">
        <f aca="false">IF(BH196&lt;&gt;"",VLOOKUP(BH196,Selects!$G:$H,2,0),"")</f>
        <v/>
      </c>
      <c r="BJ196" s="58"/>
      <c r="BK196" s="58"/>
      <c r="BL196" s="59"/>
      <c r="BM196" s="58"/>
      <c r="BN196" s="58"/>
      <c r="BO196" s="58" t="str">
        <f aca="false">IF(BN196&lt;&gt;"",VLOOKUP(BN196,Selects!$J$4:$K$1000,2,0),"")</f>
        <v/>
      </c>
      <c r="BP196" s="76"/>
      <c r="BQ196" s="59"/>
      <c r="BR196" s="77"/>
      <c r="BS196" s="59"/>
      <c r="BT196" s="77"/>
      <c r="BU196" s="58"/>
      <c r="BV196" s="58"/>
      <c r="BW196" s="58"/>
      <c r="BX196" s="58"/>
      <c r="BY196" s="58"/>
      <c r="BZ196" s="58"/>
      <c r="CA196" s="58"/>
      <c r="CB196" s="72" t="str">
        <f aca="false">IF(AC196&lt;&gt;"",VLOOKUP(AC196,Selects!$B:$E,4,0),"")</f>
        <v/>
      </c>
      <c r="CC196" s="58"/>
      <c r="CD196" s="58"/>
      <c r="CE196" s="58"/>
    </row>
    <row r="197" customFormat="false" ht="15.75" hidden="false" customHeight="true" outlineLevel="0" collapsed="false">
      <c r="A197" s="17"/>
      <c r="B197" s="58"/>
      <c r="C197" s="58"/>
      <c r="D197" s="59"/>
      <c r="E197" s="60" t="str">
        <f aca="false">IF(LEN(D197)=11,"PF",IF(LEN(D197)=14,"PJ",""))</f>
        <v/>
      </c>
      <c r="F197" s="59"/>
      <c r="G197" s="59"/>
      <c r="H197" s="61" t="str">
        <f aca="false">IF(G197&lt;&gt;"",VLOOKUP(G197,'Cnae  mcc  id'!$A:$M,9,0),"")</f>
        <v/>
      </c>
      <c r="I197" s="62"/>
      <c r="J197" s="63" t="str">
        <f aca="false">IF(I197&lt;&gt;"",VLOOKUP(I197,'Legal Nature'!$E$2:$G$84,3,0),"")</f>
        <v/>
      </c>
      <c r="K197" s="64"/>
      <c r="L197" s="65"/>
      <c r="M197" s="66"/>
      <c r="N197" s="66"/>
      <c r="O197" s="79"/>
      <c r="P197" s="26"/>
      <c r="Q197" s="58"/>
      <c r="R197" s="58"/>
      <c r="S197" s="80"/>
      <c r="T197" s="68" t="str">
        <f aca="false">IF(LEFT(S197,1)="9","Celular",IF(S197="","","Fixo"))</f>
        <v/>
      </c>
      <c r="U197" s="58" t="str">
        <f aca="false">IF( T197&lt;&gt;"",VLOOKUP(T197,Selects!$M$4:$N$1000,2,0),"")</f>
        <v/>
      </c>
      <c r="V197" s="26"/>
      <c r="W197" s="58"/>
      <c r="X197" s="58"/>
      <c r="Y197" s="58"/>
      <c r="Z197" s="58"/>
      <c r="AA197" s="69"/>
      <c r="AB197" s="58"/>
      <c r="AC197" s="58"/>
      <c r="AD197" s="70" t="str">
        <f aca="false">IF(AC197&lt;&gt;"",VLOOKUP(AC197,Selects!$B$4:$C$100,2,0),"")</f>
        <v/>
      </c>
      <c r="AE197" s="26"/>
      <c r="AF197" s="58"/>
      <c r="AG197" s="59"/>
      <c r="AH197" s="65"/>
      <c r="AI197" s="66"/>
      <c r="AJ197" s="66"/>
      <c r="AK197" s="58"/>
      <c r="AL197" s="58"/>
      <c r="AM197" s="68" t="str">
        <f aca="false">IF(LEFT(AL197,1)="9","Celular",IF(AL197="","","Fixo"))</f>
        <v/>
      </c>
      <c r="AN197" s="58" t="str">
        <f aca="false">IF( AM197&lt;&gt;"",VLOOKUP(AM197,Selects!$M$4:$N$1000,2,0),"")</f>
        <v/>
      </c>
      <c r="AO197" s="58"/>
      <c r="AP197" s="59"/>
      <c r="AQ197" s="65"/>
      <c r="AR197" s="58"/>
      <c r="AS197" s="58"/>
      <c r="AT197" s="26"/>
      <c r="AU197" s="58"/>
      <c r="AV197" s="58"/>
      <c r="AW197" s="58"/>
      <c r="AX197" s="58"/>
      <c r="AY197" s="71"/>
      <c r="AZ197" s="58"/>
      <c r="BA197" s="58"/>
      <c r="BB197" s="72" t="str">
        <f aca="false">IF(BA197&lt;&gt;"",VLOOKUP(BA197,Selects!$B$4:$C$100,2,0),"")</f>
        <v/>
      </c>
      <c r="BC197" s="26"/>
      <c r="BD197" s="26"/>
      <c r="BE197" s="73"/>
      <c r="BF197" s="74"/>
      <c r="BG197" s="75" t="str">
        <f aca="false">IF(LEN(BF197)=11,"PF",IF(LEN(BF197)=14,"PJ",""))</f>
        <v/>
      </c>
      <c r="BH197" s="66"/>
      <c r="BI197" s="58" t="str">
        <f aca="false">IF(BH197&lt;&gt;"",VLOOKUP(BH197,Selects!$G:$H,2,0),"")</f>
        <v/>
      </c>
      <c r="BJ197" s="58"/>
      <c r="BK197" s="58"/>
      <c r="BL197" s="59"/>
      <c r="BM197" s="58"/>
      <c r="BN197" s="58"/>
      <c r="BO197" s="58" t="str">
        <f aca="false">IF(BN197&lt;&gt;"",VLOOKUP(BN197,Selects!$J$4:$K$1000,2,0),"")</f>
        <v/>
      </c>
      <c r="BP197" s="76"/>
      <c r="BQ197" s="59"/>
      <c r="BR197" s="77"/>
      <c r="BS197" s="59"/>
      <c r="BT197" s="77"/>
      <c r="BU197" s="58"/>
      <c r="BV197" s="58"/>
      <c r="BW197" s="58"/>
      <c r="BX197" s="58"/>
      <c r="BY197" s="58"/>
      <c r="BZ197" s="58"/>
      <c r="CA197" s="58"/>
      <c r="CB197" s="72" t="str">
        <f aca="false">IF(AC197&lt;&gt;"",VLOOKUP(AC197,Selects!$B:$E,4,0),"")</f>
        <v/>
      </c>
      <c r="CC197" s="58"/>
      <c r="CD197" s="58"/>
      <c r="CE197" s="58"/>
    </row>
    <row r="198" customFormat="false" ht="15.75" hidden="false" customHeight="true" outlineLevel="0" collapsed="false">
      <c r="A198" s="17"/>
      <c r="B198" s="58"/>
      <c r="C198" s="58"/>
      <c r="D198" s="59"/>
      <c r="E198" s="60" t="str">
        <f aca="false">IF(LEN(D198)=11,"PF",IF(LEN(D198)=14,"PJ",""))</f>
        <v/>
      </c>
      <c r="F198" s="59"/>
      <c r="G198" s="59"/>
      <c r="H198" s="61" t="str">
        <f aca="false">IF(G198&lt;&gt;"",VLOOKUP(G198,'Cnae  mcc  id'!$A:$M,9,0),"")</f>
        <v/>
      </c>
      <c r="I198" s="62"/>
      <c r="J198" s="63" t="str">
        <f aca="false">IF(I198&lt;&gt;"",VLOOKUP(I198,'Legal Nature'!$E$2:$G$84,3,0),"")</f>
        <v/>
      </c>
      <c r="K198" s="64"/>
      <c r="L198" s="65"/>
      <c r="M198" s="66"/>
      <c r="N198" s="66"/>
      <c r="O198" s="79"/>
      <c r="P198" s="26"/>
      <c r="Q198" s="58"/>
      <c r="R198" s="58"/>
      <c r="S198" s="80"/>
      <c r="T198" s="68" t="str">
        <f aca="false">IF(LEFT(S198,1)="9","Celular",IF(S198="","","Fixo"))</f>
        <v/>
      </c>
      <c r="U198" s="58" t="str">
        <f aca="false">IF( T198&lt;&gt;"",VLOOKUP(T198,Selects!$M$4:$N$1000,2,0),"")</f>
        <v/>
      </c>
      <c r="V198" s="26"/>
      <c r="W198" s="58"/>
      <c r="X198" s="58"/>
      <c r="Y198" s="58"/>
      <c r="Z198" s="58"/>
      <c r="AA198" s="69"/>
      <c r="AB198" s="58"/>
      <c r="AC198" s="58"/>
      <c r="AD198" s="70" t="str">
        <f aca="false">IF(AC198&lt;&gt;"",VLOOKUP(AC198,Selects!$B$4:$C$100,2,0),"")</f>
        <v/>
      </c>
      <c r="AE198" s="26"/>
      <c r="AF198" s="58"/>
      <c r="AG198" s="59"/>
      <c r="AH198" s="65"/>
      <c r="AI198" s="66"/>
      <c r="AJ198" s="66"/>
      <c r="AK198" s="58"/>
      <c r="AL198" s="58"/>
      <c r="AM198" s="68" t="str">
        <f aca="false">IF(LEFT(AL198,1)="9","Celular",IF(AL198="","","Fixo"))</f>
        <v/>
      </c>
      <c r="AN198" s="58" t="str">
        <f aca="false">IF( AM198&lt;&gt;"",VLOOKUP(AM198,Selects!$M$4:$N$1000,2,0),"")</f>
        <v/>
      </c>
      <c r="AO198" s="58"/>
      <c r="AP198" s="59"/>
      <c r="AQ198" s="65"/>
      <c r="AR198" s="58"/>
      <c r="AS198" s="58"/>
      <c r="AT198" s="26"/>
      <c r="AU198" s="58"/>
      <c r="AV198" s="58"/>
      <c r="AW198" s="58"/>
      <c r="AX198" s="58"/>
      <c r="AY198" s="71"/>
      <c r="AZ198" s="58"/>
      <c r="BA198" s="58"/>
      <c r="BB198" s="72" t="str">
        <f aca="false">IF(BA198&lt;&gt;"",VLOOKUP(BA198,Selects!$B$4:$C$100,2,0),"")</f>
        <v/>
      </c>
      <c r="BC198" s="26"/>
      <c r="BD198" s="26"/>
      <c r="BE198" s="73"/>
      <c r="BF198" s="74"/>
      <c r="BG198" s="75" t="str">
        <f aca="false">IF(LEN(BF198)=11,"PF",IF(LEN(BF198)=14,"PJ",""))</f>
        <v/>
      </c>
      <c r="BH198" s="66"/>
      <c r="BI198" s="58" t="str">
        <f aca="false">IF(BH198&lt;&gt;"",VLOOKUP(BH198,Selects!$G:$H,2,0),"")</f>
        <v/>
      </c>
      <c r="BJ198" s="58"/>
      <c r="BK198" s="58"/>
      <c r="BL198" s="59"/>
      <c r="BM198" s="58"/>
      <c r="BN198" s="58"/>
      <c r="BO198" s="58" t="str">
        <f aca="false">IF(BN198&lt;&gt;"",VLOOKUP(BN198,Selects!$J$4:$K$1000,2,0),"")</f>
        <v/>
      </c>
      <c r="BP198" s="76"/>
      <c r="BQ198" s="59"/>
      <c r="BR198" s="77"/>
      <c r="BS198" s="59"/>
      <c r="BT198" s="77"/>
      <c r="BU198" s="58"/>
      <c r="BV198" s="58"/>
      <c r="BW198" s="58"/>
      <c r="BX198" s="58"/>
      <c r="BY198" s="58"/>
      <c r="BZ198" s="58"/>
      <c r="CA198" s="58"/>
      <c r="CB198" s="72" t="str">
        <f aca="false">IF(AC198&lt;&gt;"",VLOOKUP(AC198,Selects!$B:$E,4,0),"")</f>
        <v/>
      </c>
      <c r="CC198" s="58"/>
      <c r="CD198" s="58"/>
      <c r="CE198" s="58"/>
    </row>
    <row r="199" customFormat="false" ht="15.75" hidden="false" customHeight="true" outlineLevel="0" collapsed="false">
      <c r="A199" s="17"/>
      <c r="B199" s="58"/>
      <c r="C199" s="58"/>
      <c r="D199" s="59"/>
      <c r="E199" s="60" t="str">
        <f aca="false">IF(LEN(D199)=11,"PF",IF(LEN(D199)=14,"PJ",""))</f>
        <v/>
      </c>
      <c r="F199" s="59"/>
      <c r="G199" s="59"/>
      <c r="H199" s="61" t="str">
        <f aca="false">IF(G199&lt;&gt;"",VLOOKUP(G199,'Cnae  mcc  id'!$A:$M,9,0),"")</f>
        <v/>
      </c>
      <c r="I199" s="62"/>
      <c r="J199" s="63" t="str">
        <f aca="false">IF(I199&lt;&gt;"",VLOOKUP(I199,'Legal Nature'!$E$2:$G$84,3,0),"")</f>
        <v/>
      </c>
      <c r="K199" s="64"/>
      <c r="L199" s="65"/>
      <c r="M199" s="66"/>
      <c r="N199" s="66"/>
      <c r="O199" s="79"/>
      <c r="P199" s="26"/>
      <c r="Q199" s="58"/>
      <c r="R199" s="58"/>
      <c r="S199" s="80"/>
      <c r="T199" s="68" t="str">
        <f aca="false">IF(LEFT(S199,1)="9","Celular",IF(S199="","","Fixo"))</f>
        <v/>
      </c>
      <c r="U199" s="58" t="str">
        <f aca="false">IF( T199&lt;&gt;"",VLOOKUP(T199,Selects!$M$4:$N$1000,2,0),"")</f>
        <v/>
      </c>
      <c r="V199" s="26"/>
      <c r="W199" s="58"/>
      <c r="X199" s="58"/>
      <c r="Y199" s="58"/>
      <c r="Z199" s="58"/>
      <c r="AA199" s="69"/>
      <c r="AB199" s="58"/>
      <c r="AC199" s="58"/>
      <c r="AD199" s="70" t="str">
        <f aca="false">IF(AC199&lt;&gt;"",VLOOKUP(AC199,Selects!$B$4:$C$100,2,0),"")</f>
        <v/>
      </c>
      <c r="AE199" s="26"/>
      <c r="AF199" s="58"/>
      <c r="AG199" s="59"/>
      <c r="AH199" s="65"/>
      <c r="AI199" s="66"/>
      <c r="AJ199" s="66"/>
      <c r="AK199" s="58"/>
      <c r="AL199" s="58"/>
      <c r="AM199" s="68" t="str">
        <f aca="false">IF(LEFT(AL199,1)="9","Celular",IF(AL199="","","Fixo"))</f>
        <v/>
      </c>
      <c r="AN199" s="58" t="str">
        <f aca="false">IF( AM199&lt;&gt;"",VLOOKUP(AM199,Selects!$M$4:$N$1000,2,0),"")</f>
        <v/>
      </c>
      <c r="AO199" s="58"/>
      <c r="AP199" s="59"/>
      <c r="AQ199" s="65"/>
      <c r="AR199" s="58"/>
      <c r="AS199" s="58"/>
      <c r="AT199" s="26"/>
      <c r="AU199" s="58"/>
      <c r="AV199" s="58"/>
      <c r="AW199" s="58"/>
      <c r="AX199" s="58"/>
      <c r="AY199" s="71"/>
      <c r="AZ199" s="58"/>
      <c r="BA199" s="58"/>
      <c r="BB199" s="72" t="str">
        <f aca="false">IF(BA199&lt;&gt;"",VLOOKUP(BA199,Selects!$B$4:$C$100,2,0),"")</f>
        <v/>
      </c>
      <c r="BC199" s="26"/>
      <c r="BD199" s="26"/>
      <c r="BE199" s="73"/>
      <c r="BF199" s="74"/>
      <c r="BG199" s="75" t="str">
        <f aca="false">IF(LEN(BF199)=11,"PF",IF(LEN(BF199)=14,"PJ",""))</f>
        <v/>
      </c>
      <c r="BH199" s="66"/>
      <c r="BI199" s="58" t="str">
        <f aca="false">IF(BH199&lt;&gt;"",VLOOKUP(BH199,Selects!$G:$H,2,0),"")</f>
        <v/>
      </c>
      <c r="BJ199" s="58"/>
      <c r="BK199" s="58"/>
      <c r="BL199" s="59"/>
      <c r="BM199" s="58"/>
      <c r="BN199" s="58"/>
      <c r="BO199" s="58" t="str">
        <f aca="false">IF(BN199&lt;&gt;"",VLOOKUP(BN199,Selects!$J$4:$K$1000,2,0),"")</f>
        <v/>
      </c>
      <c r="BP199" s="76"/>
      <c r="BQ199" s="59"/>
      <c r="BR199" s="77"/>
      <c r="BS199" s="59"/>
      <c r="BT199" s="77"/>
      <c r="BU199" s="58"/>
      <c r="BV199" s="58"/>
      <c r="BW199" s="58"/>
      <c r="BX199" s="58"/>
      <c r="BY199" s="58"/>
      <c r="BZ199" s="58"/>
      <c r="CA199" s="58"/>
      <c r="CB199" s="72" t="str">
        <f aca="false">IF(AC199&lt;&gt;"",VLOOKUP(AC199,Selects!$B:$E,4,0),"")</f>
        <v/>
      </c>
      <c r="CC199" s="58"/>
      <c r="CD199" s="58"/>
      <c r="CE199" s="58"/>
    </row>
    <row r="200" customFormat="false" ht="15.75" hidden="false" customHeight="true" outlineLevel="0" collapsed="false">
      <c r="A200" s="17"/>
      <c r="B200" s="58"/>
      <c r="C200" s="58"/>
      <c r="D200" s="59"/>
      <c r="E200" s="60" t="str">
        <f aca="false">IF(LEN(D200)=11,"PF",IF(LEN(D200)=14,"PJ",""))</f>
        <v/>
      </c>
      <c r="F200" s="59"/>
      <c r="G200" s="59"/>
      <c r="H200" s="61" t="str">
        <f aca="false">IF(G200&lt;&gt;"",VLOOKUP(G200,'Cnae  mcc  id'!$A:$M,9,0),"")</f>
        <v/>
      </c>
      <c r="I200" s="62"/>
      <c r="J200" s="63" t="str">
        <f aca="false">IF(I200&lt;&gt;"",VLOOKUP(I200,'Legal Nature'!$E$2:$G$84,3,0),"")</f>
        <v/>
      </c>
      <c r="K200" s="64"/>
      <c r="L200" s="65"/>
      <c r="M200" s="66"/>
      <c r="N200" s="66"/>
      <c r="O200" s="79"/>
      <c r="P200" s="26"/>
      <c r="Q200" s="58"/>
      <c r="R200" s="58"/>
      <c r="S200" s="80"/>
      <c r="T200" s="68" t="str">
        <f aca="false">IF(LEFT(S200,1)="9","Celular",IF(S200="","","Fixo"))</f>
        <v/>
      </c>
      <c r="U200" s="58" t="str">
        <f aca="false">IF( T200&lt;&gt;"",VLOOKUP(T200,Selects!$M$4:$N$1000,2,0),"")</f>
        <v/>
      </c>
      <c r="V200" s="26"/>
      <c r="W200" s="58"/>
      <c r="X200" s="58"/>
      <c r="Y200" s="58"/>
      <c r="Z200" s="58"/>
      <c r="AA200" s="69"/>
      <c r="AB200" s="58"/>
      <c r="AC200" s="58"/>
      <c r="AD200" s="70" t="str">
        <f aca="false">IF(AC200&lt;&gt;"",VLOOKUP(AC200,Selects!$B$4:$C$100,2,0),"")</f>
        <v/>
      </c>
      <c r="AE200" s="26"/>
      <c r="AF200" s="58"/>
      <c r="AG200" s="59"/>
      <c r="AH200" s="65"/>
      <c r="AI200" s="66"/>
      <c r="AJ200" s="66"/>
      <c r="AK200" s="58"/>
      <c r="AL200" s="58"/>
      <c r="AM200" s="68" t="str">
        <f aca="false">IF(LEFT(AL200,1)="9","Celular",IF(AL200="","","Fixo"))</f>
        <v/>
      </c>
      <c r="AN200" s="58" t="str">
        <f aca="false">IF( AM200&lt;&gt;"",VLOOKUP(AM200,Selects!$M$4:$N$1000,2,0),"")</f>
        <v/>
      </c>
      <c r="AO200" s="58"/>
      <c r="AP200" s="59"/>
      <c r="AQ200" s="65"/>
      <c r="AR200" s="58"/>
      <c r="AS200" s="58"/>
      <c r="AT200" s="26"/>
      <c r="AU200" s="58"/>
      <c r="AV200" s="58"/>
      <c r="AW200" s="58"/>
      <c r="AX200" s="58"/>
      <c r="AY200" s="71"/>
      <c r="AZ200" s="58"/>
      <c r="BA200" s="58"/>
      <c r="BB200" s="72" t="str">
        <f aca="false">IF(BA200&lt;&gt;"",VLOOKUP(BA200,Selects!$B$4:$C$100,2,0),"")</f>
        <v/>
      </c>
      <c r="BC200" s="26"/>
      <c r="BD200" s="26"/>
      <c r="BE200" s="73"/>
      <c r="BF200" s="74"/>
      <c r="BG200" s="75" t="str">
        <f aca="false">IF(LEN(BF200)=11,"PF",IF(LEN(BF200)=14,"PJ",""))</f>
        <v/>
      </c>
      <c r="BH200" s="66"/>
      <c r="BI200" s="58" t="str">
        <f aca="false">IF(BH200&lt;&gt;"",VLOOKUP(BH200,Selects!$G:$H,2,0),"")</f>
        <v/>
      </c>
      <c r="BJ200" s="58"/>
      <c r="BK200" s="58"/>
      <c r="BL200" s="59"/>
      <c r="BM200" s="58"/>
      <c r="BN200" s="58"/>
      <c r="BO200" s="58" t="str">
        <f aca="false">IF(BN200&lt;&gt;"",VLOOKUP(BN200,Selects!$J$4:$K$1000,2,0),"")</f>
        <v/>
      </c>
      <c r="BP200" s="76"/>
      <c r="BQ200" s="59"/>
      <c r="BR200" s="77"/>
      <c r="BS200" s="59"/>
      <c r="BT200" s="77"/>
      <c r="BU200" s="58"/>
      <c r="BV200" s="58"/>
      <c r="BW200" s="58"/>
      <c r="BX200" s="58"/>
      <c r="BY200" s="58"/>
      <c r="BZ200" s="58"/>
      <c r="CA200" s="58"/>
      <c r="CB200" s="72" t="str">
        <f aca="false">IF(AC200&lt;&gt;"",VLOOKUP(AC200,Selects!$B:$E,4,0),"")</f>
        <v/>
      </c>
      <c r="CC200" s="58"/>
      <c r="CD200" s="58"/>
      <c r="CE200" s="58"/>
    </row>
    <row r="201" customFormat="false" ht="15.75" hidden="false" customHeight="true" outlineLevel="0" collapsed="false">
      <c r="A201" s="17"/>
      <c r="B201" s="58"/>
      <c r="C201" s="58"/>
      <c r="D201" s="59"/>
      <c r="E201" s="60" t="str">
        <f aca="false">IF(LEN(D201)=11,"PF",IF(LEN(D201)=14,"PJ",""))</f>
        <v/>
      </c>
      <c r="F201" s="59"/>
      <c r="G201" s="59"/>
      <c r="H201" s="61" t="str">
        <f aca="false">IF(G201&lt;&gt;"",VLOOKUP(G201,'Cnae  mcc  id'!$A:$M,9,0),"")</f>
        <v/>
      </c>
      <c r="I201" s="62"/>
      <c r="J201" s="63" t="str">
        <f aca="false">IF(I201&lt;&gt;"",VLOOKUP(I201,'Legal Nature'!$E$2:$G$84,3,0),"")</f>
        <v/>
      </c>
      <c r="K201" s="64"/>
      <c r="L201" s="65"/>
      <c r="M201" s="66"/>
      <c r="N201" s="66"/>
      <c r="O201" s="79"/>
      <c r="P201" s="26"/>
      <c r="Q201" s="58"/>
      <c r="R201" s="58"/>
      <c r="S201" s="80"/>
      <c r="T201" s="68" t="str">
        <f aca="false">IF(LEFT(S201,1)="9","Celular",IF(S201="","","Fixo"))</f>
        <v/>
      </c>
      <c r="U201" s="58" t="str">
        <f aca="false">IF( T201&lt;&gt;"",VLOOKUP(T201,Selects!$M$4:$N$1000,2,0),"")</f>
        <v/>
      </c>
      <c r="V201" s="26"/>
      <c r="W201" s="58"/>
      <c r="X201" s="58"/>
      <c r="Y201" s="58"/>
      <c r="Z201" s="58"/>
      <c r="AA201" s="69"/>
      <c r="AB201" s="58"/>
      <c r="AC201" s="58"/>
      <c r="AD201" s="70" t="str">
        <f aca="false">IF(AC201&lt;&gt;"",VLOOKUP(AC201,Selects!$B$4:$C$100,2,0),"")</f>
        <v/>
      </c>
      <c r="AE201" s="26"/>
      <c r="AF201" s="58"/>
      <c r="AG201" s="59"/>
      <c r="AH201" s="65"/>
      <c r="AI201" s="66"/>
      <c r="AJ201" s="66"/>
      <c r="AK201" s="58"/>
      <c r="AL201" s="58"/>
      <c r="AM201" s="68" t="str">
        <f aca="false">IF(LEFT(AL201,1)="9","Celular",IF(AL201="","","Fixo"))</f>
        <v/>
      </c>
      <c r="AN201" s="58" t="str">
        <f aca="false">IF( AM201&lt;&gt;"",VLOOKUP(AM201,Selects!$M$4:$N$1000,2,0),"")</f>
        <v/>
      </c>
      <c r="AO201" s="58"/>
      <c r="AP201" s="59"/>
      <c r="AQ201" s="65"/>
      <c r="AR201" s="58"/>
      <c r="AS201" s="58"/>
      <c r="AT201" s="26"/>
      <c r="AU201" s="58"/>
      <c r="AV201" s="58"/>
      <c r="AW201" s="58"/>
      <c r="AX201" s="58"/>
      <c r="AY201" s="71"/>
      <c r="AZ201" s="58"/>
      <c r="BA201" s="58"/>
      <c r="BB201" s="72" t="str">
        <f aca="false">IF(BA201&lt;&gt;"",VLOOKUP(BA201,Selects!$B$4:$C$100,2,0),"")</f>
        <v/>
      </c>
      <c r="BC201" s="26"/>
      <c r="BD201" s="26"/>
      <c r="BE201" s="73"/>
      <c r="BF201" s="74"/>
      <c r="BG201" s="75" t="str">
        <f aca="false">IF(LEN(BF201)=11,"PF",IF(LEN(BF201)=14,"PJ",""))</f>
        <v/>
      </c>
      <c r="BH201" s="66"/>
      <c r="BI201" s="58" t="str">
        <f aca="false">IF(BH201&lt;&gt;"",VLOOKUP(BH201,Selects!$G:$H,2,0),"")</f>
        <v/>
      </c>
      <c r="BJ201" s="58"/>
      <c r="BK201" s="58"/>
      <c r="BL201" s="59"/>
      <c r="BM201" s="58"/>
      <c r="BN201" s="58"/>
      <c r="BO201" s="58" t="str">
        <f aca="false">IF(BN201&lt;&gt;"",VLOOKUP(BN201,Selects!$J$4:$K$1000,2,0),"")</f>
        <v/>
      </c>
      <c r="BP201" s="76"/>
      <c r="BQ201" s="59"/>
      <c r="BR201" s="77"/>
      <c r="BS201" s="59"/>
      <c r="BT201" s="77"/>
      <c r="BU201" s="58"/>
      <c r="BV201" s="58"/>
      <c r="BW201" s="58"/>
      <c r="BX201" s="58"/>
      <c r="BY201" s="58"/>
      <c r="BZ201" s="58"/>
      <c r="CA201" s="58"/>
      <c r="CB201" s="72" t="str">
        <f aca="false">IF(AC201&lt;&gt;"",VLOOKUP(AC201,Selects!$B:$E,4,0),"")</f>
        <v/>
      </c>
      <c r="CC201" s="58"/>
      <c r="CD201" s="58"/>
      <c r="CE201" s="58"/>
    </row>
    <row r="202" customFormat="false" ht="15.75" hidden="false" customHeight="true" outlineLevel="0" collapsed="false">
      <c r="A202" s="17"/>
      <c r="B202" s="58"/>
      <c r="C202" s="58"/>
      <c r="D202" s="59"/>
      <c r="E202" s="60" t="str">
        <f aca="false">IF(LEN(D202)=11,"PF",IF(LEN(D202)=14,"PJ",""))</f>
        <v/>
      </c>
      <c r="F202" s="59"/>
      <c r="G202" s="59"/>
      <c r="H202" s="61" t="str">
        <f aca="false">IF(G202&lt;&gt;"",VLOOKUP(G202,'Cnae  mcc  id'!$A:$M,9,0),"")</f>
        <v/>
      </c>
      <c r="I202" s="62"/>
      <c r="J202" s="63" t="str">
        <f aca="false">IF(I202&lt;&gt;"",VLOOKUP(I202,'Legal Nature'!$E$2:$G$84,3,0),"")</f>
        <v/>
      </c>
      <c r="K202" s="64"/>
      <c r="L202" s="65"/>
      <c r="M202" s="66"/>
      <c r="N202" s="66"/>
      <c r="O202" s="79"/>
      <c r="P202" s="26"/>
      <c r="Q202" s="58"/>
      <c r="R202" s="58"/>
      <c r="S202" s="80"/>
      <c r="T202" s="68" t="str">
        <f aca="false">IF(LEFT(S202,1)="9","Celular",IF(S202="","","Fixo"))</f>
        <v/>
      </c>
      <c r="U202" s="58" t="str">
        <f aca="false">IF( T202&lt;&gt;"",VLOOKUP(T202,Selects!$M$4:$N$1000,2,0),"")</f>
        <v/>
      </c>
      <c r="V202" s="26"/>
      <c r="W202" s="58"/>
      <c r="X202" s="58"/>
      <c r="Y202" s="58"/>
      <c r="Z202" s="58"/>
      <c r="AA202" s="69"/>
      <c r="AB202" s="58"/>
      <c r="AC202" s="58"/>
      <c r="AD202" s="70" t="str">
        <f aca="false">IF(AC202&lt;&gt;"",VLOOKUP(AC202,Selects!$B$4:$C$100,2,0),"")</f>
        <v/>
      </c>
      <c r="AE202" s="26"/>
      <c r="AF202" s="58"/>
      <c r="AG202" s="59"/>
      <c r="AH202" s="65"/>
      <c r="AI202" s="66"/>
      <c r="AJ202" s="66"/>
      <c r="AK202" s="58"/>
      <c r="AL202" s="58"/>
      <c r="AM202" s="68" t="str">
        <f aca="false">IF(LEFT(AL202,1)="9","Celular",IF(AL202="","","Fixo"))</f>
        <v/>
      </c>
      <c r="AN202" s="58" t="str">
        <f aca="false">IF( AM202&lt;&gt;"",VLOOKUP(AM202,Selects!$M$4:$N$1000,2,0),"")</f>
        <v/>
      </c>
      <c r="AO202" s="58"/>
      <c r="AP202" s="59"/>
      <c r="AQ202" s="65"/>
      <c r="AR202" s="58"/>
      <c r="AS202" s="58"/>
      <c r="AT202" s="26"/>
      <c r="AU202" s="58"/>
      <c r="AV202" s="58"/>
      <c r="AW202" s="58"/>
      <c r="AX202" s="58"/>
      <c r="AY202" s="71"/>
      <c r="AZ202" s="58"/>
      <c r="BA202" s="58"/>
      <c r="BB202" s="72" t="str">
        <f aca="false">IF(BA202&lt;&gt;"",VLOOKUP(BA202,Selects!$B$4:$C$100,2,0),"")</f>
        <v/>
      </c>
      <c r="BC202" s="26"/>
      <c r="BD202" s="26"/>
      <c r="BE202" s="73"/>
      <c r="BF202" s="74"/>
      <c r="BG202" s="75" t="str">
        <f aca="false">IF(LEN(BF202)=11,"PF",IF(LEN(BF202)=14,"PJ",""))</f>
        <v/>
      </c>
      <c r="BH202" s="66"/>
      <c r="BI202" s="58" t="str">
        <f aca="false">IF(BH202&lt;&gt;"",VLOOKUP(BH202,Selects!$G:$H,2,0),"")</f>
        <v/>
      </c>
      <c r="BJ202" s="58"/>
      <c r="BK202" s="58"/>
      <c r="BL202" s="59"/>
      <c r="BM202" s="58"/>
      <c r="BN202" s="58"/>
      <c r="BO202" s="58" t="str">
        <f aca="false">IF(BN202&lt;&gt;"",VLOOKUP(BN202,Selects!$J$4:$K$1000,2,0),"")</f>
        <v/>
      </c>
      <c r="BP202" s="76"/>
      <c r="BQ202" s="59"/>
      <c r="BR202" s="77"/>
      <c r="BS202" s="59"/>
      <c r="BT202" s="77"/>
      <c r="BU202" s="58"/>
      <c r="BV202" s="58"/>
      <c r="BW202" s="58"/>
      <c r="BX202" s="58"/>
      <c r="BY202" s="58"/>
      <c r="BZ202" s="58"/>
      <c r="CA202" s="58"/>
      <c r="CB202" s="72" t="str">
        <f aca="false">IF(AC202&lt;&gt;"",VLOOKUP(AC202,Selects!$B:$E,4,0),"")</f>
        <v/>
      </c>
      <c r="CC202" s="58"/>
      <c r="CD202" s="58"/>
      <c r="CE202" s="58"/>
    </row>
    <row r="203" customFormat="false" ht="15.75" hidden="false" customHeight="true" outlineLevel="0" collapsed="false">
      <c r="A203" s="17"/>
      <c r="B203" s="58"/>
      <c r="C203" s="58"/>
      <c r="D203" s="59"/>
      <c r="E203" s="60" t="str">
        <f aca="false">IF(LEN(D203)=11,"PF",IF(LEN(D203)=14,"PJ",""))</f>
        <v/>
      </c>
      <c r="F203" s="59"/>
      <c r="G203" s="59"/>
      <c r="H203" s="61" t="str">
        <f aca="false">IF(G203&lt;&gt;"",VLOOKUP(G203,'Cnae  mcc  id'!$A:$M,9,0),"")</f>
        <v/>
      </c>
      <c r="I203" s="62"/>
      <c r="J203" s="63" t="str">
        <f aca="false">IF(I203&lt;&gt;"",VLOOKUP(I203,'Legal Nature'!$E$2:$G$84,3,0),"")</f>
        <v/>
      </c>
      <c r="K203" s="64"/>
      <c r="L203" s="65"/>
      <c r="M203" s="66"/>
      <c r="N203" s="66"/>
      <c r="O203" s="79"/>
      <c r="P203" s="26"/>
      <c r="Q203" s="58"/>
      <c r="R203" s="58"/>
      <c r="S203" s="80"/>
      <c r="T203" s="68" t="str">
        <f aca="false">IF(LEFT(S203,1)="9","Celular",IF(S203="","","Fixo"))</f>
        <v/>
      </c>
      <c r="U203" s="58" t="str">
        <f aca="false">IF( T203&lt;&gt;"",VLOOKUP(T203,Selects!$M$4:$N$1000,2,0),"")</f>
        <v/>
      </c>
      <c r="V203" s="26"/>
      <c r="W203" s="58"/>
      <c r="X203" s="58"/>
      <c r="Y203" s="58"/>
      <c r="Z203" s="58"/>
      <c r="AA203" s="69"/>
      <c r="AB203" s="58"/>
      <c r="AC203" s="58"/>
      <c r="AD203" s="70" t="str">
        <f aca="false">IF(AC203&lt;&gt;"",VLOOKUP(AC203,Selects!$B$4:$C$100,2,0),"")</f>
        <v/>
      </c>
      <c r="AE203" s="26"/>
      <c r="AF203" s="58"/>
      <c r="AG203" s="59"/>
      <c r="AH203" s="65"/>
      <c r="AI203" s="66"/>
      <c r="AJ203" s="66"/>
      <c r="AK203" s="58"/>
      <c r="AL203" s="58"/>
      <c r="AM203" s="68" t="str">
        <f aca="false">IF(LEFT(AL203,1)="9","Celular",IF(AL203="","","Fixo"))</f>
        <v/>
      </c>
      <c r="AN203" s="58" t="str">
        <f aca="false">IF( AM203&lt;&gt;"",VLOOKUP(AM203,Selects!$M$4:$N$1000,2,0),"")</f>
        <v/>
      </c>
      <c r="AO203" s="58"/>
      <c r="AP203" s="59"/>
      <c r="AQ203" s="65"/>
      <c r="AR203" s="58"/>
      <c r="AS203" s="58"/>
      <c r="AT203" s="26"/>
      <c r="AU203" s="58"/>
      <c r="AV203" s="58"/>
      <c r="AW203" s="58"/>
      <c r="AX203" s="58"/>
      <c r="AY203" s="71"/>
      <c r="AZ203" s="58"/>
      <c r="BA203" s="58"/>
      <c r="BB203" s="72" t="str">
        <f aca="false">IF(BA203&lt;&gt;"",VLOOKUP(BA203,Selects!$B$4:$C$100,2,0),"")</f>
        <v/>
      </c>
      <c r="BC203" s="26"/>
      <c r="BD203" s="26"/>
      <c r="BE203" s="73"/>
      <c r="BF203" s="74"/>
      <c r="BG203" s="75" t="str">
        <f aca="false">IF(LEN(BF203)=11,"PF",IF(LEN(BF203)=14,"PJ",""))</f>
        <v/>
      </c>
      <c r="BH203" s="66"/>
      <c r="BI203" s="58" t="str">
        <f aca="false">IF(BH203&lt;&gt;"",VLOOKUP(BH203,Selects!$G:$H,2,0),"")</f>
        <v/>
      </c>
      <c r="BJ203" s="58"/>
      <c r="BK203" s="58"/>
      <c r="BL203" s="59"/>
      <c r="BM203" s="58"/>
      <c r="BN203" s="58"/>
      <c r="BO203" s="58" t="str">
        <f aca="false">IF(BN203&lt;&gt;"",VLOOKUP(BN203,Selects!$J$4:$K$1000,2,0),"")</f>
        <v/>
      </c>
      <c r="BP203" s="76"/>
      <c r="BQ203" s="59"/>
      <c r="BR203" s="77"/>
      <c r="BS203" s="59"/>
      <c r="BT203" s="77"/>
      <c r="BU203" s="58"/>
      <c r="BV203" s="58"/>
      <c r="BW203" s="58"/>
      <c r="BX203" s="58"/>
      <c r="BY203" s="58"/>
      <c r="BZ203" s="58"/>
      <c r="CA203" s="58"/>
      <c r="CB203" s="72" t="str">
        <f aca="false">IF(AC203&lt;&gt;"",VLOOKUP(AC203,Selects!$B:$E,4,0),"")</f>
        <v/>
      </c>
      <c r="CC203" s="58"/>
      <c r="CD203" s="58"/>
      <c r="CE203" s="58"/>
    </row>
    <row r="204" customFormat="false" ht="15.75" hidden="false" customHeight="true" outlineLevel="0" collapsed="false">
      <c r="A204" s="17"/>
      <c r="B204" s="58"/>
      <c r="C204" s="58"/>
      <c r="D204" s="59"/>
      <c r="E204" s="60" t="str">
        <f aca="false">IF(LEN(D204)=11,"PF",IF(LEN(D204)=14,"PJ",""))</f>
        <v/>
      </c>
      <c r="F204" s="59"/>
      <c r="G204" s="59"/>
      <c r="H204" s="61" t="str">
        <f aca="false">IF(G204&lt;&gt;"",VLOOKUP(G204,'Cnae  mcc  id'!$A:$M,9,0),"")</f>
        <v/>
      </c>
      <c r="I204" s="62"/>
      <c r="J204" s="63" t="str">
        <f aca="false">IF(I204&lt;&gt;"",VLOOKUP(I204,'Legal Nature'!$E$2:$G$84,3,0),"")</f>
        <v/>
      </c>
      <c r="K204" s="64"/>
      <c r="L204" s="65"/>
      <c r="M204" s="66"/>
      <c r="N204" s="66"/>
      <c r="O204" s="79"/>
      <c r="P204" s="26"/>
      <c r="Q204" s="58"/>
      <c r="R204" s="58"/>
      <c r="S204" s="80"/>
      <c r="T204" s="68" t="str">
        <f aca="false">IF(LEFT(S204,1)="9","Celular",IF(S204="","","Fixo"))</f>
        <v/>
      </c>
      <c r="U204" s="58" t="str">
        <f aca="false">IF( T204&lt;&gt;"",VLOOKUP(T204,Selects!$M$4:$N$1000,2,0),"")</f>
        <v/>
      </c>
      <c r="V204" s="26"/>
      <c r="W204" s="58"/>
      <c r="X204" s="58"/>
      <c r="Y204" s="58"/>
      <c r="Z204" s="58"/>
      <c r="AA204" s="69"/>
      <c r="AB204" s="58"/>
      <c r="AC204" s="58"/>
      <c r="AD204" s="70" t="str">
        <f aca="false">IF(AC204&lt;&gt;"",VLOOKUP(AC204,Selects!$B$4:$C$100,2,0),"")</f>
        <v/>
      </c>
      <c r="AE204" s="26"/>
      <c r="AF204" s="58"/>
      <c r="AG204" s="59"/>
      <c r="AH204" s="65"/>
      <c r="AI204" s="66"/>
      <c r="AJ204" s="66"/>
      <c r="AK204" s="58"/>
      <c r="AL204" s="58"/>
      <c r="AM204" s="68" t="str">
        <f aca="false">IF(LEFT(AL204,1)="9","Celular",IF(AL204="","","Fixo"))</f>
        <v/>
      </c>
      <c r="AN204" s="58" t="str">
        <f aca="false">IF( AM204&lt;&gt;"",VLOOKUP(AM204,Selects!$M$4:$N$1000,2,0),"")</f>
        <v/>
      </c>
      <c r="AO204" s="58"/>
      <c r="AP204" s="59"/>
      <c r="AQ204" s="65"/>
      <c r="AR204" s="58"/>
      <c r="AS204" s="58"/>
      <c r="AT204" s="26"/>
      <c r="AU204" s="58"/>
      <c r="AV204" s="58"/>
      <c r="AW204" s="58"/>
      <c r="AX204" s="58"/>
      <c r="AY204" s="71"/>
      <c r="AZ204" s="58"/>
      <c r="BA204" s="58"/>
      <c r="BB204" s="72" t="str">
        <f aca="false">IF(BA204&lt;&gt;"",VLOOKUP(BA204,Selects!$B$4:$C$100,2,0),"")</f>
        <v/>
      </c>
      <c r="BC204" s="26"/>
      <c r="BD204" s="26"/>
      <c r="BE204" s="73"/>
      <c r="BF204" s="74"/>
      <c r="BG204" s="75" t="str">
        <f aca="false">IF(LEN(BF204)=11,"PF",IF(LEN(BF204)=14,"PJ",""))</f>
        <v/>
      </c>
      <c r="BH204" s="66"/>
      <c r="BI204" s="58" t="str">
        <f aca="false">IF(BH204&lt;&gt;"",VLOOKUP(BH204,Selects!$G:$H,2,0),"")</f>
        <v/>
      </c>
      <c r="BJ204" s="58"/>
      <c r="BK204" s="58"/>
      <c r="BL204" s="59"/>
      <c r="BM204" s="58"/>
      <c r="BN204" s="58"/>
      <c r="BO204" s="58" t="str">
        <f aca="false">IF(BN204&lt;&gt;"",VLOOKUP(BN204,Selects!$J$4:$K$1000,2,0),"")</f>
        <v/>
      </c>
      <c r="BP204" s="76"/>
      <c r="BQ204" s="59"/>
      <c r="BR204" s="77"/>
      <c r="BS204" s="59"/>
      <c r="BT204" s="77"/>
      <c r="BU204" s="58"/>
      <c r="BV204" s="58"/>
      <c r="BW204" s="58"/>
      <c r="BX204" s="58"/>
      <c r="BY204" s="58"/>
      <c r="BZ204" s="58"/>
      <c r="CA204" s="58"/>
      <c r="CB204" s="72" t="str">
        <f aca="false">IF(AC204&lt;&gt;"",VLOOKUP(AC204,Selects!$B:$E,4,0),"")</f>
        <v/>
      </c>
      <c r="CC204" s="58"/>
      <c r="CD204" s="58"/>
      <c r="CE204" s="58"/>
    </row>
    <row r="205" customFormat="false" ht="15.75" hidden="false" customHeight="true" outlineLevel="0" collapsed="false">
      <c r="A205" s="17"/>
      <c r="B205" s="58"/>
      <c r="C205" s="58"/>
      <c r="D205" s="59"/>
      <c r="E205" s="60" t="str">
        <f aca="false">IF(LEN(D205)=11,"PF",IF(LEN(D205)=14,"PJ",""))</f>
        <v/>
      </c>
      <c r="F205" s="59"/>
      <c r="G205" s="59"/>
      <c r="H205" s="61" t="str">
        <f aca="false">IF(G205&lt;&gt;"",VLOOKUP(G205,'Cnae  mcc  id'!$A:$M,9,0),"")</f>
        <v/>
      </c>
      <c r="I205" s="62"/>
      <c r="J205" s="63" t="str">
        <f aca="false">IF(I205&lt;&gt;"",VLOOKUP(I205,'Legal Nature'!$E$2:$G$84,3,0),"")</f>
        <v/>
      </c>
      <c r="K205" s="64"/>
      <c r="L205" s="65"/>
      <c r="M205" s="66"/>
      <c r="N205" s="66"/>
      <c r="O205" s="79"/>
      <c r="P205" s="26"/>
      <c r="Q205" s="58"/>
      <c r="R205" s="58"/>
      <c r="S205" s="80"/>
      <c r="T205" s="68" t="str">
        <f aca="false">IF(LEFT(S205,1)="9","Celular",IF(S205="","","Fixo"))</f>
        <v/>
      </c>
      <c r="U205" s="58" t="str">
        <f aca="false">IF( T205&lt;&gt;"",VLOOKUP(T205,Selects!$M$4:$N$1000,2,0),"")</f>
        <v/>
      </c>
      <c r="V205" s="26"/>
      <c r="W205" s="58"/>
      <c r="X205" s="58"/>
      <c r="Y205" s="58"/>
      <c r="Z205" s="58"/>
      <c r="AA205" s="69"/>
      <c r="AB205" s="58"/>
      <c r="AC205" s="58"/>
      <c r="AD205" s="70" t="str">
        <f aca="false">IF(AC205&lt;&gt;"",VLOOKUP(AC205,Selects!$B$4:$C$100,2,0),"")</f>
        <v/>
      </c>
      <c r="AE205" s="26"/>
      <c r="AF205" s="58"/>
      <c r="AG205" s="59"/>
      <c r="AH205" s="65"/>
      <c r="AI205" s="66"/>
      <c r="AJ205" s="66"/>
      <c r="AK205" s="58"/>
      <c r="AL205" s="58"/>
      <c r="AM205" s="68" t="str">
        <f aca="false">IF(LEFT(AL205,1)="9","Celular",IF(AL205="","","Fixo"))</f>
        <v/>
      </c>
      <c r="AN205" s="58" t="str">
        <f aca="false">IF( AM205&lt;&gt;"",VLOOKUP(AM205,Selects!$M$4:$N$1000,2,0),"")</f>
        <v/>
      </c>
      <c r="AO205" s="58"/>
      <c r="AP205" s="59"/>
      <c r="AQ205" s="65"/>
      <c r="AR205" s="58"/>
      <c r="AS205" s="58"/>
      <c r="AT205" s="26"/>
      <c r="AU205" s="58"/>
      <c r="AV205" s="58"/>
      <c r="AW205" s="58"/>
      <c r="AX205" s="58"/>
      <c r="AY205" s="71"/>
      <c r="AZ205" s="58"/>
      <c r="BA205" s="58"/>
      <c r="BB205" s="72" t="str">
        <f aca="false">IF(BA205&lt;&gt;"",VLOOKUP(BA205,Selects!$B$4:$C$100,2,0),"")</f>
        <v/>
      </c>
      <c r="BC205" s="26"/>
      <c r="BD205" s="26"/>
      <c r="BE205" s="73"/>
      <c r="BF205" s="74"/>
      <c r="BG205" s="75" t="str">
        <f aca="false">IF(LEN(BF205)=11,"PF",IF(LEN(BF205)=14,"PJ",""))</f>
        <v/>
      </c>
      <c r="BH205" s="66"/>
      <c r="BI205" s="58" t="str">
        <f aca="false">IF(BH205&lt;&gt;"",VLOOKUP(BH205,Selects!$G:$H,2,0),"")</f>
        <v/>
      </c>
      <c r="BJ205" s="58"/>
      <c r="BK205" s="58"/>
      <c r="BL205" s="59"/>
      <c r="BM205" s="58"/>
      <c r="BN205" s="58"/>
      <c r="BO205" s="58" t="str">
        <f aca="false">IF(BN205&lt;&gt;"",VLOOKUP(BN205,Selects!$J$4:$K$1000,2,0),"")</f>
        <v/>
      </c>
      <c r="BP205" s="76"/>
      <c r="BQ205" s="59"/>
      <c r="BR205" s="77"/>
      <c r="BS205" s="59"/>
      <c r="BT205" s="77"/>
      <c r="BU205" s="58"/>
      <c r="BV205" s="58"/>
      <c r="BW205" s="58"/>
      <c r="BX205" s="58"/>
      <c r="BY205" s="58"/>
      <c r="BZ205" s="58"/>
      <c r="CA205" s="58"/>
      <c r="CB205" s="72" t="str">
        <f aca="false">IF(AC205&lt;&gt;"",VLOOKUP(AC205,Selects!$B:$E,4,0),"")</f>
        <v/>
      </c>
      <c r="CC205" s="58"/>
      <c r="CD205" s="58"/>
      <c r="CE205" s="58"/>
    </row>
    <row r="206" customFormat="false" ht="15.75" hidden="false" customHeight="true" outlineLevel="0" collapsed="false">
      <c r="A206" s="17"/>
      <c r="B206" s="58"/>
      <c r="C206" s="58"/>
      <c r="D206" s="59"/>
      <c r="E206" s="60" t="str">
        <f aca="false">IF(LEN(D206)=11,"PF",IF(LEN(D206)=14,"PJ",""))</f>
        <v/>
      </c>
      <c r="F206" s="59"/>
      <c r="G206" s="59"/>
      <c r="H206" s="61" t="str">
        <f aca="false">IF(G206&lt;&gt;"",VLOOKUP(G206,'Cnae  mcc  id'!$A:$M,9,0),"")</f>
        <v/>
      </c>
      <c r="I206" s="62"/>
      <c r="J206" s="63" t="str">
        <f aca="false">IF(I206&lt;&gt;"",VLOOKUP(I206,'Legal Nature'!$E$2:$G$84,3,0),"")</f>
        <v/>
      </c>
      <c r="K206" s="64"/>
      <c r="L206" s="65"/>
      <c r="M206" s="66"/>
      <c r="N206" s="66"/>
      <c r="O206" s="79"/>
      <c r="P206" s="26"/>
      <c r="Q206" s="58"/>
      <c r="R206" s="58"/>
      <c r="S206" s="80"/>
      <c r="T206" s="68" t="str">
        <f aca="false">IF(LEFT(S206,1)="9","Celular",IF(S206="","","Fixo"))</f>
        <v/>
      </c>
      <c r="U206" s="58" t="str">
        <f aca="false">IF( T206&lt;&gt;"",VLOOKUP(T206,Selects!$M$4:$N$1000,2,0),"")</f>
        <v/>
      </c>
      <c r="V206" s="26"/>
      <c r="W206" s="58"/>
      <c r="X206" s="58"/>
      <c r="Y206" s="58"/>
      <c r="Z206" s="58"/>
      <c r="AA206" s="69"/>
      <c r="AB206" s="58"/>
      <c r="AC206" s="58"/>
      <c r="AD206" s="70" t="str">
        <f aca="false">IF(AC206&lt;&gt;"",VLOOKUP(AC206,Selects!$B$4:$C$100,2,0),"")</f>
        <v/>
      </c>
      <c r="AE206" s="26"/>
      <c r="AF206" s="58"/>
      <c r="AG206" s="59"/>
      <c r="AH206" s="65"/>
      <c r="AI206" s="66"/>
      <c r="AJ206" s="66"/>
      <c r="AK206" s="58"/>
      <c r="AL206" s="58"/>
      <c r="AM206" s="68" t="str">
        <f aca="false">IF(LEFT(AL206,1)="9","Celular",IF(AL206="","","Fixo"))</f>
        <v/>
      </c>
      <c r="AN206" s="58" t="str">
        <f aca="false">IF( AM206&lt;&gt;"",VLOOKUP(AM206,Selects!$M$4:$N$1000,2,0),"")</f>
        <v/>
      </c>
      <c r="AO206" s="58"/>
      <c r="AP206" s="59"/>
      <c r="AQ206" s="65"/>
      <c r="AR206" s="58"/>
      <c r="AS206" s="58"/>
      <c r="AT206" s="26"/>
      <c r="AU206" s="58"/>
      <c r="AV206" s="58"/>
      <c r="AW206" s="58"/>
      <c r="AX206" s="58"/>
      <c r="AY206" s="71"/>
      <c r="AZ206" s="58"/>
      <c r="BA206" s="58"/>
      <c r="BB206" s="72" t="str">
        <f aca="false">IF(BA206&lt;&gt;"",VLOOKUP(BA206,Selects!$B$4:$C$100,2,0),"")</f>
        <v/>
      </c>
      <c r="BC206" s="26"/>
      <c r="BD206" s="26"/>
      <c r="BE206" s="73"/>
      <c r="BF206" s="74"/>
      <c r="BG206" s="75" t="str">
        <f aca="false">IF(LEN(BF206)=11,"PF",IF(LEN(BF206)=14,"PJ",""))</f>
        <v/>
      </c>
      <c r="BH206" s="66"/>
      <c r="BI206" s="58" t="str">
        <f aca="false">IF(BH206&lt;&gt;"",VLOOKUP(BH206,Selects!$G:$H,2,0),"")</f>
        <v/>
      </c>
      <c r="BJ206" s="58"/>
      <c r="BK206" s="58"/>
      <c r="BL206" s="59"/>
      <c r="BM206" s="58"/>
      <c r="BN206" s="58"/>
      <c r="BO206" s="58" t="str">
        <f aca="false">IF(BN206&lt;&gt;"",VLOOKUP(BN206,Selects!$J$4:$K$1000,2,0),"")</f>
        <v/>
      </c>
      <c r="BP206" s="76"/>
      <c r="BQ206" s="59"/>
      <c r="BR206" s="77"/>
      <c r="BS206" s="59"/>
      <c r="BT206" s="77"/>
      <c r="BU206" s="58"/>
      <c r="BV206" s="58"/>
      <c r="BW206" s="58"/>
      <c r="BX206" s="58"/>
      <c r="BY206" s="58"/>
      <c r="BZ206" s="58"/>
      <c r="CA206" s="58"/>
      <c r="CB206" s="72" t="str">
        <f aca="false">IF(AC206&lt;&gt;"",VLOOKUP(AC206,Selects!$B:$E,4,0),"")</f>
        <v/>
      </c>
      <c r="CC206" s="58"/>
      <c r="CD206" s="58"/>
      <c r="CE206" s="58"/>
    </row>
    <row r="207" customFormat="false" ht="15.75" hidden="false" customHeight="true" outlineLevel="0" collapsed="false">
      <c r="A207" s="17"/>
      <c r="B207" s="58"/>
      <c r="C207" s="58"/>
      <c r="D207" s="59"/>
      <c r="E207" s="60" t="str">
        <f aca="false">IF(LEN(D207)=11,"PF",IF(LEN(D207)=14,"PJ",""))</f>
        <v/>
      </c>
      <c r="F207" s="59"/>
      <c r="G207" s="59"/>
      <c r="H207" s="61" t="str">
        <f aca="false">IF(G207&lt;&gt;"",VLOOKUP(G207,'Cnae  mcc  id'!$A:$M,9,0),"")</f>
        <v/>
      </c>
      <c r="I207" s="62"/>
      <c r="J207" s="63" t="str">
        <f aca="false">IF(I207&lt;&gt;"",VLOOKUP(I207,'Legal Nature'!$E$2:$G$84,3,0),"")</f>
        <v/>
      </c>
      <c r="K207" s="64"/>
      <c r="L207" s="65"/>
      <c r="M207" s="66"/>
      <c r="N207" s="66"/>
      <c r="O207" s="79"/>
      <c r="P207" s="26"/>
      <c r="Q207" s="58"/>
      <c r="R207" s="58"/>
      <c r="S207" s="80"/>
      <c r="T207" s="68" t="str">
        <f aca="false">IF(LEFT(S207,1)="9","Celular",IF(S207="","","Fixo"))</f>
        <v/>
      </c>
      <c r="U207" s="58" t="str">
        <f aca="false">IF( T207&lt;&gt;"",VLOOKUP(T207,Selects!$M$4:$N$1000,2,0),"")</f>
        <v/>
      </c>
      <c r="V207" s="26"/>
      <c r="W207" s="58"/>
      <c r="X207" s="58"/>
      <c r="Y207" s="58"/>
      <c r="Z207" s="58"/>
      <c r="AA207" s="69"/>
      <c r="AB207" s="58"/>
      <c r="AC207" s="58"/>
      <c r="AD207" s="70" t="str">
        <f aca="false">IF(AC207&lt;&gt;"",VLOOKUP(AC207,Selects!$B$4:$C$100,2,0),"")</f>
        <v/>
      </c>
      <c r="AE207" s="26"/>
      <c r="AF207" s="58"/>
      <c r="AG207" s="59"/>
      <c r="AH207" s="65"/>
      <c r="AI207" s="66"/>
      <c r="AJ207" s="66"/>
      <c r="AK207" s="58"/>
      <c r="AL207" s="58"/>
      <c r="AM207" s="68" t="str">
        <f aca="false">IF(LEFT(AL207,1)="9","Celular",IF(AL207="","","Fixo"))</f>
        <v/>
      </c>
      <c r="AN207" s="58" t="str">
        <f aca="false">IF( AM207&lt;&gt;"",VLOOKUP(AM207,Selects!$M$4:$N$1000,2,0),"")</f>
        <v/>
      </c>
      <c r="AO207" s="58"/>
      <c r="AP207" s="59"/>
      <c r="AQ207" s="65"/>
      <c r="AR207" s="58"/>
      <c r="AS207" s="58"/>
      <c r="AT207" s="26"/>
      <c r="AU207" s="58"/>
      <c r="AV207" s="58"/>
      <c r="AW207" s="58"/>
      <c r="AX207" s="58"/>
      <c r="AY207" s="71"/>
      <c r="AZ207" s="58"/>
      <c r="BA207" s="58"/>
      <c r="BB207" s="72" t="str">
        <f aca="false">IF(BA207&lt;&gt;"",VLOOKUP(BA207,Selects!$B$4:$C$100,2,0),"")</f>
        <v/>
      </c>
      <c r="BC207" s="26"/>
      <c r="BD207" s="26"/>
      <c r="BE207" s="73"/>
      <c r="BF207" s="74"/>
      <c r="BG207" s="75" t="str">
        <f aca="false">IF(LEN(BF207)=11,"PF",IF(LEN(BF207)=14,"PJ",""))</f>
        <v/>
      </c>
      <c r="BH207" s="66"/>
      <c r="BI207" s="58" t="str">
        <f aca="false">IF(BH207&lt;&gt;"",VLOOKUP(BH207,Selects!$G:$H,2,0),"")</f>
        <v/>
      </c>
      <c r="BJ207" s="58"/>
      <c r="BK207" s="58"/>
      <c r="BL207" s="59"/>
      <c r="BM207" s="58"/>
      <c r="BN207" s="58"/>
      <c r="BO207" s="58" t="str">
        <f aca="false">IF(BN207&lt;&gt;"",VLOOKUP(BN207,Selects!$J$4:$K$1000,2,0),"")</f>
        <v/>
      </c>
      <c r="BP207" s="76"/>
      <c r="BQ207" s="59"/>
      <c r="BR207" s="77"/>
      <c r="BS207" s="59"/>
      <c r="BT207" s="77"/>
      <c r="BU207" s="58"/>
      <c r="BV207" s="58"/>
      <c r="BW207" s="58"/>
      <c r="BX207" s="58"/>
      <c r="BY207" s="58"/>
      <c r="BZ207" s="58"/>
      <c r="CA207" s="58"/>
      <c r="CB207" s="72" t="str">
        <f aca="false">IF(AC207&lt;&gt;"",VLOOKUP(AC207,Selects!$B:$E,4,0),"")</f>
        <v/>
      </c>
      <c r="CC207" s="58"/>
      <c r="CD207" s="58"/>
      <c r="CE207" s="58"/>
    </row>
    <row r="208" customFormat="false" ht="15.75" hidden="false" customHeight="true" outlineLevel="0" collapsed="false">
      <c r="A208" s="17"/>
      <c r="B208" s="58"/>
      <c r="C208" s="58"/>
      <c r="D208" s="59"/>
      <c r="E208" s="60" t="str">
        <f aca="false">IF(LEN(D208)=11,"PF",IF(LEN(D208)=14,"PJ",""))</f>
        <v/>
      </c>
      <c r="F208" s="59"/>
      <c r="G208" s="59"/>
      <c r="H208" s="61" t="str">
        <f aca="false">IF(G208&lt;&gt;"",VLOOKUP(G208,'Cnae  mcc  id'!$A:$M,9,0),"")</f>
        <v/>
      </c>
      <c r="I208" s="62"/>
      <c r="J208" s="63" t="str">
        <f aca="false">IF(I208&lt;&gt;"",VLOOKUP(I208,'Legal Nature'!$E$2:$G$84,3,0),"")</f>
        <v/>
      </c>
      <c r="K208" s="64"/>
      <c r="L208" s="65"/>
      <c r="M208" s="66"/>
      <c r="N208" s="66"/>
      <c r="O208" s="79"/>
      <c r="P208" s="26"/>
      <c r="Q208" s="58"/>
      <c r="R208" s="58"/>
      <c r="S208" s="80"/>
      <c r="T208" s="68" t="str">
        <f aca="false">IF(LEFT(S208,1)="9","Celular",IF(S208="","","Fixo"))</f>
        <v/>
      </c>
      <c r="U208" s="58" t="str">
        <f aca="false">IF( T208&lt;&gt;"",VLOOKUP(T208,Selects!$M$4:$N$1000,2,0),"")</f>
        <v/>
      </c>
      <c r="V208" s="26"/>
      <c r="W208" s="58"/>
      <c r="X208" s="58"/>
      <c r="Y208" s="58"/>
      <c r="Z208" s="58"/>
      <c r="AA208" s="69"/>
      <c r="AB208" s="58"/>
      <c r="AC208" s="58"/>
      <c r="AD208" s="70" t="str">
        <f aca="false">IF(AC208&lt;&gt;"",VLOOKUP(AC208,Selects!$B$4:$C$100,2,0),"")</f>
        <v/>
      </c>
      <c r="AE208" s="26"/>
      <c r="AF208" s="58"/>
      <c r="AG208" s="59"/>
      <c r="AH208" s="65"/>
      <c r="AI208" s="66"/>
      <c r="AJ208" s="66"/>
      <c r="AK208" s="58"/>
      <c r="AL208" s="58"/>
      <c r="AM208" s="68" t="str">
        <f aca="false">IF(LEFT(AL208,1)="9","Celular",IF(AL208="","","Fixo"))</f>
        <v/>
      </c>
      <c r="AN208" s="58" t="str">
        <f aca="false">IF( AM208&lt;&gt;"",VLOOKUP(AM208,Selects!$M$4:$N$1000,2,0),"")</f>
        <v/>
      </c>
      <c r="AO208" s="58"/>
      <c r="AP208" s="59"/>
      <c r="AQ208" s="65"/>
      <c r="AR208" s="58"/>
      <c r="AS208" s="58"/>
      <c r="AT208" s="26"/>
      <c r="AU208" s="58"/>
      <c r="AV208" s="58"/>
      <c r="AW208" s="58"/>
      <c r="AX208" s="58"/>
      <c r="AY208" s="71"/>
      <c r="AZ208" s="58"/>
      <c r="BA208" s="58"/>
      <c r="BB208" s="72" t="str">
        <f aca="false">IF(BA208&lt;&gt;"",VLOOKUP(BA208,Selects!$B$4:$C$100,2,0),"")</f>
        <v/>
      </c>
      <c r="BC208" s="26"/>
      <c r="BD208" s="26"/>
      <c r="BE208" s="73"/>
      <c r="BF208" s="74"/>
      <c r="BG208" s="75" t="str">
        <f aca="false">IF(LEN(BF208)=11,"PF",IF(LEN(BF208)=14,"PJ",""))</f>
        <v/>
      </c>
      <c r="BH208" s="66"/>
      <c r="BI208" s="58" t="str">
        <f aca="false">IF(BH208&lt;&gt;"",VLOOKUP(BH208,Selects!$G:$H,2,0),"")</f>
        <v/>
      </c>
      <c r="BJ208" s="58"/>
      <c r="BK208" s="58"/>
      <c r="BL208" s="59"/>
      <c r="BM208" s="58"/>
      <c r="BN208" s="58"/>
      <c r="BO208" s="58" t="str">
        <f aca="false">IF(BN208&lt;&gt;"",VLOOKUP(BN208,Selects!$J$4:$K$1000,2,0),"")</f>
        <v/>
      </c>
      <c r="BP208" s="76"/>
      <c r="BQ208" s="59"/>
      <c r="BR208" s="77"/>
      <c r="BS208" s="59"/>
      <c r="BT208" s="77"/>
      <c r="BU208" s="58"/>
      <c r="BV208" s="58"/>
      <c r="BW208" s="58"/>
      <c r="BX208" s="58"/>
      <c r="BY208" s="58"/>
      <c r="BZ208" s="58"/>
      <c r="CA208" s="58"/>
      <c r="CB208" s="72" t="str">
        <f aca="false">IF(AC208&lt;&gt;"",VLOOKUP(AC208,Selects!$B:$E,4,0),"")</f>
        <v/>
      </c>
      <c r="CC208" s="58"/>
      <c r="CD208" s="58"/>
      <c r="CE208" s="58"/>
    </row>
    <row r="209" customFormat="false" ht="15.75" hidden="false" customHeight="true" outlineLevel="0" collapsed="false">
      <c r="A209" s="17"/>
      <c r="B209" s="58"/>
      <c r="C209" s="58"/>
      <c r="D209" s="59"/>
      <c r="E209" s="60" t="str">
        <f aca="false">IF(LEN(D209)=11,"PF",IF(LEN(D209)=14,"PJ",""))</f>
        <v/>
      </c>
      <c r="F209" s="59"/>
      <c r="G209" s="59"/>
      <c r="H209" s="61" t="str">
        <f aca="false">IF(G209&lt;&gt;"",VLOOKUP(G209,'Cnae  mcc  id'!$A:$M,9,0),"")</f>
        <v/>
      </c>
      <c r="I209" s="62"/>
      <c r="J209" s="63" t="str">
        <f aca="false">IF(I209&lt;&gt;"",VLOOKUP(I209,'Legal Nature'!$E$2:$G$84,3,0),"")</f>
        <v/>
      </c>
      <c r="K209" s="64"/>
      <c r="L209" s="65"/>
      <c r="M209" s="66"/>
      <c r="N209" s="66"/>
      <c r="O209" s="79"/>
      <c r="P209" s="26"/>
      <c r="Q209" s="58"/>
      <c r="R209" s="58"/>
      <c r="S209" s="80"/>
      <c r="T209" s="68" t="str">
        <f aca="false">IF(LEFT(S209,1)="9","Celular",IF(S209="","","Fixo"))</f>
        <v/>
      </c>
      <c r="U209" s="58" t="str">
        <f aca="false">IF( T209&lt;&gt;"",VLOOKUP(T209,Selects!$M$4:$N$1000,2,0),"")</f>
        <v/>
      </c>
      <c r="V209" s="26"/>
      <c r="W209" s="58"/>
      <c r="X209" s="58"/>
      <c r="Y209" s="58"/>
      <c r="Z209" s="58"/>
      <c r="AA209" s="69"/>
      <c r="AB209" s="58"/>
      <c r="AC209" s="58"/>
      <c r="AD209" s="70" t="str">
        <f aca="false">IF(AC209&lt;&gt;"",VLOOKUP(AC209,Selects!$B$4:$C$100,2,0),"")</f>
        <v/>
      </c>
      <c r="AE209" s="26"/>
      <c r="AF209" s="58"/>
      <c r="AG209" s="59"/>
      <c r="AH209" s="65"/>
      <c r="AI209" s="66"/>
      <c r="AJ209" s="66"/>
      <c r="AK209" s="58"/>
      <c r="AL209" s="58"/>
      <c r="AM209" s="68" t="str">
        <f aca="false">IF(LEFT(AL209,1)="9","Celular",IF(AL209="","","Fixo"))</f>
        <v/>
      </c>
      <c r="AN209" s="58" t="str">
        <f aca="false">IF( AM209&lt;&gt;"",VLOOKUP(AM209,Selects!$M$4:$N$1000,2,0),"")</f>
        <v/>
      </c>
      <c r="AO209" s="58"/>
      <c r="AP209" s="59"/>
      <c r="AQ209" s="65"/>
      <c r="AR209" s="58"/>
      <c r="AS209" s="58"/>
      <c r="AT209" s="26"/>
      <c r="AU209" s="58"/>
      <c r="AV209" s="58"/>
      <c r="AW209" s="58"/>
      <c r="AX209" s="58"/>
      <c r="AY209" s="71"/>
      <c r="AZ209" s="58"/>
      <c r="BA209" s="58"/>
      <c r="BB209" s="72" t="str">
        <f aca="false">IF(BA209&lt;&gt;"",VLOOKUP(BA209,Selects!$B$4:$C$100,2,0),"")</f>
        <v/>
      </c>
      <c r="BC209" s="26"/>
      <c r="BD209" s="26"/>
      <c r="BE209" s="73"/>
      <c r="BF209" s="74"/>
      <c r="BG209" s="75" t="str">
        <f aca="false">IF(LEN(BF209)=11,"PF",IF(LEN(BF209)=14,"PJ",""))</f>
        <v/>
      </c>
      <c r="BH209" s="66"/>
      <c r="BI209" s="58" t="str">
        <f aca="false">IF(BH209&lt;&gt;"",VLOOKUP(BH209,Selects!$G:$H,2,0),"")</f>
        <v/>
      </c>
      <c r="BJ209" s="58"/>
      <c r="BK209" s="58"/>
      <c r="BL209" s="59"/>
      <c r="BM209" s="58"/>
      <c r="BN209" s="58"/>
      <c r="BO209" s="58" t="str">
        <f aca="false">IF(BN209&lt;&gt;"",VLOOKUP(BN209,Selects!$J$4:$K$1000,2,0),"")</f>
        <v/>
      </c>
      <c r="BP209" s="76"/>
      <c r="BQ209" s="59"/>
      <c r="BR209" s="77"/>
      <c r="BS209" s="59"/>
      <c r="BT209" s="77"/>
      <c r="BU209" s="58"/>
      <c r="BV209" s="58"/>
      <c r="BW209" s="58"/>
      <c r="BX209" s="58"/>
      <c r="BY209" s="58"/>
      <c r="BZ209" s="58"/>
      <c r="CA209" s="58"/>
      <c r="CB209" s="72" t="str">
        <f aca="false">IF(AC209&lt;&gt;"",VLOOKUP(AC209,Selects!$B:$E,4,0),"")</f>
        <v/>
      </c>
      <c r="CC209" s="58"/>
      <c r="CD209" s="58"/>
      <c r="CE209" s="58"/>
    </row>
    <row r="210" customFormat="false" ht="15.75" hidden="false" customHeight="true" outlineLevel="0" collapsed="false">
      <c r="A210" s="17"/>
      <c r="B210" s="58"/>
      <c r="C210" s="58"/>
      <c r="D210" s="59"/>
      <c r="E210" s="60" t="str">
        <f aca="false">IF(LEN(D210)=11,"PF",IF(LEN(D210)=14,"PJ",""))</f>
        <v/>
      </c>
      <c r="F210" s="59"/>
      <c r="G210" s="59"/>
      <c r="H210" s="61" t="str">
        <f aca="false">IF(G210&lt;&gt;"",VLOOKUP(G210,'Cnae  mcc  id'!$A:$M,9,0),"")</f>
        <v/>
      </c>
      <c r="I210" s="62"/>
      <c r="J210" s="63" t="str">
        <f aca="false">IF(I210&lt;&gt;"",VLOOKUP(I210,'Legal Nature'!$E$2:$G$84,3,0),"")</f>
        <v/>
      </c>
      <c r="K210" s="64"/>
      <c r="L210" s="65"/>
      <c r="M210" s="66"/>
      <c r="N210" s="66"/>
      <c r="O210" s="79"/>
      <c r="P210" s="26"/>
      <c r="Q210" s="58"/>
      <c r="R210" s="58"/>
      <c r="S210" s="80"/>
      <c r="T210" s="68" t="str">
        <f aca="false">IF(LEFT(S210,1)="9","Celular",IF(S210="","","Fixo"))</f>
        <v/>
      </c>
      <c r="U210" s="58" t="str">
        <f aca="false">IF( T210&lt;&gt;"",VLOOKUP(T210,Selects!$M$4:$N$1000,2,0),"")</f>
        <v/>
      </c>
      <c r="V210" s="26"/>
      <c r="W210" s="58"/>
      <c r="X210" s="58"/>
      <c r="Y210" s="58"/>
      <c r="Z210" s="58"/>
      <c r="AA210" s="69"/>
      <c r="AB210" s="58"/>
      <c r="AC210" s="58"/>
      <c r="AD210" s="70" t="str">
        <f aca="false">IF(AC210&lt;&gt;"",VLOOKUP(AC210,Selects!$B$4:$C$100,2,0),"")</f>
        <v/>
      </c>
      <c r="AE210" s="26"/>
      <c r="AF210" s="58"/>
      <c r="AG210" s="59"/>
      <c r="AH210" s="65"/>
      <c r="AI210" s="66"/>
      <c r="AJ210" s="66"/>
      <c r="AK210" s="58"/>
      <c r="AL210" s="58"/>
      <c r="AM210" s="68" t="str">
        <f aca="false">IF(LEFT(AL210,1)="9","Celular",IF(AL210="","","Fixo"))</f>
        <v/>
      </c>
      <c r="AN210" s="58" t="str">
        <f aca="false">IF( AM210&lt;&gt;"",VLOOKUP(AM210,Selects!$M$4:$N$1000,2,0),"")</f>
        <v/>
      </c>
      <c r="AO210" s="58"/>
      <c r="AP210" s="59"/>
      <c r="AQ210" s="65"/>
      <c r="AR210" s="58"/>
      <c r="AS210" s="58"/>
      <c r="AT210" s="26"/>
      <c r="AU210" s="58"/>
      <c r="AV210" s="58"/>
      <c r="AW210" s="58"/>
      <c r="AX210" s="58"/>
      <c r="AY210" s="71"/>
      <c r="AZ210" s="58"/>
      <c r="BA210" s="58"/>
      <c r="BB210" s="72" t="str">
        <f aca="false">IF(BA210&lt;&gt;"",VLOOKUP(BA210,Selects!$B$4:$C$100,2,0),"")</f>
        <v/>
      </c>
      <c r="BC210" s="26"/>
      <c r="BD210" s="26"/>
      <c r="BE210" s="73"/>
      <c r="BF210" s="74"/>
      <c r="BG210" s="75" t="str">
        <f aca="false">IF(LEN(BF210)=11,"PF",IF(LEN(BF210)=14,"PJ",""))</f>
        <v/>
      </c>
      <c r="BH210" s="66"/>
      <c r="BI210" s="58" t="str">
        <f aca="false">IF(BH210&lt;&gt;"",VLOOKUP(BH210,Selects!$G:$H,2,0),"")</f>
        <v/>
      </c>
      <c r="BJ210" s="58"/>
      <c r="BK210" s="58"/>
      <c r="BL210" s="59"/>
      <c r="BM210" s="58"/>
      <c r="BN210" s="58"/>
      <c r="BO210" s="58" t="str">
        <f aca="false">IF(BN210&lt;&gt;"",VLOOKUP(BN210,Selects!$J$4:$K$1000,2,0),"")</f>
        <v/>
      </c>
      <c r="BP210" s="76"/>
      <c r="BQ210" s="59"/>
      <c r="BR210" s="77"/>
      <c r="BS210" s="59"/>
      <c r="BT210" s="77"/>
      <c r="BU210" s="58"/>
      <c r="BV210" s="58"/>
      <c r="BW210" s="58"/>
      <c r="BX210" s="58"/>
      <c r="BY210" s="58"/>
      <c r="BZ210" s="58"/>
      <c r="CA210" s="58"/>
      <c r="CB210" s="72" t="str">
        <f aca="false">IF(AC210&lt;&gt;"",VLOOKUP(AC210,Selects!$B:$E,4,0),"")</f>
        <v/>
      </c>
      <c r="CC210" s="58"/>
      <c r="CD210" s="58"/>
      <c r="CE210" s="58"/>
    </row>
    <row r="211" customFormat="false" ht="15.75" hidden="false" customHeight="true" outlineLevel="0" collapsed="false">
      <c r="A211" s="17"/>
      <c r="B211" s="58"/>
      <c r="C211" s="58"/>
      <c r="D211" s="59"/>
      <c r="E211" s="60" t="str">
        <f aca="false">IF(LEN(D211)=11,"PF",IF(LEN(D211)=14,"PJ",""))</f>
        <v/>
      </c>
      <c r="F211" s="59"/>
      <c r="G211" s="59"/>
      <c r="H211" s="61" t="str">
        <f aca="false">IF(G211&lt;&gt;"",VLOOKUP(G211,'Cnae  mcc  id'!$A:$M,9,0),"")</f>
        <v/>
      </c>
      <c r="I211" s="62"/>
      <c r="J211" s="63" t="str">
        <f aca="false">IF(I211&lt;&gt;"",VLOOKUP(I211,'Legal Nature'!$E$2:$G$84,3,0),"")</f>
        <v/>
      </c>
      <c r="K211" s="64"/>
      <c r="L211" s="65"/>
      <c r="M211" s="66"/>
      <c r="N211" s="66"/>
      <c r="O211" s="79"/>
      <c r="P211" s="26"/>
      <c r="Q211" s="58"/>
      <c r="R211" s="58"/>
      <c r="S211" s="80"/>
      <c r="T211" s="68" t="str">
        <f aca="false">IF(LEFT(S211,1)="9","Celular",IF(S211="","","Fixo"))</f>
        <v/>
      </c>
      <c r="U211" s="58" t="str">
        <f aca="false">IF( T211&lt;&gt;"",VLOOKUP(T211,Selects!$M$4:$N$1000,2,0),"")</f>
        <v/>
      </c>
      <c r="V211" s="26"/>
      <c r="W211" s="58"/>
      <c r="X211" s="58"/>
      <c r="Y211" s="58"/>
      <c r="Z211" s="58"/>
      <c r="AA211" s="69"/>
      <c r="AB211" s="58"/>
      <c r="AC211" s="58"/>
      <c r="AD211" s="70" t="str">
        <f aca="false">IF(AC211&lt;&gt;"",VLOOKUP(AC211,Selects!$B$4:$C$100,2,0),"")</f>
        <v/>
      </c>
      <c r="AE211" s="26"/>
      <c r="AF211" s="58"/>
      <c r="AG211" s="59"/>
      <c r="AH211" s="65"/>
      <c r="AI211" s="66"/>
      <c r="AJ211" s="66"/>
      <c r="AK211" s="58"/>
      <c r="AL211" s="58"/>
      <c r="AM211" s="68" t="str">
        <f aca="false">IF(LEFT(AL211,1)="9","Celular",IF(AL211="","","Fixo"))</f>
        <v/>
      </c>
      <c r="AN211" s="58" t="str">
        <f aca="false">IF( AM211&lt;&gt;"",VLOOKUP(AM211,Selects!$M$4:$N$1000,2,0),"")</f>
        <v/>
      </c>
      <c r="AO211" s="58"/>
      <c r="AP211" s="59"/>
      <c r="AQ211" s="65"/>
      <c r="AR211" s="58"/>
      <c r="AS211" s="58"/>
      <c r="AT211" s="26"/>
      <c r="AU211" s="58"/>
      <c r="AV211" s="58"/>
      <c r="AW211" s="58"/>
      <c r="AX211" s="58"/>
      <c r="AY211" s="71"/>
      <c r="AZ211" s="58"/>
      <c r="BA211" s="58"/>
      <c r="BB211" s="72" t="str">
        <f aca="false">IF(BA211&lt;&gt;"",VLOOKUP(BA211,Selects!$B$4:$C$100,2,0),"")</f>
        <v/>
      </c>
      <c r="BC211" s="26"/>
      <c r="BD211" s="26"/>
      <c r="BE211" s="73"/>
      <c r="BF211" s="74"/>
      <c r="BG211" s="75" t="str">
        <f aca="false">IF(LEN(BF211)=11,"PF",IF(LEN(BF211)=14,"PJ",""))</f>
        <v/>
      </c>
      <c r="BH211" s="66"/>
      <c r="BI211" s="58" t="str">
        <f aca="false">IF(BH211&lt;&gt;"",VLOOKUP(BH211,Selects!$G:$H,2,0),"")</f>
        <v/>
      </c>
      <c r="BJ211" s="58"/>
      <c r="BK211" s="58"/>
      <c r="BL211" s="59"/>
      <c r="BM211" s="58"/>
      <c r="BN211" s="58"/>
      <c r="BO211" s="58" t="str">
        <f aca="false">IF(BN211&lt;&gt;"",VLOOKUP(BN211,Selects!$J$4:$K$1000,2,0),"")</f>
        <v/>
      </c>
      <c r="BP211" s="76"/>
      <c r="BQ211" s="59"/>
      <c r="BR211" s="77"/>
      <c r="BS211" s="59"/>
      <c r="BT211" s="77"/>
      <c r="BU211" s="58"/>
      <c r="BV211" s="58"/>
      <c r="BW211" s="58"/>
      <c r="BX211" s="58"/>
      <c r="BY211" s="58"/>
      <c r="BZ211" s="58"/>
      <c r="CA211" s="58"/>
      <c r="CB211" s="72" t="str">
        <f aca="false">IF(AC211&lt;&gt;"",VLOOKUP(AC211,Selects!$B:$E,4,0),"")</f>
        <v/>
      </c>
      <c r="CC211" s="58"/>
      <c r="CD211" s="58"/>
      <c r="CE211" s="58"/>
    </row>
    <row r="212" customFormat="false" ht="15.75" hidden="false" customHeight="true" outlineLevel="0" collapsed="false">
      <c r="A212" s="17"/>
      <c r="B212" s="58"/>
      <c r="C212" s="58"/>
      <c r="D212" s="59"/>
      <c r="E212" s="60" t="str">
        <f aca="false">IF(LEN(D212)=11,"PF",IF(LEN(D212)=14,"PJ",""))</f>
        <v/>
      </c>
      <c r="F212" s="59"/>
      <c r="G212" s="59"/>
      <c r="H212" s="61" t="str">
        <f aca="false">IF(G212&lt;&gt;"",VLOOKUP(G212,'Cnae  mcc  id'!$A:$M,9,0),"")</f>
        <v/>
      </c>
      <c r="I212" s="62"/>
      <c r="J212" s="63" t="str">
        <f aca="false">IF(I212&lt;&gt;"",VLOOKUP(I212,'Legal Nature'!$E$2:$G$84,3,0),"")</f>
        <v/>
      </c>
      <c r="K212" s="64"/>
      <c r="L212" s="65"/>
      <c r="M212" s="66"/>
      <c r="N212" s="66"/>
      <c r="O212" s="79"/>
      <c r="P212" s="26"/>
      <c r="Q212" s="58"/>
      <c r="R212" s="58"/>
      <c r="S212" s="80"/>
      <c r="T212" s="68" t="str">
        <f aca="false">IF(LEFT(S212,1)="9","Celular",IF(S212="","","Fixo"))</f>
        <v/>
      </c>
      <c r="U212" s="58" t="str">
        <f aca="false">IF( T212&lt;&gt;"",VLOOKUP(T212,Selects!$M$4:$N$1000,2,0),"")</f>
        <v/>
      </c>
      <c r="V212" s="26"/>
      <c r="W212" s="58"/>
      <c r="X212" s="58"/>
      <c r="Y212" s="58"/>
      <c r="Z212" s="58"/>
      <c r="AA212" s="69"/>
      <c r="AB212" s="58"/>
      <c r="AC212" s="58"/>
      <c r="AD212" s="70" t="str">
        <f aca="false">IF(AC212&lt;&gt;"",VLOOKUP(AC212,Selects!$B$4:$C$100,2,0),"")</f>
        <v/>
      </c>
      <c r="AE212" s="26"/>
      <c r="AF212" s="58"/>
      <c r="AG212" s="59"/>
      <c r="AH212" s="65"/>
      <c r="AI212" s="66"/>
      <c r="AJ212" s="66"/>
      <c r="AK212" s="58"/>
      <c r="AL212" s="58"/>
      <c r="AM212" s="68" t="str">
        <f aca="false">IF(LEFT(AL212,1)="9","Celular",IF(AL212="","","Fixo"))</f>
        <v/>
      </c>
      <c r="AN212" s="58" t="str">
        <f aca="false">IF( AM212&lt;&gt;"",VLOOKUP(AM212,Selects!$M$4:$N$1000,2,0),"")</f>
        <v/>
      </c>
      <c r="AO212" s="58"/>
      <c r="AP212" s="59"/>
      <c r="AQ212" s="65"/>
      <c r="AR212" s="58"/>
      <c r="AS212" s="58"/>
      <c r="AT212" s="26"/>
      <c r="AU212" s="58"/>
      <c r="AV212" s="58"/>
      <c r="AW212" s="58"/>
      <c r="AX212" s="58"/>
      <c r="AY212" s="71"/>
      <c r="AZ212" s="58"/>
      <c r="BA212" s="58"/>
      <c r="BB212" s="72" t="str">
        <f aca="false">IF(BA212&lt;&gt;"",VLOOKUP(BA212,Selects!$B$4:$C$100,2,0),"")</f>
        <v/>
      </c>
      <c r="BC212" s="26"/>
      <c r="BD212" s="26"/>
      <c r="BE212" s="73"/>
      <c r="BF212" s="74"/>
      <c r="BG212" s="75" t="str">
        <f aca="false">IF(LEN(BF212)=11,"PF",IF(LEN(BF212)=14,"PJ",""))</f>
        <v/>
      </c>
      <c r="BH212" s="66"/>
      <c r="BI212" s="58" t="str">
        <f aca="false">IF(BH212&lt;&gt;"",VLOOKUP(BH212,Selects!$G:$H,2,0),"")</f>
        <v/>
      </c>
      <c r="BJ212" s="58"/>
      <c r="BK212" s="58"/>
      <c r="BL212" s="59"/>
      <c r="BM212" s="58"/>
      <c r="BN212" s="58"/>
      <c r="BO212" s="58" t="str">
        <f aca="false">IF(BN212&lt;&gt;"",VLOOKUP(BN212,Selects!$J$4:$K$1000,2,0),"")</f>
        <v/>
      </c>
      <c r="BP212" s="76"/>
      <c r="BQ212" s="59"/>
      <c r="BR212" s="77"/>
      <c r="BS212" s="59"/>
      <c r="BT212" s="77"/>
      <c r="BU212" s="58"/>
      <c r="BV212" s="58"/>
      <c r="BW212" s="58"/>
      <c r="BX212" s="58"/>
      <c r="BY212" s="58"/>
      <c r="BZ212" s="58"/>
      <c r="CA212" s="58"/>
      <c r="CB212" s="72" t="str">
        <f aca="false">IF(AC212&lt;&gt;"",VLOOKUP(AC212,Selects!$B:$E,4,0),"")</f>
        <v/>
      </c>
      <c r="CC212" s="58"/>
      <c r="CD212" s="58"/>
      <c r="CE212" s="58"/>
    </row>
    <row r="213" customFormat="false" ht="15.75" hidden="false" customHeight="true" outlineLevel="0" collapsed="false">
      <c r="A213" s="17"/>
      <c r="B213" s="58"/>
      <c r="C213" s="58"/>
      <c r="D213" s="59"/>
      <c r="E213" s="60" t="str">
        <f aca="false">IF(LEN(D213)=11,"PF",IF(LEN(D213)=14,"PJ",""))</f>
        <v/>
      </c>
      <c r="F213" s="59"/>
      <c r="G213" s="59"/>
      <c r="H213" s="61" t="str">
        <f aca="false">IF(G213&lt;&gt;"",VLOOKUP(G213,'Cnae  mcc  id'!$A:$M,9,0),"")</f>
        <v/>
      </c>
      <c r="I213" s="62"/>
      <c r="J213" s="63" t="str">
        <f aca="false">IF(I213&lt;&gt;"",VLOOKUP(I213,'Legal Nature'!$E$2:$G$84,3,0),"")</f>
        <v/>
      </c>
      <c r="K213" s="64"/>
      <c r="L213" s="65"/>
      <c r="M213" s="66"/>
      <c r="N213" s="66"/>
      <c r="O213" s="79"/>
      <c r="P213" s="26"/>
      <c r="Q213" s="58"/>
      <c r="R213" s="58"/>
      <c r="S213" s="80"/>
      <c r="T213" s="68" t="str">
        <f aca="false">IF(LEFT(S213,1)="9","Celular",IF(S213="","","Fixo"))</f>
        <v/>
      </c>
      <c r="U213" s="58" t="str">
        <f aca="false">IF( T213&lt;&gt;"",VLOOKUP(T213,Selects!$M$4:$N$1000,2,0),"")</f>
        <v/>
      </c>
      <c r="V213" s="26"/>
      <c r="W213" s="58"/>
      <c r="X213" s="58"/>
      <c r="Y213" s="58"/>
      <c r="Z213" s="58"/>
      <c r="AA213" s="69"/>
      <c r="AB213" s="58"/>
      <c r="AC213" s="58"/>
      <c r="AD213" s="70" t="str">
        <f aca="false">IF(AC213&lt;&gt;"",VLOOKUP(AC213,Selects!$B$4:$C$100,2,0),"")</f>
        <v/>
      </c>
      <c r="AE213" s="26"/>
      <c r="AF213" s="58"/>
      <c r="AG213" s="59"/>
      <c r="AH213" s="65"/>
      <c r="AI213" s="66"/>
      <c r="AJ213" s="66"/>
      <c r="AK213" s="58"/>
      <c r="AL213" s="58"/>
      <c r="AM213" s="68" t="str">
        <f aca="false">IF(LEFT(AL213,1)="9","Celular",IF(AL213="","","Fixo"))</f>
        <v/>
      </c>
      <c r="AN213" s="58" t="str">
        <f aca="false">IF( AM213&lt;&gt;"",VLOOKUP(AM213,Selects!$M$4:$N$1000,2,0),"")</f>
        <v/>
      </c>
      <c r="AO213" s="58"/>
      <c r="AP213" s="59"/>
      <c r="AQ213" s="65"/>
      <c r="AR213" s="58"/>
      <c r="AS213" s="58"/>
      <c r="AT213" s="26"/>
      <c r="AU213" s="58"/>
      <c r="AV213" s="58"/>
      <c r="AW213" s="58"/>
      <c r="AX213" s="58"/>
      <c r="AY213" s="71"/>
      <c r="AZ213" s="58"/>
      <c r="BA213" s="58"/>
      <c r="BB213" s="72" t="str">
        <f aca="false">IF(BA213&lt;&gt;"",VLOOKUP(BA213,Selects!$B$4:$C$100,2,0),"")</f>
        <v/>
      </c>
      <c r="BC213" s="26"/>
      <c r="BD213" s="26"/>
      <c r="BE213" s="73"/>
      <c r="BF213" s="74"/>
      <c r="BG213" s="75" t="str">
        <f aca="false">IF(LEN(BF213)=11,"PF",IF(LEN(BF213)=14,"PJ",""))</f>
        <v/>
      </c>
      <c r="BH213" s="66"/>
      <c r="BI213" s="58" t="str">
        <f aca="false">IF(BH213&lt;&gt;"",VLOOKUP(BH213,Selects!$G:$H,2,0),"")</f>
        <v/>
      </c>
      <c r="BJ213" s="58"/>
      <c r="BK213" s="58"/>
      <c r="BL213" s="59"/>
      <c r="BM213" s="58"/>
      <c r="BN213" s="58"/>
      <c r="BO213" s="58" t="str">
        <f aca="false">IF(BN213&lt;&gt;"",VLOOKUP(BN213,Selects!$J$4:$K$1000,2,0),"")</f>
        <v/>
      </c>
      <c r="BP213" s="76"/>
      <c r="BQ213" s="59"/>
      <c r="BR213" s="77"/>
      <c r="BS213" s="59"/>
      <c r="BT213" s="77"/>
      <c r="BU213" s="58"/>
      <c r="BV213" s="58"/>
      <c r="BW213" s="58"/>
      <c r="BX213" s="58"/>
      <c r="BY213" s="58"/>
      <c r="BZ213" s="58"/>
      <c r="CA213" s="58"/>
      <c r="CB213" s="72" t="str">
        <f aca="false">IF(AC213&lt;&gt;"",VLOOKUP(AC213,Selects!$B:$E,4,0),"")</f>
        <v/>
      </c>
      <c r="CC213" s="58"/>
      <c r="CD213" s="58"/>
      <c r="CE213" s="58"/>
    </row>
    <row r="214" customFormat="false" ht="15.75" hidden="false" customHeight="true" outlineLevel="0" collapsed="false">
      <c r="A214" s="17"/>
      <c r="B214" s="58"/>
      <c r="C214" s="58"/>
      <c r="D214" s="59"/>
      <c r="E214" s="60" t="str">
        <f aca="false">IF(LEN(D214)=11,"PF",IF(LEN(D214)=14,"PJ",""))</f>
        <v/>
      </c>
      <c r="F214" s="59"/>
      <c r="G214" s="59"/>
      <c r="H214" s="61" t="str">
        <f aca="false">IF(G214&lt;&gt;"",VLOOKUP(G214,'Cnae  mcc  id'!$A:$M,9,0),"")</f>
        <v/>
      </c>
      <c r="I214" s="62"/>
      <c r="J214" s="63" t="str">
        <f aca="false">IF(I214&lt;&gt;"",VLOOKUP(I214,'Legal Nature'!$E$2:$G$84,3,0),"")</f>
        <v/>
      </c>
      <c r="K214" s="64"/>
      <c r="L214" s="65"/>
      <c r="M214" s="66"/>
      <c r="N214" s="66"/>
      <c r="O214" s="79"/>
      <c r="P214" s="26"/>
      <c r="Q214" s="58"/>
      <c r="R214" s="58"/>
      <c r="S214" s="80"/>
      <c r="T214" s="68" t="str">
        <f aca="false">IF(LEFT(S214,1)="9","Celular",IF(S214="","","Fixo"))</f>
        <v/>
      </c>
      <c r="U214" s="58" t="str">
        <f aca="false">IF( T214&lt;&gt;"",VLOOKUP(T214,Selects!$M$4:$N$1000,2,0),"")</f>
        <v/>
      </c>
      <c r="V214" s="26"/>
      <c r="W214" s="58"/>
      <c r="X214" s="58"/>
      <c r="Y214" s="58"/>
      <c r="Z214" s="58"/>
      <c r="AA214" s="69"/>
      <c r="AB214" s="58"/>
      <c r="AC214" s="58"/>
      <c r="AD214" s="70" t="str">
        <f aca="false">IF(AC214&lt;&gt;"",VLOOKUP(AC214,Selects!$B$4:$C$100,2,0),"")</f>
        <v/>
      </c>
      <c r="AE214" s="26"/>
      <c r="AF214" s="58"/>
      <c r="AG214" s="59"/>
      <c r="AH214" s="65"/>
      <c r="AI214" s="66"/>
      <c r="AJ214" s="66"/>
      <c r="AK214" s="58"/>
      <c r="AL214" s="58"/>
      <c r="AM214" s="68" t="str">
        <f aca="false">IF(LEFT(AL214,1)="9","Celular",IF(AL214="","","Fixo"))</f>
        <v/>
      </c>
      <c r="AN214" s="58" t="str">
        <f aca="false">IF( AM214&lt;&gt;"",VLOOKUP(AM214,Selects!$M$4:$N$1000,2,0),"")</f>
        <v/>
      </c>
      <c r="AO214" s="58"/>
      <c r="AP214" s="59"/>
      <c r="AQ214" s="65"/>
      <c r="AR214" s="58"/>
      <c r="AS214" s="58"/>
      <c r="AT214" s="26"/>
      <c r="AU214" s="58"/>
      <c r="AV214" s="58"/>
      <c r="AW214" s="58"/>
      <c r="AX214" s="58"/>
      <c r="AY214" s="71"/>
      <c r="AZ214" s="58"/>
      <c r="BA214" s="58"/>
      <c r="BB214" s="72" t="str">
        <f aca="false">IF(BA214&lt;&gt;"",VLOOKUP(BA214,Selects!$B$4:$C$100,2,0),"")</f>
        <v/>
      </c>
      <c r="BC214" s="26"/>
      <c r="BD214" s="26"/>
      <c r="BE214" s="73"/>
      <c r="BF214" s="74"/>
      <c r="BG214" s="75" t="str">
        <f aca="false">IF(LEN(BF214)=11,"PF",IF(LEN(BF214)=14,"PJ",""))</f>
        <v/>
      </c>
      <c r="BH214" s="66"/>
      <c r="BI214" s="58" t="str">
        <f aca="false">IF(BH214&lt;&gt;"",VLOOKUP(BH214,Selects!$G:$H,2,0),"")</f>
        <v/>
      </c>
      <c r="BJ214" s="58"/>
      <c r="BK214" s="58"/>
      <c r="BL214" s="59"/>
      <c r="BM214" s="58"/>
      <c r="BN214" s="58"/>
      <c r="BO214" s="58" t="str">
        <f aca="false">IF(BN214&lt;&gt;"",VLOOKUP(BN214,Selects!$J$4:$K$1000,2,0),"")</f>
        <v/>
      </c>
      <c r="BP214" s="76"/>
      <c r="BQ214" s="59"/>
      <c r="BR214" s="77"/>
      <c r="BS214" s="59"/>
      <c r="BT214" s="77"/>
      <c r="BU214" s="58"/>
      <c r="BV214" s="58"/>
      <c r="BW214" s="58"/>
      <c r="BX214" s="58"/>
      <c r="BY214" s="58"/>
      <c r="BZ214" s="58"/>
      <c r="CA214" s="58"/>
      <c r="CB214" s="72" t="str">
        <f aca="false">IF(AC214&lt;&gt;"",VLOOKUP(AC214,Selects!$B:$E,4,0),"")</f>
        <v/>
      </c>
      <c r="CC214" s="58"/>
      <c r="CD214" s="58"/>
      <c r="CE214" s="58"/>
    </row>
    <row r="215" customFormat="false" ht="15.75" hidden="false" customHeight="true" outlineLevel="0" collapsed="false">
      <c r="A215" s="17"/>
      <c r="B215" s="58"/>
      <c r="C215" s="58"/>
      <c r="D215" s="59"/>
      <c r="E215" s="60" t="str">
        <f aca="false">IF(LEN(D215)=11,"PF",IF(LEN(D215)=14,"PJ",""))</f>
        <v/>
      </c>
      <c r="F215" s="59"/>
      <c r="G215" s="59"/>
      <c r="H215" s="61" t="str">
        <f aca="false">IF(G215&lt;&gt;"",VLOOKUP(G215,'Cnae  mcc  id'!$A:$M,9,0),"")</f>
        <v/>
      </c>
      <c r="I215" s="62"/>
      <c r="J215" s="63" t="str">
        <f aca="false">IF(I215&lt;&gt;"",VLOOKUP(I215,'Legal Nature'!$E$2:$G$84,3,0),"")</f>
        <v/>
      </c>
      <c r="K215" s="64"/>
      <c r="L215" s="65"/>
      <c r="M215" s="66"/>
      <c r="N215" s="66"/>
      <c r="O215" s="79"/>
      <c r="P215" s="26"/>
      <c r="Q215" s="58"/>
      <c r="R215" s="58"/>
      <c r="S215" s="80"/>
      <c r="T215" s="68" t="str">
        <f aca="false">IF(LEFT(S215,1)="9","Celular",IF(S215="","","Fixo"))</f>
        <v/>
      </c>
      <c r="U215" s="58" t="str">
        <f aca="false">IF( T215&lt;&gt;"",VLOOKUP(T215,Selects!$M$4:$N$1000,2,0),"")</f>
        <v/>
      </c>
      <c r="V215" s="26"/>
      <c r="W215" s="58"/>
      <c r="X215" s="58"/>
      <c r="Y215" s="58"/>
      <c r="Z215" s="58"/>
      <c r="AA215" s="69"/>
      <c r="AB215" s="58"/>
      <c r="AC215" s="58"/>
      <c r="AD215" s="70" t="str">
        <f aca="false">IF(AC215&lt;&gt;"",VLOOKUP(AC215,Selects!$B$4:$C$100,2,0),"")</f>
        <v/>
      </c>
      <c r="AE215" s="26"/>
      <c r="AF215" s="58"/>
      <c r="AG215" s="59"/>
      <c r="AH215" s="65"/>
      <c r="AI215" s="66"/>
      <c r="AJ215" s="66"/>
      <c r="AK215" s="58"/>
      <c r="AL215" s="58"/>
      <c r="AM215" s="68" t="str">
        <f aca="false">IF(LEFT(AL215,1)="9","Celular",IF(AL215="","","Fixo"))</f>
        <v/>
      </c>
      <c r="AN215" s="58" t="str">
        <f aca="false">IF( AM215&lt;&gt;"",VLOOKUP(AM215,Selects!$M$4:$N$1000,2,0),"")</f>
        <v/>
      </c>
      <c r="AO215" s="58"/>
      <c r="AP215" s="59"/>
      <c r="AQ215" s="65"/>
      <c r="AR215" s="58"/>
      <c r="AS215" s="58"/>
      <c r="AT215" s="26"/>
      <c r="AU215" s="58"/>
      <c r="AV215" s="58"/>
      <c r="AW215" s="58"/>
      <c r="AX215" s="58"/>
      <c r="AY215" s="71"/>
      <c r="AZ215" s="58"/>
      <c r="BA215" s="58"/>
      <c r="BB215" s="72" t="str">
        <f aca="false">IF(BA215&lt;&gt;"",VLOOKUP(BA215,Selects!$B$4:$C$100,2,0),"")</f>
        <v/>
      </c>
      <c r="BC215" s="26"/>
      <c r="BD215" s="26"/>
      <c r="BE215" s="73"/>
      <c r="BF215" s="74"/>
      <c r="BG215" s="75" t="str">
        <f aca="false">IF(LEN(BF215)=11,"PF",IF(LEN(BF215)=14,"PJ",""))</f>
        <v/>
      </c>
      <c r="BH215" s="66"/>
      <c r="BI215" s="58" t="str">
        <f aca="false">IF(BH215&lt;&gt;"",VLOOKUP(BH215,Selects!$G:$H,2,0),"")</f>
        <v/>
      </c>
      <c r="BJ215" s="58"/>
      <c r="BK215" s="58"/>
      <c r="BL215" s="59"/>
      <c r="BM215" s="58"/>
      <c r="BN215" s="58"/>
      <c r="BO215" s="58" t="str">
        <f aca="false">IF(BN215&lt;&gt;"",VLOOKUP(BN215,Selects!$J$4:$K$1000,2,0),"")</f>
        <v/>
      </c>
      <c r="BP215" s="76"/>
      <c r="BQ215" s="59"/>
      <c r="BR215" s="77"/>
      <c r="BS215" s="59"/>
      <c r="BT215" s="77"/>
      <c r="BU215" s="58"/>
      <c r="BV215" s="58"/>
      <c r="BW215" s="58"/>
      <c r="BX215" s="58"/>
      <c r="BY215" s="58"/>
      <c r="BZ215" s="58"/>
      <c r="CA215" s="58"/>
      <c r="CB215" s="72" t="str">
        <f aca="false">IF(AC215&lt;&gt;"",VLOOKUP(AC215,Selects!$B:$E,4,0),"")</f>
        <v/>
      </c>
      <c r="CC215" s="58"/>
      <c r="CD215" s="58"/>
      <c r="CE215" s="58"/>
    </row>
    <row r="216" customFormat="false" ht="15.75" hidden="false" customHeight="true" outlineLevel="0" collapsed="false">
      <c r="A216" s="17"/>
      <c r="B216" s="58"/>
      <c r="C216" s="58"/>
      <c r="D216" s="59"/>
      <c r="E216" s="60" t="str">
        <f aca="false">IF(LEN(D216)=11,"PF",IF(LEN(D216)=14,"PJ",""))</f>
        <v/>
      </c>
      <c r="F216" s="59"/>
      <c r="G216" s="59"/>
      <c r="H216" s="61" t="str">
        <f aca="false">IF(G216&lt;&gt;"",VLOOKUP(G216,'Cnae  mcc  id'!$A:$M,9,0),"")</f>
        <v/>
      </c>
      <c r="I216" s="62"/>
      <c r="J216" s="63" t="str">
        <f aca="false">IF(I216&lt;&gt;"",VLOOKUP(I216,'Legal Nature'!$E$2:$G$84,3,0),"")</f>
        <v/>
      </c>
      <c r="K216" s="64"/>
      <c r="L216" s="65"/>
      <c r="M216" s="66"/>
      <c r="N216" s="66"/>
      <c r="O216" s="79"/>
      <c r="P216" s="26"/>
      <c r="Q216" s="58"/>
      <c r="R216" s="58"/>
      <c r="S216" s="80"/>
      <c r="T216" s="68" t="str">
        <f aca="false">IF(LEFT(S216,1)="9","Celular",IF(S216="","","Fixo"))</f>
        <v/>
      </c>
      <c r="U216" s="58" t="str">
        <f aca="false">IF( T216&lt;&gt;"",VLOOKUP(T216,Selects!$M$4:$N$1000,2,0),"")</f>
        <v/>
      </c>
      <c r="V216" s="26"/>
      <c r="W216" s="58"/>
      <c r="X216" s="58"/>
      <c r="Y216" s="58"/>
      <c r="Z216" s="58"/>
      <c r="AA216" s="69"/>
      <c r="AB216" s="58"/>
      <c r="AC216" s="58"/>
      <c r="AD216" s="70" t="str">
        <f aca="false">IF(AC216&lt;&gt;"",VLOOKUP(AC216,Selects!$B$4:$C$100,2,0),"")</f>
        <v/>
      </c>
      <c r="AE216" s="26"/>
      <c r="AF216" s="58"/>
      <c r="AG216" s="59"/>
      <c r="AH216" s="65"/>
      <c r="AI216" s="66"/>
      <c r="AJ216" s="66"/>
      <c r="AK216" s="58"/>
      <c r="AL216" s="58"/>
      <c r="AM216" s="68" t="str">
        <f aca="false">IF(LEFT(AL216,1)="9","Celular",IF(AL216="","","Fixo"))</f>
        <v/>
      </c>
      <c r="AN216" s="58" t="str">
        <f aca="false">IF( AM216&lt;&gt;"",VLOOKUP(AM216,Selects!$M$4:$N$1000,2,0),"")</f>
        <v/>
      </c>
      <c r="AO216" s="58"/>
      <c r="AP216" s="59"/>
      <c r="AQ216" s="65"/>
      <c r="AR216" s="58"/>
      <c r="AS216" s="58"/>
      <c r="AT216" s="26"/>
      <c r="AU216" s="58"/>
      <c r="AV216" s="58"/>
      <c r="AW216" s="58"/>
      <c r="AX216" s="58"/>
      <c r="AY216" s="71"/>
      <c r="AZ216" s="58"/>
      <c r="BA216" s="58"/>
      <c r="BB216" s="72" t="str">
        <f aca="false">IF(BA216&lt;&gt;"",VLOOKUP(BA216,Selects!$B$4:$C$100,2,0),"")</f>
        <v/>
      </c>
      <c r="BC216" s="26"/>
      <c r="BD216" s="26"/>
      <c r="BE216" s="73"/>
      <c r="BF216" s="74"/>
      <c r="BG216" s="75" t="str">
        <f aca="false">IF(LEN(BF216)=11,"PF",IF(LEN(BF216)=14,"PJ",""))</f>
        <v/>
      </c>
      <c r="BH216" s="66"/>
      <c r="BI216" s="58" t="str">
        <f aca="false">IF(BH216&lt;&gt;"",VLOOKUP(BH216,Selects!$G:$H,2,0),"")</f>
        <v/>
      </c>
      <c r="BJ216" s="58"/>
      <c r="BK216" s="58"/>
      <c r="BL216" s="59"/>
      <c r="BM216" s="58"/>
      <c r="BN216" s="58"/>
      <c r="BO216" s="58" t="str">
        <f aca="false">IF(BN216&lt;&gt;"",VLOOKUP(BN216,Selects!$J$4:$K$1000,2,0),"")</f>
        <v/>
      </c>
      <c r="BP216" s="76"/>
      <c r="BQ216" s="59"/>
      <c r="BR216" s="77"/>
      <c r="BS216" s="59"/>
      <c r="BT216" s="77"/>
      <c r="BU216" s="58"/>
      <c r="BV216" s="58"/>
      <c r="BW216" s="58"/>
      <c r="BX216" s="58"/>
      <c r="BY216" s="58"/>
      <c r="BZ216" s="58"/>
      <c r="CA216" s="58"/>
      <c r="CB216" s="72" t="str">
        <f aca="false">IF(AC216&lt;&gt;"",VLOOKUP(AC216,Selects!$B:$E,4,0),"")</f>
        <v/>
      </c>
      <c r="CC216" s="58"/>
      <c r="CD216" s="58"/>
      <c r="CE216" s="58"/>
    </row>
    <row r="217" customFormat="false" ht="15.75" hidden="false" customHeight="true" outlineLevel="0" collapsed="false">
      <c r="A217" s="17"/>
      <c r="B217" s="58"/>
      <c r="C217" s="58"/>
      <c r="D217" s="59"/>
      <c r="E217" s="60" t="str">
        <f aca="false">IF(LEN(D217)=11,"PF",IF(LEN(D217)=14,"PJ",""))</f>
        <v/>
      </c>
      <c r="F217" s="59"/>
      <c r="G217" s="59"/>
      <c r="H217" s="61" t="str">
        <f aca="false">IF(G217&lt;&gt;"",VLOOKUP(G217,'Cnae  mcc  id'!$A:$M,9,0),"")</f>
        <v/>
      </c>
      <c r="I217" s="62"/>
      <c r="J217" s="63" t="str">
        <f aca="false">IF(I217&lt;&gt;"",VLOOKUP(I217,'Legal Nature'!$E$2:$G$84,3,0),"")</f>
        <v/>
      </c>
      <c r="K217" s="64"/>
      <c r="L217" s="65"/>
      <c r="M217" s="66"/>
      <c r="N217" s="66"/>
      <c r="O217" s="79"/>
      <c r="P217" s="26"/>
      <c r="Q217" s="58"/>
      <c r="R217" s="58"/>
      <c r="S217" s="80"/>
      <c r="T217" s="68" t="str">
        <f aca="false">IF(LEFT(S217,1)="9","Celular",IF(S217="","","Fixo"))</f>
        <v/>
      </c>
      <c r="U217" s="58" t="str">
        <f aca="false">IF( T217&lt;&gt;"",VLOOKUP(T217,Selects!$M$4:$N$1000,2,0),"")</f>
        <v/>
      </c>
      <c r="V217" s="26"/>
      <c r="W217" s="58"/>
      <c r="X217" s="58"/>
      <c r="Y217" s="58"/>
      <c r="Z217" s="58"/>
      <c r="AA217" s="69"/>
      <c r="AB217" s="58"/>
      <c r="AC217" s="58"/>
      <c r="AD217" s="70" t="str">
        <f aca="false">IF(AC217&lt;&gt;"",VLOOKUP(AC217,Selects!$B$4:$C$100,2,0),"")</f>
        <v/>
      </c>
      <c r="AE217" s="26"/>
      <c r="AF217" s="58"/>
      <c r="AG217" s="59"/>
      <c r="AH217" s="65"/>
      <c r="AI217" s="66"/>
      <c r="AJ217" s="66"/>
      <c r="AK217" s="58"/>
      <c r="AL217" s="58"/>
      <c r="AM217" s="68" t="str">
        <f aca="false">IF(LEFT(AL217,1)="9","Celular",IF(AL217="","","Fixo"))</f>
        <v/>
      </c>
      <c r="AN217" s="58" t="str">
        <f aca="false">IF( AM217&lt;&gt;"",VLOOKUP(AM217,Selects!$M$4:$N$1000,2,0),"")</f>
        <v/>
      </c>
      <c r="AO217" s="58"/>
      <c r="AP217" s="59"/>
      <c r="AQ217" s="65"/>
      <c r="AR217" s="58"/>
      <c r="AS217" s="58"/>
      <c r="AT217" s="26"/>
      <c r="AU217" s="58"/>
      <c r="AV217" s="58"/>
      <c r="AW217" s="58"/>
      <c r="AX217" s="58"/>
      <c r="AY217" s="71"/>
      <c r="AZ217" s="58"/>
      <c r="BA217" s="58"/>
      <c r="BB217" s="72" t="str">
        <f aca="false">IF(BA217&lt;&gt;"",VLOOKUP(BA217,Selects!$B$4:$C$100,2,0),"")</f>
        <v/>
      </c>
      <c r="BC217" s="26"/>
      <c r="BD217" s="26"/>
      <c r="BE217" s="73"/>
      <c r="BF217" s="74"/>
      <c r="BG217" s="75" t="str">
        <f aca="false">IF(LEN(BF217)=11,"PF",IF(LEN(BF217)=14,"PJ",""))</f>
        <v/>
      </c>
      <c r="BH217" s="66"/>
      <c r="BI217" s="58" t="str">
        <f aca="false">IF(BH217&lt;&gt;"",VLOOKUP(BH217,Selects!$G:$H,2,0),"")</f>
        <v/>
      </c>
      <c r="BJ217" s="58"/>
      <c r="BK217" s="58"/>
      <c r="BL217" s="59"/>
      <c r="BM217" s="58"/>
      <c r="BN217" s="58"/>
      <c r="BO217" s="58" t="str">
        <f aca="false">IF(BN217&lt;&gt;"",VLOOKUP(BN217,Selects!$J$4:$K$1000,2,0),"")</f>
        <v/>
      </c>
      <c r="BP217" s="76"/>
      <c r="BQ217" s="59"/>
      <c r="BR217" s="77"/>
      <c r="BS217" s="59"/>
      <c r="BT217" s="77"/>
      <c r="BU217" s="58"/>
      <c r="BV217" s="58"/>
      <c r="BW217" s="58"/>
      <c r="BX217" s="58"/>
      <c r="BY217" s="58"/>
      <c r="BZ217" s="58"/>
      <c r="CA217" s="58"/>
      <c r="CB217" s="72" t="str">
        <f aca="false">IF(AC217&lt;&gt;"",VLOOKUP(AC217,Selects!$B:$E,4,0),"")</f>
        <v/>
      </c>
      <c r="CC217" s="58"/>
      <c r="CD217" s="58"/>
      <c r="CE217" s="58"/>
    </row>
    <row r="218" customFormat="false" ht="15.75" hidden="false" customHeight="true" outlineLevel="0" collapsed="false">
      <c r="A218" s="17"/>
      <c r="B218" s="58"/>
      <c r="C218" s="58"/>
      <c r="D218" s="59"/>
      <c r="E218" s="60" t="str">
        <f aca="false">IF(LEN(D218)=11,"PF",IF(LEN(D218)=14,"PJ",""))</f>
        <v/>
      </c>
      <c r="F218" s="59"/>
      <c r="G218" s="59"/>
      <c r="H218" s="61" t="str">
        <f aca="false">IF(G218&lt;&gt;"",VLOOKUP(G218,'Cnae  mcc  id'!$A:$M,9,0),"")</f>
        <v/>
      </c>
      <c r="I218" s="62"/>
      <c r="J218" s="63" t="str">
        <f aca="false">IF(I218&lt;&gt;"",VLOOKUP(I218,'Legal Nature'!$E$2:$G$84,3,0),"")</f>
        <v/>
      </c>
      <c r="K218" s="64"/>
      <c r="L218" s="65"/>
      <c r="M218" s="66"/>
      <c r="N218" s="66"/>
      <c r="O218" s="79"/>
      <c r="P218" s="26"/>
      <c r="Q218" s="58"/>
      <c r="R218" s="58"/>
      <c r="S218" s="80"/>
      <c r="T218" s="68" t="str">
        <f aca="false">IF(LEFT(S218,1)="9","Celular",IF(S218="","","Fixo"))</f>
        <v/>
      </c>
      <c r="U218" s="58" t="str">
        <f aca="false">IF( T218&lt;&gt;"",VLOOKUP(T218,Selects!$M$4:$N$1000,2,0),"")</f>
        <v/>
      </c>
      <c r="V218" s="26"/>
      <c r="W218" s="58"/>
      <c r="X218" s="58"/>
      <c r="Y218" s="58"/>
      <c r="Z218" s="58"/>
      <c r="AA218" s="69"/>
      <c r="AB218" s="58"/>
      <c r="AC218" s="58"/>
      <c r="AD218" s="70" t="str">
        <f aca="false">IF(AC218&lt;&gt;"",VLOOKUP(AC218,Selects!$B$4:$C$100,2,0),"")</f>
        <v/>
      </c>
      <c r="AE218" s="26"/>
      <c r="AF218" s="58"/>
      <c r="AG218" s="59"/>
      <c r="AH218" s="65"/>
      <c r="AI218" s="66"/>
      <c r="AJ218" s="66"/>
      <c r="AK218" s="58"/>
      <c r="AL218" s="58"/>
      <c r="AM218" s="68" t="str">
        <f aca="false">IF(LEFT(AL218,1)="9","Celular",IF(AL218="","","Fixo"))</f>
        <v/>
      </c>
      <c r="AN218" s="58" t="str">
        <f aca="false">IF( AM218&lt;&gt;"",VLOOKUP(AM218,Selects!$M$4:$N$1000,2,0),"")</f>
        <v/>
      </c>
      <c r="AO218" s="58"/>
      <c r="AP218" s="59"/>
      <c r="AQ218" s="65"/>
      <c r="AR218" s="58"/>
      <c r="AS218" s="58"/>
      <c r="AT218" s="26"/>
      <c r="AU218" s="58"/>
      <c r="AV218" s="58"/>
      <c r="AW218" s="58"/>
      <c r="AX218" s="58"/>
      <c r="AY218" s="71"/>
      <c r="AZ218" s="58"/>
      <c r="BA218" s="58"/>
      <c r="BB218" s="72" t="str">
        <f aca="false">IF(BA218&lt;&gt;"",VLOOKUP(BA218,Selects!$B$4:$C$100,2,0),"")</f>
        <v/>
      </c>
      <c r="BC218" s="26"/>
      <c r="BD218" s="26"/>
      <c r="BE218" s="73"/>
      <c r="BF218" s="74"/>
      <c r="BG218" s="75" t="str">
        <f aca="false">IF(LEN(BF218)=11,"PF",IF(LEN(BF218)=14,"PJ",""))</f>
        <v/>
      </c>
      <c r="BH218" s="66"/>
      <c r="BI218" s="58" t="str">
        <f aca="false">IF(BH218&lt;&gt;"",VLOOKUP(BH218,Selects!$G:$H,2,0),"")</f>
        <v/>
      </c>
      <c r="BJ218" s="58"/>
      <c r="BK218" s="58"/>
      <c r="BL218" s="59"/>
      <c r="BM218" s="58"/>
      <c r="BN218" s="58"/>
      <c r="BO218" s="58" t="str">
        <f aca="false">IF(BN218&lt;&gt;"",VLOOKUP(BN218,Selects!$J$4:$K$1000,2,0),"")</f>
        <v/>
      </c>
      <c r="BP218" s="76"/>
      <c r="BQ218" s="59"/>
      <c r="BR218" s="77"/>
      <c r="BS218" s="59"/>
      <c r="BT218" s="77"/>
      <c r="BU218" s="58"/>
      <c r="BV218" s="58"/>
      <c r="BW218" s="58"/>
      <c r="BX218" s="58"/>
      <c r="BY218" s="58"/>
      <c r="BZ218" s="58"/>
      <c r="CA218" s="58"/>
      <c r="CB218" s="72" t="str">
        <f aca="false">IF(AC218&lt;&gt;"",VLOOKUP(AC218,Selects!$B:$E,4,0),"")</f>
        <v/>
      </c>
      <c r="CC218" s="58"/>
      <c r="CD218" s="58"/>
      <c r="CE218" s="58"/>
    </row>
    <row r="219" customFormat="false" ht="15.75" hidden="false" customHeight="true" outlineLevel="0" collapsed="false">
      <c r="A219" s="17"/>
      <c r="B219" s="58"/>
      <c r="C219" s="58"/>
      <c r="D219" s="59"/>
      <c r="E219" s="60" t="str">
        <f aca="false">IF(LEN(D219)=11,"PF",IF(LEN(D219)=14,"PJ",""))</f>
        <v/>
      </c>
      <c r="F219" s="59"/>
      <c r="G219" s="59"/>
      <c r="H219" s="61" t="str">
        <f aca="false">IF(G219&lt;&gt;"",VLOOKUP(G219,'Cnae  mcc  id'!$A:$M,9,0),"")</f>
        <v/>
      </c>
      <c r="I219" s="62"/>
      <c r="J219" s="63" t="str">
        <f aca="false">IF(I219&lt;&gt;"",VLOOKUP(I219,'Legal Nature'!$E$2:$G$84,3,0),"")</f>
        <v/>
      </c>
      <c r="K219" s="64"/>
      <c r="L219" s="65"/>
      <c r="M219" s="66"/>
      <c r="N219" s="66"/>
      <c r="O219" s="79"/>
      <c r="P219" s="26"/>
      <c r="Q219" s="58"/>
      <c r="R219" s="58"/>
      <c r="S219" s="80"/>
      <c r="T219" s="68" t="str">
        <f aca="false">IF(LEFT(S219,1)="9","Celular",IF(S219="","","Fixo"))</f>
        <v/>
      </c>
      <c r="U219" s="58" t="str">
        <f aca="false">IF( T219&lt;&gt;"",VLOOKUP(T219,Selects!$M$4:$N$1000,2,0),"")</f>
        <v/>
      </c>
      <c r="V219" s="26"/>
      <c r="W219" s="58"/>
      <c r="X219" s="58"/>
      <c r="Y219" s="58"/>
      <c r="Z219" s="58"/>
      <c r="AA219" s="69"/>
      <c r="AB219" s="58"/>
      <c r="AC219" s="58"/>
      <c r="AD219" s="70" t="str">
        <f aca="false">IF(AC219&lt;&gt;"",VLOOKUP(AC219,Selects!$B$4:$C$100,2,0),"")</f>
        <v/>
      </c>
      <c r="AE219" s="26"/>
      <c r="AF219" s="58"/>
      <c r="AG219" s="59"/>
      <c r="AH219" s="65"/>
      <c r="AI219" s="66"/>
      <c r="AJ219" s="66"/>
      <c r="AK219" s="58"/>
      <c r="AL219" s="58"/>
      <c r="AM219" s="68" t="str">
        <f aca="false">IF(LEFT(AL219,1)="9","Celular",IF(AL219="","","Fixo"))</f>
        <v/>
      </c>
      <c r="AN219" s="58" t="str">
        <f aca="false">IF( AM219&lt;&gt;"",VLOOKUP(AM219,Selects!$M$4:$N$1000,2,0),"")</f>
        <v/>
      </c>
      <c r="AO219" s="58"/>
      <c r="AP219" s="59"/>
      <c r="AQ219" s="65"/>
      <c r="AR219" s="58"/>
      <c r="AS219" s="58"/>
      <c r="AT219" s="26"/>
      <c r="AU219" s="58"/>
      <c r="AV219" s="58"/>
      <c r="AW219" s="58"/>
      <c r="AX219" s="58"/>
      <c r="AY219" s="71"/>
      <c r="AZ219" s="58"/>
      <c r="BA219" s="58"/>
      <c r="BB219" s="72" t="str">
        <f aca="false">IF(BA219&lt;&gt;"",VLOOKUP(BA219,Selects!$B$4:$C$100,2,0),"")</f>
        <v/>
      </c>
      <c r="BC219" s="26"/>
      <c r="BD219" s="26"/>
      <c r="BE219" s="73"/>
      <c r="BF219" s="74"/>
      <c r="BG219" s="75" t="str">
        <f aca="false">IF(LEN(BF219)=11,"PF",IF(LEN(BF219)=14,"PJ",""))</f>
        <v/>
      </c>
      <c r="BH219" s="66"/>
      <c r="BI219" s="58" t="str">
        <f aca="false">IF(BH219&lt;&gt;"",VLOOKUP(BH219,Selects!$G:$H,2,0),"")</f>
        <v/>
      </c>
      <c r="BJ219" s="58"/>
      <c r="BK219" s="58"/>
      <c r="BL219" s="59"/>
      <c r="BM219" s="58"/>
      <c r="BN219" s="58"/>
      <c r="BO219" s="58" t="str">
        <f aca="false">IF(BN219&lt;&gt;"",VLOOKUP(BN219,Selects!$J$4:$K$1000,2,0),"")</f>
        <v/>
      </c>
      <c r="BP219" s="76"/>
      <c r="BQ219" s="59"/>
      <c r="BR219" s="77"/>
      <c r="BS219" s="59"/>
      <c r="BT219" s="77"/>
      <c r="BU219" s="58"/>
      <c r="BV219" s="58"/>
      <c r="BW219" s="58"/>
      <c r="BX219" s="58"/>
      <c r="BY219" s="58"/>
      <c r="BZ219" s="58"/>
      <c r="CA219" s="58"/>
      <c r="CB219" s="72" t="str">
        <f aca="false">IF(AC219&lt;&gt;"",VLOOKUP(AC219,Selects!$B:$E,4,0),"")</f>
        <v/>
      </c>
      <c r="CC219" s="58"/>
      <c r="CD219" s="58"/>
      <c r="CE219" s="58"/>
    </row>
    <row r="220" customFormat="false" ht="15.75" hidden="false" customHeight="true" outlineLevel="0" collapsed="false">
      <c r="A220" s="17"/>
      <c r="B220" s="58"/>
      <c r="C220" s="58"/>
      <c r="D220" s="59"/>
      <c r="E220" s="60" t="str">
        <f aca="false">IF(LEN(D220)=11,"PF",IF(LEN(D220)=14,"PJ",""))</f>
        <v/>
      </c>
      <c r="F220" s="59"/>
      <c r="G220" s="59"/>
      <c r="H220" s="61" t="str">
        <f aca="false">IF(G220&lt;&gt;"",VLOOKUP(G220,'Cnae  mcc  id'!$A:$M,9,0),"")</f>
        <v/>
      </c>
      <c r="I220" s="62"/>
      <c r="J220" s="63" t="str">
        <f aca="false">IF(I220&lt;&gt;"",VLOOKUP(I220,'Legal Nature'!$E$2:$G$84,3,0),"")</f>
        <v/>
      </c>
      <c r="K220" s="64"/>
      <c r="L220" s="65"/>
      <c r="M220" s="66"/>
      <c r="N220" s="66"/>
      <c r="O220" s="79"/>
      <c r="P220" s="26"/>
      <c r="Q220" s="58"/>
      <c r="R220" s="58"/>
      <c r="S220" s="80"/>
      <c r="T220" s="68" t="str">
        <f aca="false">IF(LEFT(S220,1)="9","Celular",IF(S220="","","Fixo"))</f>
        <v/>
      </c>
      <c r="U220" s="58" t="str">
        <f aca="false">IF( T220&lt;&gt;"",VLOOKUP(T220,Selects!$M$4:$N$1000,2,0),"")</f>
        <v/>
      </c>
      <c r="V220" s="26"/>
      <c r="W220" s="58"/>
      <c r="X220" s="58"/>
      <c r="Y220" s="58"/>
      <c r="Z220" s="58"/>
      <c r="AA220" s="69"/>
      <c r="AB220" s="58"/>
      <c r="AC220" s="58"/>
      <c r="AD220" s="70" t="str">
        <f aca="false">IF(AC220&lt;&gt;"",VLOOKUP(AC220,Selects!$B$4:$C$100,2,0),"")</f>
        <v/>
      </c>
      <c r="AE220" s="26"/>
      <c r="AF220" s="58"/>
      <c r="AG220" s="59"/>
      <c r="AH220" s="65"/>
      <c r="AI220" s="66"/>
      <c r="AJ220" s="66"/>
      <c r="AK220" s="58"/>
      <c r="AL220" s="58"/>
      <c r="AM220" s="68" t="str">
        <f aca="false">IF(LEFT(AL220,1)="9","Celular",IF(AL220="","","Fixo"))</f>
        <v/>
      </c>
      <c r="AN220" s="58" t="str">
        <f aca="false">IF( AM220&lt;&gt;"",VLOOKUP(AM220,Selects!$M$4:$N$1000,2,0),"")</f>
        <v/>
      </c>
      <c r="AO220" s="58"/>
      <c r="AP220" s="59"/>
      <c r="AQ220" s="65"/>
      <c r="AR220" s="58"/>
      <c r="AS220" s="58"/>
      <c r="AT220" s="26"/>
      <c r="AU220" s="58"/>
      <c r="AV220" s="58"/>
      <c r="AW220" s="58"/>
      <c r="AX220" s="58"/>
      <c r="AY220" s="71"/>
      <c r="AZ220" s="58"/>
      <c r="BA220" s="58"/>
      <c r="BB220" s="72" t="str">
        <f aca="false">IF(BA220&lt;&gt;"",VLOOKUP(BA220,Selects!$B$4:$C$100,2,0),"")</f>
        <v/>
      </c>
      <c r="BC220" s="26"/>
      <c r="BD220" s="26"/>
      <c r="BE220" s="73"/>
      <c r="BF220" s="74"/>
      <c r="BG220" s="75" t="str">
        <f aca="false">IF(LEN(BF220)=11,"PF",IF(LEN(BF220)=14,"PJ",""))</f>
        <v/>
      </c>
      <c r="BH220" s="66"/>
      <c r="BI220" s="58" t="str">
        <f aca="false">IF(BH220&lt;&gt;"",VLOOKUP(BH220,Selects!$G:$H,2,0),"")</f>
        <v/>
      </c>
      <c r="BJ220" s="58"/>
      <c r="BK220" s="58"/>
      <c r="BL220" s="59"/>
      <c r="BM220" s="58"/>
      <c r="BN220" s="58"/>
      <c r="BO220" s="58" t="str">
        <f aca="false">IF(BN220&lt;&gt;"",VLOOKUP(BN220,Selects!$J$4:$K$1000,2,0),"")</f>
        <v/>
      </c>
      <c r="BP220" s="76"/>
      <c r="BQ220" s="59"/>
      <c r="BR220" s="77"/>
      <c r="BS220" s="59"/>
      <c r="BT220" s="77"/>
      <c r="BU220" s="58"/>
      <c r="BV220" s="58"/>
      <c r="BW220" s="58"/>
      <c r="BX220" s="58"/>
      <c r="BY220" s="58"/>
      <c r="BZ220" s="58"/>
      <c r="CA220" s="58"/>
      <c r="CB220" s="72" t="str">
        <f aca="false">IF(AC220&lt;&gt;"",VLOOKUP(AC220,Selects!$B:$E,4,0),"")</f>
        <v/>
      </c>
      <c r="CC220" s="58"/>
      <c r="CD220" s="58"/>
      <c r="CE220" s="58"/>
    </row>
    <row r="221" customFormat="false" ht="15.75" hidden="false" customHeight="true" outlineLevel="0" collapsed="false">
      <c r="A221" s="17"/>
      <c r="B221" s="58"/>
      <c r="C221" s="58"/>
      <c r="D221" s="59"/>
      <c r="E221" s="60" t="str">
        <f aca="false">IF(LEN(D221)=11,"PF",IF(LEN(D221)=14,"PJ",""))</f>
        <v/>
      </c>
      <c r="F221" s="59"/>
      <c r="G221" s="59"/>
      <c r="H221" s="61" t="str">
        <f aca="false">IF(G221&lt;&gt;"",VLOOKUP(G221,'Cnae  mcc  id'!$A:$M,9,0),"")</f>
        <v/>
      </c>
      <c r="I221" s="62"/>
      <c r="J221" s="63" t="str">
        <f aca="false">IF(I221&lt;&gt;"",VLOOKUP(I221,'Legal Nature'!$E$2:$G$84,3,0),"")</f>
        <v/>
      </c>
      <c r="K221" s="64"/>
      <c r="L221" s="65"/>
      <c r="M221" s="66"/>
      <c r="N221" s="66"/>
      <c r="O221" s="79"/>
      <c r="P221" s="26"/>
      <c r="Q221" s="58"/>
      <c r="R221" s="58"/>
      <c r="S221" s="80"/>
      <c r="T221" s="68" t="str">
        <f aca="false">IF(LEFT(S221,1)="9","Celular",IF(S221="","","Fixo"))</f>
        <v/>
      </c>
      <c r="U221" s="58" t="str">
        <f aca="false">IF( T221&lt;&gt;"",VLOOKUP(T221,Selects!$M$4:$N$1000,2,0),"")</f>
        <v/>
      </c>
      <c r="V221" s="26"/>
      <c r="W221" s="58"/>
      <c r="X221" s="58"/>
      <c r="Y221" s="58"/>
      <c r="Z221" s="58"/>
      <c r="AA221" s="69"/>
      <c r="AB221" s="58"/>
      <c r="AC221" s="58"/>
      <c r="AD221" s="70" t="str">
        <f aca="false">IF(AC221&lt;&gt;"",VLOOKUP(AC221,Selects!$B$4:$C$100,2,0),"")</f>
        <v/>
      </c>
      <c r="AE221" s="26"/>
      <c r="AF221" s="58"/>
      <c r="AG221" s="59"/>
      <c r="AH221" s="65"/>
      <c r="AI221" s="66"/>
      <c r="AJ221" s="66"/>
      <c r="AK221" s="58"/>
      <c r="AL221" s="58"/>
      <c r="AM221" s="68" t="str">
        <f aca="false">IF(LEFT(AL221,1)="9","Celular",IF(AL221="","","Fixo"))</f>
        <v/>
      </c>
      <c r="AN221" s="58" t="str">
        <f aca="false">IF( AM221&lt;&gt;"",VLOOKUP(AM221,Selects!$M$4:$N$1000,2,0),"")</f>
        <v/>
      </c>
      <c r="AO221" s="58"/>
      <c r="AP221" s="59"/>
      <c r="AQ221" s="65"/>
      <c r="AR221" s="58"/>
      <c r="AS221" s="58"/>
      <c r="AT221" s="26"/>
      <c r="AU221" s="58"/>
      <c r="AV221" s="58"/>
      <c r="AW221" s="58"/>
      <c r="AX221" s="58"/>
      <c r="AY221" s="71"/>
      <c r="AZ221" s="58"/>
      <c r="BA221" s="58"/>
      <c r="BB221" s="72" t="str">
        <f aca="false">IF(BA221&lt;&gt;"",VLOOKUP(BA221,Selects!$B$4:$C$100,2,0),"")</f>
        <v/>
      </c>
      <c r="BC221" s="26"/>
      <c r="BD221" s="26"/>
      <c r="BE221" s="73"/>
      <c r="BF221" s="74"/>
      <c r="BG221" s="75" t="str">
        <f aca="false">IF(LEN(BF221)=11,"PF",IF(LEN(BF221)=14,"PJ",""))</f>
        <v/>
      </c>
      <c r="BH221" s="66"/>
      <c r="BI221" s="58" t="str">
        <f aca="false">IF(BH221&lt;&gt;"",VLOOKUP(BH221,Selects!$G:$H,2,0),"")</f>
        <v/>
      </c>
      <c r="BJ221" s="58"/>
      <c r="BK221" s="58"/>
      <c r="BL221" s="59"/>
      <c r="BM221" s="58"/>
      <c r="BN221" s="58"/>
      <c r="BO221" s="58" t="str">
        <f aca="false">IF(BN221&lt;&gt;"",VLOOKUP(BN221,Selects!$J$4:$K$1000,2,0),"")</f>
        <v/>
      </c>
      <c r="BP221" s="76"/>
      <c r="BQ221" s="59"/>
      <c r="BR221" s="77"/>
      <c r="BS221" s="59"/>
      <c r="BT221" s="77"/>
      <c r="BU221" s="58"/>
      <c r="BV221" s="58"/>
      <c r="BW221" s="58"/>
      <c r="BX221" s="58"/>
      <c r="BY221" s="58"/>
      <c r="BZ221" s="58"/>
      <c r="CA221" s="58"/>
      <c r="CB221" s="72" t="str">
        <f aca="false">IF(AC221&lt;&gt;"",VLOOKUP(AC221,Selects!$B:$E,4,0),"")</f>
        <v/>
      </c>
      <c r="CC221" s="58"/>
      <c r="CD221" s="58"/>
      <c r="CE221" s="58"/>
    </row>
    <row r="222" customFormat="false" ht="15.75" hidden="false" customHeight="true" outlineLevel="0" collapsed="false">
      <c r="A222" s="17"/>
      <c r="B222" s="58"/>
      <c r="C222" s="58"/>
      <c r="D222" s="59"/>
      <c r="E222" s="60" t="str">
        <f aca="false">IF(LEN(D222)=11,"PF",IF(LEN(D222)=14,"PJ",""))</f>
        <v/>
      </c>
      <c r="F222" s="59"/>
      <c r="G222" s="59"/>
      <c r="H222" s="61" t="str">
        <f aca="false">IF(G222&lt;&gt;"",VLOOKUP(G222,'Cnae  mcc  id'!$A:$M,9,0),"")</f>
        <v/>
      </c>
      <c r="I222" s="62"/>
      <c r="J222" s="63" t="str">
        <f aca="false">IF(I222&lt;&gt;"",VLOOKUP(I222,'Legal Nature'!$E$2:$G$84,3,0),"")</f>
        <v/>
      </c>
      <c r="K222" s="64"/>
      <c r="L222" s="65"/>
      <c r="M222" s="66"/>
      <c r="N222" s="66"/>
      <c r="O222" s="79"/>
      <c r="P222" s="26"/>
      <c r="Q222" s="58"/>
      <c r="R222" s="58"/>
      <c r="S222" s="80"/>
      <c r="T222" s="68" t="str">
        <f aca="false">IF(LEFT(S222,1)="9","Celular",IF(S222="","","Fixo"))</f>
        <v/>
      </c>
      <c r="U222" s="58" t="str">
        <f aca="false">IF( T222&lt;&gt;"",VLOOKUP(T222,Selects!$M$4:$N$1000,2,0),"")</f>
        <v/>
      </c>
      <c r="V222" s="26"/>
      <c r="W222" s="58"/>
      <c r="X222" s="58"/>
      <c r="Y222" s="58"/>
      <c r="Z222" s="58"/>
      <c r="AA222" s="69"/>
      <c r="AB222" s="58"/>
      <c r="AC222" s="58"/>
      <c r="AD222" s="70" t="str">
        <f aca="false">IF(AC222&lt;&gt;"",VLOOKUP(AC222,Selects!$B$4:$C$100,2,0),"")</f>
        <v/>
      </c>
      <c r="AE222" s="26"/>
      <c r="AF222" s="58"/>
      <c r="AG222" s="59"/>
      <c r="AH222" s="65"/>
      <c r="AI222" s="66"/>
      <c r="AJ222" s="66"/>
      <c r="AK222" s="58"/>
      <c r="AL222" s="58"/>
      <c r="AM222" s="68" t="str">
        <f aca="false">IF(LEFT(AL222,1)="9","Celular",IF(AL222="","","Fixo"))</f>
        <v/>
      </c>
      <c r="AN222" s="58" t="str">
        <f aca="false">IF( AM222&lt;&gt;"",VLOOKUP(AM222,Selects!$M$4:$N$1000,2,0),"")</f>
        <v/>
      </c>
      <c r="AO222" s="58"/>
      <c r="AP222" s="59"/>
      <c r="AQ222" s="65"/>
      <c r="AR222" s="58"/>
      <c r="AS222" s="58"/>
      <c r="AT222" s="26"/>
      <c r="AU222" s="58"/>
      <c r="AV222" s="58"/>
      <c r="AW222" s="58"/>
      <c r="AX222" s="58"/>
      <c r="AY222" s="71"/>
      <c r="AZ222" s="58"/>
      <c r="BA222" s="58"/>
      <c r="BB222" s="72" t="str">
        <f aca="false">IF(BA222&lt;&gt;"",VLOOKUP(BA222,Selects!$B$4:$C$100,2,0),"")</f>
        <v/>
      </c>
      <c r="BC222" s="26"/>
      <c r="BD222" s="26"/>
      <c r="BE222" s="73"/>
      <c r="BF222" s="74"/>
      <c r="BG222" s="75" t="str">
        <f aca="false">IF(LEN(BF222)=11,"PF",IF(LEN(BF222)=14,"PJ",""))</f>
        <v/>
      </c>
      <c r="BH222" s="66"/>
      <c r="BI222" s="58" t="str">
        <f aca="false">IF(BH222&lt;&gt;"",VLOOKUP(BH222,Selects!$G:$H,2,0),"")</f>
        <v/>
      </c>
      <c r="BJ222" s="58"/>
      <c r="BK222" s="58"/>
      <c r="BL222" s="59"/>
      <c r="BM222" s="58"/>
      <c r="BN222" s="58"/>
      <c r="BO222" s="58" t="str">
        <f aca="false">IF(BN222&lt;&gt;"",VLOOKUP(BN222,Selects!$J$4:$K$1000,2,0),"")</f>
        <v/>
      </c>
      <c r="BP222" s="76"/>
      <c r="BQ222" s="59"/>
      <c r="BR222" s="77"/>
      <c r="BS222" s="59"/>
      <c r="BT222" s="77"/>
      <c r="BU222" s="58"/>
      <c r="BV222" s="58"/>
      <c r="BW222" s="58"/>
      <c r="BX222" s="58"/>
      <c r="BY222" s="58"/>
      <c r="BZ222" s="58"/>
      <c r="CA222" s="58"/>
      <c r="CB222" s="72" t="str">
        <f aca="false">IF(AC222&lt;&gt;"",VLOOKUP(AC222,Selects!$B:$E,4,0),"")</f>
        <v/>
      </c>
      <c r="CC222" s="58"/>
      <c r="CD222" s="58"/>
      <c r="CE222" s="58"/>
    </row>
    <row r="223" customFormat="false" ht="15.75" hidden="false" customHeight="true" outlineLevel="0" collapsed="false">
      <c r="A223" s="17"/>
      <c r="B223" s="58"/>
      <c r="C223" s="58"/>
      <c r="D223" s="59"/>
      <c r="E223" s="60" t="str">
        <f aca="false">IF(LEN(D223)=11,"PF",IF(LEN(D223)=14,"PJ",""))</f>
        <v/>
      </c>
      <c r="F223" s="59"/>
      <c r="G223" s="59"/>
      <c r="H223" s="61" t="str">
        <f aca="false">IF(G223&lt;&gt;"",VLOOKUP(G223,'Cnae  mcc  id'!$A:$M,9,0),"")</f>
        <v/>
      </c>
      <c r="I223" s="62"/>
      <c r="J223" s="63" t="str">
        <f aca="false">IF(I223&lt;&gt;"",VLOOKUP(I223,'Legal Nature'!$E$2:$G$84,3,0),"")</f>
        <v/>
      </c>
      <c r="K223" s="64"/>
      <c r="L223" s="65"/>
      <c r="M223" s="66"/>
      <c r="N223" s="66"/>
      <c r="O223" s="79"/>
      <c r="P223" s="26"/>
      <c r="Q223" s="58"/>
      <c r="R223" s="58"/>
      <c r="S223" s="80"/>
      <c r="T223" s="68" t="str">
        <f aca="false">IF(LEFT(S223,1)="9","Celular",IF(S223="","","Fixo"))</f>
        <v/>
      </c>
      <c r="U223" s="58" t="str">
        <f aca="false">IF( T223&lt;&gt;"",VLOOKUP(T223,Selects!$M$4:$N$1000,2,0),"")</f>
        <v/>
      </c>
      <c r="V223" s="26"/>
      <c r="W223" s="58"/>
      <c r="X223" s="58"/>
      <c r="Y223" s="58"/>
      <c r="Z223" s="58"/>
      <c r="AA223" s="69"/>
      <c r="AB223" s="58"/>
      <c r="AC223" s="58"/>
      <c r="AD223" s="70" t="str">
        <f aca="false">IF(AC223&lt;&gt;"",VLOOKUP(AC223,Selects!$B$4:$C$100,2,0),"")</f>
        <v/>
      </c>
      <c r="AE223" s="26"/>
      <c r="AF223" s="58"/>
      <c r="AG223" s="59"/>
      <c r="AH223" s="65"/>
      <c r="AI223" s="66"/>
      <c r="AJ223" s="66"/>
      <c r="AK223" s="58"/>
      <c r="AL223" s="58"/>
      <c r="AM223" s="68" t="str">
        <f aca="false">IF(LEFT(AL223,1)="9","Celular",IF(AL223="","","Fixo"))</f>
        <v/>
      </c>
      <c r="AN223" s="58" t="str">
        <f aca="false">IF( AM223&lt;&gt;"",VLOOKUP(AM223,Selects!$M$4:$N$1000,2,0),"")</f>
        <v/>
      </c>
      <c r="AO223" s="58"/>
      <c r="AP223" s="59"/>
      <c r="AQ223" s="65"/>
      <c r="AR223" s="58"/>
      <c r="AS223" s="58"/>
      <c r="AT223" s="26"/>
      <c r="AU223" s="58"/>
      <c r="AV223" s="58"/>
      <c r="AW223" s="58"/>
      <c r="AX223" s="58"/>
      <c r="AY223" s="71"/>
      <c r="AZ223" s="58"/>
      <c r="BA223" s="58"/>
      <c r="BB223" s="72" t="str">
        <f aca="false">IF(BA223&lt;&gt;"",VLOOKUP(BA223,Selects!$B$4:$C$100,2,0),"")</f>
        <v/>
      </c>
      <c r="BC223" s="26"/>
      <c r="BD223" s="26"/>
      <c r="BE223" s="73"/>
      <c r="BF223" s="74"/>
      <c r="BG223" s="75" t="str">
        <f aca="false">IF(LEN(BF223)=11,"PF",IF(LEN(BF223)=14,"PJ",""))</f>
        <v/>
      </c>
      <c r="BH223" s="66"/>
      <c r="BI223" s="58" t="str">
        <f aca="false">IF(BH223&lt;&gt;"",VLOOKUP(BH223,Selects!$G:$H,2,0),"")</f>
        <v/>
      </c>
      <c r="BJ223" s="58"/>
      <c r="BK223" s="58"/>
      <c r="BL223" s="59"/>
      <c r="BM223" s="58"/>
      <c r="BN223" s="58"/>
      <c r="BO223" s="58" t="str">
        <f aca="false">IF(BN223&lt;&gt;"",VLOOKUP(BN223,Selects!$J$4:$K$1000,2,0),"")</f>
        <v/>
      </c>
      <c r="BP223" s="76"/>
      <c r="BQ223" s="59"/>
      <c r="BR223" s="77"/>
      <c r="BS223" s="59"/>
      <c r="BT223" s="77"/>
      <c r="BU223" s="58"/>
      <c r="BV223" s="58"/>
      <c r="BW223" s="58"/>
      <c r="BX223" s="58"/>
      <c r="BY223" s="58"/>
      <c r="BZ223" s="58"/>
      <c r="CA223" s="58"/>
      <c r="CB223" s="72" t="str">
        <f aca="false">IF(AC223&lt;&gt;"",VLOOKUP(AC223,Selects!$B:$E,4,0),"")</f>
        <v/>
      </c>
      <c r="CC223" s="58"/>
      <c r="CD223" s="58"/>
      <c r="CE223" s="58"/>
    </row>
    <row r="224" customFormat="false" ht="15.75" hidden="false" customHeight="true" outlineLevel="0" collapsed="false">
      <c r="A224" s="17"/>
      <c r="B224" s="58"/>
      <c r="C224" s="58"/>
      <c r="D224" s="59"/>
      <c r="E224" s="60" t="str">
        <f aca="false">IF(LEN(D224)=11,"PF",IF(LEN(D224)=14,"PJ",""))</f>
        <v/>
      </c>
      <c r="F224" s="59"/>
      <c r="G224" s="59"/>
      <c r="H224" s="61" t="str">
        <f aca="false">IF(G224&lt;&gt;"",VLOOKUP(G224,'Cnae  mcc  id'!$A:$M,9,0),"")</f>
        <v/>
      </c>
      <c r="I224" s="62"/>
      <c r="J224" s="63" t="str">
        <f aca="false">IF(I224&lt;&gt;"",VLOOKUP(I224,'Legal Nature'!$E$2:$G$84,3,0),"")</f>
        <v/>
      </c>
      <c r="K224" s="64"/>
      <c r="L224" s="65"/>
      <c r="M224" s="66"/>
      <c r="N224" s="66"/>
      <c r="O224" s="79"/>
      <c r="P224" s="26"/>
      <c r="Q224" s="58"/>
      <c r="R224" s="58"/>
      <c r="S224" s="80"/>
      <c r="T224" s="68" t="str">
        <f aca="false">IF(LEFT(S224,1)="9","Celular",IF(S224="","","Fixo"))</f>
        <v/>
      </c>
      <c r="U224" s="58" t="str">
        <f aca="false">IF( T224&lt;&gt;"",VLOOKUP(T224,Selects!$M$4:$N$1000,2,0),"")</f>
        <v/>
      </c>
      <c r="V224" s="26"/>
      <c r="W224" s="58"/>
      <c r="X224" s="58"/>
      <c r="Y224" s="58"/>
      <c r="Z224" s="58"/>
      <c r="AA224" s="69"/>
      <c r="AB224" s="58"/>
      <c r="AC224" s="58"/>
      <c r="AD224" s="70" t="str">
        <f aca="false">IF(AC224&lt;&gt;"",VLOOKUP(AC224,Selects!$B$4:$C$100,2,0),"")</f>
        <v/>
      </c>
      <c r="AE224" s="26"/>
      <c r="AF224" s="58"/>
      <c r="AG224" s="59"/>
      <c r="AH224" s="65"/>
      <c r="AI224" s="66"/>
      <c r="AJ224" s="66"/>
      <c r="AK224" s="58"/>
      <c r="AL224" s="58"/>
      <c r="AM224" s="68" t="str">
        <f aca="false">IF(LEFT(AL224,1)="9","Celular",IF(AL224="","","Fixo"))</f>
        <v/>
      </c>
      <c r="AN224" s="58" t="str">
        <f aca="false">IF( AM224&lt;&gt;"",VLOOKUP(AM224,Selects!$M$4:$N$1000,2,0),"")</f>
        <v/>
      </c>
      <c r="AO224" s="58"/>
      <c r="AP224" s="59"/>
      <c r="AQ224" s="65"/>
      <c r="AR224" s="58"/>
      <c r="AS224" s="58"/>
      <c r="AT224" s="26"/>
      <c r="AU224" s="58"/>
      <c r="AV224" s="58"/>
      <c r="AW224" s="58"/>
      <c r="AX224" s="58"/>
      <c r="AY224" s="71"/>
      <c r="AZ224" s="58"/>
      <c r="BA224" s="58"/>
      <c r="BB224" s="72" t="str">
        <f aca="false">IF(BA224&lt;&gt;"",VLOOKUP(BA224,Selects!$B$4:$C$100,2,0),"")</f>
        <v/>
      </c>
      <c r="BC224" s="26"/>
      <c r="BD224" s="26"/>
      <c r="BE224" s="73"/>
      <c r="BF224" s="74"/>
      <c r="BG224" s="75" t="str">
        <f aca="false">IF(LEN(BF224)=11,"PF",IF(LEN(BF224)=14,"PJ",""))</f>
        <v/>
      </c>
      <c r="BH224" s="66"/>
      <c r="BI224" s="58" t="str">
        <f aca="false">IF(BH224&lt;&gt;"",VLOOKUP(BH224,Selects!$G:$H,2,0),"")</f>
        <v/>
      </c>
      <c r="BJ224" s="58"/>
      <c r="BK224" s="58"/>
      <c r="BL224" s="59"/>
      <c r="BM224" s="58"/>
      <c r="BN224" s="58"/>
      <c r="BO224" s="58" t="str">
        <f aca="false">IF(BN224&lt;&gt;"",VLOOKUP(BN224,Selects!$J$4:$K$1000,2,0),"")</f>
        <v/>
      </c>
      <c r="BP224" s="76"/>
      <c r="BQ224" s="59"/>
      <c r="BR224" s="77"/>
      <c r="BS224" s="59"/>
      <c r="BT224" s="77"/>
      <c r="BU224" s="58"/>
      <c r="BV224" s="58"/>
      <c r="BW224" s="58"/>
      <c r="BX224" s="58"/>
      <c r="BY224" s="58"/>
      <c r="BZ224" s="58"/>
      <c r="CA224" s="58"/>
      <c r="CB224" s="72" t="str">
        <f aca="false">IF(AC224&lt;&gt;"",VLOOKUP(AC224,Selects!$B:$E,4,0),"")</f>
        <v/>
      </c>
      <c r="CC224" s="58"/>
      <c r="CD224" s="58"/>
      <c r="CE224" s="58"/>
    </row>
    <row r="225" customFormat="false" ht="15.75" hidden="false" customHeight="true" outlineLevel="0" collapsed="false">
      <c r="A225" s="17"/>
      <c r="B225" s="58"/>
      <c r="C225" s="58"/>
      <c r="D225" s="59"/>
      <c r="E225" s="60" t="str">
        <f aca="false">IF(LEN(D225)=11,"PF",IF(LEN(D225)=14,"PJ",""))</f>
        <v/>
      </c>
      <c r="F225" s="59"/>
      <c r="G225" s="59"/>
      <c r="H225" s="61" t="str">
        <f aca="false">IF(G225&lt;&gt;"",VLOOKUP(G225,'Cnae  mcc  id'!$A:$M,9,0),"")</f>
        <v/>
      </c>
      <c r="I225" s="62"/>
      <c r="J225" s="63" t="str">
        <f aca="false">IF(I225&lt;&gt;"",VLOOKUP(I225,'Legal Nature'!$E$2:$G$84,3,0),"")</f>
        <v/>
      </c>
      <c r="K225" s="64"/>
      <c r="L225" s="65"/>
      <c r="M225" s="66"/>
      <c r="N225" s="66"/>
      <c r="O225" s="79"/>
      <c r="P225" s="26"/>
      <c r="Q225" s="58"/>
      <c r="R225" s="58"/>
      <c r="S225" s="80"/>
      <c r="T225" s="68" t="str">
        <f aca="false">IF(LEFT(S225,1)="9","Celular",IF(S225="","","Fixo"))</f>
        <v/>
      </c>
      <c r="U225" s="58" t="str">
        <f aca="false">IF( T225&lt;&gt;"",VLOOKUP(T225,Selects!$M$4:$N$1000,2,0),"")</f>
        <v/>
      </c>
      <c r="V225" s="26"/>
      <c r="W225" s="58"/>
      <c r="X225" s="58"/>
      <c r="Y225" s="58"/>
      <c r="Z225" s="58"/>
      <c r="AA225" s="69"/>
      <c r="AB225" s="58"/>
      <c r="AC225" s="58"/>
      <c r="AD225" s="70" t="str">
        <f aca="false">IF(AC225&lt;&gt;"",VLOOKUP(AC225,Selects!$B$4:$C$100,2,0),"")</f>
        <v/>
      </c>
      <c r="AE225" s="26"/>
      <c r="AF225" s="58"/>
      <c r="AG225" s="59"/>
      <c r="AH225" s="65"/>
      <c r="AI225" s="66"/>
      <c r="AJ225" s="66"/>
      <c r="AK225" s="58"/>
      <c r="AL225" s="58"/>
      <c r="AM225" s="68" t="str">
        <f aca="false">IF(LEFT(AL225,1)="9","Celular",IF(AL225="","","Fixo"))</f>
        <v/>
      </c>
      <c r="AN225" s="58" t="str">
        <f aca="false">IF( AM225&lt;&gt;"",VLOOKUP(AM225,Selects!$M$4:$N$1000,2,0),"")</f>
        <v/>
      </c>
      <c r="AO225" s="58"/>
      <c r="AP225" s="59"/>
      <c r="AQ225" s="65"/>
      <c r="AR225" s="58"/>
      <c r="AS225" s="58"/>
      <c r="AT225" s="26"/>
      <c r="AU225" s="58"/>
      <c r="AV225" s="58"/>
      <c r="AW225" s="58"/>
      <c r="AX225" s="58"/>
      <c r="AY225" s="71"/>
      <c r="AZ225" s="58"/>
      <c r="BA225" s="58"/>
      <c r="BB225" s="72" t="str">
        <f aca="false">IF(BA225&lt;&gt;"",VLOOKUP(BA225,Selects!$B$4:$C$100,2,0),"")</f>
        <v/>
      </c>
      <c r="BC225" s="26"/>
      <c r="BD225" s="26"/>
      <c r="BE225" s="73"/>
      <c r="BF225" s="74"/>
      <c r="BG225" s="75" t="str">
        <f aca="false">IF(LEN(BF225)=11,"PF",IF(LEN(BF225)=14,"PJ",""))</f>
        <v/>
      </c>
      <c r="BH225" s="66"/>
      <c r="BI225" s="58" t="str">
        <f aca="false">IF(BH225&lt;&gt;"",VLOOKUP(BH225,Selects!$G:$H,2,0),"")</f>
        <v/>
      </c>
      <c r="BJ225" s="58"/>
      <c r="BK225" s="58"/>
      <c r="BL225" s="59"/>
      <c r="BM225" s="58"/>
      <c r="BN225" s="58"/>
      <c r="BO225" s="58" t="str">
        <f aca="false">IF(BN225&lt;&gt;"",VLOOKUP(BN225,Selects!$J$4:$K$1000,2,0),"")</f>
        <v/>
      </c>
      <c r="BP225" s="76"/>
      <c r="BQ225" s="59"/>
      <c r="BR225" s="77"/>
      <c r="BS225" s="59"/>
      <c r="BT225" s="77"/>
      <c r="BU225" s="58"/>
      <c r="BV225" s="58"/>
      <c r="BW225" s="58"/>
      <c r="BX225" s="58"/>
      <c r="BY225" s="58"/>
      <c r="BZ225" s="58"/>
      <c r="CA225" s="58"/>
      <c r="CB225" s="72" t="str">
        <f aca="false">IF(AC225&lt;&gt;"",VLOOKUP(AC225,Selects!$B:$E,4,0),"")</f>
        <v/>
      </c>
      <c r="CC225" s="58"/>
      <c r="CD225" s="58"/>
      <c r="CE225" s="58"/>
    </row>
    <row r="226" customFormat="false" ht="15.75" hidden="false" customHeight="true" outlineLevel="0" collapsed="false">
      <c r="A226" s="17"/>
      <c r="B226" s="58"/>
      <c r="C226" s="58"/>
      <c r="D226" s="59"/>
      <c r="E226" s="60" t="str">
        <f aca="false">IF(LEN(D226)=11,"PF",IF(LEN(D226)=14,"PJ",""))</f>
        <v/>
      </c>
      <c r="F226" s="59"/>
      <c r="G226" s="59"/>
      <c r="H226" s="61" t="str">
        <f aca="false">IF(G226&lt;&gt;"",VLOOKUP(G226,'Cnae  mcc  id'!$A:$M,9,0),"")</f>
        <v/>
      </c>
      <c r="I226" s="62"/>
      <c r="J226" s="63" t="str">
        <f aca="false">IF(I226&lt;&gt;"",VLOOKUP(I226,'Legal Nature'!$E$2:$G$84,3,0),"")</f>
        <v/>
      </c>
      <c r="K226" s="64"/>
      <c r="L226" s="65"/>
      <c r="M226" s="66"/>
      <c r="N226" s="66"/>
      <c r="O226" s="79"/>
      <c r="P226" s="26"/>
      <c r="Q226" s="58"/>
      <c r="R226" s="58"/>
      <c r="S226" s="80"/>
      <c r="T226" s="68" t="str">
        <f aca="false">IF(LEFT(S226,1)="9","Celular",IF(S226="","","Fixo"))</f>
        <v/>
      </c>
      <c r="U226" s="58" t="str">
        <f aca="false">IF( T226&lt;&gt;"",VLOOKUP(T226,Selects!$M$4:$N$1000,2,0),"")</f>
        <v/>
      </c>
      <c r="V226" s="26"/>
      <c r="W226" s="58"/>
      <c r="X226" s="58"/>
      <c r="Y226" s="58"/>
      <c r="Z226" s="58"/>
      <c r="AA226" s="69"/>
      <c r="AB226" s="58"/>
      <c r="AC226" s="58"/>
      <c r="AD226" s="70" t="str">
        <f aca="false">IF(AC226&lt;&gt;"",VLOOKUP(AC226,Selects!$B$4:$C$100,2,0),"")</f>
        <v/>
      </c>
      <c r="AE226" s="26"/>
      <c r="AF226" s="58"/>
      <c r="AG226" s="59"/>
      <c r="AH226" s="65"/>
      <c r="AI226" s="66"/>
      <c r="AJ226" s="66"/>
      <c r="AK226" s="58"/>
      <c r="AL226" s="58"/>
      <c r="AM226" s="68" t="str">
        <f aca="false">IF(LEFT(AL226,1)="9","Celular",IF(AL226="","","Fixo"))</f>
        <v/>
      </c>
      <c r="AN226" s="58" t="str">
        <f aca="false">IF( AM226&lt;&gt;"",VLOOKUP(AM226,Selects!$M$4:$N$1000,2,0),"")</f>
        <v/>
      </c>
      <c r="AO226" s="58"/>
      <c r="AP226" s="59"/>
      <c r="AQ226" s="65"/>
      <c r="AR226" s="58"/>
      <c r="AS226" s="58"/>
      <c r="AT226" s="26"/>
      <c r="AU226" s="58"/>
      <c r="AV226" s="58"/>
      <c r="AW226" s="58"/>
      <c r="AX226" s="58"/>
      <c r="AY226" s="71"/>
      <c r="AZ226" s="58"/>
      <c r="BA226" s="58"/>
      <c r="BB226" s="72" t="str">
        <f aca="false">IF(BA226&lt;&gt;"",VLOOKUP(BA226,Selects!$B$4:$C$100,2,0),"")</f>
        <v/>
      </c>
      <c r="BC226" s="26"/>
      <c r="BD226" s="26"/>
      <c r="BE226" s="73"/>
      <c r="BF226" s="74"/>
      <c r="BG226" s="75" t="str">
        <f aca="false">IF(LEN(BF226)=11,"PF",IF(LEN(BF226)=14,"PJ",""))</f>
        <v/>
      </c>
      <c r="BH226" s="66"/>
      <c r="BI226" s="58" t="str">
        <f aca="false">IF(BH226&lt;&gt;"",VLOOKUP(BH226,Selects!$G:$H,2,0),"")</f>
        <v/>
      </c>
      <c r="BJ226" s="58"/>
      <c r="BK226" s="58"/>
      <c r="BL226" s="59"/>
      <c r="BM226" s="58"/>
      <c r="BN226" s="58"/>
      <c r="BO226" s="58" t="str">
        <f aca="false">IF(BN226&lt;&gt;"",VLOOKUP(BN226,Selects!$J$4:$K$1000,2,0),"")</f>
        <v/>
      </c>
      <c r="BP226" s="76"/>
      <c r="BQ226" s="59"/>
      <c r="BR226" s="77"/>
      <c r="BS226" s="59"/>
      <c r="BT226" s="77"/>
      <c r="BU226" s="58"/>
      <c r="BV226" s="58"/>
      <c r="BW226" s="58"/>
      <c r="BX226" s="58"/>
      <c r="BY226" s="58"/>
      <c r="BZ226" s="58"/>
      <c r="CA226" s="58"/>
      <c r="CB226" s="72" t="str">
        <f aca="false">IF(AC226&lt;&gt;"",VLOOKUP(AC226,Selects!$B:$E,4,0),"")</f>
        <v/>
      </c>
      <c r="CC226" s="58"/>
      <c r="CD226" s="58"/>
      <c r="CE226" s="58"/>
    </row>
    <row r="227" customFormat="false" ht="15.75" hidden="false" customHeight="true" outlineLevel="0" collapsed="false">
      <c r="A227" s="17"/>
      <c r="B227" s="58"/>
      <c r="C227" s="58"/>
      <c r="D227" s="59"/>
      <c r="E227" s="60" t="str">
        <f aca="false">IF(LEN(D227)=11,"PF",IF(LEN(D227)=14,"PJ",""))</f>
        <v/>
      </c>
      <c r="F227" s="59"/>
      <c r="G227" s="59"/>
      <c r="H227" s="61" t="str">
        <f aca="false">IF(G227&lt;&gt;"",VLOOKUP(G227,'Cnae  mcc  id'!$A:$M,9,0),"")</f>
        <v/>
      </c>
      <c r="I227" s="62"/>
      <c r="J227" s="63" t="str">
        <f aca="false">IF(I227&lt;&gt;"",VLOOKUP(I227,'Legal Nature'!$E$2:$G$84,3,0),"")</f>
        <v/>
      </c>
      <c r="K227" s="64"/>
      <c r="L227" s="65"/>
      <c r="M227" s="66"/>
      <c r="N227" s="66"/>
      <c r="O227" s="79"/>
      <c r="P227" s="26"/>
      <c r="Q227" s="58"/>
      <c r="R227" s="58"/>
      <c r="S227" s="80"/>
      <c r="T227" s="68" t="str">
        <f aca="false">IF(LEFT(S227,1)="9","Celular",IF(S227="","","Fixo"))</f>
        <v/>
      </c>
      <c r="U227" s="58" t="str">
        <f aca="false">IF( T227&lt;&gt;"",VLOOKUP(T227,Selects!$M$4:$N$1000,2,0),"")</f>
        <v/>
      </c>
      <c r="V227" s="26"/>
      <c r="W227" s="58"/>
      <c r="X227" s="58"/>
      <c r="Y227" s="58"/>
      <c r="Z227" s="58"/>
      <c r="AA227" s="69"/>
      <c r="AB227" s="58"/>
      <c r="AC227" s="58"/>
      <c r="AD227" s="70" t="str">
        <f aca="false">IF(AC227&lt;&gt;"",VLOOKUP(AC227,Selects!$B$4:$C$100,2,0),"")</f>
        <v/>
      </c>
      <c r="AE227" s="26"/>
      <c r="AF227" s="58"/>
      <c r="AG227" s="59"/>
      <c r="AH227" s="65"/>
      <c r="AI227" s="66"/>
      <c r="AJ227" s="66"/>
      <c r="AK227" s="58"/>
      <c r="AL227" s="58"/>
      <c r="AM227" s="68" t="str">
        <f aca="false">IF(LEFT(AL227,1)="9","Celular",IF(AL227="","","Fixo"))</f>
        <v/>
      </c>
      <c r="AN227" s="58" t="str">
        <f aca="false">IF( AM227&lt;&gt;"",VLOOKUP(AM227,Selects!$M$4:$N$1000,2,0),"")</f>
        <v/>
      </c>
      <c r="AO227" s="58"/>
      <c r="AP227" s="59"/>
      <c r="AQ227" s="65"/>
      <c r="AR227" s="58"/>
      <c r="AS227" s="58"/>
      <c r="AT227" s="26"/>
      <c r="AU227" s="58"/>
      <c r="AV227" s="58"/>
      <c r="AW227" s="58"/>
      <c r="AX227" s="58"/>
      <c r="AY227" s="71"/>
      <c r="AZ227" s="58"/>
      <c r="BA227" s="58"/>
      <c r="BB227" s="72" t="str">
        <f aca="false">IF(BA227&lt;&gt;"",VLOOKUP(BA227,Selects!$B$4:$C$100,2,0),"")</f>
        <v/>
      </c>
      <c r="BC227" s="26"/>
      <c r="BD227" s="26"/>
      <c r="BE227" s="73"/>
      <c r="BF227" s="74"/>
      <c r="BG227" s="75" t="str">
        <f aca="false">IF(LEN(BF227)=11,"PF",IF(LEN(BF227)=14,"PJ",""))</f>
        <v/>
      </c>
      <c r="BH227" s="66"/>
      <c r="BI227" s="58" t="str">
        <f aca="false">IF(BH227&lt;&gt;"",VLOOKUP(BH227,Selects!$G:$H,2,0),"")</f>
        <v/>
      </c>
      <c r="BJ227" s="58"/>
      <c r="BK227" s="58"/>
      <c r="BL227" s="59"/>
      <c r="BM227" s="58"/>
      <c r="BN227" s="58"/>
      <c r="BO227" s="58" t="str">
        <f aca="false">IF(BN227&lt;&gt;"",VLOOKUP(BN227,Selects!$J$4:$K$1000,2,0),"")</f>
        <v/>
      </c>
      <c r="BP227" s="76"/>
      <c r="BQ227" s="59"/>
      <c r="BR227" s="77"/>
      <c r="BS227" s="59"/>
      <c r="BT227" s="77"/>
      <c r="BU227" s="58"/>
      <c r="BV227" s="58"/>
      <c r="BW227" s="58"/>
      <c r="BX227" s="58"/>
      <c r="BY227" s="58"/>
      <c r="BZ227" s="58"/>
      <c r="CA227" s="58"/>
      <c r="CB227" s="72" t="str">
        <f aca="false">IF(AC227&lt;&gt;"",VLOOKUP(AC227,Selects!$B:$E,4,0),"")</f>
        <v/>
      </c>
      <c r="CC227" s="58"/>
      <c r="CD227" s="58"/>
      <c r="CE227" s="58"/>
    </row>
    <row r="228" customFormat="false" ht="15.75" hidden="false" customHeight="true" outlineLevel="0" collapsed="false">
      <c r="A228" s="17"/>
      <c r="B228" s="58"/>
      <c r="C228" s="58"/>
      <c r="D228" s="59"/>
      <c r="E228" s="60" t="str">
        <f aca="false">IF(LEN(D228)=11,"PF",IF(LEN(D228)=14,"PJ",""))</f>
        <v/>
      </c>
      <c r="F228" s="59"/>
      <c r="G228" s="59"/>
      <c r="H228" s="61" t="str">
        <f aca="false">IF(G228&lt;&gt;"",VLOOKUP(G228,'Cnae  mcc  id'!$A:$M,9,0),"")</f>
        <v/>
      </c>
      <c r="I228" s="62"/>
      <c r="J228" s="63" t="str">
        <f aca="false">IF(I228&lt;&gt;"",VLOOKUP(I228,'Legal Nature'!$E$2:$G$84,3,0),"")</f>
        <v/>
      </c>
      <c r="K228" s="64"/>
      <c r="L228" s="65"/>
      <c r="M228" s="66"/>
      <c r="N228" s="66"/>
      <c r="O228" s="79"/>
      <c r="P228" s="26"/>
      <c r="Q228" s="58"/>
      <c r="R228" s="58"/>
      <c r="S228" s="80"/>
      <c r="T228" s="68" t="str">
        <f aca="false">IF(LEFT(S228,1)="9","Celular",IF(S228="","","Fixo"))</f>
        <v/>
      </c>
      <c r="U228" s="58" t="str">
        <f aca="false">IF( T228&lt;&gt;"",VLOOKUP(T228,Selects!$M$4:$N$1000,2,0),"")</f>
        <v/>
      </c>
      <c r="V228" s="26"/>
      <c r="W228" s="58"/>
      <c r="X228" s="58"/>
      <c r="Y228" s="58"/>
      <c r="Z228" s="58"/>
      <c r="AA228" s="69"/>
      <c r="AB228" s="58"/>
      <c r="AC228" s="58"/>
      <c r="AD228" s="70" t="str">
        <f aca="false">IF(AC228&lt;&gt;"",VLOOKUP(AC228,Selects!$B$4:$C$100,2,0),"")</f>
        <v/>
      </c>
      <c r="AE228" s="26"/>
      <c r="AF228" s="58"/>
      <c r="AG228" s="59"/>
      <c r="AH228" s="65"/>
      <c r="AI228" s="66"/>
      <c r="AJ228" s="66"/>
      <c r="AK228" s="58"/>
      <c r="AL228" s="58"/>
      <c r="AM228" s="68" t="str">
        <f aca="false">IF(LEFT(AL228,1)="9","Celular",IF(AL228="","","Fixo"))</f>
        <v/>
      </c>
      <c r="AN228" s="58" t="str">
        <f aca="false">IF( AM228&lt;&gt;"",VLOOKUP(AM228,Selects!$M$4:$N$1000,2,0),"")</f>
        <v/>
      </c>
      <c r="AO228" s="58"/>
      <c r="AP228" s="59"/>
      <c r="AQ228" s="65"/>
      <c r="AR228" s="58"/>
      <c r="AS228" s="58"/>
      <c r="AT228" s="26"/>
      <c r="AU228" s="58"/>
      <c r="AV228" s="58"/>
      <c r="AW228" s="58"/>
      <c r="AX228" s="58"/>
      <c r="AY228" s="71"/>
      <c r="AZ228" s="58"/>
      <c r="BA228" s="58"/>
      <c r="BB228" s="72" t="str">
        <f aca="false">IF(BA228&lt;&gt;"",VLOOKUP(BA228,Selects!$B$4:$C$100,2,0),"")</f>
        <v/>
      </c>
      <c r="BC228" s="26"/>
      <c r="BD228" s="26"/>
      <c r="BE228" s="73"/>
      <c r="BF228" s="74"/>
      <c r="BG228" s="75" t="str">
        <f aca="false">IF(LEN(BF228)=11,"PF",IF(LEN(BF228)=14,"PJ",""))</f>
        <v/>
      </c>
      <c r="BH228" s="66"/>
      <c r="BI228" s="58" t="str">
        <f aca="false">IF(BH228&lt;&gt;"",VLOOKUP(BH228,Selects!$G:$H,2,0),"")</f>
        <v/>
      </c>
      <c r="BJ228" s="58"/>
      <c r="BK228" s="58"/>
      <c r="BL228" s="59"/>
      <c r="BM228" s="58"/>
      <c r="BN228" s="58"/>
      <c r="BO228" s="58" t="str">
        <f aca="false">IF(BN228&lt;&gt;"",VLOOKUP(BN228,Selects!$J$4:$K$1000,2,0),"")</f>
        <v/>
      </c>
      <c r="BP228" s="76"/>
      <c r="BQ228" s="59"/>
      <c r="BR228" s="77"/>
      <c r="BS228" s="59"/>
      <c r="BT228" s="77"/>
      <c r="BU228" s="58"/>
      <c r="BV228" s="58"/>
      <c r="BW228" s="58"/>
      <c r="BX228" s="58"/>
      <c r="BY228" s="58"/>
      <c r="BZ228" s="58"/>
      <c r="CA228" s="58"/>
      <c r="CB228" s="72" t="str">
        <f aca="false">IF(AC228&lt;&gt;"",VLOOKUP(AC228,Selects!$B:$E,4,0),"")</f>
        <v/>
      </c>
      <c r="CC228" s="58"/>
      <c r="CD228" s="58"/>
      <c r="CE228" s="58"/>
    </row>
    <row r="229" customFormat="false" ht="15.75" hidden="false" customHeight="true" outlineLevel="0" collapsed="false">
      <c r="A229" s="17"/>
      <c r="B229" s="58"/>
      <c r="C229" s="58"/>
      <c r="D229" s="59"/>
      <c r="E229" s="60" t="str">
        <f aca="false">IF(LEN(D229)=11,"PF",IF(LEN(D229)=14,"PJ",""))</f>
        <v/>
      </c>
      <c r="F229" s="59"/>
      <c r="G229" s="59"/>
      <c r="H229" s="61" t="str">
        <f aca="false">IF(G229&lt;&gt;"",VLOOKUP(G229,'Cnae  mcc  id'!$A:$M,9,0),"")</f>
        <v/>
      </c>
      <c r="I229" s="62"/>
      <c r="J229" s="63" t="str">
        <f aca="false">IF(I229&lt;&gt;"",VLOOKUP(I229,'Legal Nature'!$E$2:$G$84,3,0),"")</f>
        <v/>
      </c>
      <c r="K229" s="64"/>
      <c r="L229" s="65"/>
      <c r="M229" s="66"/>
      <c r="N229" s="66"/>
      <c r="O229" s="79"/>
      <c r="P229" s="26"/>
      <c r="Q229" s="58"/>
      <c r="R229" s="58"/>
      <c r="S229" s="80"/>
      <c r="T229" s="68" t="str">
        <f aca="false">IF(LEFT(S229,1)="9","Celular",IF(S229="","","Fixo"))</f>
        <v/>
      </c>
      <c r="U229" s="58" t="str">
        <f aca="false">IF( T229&lt;&gt;"",VLOOKUP(T229,Selects!$M$4:$N$1000,2,0),"")</f>
        <v/>
      </c>
      <c r="V229" s="26"/>
      <c r="W229" s="58"/>
      <c r="X229" s="58"/>
      <c r="Y229" s="58"/>
      <c r="Z229" s="58"/>
      <c r="AA229" s="69"/>
      <c r="AB229" s="58"/>
      <c r="AC229" s="58"/>
      <c r="AD229" s="70" t="str">
        <f aca="false">IF(AC229&lt;&gt;"",VLOOKUP(AC229,Selects!$B$4:$C$100,2,0),"")</f>
        <v/>
      </c>
      <c r="AE229" s="26"/>
      <c r="AF229" s="58"/>
      <c r="AG229" s="59"/>
      <c r="AH229" s="65"/>
      <c r="AI229" s="66"/>
      <c r="AJ229" s="66"/>
      <c r="AK229" s="58"/>
      <c r="AL229" s="58"/>
      <c r="AM229" s="68" t="str">
        <f aca="false">IF(LEFT(AL229,1)="9","Celular",IF(AL229="","","Fixo"))</f>
        <v/>
      </c>
      <c r="AN229" s="58" t="str">
        <f aca="false">IF( AM229&lt;&gt;"",VLOOKUP(AM229,Selects!$M$4:$N$1000,2,0),"")</f>
        <v/>
      </c>
      <c r="AO229" s="58"/>
      <c r="AP229" s="59"/>
      <c r="AQ229" s="65"/>
      <c r="AR229" s="58"/>
      <c r="AS229" s="58"/>
      <c r="AT229" s="26"/>
      <c r="AU229" s="58"/>
      <c r="AV229" s="58"/>
      <c r="AW229" s="58"/>
      <c r="AX229" s="58"/>
      <c r="AY229" s="71"/>
      <c r="AZ229" s="58"/>
      <c r="BA229" s="58"/>
      <c r="BB229" s="72" t="str">
        <f aca="false">IF(BA229&lt;&gt;"",VLOOKUP(BA229,Selects!$B$4:$C$100,2,0),"")</f>
        <v/>
      </c>
      <c r="BC229" s="26"/>
      <c r="BD229" s="26"/>
      <c r="BE229" s="73"/>
      <c r="BF229" s="74"/>
      <c r="BG229" s="75" t="str">
        <f aca="false">IF(LEN(BF229)=11,"PF",IF(LEN(BF229)=14,"PJ",""))</f>
        <v/>
      </c>
      <c r="BH229" s="66"/>
      <c r="BI229" s="58" t="str">
        <f aca="false">IF(BH229&lt;&gt;"",VLOOKUP(BH229,Selects!$G:$H,2,0),"")</f>
        <v/>
      </c>
      <c r="BJ229" s="58"/>
      <c r="BK229" s="58"/>
      <c r="BL229" s="59"/>
      <c r="BM229" s="58"/>
      <c r="BN229" s="58"/>
      <c r="BO229" s="58" t="str">
        <f aca="false">IF(BN229&lt;&gt;"",VLOOKUP(BN229,Selects!$J$4:$K$1000,2,0),"")</f>
        <v/>
      </c>
      <c r="BP229" s="76"/>
      <c r="BQ229" s="59"/>
      <c r="BR229" s="77"/>
      <c r="BS229" s="59"/>
      <c r="BT229" s="77"/>
      <c r="BU229" s="58"/>
      <c r="BV229" s="58"/>
      <c r="BW229" s="58"/>
      <c r="BX229" s="58"/>
      <c r="BY229" s="58"/>
      <c r="BZ229" s="58"/>
      <c r="CA229" s="58"/>
      <c r="CB229" s="72" t="str">
        <f aca="false">IF(AC229&lt;&gt;"",VLOOKUP(AC229,Selects!$B:$E,4,0),"")</f>
        <v/>
      </c>
      <c r="CC229" s="58"/>
      <c r="CD229" s="58"/>
      <c r="CE229" s="58"/>
    </row>
    <row r="230" customFormat="false" ht="15.75" hidden="false" customHeight="true" outlineLevel="0" collapsed="false">
      <c r="A230" s="17"/>
      <c r="B230" s="58"/>
      <c r="C230" s="58"/>
      <c r="D230" s="59"/>
      <c r="E230" s="60" t="str">
        <f aca="false">IF(LEN(D230)=11,"PF",IF(LEN(D230)=14,"PJ",""))</f>
        <v/>
      </c>
      <c r="F230" s="59"/>
      <c r="G230" s="59"/>
      <c r="H230" s="61" t="str">
        <f aca="false">IF(G230&lt;&gt;"",VLOOKUP(G230,'Cnae  mcc  id'!$A:$M,9,0),"")</f>
        <v/>
      </c>
      <c r="I230" s="62"/>
      <c r="J230" s="63" t="str">
        <f aca="false">IF(I230&lt;&gt;"",VLOOKUP(I230,'Legal Nature'!$E$2:$G$84,3,0),"")</f>
        <v/>
      </c>
      <c r="K230" s="64"/>
      <c r="L230" s="65"/>
      <c r="M230" s="66"/>
      <c r="N230" s="66"/>
      <c r="O230" s="79"/>
      <c r="P230" s="26"/>
      <c r="Q230" s="58"/>
      <c r="R230" s="58"/>
      <c r="S230" s="80"/>
      <c r="T230" s="68" t="str">
        <f aca="false">IF(LEFT(S230,1)="9","Celular",IF(S230="","","Fixo"))</f>
        <v/>
      </c>
      <c r="U230" s="58" t="str">
        <f aca="false">IF( T230&lt;&gt;"",VLOOKUP(T230,Selects!$M$4:$N$1000,2,0),"")</f>
        <v/>
      </c>
      <c r="V230" s="26"/>
      <c r="W230" s="58"/>
      <c r="X230" s="58"/>
      <c r="Y230" s="58"/>
      <c r="Z230" s="58"/>
      <c r="AA230" s="69"/>
      <c r="AB230" s="58"/>
      <c r="AC230" s="58"/>
      <c r="AD230" s="70" t="str">
        <f aca="false">IF(AC230&lt;&gt;"",VLOOKUP(AC230,Selects!$B$4:$C$100,2,0),"")</f>
        <v/>
      </c>
      <c r="AE230" s="26"/>
      <c r="AF230" s="58"/>
      <c r="AG230" s="59"/>
      <c r="AH230" s="65"/>
      <c r="AI230" s="66"/>
      <c r="AJ230" s="66"/>
      <c r="AK230" s="58"/>
      <c r="AL230" s="58"/>
      <c r="AM230" s="68" t="str">
        <f aca="false">IF(LEFT(AL230,1)="9","Celular",IF(AL230="","","Fixo"))</f>
        <v/>
      </c>
      <c r="AN230" s="58" t="str">
        <f aca="false">IF( AM230&lt;&gt;"",VLOOKUP(AM230,Selects!$M$4:$N$1000,2,0),"")</f>
        <v/>
      </c>
      <c r="AO230" s="58"/>
      <c r="AP230" s="59"/>
      <c r="AQ230" s="65"/>
      <c r="AR230" s="58"/>
      <c r="AS230" s="58"/>
      <c r="AT230" s="26"/>
      <c r="AU230" s="58"/>
      <c r="AV230" s="58"/>
      <c r="AW230" s="58"/>
      <c r="AX230" s="58"/>
      <c r="AY230" s="71"/>
      <c r="AZ230" s="58"/>
      <c r="BA230" s="58"/>
      <c r="BB230" s="72" t="str">
        <f aca="false">IF(BA230&lt;&gt;"",VLOOKUP(BA230,Selects!$B$4:$C$100,2,0),"")</f>
        <v/>
      </c>
      <c r="BC230" s="26"/>
      <c r="BD230" s="26"/>
      <c r="BE230" s="73"/>
      <c r="BF230" s="74"/>
      <c r="BG230" s="75" t="str">
        <f aca="false">IF(LEN(BF230)=11,"PF",IF(LEN(BF230)=14,"PJ",""))</f>
        <v/>
      </c>
      <c r="BH230" s="66"/>
      <c r="BI230" s="58" t="str">
        <f aca="false">IF(BH230&lt;&gt;"",VLOOKUP(BH230,Selects!$G:$H,2,0),"")</f>
        <v/>
      </c>
      <c r="BJ230" s="58"/>
      <c r="BK230" s="58"/>
      <c r="BL230" s="59"/>
      <c r="BM230" s="58"/>
      <c r="BN230" s="58"/>
      <c r="BO230" s="58" t="str">
        <f aca="false">IF(BN230&lt;&gt;"",VLOOKUP(BN230,Selects!$J$4:$K$1000,2,0),"")</f>
        <v/>
      </c>
      <c r="BP230" s="76"/>
      <c r="BQ230" s="59"/>
      <c r="BR230" s="77"/>
      <c r="BS230" s="59"/>
      <c r="BT230" s="77"/>
      <c r="BU230" s="58"/>
      <c r="BV230" s="58"/>
      <c r="BW230" s="58"/>
      <c r="BX230" s="58"/>
      <c r="BY230" s="58"/>
      <c r="BZ230" s="58"/>
      <c r="CA230" s="58"/>
      <c r="CB230" s="72" t="str">
        <f aca="false">IF(AC230&lt;&gt;"",VLOOKUP(AC230,Selects!$B:$E,4,0),"")</f>
        <v/>
      </c>
      <c r="CC230" s="58"/>
      <c r="CD230" s="58"/>
      <c r="CE230" s="58"/>
    </row>
    <row r="231" customFormat="false" ht="15.75" hidden="false" customHeight="true" outlineLevel="0" collapsed="false">
      <c r="A231" s="17"/>
      <c r="B231" s="58"/>
      <c r="C231" s="58"/>
      <c r="D231" s="59"/>
      <c r="E231" s="60" t="str">
        <f aca="false">IF(LEN(D231)=11,"PF",IF(LEN(D231)=14,"PJ",""))</f>
        <v/>
      </c>
      <c r="F231" s="59"/>
      <c r="G231" s="59"/>
      <c r="H231" s="61" t="str">
        <f aca="false">IF(G231&lt;&gt;"",VLOOKUP(G231,'Cnae  mcc  id'!$A:$M,9,0),"")</f>
        <v/>
      </c>
      <c r="I231" s="62"/>
      <c r="J231" s="63" t="str">
        <f aca="false">IF(I231&lt;&gt;"",VLOOKUP(I231,'Legal Nature'!$E$2:$G$84,3,0),"")</f>
        <v/>
      </c>
      <c r="K231" s="64"/>
      <c r="L231" s="65"/>
      <c r="M231" s="66"/>
      <c r="N231" s="66"/>
      <c r="O231" s="79"/>
      <c r="P231" s="26"/>
      <c r="Q231" s="58"/>
      <c r="R231" s="58"/>
      <c r="S231" s="80"/>
      <c r="T231" s="68" t="str">
        <f aca="false">IF(LEFT(S231,1)="9","Celular",IF(S231="","","Fixo"))</f>
        <v/>
      </c>
      <c r="U231" s="58" t="str">
        <f aca="false">IF( T231&lt;&gt;"",VLOOKUP(T231,Selects!$M$4:$N$1000,2,0),"")</f>
        <v/>
      </c>
      <c r="V231" s="26"/>
      <c r="W231" s="58"/>
      <c r="X231" s="58"/>
      <c r="Y231" s="58"/>
      <c r="Z231" s="58"/>
      <c r="AA231" s="69"/>
      <c r="AB231" s="58"/>
      <c r="AC231" s="58"/>
      <c r="AD231" s="70" t="str">
        <f aca="false">IF(AC231&lt;&gt;"",VLOOKUP(AC231,Selects!$B$4:$C$100,2,0),"")</f>
        <v/>
      </c>
      <c r="AE231" s="26"/>
      <c r="AF231" s="58"/>
      <c r="AG231" s="59"/>
      <c r="AH231" s="65"/>
      <c r="AI231" s="66"/>
      <c r="AJ231" s="66"/>
      <c r="AK231" s="58"/>
      <c r="AL231" s="58"/>
      <c r="AM231" s="68" t="str">
        <f aca="false">IF(LEFT(AL231,1)="9","Celular",IF(AL231="","","Fixo"))</f>
        <v/>
      </c>
      <c r="AN231" s="58" t="str">
        <f aca="false">IF( AM231&lt;&gt;"",VLOOKUP(AM231,Selects!$M$4:$N$1000,2,0),"")</f>
        <v/>
      </c>
      <c r="AO231" s="58"/>
      <c r="AP231" s="59"/>
      <c r="AQ231" s="65"/>
      <c r="AR231" s="58"/>
      <c r="AS231" s="58"/>
      <c r="AT231" s="26"/>
      <c r="AU231" s="58"/>
      <c r="AV231" s="58"/>
      <c r="AW231" s="58"/>
      <c r="AX231" s="58"/>
      <c r="AY231" s="71"/>
      <c r="AZ231" s="58"/>
      <c r="BA231" s="58"/>
      <c r="BB231" s="72" t="str">
        <f aca="false">IF(BA231&lt;&gt;"",VLOOKUP(BA231,Selects!$B$4:$C$100,2,0),"")</f>
        <v/>
      </c>
      <c r="BC231" s="26"/>
      <c r="BD231" s="26"/>
      <c r="BE231" s="73"/>
      <c r="BF231" s="74"/>
      <c r="BG231" s="75" t="str">
        <f aca="false">IF(LEN(BF231)=11,"PF",IF(LEN(BF231)=14,"PJ",""))</f>
        <v/>
      </c>
      <c r="BH231" s="66"/>
      <c r="BI231" s="58" t="str">
        <f aca="false">IF(BH231&lt;&gt;"",VLOOKUP(BH231,Selects!$G:$H,2,0),"")</f>
        <v/>
      </c>
      <c r="BJ231" s="58"/>
      <c r="BK231" s="58"/>
      <c r="BL231" s="59"/>
      <c r="BM231" s="58"/>
      <c r="BN231" s="58"/>
      <c r="BO231" s="58" t="str">
        <f aca="false">IF(BN231&lt;&gt;"",VLOOKUP(BN231,Selects!$J$4:$K$1000,2,0),"")</f>
        <v/>
      </c>
      <c r="BP231" s="76"/>
      <c r="BQ231" s="59"/>
      <c r="BR231" s="77"/>
      <c r="BS231" s="59"/>
      <c r="BT231" s="77"/>
      <c r="BU231" s="58"/>
      <c r="BV231" s="58"/>
      <c r="BW231" s="58"/>
      <c r="BX231" s="58"/>
      <c r="BY231" s="58"/>
      <c r="BZ231" s="58"/>
      <c r="CA231" s="58"/>
      <c r="CB231" s="72" t="str">
        <f aca="false">IF(AC231&lt;&gt;"",VLOOKUP(AC231,Selects!$B:$E,4,0),"")</f>
        <v/>
      </c>
      <c r="CC231" s="58"/>
      <c r="CD231" s="58"/>
      <c r="CE231" s="58"/>
    </row>
    <row r="232" customFormat="false" ht="15.75" hidden="false" customHeight="true" outlineLevel="0" collapsed="false">
      <c r="A232" s="17"/>
      <c r="B232" s="58"/>
      <c r="C232" s="58"/>
      <c r="D232" s="59"/>
      <c r="E232" s="60" t="str">
        <f aca="false">IF(LEN(D232)=11,"PF",IF(LEN(D232)=14,"PJ",""))</f>
        <v/>
      </c>
      <c r="F232" s="59"/>
      <c r="G232" s="59"/>
      <c r="H232" s="61" t="str">
        <f aca="false">IF(G232&lt;&gt;"",VLOOKUP(G232,'Cnae  mcc  id'!$A:$M,9,0),"")</f>
        <v/>
      </c>
      <c r="I232" s="62"/>
      <c r="J232" s="63" t="str">
        <f aca="false">IF(I232&lt;&gt;"",VLOOKUP(I232,'Legal Nature'!$E$2:$G$84,3,0),"")</f>
        <v/>
      </c>
      <c r="K232" s="64"/>
      <c r="L232" s="65"/>
      <c r="M232" s="66"/>
      <c r="N232" s="66"/>
      <c r="O232" s="79"/>
      <c r="P232" s="26"/>
      <c r="Q232" s="58"/>
      <c r="R232" s="58"/>
      <c r="S232" s="80"/>
      <c r="T232" s="68" t="str">
        <f aca="false">IF(LEFT(S232,1)="9","Celular",IF(S232="","","Fixo"))</f>
        <v/>
      </c>
      <c r="U232" s="58" t="str">
        <f aca="false">IF( T232&lt;&gt;"",VLOOKUP(T232,Selects!$M$4:$N$1000,2,0),"")</f>
        <v/>
      </c>
      <c r="V232" s="26"/>
      <c r="W232" s="58"/>
      <c r="X232" s="58"/>
      <c r="Y232" s="58"/>
      <c r="Z232" s="58"/>
      <c r="AA232" s="69"/>
      <c r="AB232" s="58"/>
      <c r="AC232" s="58"/>
      <c r="AD232" s="70" t="str">
        <f aca="false">IF(AC232&lt;&gt;"",VLOOKUP(AC232,Selects!$B$4:$C$100,2,0),"")</f>
        <v/>
      </c>
      <c r="AE232" s="26"/>
      <c r="AF232" s="58"/>
      <c r="AG232" s="59"/>
      <c r="AH232" s="65"/>
      <c r="AI232" s="66"/>
      <c r="AJ232" s="66"/>
      <c r="AK232" s="58"/>
      <c r="AL232" s="58"/>
      <c r="AM232" s="68" t="str">
        <f aca="false">IF(LEFT(AL232,1)="9","Celular",IF(AL232="","","Fixo"))</f>
        <v/>
      </c>
      <c r="AN232" s="58" t="str">
        <f aca="false">IF( AM232&lt;&gt;"",VLOOKUP(AM232,Selects!$M$4:$N$1000,2,0),"")</f>
        <v/>
      </c>
      <c r="AO232" s="58"/>
      <c r="AP232" s="59"/>
      <c r="AQ232" s="65"/>
      <c r="AR232" s="58"/>
      <c r="AS232" s="58"/>
      <c r="AT232" s="26"/>
      <c r="AU232" s="58"/>
      <c r="AV232" s="58"/>
      <c r="AW232" s="58"/>
      <c r="AX232" s="58"/>
      <c r="AY232" s="71"/>
      <c r="AZ232" s="58"/>
      <c r="BA232" s="58"/>
      <c r="BB232" s="72" t="str">
        <f aca="false">IF(BA232&lt;&gt;"",VLOOKUP(BA232,Selects!$B$4:$C$100,2,0),"")</f>
        <v/>
      </c>
      <c r="BC232" s="26"/>
      <c r="BD232" s="26"/>
      <c r="BE232" s="73"/>
      <c r="BF232" s="74"/>
      <c r="BG232" s="75" t="str">
        <f aca="false">IF(LEN(BF232)=11,"PF",IF(LEN(BF232)=14,"PJ",""))</f>
        <v/>
      </c>
      <c r="BH232" s="66"/>
      <c r="BI232" s="58" t="str">
        <f aca="false">IF(BH232&lt;&gt;"",VLOOKUP(BH232,Selects!$G:$H,2,0),"")</f>
        <v/>
      </c>
      <c r="BJ232" s="58"/>
      <c r="BK232" s="58"/>
      <c r="BL232" s="59"/>
      <c r="BM232" s="58"/>
      <c r="BN232" s="58"/>
      <c r="BO232" s="58" t="str">
        <f aca="false">IF(BN232&lt;&gt;"",VLOOKUP(BN232,Selects!$J$4:$K$1000,2,0),"")</f>
        <v/>
      </c>
      <c r="BP232" s="76"/>
      <c r="BQ232" s="59"/>
      <c r="BR232" s="77"/>
      <c r="BS232" s="59"/>
      <c r="BT232" s="77"/>
      <c r="BU232" s="58"/>
      <c r="BV232" s="58"/>
      <c r="BW232" s="58"/>
      <c r="BX232" s="58"/>
      <c r="BY232" s="58"/>
      <c r="BZ232" s="58"/>
      <c r="CA232" s="58"/>
      <c r="CB232" s="72" t="str">
        <f aca="false">IF(AC232&lt;&gt;"",VLOOKUP(AC232,Selects!$B:$E,4,0),"")</f>
        <v/>
      </c>
      <c r="CC232" s="58"/>
      <c r="CD232" s="58"/>
      <c r="CE232" s="58"/>
    </row>
    <row r="233" customFormat="false" ht="15.75" hidden="false" customHeight="true" outlineLevel="0" collapsed="false">
      <c r="A233" s="17"/>
      <c r="B233" s="58"/>
      <c r="C233" s="58"/>
      <c r="D233" s="59"/>
      <c r="E233" s="60" t="str">
        <f aca="false">IF(LEN(D233)=11,"PF",IF(LEN(D233)=14,"PJ",""))</f>
        <v/>
      </c>
      <c r="F233" s="59"/>
      <c r="G233" s="59"/>
      <c r="H233" s="61" t="str">
        <f aca="false">IF(G233&lt;&gt;"",VLOOKUP(G233,'Cnae  mcc  id'!$A:$M,9,0),"")</f>
        <v/>
      </c>
      <c r="I233" s="62"/>
      <c r="J233" s="63" t="str">
        <f aca="false">IF(I233&lt;&gt;"",VLOOKUP(I233,'Legal Nature'!$E$2:$G$84,3,0),"")</f>
        <v/>
      </c>
      <c r="K233" s="64"/>
      <c r="L233" s="65"/>
      <c r="M233" s="66"/>
      <c r="N233" s="66"/>
      <c r="O233" s="79"/>
      <c r="P233" s="26"/>
      <c r="Q233" s="58"/>
      <c r="R233" s="58"/>
      <c r="S233" s="80"/>
      <c r="T233" s="68" t="str">
        <f aca="false">IF(LEFT(S233,1)="9","Celular",IF(S233="","","Fixo"))</f>
        <v/>
      </c>
      <c r="U233" s="58" t="str">
        <f aca="false">IF( T233&lt;&gt;"",VLOOKUP(T233,Selects!$M$4:$N$1000,2,0),"")</f>
        <v/>
      </c>
      <c r="V233" s="26"/>
      <c r="W233" s="58"/>
      <c r="X233" s="58"/>
      <c r="Y233" s="58"/>
      <c r="Z233" s="58"/>
      <c r="AA233" s="69"/>
      <c r="AB233" s="58"/>
      <c r="AC233" s="58"/>
      <c r="AD233" s="70" t="str">
        <f aca="false">IF(AC233&lt;&gt;"",VLOOKUP(AC233,Selects!$B$4:$C$100,2,0),"")</f>
        <v/>
      </c>
      <c r="AE233" s="26"/>
      <c r="AF233" s="58"/>
      <c r="AG233" s="59"/>
      <c r="AH233" s="65"/>
      <c r="AI233" s="66"/>
      <c r="AJ233" s="66"/>
      <c r="AK233" s="58"/>
      <c r="AL233" s="58"/>
      <c r="AM233" s="68" t="str">
        <f aca="false">IF(LEFT(AL233,1)="9","Celular",IF(AL233="","","Fixo"))</f>
        <v/>
      </c>
      <c r="AN233" s="58" t="str">
        <f aca="false">IF( AM233&lt;&gt;"",VLOOKUP(AM233,Selects!$M$4:$N$1000,2,0),"")</f>
        <v/>
      </c>
      <c r="AO233" s="58"/>
      <c r="AP233" s="59"/>
      <c r="AQ233" s="65"/>
      <c r="AR233" s="58"/>
      <c r="AS233" s="58"/>
      <c r="AT233" s="26"/>
      <c r="AU233" s="58"/>
      <c r="AV233" s="58"/>
      <c r="AW233" s="58"/>
      <c r="AX233" s="58"/>
      <c r="AY233" s="71"/>
      <c r="AZ233" s="58"/>
      <c r="BA233" s="58"/>
      <c r="BB233" s="72" t="str">
        <f aca="false">IF(BA233&lt;&gt;"",VLOOKUP(BA233,Selects!$B$4:$C$100,2,0),"")</f>
        <v/>
      </c>
      <c r="BC233" s="26"/>
      <c r="BD233" s="26"/>
      <c r="BE233" s="73"/>
      <c r="BF233" s="74"/>
      <c r="BG233" s="75" t="str">
        <f aca="false">IF(LEN(BF233)=11,"PF",IF(LEN(BF233)=14,"PJ",""))</f>
        <v/>
      </c>
      <c r="BH233" s="66"/>
      <c r="BI233" s="58" t="str">
        <f aca="false">IF(BH233&lt;&gt;"",VLOOKUP(BH233,Selects!$G:$H,2,0),"")</f>
        <v/>
      </c>
      <c r="BJ233" s="58"/>
      <c r="BK233" s="58"/>
      <c r="BL233" s="59"/>
      <c r="BM233" s="58"/>
      <c r="BN233" s="58"/>
      <c r="BO233" s="58" t="str">
        <f aca="false">IF(BN233&lt;&gt;"",VLOOKUP(BN233,Selects!$J$4:$K$1000,2,0),"")</f>
        <v/>
      </c>
      <c r="BP233" s="76"/>
      <c r="BQ233" s="59"/>
      <c r="BR233" s="77"/>
      <c r="BS233" s="59"/>
      <c r="BT233" s="77"/>
      <c r="BU233" s="58"/>
      <c r="BV233" s="58"/>
      <c r="BW233" s="58"/>
      <c r="BX233" s="58"/>
      <c r="BY233" s="58"/>
      <c r="BZ233" s="58"/>
      <c r="CA233" s="58"/>
      <c r="CB233" s="72" t="str">
        <f aca="false">IF(AC233&lt;&gt;"",VLOOKUP(AC233,Selects!$B:$E,4,0),"")</f>
        <v/>
      </c>
      <c r="CC233" s="58"/>
      <c r="CD233" s="58"/>
      <c r="CE233" s="58"/>
    </row>
    <row r="234" customFormat="false" ht="15.75" hidden="false" customHeight="true" outlineLevel="0" collapsed="false">
      <c r="A234" s="17"/>
      <c r="B234" s="58"/>
      <c r="C234" s="58"/>
      <c r="D234" s="59"/>
      <c r="E234" s="60" t="str">
        <f aca="false">IF(LEN(D234)=11,"PF",IF(LEN(D234)=14,"PJ",""))</f>
        <v/>
      </c>
      <c r="F234" s="59"/>
      <c r="G234" s="59"/>
      <c r="H234" s="61" t="str">
        <f aca="false">IF(G234&lt;&gt;"",VLOOKUP(G234,'Cnae  mcc  id'!$A:$M,9,0),"")</f>
        <v/>
      </c>
      <c r="I234" s="62"/>
      <c r="J234" s="63" t="str">
        <f aca="false">IF(I234&lt;&gt;"",VLOOKUP(I234,'Legal Nature'!$E$2:$G$84,3,0),"")</f>
        <v/>
      </c>
      <c r="K234" s="64"/>
      <c r="L234" s="65"/>
      <c r="M234" s="66"/>
      <c r="N234" s="66"/>
      <c r="O234" s="79"/>
      <c r="P234" s="26"/>
      <c r="Q234" s="58"/>
      <c r="R234" s="58"/>
      <c r="S234" s="80"/>
      <c r="T234" s="68" t="str">
        <f aca="false">IF(LEFT(S234,1)="9","Celular",IF(S234="","","Fixo"))</f>
        <v/>
      </c>
      <c r="U234" s="58" t="str">
        <f aca="false">IF( T234&lt;&gt;"",VLOOKUP(T234,Selects!$M$4:$N$1000,2,0),"")</f>
        <v/>
      </c>
      <c r="V234" s="26"/>
      <c r="W234" s="58"/>
      <c r="X234" s="58"/>
      <c r="Y234" s="58"/>
      <c r="Z234" s="58"/>
      <c r="AA234" s="69"/>
      <c r="AB234" s="58"/>
      <c r="AC234" s="58"/>
      <c r="AD234" s="70" t="str">
        <f aca="false">IF(AC234&lt;&gt;"",VLOOKUP(AC234,Selects!$B$4:$C$100,2,0),"")</f>
        <v/>
      </c>
      <c r="AE234" s="26"/>
      <c r="AF234" s="58"/>
      <c r="AG234" s="59"/>
      <c r="AH234" s="65"/>
      <c r="AI234" s="66"/>
      <c r="AJ234" s="66"/>
      <c r="AK234" s="58"/>
      <c r="AL234" s="58"/>
      <c r="AM234" s="68" t="str">
        <f aca="false">IF(LEFT(AL234,1)="9","Celular",IF(AL234="","","Fixo"))</f>
        <v/>
      </c>
      <c r="AN234" s="58" t="str">
        <f aca="false">IF( AM234&lt;&gt;"",VLOOKUP(AM234,Selects!$M$4:$N$1000,2,0),"")</f>
        <v/>
      </c>
      <c r="AO234" s="58"/>
      <c r="AP234" s="59"/>
      <c r="AQ234" s="65"/>
      <c r="AR234" s="58"/>
      <c r="AS234" s="58"/>
      <c r="AT234" s="26"/>
      <c r="AU234" s="58"/>
      <c r="AV234" s="58"/>
      <c r="AW234" s="58"/>
      <c r="AX234" s="58"/>
      <c r="AY234" s="71"/>
      <c r="AZ234" s="58"/>
      <c r="BA234" s="58"/>
      <c r="BB234" s="72" t="str">
        <f aca="false">IF(BA234&lt;&gt;"",VLOOKUP(BA234,Selects!$B$4:$C$100,2,0),"")</f>
        <v/>
      </c>
      <c r="BC234" s="26"/>
      <c r="BD234" s="26"/>
      <c r="BE234" s="73"/>
      <c r="BF234" s="74"/>
      <c r="BG234" s="75" t="str">
        <f aca="false">IF(LEN(BF234)=11,"PF",IF(LEN(BF234)=14,"PJ",""))</f>
        <v/>
      </c>
      <c r="BH234" s="66"/>
      <c r="BI234" s="58" t="str">
        <f aca="false">IF(BH234&lt;&gt;"",VLOOKUP(BH234,Selects!$G:$H,2,0),"")</f>
        <v/>
      </c>
      <c r="BJ234" s="58"/>
      <c r="BK234" s="58"/>
      <c r="BL234" s="59"/>
      <c r="BM234" s="58"/>
      <c r="BN234" s="58"/>
      <c r="BO234" s="58" t="str">
        <f aca="false">IF(BN234&lt;&gt;"",VLOOKUP(BN234,Selects!$J$4:$K$1000,2,0),"")</f>
        <v/>
      </c>
      <c r="BP234" s="76"/>
      <c r="BQ234" s="59"/>
      <c r="BR234" s="77"/>
      <c r="BS234" s="59"/>
      <c r="BT234" s="77"/>
      <c r="BU234" s="58"/>
      <c r="BV234" s="58"/>
      <c r="BW234" s="58"/>
      <c r="BX234" s="58"/>
      <c r="BY234" s="58"/>
      <c r="BZ234" s="58"/>
      <c r="CA234" s="58"/>
      <c r="CB234" s="72" t="str">
        <f aca="false">IF(AC234&lt;&gt;"",VLOOKUP(AC234,Selects!$B:$E,4,0),"")</f>
        <v/>
      </c>
      <c r="CC234" s="58"/>
      <c r="CD234" s="58"/>
      <c r="CE234" s="58"/>
    </row>
    <row r="235" customFormat="false" ht="15.75" hidden="false" customHeight="true" outlineLevel="0" collapsed="false">
      <c r="A235" s="17"/>
      <c r="B235" s="58"/>
      <c r="C235" s="58"/>
      <c r="D235" s="59"/>
      <c r="E235" s="60" t="str">
        <f aca="false">IF(LEN(D235)=11,"PF",IF(LEN(D235)=14,"PJ",""))</f>
        <v/>
      </c>
      <c r="F235" s="59"/>
      <c r="G235" s="59"/>
      <c r="H235" s="61" t="str">
        <f aca="false">IF(G235&lt;&gt;"",VLOOKUP(G235,'Cnae  mcc  id'!$A:$M,9,0),"")</f>
        <v/>
      </c>
      <c r="I235" s="62"/>
      <c r="J235" s="63" t="str">
        <f aca="false">IF(I235&lt;&gt;"",VLOOKUP(I235,'Legal Nature'!$E$2:$G$84,3,0),"")</f>
        <v/>
      </c>
      <c r="K235" s="64"/>
      <c r="L235" s="65"/>
      <c r="M235" s="66"/>
      <c r="N235" s="66"/>
      <c r="O235" s="79"/>
      <c r="P235" s="26"/>
      <c r="Q235" s="58"/>
      <c r="R235" s="58"/>
      <c r="S235" s="80"/>
      <c r="T235" s="68" t="str">
        <f aca="false">IF(LEFT(S235,1)="9","Celular",IF(S235="","","Fixo"))</f>
        <v/>
      </c>
      <c r="U235" s="58" t="str">
        <f aca="false">IF( T235&lt;&gt;"",VLOOKUP(T235,Selects!$M$4:$N$1000,2,0),"")</f>
        <v/>
      </c>
      <c r="V235" s="26"/>
      <c r="W235" s="58"/>
      <c r="X235" s="58"/>
      <c r="Y235" s="58"/>
      <c r="Z235" s="58"/>
      <c r="AA235" s="69"/>
      <c r="AB235" s="58"/>
      <c r="AC235" s="58"/>
      <c r="AD235" s="70" t="str">
        <f aca="false">IF(AC235&lt;&gt;"",VLOOKUP(AC235,Selects!$B$4:$C$100,2,0),"")</f>
        <v/>
      </c>
      <c r="AE235" s="26"/>
      <c r="AF235" s="58"/>
      <c r="AG235" s="59"/>
      <c r="AH235" s="65"/>
      <c r="AI235" s="66"/>
      <c r="AJ235" s="66"/>
      <c r="AK235" s="58"/>
      <c r="AL235" s="58"/>
      <c r="AM235" s="68" t="str">
        <f aca="false">IF(LEFT(AL235,1)="9","Celular",IF(AL235="","","Fixo"))</f>
        <v/>
      </c>
      <c r="AN235" s="58" t="str">
        <f aca="false">IF( AM235&lt;&gt;"",VLOOKUP(AM235,Selects!$M$4:$N$1000,2,0),"")</f>
        <v/>
      </c>
      <c r="AO235" s="58"/>
      <c r="AP235" s="59"/>
      <c r="AQ235" s="65"/>
      <c r="AR235" s="58"/>
      <c r="AS235" s="58"/>
      <c r="AT235" s="26"/>
      <c r="AU235" s="58"/>
      <c r="AV235" s="58"/>
      <c r="AW235" s="58"/>
      <c r="AX235" s="58"/>
      <c r="AY235" s="71"/>
      <c r="AZ235" s="58"/>
      <c r="BA235" s="58"/>
      <c r="BB235" s="72" t="str">
        <f aca="false">IF(BA235&lt;&gt;"",VLOOKUP(BA235,Selects!$B$4:$C$100,2,0),"")</f>
        <v/>
      </c>
      <c r="BC235" s="26"/>
      <c r="BD235" s="26"/>
      <c r="BE235" s="73"/>
      <c r="BF235" s="74"/>
      <c r="BG235" s="75" t="str">
        <f aca="false">IF(LEN(BF235)=11,"PF",IF(LEN(BF235)=14,"PJ",""))</f>
        <v/>
      </c>
      <c r="BH235" s="66"/>
      <c r="BI235" s="58" t="str">
        <f aca="false">IF(BH235&lt;&gt;"",VLOOKUP(BH235,Selects!$G:$H,2,0),"")</f>
        <v/>
      </c>
      <c r="BJ235" s="58"/>
      <c r="BK235" s="58"/>
      <c r="BL235" s="59"/>
      <c r="BM235" s="58"/>
      <c r="BN235" s="58"/>
      <c r="BO235" s="58" t="str">
        <f aca="false">IF(BN235&lt;&gt;"",VLOOKUP(BN235,Selects!$J$4:$K$1000,2,0),"")</f>
        <v/>
      </c>
      <c r="BP235" s="76"/>
      <c r="BQ235" s="59"/>
      <c r="BR235" s="77"/>
      <c r="BS235" s="59"/>
      <c r="BT235" s="77"/>
      <c r="BU235" s="58"/>
      <c r="BV235" s="58"/>
      <c r="BW235" s="58"/>
      <c r="BX235" s="58"/>
      <c r="BY235" s="58"/>
      <c r="BZ235" s="58"/>
      <c r="CA235" s="58"/>
      <c r="CB235" s="72" t="str">
        <f aca="false">IF(AC235&lt;&gt;"",VLOOKUP(AC235,Selects!$B:$E,4,0),"")</f>
        <v/>
      </c>
      <c r="CC235" s="58"/>
      <c r="CD235" s="58"/>
      <c r="CE235" s="58"/>
    </row>
    <row r="236" customFormat="false" ht="15.75" hidden="false" customHeight="true" outlineLevel="0" collapsed="false">
      <c r="A236" s="17"/>
      <c r="B236" s="58"/>
      <c r="C236" s="58"/>
      <c r="D236" s="59"/>
      <c r="E236" s="60" t="str">
        <f aca="false">IF(LEN(D236)=11,"PF",IF(LEN(D236)=14,"PJ",""))</f>
        <v/>
      </c>
      <c r="F236" s="59"/>
      <c r="G236" s="59"/>
      <c r="H236" s="61" t="str">
        <f aca="false">IF(G236&lt;&gt;"",VLOOKUP(G236,'Cnae  mcc  id'!$A:$M,9,0),"")</f>
        <v/>
      </c>
      <c r="I236" s="62"/>
      <c r="J236" s="63" t="str">
        <f aca="false">IF(I236&lt;&gt;"",VLOOKUP(I236,'Legal Nature'!$E$2:$G$84,3,0),"")</f>
        <v/>
      </c>
      <c r="K236" s="64"/>
      <c r="L236" s="65"/>
      <c r="M236" s="66"/>
      <c r="N236" s="66"/>
      <c r="O236" s="79"/>
      <c r="P236" s="26"/>
      <c r="Q236" s="58"/>
      <c r="R236" s="58"/>
      <c r="S236" s="80"/>
      <c r="T236" s="68" t="str">
        <f aca="false">IF(LEFT(S236,1)="9","Celular",IF(S236="","","Fixo"))</f>
        <v/>
      </c>
      <c r="U236" s="58" t="str">
        <f aca="false">IF( T236&lt;&gt;"",VLOOKUP(T236,Selects!$M$4:$N$1000,2,0),"")</f>
        <v/>
      </c>
      <c r="V236" s="26"/>
      <c r="W236" s="58"/>
      <c r="X236" s="58"/>
      <c r="Y236" s="58"/>
      <c r="Z236" s="58"/>
      <c r="AA236" s="69"/>
      <c r="AB236" s="58"/>
      <c r="AC236" s="58"/>
      <c r="AD236" s="70" t="str">
        <f aca="false">IF(AC236&lt;&gt;"",VLOOKUP(AC236,Selects!$B$4:$C$100,2,0),"")</f>
        <v/>
      </c>
      <c r="AE236" s="26"/>
      <c r="AF236" s="58"/>
      <c r="AG236" s="59"/>
      <c r="AH236" s="65"/>
      <c r="AI236" s="66"/>
      <c r="AJ236" s="66"/>
      <c r="AK236" s="58"/>
      <c r="AL236" s="58"/>
      <c r="AM236" s="68" t="str">
        <f aca="false">IF(LEFT(AL236,1)="9","Celular",IF(AL236="","","Fixo"))</f>
        <v/>
      </c>
      <c r="AN236" s="58" t="str">
        <f aca="false">IF( AM236&lt;&gt;"",VLOOKUP(AM236,Selects!$M$4:$N$1000,2,0),"")</f>
        <v/>
      </c>
      <c r="AO236" s="58"/>
      <c r="AP236" s="59"/>
      <c r="AQ236" s="65"/>
      <c r="AR236" s="58"/>
      <c r="AS236" s="58"/>
      <c r="AT236" s="26"/>
      <c r="AU236" s="58"/>
      <c r="AV236" s="58"/>
      <c r="AW236" s="58"/>
      <c r="AX236" s="58"/>
      <c r="AY236" s="71"/>
      <c r="AZ236" s="58"/>
      <c r="BA236" s="58"/>
      <c r="BB236" s="72" t="str">
        <f aca="false">IF(BA236&lt;&gt;"",VLOOKUP(BA236,Selects!$B$4:$C$100,2,0),"")</f>
        <v/>
      </c>
      <c r="BC236" s="26"/>
      <c r="BD236" s="26"/>
      <c r="BE236" s="73"/>
      <c r="BF236" s="74"/>
      <c r="BG236" s="75" t="str">
        <f aca="false">IF(LEN(BF236)=11,"PF",IF(LEN(BF236)=14,"PJ",""))</f>
        <v/>
      </c>
      <c r="BH236" s="66"/>
      <c r="BI236" s="58" t="str">
        <f aca="false">IF(BH236&lt;&gt;"",VLOOKUP(BH236,Selects!$G:$H,2,0),"")</f>
        <v/>
      </c>
      <c r="BJ236" s="58"/>
      <c r="BK236" s="58"/>
      <c r="BL236" s="59"/>
      <c r="BM236" s="58"/>
      <c r="BN236" s="58"/>
      <c r="BO236" s="58" t="str">
        <f aca="false">IF(BN236&lt;&gt;"",VLOOKUP(BN236,Selects!$J$4:$K$1000,2,0),"")</f>
        <v/>
      </c>
      <c r="BP236" s="76"/>
      <c r="BQ236" s="59"/>
      <c r="BR236" s="77"/>
      <c r="BS236" s="59"/>
      <c r="BT236" s="77"/>
      <c r="BU236" s="58"/>
      <c r="BV236" s="58"/>
      <c r="BW236" s="58"/>
      <c r="BX236" s="58"/>
      <c r="BY236" s="58"/>
      <c r="BZ236" s="58"/>
      <c r="CA236" s="58"/>
      <c r="CB236" s="72" t="str">
        <f aca="false">IF(AC236&lt;&gt;"",VLOOKUP(AC236,Selects!$B:$E,4,0),"")</f>
        <v/>
      </c>
      <c r="CC236" s="58"/>
      <c r="CD236" s="58"/>
      <c r="CE236" s="58"/>
    </row>
    <row r="237" customFormat="false" ht="15.75" hidden="false" customHeight="true" outlineLevel="0" collapsed="false">
      <c r="A237" s="17"/>
      <c r="B237" s="58"/>
      <c r="C237" s="58"/>
      <c r="D237" s="59"/>
      <c r="E237" s="60" t="str">
        <f aca="false">IF(LEN(D237)=11,"PF",IF(LEN(D237)=14,"PJ",""))</f>
        <v/>
      </c>
      <c r="F237" s="59"/>
      <c r="G237" s="59"/>
      <c r="H237" s="61" t="str">
        <f aca="false">IF(G237&lt;&gt;"",VLOOKUP(G237,'Cnae  mcc  id'!$A:$M,9,0),"")</f>
        <v/>
      </c>
      <c r="I237" s="62"/>
      <c r="J237" s="63" t="str">
        <f aca="false">IF(I237&lt;&gt;"",VLOOKUP(I237,'Legal Nature'!$E$2:$G$84,3,0),"")</f>
        <v/>
      </c>
      <c r="K237" s="64"/>
      <c r="L237" s="65"/>
      <c r="M237" s="66"/>
      <c r="N237" s="66"/>
      <c r="O237" s="79"/>
      <c r="P237" s="26"/>
      <c r="Q237" s="58"/>
      <c r="R237" s="58"/>
      <c r="S237" s="80"/>
      <c r="T237" s="68" t="str">
        <f aca="false">IF(LEFT(S237,1)="9","Celular",IF(S237="","","Fixo"))</f>
        <v/>
      </c>
      <c r="U237" s="58" t="str">
        <f aca="false">IF( T237&lt;&gt;"",VLOOKUP(T237,Selects!$M$4:$N$1000,2,0),"")</f>
        <v/>
      </c>
      <c r="V237" s="26"/>
      <c r="W237" s="58"/>
      <c r="X237" s="58"/>
      <c r="Y237" s="58"/>
      <c r="Z237" s="58"/>
      <c r="AA237" s="69"/>
      <c r="AB237" s="58"/>
      <c r="AC237" s="58"/>
      <c r="AD237" s="70" t="str">
        <f aca="false">IF(AC237&lt;&gt;"",VLOOKUP(AC237,Selects!$B$4:$C$100,2,0),"")</f>
        <v/>
      </c>
      <c r="AE237" s="26"/>
      <c r="AF237" s="58"/>
      <c r="AG237" s="59"/>
      <c r="AH237" s="65"/>
      <c r="AI237" s="66"/>
      <c r="AJ237" s="66"/>
      <c r="AK237" s="58"/>
      <c r="AL237" s="58"/>
      <c r="AM237" s="68" t="str">
        <f aca="false">IF(LEFT(AL237,1)="9","Celular",IF(AL237="","","Fixo"))</f>
        <v/>
      </c>
      <c r="AN237" s="58" t="str">
        <f aca="false">IF( AM237&lt;&gt;"",VLOOKUP(AM237,Selects!$M$4:$N$1000,2,0),"")</f>
        <v/>
      </c>
      <c r="AO237" s="58"/>
      <c r="AP237" s="59"/>
      <c r="AQ237" s="65"/>
      <c r="AR237" s="58"/>
      <c r="AS237" s="58"/>
      <c r="AT237" s="26"/>
      <c r="AU237" s="58"/>
      <c r="AV237" s="58"/>
      <c r="AW237" s="58"/>
      <c r="AX237" s="58"/>
      <c r="AY237" s="71"/>
      <c r="AZ237" s="58"/>
      <c r="BA237" s="58"/>
      <c r="BB237" s="72" t="str">
        <f aca="false">IF(BA237&lt;&gt;"",VLOOKUP(BA237,Selects!$B$4:$C$100,2,0),"")</f>
        <v/>
      </c>
      <c r="BC237" s="26"/>
      <c r="BD237" s="26"/>
      <c r="BE237" s="73"/>
      <c r="BF237" s="74"/>
      <c r="BG237" s="75" t="str">
        <f aca="false">IF(LEN(BF237)=11,"PF",IF(LEN(BF237)=14,"PJ",""))</f>
        <v/>
      </c>
      <c r="BH237" s="66"/>
      <c r="BI237" s="58" t="str">
        <f aca="false">IF(BH237&lt;&gt;"",VLOOKUP(BH237,Selects!$G:$H,2,0),"")</f>
        <v/>
      </c>
      <c r="BJ237" s="58"/>
      <c r="BK237" s="58"/>
      <c r="BL237" s="59"/>
      <c r="BM237" s="58"/>
      <c r="BN237" s="58"/>
      <c r="BO237" s="58" t="str">
        <f aca="false">IF(BN237&lt;&gt;"",VLOOKUP(BN237,Selects!$J$4:$K$1000,2,0),"")</f>
        <v/>
      </c>
      <c r="BP237" s="76"/>
      <c r="BQ237" s="59"/>
      <c r="BR237" s="77"/>
      <c r="BS237" s="59"/>
      <c r="BT237" s="77"/>
      <c r="BU237" s="58"/>
      <c r="BV237" s="58"/>
      <c r="BW237" s="58"/>
      <c r="BX237" s="58"/>
      <c r="BY237" s="58"/>
      <c r="BZ237" s="58"/>
      <c r="CA237" s="58"/>
      <c r="CB237" s="72" t="str">
        <f aca="false">IF(AC237&lt;&gt;"",VLOOKUP(AC237,Selects!$B:$E,4,0),"")</f>
        <v/>
      </c>
      <c r="CC237" s="58"/>
      <c r="CD237" s="58"/>
      <c r="CE237" s="58"/>
    </row>
    <row r="238" customFormat="false" ht="15.75" hidden="false" customHeight="true" outlineLevel="0" collapsed="false">
      <c r="A238" s="17"/>
      <c r="B238" s="58"/>
      <c r="C238" s="58"/>
      <c r="D238" s="59"/>
      <c r="E238" s="60" t="str">
        <f aca="false">IF(LEN(D238)=11,"PF",IF(LEN(D238)=14,"PJ",""))</f>
        <v/>
      </c>
      <c r="F238" s="59"/>
      <c r="G238" s="59"/>
      <c r="H238" s="61" t="str">
        <f aca="false">IF(G238&lt;&gt;"",VLOOKUP(G238,'Cnae  mcc  id'!$A:$M,9,0),"")</f>
        <v/>
      </c>
      <c r="I238" s="62"/>
      <c r="J238" s="63" t="str">
        <f aca="false">IF(I238&lt;&gt;"",VLOOKUP(I238,'Legal Nature'!$E$2:$G$84,3,0),"")</f>
        <v/>
      </c>
      <c r="K238" s="64"/>
      <c r="L238" s="65"/>
      <c r="M238" s="66"/>
      <c r="N238" s="66"/>
      <c r="O238" s="79"/>
      <c r="P238" s="26"/>
      <c r="Q238" s="58"/>
      <c r="R238" s="58"/>
      <c r="S238" s="80"/>
      <c r="T238" s="68" t="str">
        <f aca="false">IF(LEFT(S238,1)="9","Celular",IF(S238="","","Fixo"))</f>
        <v/>
      </c>
      <c r="U238" s="58" t="str">
        <f aca="false">IF( T238&lt;&gt;"",VLOOKUP(T238,Selects!$M$4:$N$1000,2,0),"")</f>
        <v/>
      </c>
      <c r="V238" s="26"/>
      <c r="W238" s="58"/>
      <c r="X238" s="58"/>
      <c r="Y238" s="58"/>
      <c r="Z238" s="58"/>
      <c r="AA238" s="69"/>
      <c r="AB238" s="58"/>
      <c r="AC238" s="58"/>
      <c r="AD238" s="70" t="str">
        <f aca="false">IF(AC238&lt;&gt;"",VLOOKUP(AC238,Selects!$B$4:$C$100,2,0),"")</f>
        <v/>
      </c>
      <c r="AE238" s="26"/>
      <c r="AF238" s="58"/>
      <c r="AG238" s="59"/>
      <c r="AH238" s="65"/>
      <c r="AI238" s="66"/>
      <c r="AJ238" s="66"/>
      <c r="AK238" s="58"/>
      <c r="AL238" s="58"/>
      <c r="AM238" s="68" t="str">
        <f aca="false">IF(LEFT(AL238,1)="9","Celular",IF(AL238="","","Fixo"))</f>
        <v/>
      </c>
      <c r="AN238" s="58" t="str">
        <f aca="false">IF( AM238&lt;&gt;"",VLOOKUP(AM238,Selects!$M$4:$N$1000,2,0),"")</f>
        <v/>
      </c>
      <c r="AO238" s="58"/>
      <c r="AP238" s="59"/>
      <c r="AQ238" s="65"/>
      <c r="AR238" s="58"/>
      <c r="AS238" s="58"/>
      <c r="AT238" s="26"/>
      <c r="AU238" s="58"/>
      <c r="AV238" s="58"/>
      <c r="AW238" s="58"/>
      <c r="AX238" s="58"/>
      <c r="AY238" s="71"/>
      <c r="AZ238" s="58"/>
      <c r="BA238" s="58"/>
      <c r="BB238" s="72" t="str">
        <f aca="false">IF(BA238&lt;&gt;"",VLOOKUP(BA238,Selects!$B$4:$C$100,2,0),"")</f>
        <v/>
      </c>
      <c r="BC238" s="26"/>
      <c r="BD238" s="26"/>
      <c r="BE238" s="73"/>
      <c r="BF238" s="74"/>
      <c r="BG238" s="75" t="str">
        <f aca="false">IF(LEN(BF238)=11,"PF",IF(LEN(BF238)=14,"PJ",""))</f>
        <v/>
      </c>
      <c r="BH238" s="66"/>
      <c r="BI238" s="58" t="str">
        <f aca="false">IF(BH238&lt;&gt;"",VLOOKUP(BH238,Selects!$G:$H,2,0),"")</f>
        <v/>
      </c>
      <c r="BJ238" s="58"/>
      <c r="BK238" s="58"/>
      <c r="BL238" s="59"/>
      <c r="BM238" s="58"/>
      <c r="BN238" s="58"/>
      <c r="BO238" s="58" t="str">
        <f aca="false">IF(BN238&lt;&gt;"",VLOOKUP(BN238,Selects!$J$4:$K$1000,2,0),"")</f>
        <v/>
      </c>
      <c r="BP238" s="76"/>
      <c r="BQ238" s="59"/>
      <c r="BR238" s="77"/>
      <c r="BS238" s="59"/>
      <c r="BT238" s="77"/>
      <c r="BU238" s="58"/>
      <c r="BV238" s="58"/>
      <c r="BW238" s="58"/>
      <c r="BX238" s="58"/>
      <c r="BY238" s="58"/>
      <c r="BZ238" s="58"/>
      <c r="CA238" s="58"/>
      <c r="CB238" s="72" t="str">
        <f aca="false">IF(AC238&lt;&gt;"",VLOOKUP(AC238,Selects!$B:$E,4,0),"")</f>
        <v/>
      </c>
      <c r="CC238" s="58"/>
      <c r="CD238" s="58"/>
      <c r="CE238" s="58"/>
    </row>
    <row r="239" customFormat="false" ht="15.75" hidden="false" customHeight="true" outlineLevel="0" collapsed="false">
      <c r="A239" s="17"/>
      <c r="B239" s="58"/>
      <c r="C239" s="58"/>
      <c r="D239" s="59"/>
      <c r="E239" s="60" t="str">
        <f aca="false">IF(LEN(D239)=11,"PF",IF(LEN(D239)=14,"PJ",""))</f>
        <v/>
      </c>
      <c r="F239" s="59"/>
      <c r="G239" s="59"/>
      <c r="H239" s="61" t="str">
        <f aca="false">IF(G239&lt;&gt;"",VLOOKUP(G239,'Cnae  mcc  id'!$A:$M,9,0),"")</f>
        <v/>
      </c>
      <c r="I239" s="62"/>
      <c r="J239" s="63" t="str">
        <f aca="false">IF(I239&lt;&gt;"",VLOOKUP(I239,'Legal Nature'!$E$2:$G$84,3,0),"")</f>
        <v/>
      </c>
      <c r="K239" s="64"/>
      <c r="L239" s="65"/>
      <c r="M239" s="66"/>
      <c r="N239" s="66"/>
      <c r="O239" s="79"/>
      <c r="P239" s="26"/>
      <c r="Q239" s="58"/>
      <c r="R239" s="58"/>
      <c r="S239" s="80"/>
      <c r="T239" s="68" t="str">
        <f aca="false">IF(LEFT(S239,1)="9","Celular",IF(S239="","","Fixo"))</f>
        <v/>
      </c>
      <c r="U239" s="58" t="str">
        <f aca="false">IF( T239&lt;&gt;"",VLOOKUP(T239,Selects!$M$4:$N$1000,2,0),"")</f>
        <v/>
      </c>
      <c r="V239" s="26"/>
      <c r="W239" s="58"/>
      <c r="X239" s="58"/>
      <c r="Y239" s="58"/>
      <c r="Z239" s="58"/>
      <c r="AA239" s="69"/>
      <c r="AB239" s="58"/>
      <c r="AC239" s="58"/>
      <c r="AD239" s="70" t="str">
        <f aca="false">IF(AC239&lt;&gt;"",VLOOKUP(AC239,Selects!$B$4:$C$100,2,0),"")</f>
        <v/>
      </c>
      <c r="AE239" s="26"/>
      <c r="AF239" s="58"/>
      <c r="AG239" s="59"/>
      <c r="AH239" s="65"/>
      <c r="AI239" s="66"/>
      <c r="AJ239" s="66"/>
      <c r="AK239" s="58"/>
      <c r="AL239" s="58"/>
      <c r="AM239" s="68" t="str">
        <f aca="false">IF(LEFT(AL239,1)="9","Celular",IF(AL239="","","Fixo"))</f>
        <v/>
      </c>
      <c r="AN239" s="58" t="str">
        <f aca="false">IF( AM239&lt;&gt;"",VLOOKUP(AM239,Selects!$M$4:$N$1000,2,0),"")</f>
        <v/>
      </c>
      <c r="AO239" s="58"/>
      <c r="AP239" s="59"/>
      <c r="AQ239" s="65"/>
      <c r="AR239" s="58"/>
      <c r="AS239" s="58"/>
      <c r="AT239" s="26"/>
      <c r="AU239" s="58"/>
      <c r="AV239" s="58"/>
      <c r="AW239" s="58"/>
      <c r="AX239" s="58"/>
      <c r="AY239" s="71"/>
      <c r="AZ239" s="58"/>
      <c r="BA239" s="58"/>
      <c r="BB239" s="72" t="str">
        <f aca="false">IF(BA239&lt;&gt;"",VLOOKUP(BA239,Selects!$B$4:$C$100,2,0),"")</f>
        <v/>
      </c>
      <c r="BC239" s="26"/>
      <c r="BD239" s="26"/>
      <c r="BE239" s="73"/>
      <c r="BF239" s="74"/>
      <c r="BG239" s="75" t="str">
        <f aca="false">IF(LEN(BF239)=11,"PF",IF(LEN(BF239)=14,"PJ",""))</f>
        <v/>
      </c>
      <c r="BH239" s="66"/>
      <c r="BI239" s="58" t="str">
        <f aca="false">IF(BH239&lt;&gt;"",VLOOKUP(BH239,Selects!$G:$H,2,0),"")</f>
        <v/>
      </c>
      <c r="BJ239" s="58"/>
      <c r="BK239" s="58"/>
      <c r="BL239" s="59"/>
      <c r="BM239" s="58"/>
      <c r="BN239" s="58"/>
      <c r="BO239" s="58" t="str">
        <f aca="false">IF(BN239&lt;&gt;"",VLOOKUP(BN239,Selects!$J$4:$K$1000,2,0),"")</f>
        <v/>
      </c>
      <c r="BP239" s="76"/>
      <c r="BQ239" s="59"/>
      <c r="BR239" s="77"/>
      <c r="BS239" s="59"/>
      <c r="BT239" s="77"/>
      <c r="BU239" s="58"/>
      <c r="BV239" s="58"/>
      <c r="BW239" s="58"/>
      <c r="BX239" s="58"/>
      <c r="BY239" s="58"/>
      <c r="BZ239" s="58"/>
      <c r="CA239" s="58"/>
      <c r="CB239" s="72" t="str">
        <f aca="false">IF(AC239&lt;&gt;"",VLOOKUP(AC239,Selects!$B:$E,4,0),"")</f>
        <v/>
      </c>
      <c r="CC239" s="58"/>
      <c r="CD239" s="58"/>
      <c r="CE239" s="58"/>
    </row>
    <row r="240" customFormat="false" ht="15.75" hidden="false" customHeight="true" outlineLevel="0" collapsed="false">
      <c r="A240" s="17"/>
      <c r="B240" s="58"/>
      <c r="C240" s="58"/>
      <c r="D240" s="59"/>
      <c r="E240" s="60" t="str">
        <f aca="false">IF(LEN(D240)=11,"PF",IF(LEN(D240)=14,"PJ",""))</f>
        <v/>
      </c>
      <c r="F240" s="59"/>
      <c r="G240" s="59"/>
      <c r="H240" s="61" t="str">
        <f aca="false">IF(G240&lt;&gt;"",VLOOKUP(G240,'Cnae  mcc  id'!$A:$M,9,0),"")</f>
        <v/>
      </c>
      <c r="I240" s="62"/>
      <c r="J240" s="63" t="str">
        <f aca="false">IF(I240&lt;&gt;"",VLOOKUP(I240,'Legal Nature'!$E$2:$G$84,3,0),"")</f>
        <v/>
      </c>
      <c r="K240" s="64"/>
      <c r="L240" s="65"/>
      <c r="M240" s="66"/>
      <c r="N240" s="66"/>
      <c r="O240" s="79"/>
      <c r="P240" s="26"/>
      <c r="Q240" s="58"/>
      <c r="R240" s="58"/>
      <c r="S240" s="80"/>
      <c r="T240" s="68" t="str">
        <f aca="false">IF(LEFT(S240,1)="9","Celular",IF(S240="","","Fixo"))</f>
        <v/>
      </c>
      <c r="U240" s="58" t="str">
        <f aca="false">IF( T240&lt;&gt;"",VLOOKUP(T240,Selects!$M$4:$N$1000,2,0),"")</f>
        <v/>
      </c>
      <c r="V240" s="26"/>
      <c r="W240" s="58"/>
      <c r="X240" s="58"/>
      <c r="Y240" s="58"/>
      <c r="Z240" s="58"/>
      <c r="AA240" s="69"/>
      <c r="AB240" s="58"/>
      <c r="AC240" s="58"/>
      <c r="AD240" s="70" t="str">
        <f aca="false">IF(AC240&lt;&gt;"",VLOOKUP(AC240,Selects!$B$4:$C$100,2,0),"")</f>
        <v/>
      </c>
      <c r="AE240" s="26"/>
      <c r="AF240" s="58"/>
      <c r="AG240" s="59"/>
      <c r="AH240" s="65"/>
      <c r="AI240" s="66"/>
      <c r="AJ240" s="66"/>
      <c r="AK240" s="58"/>
      <c r="AL240" s="58"/>
      <c r="AM240" s="68" t="str">
        <f aca="false">IF(LEFT(AL240,1)="9","Celular",IF(AL240="","","Fixo"))</f>
        <v/>
      </c>
      <c r="AN240" s="58" t="str">
        <f aca="false">IF( AM240&lt;&gt;"",VLOOKUP(AM240,Selects!$M$4:$N$1000,2,0),"")</f>
        <v/>
      </c>
      <c r="AO240" s="58"/>
      <c r="AP240" s="59"/>
      <c r="AQ240" s="65"/>
      <c r="AR240" s="58"/>
      <c r="AS240" s="58"/>
      <c r="AT240" s="26"/>
      <c r="AU240" s="58"/>
      <c r="AV240" s="58"/>
      <c r="AW240" s="58"/>
      <c r="AX240" s="58"/>
      <c r="AY240" s="71"/>
      <c r="AZ240" s="58"/>
      <c r="BA240" s="58"/>
      <c r="BB240" s="72" t="str">
        <f aca="false">IF(BA240&lt;&gt;"",VLOOKUP(BA240,Selects!$B$4:$C$100,2,0),"")</f>
        <v/>
      </c>
      <c r="BC240" s="26"/>
      <c r="BD240" s="26"/>
      <c r="BE240" s="73"/>
      <c r="BF240" s="74"/>
      <c r="BG240" s="75" t="str">
        <f aca="false">IF(LEN(BF240)=11,"PF",IF(LEN(BF240)=14,"PJ",""))</f>
        <v/>
      </c>
      <c r="BH240" s="66"/>
      <c r="BI240" s="58" t="str">
        <f aca="false">IF(BH240&lt;&gt;"",VLOOKUP(BH240,Selects!$G:$H,2,0),"")</f>
        <v/>
      </c>
      <c r="BJ240" s="58"/>
      <c r="BK240" s="58"/>
      <c r="BL240" s="59"/>
      <c r="BM240" s="58"/>
      <c r="BN240" s="58"/>
      <c r="BO240" s="58" t="str">
        <f aca="false">IF(BN240&lt;&gt;"",VLOOKUP(BN240,Selects!$J$4:$K$1000,2,0),"")</f>
        <v/>
      </c>
      <c r="BP240" s="76"/>
      <c r="BQ240" s="59"/>
      <c r="BR240" s="77"/>
      <c r="BS240" s="59"/>
      <c r="BT240" s="77"/>
      <c r="BU240" s="58"/>
      <c r="BV240" s="58"/>
      <c r="BW240" s="58"/>
      <c r="BX240" s="58"/>
      <c r="BY240" s="58"/>
      <c r="BZ240" s="58"/>
      <c r="CA240" s="58"/>
      <c r="CB240" s="72" t="str">
        <f aca="false">IF(AC240&lt;&gt;"",VLOOKUP(AC240,Selects!$B:$E,4,0),"")</f>
        <v/>
      </c>
      <c r="CC240" s="58"/>
      <c r="CD240" s="58"/>
      <c r="CE240" s="58"/>
    </row>
    <row r="241" customFormat="false" ht="15.75" hidden="false" customHeight="true" outlineLevel="0" collapsed="false">
      <c r="A241" s="17"/>
      <c r="B241" s="58"/>
      <c r="C241" s="58"/>
      <c r="D241" s="59"/>
      <c r="E241" s="60" t="str">
        <f aca="false">IF(LEN(D241)=11,"PF",IF(LEN(D241)=14,"PJ",""))</f>
        <v/>
      </c>
      <c r="F241" s="59"/>
      <c r="G241" s="59"/>
      <c r="H241" s="61" t="str">
        <f aca="false">IF(G241&lt;&gt;"",VLOOKUP(G241,'Cnae  mcc  id'!$A:$M,9,0),"")</f>
        <v/>
      </c>
      <c r="I241" s="62"/>
      <c r="J241" s="63" t="str">
        <f aca="false">IF(I241&lt;&gt;"",VLOOKUP(I241,'Legal Nature'!$E$2:$G$84,3,0),"")</f>
        <v/>
      </c>
      <c r="K241" s="64"/>
      <c r="L241" s="65"/>
      <c r="M241" s="66"/>
      <c r="N241" s="66"/>
      <c r="O241" s="79"/>
      <c r="P241" s="26"/>
      <c r="Q241" s="58"/>
      <c r="R241" s="58"/>
      <c r="S241" s="80"/>
      <c r="T241" s="68" t="str">
        <f aca="false">IF(LEFT(S241,1)="9","Celular",IF(S241="","","Fixo"))</f>
        <v/>
      </c>
      <c r="U241" s="58" t="str">
        <f aca="false">IF( T241&lt;&gt;"",VLOOKUP(T241,Selects!$M$4:$N$1000,2,0),"")</f>
        <v/>
      </c>
      <c r="V241" s="26"/>
      <c r="W241" s="58"/>
      <c r="X241" s="58"/>
      <c r="Y241" s="58"/>
      <c r="Z241" s="58"/>
      <c r="AA241" s="69"/>
      <c r="AB241" s="58"/>
      <c r="AC241" s="58"/>
      <c r="AD241" s="70" t="str">
        <f aca="false">IF(AC241&lt;&gt;"",VLOOKUP(AC241,Selects!$B$4:$C$100,2,0),"")</f>
        <v/>
      </c>
      <c r="AE241" s="26"/>
      <c r="AF241" s="58"/>
      <c r="AG241" s="59"/>
      <c r="AH241" s="65"/>
      <c r="AI241" s="66"/>
      <c r="AJ241" s="66"/>
      <c r="AK241" s="58"/>
      <c r="AL241" s="58"/>
      <c r="AM241" s="68" t="str">
        <f aca="false">IF(LEFT(AL241,1)="9","Celular",IF(AL241="","","Fixo"))</f>
        <v/>
      </c>
      <c r="AN241" s="58" t="str">
        <f aca="false">IF( AM241&lt;&gt;"",VLOOKUP(AM241,Selects!$M$4:$N$1000,2,0),"")</f>
        <v/>
      </c>
      <c r="AO241" s="58"/>
      <c r="AP241" s="59"/>
      <c r="AQ241" s="65"/>
      <c r="AR241" s="58"/>
      <c r="AS241" s="58"/>
      <c r="AT241" s="26"/>
      <c r="AU241" s="58"/>
      <c r="AV241" s="58"/>
      <c r="AW241" s="58"/>
      <c r="AX241" s="58"/>
      <c r="AY241" s="71"/>
      <c r="AZ241" s="58"/>
      <c r="BA241" s="58"/>
      <c r="BB241" s="72" t="str">
        <f aca="false">IF(BA241&lt;&gt;"",VLOOKUP(BA241,Selects!$B$4:$C$100,2,0),"")</f>
        <v/>
      </c>
      <c r="BC241" s="26"/>
      <c r="BD241" s="26"/>
      <c r="BE241" s="73"/>
      <c r="BF241" s="74"/>
      <c r="BG241" s="75" t="str">
        <f aca="false">IF(LEN(BF241)=11,"PF",IF(LEN(BF241)=14,"PJ",""))</f>
        <v/>
      </c>
      <c r="BH241" s="66"/>
      <c r="BI241" s="58" t="str">
        <f aca="false">IF(BH241&lt;&gt;"",VLOOKUP(BH241,Selects!$G:$H,2,0),"")</f>
        <v/>
      </c>
      <c r="BJ241" s="58"/>
      <c r="BK241" s="58"/>
      <c r="BL241" s="59"/>
      <c r="BM241" s="58"/>
      <c r="BN241" s="58"/>
      <c r="BO241" s="58" t="str">
        <f aca="false">IF(BN241&lt;&gt;"",VLOOKUP(BN241,Selects!$J$4:$K$1000,2,0),"")</f>
        <v/>
      </c>
      <c r="BP241" s="76"/>
      <c r="BQ241" s="59"/>
      <c r="BR241" s="77"/>
      <c r="BS241" s="59"/>
      <c r="BT241" s="77"/>
      <c r="BU241" s="58"/>
      <c r="BV241" s="58"/>
      <c r="BW241" s="58"/>
      <c r="BX241" s="58"/>
      <c r="BY241" s="58"/>
      <c r="BZ241" s="58"/>
      <c r="CA241" s="58"/>
      <c r="CB241" s="72" t="str">
        <f aca="false">IF(AC241&lt;&gt;"",VLOOKUP(AC241,Selects!$B:$E,4,0),"")</f>
        <v/>
      </c>
      <c r="CC241" s="58"/>
      <c r="CD241" s="58"/>
      <c r="CE241" s="58"/>
    </row>
    <row r="242" customFormat="false" ht="15.75" hidden="false" customHeight="true" outlineLevel="0" collapsed="false">
      <c r="A242" s="17"/>
      <c r="B242" s="58"/>
      <c r="C242" s="58"/>
      <c r="D242" s="59"/>
      <c r="E242" s="60" t="str">
        <f aca="false">IF(LEN(D242)=11,"PF",IF(LEN(D242)=14,"PJ",""))</f>
        <v/>
      </c>
      <c r="F242" s="59"/>
      <c r="G242" s="59"/>
      <c r="H242" s="61" t="str">
        <f aca="false">IF(G242&lt;&gt;"",VLOOKUP(G242,'Cnae  mcc  id'!$A:$M,9,0),"")</f>
        <v/>
      </c>
      <c r="I242" s="62"/>
      <c r="J242" s="63" t="str">
        <f aca="false">IF(I242&lt;&gt;"",VLOOKUP(I242,'Legal Nature'!$E$2:$G$84,3,0),"")</f>
        <v/>
      </c>
      <c r="K242" s="64"/>
      <c r="L242" s="65"/>
      <c r="M242" s="66"/>
      <c r="N242" s="66"/>
      <c r="O242" s="79"/>
      <c r="P242" s="26"/>
      <c r="Q242" s="58"/>
      <c r="R242" s="58"/>
      <c r="S242" s="80"/>
      <c r="T242" s="68" t="str">
        <f aca="false">IF(LEFT(S242,1)="9","Celular",IF(S242="","","Fixo"))</f>
        <v/>
      </c>
      <c r="U242" s="58" t="str">
        <f aca="false">IF( T242&lt;&gt;"",VLOOKUP(T242,Selects!$M$4:$N$1000,2,0),"")</f>
        <v/>
      </c>
      <c r="V242" s="26"/>
      <c r="W242" s="58"/>
      <c r="X242" s="58"/>
      <c r="Y242" s="58"/>
      <c r="Z242" s="58"/>
      <c r="AA242" s="69"/>
      <c r="AB242" s="58"/>
      <c r="AC242" s="58"/>
      <c r="AD242" s="70" t="str">
        <f aca="false">IF(AC242&lt;&gt;"",VLOOKUP(AC242,Selects!$B$4:$C$100,2,0),"")</f>
        <v/>
      </c>
      <c r="AE242" s="26"/>
      <c r="AF242" s="58"/>
      <c r="AG242" s="59"/>
      <c r="AH242" s="65"/>
      <c r="AI242" s="66"/>
      <c r="AJ242" s="66"/>
      <c r="AK242" s="58"/>
      <c r="AL242" s="58"/>
      <c r="AM242" s="68" t="str">
        <f aca="false">IF(LEFT(AL242,1)="9","Celular",IF(AL242="","","Fixo"))</f>
        <v/>
      </c>
      <c r="AN242" s="58" t="str">
        <f aca="false">IF( AM242&lt;&gt;"",VLOOKUP(AM242,Selects!$M$4:$N$1000,2,0),"")</f>
        <v/>
      </c>
      <c r="AO242" s="58"/>
      <c r="AP242" s="59"/>
      <c r="AQ242" s="65"/>
      <c r="AR242" s="58"/>
      <c r="AS242" s="58"/>
      <c r="AT242" s="26"/>
      <c r="AU242" s="58"/>
      <c r="AV242" s="58"/>
      <c r="AW242" s="58"/>
      <c r="AX242" s="58"/>
      <c r="AY242" s="71"/>
      <c r="AZ242" s="58"/>
      <c r="BA242" s="58"/>
      <c r="BB242" s="72" t="str">
        <f aca="false">IF(BA242&lt;&gt;"",VLOOKUP(BA242,Selects!$B$4:$C$100,2,0),"")</f>
        <v/>
      </c>
      <c r="BC242" s="26"/>
      <c r="BD242" s="26"/>
      <c r="BE242" s="73"/>
      <c r="BF242" s="74"/>
      <c r="BG242" s="75" t="str">
        <f aca="false">IF(LEN(BF242)=11,"PF",IF(LEN(BF242)=14,"PJ",""))</f>
        <v/>
      </c>
      <c r="BH242" s="66"/>
      <c r="BI242" s="58" t="str">
        <f aca="false">IF(BH242&lt;&gt;"",VLOOKUP(BH242,Selects!$G:$H,2,0),"")</f>
        <v/>
      </c>
      <c r="BJ242" s="58"/>
      <c r="BK242" s="58"/>
      <c r="BL242" s="59"/>
      <c r="BM242" s="58"/>
      <c r="BN242" s="58"/>
      <c r="BO242" s="58" t="str">
        <f aca="false">IF(BN242&lt;&gt;"",VLOOKUP(BN242,Selects!$J$4:$K$1000,2,0),"")</f>
        <v/>
      </c>
      <c r="BP242" s="76"/>
      <c r="BQ242" s="59"/>
      <c r="BR242" s="77"/>
      <c r="BS242" s="59"/>
      <c r="BT242" s="77"/>
      <c r="BU242" s="58"/>
      <c r="BV242" s="58"/>
      <c r="BW242" s="58"/>
      <c r="BX242" s="58"/>
      <c r="BY242" s="58"/>
      <c r="BZ242" s="58"/>
      <c r="CA242" s="58"/>
      <c r="CB242" s="72" t="str">
        <f aca="false">IF(AC242&lt;&gt;"",VLOOKUP(AC242,Selects!$B:$E,4,0),"")</f>
        <v/>
      </c>
      <c r="CC242" s="58"/>
      <c r="CD242" s="58"/>
      <c r="CE242" s="58"/>
    </row>
    <row r="243" customFormat="false" ht="15.75" hidden="false" customHeight="true" outlineLevel="0" collapsed="false">
      <c r="A243" s="17"/>
      <c r="B243" s="58"/>
      <c r="C243" s="58"/>
      <c r="D243" s="59"/>
      <c r="E243" s="60" t="str">
        <f aca="false">IF(LEN(D243)=11,"PF",IF(LEN(D243)=14,"PJ",""))</f>
        <v/>
      </c>
      <c r="F243" s="59"/>
      <c r="G243" s="59"/>
      <c r="H243" s="61" t="str">
        <f aca="false">IF(G243&lt;&gt;"",VLOOKUP(G243,'Cnae  mcc  id'!$A:$M,9,0),"")</f>
        <v/>
      </c>
      <c r="I243" s="62"/>
      <c r="J243" s="63" t="str">
        <f aca="false">IF(I243&lt;&gt;"",VLOOKUP(I243,'Legal Nature'!$E$2:$G$84,3,0),"")</f>
        <v/>
      </c>
      <c r="K243" s="64"/>
      <c r="L243" s="65"/>
      <c r="M243" s="66"/>
      <c r="N243" s="66"/>
      <c r="O243" s="79"/>
      <c r="P243" s="26"/>
      <c r="Q243" s="58"/>
      <c r="R243" s="58"/>
      <c r="S243" s="80"/>
      <c r="T243" s="68" t="str">
        <f aca="false">IF(LEFT(S243,1)="9","Celular",IF(S243="","","Fixo"))</f>
        <v/>
      </c>
      <c r="U243" s="58" t="str">
        <f aca="false">IF( T243&lt;&gt;"",VLOOKUP(T243,Selects!$M$4:$N$1000,2,0),"")</f>
        <v/>
      </c>
      <c r="V243" s="26"/>
      <c r="W243" s="58"/>
      <c r="X243" s="58"/>
      <c r="Y243" s="58"/>
      <c r="Z243" s="58"/>
      <c r="AA243" s="69"/>
      <c r="AB243" s="58"/>
      <c r="AC243" s="58"/>
      <c r="AD243" s="70" t="str">
        <f aca="false">IF(AC243&lt;&gt;"",VLOOKUP(AC243,Selects!$B$4:$C$100,2,0),"")</f>
        <v/>
      </c>
      <c r="AE243" s="26"/>
      <c r="AF243" s="58"/>
      <c r="AG243" s="59"/>
      <c r="AH243" s="65"/>
      <c r="AI243" s="66"/>
      <c r="AJ243" s="66"/>
      <c r="AK243" s="58"/>
      <c r="AL243" s="58"/>
      <c r="AM243" s="68" t="str">
        <f aca="false">IF(LEFT(AL243,1)="9","Celular",IF(AL243="","","Fixo"))</f>
        <v/>
      </c>
      <c r="AN243" s="58" t="str">
        <f aca="false">IF( AM243&lt;&gt;"",VLOOKUP(AM243,Selects!$M$4:$N$1000,2,0),"")</f>
        <v/>
      </c>
      <c r="AO243" s="58"/>
      <c r="AP243" s="59"/>
      <c r="AQ243" s="65"/>
      <c r="AR243" s="58"/>
      <c r="AS243" s="58"/>
      <c r="AT243" s="26"/>
      <c r="AU243" s="58"/>
      <c r="AV243" s="58"/>
      <c r="AW243" s="58"/>
      <c r="AX243" s="58"/>
      <c r="AY243" s="71"/>
      <c r="AZ243" s="58"/>
      <c r="BA243" s="58"/>
      <c r="BB243" s="72" t="str">
        <f aca="false">IF(BA243&lt;&gt;"",VLOOKUP(BA243,Selects!$B$4:$C$100,2,0),"")</f>
        <v/>
      </c>
      <c r="BC243" s="26"/>
      <c r="BD243" s="26"/>
      <c r="BE243" s="73"/>
      <c r="BF243" s="74"/>
      <c r="BG243" s="75" t="str">
        <f aca="false">IF(LEN(BF243)=11,"PF",IF(LEN(BF243)=14,"PJ",""))</f>
        <v/>
      </c>
      <c r="BH243" s="66"/>
      <c r="BI243" s="58" t="str">
        <f aca="false">IF(BH243&lt;&gt;"",VLOOKUP(BH243,Selects!$G:$H,2,0),"")</f>
        <v/>
      </c>
      <c r="BJ243" s="58"/>
      <c r="BK243" s="58"/>
      <c r="BL243" s="59"/>
      <c r="BM243" s="58"/>
      <c r="BN243" s="58"/>
      <c r="BO243" s="58" t="str">
        <f aca="false">IF(BN243&lt;&gt;"",VLOOKUP(BN243,Selects!$J$4:$K$1000,2,0),"")</f>
        <v/>
      </c>
      <c r="BP243" s="76"/>
      <c r="BQ243" s="59"/>
      <c r="BR243" s="77"/>
      <c r="BS243" s="59"/>
      <c r="BT243" s="77"/>
      <c r="BU243" s="58"/>
      <c r="BV243" s="58"/>
      <c r="BW243" s="58"/>
      <c r="BX243" s="58"/>
      <c r="BY243" s="58"/>
      <c r="BZ243" s="58"/>
      <c r="CA243" s="58"/>
      <c r="CB243" s="72" t="str">
        <f aca="false">IF(AC243&lt;&gt;"",VLOOKUP(AC243,Selects!$B:$E,4,0),"")</f>
        <v/>
      </c>
      <c r="CC243" s="58"/>
      <c r="CD243" s="58"/>
      <c r="CE243" s="58"/>
    </row>
    <row r="244" customFormat="false" ht="15.75" hidden="false" customHeight="true" outlineLevel="0" collapsed="false">
      <c r="A244" s="17"/>
      <c r="B244" s="58"/>
      <c r="C244" s="58"/>
      <c r="D244" s="59"/>
      <c r="E244" s="60" t="str">
        <f aca="false">IF(LEN(D244)=11,"PF",IF(LEN(D244)=14,"PJ",""))</f>
        <v/>
      </c>
      <c r="F244" s="59"/>
      <c r="G244" s="59"/>
      <c r="H244" s="61" t="str">
        <f aca="false">IF(G244&lt;&gt;"",VLOOKUP(G244,'Cnae  mcc  id'!$A:$M,9,0),"")</f>
        <v/>
      </c>
      <c r="I244" s="62"/>
      <c r="J244" s="63" t="str">
        <f aca="false">IF(I244&lt;&gt;"",VLOOKUP(I244,'Legal Nature'!$E$2:$G$84,3,0),"")</f>
        <v/>
      </c>
      <c r="K244" s="64"/>
      <c r="L244" s="65"/>
      <c r="M244" s="66"/>
      <c r="N244" s="66"/>
      <c r="O244" s="79"/>
      <c r="P244" s="26"/>
      <c r="Q244" s="58"/>
      <c r="R244" s="58"/>
      <c r="S244" s="80"/>
      <c r="T244" s="68" t="str">
        <f aca="false">IF(LEFT(S244,1)="9","Celular",IF(S244="","","Fixo"))</f>
        <v/>
      </c>
      <c r="U244" s="58" t="str">
        <f aca="false">IF( T244&lt;&gt;"",VLOOKUP(T244,Selects!$M$4:$N$1000,2,0),"")</f>
        <v/>
      </c>
      <c r="V244" s="26"/>
      <c r="W244" s="58"/>
      <c r="X244" s="58"/>
      <c r="Y244" s="58"/>
      <c r="Z244" s="58"/>
      <c r="AA244" s="69"/>
      <c r="AB244" s="58"/>
      <c r="AC244" s="58"/>
      <c r="AD244" s="70" t="str">
        <f aca="false">IF(AC244&lt;&gt;"",VLOOKUP(AC244,Selects!$B$4:$C$100,2,0),"")</f>
        <v/>
      </c>
      <c r="AE244" s="26"/>
      <c r="AF244" s="58"/>
      <c r="AG244" s="59"/>
      <c r="AH244" s="65"/>
      <c r="AI244" s="66"/>
      <c r="AJ244" s="66"/>
      <c r="AK244" s="58"/>
      <c r="AL244" s="58"/>
      <c r="AM244" s="68" t="str">
        <f aca="false">IF(LEFT(AL244,1)="9","Celular",IF(AL244="","","Fixo"))</f>
        <v/>
      </c>
      <c r="AN244" s="58" t="str">
        <f aca="false">IF( AM244&lt;&gt;"",VLOOKUP(AM244,Selects!$M$4:$N$1000,2,0),"")</f>
        <v/>
      </c>
      <c r="AO244" s="58"/>
      <c r="AP244" s="59"/>
      <c r="AQ244" s="65"/>
      <c r="AR244" s="58"/>
      <c r="AS244" s="58"/>
      <c r="AT244" s="26"/>
      <c r="AU244" s="58"/>
      <c r="AV244" s="58"/>
      <c r="AW244" s="58"/>
      <c r="AX244" s="58"/>
      <c r="AY244" s="71"/>
      <c r="AZ244" s="58"/>
      <c r="BA244" s="58"/>
      <c r="BB244" s="72" t="str">
        <f aca="false">IF(BA244&lt;&gt;"",VLOOKUP(BA244,Selects!$B$4:$C$100,2,0),"")</f>
        <v/>
      </c>
      <c r="BC244" s="26"/>
      <c r="BD244" s="26"/>
      <c r="BE244" s="73"/>
      <c r="BF244" s="74"/>
      <c r="BG244" s="75" t="str">
        <f aca="false">IF(LEN(BF244)=11,"PF",IF(LEN(BF244)=14,"PJ",""))</f>
        <v/>
      </c>
      <c r="BH244" s="66"/>
      <c r="BI244" s="58" t="str">
        <f aca="false">IF(BH244&lt;&gt;"",VLOOKUP(BH244,Selects!$G:$H,2,0),"")</f>
        <v/>
      </c>
      <c r="BJ244" s="58"/>
      <c r="BK244" s="58"/>
      <c r="BL244" s="59"/>
      <c r="BM244" s="58"/>
      <c r="BN244" s="58"/>
      <c r="BO244" s="58" t="str">
        <f aca="false">IF(BN244&lt;&gt;"",VLOOKUP(BN244,Selects!$J$4:$K$1000,2,0),"")</f>
        <v/>
      </c>
      <c r="BP244" s="76"/>
      <c r="BQ244" s="59"/>
      <c r="BR244" s="77"/>
      <c r="BS244" s="59"/>
      <c r="BT244" s="77"/>
      <c r="BU244" s="58"/>
      <c r="BV244" s="58"/>
      <c r="BW244" s="58"/>
      <c r="BX244" s="58"/>
      <c r="BY244" s="58"/>
      <c r="BZ244" s="58"/>
      <c r="CA244" s="58"/>
      <c r="CB244" s="72" t="str">
        <f aca="false">IF(AC244&lt;&gt;"",VLOOKUP(AC244,Selects!$B:$E,4,0),"")</f>
        <v/>
      </c>
      <c r="CC244" s="58"/>
      <c r="CD244" s="58"/>
      <c r="CE244" s="58"/>
    </row>
    <row r="245" customFormat="false" ht="15.75" hidden="false" customHeight="true" outlineLevel="0" collapsed="false">
      <c r="A245" s="17"/>
      <c r="B245" s="58"/>
      <c r="C245" s="58"/>
      <c r="D245" s="59"/>
      <c r="E245" s="60" t="str">
        <f aca="false">IF(LEN(D245)=11,"PF",IF(LEN(D245)=14,"PJ",""))</f>
        <v/>
      </c>
      <c r="F245" s="59"/>
      <c r="G245" s="59"/>
      <c r="H245" s="61" t="str">
        <f aca="false">IF(G245&lt;&gt;"",VLOOKUP(G245,'Cnae  mcc  id'!$A:$M,9,0),"")</f>
        <v/>
      </c>
      <c r="I245" s="62"/>
      <c r="J245" s="63" t="str">
        <f aca="false">IF(I245&lt;&gt;"",VLOOKUP(I245,'Legal Nature'!$E$2:$G$84,3,0),"")</f>
        <v/>
      </c>
      <c r="K245" s="64"/>
      <c r="L245" s="65"/>
      <c r="M245" s="66"/>
      <c r="N245" s="66"/>
      <c r="O245" s="79"/>
      <c r="P245" s="26"/>
      <c r="Q245" s="58"/>
      <c r="R245" s="58"/>
      <c r="S245" s="80"/>
      <c r="T245" s="68" t="str">
        <f aca="false">IF(LEFT(S245,1)="9","Celular",IF(S245="","","Fixo"))</f>
        <v/>
      </c>
      <c r="U245" s="58" t="str">
        <f aca="false">IF( T245&lt;&gt;"",VLOOKUP(T245,Selects!$M$4:$N$1000,2,0),"")</f>
        <v/>
      </c>
      <c r="V245" s="26"/>
      <c r="W245" s="58"/>
      <c r="X245" s="58"/>
      <c r="Y245" s="58"/>
      <c r="Z245" s="58"/>
      <c r="AA245" s="69"/>
      <c r="AB245" s="58"/>
      <c r="AC245" s="58"/>
      <c r="AD245" s="70" t="str">
        <f aca="false">IF(AC245&lt;&gt;"",VLOOKUP(AC245,Selects!$B$4:$C$100,2,0),"")</f>
        <v/>
      </c>
      <c r="AE245" s="26"/>
      <c r="AF245" s="58"/>
      <c r="AG245" s="59"/>
      <c r="AH245" s="65"/>
      <c r="AI245" s="66"/>
      <c r="AJ245" s="66"/>
      <c r="AK245" s="58"/>
      <c r="AL245" s="58"/>
      <c r="AM245" s="68" t="str">
        <f aca="false">IF(LEFT(AL245,1)="9","Celular",IF(AL245="","","Fixo"))</f>
        <v/>
      </c>
      <c r="AN245" s="58" t="str">
        <f aca="false">IF( AM245&lt;&gt;"",VLOOKUP(AM245,Selects!$M$4:$N$1000,2,0),"")</f>
        <v/>
      </c>
      <c r="AO245" s="58"/>
      <c r="AP245" s="59"/>
      <c r="AQ245" s="65"/>
      <c r="AR245" s="58"/>
      <c r="AS245" s="58"/>
      <c r="AT245" s="26"/>
      <c r="AU245" s="58"/>
      <c r="AV245" s="58"/>
      <c r="AW245" s="58"/>
      <c r="AX245" s="58"/>
      <c r="AY245" s="71"/>
      <c r="AZ245" s="58"/>
      <c r="BA245" s="58"/>
      <c r="BB245" s="72" t="str">
        <f aca="false">IF(BA245&lt;&gt;"",VLOOKUP(BA245,Selects!$B$4:$C$100,2,0),"")</f>
        <v/>
      </c>
      <c r="BC245" s="26"/>
      <c r="BD245" s="26"/>
      <c r="BE245" s="73"/>
      <c r="BF245" s="74"/>
      <c r="BG245" s="75" t="str">
        <f aca="false">IF(LEN(BF245)=11,"PF",IF(LEN(BF245)=14,"PJ",""))</f>
        <v/>
      </c>
      <c r="BH245" s="66"/>
      <c r="BI245" s="58" t="str">
        <f aca="false">IF(BH245&lt;&gt;"",VLOOKUP(BH245,Selects!$G:$H,2,0),"")</f>
        <v/>
      </c>
      <c r="BJ245" s="58"/>
      <c r="BK245" s="58"/>
      <c r="BL245" s="59"/>
      <c r="BM245" s="58"/>
      <c r="BN245" s="58"/>
      <c r="BO245" s="58" t="str">
        <f aca="false">IF(BN245&lt;&gt;"",VLOOKUP(BN245,Selects!$J$4:$K$1000,2,0),"")</f>
        <v/>
      </c>
      <c r="BP245" s="76"/>
      <c r="BQ245" s="59"/>
      <c r="BR245" s="77"/>
      <c r="BS245" s="59"/>
      <c r="BT245" s="77"/>
      <c r="BU245" s="58"/>
      <c r="BV245" s="58"/>
      <c r="BW245" s="58"/>
      <c r="BX245" s="58"/>
      <c r="BY245" s="58"/>
      <c r="BZ245" s="58"/>
      <c r="CA245" s="58"/>
      <c r="CB245" s="72" t="str">
        <f aca="false">IF(AC245&lt;&gt;"",VLOOKUP(AC245,Selects!$B:$E,4,0),"")</f>
        <v/>
      </c>
      <c r="CC245" s="58"/>
      <c r="CD245" s="58"/>
      <c r="CE245" s="58"/>
    </row>
    <row r="246" customFormat="false" ht="15.75" hidden="false" customHeight="true" outlineLevel="0" collapsed="false">
      <c r="A246" s="17"/>
      <c r="B246" s="58"/>
      <c r="C246" s="58"/>
      <c r="D246" s="59"/>
      <c r="E246" s="60" t="str">
        <f aca="false">IF(LEN(D246)=11,"PF",IF(LEN(D246)=14,"PJ",""))</f>
        <v/>
      </c>
      <c r="F246" s="59"/>
      <c r="G246" s="59"/>
      <c r="H246" s="61" t="str">
        <f aca="false">IF(G246&lt;&gt;"",VLOOKUP(G246,'Cnae  mcc  id'!$A:$M,9,0),"")</f>
        <v/>
      </c>
      <c r="I246" s="62"/>
      <c r="J246" s="63" t="str">
        <f aca="false">IF(I246&lt;&gt;"",VLOOKUP(I246,'Legal Nature'!$E$2:$G$84,3,0),"")</f>
        <v/>
      </c>
      <c r="K246" s="64"/>
      <c r="L246" s="65"/>
      <c r="M246" s="66"/>
      <c r="N246" s="66"/>
      <c r="O246" s="79"/>
      <c r="P246" s="26"/>
      <c r="Q246" s="58"/>
      <c r="R246" s="58"/>
      <c r="S246" s="80"/>
      <c r="T246" s="68" t="str">
        <f aca="false">IF(LEFT(S246,1)="9","Celular",IF(S246="","","Fixo"))</f>
        <v/>
      </c>
      <c r="U246" s="58" t="str">
        <f aca="false">IF( T246&lt;&gt;"",VLOOKUP(T246,Selects!$M$4:$N$1000,2,0),"")</f>
        <v/>
      </c>
      <c r="V246" s="26"/>
      <c r="W246" s="58"/>
      <c r="X246" s="58"/>
      <c r="Y246" s="58"/>
      <c r="Z246" s="58"/>
      <c r="AA246" s="69"/>
      <c r="AB246" s="58"/>
      <c r="AC246" s="58"/>
      <c r="AD246" s="70" t="str">
        <f aca="false">IF(AC246&lt;&gt;"",VLOOKUP(AC246,Selects!$B$4:$C$100,2,0),"")</f>
        <v/>
      </c>
      <c r="AE246" s="26"/>
      <c r="AF246" s="58"/>
      <c r="AG246" s="59"/>
      <c r="AH246" s="65"/>
      <c r="AI246" s="66"/>
      <c r="AJ246" s="66"/>
      <c r="AK246" s="58"/>
      <c r="AL246" s="58"/>
      <c r="AM246" s="68" t="str">
        <f aca="false">IF(LEFT(AL246,1)="9","Celular",IF(AL246="","","Fixo"))</f>
        <v/>
      </c>
      <c r="AN246" s="58" t="str">
        <f aca="false">IF( AM246&lt;&gt;"",VLOOKUP(AM246,Selects!$M$4:$N$1000,2,0),"")</f>
        <v/>
      </c>
      <c r="AO246" s="58"/>
      <c r="AP246" s="59"/>
      <c r="AQ246" s="65"/>
      <c r="AR246" s="58"/>
      <c r="AS246" s="58"/>
      <c r="AT246" s="26"/>
      <c r="AU246" s="58"/>
      <c r="AV246" s="58"/>
      <c r="AW246" s="58"/>
      <c r="AX246" s="58"/>
      <c r="AY246" s="71"/>
      <c r="AZ246" s="58"/>
      <c r="BA246" s="58"/>
      <c r="BB246" s="72" t="str">
        <f aca="false">IF(BA246&lt;&gt;"",VLOOKUP(BA246,Selects!$B$4:$C$100,2,0),"")</f>
        <v/>
      </c>
      <c r="BC246" s="26"/>
      <c r="BD246" s="26"/>
      <c r="BE246" s="73"/>
      <c r="BF246" s="74"/>
      <c r="BG246" s="75" t="str">
        <f aca="false">IF(LEN(BF246)=11,"PF",IF(LEN(BF246)=14,"PJ",""))</f>
        <v/>
      </c>
      <c r="BH246" s="66"/>
      <c r="BI246" s="58" t="str">
        <f aca="false">IF(BH246&lt;&gt;"",VLOOKUP(BH246,Selects!$G:$H,2,0),"")</f>
        <v/>
      </c>
      <c r="BJ246" s="58"/>
      <c r="BK246" s="58"/>
      <c r="BL246" s="59"/>
      <c r="BM246" s="58"/>
      <c r="BN246" s="58"/>
      <c r="BO246" s="58" t="str">
        <f aca="false">IF(BN246&lt;&gt;"",VLOOKUP(BN246,Selects!$J$4:$K$1000,2,0),"")</f>
        <v/>
      </c>
      <c r="BP246" s="76"/>
      <c r="BQ246" s="59"/>
      <c r="BR246" s="77"/>
      <c r="BS246" s="59"/>
      <c r="BT246" s="77"/>
      <c r="BU246" s="58"/>
      <c r="BV246" s="58"/>
      <c r="BW246" s="58"/>
      <c r="BX246" s="58"/>
      <c r="BY246" s="58"/>
      <c r="BZ246" s="58"/>
      <c r="CA246" s="58"/>
      <c r="CB246" s="72" t="str">
        <f aca="false">IF(AC246&lt;&gt;"",VLOOKUP(AC246,Selects!$B:$E,4,0),"")</f>
        <v/>
      </c>
      <c r="CC246" s="58"/>
      <c r="CD246" s="58"/>
      <c r="CE246" s="58"/>
    </row>
    <row r="247" customFormat="false" ht="15.75" hidden="false" customHeight="true" outlineLevel="0" collapsed="false">
      <c r="A247" s="17"/>
      <c r="B247" s="58"/>
      <c r="C247" s="58"/>
      <c r="D247" s="59"/>
      <c r="E247" s="60" t="str">
        <f aca="false">IF(LEN(D247)=11,"PF",IF(LEN(D247)=14,"PJ",""))</f>
        <v/>
      </c>
      <c r="F247" s="59"/>
      <c r="G247" s="59"/>
      <c r="H247" s="61" t="str">
        <f aca="false">IF(G247&lt;&gt;"",VLOOKUP(G247,'Cnae  mcc  id'!$A:$M,9,0),"")</f>
        <v/>
      </c>
      <c r="I247" s="62"/>
      <c r="J247" s="63" t="str">
        <f aca="false">IF(I247&lt;&gt;"",VLOOKUP(I247,'Legal Nature'!$E$2:$G$84,3,0),"")</f>
        <v/>
      </c>
      <c r="K247" s="64"/>
      <c r="L247" s="65"/>
      <c r="M247" s="66"/>
      <c r="N247" s="66"/>
      <c r="O247" s="79"/>
      <c r="P247" s="26"/>
      <c r="Q247" s="58"/>
      <c r="R247" s="58"/>
      <c r="S247" s="80"/>
      <c r="T247" s="68" t="str">
        <f aca="false">IF(LEFT(S247,1)="9","Celular",IF(S247="","","Fixo"))</f>
        <v/>
      </c>
      <c r="U247" s="58" t="str">
        <f aca="false">IF( T247&lt;&gt;"",VLOOKUP(T247,Selects!$M$4:$N$1000,2,0),"")</f>
        <v/>
      </c>
      <c r="V247" s="26"/>
      <c r="W247" s="58"/>
      <c r="X247" s="58"/>
      <c r="Y247" s="58"/>
      <c r="Z247" s="58"/>
      <c r="AA247" s="69"/>
      <c r="AB247" s="58"/>
      <c r="AC247" s="58"/>
      <c r="AD247" s="70" t="str">
        <f aca="false">IF(AC247&lt;&gt;"",VLOOKUP(AC247,Selects!$B$4:$C$100,2,0),"")</f>
        <v/>
      </c>
      <c r="AE247" s="26"/>
      <c r="AF247" s="58"/>
      <c r="AG247" s="59"/>
      <c r="AH247" s="65"/>
      <c r="AI247" s="66"/>
      <c r="AJ247" s="66"/>
      <c r="AK247" s="58"/>
      <c r="AL247" s="58"/>
      <c r="AM247" s="68" t="str">
        <f aca="false">IF(LEFT(AL247,1)="9","Celular",IF(AL247="","","Fixo"))</f>
        <v/>
      </c>
      <c r="AN247" s="58" t="str">
        <f aca="false">IF( AM247&lt;&gt;"",VLOOKUP(AM247,Selects!$M$4:$N$1000,2,0),"")</f>
        <v/>
      </c>
      <c r="AO247" s="58"/>
      <c r="AP247" s="59"/>
      <c r="AQ247" s="65"/>
      <c r="AR247" s="58"/>
      <c r="AS247" s="58"/>
      <c r="AT247" s="26"/>
      <c r="AU247" s="58"/>
      <c r="AV247" s="58"/>
      <c r="AW247" s="58"/>
      <c r="AX247" s="58"/>
      <c r="AY247" s="71"/>
      <c r="AZ247" s="58"/>
      <c r="BA247" s="58"/>
      <c r="BB247" s="72" t="str">
        <f aca="false">IF(BA247&lt;&gt;"",VLOOKUP(BA247,Selects!$B$4:$C$100,2,0),"")</f>
        <v/>
      </c>
      <c r="BC247" s="26"/>
      <c r="BD247" s="26"/>
      <c r="BE247" s="73"/>
      <c r="BF247" s="74"/>
      <c r="BG247" s="75" t="str">
        <f aca="false">IF(LEN(BF247)=11,"PF",IF(LEN(BF247)=14,"PJ",""))</f>
        <v/>
      </c>
      <c r="BH247" s="66"/>
      <c r="BI247" s="58" t="str">
        <f aca="false">IF(BH247&lt;&gt;"",VLOOKUP(BH247,Selects!$G:$H,2,0),"")</f>
        <v/>
      </c>
      <c r="BJ247" s="58"/>
      <c r="BK247" s="58"/>
      <c r="BL247" s="59"/>
      <c r="BM247" s="58"/>
      <c r="BN247" s="58"/>
      <c r="BO247" s="58" t="str">
        <f aca="false">IF(BN247&lt;&gt;"",VLOOKUP(BN247,Selects!$J$4:$K$1000,2,0),"")</f>
        <v/>
      </c>
      <c r="BP247" s="76"/>
      <c r="BQ247" s="59"/>
      <c r="BR247" s="77"/>
      <c r="BS247" s="59"/>
      <c r="BT247" s="77"/>
      <c r="BU247" s="58"/>
      <c r="BV247" s="58"/>
      <c r="BW247" s="58"/>
      <c r="BX247" s="58"/>
      <c r="BY247" s="58"/>
      <c r="BZ247" s="58"/>
      <c r="CA247" s="58"/>
      <c r="CB247" s="72" t="str">
        <f aca="false">IF(AC247&lt;&gt;"",VLOOKUP(AC247,Selects!$B:$E,4,0),"")</f>
        <v/>
      </c>
      <c r="CC247" s="58"/>
      <c r="CD247" s="58"/>
      <c r="CE247" s="58"/>
    </row>
    <row r="248" customFormat="false" ht="15.75" hidden="false" customHeight="true" outlineLevel="0" collapsed="false">
      <c r="A248" s="17"/>
      <c r="B248" s="58"/>
      <c r="C248" s="58"/>
      <c r="D248" s="59"/>
      <c r="E248" s="60" t="str">
        <f aca="false">IF(LEN(D248)=11,"PF",IF(LEN(D248)=14,"PJ",""))</f>
        <v/>
      </c>
      <c r="F248" s="59"/>
      <c r="G248" s="59"/>
      <c r="H248" s="61" t="str">
        <f aca="false">IF(G248&lt;&gt;"",VLOOKUP(G248,'Cnae  mcc  id'!$A:$M,9,0),"")</f>
        <v/>
      </c>
      <c r="I248" s="62"/>
      <c r="J248" s="63" t="str">
        <f aca="false">IF(I248&lt;&gt;"",VLOOKUP(I248,'Legal Nature'!$E$2:$G$84,3,0),"")</f>
        <v/>
      </c>
      <c r="K248" s="64"/>
      <c r="L248" s="65"/>
      <c r="M248" s="66"/>
      <c r="N248" s="66"/>
      <c r="O248" s="79"/>
      <c r="P248" s="26"/>
      <c r="Q248" s="58"/>
      <c r="R248" s="58"/>
      <c r="S248" s="80"/>
      <c r="T248" s="68" t="str">
        <f aca="false">IF(LEFT(S248,1)="9","Celular",IF(S248="","","Fixo"))</f>
        <v/>
      </c>
      <c r="U248" s="58" t="str">
        <f aca="false">IF( T248&lt;&gt;"",VLOOKUP(T248,Selects!$M$4:$N$1000,2,0),"")</f>
        <v/>
      </c>
      <c r="V248" s="26"/>
      <c r="W248" s="58"/>
      <c r="X248" s="58"/>
      <c r="Y248" s="58"/>
      <c r="Z248" s="58"/>
      <c r="AA248" s="69"/>
      <c r="AB248" s="58"/>
      <c r="AC248" s="58"/>
      <c r="AD248" s="70" t="str">
        <f aca="false">IF(AC248&lt;&gt;"",VLOOKUP(AC248,Selects!$B$4:$C$100,2,0),"")</f>
        <v/>
      </c>
      <c r="AE248" s="26"/>
      <c r="AF248" s="58"/>
      <c r="AG248" s="59"/>
      <c r="AH248" s="65"/>
      <c r="AI248" s="66"/>
      <c r="AJ248" s="66"/>
      <c r="AK248" s="58"/>
      <c r="AL248" s="58"/>
      <c r="AM248" s="68" t="str">
        <f aca="false">IF(LEFT(AL248,1)="9","Celular",IF(AL248="","","Fixo"))</f>
        <v/>
      </c>
      <c r="AN248" s="58" t="str">
        <f aca="false">IF( AM248&lt;&gt;"",VLOOKUP(AM248,Selects!$M$4:$N$1000,2,0),"")</f>
        <v/>
      </c>
      <c r="AO248" s="58"/>
      <c r="AP248" s="59"/>
      <c r="AQ248" s="65"/>
      <c r="AR248" s="58"/>
      <c r="AS248" s="58"/>
      <c r="AT248" s="26"/>
      <c r="AU248" s="58"/>
      <c r="AV248" s="58"/>
      <c r="AW248" s="58"/>
      <c r="AX248" s="58"/>
      <c r="AY248" s="71"/>
      <c r="AZ248" s="58"/>
      <c r="BA248" s="58"/>
      <c r="BB248" s="72" t="str">
        <f aca="false">IF(BA248&lt;&gt;"",VLOOKUP(BA248,Selects!$B$4:$C$100,2,0),"")</f>
        <v/>
      </c>
      <c r="BC248" s="26"/>
      <c r="BD248" s="26"/>
      <c r="BE248" s="73"/>
      <c r="BF248" s="74"/>
      <c r="BG248" s="75" t="str">
        <f aca="false">IF(LEN(BF248)=11,"PF",IF(LEN(BF248)=14,"PJ",""))</f>
        <v/>
      </c>
      <c r="BH248" s="66"/>
      <c r="BI248" s="58" t="str">
        <f aca="false">IF(BH248&lt;&gt;"",VLOOKUP(BH248,Selects!$G:$H,2,0),"")</f>
        <v/>
      </c>
      <c r="BJ248" s="58"/>
      <c r="BK248" s="58"/>
      <c r="BL248" s="59"/>
      <c r="BM248" s="58"/>
      <c r="BN248" s="58"/>
      <c r="BO248" s="58" t="str">
        <f aca="false">IF(BN248&lt;&gt;"",VLOOKUP(BN248,Selects!$J$4:$K$1000,2,0),"")</f>
        <v/>
      </c>
      <c r="BP248" s="76"/>
      <c r="BQ248" s="59"/>
      <c r="BR248" s="77"/>
      <c r="BS248" s="59"/>
      <c r="BT248" s="77"/>
      <c r="BU248" s="58"/>
      <c r="BV248" s="58"/>
      <c r="BW248" s="58"/>
      <c r="BX248" s="58"/>
      <c r="BY248" s="58"/>
      <c r="BZ248" s="58"/>
      <c r="CA248" s="58"/>
      <c r="CB248" s="72" t="str">
        <f aca="false">IF(AC248&lt;&gt;"",VLOOKUP(AC248,Selects!$B:$E,4,0),"")</f>
        <v/>
      </c>
      <c r="CC248" s="58"/>
      <c r="CD248" s="58"/>
      <c r="CE248" s="58"/>
    </row>
    <row r="249" customFormat="false" ht="15.75" hidden="false" customHeight="true" outlineLevel="0" collapsed="false">
      <c r="A249" s="17"/>
      <c r="B249" s="58"/>
      <c r="C249" s="58"/>
      <c r="D249" s="59"/>
      <c r="E249" s="60" t="str">
        <f aca="false">IF(LEN(D249)=11,"PF",IF(LEN(D249)=14,"PJ",""))</f>
        <v/>
      </c>
      <c r="F249" s="59"/>
      <c r="G249" s="59"/>
      <c r="H249" s="61" t="str">
        <f aca="false">IF(G249&lt;&gt;"",VLOOKUP(G249,'Cnae  mcc  id'!$A:$M,9,0),"")</f>
        <v/>
      </c>
      <c r="I249" s="62"/>
      <c r="J249" s="63" t="str">
        <f aca="false">IF(I249&lt;&gt;"",VLOOKUP(I249,'Legal Nature'!$E$2:$G$84,3,0),"")</f>
        <v/>
      </c>
      <c r="K249" s="64"/>
      <c r="L249" s="65"/>
      <c r="M249" s="66"/>
      <c r="N249" s="66"/>
      <c r="O249" s="79"/>
      <c r="P249" s="26"/>
      <c r="Q249" s="58"/>
      <c r="R249" s="58"/>
      <c r="S249" s="80"/>
      <c r="T249" s="68" t="str">
        <f aca="false">IF(LEFT(S249,1)="9","Celular",IF(S249="","","Fixo"))</f>
        <v/>
      </c>
      <c r="U249" s="58" t="str">
        <f aca="false">IF( T249&lt;&gt;"",VLOOKUP(T249,Selects!$M$4:$N$1000,2,0),"")</f>
        <v/>
      </c>
      <c r="V249" s="26"/>
      <c r="W249" s="58"/>
      <c r="X249" s="58"/>
      <c r="Y249" s="58"/>
      <c r="Z249" s="58"/>
      <c r="AA249" s="69"/>
      <c r="AB249" s="58"/>
      <c r="AC249" s="58"/>
      <c r="AD249" s="70" t="str">
        <f aca="false">IF(AC249&lt;&gt;"",VLOOKUP(AC249,Selects!$B$4:$C$100,2,0),"")</f>
        <v/>
      </c>
      <c r="AE249" s="26"/>
      <c r="AF249" s="58"/>
      <c r="AG249" s="59"/>
      <c r="AH249" s="65"/>
      <c r="AI249" s="66"/>
      <c r="AJ249" s="66"/>
      <c r="AK249" s="58"/>
      <c r="AL249" s="58"/>
      <c r="AM249" s="68" t="str">
        <f aca="false">IF(LEFT(AL249,1)="9","Celular",IF(AL249="","","Fixo"))</f>
        <v/>
      </c>
      <c r="AN249" s="58" t="str">
        <f aca="false">IF( AM249&lt;&gt;"",VLOOKUP(AM249,Selects!$M$4:$N$1000,2,0),"")</f>
        <v/>
      </c>
      <c r="AO249" s="58"/>
      <c r="AP249" s="59"/>
      <c r="AQ249" s="65"/>
      <c r="AR249" s="58"/>
      <c r="AS249" s="58"/>
      <c r="AT249" s="26"/>
      <c r="AU249" s="58"/>
      <c r="AV249" s="58"/>
      <c r="AW249" s="58"/>
      <c r="AX249" s="58"/>
      <c r="AY249" s="71"/>
      <c r="AZ249" s="58"/>
      <c r="BA249" s="58"/>
      <c r="BB249" s="72" t="str">
        <f aca="false">IF(BA249&lt;&gt;"",VLOOKUP(BA249,Selects!$B$4:$C$100,2,0),"")</f>
        <v/>
      </c>
      <c r="BC249" s="26"/>
      <c r="BD249" s="26"/>
      <c r="BE249" s="73"/>
      <c r="BF249" s="74"/>
      <c r="BG249" s="75" t="str">
        <f aca="false">IF(LEN(BF249)=11,"PF",IF(LEN(BF249)=14,"PJ",""))</f>
        <v/>
      </c>
      <c r="BH249" s="66"/>
      <c r="BI249" s="58" t="str">
        <f aca="false">IF(BH249&lt;&gt;"",VLOOKUP(BH249,Selects!$G:$H,2,0),"")</f>
        <v/>
      </c>
      <c r="BJ249" s="58"/>
      <c r="BK249" s="58"/>
      <c r="BL249" s="59"/>
      <c r="BM249" s="58"/>
      <c r="BN249" s="58"/>
      <c r="BO249" s="58" t="str">
        <f aca="false">IF(BN249&lt;&gt;"",VLOOKUP(BN249,Selects!$J$4:$K$1000,2,0),"")</f>
        <v/>
      </c>
      <c r="BP249" s="76"/>
      <c r="BQ249" s="59"/>
      <c r="BR249" s="77"/>
      <c r="BS249" s="59"/>
      <c r="BT249" s="77"/>
      <c r="BU249" s="58"/>
      <c r="BV249" s="58"/>
      <c r="BW249" s="58"/>
      <c r="BX249" s="58"/>
      <c r="BY249" s="58"/>
      <c r="BZ249" s="58"/>
      <c r="CA249" s="58"/>
      <c r="CB249" s="72" t="str">
        <f aca="false">IF(AC249&lt;&gt;"",VLOOKUP(AC249,Selects!$B:$E,4,0),"")</f>
        <v/>
      </c>
      <c r="CC249" s="58"/>
      <c r="CD249" s="58"/>
      <c r="CE249" s="58"/>
    </row>
    <row r="250" customFormat="false" ht="15.75" hidden="false" customHeight="true" outlineLevel="0" collapsed="false">
      <c r="A250" s="17"/>
      <c r="B250" s="58"/>
      <c r="C250" s="58"/>
      <c r="D250" s="59"/>
      <c r="E250" s="60" t="str">
        <f aca="false">IF(LEN(D250)=11,"PF",IF(LEN(D250)=14,"PJ",""))</f>
        <v/>
      </c>
      <c r="F250" s="59"/>
      <c r="G250" s="59"/>
      <c r="H250" s="61" t="str">
        <f aca="false">IF(G250&lt;&gt;"",VLOOKUP(G250,'Cnae  mcc  id'!$A:$M,9,0),"")</f>
        <v/>
      </c>
      <c r="I250" s="62"/>
      <c r="J250" s="63" t="str">
        <f aca="false">IF(I250&lt;&gt;"",VLOOKUP(I250,'Legal Nature'!$E$2:$G$84,3,0),"")</f>
        <v/>
      </c>
      <c r="K250" s="64"/>
      <c r="L250" s="65"/>
      <c r="M250" s="66"/>
      <c r="N250" s="66"/>
      <c r="O250" s="79"/>
      <c r="P250" s="26"/>
      <c r="Q250" s="58"/>
      <c r="R250" s="58"/>
      <c r="S250" s="80"/>
      <c r="T250" s="68" t="str">
        <f aca="false">IF(LEFT(S250,1)="9","Celular",IF(S250="","","Fixo"))</f>
        <v/>
      </c>
      <c r="U250" s="58" t="str">
        <f aca="false">IF( T250&lt;&gt;"",VLOOKUP(T250,Selects!$M$4:$N$1000,2,0),"")</f>
        <v/>
      </c>
      <c r="V250" s="26"/>
      <c r="W250" s="58"/>
      <c r="X250" s="58"/>
      <c r="Y250" s="58"/>
      <c r="Z250" s="58"/>
      <c r="AA250" s="69"/>
      <c r="AB250" s="58"/>
      <c r="AC250" s="58"/>
      <c r="AD250" s="70" t="str">
        <f aca="false">IF(AC250&lt;&gt;"",VLOOKUP(AC250,Selects!$B$4:$C$100,2,0),"")</f>
        <v/>
      </c>
      <c r="AE250" s="26"/>
      <c r="AF250" s="58"/>
      <c r="AG250" s="59"/>
      <c r="AH250" s="65"/>
      <c r="AI250" s="66"/>
      <c r="AJ250" s="66"/>
      <c r="AK250" s="58"/>
      <c r="AL250" s="58"/>
      <c r="AM250" s="68" t="str">
        <f aca="false">IF(LEFT(AL250,1)="9","Celular",IF(AL250="","","Fixo"))</f>
        <v/>
      </c>
      <c r="AN250" s="58" t="str">
        <f aca="false">IF( AM250&lt;&gt;"",VLOOKUP(AM250,Selects!$M$4:$N$1000,2,0),"")</f>
        <v/>
      </c>
      <c r="AO250" s="58"/>
      <c r="AP250" s="59"/>
      <c r="AQ250" s="65"/>
      <c r="AR250" s="58"/>
      <c r="AS250" s="58"/>
      <c r="AT250" s="26"/>
      <c r="AU250" s="58"/>
      <c r="AV250" s="58"/>
      <c r="AW250" s="58"/>
      <c r="AX250" s="58"/>
      <c r="AY250" s="71"/>
      <c r="AZ250" s="58"/>
      <c r="BA250" s="58"/>
      <c r="BB250" s="72" t="str">
        <f aca="false">IF(BA250&lt;&gt;"",VLOOKUP(BA250,Selects!$B$4:$C$100,2,0),"")</f>
        <v/>
      </c>
      <c r="BC250" s="26"/>
      <c r="BD250" s="26"/>
      <c r="BE250" s="73"/>
      <c r="BF250" s="74"/>
      <c r="BG250" s="75" t="str">
        <f aca="false">IF(LEN(BF250)=11,"PF",IF(LEN(BF250)=14,"PJ",""))</f>
        <v/>
      </c>
      <c r="BH250" s="66"/>
      <c r="BI250" s="58" t="str">
        <f aca="false">IF(BH250&lt;&gt;"",VLOOKUP(BH250,Selects!$G:$H,2,0),"")</f>
        <v/>
      </c>
      <c r="BJ250" s="58"/>
      <c r="BK250" s="58"/>
      <c r="BL250" s="59"/>
      <c r="BM250" s="58"/>
      <c r="BN250" s="58"/>
      <c r="BO250" s="58" t="str">
        <f aca="false">IF(BN250&lt;&gt;"",VLOOKUP(BN250,Selects!$J$4:$K$1000,2,0),"")</f>
        <v/>
      </c>
      <c r="BP250" s="76"/>
      <c r="BQ250" s="59"/>
      <c r="BR250" s="77"/>
      <c r="BS250" s="59"/>
      <c r="BT250" s="77"/>
      <c r="BU250" s="58"/>
      <c r="BV250" s="58"/>
      <c r="BW250" s="58"/>
      <c r="BX250" s="58"/>
      <c r="BY250" s="58"/>
      <c r="BZ250" s="58"/>
      <c r="CA250" s="58"/>
      <c r="CB250" s="72" t="str">
        <f aca="false">IF(AC250&lt;&gt;"",VLOOKUP(AC250,Selects!$B:$E,4,0),"")</f>
        <v/>
      </c>
      <c r="CC250" s="58"/>
      <c r="CD250" s="58"/>
      <c r="CE250" s="58"/>
    </row>
    <row r="251" customFormat="false" ht="15.75" hidden="false" customHeight="true" outlineLevel="0" collapsed="false">
      <c r="A251" s="17"/>
      <c r="B251" s="58"/>
      <c r="C251" s="58"/>
      <c r="D251" s="59"/>
      <c r="E251" s="60" t="str">
        <f aca="false">IF(LEN(D251)=11,"PF",IF(LEN(D251)=14,"PJ",""))</f>
        <v/>
      </c>
      <c r="F251" s="59"/>
      <c r="G251" s="59"/>
      <c r="H251" s="61" t="str">
        <f aca="false">IF(G251&lt;&gt;"",VLOOKUP(G251,'Cnae  mcc  id'!$A:$M,9,0),"")</f>
        <v/>
      </c>
      <c r="I251" s="62"/>
      <c r="J251" s="63" t="str">
        <f aca="false">IF(I251&lt;&gt;"",VLOOKUP(I251,'Legal Nature'!$E$2:$G$84,3,0),"")</f>
        <v/>
      </c>
      <c r="K251" s="64"/>
      <c r="L251" s="65"/>
      <c r="M251" s="66"/>
      <c r="N251" s="66"/>
      <c r="O251" s="79"/>
      <c r="P251" s="26"/>
      <c r="Q251" s="58"/>
      <c r="R251" s="58"/>
      <c r="S251" s="80"/>
      <c r="T251" s="68" t="str">
        <f aca="false">IF(LEFT(S251,1)="9","Celular",IF(S251="","","Fixo"))</f>
        <v/>
      </c>
      <c r="U251" s="58" t="str">
        <f aca="false">IF( T251&lt;&gt;"",VLOOKUP(T251,Selects!$M$4:$N$1000,2,0),"")</f>
        <v/>
      </c>
      <c r="V251" s="26"/>
      <c r="W251" s="58"/>
      <c r="X251" s="58"/>
      <c r="Y251" s="58"/>
      <c r="Z251" s="58"/>
      <c r="AA251" s="69"/>
      <c r="AB251" s="58"/>
      <c r="AC251" s="58"/>
      <c r="AD251" s="70" t="str">
        <f aca="false">IF(AC251&lt;&gt;"",VLOOKUP(AC251,Selects!$B$4:$C$100,2,0),"")</f>
        <v/>
      </c>
      <c r="AE251" s="26"/>
      <c r="AF251" s="58"/>
      <c r="AG251" s="59"/>
      <c r="AH251" s="65"/>
      <c r="AI251" s="66"/>
      <c r="AJ251" s="66"/>
      <c r="AK251" s="58"/>
      <c r="AL251" s="58"/>
      <c r="AM251" s="68" t="str">
        <f aca="false">IF(LEFT(AL251,1)="9","Celular",IF(AL251="","","Fixo"))</f>
        <v/>
      </c>
      <c r="AN251" s="58" t="str">
        <f aca="false">IF( AM251&lt;&gt;"",VLOOKUP(AM251,Selects!$M$4:$N$1000,2,0),"")</f>
        <v/>
      </c>
      <c r="AO251" s="58"/>
      <c r="AP251" s="59"/>
      <c r="AQ251" s="65"/>
      <c r="AR251" s="58"/>
      <c r="AS251" s="58"/>
      <c r="AT251" s="26"/>
      <c r="AU251" s="58"/>
      <c r="AV251" s="58"/>
      <c r="AW251" s="58"/>
      <c r="AX251" s="58"/>
      <c r="AY251" s="71"/>
      <c r="AZ251" s="58"/>
      <c r="BA251" s="58"/>
      <c r="BB251" s="72" t="str">
        <f aca="false">IF(BA251&lt;&gt;"",VLOOKUP(BA251,Selects!$B$4:$C$100,2,0),"")</f>
        <v/>
      </c>
      <c r="BC251" s="26"/>
      <c r="BD251" s="26"/>
      <c r="BE251" s="73"/>
      <c r="BF251" s="74"/>
      <c r="BG251" s="75" t="str">
        <f aca="false">IF(LEN(BF251)=11,"PF",IF(LEN(BF251)=14,"PJ",""))</f>
        <v/>
      </c>
      <c r="BH251" s="66"/>
      <c r="BI251" s="58" t="str">
        <f aca="false">IF(BH251&lt;&gt;"",VLOOKUP(BH251,Selects!$G:$H,2,0),"")</f>
        <v/>
      </c>
      <c r="BJ251" s="58"/>
      <c r="BK251" s="58"/>
      <c r="BL251" s="59"/>
      <c r="BM251" s="58"/>
      <c r="BN251" s="58"/>
      <c r="BO251" s="58" t="str">
        <f aca="false">IF(BN251&lt;&gt;"",VLOOKUP(BN251,Selects!$J$4:$K$1000,2,0),"")</f>
        <v/>
      </c>
      <c r="BP251" s="76"/>
      <c r="BQ251" s="59"/>
      <c r="BR251" s="77"/>
      <c r="BS251" s="59"/>
      <c r="BT251" s="77"/>
      <c r="BU251" s="58"/>
      <c r="BV251" s="58"/>
      <c r="BW251" s="58"/>
      <c r="BX251" s="58"/>
      <c r="BY251" s="58"/>
      <c r="BZ251" s="58"/>
      <c r="CA251" s="58"/>
      <c r="CB251" s="72" t="str">
        <f aca="false">IF(AC251&lt;&gt;"",VLOOKUP(AC251,Selects!$B:$E,4,0),"")</f>
        <v/>
      </c>
      <c r="CC251" s="58"/>
      <c r="CD251" s="58"/>
      <c r="CE251" s="58"/>
    </row>
    <row r="252" customFormat="false" ht="15.75" hidden="false" customHeight="true" outlineLevel="0" collapsed="false">
      <c r="A252" s="17"/>
      <c r="B252" s="58"/>
      <c r="C252" s="58"/>
      <c r="D252" s="59"/>
      <c r="E252" s="60" t="str">
        <f aca="false">IF(LEN(D252)=11,"PF",IF(LEN(D252)=14,"PJ",""))</f>
        <v/>
      </c>
      <c r="F252" s="59"/>
      <c r="G252" s="59"/>
      <c r="H252" s="61" t="str">
        <f aca="false">IF(G252&lt;&gt;"",VLOOKUP(G252,'Cnae  mcc  id'!$A:$M,9,0),"")</f>
        <v/>
      </c>
      <c r="I252" s="62"/>
      <c r="J252" s="63" t="str">
        <f aca="false">IF(I252&lt;&gt;"",VLOOKUP(I252,'Legal Nature'!$E$2:$G$84,3,0),"")</f>
        <v/>
      </c>
      <c r="K252" s="64"/>
      <c r="L252" s="65"/>
      <c r="M252" s="66"/>
      <c r="N252" s="66"/>
      <c r="O252" s="79"/>
      <c r="P252" s="26"/>
      <c r="Q252" s="58"/>
      <c r="R252" s="58"/>
      <c r="S252" s="80"/>
      <c r="T252" s="68" t="str">
        <f aca="false">IF(LEFT(S252,1)="9","Celular",IF(S252="","","Fixo"))</f>
        <v/>
      </c>
      <c r="U252" s="58" t="str">
        <f aca="false">IF( T252&lt;&gt;"",VLOOKUP(T252,Selects!$M$4:$N$1000,2,0),"")</f>
        <v/>
      </c>
      <c r="V252" s="26"/>
      <c r="W252" s="58"/>
      <c r="X252" s="58"/>
      <c r="Y252" s="58"/>
      <c r="Z252" s="58"/>
      <c r="AA252" s="69"/>
      <c r="AB252" s="58"/>
      <c r="AC252" s="58"/>
      <c r="AD252" s="70" t="str">
        <f aca="false">IF(AC252&lt;&gt;"",VLOOKUP(AC252,Selects!$B$4:$C$100,2,0),"")</f>
        <v/>
      </c>
      <c r="AE252" s="26"/>
      <c r="AF252" s="58"/>
      <c r="AG252" s="59"/>
      <c r="AH252" s="65"/>
      <c r="AI252" s="66"/>
      <c r="AJ252" s="66"/>
      <c r="AK252" s="58"/>
      <c r="AL252" s="58"/>
      <c r="AM252" s="68" t="str">
        <f aca="false">IF(LEFT(AL252,1)="9","Celular",IF(AL252="","","Fixo"))</f>
        <v/>
      </c>
      <c r="AN252" s="58" t="str">
        <f aca="false">IF( AM252&lt;&gt;"",VLOOKUP(AM252,Selects!$M$4:$N$1000,2,0),"")</f>
        <v/>
      </c>
      <c r="AO252" s="58"/>
      <c r="AP252" s="59"/>
      <c r="AQ252" s="65"/>
      <c r="AR252" s="58"/>
      <c r="AS252" s="58"/>
      <c r="AT252" s="26"/>
      <c r="AU252" s="58"/>
      <c r="AV252" s="58"/>
      <c r="AW252" s="58"/>
      <c r="AX252" s="58"/>
      <c r="AY252" s="71"/>
      <c r="AZ252" s="58"/>
      <c r="BA252" s="58"/>
      <c r="BB252" s="72" t="str">
        <f aca="false">IF(BA252&lt;&gt;"",VLOOKUP(BA252,Selects!$B$4:$C$100,2,0),"")</f>
        <v/>
      </c>
      <c r="BC252" s="26"/>
      <c r="BD252" s="26"/>
      <c r="BE252" s="73"/>
      <c r="BF252" s="74"/>
      <c r="BG252" s="75" t="str">
        <f aca="false">IF(LEN(BF252)=11,"PF",IF(LEN(BF252)=14,"PJ",""))</f>
        <v/>
      </c>
      <c r="BH252" s="66"/>
      <c r="BI252" s="58" t="str">
        <f aca="false">IF(BH252&lt;&gt;"",VLOOKUP(BH252,Selects!$G:$H,2,0),"")</f>
        <v/>
      </c>
      <c r="BJ252" s="58"/>
      <c r="BK252" s="58"/>
      <c r="BL252" s="59"/>
      <c r="BM252" s="58"/>
      <c r="BN252" s="58"/>
      <c r="BO252" s="58" t="str">
        <f aca="false">IF(BN252&lt;&gt;"",VLOOKUP(BN252,Selects!$J$4:$K$1000,2,0),"")</f>
        <v/>
      </c>
      <c r="BP252" s="76"/>
      <c r="BQ252" s="59"/>
      <c r="BR252" s="77"/>
      <c r="BS252" s="59"/>
      <c r="BT252" s="77"/>
      <c r="BU252" s="58"/>
      <c r="BV252" s="58"/>
      <c r="BW252" s="58"/>
      <c r="BX252" s="58"/>
      <c r="BY252" s="58"/>
      <c r="BZ252" s="58"/>
      <c r="CA252" s="58"/>
      <c r="CB252" s="72" t="str">
        <f aca="false">IF(AC252&lt;&gt;"",VLOOKUP(AC252,Selects!$B:$E,4,0),"")</f>
        <v/>
      </c>
      <c r="CC252" s="58"/>
      <c r="CD252" s="58"/>
      <c r="CE252" s="58"/>
    </row>
    <row r="253" customFormat="false" ht="15.75" hidden="false" customHeight="true" outlineLevel="0" collapsed="false">
      <c r="A253" s="17"/>
      <c r="B253" s="58"/>
      <c r="C253" s="58"/>
      <c r="D253" s="59"/>
      <c r="E253" s="60" t="str">
        <f aca="false">IF(LEN(D253)=11,"PF",IF(LEN(D253)=14,"PJ",""))</f>
        <v/>
      </c>
      <c r="F253" s="59"/>
      <c r="G253" s="59"/>
      <c r="H253" s="61" t="str">
        <f aca="false">IF(G253&lt;&gt;"",VLOOKUP(G253,'Cnae  mcc  id'!$A:$M,9,0),"")</f>
        <v/>
      </c>
      <c r="I253" s="62"/>
      <c r="J253" s="63" t="str">
        <f aca="false">IF(I253&lt;&gt;"",VLOOKUP(I253,'Legal Nature'!$E$2:$G$84,3,0),"")</f>
        <v/>
      </c>
      <c r="K253" s="64"/>
      <c r="L253" s="65"/>
      <c r="M253" s="66"/>
      <c r="N253" s="66"/>
      <c r="O253" s="79"/>
      <c r="P253" s="26"/>
      <c r="Q253" s="58"/>
      <c r="R253" s="58"/>
      <c r="S253" s="80"/>
      <c r="T253" s="68" t="str">
        <f aca="false">IF(LEFT(S253,1)="9","Celular",IF(S253="","","Fixo"))</f>
        <v/>
      </c>
      <c r="U253" s="58" t="str">
        <f aca="false">IF( T253&lt;&gt;"",VLOOKUP(T253,Selects!$M$4:$N$1000,2,0),"")</f>
        <v/>
      </c>
      <c r="V253" s="26"/>
      <c r="W253" s="58"/>
      <c r="X253" s="58"/>
      <c r="Y253" s="58"/>
      <c r="Z253" s="58"/>
      <c r="AA253" s="69"/>
      <c r="AB253" s="58"/>
      <c r="AC253" s="58"/>
      <c r="AD253" s="70" t="str">
        <f aca="false">IF(AC253&lt;&gt;"",VLOOKUP(AC253,Selects!$B$4:$C$100,2,0),"")</f>
        <v/>
      </c>
      <c r="AE253" s="26"/>
      <c r="AF253" s="58"/>
      <c r="AG253" s="59"/>
      <c r="AH253" s="65"/>
      <c r="AI253" s="66"/>
      <c r="AJ253" s="66"/>
      <c r="AK253" s="58"/>
      <c r="AL253" s="58"/>
      <c r="AM253" s="68" t="str">
        <f aca="false">IF(LEFT(AL253,1)="9","Celular",IF(AL253="","","Fixo"))</f>
        <v/>
      </c>
      <c r="AN253" s="58" t="str">
        <f aca="false">IF( AM253&lt;&gt;"",VLOOKUP(AM253,Selects!$M$4:$N$1000,2,0),"")</f>
        <v/>
      </c>
      <c r="AO253" s="58"/>
      <c r="AP253" s="59"/>
      <c r="AQ253" s="65"/>
      <c r="AR253" s="58"/>
      <c r="AS253" s="58"/>
      <c r="AT253" s="26"/>
      <c r="AU253" s="58"/>
      <c r="AV253" s="58"/>
      <c r="AW253" s="58"/>
      <c r="AX253" s="58"/>
      <c r="AY253" s="71"/>
      <c r="AZ253" s="58"/>
      <c r="BA253" s="58"/>
      <c r="BB253" s="72" t="str">
        <f aca="false">IF(BA253&lt;&gt;"",VLOOKUP(BA253,Selects!$B$4:$C$100,2,0),"")</f>
        <v/>
      </c>
      <c r="BC253" s="26"/>
      <c r="BD253" s="26"/>
      <c r="BE253" s="73"/>
      <c r="BF253" s="74"/>
      <c r="BG253" s="75" t="str">
        <f aca="false">IF(LEN(BF253)=11,"PF",IF(LEN(BF253)=14,"PJ",""))</f>
        <v/>
      </c>
      <c r="BH253" s="66"/>
      <c r="BI253" s="58" t="str">
        <f aca="false">IF(BH253&lt;&gt;"",VLOOKUP(BH253,Selects!$G:$H,2,0),"")</f>
        <v/>
      </c>
      <c r="BJ253" s="58"/>
      <c r="BK253" s="58"/>
      <c r="BL253" s="59"/>
      <c r="BM253" s="58"/>
      <c r="BN253" s="58"/>
      <c r="BO253" s="58" t="str">
        <f aca="false">IF(BN253&lt;&gt;"",VLOOKUP(BN253,Selects!$J$4:$K$1000,2,0),"")</f>
        <v/>
      </c>
      <c r="BP253" s="76"/>
      <c r="BQ253" s="59"/>
      <c r="BR253" s="77"/>
      <c r="BS253" s="59"/>
      <c r="BT253" s="77"/>
      <c r="BU253" s="58"/>
      <c r="BV253" s="58"/>
      <c r="BW253" s="58"/>
      <c r="BX253" s="58"/>
      <c r="BY253" s="58"/>
      <c r="BZ253" s="58"/>
      <c r="CA253" s="58"/>
      <c r="CB253" s="72" t="str">
        <f aca="false">IF(AC253&lt;&gt;"",VLOOKUP(AC253,Selects!$B:$E,4,0),"")</f>
        <v/>
      </c>
      <c r="CC253" s="58"/>
      <c r="CD253" s="58"/>
      <c r="CE253" s="58"/>
    </row>
    <row r="254" customFormat="false" ht="15.75" hidden="false" customHeight="true" outlineLevel="0" collapsed="false">
      <c r="A254" s="17"/>
      <c r="B254" s="58"/>
      <c r="C254" s="58"/>
      <c r="D254" s="59"/>
      <c r="E254" s="60" t="str">
        <f aca="false">IF(LEN(D254)=11,"PF",IF(LEN(D254)=14,"PJ",""))</f>
        <v/>
      </c>
      <c r="F254" s="59"/>
      <c r="G254" s="59"/>
      <c r="H254" s="61" t="str">
        <f aca="false">IF(G254&lt;&gt;"",VLOOKUP(G254,'Cnae  mcc  id'!$A:$M,9,0),"")</f>
        <v/>
      </c>
      <c r="I254" s="62"/>
      <c r="J254" s="63" t="str">
        <f aca="false">IF(I254&lt;&gt;"",VLOOKUP(I254,'Legal Nature'!$E$2:$G$84,3,0),"")</f>
        <v/>
      </c>
      <c r="K254" s="64"/>
      <c r="L254" s="65"/>
      <c r="M254" s="66"/>
      <c r="N254" s="66"/>
      <c r="O254" s="79"/>
      <c r="P254" s="26"/>
      <c r="Q254" s="58"/>
      <c r="R254" s="58"/>
      <c r="S254" s="80"/>
      <c r="T254" s="68" t="str">
        <f aca="false">IF(LEFT(S254,1)="9","Celular",IF(S254="","","Fixo"))</f>
        <v/>
      </c>
      <c r="U254" s="58" t="str">
        <f aca="false">IF( T254&lt;&gt;"",VLOOKUP(T254,Selects!$M$4:$N$1000,2,0),"")</f>
        <v/>
      </c>
      <c r="V254" s="26"/>
      <c r="W254" s="58"/>
      <c r="X254" s="58"/>
      <c r="Y254" s="58"/>
      <c r="Z254" s="58"/>
      <c r="AA254" s="69"/>
      <c r="AB254" s="58"/>
      <c r="AC254" s="58"/>
      <c r="AD254" s="70" t="str">
        <f aca="false">IF(AC254&lt;&gt;"",VLOOKUP(AC254,Selects!$B$4:$C$100,2,0),"")</f>
        <v/>
      </c>
      <c r="AE254" s="26"/>
      <c r="AF254" s="58"/>
      <c r="AG254" s="59"/>
      <c r="AH254" s="65"/>
      <c r="AI254" s="66"/>
      <c r="AJ254" s="66"/>
      <c r="AK254" s="58"/>
      <c r="AL254" s="58"/>
      <c r="AM254" s="68" t="str">
        <f aca="false">IF(LEFT(AL254,1)="9","Celular",IF(AL254="","","Fixo"))</f>
        <v/>
      </c>
      <c r="AN254" s="58" t="str">
        <f aca="false">IF( AM254&lt;&gt;"",VLOOKUP(AM254,Selects!$M$4:$N$1000,2,0),"")</f>
        <v/>
      </c>
      <c r="AO254" s="58"/>
      <c r="AP254" s="59"/>
      <c r="AQ254" s="65"/>
      <c r="AR254" s="58"/>
      <c r="AS254" s="58"/>
      <c r="AT254" s="26"/>
      <c r="AU254" s="58"/>
      <c r="AV254" s="58"/>
      <c r="AW254" s="58"/>
      <c r="AX254" s="58"/>
      <c r="AY254" s="71"/>
      <c r="AZ254" s="58"/>
      <c r="BA254" s="58"/>
      <c r="BB254" s="72" t="str">
        <f aca="false">IF(BA254&lt;&gt;"",VLOOKUP(BA254,Selects!$B$4:$C$100,2,0),"")</f>
        <v/>
      </c>
      <c r="BC254" s="26"/>
      <c r="BD254" s="26"/>
      <c r="BE254" s="73"/>
      <c r="BF254" s="74"/>
      <c r="BG254" s="75" t="str">
        <f aca="false">IF(LEN(BF254)=11,"PF",IF(LEN(BF254)=14,"PJ",""))</f>
        <v/>
      </c>
      <c r="BH254" s="66"/>
      <c r="BI254" s="58" t="str">
        <f aca="false">IF(BH254&lt;&gt;"",VLOOKUP(BH254,Selects!$G:$H,2,0),"")</f>
        <v/>
      </c>
      <c r="BJ254" s="58"/>
      <c r="BK254" s="58"/>
      <c r="BL254" s="59"/>
      <c r="BM254" s="58"/>
      <c r="BN254" s="58"/>
      <c r="BO254" s="58" t="str">
        <f aca="false">IF(BN254&lt;&gt;"",VLOOKUP(BN254,Selects!$J$4:$K$1000,2,0),"")</f>
        <v/>
      </c>
      <c r="BP254" s="76"/>
      <c r="BQ254" s="59"/>
      <c r="BR254" s="77"/>
      <c r="BS254" s="59"/>
      <c r="BT254" s="77"/>
      <c r="BU254" s="58"/>
      <c r="BV254" s="58"/>
      <c r="BW254" s="58"/>
      <c r="BX254" s="58"/>
      <c r="BY254" s="58"/>
      <c r="BZ254" s="58"/>
      <c r="CA254" s="58"/>
      <c r="CB254" s="72" t="str">
        <f aca="false">IF(AC254&lt;&gt;"",VLOOKUP(AC254,Selects!$B:$E,4,0),"")</f>
        <v/>
      </c>
      <c r="CC254" s="58"/>
      <c r="CD254" s="58"/>
      <c r="CE254" s="58"/>
    </row>
    <row r="255" customFormat="false" ht="15.75" hidden="false" customHeight="true" outlineLevel="0" collapsed="false">
      <c r="A255" s="17"/>
      <c r="B255" s="58"/>
      <c r="C255" s="58"/>
      <c r="D255" s="59"/>
      <c r="E255" s="60" t="str">
        <f aca="false">IF(LEN(D255)=11,"PF",IF(LEN(D255)=14,"PJ",""))</f>
        <v/>
      </c>
      <c r="F255" s="59"/>
      <c r="G255" s="59"/>
      <c r="H255" s="61" t="str">
        <f aca="false">IF(G255&lt;&gt;"",VLOOKUP(G255,'Cnae  mcc  id'!$A:$M,9,0),"")</f>
        <v/>
      </c>
      <c r="I255" s="62"/>
      <c r="J255" s="63" t="str">
        <f aca="false">IF(I255&lt;&gt;"",VLOOKUP(I255,'Legal Nature'!$E$2:$G$84,3,0),"")</f>
        <v/>
      </c>
      <c r="K255" s="64"/>
      <c r="L255" s="65"/>
      <c r="M255" s="66"/>
      <c r="N255" s="66"/>
      <c r="O255" s="79"/>
      <c r="P255" s="26"/>
      <c r="Q255" s="58"/>
      <c r="R255" s="58"/>
      <c r="S255" s="80"/>
      <c r="T255" s="68" t="str">
        <f aca="false">IF(LEFT(S255,1)="9","Celular",IF(S255="","","Fixo"))</f>
        <v/>
      </c>
      <c r="U255" s="58" t="str">
        <f aca="false">IF( T255&lt;&gt;"",VLOOKUP(T255,Selects!$M$4:$N$1000,2,0),"")</f>
        <v/>
      </c>
      <c r="V255" s="26"/>
      <c r="W255" s="58"/>
      <c r="X255" s="58"/>
      <c r="Y255" s="58"/>
      <c r="Z255" s="58"/>
      <c r="AA255" s="69"/>
      <c r="AB255" s="58"/>
      <c r="AC255" s="58"/>
      <c r="AD255" s="70" t="str">
        <f aca="false">IF(AC255&lt;&gt;"",VLOOKUP(AC255,Selects!$B$4:$C$100,2,0),"")</f>
        <v/>
      </c>
      <c r="AE255" s="26"/>
      <c r="AF255" s="58"/>
      <c r="AG255" s="59"/>
      <c r="AH255" s="65"/>
      <c r="AI255" s="66"/>
      <c r="AJ255" s="66"/>
      <c r="AK255" s="58"/>
      <c r="AL255" s="58"/>
      <c r="AM255" s="68" t="str">
        <f aca="false">IF(LEFT(AL255,1)="9","Celular",IF(AL255="","","Fixo"))</f>
        <v/>
      </c>
      <c r="AN255" s="58" t="str">
        <f aca="false">IF( AM255&lt;&gt;"",VLOOKUP(AM255,Selects!$M$4:$N$1000,2,0),"")</f>
        <v/>
      </c>
      <c r="AO255" s="58"/>
      <c r="AP255" s="59"/>
      <c r="AQ255" s="65"/>
      <c r="AR255" s="58"/>
      <c r="AS255" s="58"/>
      <c r="AT255" s="26"/>
      <c r="AU255" s="58"/>
      <c r="AV255" s="58"/>
      <c r="AW255" s="58"/>
      <c r="AX255" s="58"/>
      <c r="AY255" s="71"/>
      <c r="AZ255" s="58"/>
      <c r="BA255" s="58"/>
      <c r="BB255" s="72" t="str">
        <f aca="false">IF(BA255&lt;&gt;"",VLOOKUP(BA255,Selects!$B$4:$C$100,2,0),"")</f>
        <v/>
      </c>
      <c r="BC255" s="26"/>
      <c r="BD255" s="26"/>
      <c r="BE255" s="73"/>
      <c r="BF255" s="74"/>
      <c r="BG255" s="75" t="str">
        <f aca="false">IF(LEN(BF255)=11,"PF",IF(LEN(BF255)=14,"PJ",""))</f>
        <v/>
      </c>
      <c r="BH255" s="66"/>
      <c r="BI255" s="58" t="str">
        <f aca="false">IF(BH255&lt;&gt;"",VLOOKUP(BH255,Selects!$G:$H,2,0),"")</f>
        <v/>
      </c>
      <c r="BJ255" s="58"/>
      <c r="BK255" s="58"/>
      <c r="BL255" s="59"/>
      <c r="BM255" s="58"/>
      <c r="BN255" s="58"/>
      <c r="BO255" s="58" t="str">
        <f aca="false">IF(BN255&lt;&gt;"",VLOOKUP(BN255,Selects!$J$4:$K$1000,2,0),"")</f>
        <v/>
      </c>
      <c r="BP255" s="76"/>
      <c r="BQ255" s="59"/>
      <c r="BR255" s="77"/>
      <c r="BS255" s="59"/>
      <c r="BT255" s="77"/>
      <c r="BU255" s="58"/>
      <c r="BV255" s="58"/>
      <c r="BW255" s="58"/>
      <c r="BX255" s="58"/>
      <c r="BY255" s="58"/>
      <c r="BZ255" s="58"/>
      <c r="CA255" s="58"/>
      <c r="CB255" s="72" t="str">
        <f aca="false">IF(AC255&lt;&gt;"",VLOOKUP(AC255,Selects!$B:$E,4,0),"")</f>
        <v/>
      </c>
      <c r="CC255" s="58"/>
      <c r="CD255" s="58"/>
      <c r="CE255" s="58"/>
    </row>
    <row r="256" customFormat="false" ht="15.75" hidden="false" customHeight="true" outlineLevel="0" collapsed="false">
      <c r="A256" s="17"/>
      <c r="B256" s="58"/>
      <c r="C256" s="58"/>
      <c r="D256" s="59"/>
      <c r="E256" s="60" t="str">
        <f aca="false">IF(LEN(D256)=11,"PF",IF(LEN(D256)=14,"PJ",""))</f>
        <v/>
      </c>
      <c r="F256" s="59"/>
      <c r="G256" s="59"/>
      <c r="H256" s="61" t="str">
        <f aca="false">IF(G256&lt;&gt;"",VLOOKUP(G256,'Cnae  mcc  id'!$A:$M,9,0),"")</f>
        <v/>
      </c>
      <c r="I256" s="62"/>
      <c r="J256" s="63" t="str">
        <f aca="false">IF(I256&lt;&gt;"",VLOOKUP(I256,'Legal Nature'!$E$2:$G$84,3,0),"")</f>
        <v/>
      </c>
      <c r="K256" s="64"/>
      <c r="L256" s="65"/>
      <c r="M256" s="66"/>
      <c r="N256" s="66"/>
      <c r="O256" s="79"/>
      <c r="P256" s="26"/>
      <c r="Q256" s="58"/>
      <c r="R256" s="58"/>
      <c r="S256" s="80"/>
      <c r="T256" s="68" t="str">
        <f aca="false">IF(LEFT(S256,1)="9","Celular",IF(S256="","","Fixo"))</f>
        <v/>
      </c>
      <c r="U256" s="58" t="str">
        <f aca="false">IF( T256&lt;&gt;"",VLOOKUP(T256,Selects!$M$4:$N$1000,2,0),"")</f>
        <v/>
      </c>
      <c r="V256" s="26"/>
      <c r="W256" s="58"/>
      <c r="X256" s="58"/>
      <c r="Y256" s="58"/>
      <c r="Z256" s="58"/>
      <c r="AA256" s="69"/>
      <c r="AB256" s="58"/>
      <c r="AC256" s="58"/>
      <c r="AD256" s="70" t="str">
        <f aca="false">IF(AC256&lt;&gt;"",VLOOKUP(AC256,Selects!$B$4:$C$100,2,0),"")</f>
        <v/>
      </c>
      <c r="AE256" s="26"/>
      <c r="AF256" s="58"/>
      <c r="AG256" s="59"/>
      <c r="AH256" s="65"/>
      <c r="AI256" s="66"/>
      <c r="AJ256" s="66"/>
      <c r="AK256" s="58"/>
      <c r="AL256" s="58"/>
      <c r="AM256" s="68" t="str">
        <f aca="false">IF(LEFT(AL256,1)="9","Celular",IF(AL256="","","Fixo"))</f>
        <v/>
      </c>
      <c r="AN256" s="58" t="str">
        <f aca="false">IF( AM256&lt;&gt;"",VLOOKUP(AM256,Selects!$M$4:$N$1000,2,0),"")</f>
        <v/>
      </c>
      <c r="AO256" s="58"/>
      <c r="AP256" s="59"/>
      <c r="AQ256" s="65"/>
      <c r="AR256" s="58"/>
      <c r="AS256" s="58"/>
      <c r="AT256" s="26"/>
      <c r="AU256" s="58"/>
      <c r="AV256" s="58"/>
      <c r="AW256" s="58"/>
      <c r="AX256" s="58"/>
      <c r="AY256" s="71"/>
      <c r="AZ256" s="58"/>
      <c r="BA256" s="58"/>
      <c r="BB256" s="72" t="str">
        <f aca="false">IF(BA256&lt;&gt;"",VLOOKUP(BA256,Selects!$B$4:$C$100,2,0),"")</f>
        <v/>
      </c>
      <c r="BC256" s="26"/>
      <c r="BD256" s="26"/>
      <c r="BE256" s="73"/>
      <c r="BF256" s="74"/>
      <c r="BG256" s="75" t="str">
        <f aca="false">IF(LEN(BF256)=11,"PF",IF(LEN(BF256)=14,"PJ",""))</f>
        <v/>
      </c>
      <c r="BH256" s="66"/>
      <c r="BI256" s="58" t="str">
        <f aca="false">IF(BH256&lt;&gt;"",VLOOKUP(BH256,Selects!$G:$H,2,0),"")</f>
        <v/>
      </c>
      <c r="BJ256" s="58"/>
      <c r="BK256" s="58"/>
      <c r="BL256" s="59"/>
      <c r="BM256" s="58"/>
      <c r="BN256" s="58"/>
      <c r="BO256" s="58" t="str">
        <f aca="false">IF(BN256&lt;&gt;"",VLOOKUP(BN256,Selects!$J$4:$K$1000,2,0),"")</f>
        <v/>
      </c>
      <c r="BP256" s="76"/>
      <c r="BQ256" s="59"/>
      <c r="BR256" s="77"/>
      <c r="BS256" s="59"/>
      <c r="BT256" s="77"/>
      <c r="BU256" s="58"/>
      <c r="BV256" s="58"/>
      <c r="BW256" s="58"/>
      <c r="BX256" s="58"/>
      <c r="BY256" s="58"/>
      <c r="BZ256" s="58"/>
      <c r="CA256" s="58"/>
      <c r="CB256" s="72" t="str">
        <f aca="false">IF(AC256&lt;&gt;"",VLOOKUP(AC256,Selects!$B:$E,4,0),"")</f>
        <v/>
      </c>
      <c r="CC256" s="58"/>
      <c r="CD256" s="58"/>
      <c r="CE256" s="58"/>
    </row>
    <row r="257" customFormat="false" ht="15.75" hidden="false" customHeight="true" outlineLevel="0" collapsed="false">
      <c r="A257" s="17"/>
      <c r="B257" s="58"/>
      <c r="C257" s="58"/>
      <c r="D257" s="59"/>
      <c r="E257" s="60" t="str">
        <f aca="false">IF(LEN(D257)=11,"PF",IF(LEN(D257)=14,"PJ",""))</f>
        <v/>
      </c>
      <c r="F257" s="59"/>
      <c r="G257" s="59"/>
      <c r="H257" s="61" t="str">
        <f aca="false">IF(G257&lt;&gt;"",VLOOKUP(G257,'Cnae  mcc  id'!$A:$M,9,0),"")</f>
        <v/>
      </c>
      <c r="I257" s="62"/>
      <c r="J257" s="63" t="str">
        <f aca="false">IF(I257&lt;&gt;"",VLOOKUP(I257,'Legal Nature'!$E$2:$G$84,3,0),"")</f>
        <v/>
      </c>
      <c r="K257" s="64"/>
      <c r="L257" s="65"/>
      <c r="M257" s="66"/>
      <c r="N257" s="66"/>
      <c r="O257" s="79"/>
      <c r="P257" s="26"/>
      <c r="Q257" s="58"/>
      <c r="R257" s="58"/>
      <c r="S257" s="80"/>
      <c r="T257" s="68" t="str">
        <f aca="false">IF(LEFT(S257,1)="9","Celular",IF(S257="","","Fixo"))</f>
        <v/>
      </c>
      <c r="U257" s="58" t="str">
        <f aca="false">IF( T257&lt;&gt;"",VLOOKUP(T257,Selects!$M$4:$N$1000,2,0),"")</f>
        <v/>
      </c>
      <c r="V257" s="26"/>
      <c r="W257" s="58"/>
      <c r="X257" s="58"/>
      <c r="Y257" s="58"/>
      <c r="Z257" s="58"/>
      <c r="AA257" s="69"/>
      <c r="AB257" s="58"/>
      <c r="AC257" s="58"/>
      <c r="AD257" s="70" t="str">
        <f aca="false">IF(AC257&lt;&gt;"",VLOOKUP(AC257,Selects!$B$4:$C$100,2,0),"")</f>
        <v/>
      </c>
      <c r="AE257" s="26"/>
      <c r="AF257" s="58"/>
      <c r="AG257" s="59"/>
      <c r="AH257" s="65"/>
      <c r="AI257" s="66"/>
      <c r="AJ257" s="66"/>
      <c r="AK257" s="58"/>
      <c r="AL257" s="58"/>
      <c r="AM257" s="68" t="str">
        <f aca="false">IF(LEFT(AL257,1)="9","Celular",IF(AL257="","","Fixo"))</f>
        <v/>
      </c>
      <c r="AN257" s="58" t="str">
        <f aca="false">IF( AM257&lt;&gt;"",VLOOKUP(AM257,Selects!$M$4:$N$1000,2,0),"")</f>
        <v/>
      </c>
      <c r="AO257" s="58"/>
      <c r="AP257" s="59"/>
      <c r="AQ257" s="65"/>
      <c r="AR257" s="58"/>
      <c r="AS257" s="58"/>
      <c r="AT257" s="26"/>
      <c r="AU257" s="58"/>
      <c r="AV257" s="58"/>
      <c r="AW257" s="58"/>
      <c r="AX257" s="58"/>
      <c r="AY257" s="71"/>
      <c r="AZ257" s="58"/>
      <c r="BA257" s="58"/>
      <c r="BB257" s="72" t="str">
        <f aca="false">IF(BA257&lt;&gt;"",VLOOKUP(BA257,Selects!$B$4:$C$100,2,0),"")</f>
        <v/>
      </c>
      <c r="BC257" s="26"/>
      <c r="BD257" s="26"/>
      <c r="BE257" s="73"/>
      <c r="BF257" s="74"/>
      <c r="BG257" s="75" t="str">
        <f aca="false">IF(LEN(BF257)=11,"PF",IF(LEN(BF257)=14,"PJ",""))</f>
        <v/>
      </c>
      <c r="BH257" s="66"/>
      <c r="BI257" s="58" t="str">
        <f aca="false">IF(BH257&lt;&gt;"",VLOOKUP(BH257,Selects!$G:$H,2,0),"")</f>
        <v/>
      </c>
      <c r="BJ257" s="58"/>
      <c r="BK257" s="58"/>
      <c r="BL257" s="59"/>
      <c r="BM257" s="58"/>
      <c r="BN257" s="58"/>
      <c r="BO257" s="58" t="str">
        <f aca="false">IF(BN257&lt;&gt;"",VLOOKUP(BN257,Selects!$J$4:$K$1000,2,0),"")</f>
        <v/>
      </c>
      <c r="BP257" s="76"/>
      <c r="BQ257" s="59"/>
      <c r="BR257" s="77"/>
      <c r="BS257" s="59"/>
      <c r="BT257" s="77"/>
      <c r="BU257" s="58"/>
      <c r="BV257" s="58"/>
      <c r="BW257" s="58"/>
      <c r="BX257" s="58"/>
      <c r="BY257" s="58"/>
      <c r="BZ257" s="58"/>
      <c r="CA257" s="58"/>
      <c r="CB257" s="72" t="str">
        <f aca="false">IF(AC257&lt;&gt;"",VLOOKUP(AC257,Selects!$B:$E,4,0),"")</f>
        <v/>
      </c>
      <c r="CC257" s="58"/>
      <c r="CD257" s="58"/>
      <c r="CE257" s="58"/>
    </row>
    <row r="258" customFormat="false" ht="15.75" hidden="false" customHeight="true" outlineLevel="0" collapsed="false">
      <c r="A258" s="17"/>
      <c r="B258" s="58"/>
      <c r="C258" s="58"/>
      <c r="D258" s="59"/>
      <c r="E258" s="60" t="str">
        <f aca="false">IF(LEN(D258)=11,"PF",IF(LEN(D258)=14,"PJ",""))</f>
        <v/>
      </c>
      <c r="F258" s="59"/>
      <c r="G258" s="59"/>
      <c r="H258" s="61" t="str">
        <f aca="false">IF(G258&lt;&gt;"",VLOOKUP(G258,'Cnae  mcc  id'!$A:$M,9,0),"")</f>
        <v/>
      </c>
      <c r="I258" s="62"/>
      <c r="J258" s="63" t="str">
        <f aca="false">IF(I258&lt;&gt;"",VLOOKUP(I258,'Legal Nature'!$E$2:$G$84,3,0),"")</f>
        <v/>
      </c>
      <c r="K258" s="64"/>
      <c r="L258" s="65"/>
      <c r="M258" s="66"/>
      <c r="N258" s="66"/>
      <c r="O258" s="79"/>
      <c r="P258" s="26"/>
      <c r="Q258" s="58"/>
      <c r="R258" s="58"/>
      <c r="S258" s="80"/>
      <c r="T258" s="68" t="str">
        <f aca="false">IF(LEFT(S258,1)="9","Celular",IF(S258="","","Fixo"))</f>
        <v/>
      </c>
      <c r="U258" s="58" t="str">
        <f aca="false">IF( T258&lt;&gt;"",VLOOKUP(T258,Selects!$M$4:$N$1000,2,0),"")</f>
        <v/>
      </c>
      <c r="V258" s="26"/>
      <c r="W258" s="58"/>
      <c r="X258" s="58"/>
      <c r="Y258" s="58"/>
      <c r="Z258" s="58"/>
      <c r="AA258" s="69"/>
      <c r="AB258" s="58"/>
      <c r="AC258" s="58"/>
      <c r="AD258" s="70" t="str">
        <f aca="false">IF(AC258&lt;&gt;"",VLOOKUP(AC258,Selects!$B$4:$C$100,2,0),"")</f>
        <v/>
      </c>
      <c r="AE258" s="26"/>
      <c r="AF258" s="58"/>
      <c r="AG258" s="59"/>
      <c r="AH258" s="65"/>
      <c r="AI258" s="66"/>
      <c r="AJ258" s="66"/>
      <c r="AK258" s="58"/>
      <c r="AL258" s="58"/>
      <c r="AM258" s="68" t="str">
        <f aca="false">IF(LEFT(AL258,1)="9","Celular",IF(AL258="","","Fixo"))</f>
        <v/>
      </c>
      <c r="AN258" s="58" t="str">
        <f aca="false">IF( AM258&lt;&gt;"",VLOOKUP(AM258,Selects!$M$4:$N$1000,2,0),"")</f>
        <v/>
      </c>
      <c r="AO258" s="58"/>
      <c r="AP258" s="59"/>
      <c r="AQ258" s="65"/>
      <c r="AR258" s="58"/>
      <c r="AS258" s="58"/>
      <c r="AT258" s="26"/>
      <c r="AU258" s="58"/>
      <c r="AV258" s="58"/>
      <c r="AW258" s="58"/>
      <c r="AX258" s="58"/>
      <c r="AY258" s="71"/>
      <c r="AZ258" s="58"/>
      <c r="BA258" s="58"/>
      <c r="BB258" s="72" t="str">
        <f aca="false">IF(BA258&lt;&gt;"",VLOOKUP(BA258,Selects!$B$4:$C$100,2,0),"")</f>
        <v/>
      </c>
      <c r="BC258" s="26"/>
      <c r="BD258" s="26"/>
      <c r="BE258" s="73"/>
      <c r="BF258" s="74"/>
      <c r="BG258" s="75" t="str">
        <f aca="false">IF(LEN(BF258)=11,"PF",IF(LEN(BF258)=14,"PJ",""))</f>
        <v/>
      </c>
      <c r="BH258" s="66"/>
      <c r="BI258" s="58" t="str">
        <f aca="false">IF(BH258&lt;&gt;"",VLOOKUP(BH258,Selects!$G:$H,2,0),"")</f>
        <v/>
      </c>
      <c r="BJ258" s="58"/>
      <c r="BK258" s="58"/>
      <c r="BL258" s="59"/>
      <c r="BM258" s="58"/>
      <c r="BN258" s="58"/>
      <c r="BO258" s="58" t="str">
        <f aca="false">IF(BN258&lt;&gt;"",VLOOKUP(BN258,Selects!$J$4:$K$1000,2,0),"")</f>
        <v/>
      </c>
      <c r="BP258" s="76"/>
      <c r="BQ258" s="59"/>
      <c r="BR258" s="77"/>
      <c r="BS258" s="59"/>
      <c r="BT258" s="77"/>
      <c r="BU258" s="58"/>
      <c r="BV258" s="58"/>
      <c r="BW258" s="58"/>
      <c r="BX258" s="58"/>
      <c r="BY258" s="58"/>
      <c r="BZ258" s="58"/>
      <c r="CA258" s="58"/>
      <c r="CB258" s="72" t="str">
        <f aca="false">IF(AC258&lt;&gt;"",VLOOKUP(AC258,Selects!$B:$E,4,0),"")</f>
        <v/>
      </c>
      <c r="CC258" s="58"/>
      <c r="CD258" s="58"/>
      <c r="CE258" s="58"/>
    </row>
    <row r="259" customFormat="false" ht="15.75" hidden="false" customHeight="true" outlineLevel="0" collapsed="false">
      <c r="A259" s="17"/>
      <c r="B259" s="58"/>
      <c r="C259" s="58"/>
      <c r="D259" s="59"/>
      <c r="E259" s="60" t="str">
        <f aca="false">IF(LEN(D259)=11,"PF",IF(LEN(D259)=14,"PJ",""))</f>
        <v/>
      </c>
      <c r="F259" s="59"/>
      <c r="G259" s="59"/>
      <c r="H259" s="61" t="str">
        <f aca="false">IF(G259&lt;&gt;"",VLOOKUP(G259,'Cnae  mcc  id'!$A:$M,9,0),"")</f>
        <v/>
      </c>
      <c r="I259" s="62"/>
      <c r="J259" s="63" t="str">
        <f aca="false">IF(I259&lt;&gt;"",VLOOKUP(I259,'Legal Nature'!$E$2:$G$84,3,0),"")</f>
        <v/>
      </c>
      <c r="K259" s="64"/>
      <c r="L259" s="65"/>
      <c r="M259" s="66"/>
      <c r="N259" s="66"/>
      <c r="O259" s="79"/>
      <c r="P259" s="26"/>
      <c r="Q259" s="58"/>
      <c r="R259" s="58"/>
      <c r="S259" s="80"/>
      <c r="T259" s="68" t="str">
        <f aca="false">IF(LEFT(S259,1)="9","Celular",IF(S259="","","Fixo"))</f>
        <v/>
      </c>
      <c r="U259" s="58" t="str">
        <f aca="false">IF( T259&lt;&gt;"",VLOOKUP(T259,Selects!$M$4:$N$1000,2,0),"")</f>
        <v/>
      </c>
      <c r="V259" s="26"/>
      <c r="W259" s="58"/>
      <c r="X259" s="58"/>
      <c r="Y259" s="58"/>
      <c r="Z259" s="58"/>
      <c r="AA259" s="69"/>
      <c r="AB259" s="58"/>
      <c r="AC259" s="58"/>
      <c r="AD259" s="70" t="str">
        <f aca="false">IF(AC259&lt;&gt;"",VLOOKUP(AC259,Selects!$B$4:$C$100,2,0),"")</f>
        <v/>
      </c>
      <c r="AE259" s="26"/>
      <c r="AF259" s="58"/>
      <c r="AG259" s="59"/>
      <c r="AH259" s="65"/>
      <c r="AI259" s="66"/>
      <c r="AJ259" s="66"/>
      <c r="AK259" s="58"/>
      <c r="AL259" s="58"/>
      <c r="AM259" s="68" t="str">
        <f aca="false">IF(LEFT(AL259,1)="9","Celular",IF(AL259="","","Fixo"))</f>
        <v/>
      </c>
      <c r="AN259" s="58" t="str">
        <f aca="false">IF( AM259&lt;&gt;"",VLOOKUP(AM259,Selects!$M$4:$N$1000,2,0),"")</f>
        <v/>
      </c>
      <c r="AO259" s="58"/>
      <c r="AP259" s="59"/>
      <c r="AQ259" s="65"/>
      <c r="AR259" s="58"/>
      <c r="AS259" s="58"/>
      <c r="AT259" s="26"/>
      <c r="AU259" s="58"/>
      <c r="AV259" s="58"/>
      <c r="AW259" s="58"/>
      <c r="AX259" s="58"/>
      <c r="AY259" s="71"/>
      <c r="AZ259" s="58"/>
      <c r="BA259" s="58"/>
      <c r="BB259" s="72" t="str">
        <f aca="false">IF(BA259&lt;&gt;"",VLOOKUP(BA259,Selects!$B$4:$C$100,2,0),"")</f>
        <v/>
      </c>
      <c r="BC259" s="26"/>
      <c r="BD259" s="26"/>
      <c r="BE259" s="73"/>
      <c r="BF259" s="74"/>
      <c r="BG259" s="75" t="str">
        <f aca="false">IF(LEN(BF259)=11,"PF",IF(LEN(BF259)=14,"PJ",""))</f>
        <v/>
      </c>
      <c r="BH259" s="66"/>
      <c r="BI259" s="58" t="str">
        <f aca="false">IF(BH259&lt;&gt;"",VLOOKUP(BH259,Selects!$G:$H,2,0),"")</f>
        <v/>
      </c>
      <c r="BJ259" s="58"/>
      <c r="BK259" s="58"/>
      <c r="BL259" s="59"/>
      <c r="BM259" s="58"/>
      <c r="BN259" s="58"/>
      <c r="BO259" s="58" t="str">
        <f aca="false">IF(BN259&lt;&gt;"",VLOOKUP(BN259,Selects!$J$4:$K$1000,2,0),"")</f>
        <v/>
      </c>
      <c r="BP259" s="76"/>
      <c r="BQ259" s="59"/>
      <c r="BR259" s="77"/>
      <c r="BS259" s="59"/>
      <c r="BT259" s="77"/>
      <c r="BU259" s="58"/>
      <c r="BV259" s="58"/>
      <c r="BW259" s="58"/>
      <c r="BX259" s="58"/>
      <c r="BY259" s="58"/>
      <c r="BZ259" s="58"/>
      <c r="CA259" s="58"/>
      <c r="CB259" s="72" t="str">
        <f aca="false">IF(AC259&lt;&gt;"",VLOOKUP(AC259,Selects!$B:$E,4,0),"")</f>
        <v/>
      </c>
      <c r="CC259" s="58"/>
      <c r="CD259" s="58"/>
      <c r="CE259" s="58"/>
    </row>
    <row r="260" customFormat="false" ht="15.75" hidden="false" customHeight="true" outlineLevel="0" collapsed="false">
      <c r="A260" s="17"/>
      <c r="B260" s="58"/>
      <c r="C260" s="58"/>
      <c r="D260" s="59"/>
      <c r="E260" s="60" t="str">
        <f aca="false">IF(LEN(D260)=11,"PF",IF(LEN(D260)=14,"PJ",""))</f>
        <v/>
      </c>
      <c r="F260" s="59"/>
      <c r="G260" s="59"/>
      <c r="H260" s="61" t="str">
        <f aca="false">IF(G260&lt;&gt;"",VLOOKUP(G260,'Cnae  mcc  id'!$A:$M,9,0),"")</f>
        <v/>
      </c>
      <c r="I260" s="62"/>
      <c r="J260" s="63" t="str">
        <f aca="false">IF(I260&lt;&gt;"",VLOOKUP(I260,'Legal Nature'!$E$2:$G$84,3,0),"")</f>
        <v/>
      </c>
      <c r="K260" s="64"/>
      <c r="L260" s="65"/>
      <c r="M260" s="66"/>
      <c r="N260" s="66"/>
      <c r="O260" s="79"/>
      <c r="P260" s="26"/>
      <c r="Q260" s="58"/>
      <c r="R260" s="58"/>
      <c r="S260" s="80"/>
      <c r="T260" s="68" t="str">
        <f aca="false">IF(LEFT(S260,1)="9","Celular",IF(S260="","","Fixo"))</f>
        <v/>
      </c>
      <c r="U260" s="58" t="str">
        <f aca="false">IF( T260&lt;&gt;"",VLOOKUP(T260,Selects!$M$4:$N$1000,2,0),"")</f>
        <v/>
      </c>
      <c r="V260" s="26"/>
      <c r="W260" s="58"/>
      <c r="X260" s="58"/>
      <c r="Y260" s="58"/>
      <c r="Z260" s="58"/>
      <c r="AA260" s="69"/>
      <c r="AB260" s="58"/>
      <c r="AC260" s="58"/>
      <c r="AD260" s="70" t="str">
        <f aca="false">IF(AC260&lt;&gt;"",VLOOKUP(AC260,Selects!$B$4:$C$100,2,0),"")</f>
        <v/>
      </c>
      <c r="AE260" s="26"/>
      <c r="AF260" s="58"/>
      <c r="AG260" s="59"/>
      <c r="AH260" s="65"/>
      <c r="AI260" s="66"/>
      <c r="AJ260" s="66"/>
      <c r="AK260" s="58"/>
      <c r="AL260" s="58"/>
      <c r="AM260" s="68" t="str">
        <f aca="false">IF(LEFT(AL260,1)="9","Celular",IF(AL260="","","Fixo"))</f>
        <v/>
      </c>
      <c r="AN260" s="58" t="str">
        <f aca="false">IF( AM260&lt;&gt;"",VLOOKUP(AM260,Selects!$M$4:$N$1000,2,0),"")</f>
        <v/>
      </c>
      <c r="AO260" s="58"/>
      <c r="AP260" s="59"/>
      <c r="AQ260" s="65"/>
      <c r="AR260" s="58"/>
      <c r="AS260" s="58"/>
      <c r="AT260" s="26"/>
      <c r="AU260" s="58"/>
      <c r="AV260" s="58"/>
      <c r="AW260" s="58"/>
      <c r="AX260" s="58"/>
      <c r="AY260" s="71"/>
      <c r="AZ260" s="58"/>
      <c r="BA260" s="58"/>
      <c r="BB260" s="72" t="str">
        <f aca="false">IF(BA260&lt;&gt;"",VLOOKUP(BA260,Selects!$B$4:$C$100,2,0),"")</f>
        <v/>
      </c>
      <c r="BC260" s="26"/>
      <c r="BD260" s="26"/>
      <c r="BE260" s="73"/>
      <c r="BF260" s="74"/>
      <c r="BG260" s="75" t="str">
        <f aca="false">IF(LEN(BF260)=11,"PF",IF(LEN(BF260)=14,"PJ",""))</f>
        <v/>
      </c>
      <c r="BH260" s="66"/>
      <c r="BI260" s="58" t="str">
        <f aca="false">IF(BH260&lt;&gt;"",VLOOKUP(BH260,Selects!$G:$H,2,0),"")</f>
        <v/>
      </c>
      <c r="BJ260" s="58"/>
      <c r="BK260" s="58"/>
      <c r="BL260" s="59"/>
      <c r="BM260" s="58"/>
      <c r="BN260" s="58"/>
      <c r="BO260" s="58" t="str">
        <f aca="false">IF(BN260&lt;&gt;"",VLOOKUP(BN260,Selects!$J$4:$K$1000,2,0),"")</f>
        <v/>
      </c>
      <c r="BP260" s="76"/>
      <c r="BQ260" s="59"/>
      <c r="BR260" s="77"/>
      <c r="BS260" s="59"/>
      <c r="BT260" s="77"/>
      <c r="BU260" s="58"/>
      <c r="BV260" s="58"/>
      <c r="BW260" s="58"/>
      <c r="BX260" s="58"/>
      <c r="BY260" s="58"/>
      <c r="BZ260" s="58"/>
      <c r="CA260" s="58"/>
      <c r="CB260" s="72" t="str">
        <f aca="false">IF(AC260&lt;&gt;"",VLOOKUP(AC260,Selects!$B:$E,4,0),"")</f>
        <v/>
      </c>
      <c r="CC260" s="58"/>
      <c r="CD260" s="58"/>
      <c r="CE260" s="58"/>
    </row>
    <row r="261" customFormat="false" ht="15.75" hidden="false" customHeight="true" outlineLevel="0" collapsed="false">
      <c r="A261" s="17"/>
      <c r="B261" s="58"/>
      <c r="C261" s="58"/>
      <c r="D261" s="59"/>
      <c r="E261" s="60" t="str">
        <f aca="false">IF(LEN(D261)=11,"PF",IF(LEN(D261)=14,"PJ",""))</f>
        <v/>
      </c>
      <c r="F261" s="59"/>
      <c r="G261" s="59"/>
      <c r="H261" s="61" t="str">
        <f aca="false">IF(G261&lt;&gt;"",VLOOKUP(G261,'Cnae  mcc  id'!$A:$M,9,0),"")</f>
        <v/>
      </c>
      <c r="I261" s="62"/>
      <c r="J261" s="63" t="str">
        <f aca="false">IF(I261&lt;&gt;"",VLOOKUP(I261,'Legal Nature'!$E$2:$G$84,3,0),"")</f>
        <v/>
      </c>
      <c r="K261" s="64"/>
      <c r="L261" s="65"/>
      <c r="M261" s="66"/>
      <c r="N261" s="66"/>
      <c r="O261" s="79"/>
      <c r="P261" s="26"/>
      <c r="Q261" s="58"/>
      <c r="R261" s="58"/>
      <c r="S261" s="80"/>
      <c r="T261" s="68" t="str">
        <f aca="false">IF(LEFT(S261,1)="9","Celular",IF(S261="","","Fixo"))</f>
        <v/>
      </c>
      <c r="U261" s="58" t="str">
        <f aca="false">IF( T261&lt;&gt;"",VLOOKUP(T261,Selects!$M$4:$N$1000,2,0),"")</f>
        <v/>
      </c>
      <c r="V261" s="26"/>
      <c r="W261" s="58"/>
      <c r="X261" s="58"/>
      <c r="Y261" s="58"/>
      <c r="Z261" s="58"/>
      <c r="AA261" s="69"/>
      <c r="AB261" s="58"/>
      <c r="AC261" s="58"/>
      <c r="AD261" s="70" t="str">
        <f aca="false">IF(AC261&lt;&gt;"",VLOOKUP(AC261,Selects!$B$4:$C$100,2,0),"")</f>
        <v/>
      </c>
      <c r="AE261" s="26"/>
      <c r="AF261" s="58"/>
      <c r="AG261" s="59"/>
      <c r="AH261" s="65"/>
      <c r="AI261" s="66"/>
      <c r="AJ261" s="66"/>
      <c r="AK261" s="58"/>
      <c r="AL261" s="58"/>
      <c r="AM261" s="68" t="str">
        <f aca="false">IF(LEFT(AL261,1)="9","Celular",IF(AL261="","","Fixo"))</f>
        <v/>
      </c>
      <c r="AN261" s="58" t="str">
        <f aca="false">IF( AM261&lt;&gt;"",VLOOKUP(AM261,Selects!$M$4:$N$1000,2,0),"")</f>
        <v/>
      </c>
      <c r="AO261" s="58"/>
      <c r="AP261" s="59"/>
      <c r="AQ261" s="65"/>
      <c r="AR261" s="58"/>
      <c r="AS261" s="58"/>
      <c r="AT261" s="26"/>
      <c r="AU261" s="58"/>
      <c r="AV261" s="58"/>
      <c r="AW261" s="58"/>
      <c r="AX261" s="58"/>
      <c r="AY261" s="71"/>
      <c r="AZ261" s="58"/>
      <c r="BA261" s="58"/>
      <c r="BB261" s="72" t="str">
        <f aca="false">IF(BA261&lt;&gt;"",VLOOKUP(BA261,Selects!$B$4:$C$100,2,0),"")</f>
        <v/>
      </c>
      <c r="BC261" s="26"/>
      <c r="BD261" s="26"/>
      <c r="BE261" s="73"/>
      <c r="BF261" s="74"/>
      <c r="BG261" s="75" t="str">
        <f aca="false">IF(LEN(BF261)=11,"PF",IF(LEN(BF261)=14,"PJ",""))</f>
        <v/>
      </c>
      <c r="BH261" s="66"/>
      <c r="BI261" s="58" t="str">
        <f aca="false">IF(BH261&lt;&gt;"",VLOOKUP(BH261,Selects!$G:$H,2,0),"")</f>
        <v/>
      </c>
      <c r="BJ261" s="58"/>
      <c r="BK261" s="58"/>
      <c r="BL261" s="59"/>
      <c r="BM261" s="58"/>
      <c r="BN261" s="58"/>
      <c r="BO261" s="58" t="str">
        <f aca="false">IF(BN261&lt;&gt;"",VLOOKUP(BN261,Selects!$J$4:$K$1000,2,0),"")</f>
        <v/>
      </c>
      <c r="BP261" s="76"/>
      <c r="BQ261" s="59"/>
      <c r="BR261" s="77"/>
      <c r="BS261" s="59"/>
      <c r="BT261" s="77"/>
      <c r="BU261" s="58"/>
      <c r="BV261" s="58"/>
      <c r="BW261" s="58"/>
      <c r="BX261" s="58"/>
      <c r="BY261" s="58"/>
      <c r="BZ261" s="58"/>
      <c r="CA261" s="58"/>
      <c r="CB261" s="72" t="str">
        <f aca="false">IF(AC261&lt;&gt;"",VLOOKUP(AC261,Selects!$B:$E,4,0),"")</f>
        <v/>
      </c>
      <c r="CC261" s="58"/>
      <c r="CD261" s="58"/>
      <c r="CE261" s="58"/>
    </row>
    <row r="262" customFormat="false" ht="15.75" hidden="false" customHeight="true" outlineLevel="0" collapsed="false">
      <c r="A262" s="17"/>
      <c r="B262" s="58"/>
      <c r="C262" s="58"/>
      <c r="D262" s="59"/>
      <c r="E262" s="60" t="str">
        <f aca="false">IF(LEN(D262)=11,"PF",IF(LEN(D262)=14,"PJ",""))</f>
        <v/>
      </c>
      <c r="F262" s="59"/>
      <c r="G262" s="59"/>
      <c r="H262" s="61" t="str">
        <f aca="false">IF(G262&lt;&gt;"",VLOOKUP(G262,'Cnae  mcc  id'!$A:$M,9,0),"")</f>
        <v/>
      </c>
      <c r="I262" s="62"/>
      <c r="J262" s="63" t="str">
        <f aca="false">IF(I262&lt;&gt;"",VLOOKUP(I262,'Legal Nature'!$E$2:$G$84,3,0),"")</f>
        <v/>
      </c>
      <c r="K262" s="64"/>
      <c r="L262" s="65"/>
      <c r="M262" s="66"/>
      <c r="N262" s="66"/>
      <c r="O262" s="79"/>
      <c r="P262" s="26"/>
      <c r="Q262" s="58"/>
      <c r="R262" s="58"/>
      <c r="S262" s="80"/>
      <c r="T262" s="68" t="str">
        <f aca="false">IF(LEFT(S262,1)="9","Celular",IF(S262="","","Fixo"))</f>
        <v/>
      </c>
      <c r="U262" s="58" t="str">
        <f aca="false">IF( T262&lt;&gt;"",VLOOKUP(T262,Selects!$M$4:$N$1000,2,0),"")</f>
        <v/>
      </c>
      <c r="V262" s="26"/>
      <c r="W262" s="58"/>
      <c r="X262" s="58"/>
      <c r="Y262" s="58"/>
      <c r="Z262" s="58"/>
      <c r="AA262" s="69"/>
      <c r="AB262" s="58"/>
      <c r="AC262" s="58"/>
      <c r="AD262" s="70" t="str">
        <f aca="false">IF(AC262&lt;&gt;"",VLOOKUP(AC262,Selects!$B$4:$C$100,2,0),"")</f>
        <v/>
      </c>
      <c r="AE262" s="26"/>
      <c r="AF262" s="58"/>
      <c r="AG262" s="59"/>
      <c r="AH262" s="65"/>
      <c r="AI262" s="66"/>
      <c r="AJ262" s="66"/>
      <c r="AK262" s="58"/>
      <c r="AL262" s="58"/>
      <c r="AM262" s="68" t="str">
        <f aca="false">IF(LEFT(AL262,1)="9","Celular",IF(AL262="","","Fixo"))</f>
        <v/>
      </c>
      <c r="AN262" s="58" t="str">
        <f aca="false">IF( AM262&lt;&gt;"",VLOOKUP(AM262,Selects!$M$4:$N$1000,2,0),"")</f>
        <v/>
      </c>
      <c r="AO262" s="58"/>
      <c r="AP262" s="59"/>
      <c r="AQ262" s="65"/>
      <c r="AR262" s="58"/>
      <c r="AS262" s="58"/>
      <c r="AT262" s="26"/>
      <c r="AU262" s="58"/>
      <c r="AV262" s="58"/>
      <c r="AW262" s="58"/>
      <c r="AX262" s="58"/>
      <c r="AY262" s="71"/>
      <c r="AZ262" s="58"/>
      <c r="BA262" s="58"/>
      <c r="BB262" s="72" t="str">
        <f aca="false">IF(BA262&lt;&gt;"",VLOOKUP(BA262,Selects!$B$4:$C$100,2,0),"")</f>
        <v/>
      </c>
      <c r="BC262" s="26"/>
      <c r="BD262" s="26"/>
      <c r="BE262" s="73"/>
      <c r="BF262" s="74"/>
      <c r="BG262" s="75" t="str">
        <f aca="false">IF(LEN(BF262)=11,"PF",IF(LEN(BF262)=14,"PJ",""))</f>
        <v/>
      </c>
      <c r="BH262" s="66"/>
      <c r="BI262" s="58" t="str">
        <f aca="false">IF(BH262&lt;&gt;"",VLOOKUP(BH262,Selects!$G:$H,2,0),"")</f>
        <v/>
      </c>
      <c r="BJ262" s="58"/>
      <c r="BK262" s="58"/>
      <c r="BL262" s="59"/>
      <c r="BM262" s="58"/>
      <c r="BN262" s="58"/>
      <c r="BO262" s="58" t="str">
        <f aca="false">IF(BN262&lt;&gt;"",VLOOKUP(BN262,Selects!$J$4:$K$1000,2,0),"")</f>
        <v/>
      </c>
      <c r="BP262" s="76"/>
      <c r="BQ262" s="59"/>
      <c r="BR262" s="77"/>
      <c r="BS262" s="59"/>
      <c r="BT262" s="77"/>
      <c r="BU262" s="58"/>
      <c r="BV262" s="58"/>
      <c r="BW262" s="58"/>
      <c r="BX262" s="58"/>
      <c r="BY262" s="58"/>
      <c r="BZ262" s="58"/>
      <c r="CA262" s="58"/>
      <c r="CB262" s="72" t="str">
        <f aca="false">IF(AC262&lt;&gt;"",VLOOKUP(AC262,Selects!$B:$E,4,0),"")</f>
        <v/>
      </c>
      <c r="CC262" s="58"/>
      <c r="CD262" s="58"/>
      <c r="CE262" s="58"/>
    </row>
    <row r="263" customFormat="false" ht="15.75" hidden="false" customHeight="true" outlineLevel="0" collapsed="false">
      <c r="A263" s="17"/>
      <c r="B263" s="58"/>
      <c r="C263" s="58"/>
      <c r="D263" s="59"/>
      <c r="E263" s="60" t="str">
        <f aca="false">IF(LEN(D263)=11,"PF",IF(LEN(D263)=14,"PJ",""))</f>
        <v/>
      </c>
      <c r="F263" s="59"/>
      <c r="G263" s="59"/>
      <c r="H263" s="61" t="str">
        <f aca="false">IF(G263&lt;&gt;"",VLOOKUP(G263,'Cnae  mcc  id'!$A:$M,9,0),"")</f>
        <v/>
      </c>
      <c r="I263" s="62"/>
      <c r="J263" s="63" t="str">
        <f aca="false">IF(I263&lt;&gt;"",VLOOKUP(I263,'Legal Nature'!$E$2:$G$84,3,0),"")</f>
        <v/>
      </c>
      <c r="K263" s="64"/>
      <c r="L263" s="65"/>
      <c r="M263" s="66"/>
      <c r="N263" s="66"/>
      <c r="O263" s="79"/>
      <c r="P263" s="26"/>
      <c r="Q263" s="58"/>
      <c r="R263" s="58"/>
      <c r="S263" s="80"/>
      <c r="T263" s="68" t="str">
        <f aca="false">IF(LEFT(S263,1)="9","Celular",IF(S263="","","Fixo"))</f>
        <v/>
      </c>
      <c r="U263" s="58" t="str">
        <f aca="false">IF( T263&lt;&gt;"",VLOOKUP(T263,Selects!$M$4:$N$1000,2,0),"")</f>
        <v/>
      </c>
      <c r="V263" s="26"/>
      <c r="W263" s="58"/>
      <c r="X263" s="58"/>
      <c r="Y263" s="58"/>
      <c r="Z263" s="58"/>
      <c r="AA263" s="69"/>
      <c r="AB263" s="58"/>
      <c r="AC263" s="58"/>
      <c r="AD263" s="70" t="str">
        <f aca="false">IF(AC263&lt;&gt;"",VLOOKUP(AC263,Selects!$B$4:$C$100,2,0),"")</f>
        <v/>
      </c>
      <c r="AE263" s="26"/>
      <c r="AF263" s="58"/>
      <c r="AG263" s="59"/>
      <c r="AH263" s="65"/>
      <c r="AI263" s="66"/>
      <c r="AJ263" s="66"/>
      <c r="AK263" s="58"/>
      <c r="AL263" s="58"/>
      <c r="AM263" s="68" t="str">
        <f aca="false">IF(LEFT(AL263,1)="9","Celular",IF(AL263="","","Fixo"))</f>
        <v/>
      </c>
      <c r="AN263" s="58" t="str">
        <f aca="false">IF( AM263&lt;&gt;"",VLOOKUP(AM263,Selects!$M$4:$N$1000,2,0),"")</f>
        <v/>
      </c>
      <c r="AO263" s="58"/>
      <c r="AP263" s="59"/>
      <c r="AQ263" s="65"/>
      <c r="AR263" s="58"/>
      <c r="AS263" s="58"/>
      <c r="AT263" s="26"/>
      <c r="AU263" s="58"/>
      <c r="AV263" s="58"/>
      <c r="AW263" s="58"/>
      <c r="AX263" s="58"/>
      <c r="AY263" s="71"/>
      <c r="AZ263" s="58"/>
      <c r="BA263" s="58"/>
      <c r="BB263" s="72" t="str">
        <f aca="false">IF(BA263&lt;&gt;"",VLOOKUP(BA263,Selects!$B$4:$C$100,2,0),"")</f>
        <v/>
      </c>
      <c r="BC263" s="26"/>
      <c r="BD263" s="26"/>
      <c r="BE263" s="73"/>
      <c r="BF263" s="74"/>
      <c r="BG263" s="75" t="str">
        <f aca="false">IF(LEN(BF263)=11,"PF",IF(LEN(BF263)=14,"PJ",""))</f>
        <v/>
      </c>
      <c r="BH263" s="66"/>
      <c r="BI263" s="58" t="str">
        <f aca="false">IF(BH263&lt;&gt;"",VLOOKUP(BH263,Selects!$G:$H,2,0),"")</f>
        <v/>
      </c>
      <c r="BJ263" s="58"/>
      <c r="BK263" s="58"/>
      <c r="BL263" s="59"/>
      <c r="BM263" s="58"/>
      <c r="BN263" s="58"/>
      <c r="BO263" s="58" t="str">
        <f aca="false">IF(BN263&lt;&gt;"",VLOOKUP(BN263,Selects!$J$4:$K$1000,2,0),"")</f>
        <v/>
      </c>
      <c r="BP263" s="76"/>
      <c r="BQ263" s="59"/>
      <c r="BR263" s="77"/>
      <c r="BS263" s="59"/>
      <c r="BT263" s="77"/>
      <c r="BU263" s="58"/>
      <c r="BV263" s="58"/>
      <c r="BW263" s="58"/>
      <c r="BX263" s="58"/>
      <c r="BY263" s="58"/>
      <c r="BZ263" s="58"/>
      <c r="CA263" s="58"/>
      <c r="CB263" s="72" t="str">
        <f aca="false">IF(AC263&lt;&gt;"",VLOOKUP(AC263,Selects!$B:$E,4,0),"")</f>
        <v/>
      </c>
      <c r="CC263" s="58"/>
      <c r="CD263" s="58"/>
      <c r="CE263" s="58"/>
    </row>
    <row r="264" customFormat="false" ht="15.75" hidden="false" customHeight="true" outlineLevel="0" collapsed="false">
      <c r="A264" s="17"/>
      <c r="B264" s="58"/>
      <c r="C264" s="58"/>
      <c r="D264" s="59"/>
      <c r="E264" s="60" t="str">
        <f aca="false">IF(LEN(D264)=11,"PF",IF(LEN(D264)=14,"PJ",""))</f>
        <v/>
      </c>
      <c r="F264" s="59"/>
      <c r="G264" s="59"/>
      <c r="H264" s="61" t="str">
        <f aca="false">IF(G264&lt;&gt;"",VLOOKUP(G264,'Cnae  mcc  id'!$A:$M,9,0),"")</f>
        <v/>
      </c>
      <c r="I264" s="62"/>
      <c r="J264" s="63" t="str">
        <f aca="false">IF(I264&lt;&gt;"",VLOOKUP(I264,'Legal Nature'!$E$2:$G$84,3,0),"")</f>
        <v/>
      </c>
      <c r="K264" s="64"/>
      <c r="L264" s="65"/>
      <c r="M264" s="66"/>
      <c r="N264" s="66"/>
      <c r="O264" s="79"/>
      <c r="P264" s="26"/>
      <c r="Q264" s="58"/>
      <c r="R264" s="58"/>
      <c r="S264" s="80"/>
      <c r="T264" s="68" t="str">
        <f aca="false">IF(LEFT(S264,1)="9","Celular",IF(S264="","","Fixo"))</f>
        <v/>
      </c>
      <c r="U264" s="58" t="str">
        <f aca="false">IF( T264&lt;&gt;"",VLOOKUP(T264,Selects!$M$4:$N$1000,2,0),"")</f>
        <v/>
      </c>
      <c r="V264" s="26"/>
      <c r="W264" s="58"/>
      <c r="X264" s="58"/>
      <c r="Y264" s="58"/>
      <c r="Z264" s="58"/>
      <c r="AA264" s="69"/>
      <c r="AB264" s="58"/>
      <c r="AC264" s="58"/>
      <c r="AD264" s="70" t="str">
        <f aca="false">IF(AC264&lt;&gt;"",VLOOKUP(AC264,Selects!$B$4:$C$100,2,0),"")</f>
        <v/>
      </c>
      <c r="AE264" s="26"/>
      <c r="AF264" s="58"/>
      <c r="AG264" s="59"/>
      <c r="AH264" s="65"/>
      <c r="AI264" s="66"/>
      <c r="AJ264" s="66"/>
      <c r="AK264" s="58"/>
      <c r="AL264" s="58"/>
      <c r="AM264" s="68" t="str">
        <f aca="false">IF(LEFT(AL264,1)="9","Celular",IF(AL264="","","Fixo"))</f>
        <v/>
      </c>
      <c r="AN264" s="58" t="str">
        <f aca="false">IF( AM264&lt;&gt;"",VLOOKUP(AM264,Selects!$M$4:$N$1000,2,0),"")</f>
        <v/>
      </c>
      <c r="AO264" s="58"/>
      <c r="AP264" s="59"/>
      <c r="AQ264" s="65"/>
      <c r="AR264" s="58"/>
      <c r="AS264" s="58"/>
      <c r="AT264" s="26"/>
      <c r="AU264" s="58"/>
      <c r="AV264" s="58"/>
      <c r="AW264" s="58"/>
      <c r="AX264" s="58"/>
      <c r="AY264" s="71"/>
      <c r="AZ264" s="58"/>
      <c r="BA264" s="58"/>
      <c r="BB264" s="72" t="str">
        <f aca="false">IF(BA264&lt;&gt;"",VLOOKUP(BA264,Selects!$B$4:$C$100,2,0),"")</f>
        <v/>
      </c>
      <c r="BC264" s="26"/>
      <c r="BD264" s="26"/>
      <c r="BE264" s="73"/>
      <c r="BF264" s="74"/>
      <c r="BG264" s="75" t="str">
        <f aca="false">IF(LEN(BF264)=11,"PF",IF(LEN(BF264)=14,"PJ",""))</f>
        <v/>
      </c>
      <c r="BH264" s="66"/>
      <c r="BI264" s="58" t="str">
        <f aca="false">IF(BH264&lt;&gt;"",VLOOKUP(BH264,Selects!$G:$H,2,0),"")</f>
        <v/>
      </c>
      <c r="BJ264" s="58"/>
      <c r="BK264" s="58"/>
      <c r="BL264" s="59"/>
      <c r="BM264" s="58"/>
      <c r="BN264" s="58"/>
      <c r="BO264" s="58" t="str">
        <f aca="false">IF(BN264&lt;&gt;"",VLOOKUP(BN264,Selects!$J$4:$K$1000,2,0),"")</f>
        <v/>
      </c>
      <c r="BP264" s="76"/>
      <c r="BQ264" s="59"/>
      <c r="BR264" s="77"/>
      <c r="BS264" s="59"/>
      <c r="BT264" s="77"/>
      <c r="BU264" s="58"/>
      <c r="BV264" s="58"/>
      <c r="BW264" s="58"/>
      <c r="BX264" s="58"/>
      <c r="BY264" s="58"/>
      <c r="BZ264" s="58"/>
      <c r="CA264" s="58"/>
      <c r="CB264" s="72" t="str">
        <f aca="false">IF(AC264&lt;&gt;"",VLOOKUP(AC264,Selects!$B:$E,4,0),"")</f>
        <v/>
      </c>
      <c r="CC264" s="58"/>
      <c r="CD264" s="58"/>
      <c r="CE264" s="58"/>
    </row>
    <row r="265" customFormat="false" ht="15.75" hidden="false" customHeight="true" outlineLevel="0" collapsed="false">
      <c r="A265" s="17"/>
      <c r="B265" s="58"/>
      <c r="C265" s="58"/>
      <c r="D265" s="59"/>
      <c r="E265" s="60" t="str">
        <f aca="false">IF(LEN(D265)=11,"PF",IF(LEN(D265)=14,"PJ",""))</f>
        <v/>
      </c>
      <c r="F265" s="59"/>
      <c r="G265" s="59"/>
      <c r="H265" s="61" t="str">
        <f aca="false">IF(G265&lt;&gt;"",VLOOKUP(G265,'Cnae  mcc  id'!$A:$M,9,0),"")</f>
        <v/>
      </c>
      <c r="I265" s="62"/>
      <c r="J265" s="63" t="str">
        <f aca="false">IF(I265&lt;&gt;"",VLOOKUP(I265,'Legal Nature'!$E$2:$G$84,3,0),"")</f>
        <v/>
      </c>
      <c r="K265" s="64"/>
      <c r="L265" s="65"/>
      <c r="M265" s="66"/>
      <c r="N265" s="66"/>
      <c r="O265" s="79"/>
      <c r="P265" s="26"/>
      <c r="Q265" s="58"/>
      <c r="R265" s="58"/>
      <c r="S265" s="80"/>
      <c r="T265" s="68" t="str">
        <f aca="false">IF(LEFT(S265,1)="9","Celular",IF(S265="","","Fixo"))</f>
        <v/>
      </c>
      <c r="U265" s="58" t="str">
        <f aca="false">IF( T265&lt;&gt;"",VLOOKUP(T265,Selects!$M$4:$N$1000,2,0),"")</f>
        <v/>
      </c>
      <c r="V265" s="26"/>
      <c r="W265" s="58"/>
      <c r="X265" s="58"/>
      <c r="Y265" s="58"/>
      <c r="Z265" s="58"/>
      <c r="AA265" s="69"/>
      <c r="AB265" s="58"/>
      <c r="AC265" s="58"/>
      <c r="AD265" s="70" t="str">
        <f aca="false">IF(AC265&lt;&gt;"",VLOOKUP(AC265,Selects!$B$4:$C$100,2,0),"")</f>
        <v/>
      </c>
      <c r="AE265" s="26"/>
      <c r="AF265" s="58"/>
      <c r="AG265" s="59"/>
      <c r="AH265" s="65"/>
      <c r="AI265" s="66"/>
      <c r="AJ265" s="66"/>
      <c r="AK265" s="58"/>
      <c r="AL265" s="58"/>
      <c r="AM265" s="68" t="str">
        <f aca="false">IF(LEFT(AL265,1)="9","Celular",IF(AL265="","","Fixo"))</f>
        <v/>
      </c>
      <c r="AN265" s="58" t="str">
        <f aca="false">IF( AM265&lt;&gt;"",VLOOKUP(AM265,Selects!$M$4:$N$1000,2,0),"")</f>
        <v/>
      </c>
      <c r="AO265" s="58"/>
      <c r="AP265" s="59"/>
      <c r="AQ265" s="65"/>
      <c r="AR265" s="58"/>
      <c r="AS265" s="58"/>
      <c r="AT265" s="26"/>
      <c r="AU265" s="58"/>
      <c r="AV265" s="58"/>
      <c r="AW265" s="58"/>
      <c r="AX265" s="58"/>
      <c r="AY265" s="71"/>
      <c r="AZ265" s="58"/>
      <c r="BA265" s="58"/>
      <c r="BB265" s="72" t="str">
        <f aca="false">IF(BA265&lt;&gt;"",VLOOKUP(BA265,Selects!$B$4:$C$100,2,0),"")</f>
        <v/>
      </c>
      <c r="BC265" s="26"/>
      <c r="BD265" s="26"/>
      <c r="BE265" s="73"/>
      <c r="BF265" s="74"/>
      <c r="BG265" s="75" t="str">
        <f aca="false">IF(LEN(BF265)=11,"PF",IF(LEN(BF265)=14,"PJ",""))</f>
        <v/>
      </c>
      <c r="BH265" s="66"/>
      <c r="BI265" s="58" t="str">
        <f aca="false">IF(BH265&lt;&gt;"",VLOOKUP(BH265,Selects!$G:$H,2,0),"")</f>
        <v/>
      </c>
      <c r="BJ265" s="58"/>
      <c r="BK265" s="58"/>
      <c r="BL265" s="59"/>
      <c r="BM265" s="58"/>
      <c r="BN265" s="58"/>
      <c r="BO265" s="58" t="str">
        <f aca="false">IF(BN265&lt;&gt;"",VLOOKUP(BN265,Selects!$J$4:$K$1000,2,0),"")</f>
        <v/>
      </c>
      <c r="BP265" s="76"/>
      <c r="BQ265" s="59"/>
      <c r="BR265" s="77"/>
      <c r="BS265" s="59"/>
      <c r="BT265" s="77"/>
      <c r="BU265" s="58"/>
      <c r="BV265" s="58"/>
      <c r="BW265" s="58"/>
      <c r="BX265" s="58"/>
      <c r="BY265" s="58"/>
      <c r="BZ265" s="58"/>
      <c r="CA265" s="58"/>
      <c r="CB265" s="72" t="str">
        <f aca="false">IF(AC265&lt;&gt;"",VLOOKUP(AC265,Selects!$B:$E,4,0),"")</f>
        <v/>
      </c>
      <c r="CC265" s="58"/>
      <c r="CD265" s="58"/>
      <c r="CE265" s="58"/>
    </row>
    <row r="266" customFormat="false" ht="15.75" hidden="false" customHeight="true" outlineLevel="0" collapsed="false">
      <c r="A266" s="17"/>
      <c r="B266" s="58"/>
      <c r="C266" s="58"/>
      <c r="D266" s="59"/>
      <c r="E266" s="60" t="str">
        <f aca="false">IF(LEN(D266)=11,"PF",IF(LEN(D266)=14,"PJ",""))</f>
        <v/>
      </c>
      <c r="F266" s="59"/>
      <c r="G266" s="59"/>
      <c r="H266" s="61" t="str">
        <f aca="false">IF(G266&lt;&gt;"",VLOOKUP(G266,'Cnae  mcc  id'!$A:$M,9,0),"")</f>
        <v/>
      </c>
      <c r="I266" s="62"/>
      <c r="J266" s="63" t="str">
        <f aca="false">IF(I266&lt;&gt;"",VLOOKUP(I266,'Legal Nature'!$E$2:$G$84,3,0),"")</f>
        <v/>
      </c>
      <c r="K266" s="64"/>
      <c r="L266" s="65"/>
      <c r="M266" s="66"/>
      <c r="N266" s="66"/>
      <c r="O266" s="79"/>
      <c r="P266" s="26"/>
      <c r="Q266" s="58"/>
      <c r="R266" s="58"/>
      <c r="S266" s="80"/>
      <c r="T266" s="68" t="str">
        <f aca="false">IF(LEFT(S266,1)="9","Celular",IF(S266="","","Fixo"))</f>
        <v/>
      </c>
      <c r="U266" s="58" t="str">
        <f aca="false">IF( T266&lt;&gt;"",VLOOKUP(T266,Selects!$M$4:$N$1000,2,0),"")</f>
        <v/>
      </c>
      <c r="V266" s="26"/>
      <c r="W266" s="58"/>
      <c r="X266" s="58"/>
      <c r="Y266" s="58"/>
      <c r="Z266" s="58"/>
      <c r="AA266" s="69"/>
      <c r="AB266" s="58"/>
      <c r="AC266" s="58"/>
      <c r="AD266" s="70" t="str">
        <f aca="false">IF(AC266&lt;&gt;"",VLOOKUP(AC266,Selects!$B$4:$C$100,2,0),"")</f>
        <v/>
      </c>
      <c r="AE266" s="26"/>
      <c r="AF266" s="58"/>
      <c r="AG266" s="59"/>
      <c r="AH266" s="65"/>
      <c r="AI266" s="66"/>
      <c r="AJ266" s="66"/>
      <c r="AK266" s="58"/>
      <c r="AL266" s="58"/>
      <c r="AM266" s="68" t="str">
        <f aca="false">IF(LEFT(AL266,1)="9","Celular",IF(AL266="","","Fixo"))</f>
        <v/>
      </c>
      <c r="AN266" s="58" t="str">
        <f aca="false">IF( AM266&lt;&gt;"",VLOOKUP(AM266,Selects!$M$4:$N$1000,2,0),"")</f>
        <v/>
      </c>
      <c r="AO266" s="58"/>
      <c r="AP266" s="59"/>
      <c r="AQ266" s="65"/>
      <c r="AR266" s="58"/>
      <c r="AS266" s="58"/>
      <c r="AT266" s="26"/>
      <c r="AU266" s="58"/>
      <c r="AV266" s="58"/>
      <c r="AW266" s="58"/>
      <c r="AX266" s="58"/>
      <c r="AY266" s="71"/>
      <c r="AZ266" s="58"/>
      <c r="BA266" s="58"/>
      <c r="BB266" s="72" t="str">
        <f aca="false">IF(BA266&lt;&gt;"",VLOOKUP(BA266,Selects!$B$4:$C$100,2,0),"")</f>
        <v/>
      </c>
      <c r="BC266" s="26"/>
      <c r="BD266" s="26"/>
      <c r="BE266" s="73"/>
      <c r="BF266" s="74"/>
      <c r="BG266" s="75" t="str">
        <f aca="false">IF(LEN(BF266)=11,"PF",IF(LEN(BF266)=14,"PJ",""))</f>
        <v/>
      </c>
      <c r="BH266" s="66"/>
      <c r="BI266" s="58" t="str">
        <f aca="false">IF(BH266&lt;&gt;"",VLOOKUP(BH266,Selects!$G:$H,2,0),"")</f>
        <v/>
      </c>
      <c r="BJ266" s="58"/>
      <c r="BK266" s="58"/>
      <c r="BL266" s="59"/>
      <c r="BM266" s="58"/>
      <c r="BN266" s="58"/>
      <c r="BO266" s="58" t="str">
        <f aca="false">IF(BN266&lt;&gt;"",VLOOKUP(BN266,Selects!$J$4:$K$1000,2,0),"")</f>
        <v/>
      </c>
      <c r="BP266" s="76"/>
      <c r="BQ266" s="59"/>
      <c r="BR266" s="77"/>
      <c r="BS266" s="59"/>
      <c r="BT266" s="77"/>
      <c r="BU266" s="58"/>
      <c r="BV266" s="58"/>
      <c r="BW266" s="58"/>
      <c r="BX266" s="58"/>
      <c r="BY266" s="58"/>
      <c r="BZ266" s="58"/>
      <c r="CA266" s="58"/>
      <c r="CB266" s="72" t="str">
        <f aca="false">IF(AC266&lt;&gt;"",VLOOKUP(AC266,Selects!$B:$E,4,0),"")</f>
        <v/>
      </c>
      <c r="CC266" s="58"/>
      <c r="CD266" s="58"/>
      <c r="CE266" s="58"/>
    </row>
    <row r="267" customFormat="false" ht="15.75" hidden="false" customHeight="true" outlineLevel="0" collapsed="false">
      <c r="A267" s="17"/>
      <c r="B267" s="58"/>
      <c r="C267" s="58"/>
      <c r="D267" s="59"/>
      <c r="E267" s="60" t="str">
        <f aca="false">IF(LEN(D267)=11,"PF",IF(LEN(D267)=14,"PJ",""))</f>
        <v/>
      </c>
      <c r="F267" s="59"/>
      <c r="G267" s="59"/>
      <c r="H267" s="61" t="str">
        <f aca="false">IF(G267&lt;&gt;"",VLOOKUP(G267,'Cnae  mcc  id'!$A:$M,9,0),"")</f>
        <v/>
      </c>
      <c r="I267" s="62"/>
      <c r="J267" s="63" t="str">
        <f aca="false">IF(I267&lt;&gt;"",VLOOKUP(I267,'Legal Nature'!$E$2:$G$84,3,0),"")</f>
        <v/>
      </c>
      <c r="K267" s="64"/>
      <c r="L267" s="65"/>
      <c r="M267" s="66"/>
      <c r="N267" s="66"/>
      <c r="O267" s="79"/>
      <c r="P267" s="26"/>
      <c r="Q267" s="58"/>
      <c r="R267" s="58"/>
      <c r="S267" s="80"/>
      <c r="T267" s="68" t="str">
        <f aca="false">IF(LEFT(S267,1)="9","Celular",IF(S267="","","Fixo"))</f>
        <v/>
      </c>
      <c r="U267" s="58" t="str">
        <f aca="false">IF( T267&lt;&gt;"",VLOOKUP(T267,Selects!$M$4:$N$1000,2,0),"")</f>
        <v/>
      </c>
      <c r="V267" s="26"/>
      <c r="W267" s="58"/>
      <c r="X267" s="58"/>
      <c r="Y267" s="58"/>
      <c r="Z267" s="58"/>
      <c r="AA267" s="69"/>
      <c r="AB267" s="58"/>
      <c r="AC267" s="58"/>
      <c r="AD267" s="70" t="str">
        <f aca="false">IF(AC267&lt;&gt;"",VLOOKUP(AC267,Selects!$B$4:$C$100,2,0),"")</f>
        <v/>
      </c>
      <c r="AE267" s="26"/>
      <c r="AF267" s="58"/>
      <c r="AG267" s="59"/>
      <c r="AH267" s="65"/>
      <c r="AI267" s="66"/>
      <c r="AJ267" s="66"/>
      <c r="AK267" s="58"/>
      <c r="AL267" s="58"/>
      <c r="AM267" s="68" t="str">
        <f aca="false">IF(LEFT(AL267,1)="9","Celular",IF(AL267="","","Fixo"))</f>
        <v/>
      </c>
      <c r="AN267" s="58" t="str">
        <f aca="false">IF( AM267&lt;&gt;"",VLOOKUP(AM267,Selects!$M$4:$N$1000,2,0),"")</f>
        <v/>
      </c>
      <c r="AO267" s="58"/>
      <c r="AP267" s="59"/>
      <c r="AQ267" s="65"/>
      <c r="AR267" s="58"/>
      <c r="AS267" s="58"/>
      <c r="AT267" s="26"/>
      <c r="AU267" s="58"/>
      <c r="AV267" s="58"/>
      <c r="AW267" s="58"/>
      <c r="AX267" s="58"/>
      <c r="AY267" s="71"/>
      <c r="AZ267" s="58"/>
      <c r="BA267" s="58"/>
      <c r="BB267" s="72" t="str">
        <f aca="false">IF(BA267&lt;&gt;"",VLOOKUP(BA267,Selects!$B$4:$C$100,2,0),"")</f>
        <v/>
      </c>
      <c r="BC267" s="26"/>
      <c r="BD267" s="26"/>
      <c r="BE267" s="73"/>
      <c r="BF267" s="74"/>
      <c r="BG267" s="75" t="str">
        <f aca="false">IF(LEN(BF267)=11,"PF",IF(LEN(BF267)=14,"PJ",""))</f>
        <v/>
      </c>
      <c r="BH267" s="66"/>
      <c r="BI267" s="58" t="str">
        <f aca="false">IF(BH267&lt;&gt;"",VLOOKUP(BH267,Selects!$G:$H,2,0),"")</f>
        <v/>
      </c>
      <c r="BJ267" s="58"/>
      <c r="BK267" s="58"/>
      <c r="BL267" s="59"/>
      <c r="BM267" s="58"/>
      <c r="BN267" s="58"/>
      <c r="BO267" s="58" t="str">
        <f aca="false">IF(BN267&lt;&gt;"",VLOOKUP(BN267,Selects!$J$4:$K$1000,2,0),"")</f>
        <v/>
      </c>
      <c r="BP267" s="76"/>
      <c r="BQ267" s="59"/>
      <c r="BR267" s="77"/>
      <c r="BS267" s="59"/>
      <c r="BT267" s="77"/>
      <c r="BU267" s="58"/>
      <c r="BV267" s="58"/>
      <c r="BW267" s="58"/>
      <c r="BX267" s="58"/>
      <c r="BY267" s="58"/>
      <c r="BZ267" s="58"/>
      <c r="CA267" s="58"/>
      <c r="CB267" s="72" t="str">
        <f aca="false">IF(AC267&lt;&gt;"",VLOOKUP(AC267,Selects!$B:$E,4,0),"")</f>
        <v/>
      </c>
      <c r="CC267" s="58"/>
      <c r="CD267" s="58"/>
      <c r="CE267" s="58"/>
    </row>
    <row r="268" customFormat="false" ht="15.75" hidden="false" customHeight="true" outlineLevel="0" collapsed="false">
      <c r="A268" s="17"/>
      <c r="B268" s="58"/>
      <c r="C268" s="58"/>
      <c r="D268" s="59"/>
      <c r="E268" s="60" t="str">
        <f aca="false">IF(LEN(D268)=11,"PF",IF(LEN(D268)=14,"PJ",""))</f>
        <v/>
      </c>
      <c r="F268" s="59"/>
      <c r="G268" s="59"/>
      <c r="H268" s="61" t="str">
        <f aca="false">IF(G268&lt;&gt;"",VLOOKUP(G268,'Cnae  mcc  id'!$A:$M,9,0),"")</f>
        <v/>
      </c>
      <c r="I268" s="62"/>
      <c r="J268" s="63" t="str">
        <f aca="false">IF(I268&lt;&gt;"",VLOOKUP(I268,'Legal Nature'!$E$2:$G$84,3,0),"")</f>
        <v/>
      </c>
      <c r="K268" s="64"/>
      <c r="L268" s="65"/>
      <c r="M268" s="66"/>
      <c r="N268" s="66"/>
      <c r="O268" s="79"/>
      <c r="P268" s="26"/>
      <c r="Q268" s="58"/>
      <c r="R268" s="58"/>
      <c r="S268" s="80"/>
      <c r="T268" s="68" t="str">
        <f aca="false">IF(LEFT(S268,1)="9","Celular",IF(S268="","","Fixo"))</f>
        <v/>
      </c>
      <c r="U268" s="58" t="str">
        <f aca="false">IF( T268&lt;&gt;"",VLOOKUP(T268,Selects!$M$4:$N$1000,2,0),"")</f>
        <v/>
      </c>
      <c r="V268" s="26"/>
      <c r="W268" s="58"/>
      <c r="X268" s="58"/>
      <c r="Y268" s="58"/>
      <c r="Z268" s="58"/>
      <c r="AA268" s="69"/>
      <c r="AB268" s="58"/>
      <c r="AC268" s="58"/>
      <c r="AD268" s="70" t="str">
        <f aca="false">IF(AC268&lt;&gt;"",VLOOKUP(AC268,Selects!$B$4:$C$100,2,0),"")</f>
        <v/>
      </c>
      <c r="AE268" s="26"/>
      <c r="AF268" s="58"/>
      <c r="AG268" s="59"/>
      <c r="AH268" s="65"/>
      <c r="AI268" s="66"/>
      <c r="AJ268" s="66"/>
      <c r="AK268" s="58"/>
      <c r="AL268" s="58"/>
      <c r="AM268" s="68" t="str">
        <f aca="false">IF(LEFT(AL268,1)="9","Celular",IF(AL268="","","Fixo"))</f>
        <v/>
      </c>
      <c r="AN268" s="58" t="str">
        <f aca="false">IF( AM268&lt;&gt;"",VLOOKUP(AM268,Selects!$M$4:$N$1000,2,0),"")</f>
        <v/>
      </c>
      <c r="AO268" s="58"/>
      <c r="AP268" s="59"/>
      <c r="AQ268" s="65"/>
      <c r="AR268" s="58"/>
      <c r="AS268" s="58"/>
      <c r="AT268" s="26"/>
      <c r="AU268" s="58"/>
      <c r="AV268" s="58"/>
      <c r="AW268" s="58"/>
      <c r="AX268" s="58"/>
      <c r="AY268" s="71"/>
      <c r="AZ268" s="58"/>
      <c r="BA268" s="58"/>
      <c r="BB268" s="72" t="str">
        <f aca="false">IF(BA268&lt;&gt;"",VLOOKUP(BA268,Selects!$B$4:$C$100,2,0),"")</f>
        <v/>
      </c>
      <c r="BC268" s="26"/>
      <c r="BD268" s="26"/>
      <c r="BE268" s="73"/>
      <c r="BF268" s="74"/>
      <c r="BG268" s="75" t="str">
        <f aca="false">IF(LEN(BF268)=11,"PF",IF(LEN(BF268)=14,"PJ",""))</f>
        <v/>
      </c>
      <c r="BH268" s="66"/>
      <c r="BI268" s="58" t="str">
        <f aca="false">IF(BH268&lt;&gt;"",VLOOKUP(BH268,Selects!$G:$H,2,0),"")</f>
        <v/>
      </c>
      <c r="BJ268" s="58"/>
      <c r="BK268" s="58"/>
      <c r="BL268" s="59"/>
      <c r="BM268" s="58"/>
      <c r="BN268" s="58"/>
      <c r="BO268" s="58" t="str">
        <f aca="false">IF(BN268&lt;&gt;"",VLOOKUP(BN268,Selects!$J$4:$K$1000,2,0),"")</f>
        <v/>
      </c>
      <c r="BP268" s="76"/>
      <c r="BQ268" s="59"/>
      <c r="BR268" s="77"/>
      <c r="BS268" s="59"/>
      <c r="BT268" s="77"/>
      <c r="BU268" s="58"/>
      <c r="BV268" s="58"/>
      <c r="BW268" s="58"/>
      <c r="BX268" s="58"/>
      <c r="BY268" s="58"/>
      <c r="BZ268" s="58"/>
      <c r="CA268" s="58"/>
      <c r="CB268" s="72" t="str">
        <f aca="false">IF(AC268&lt;&gt;"",VLOOKUP(AC268,Selects!$B:$E,4,0),"")</f>
        <v/>
      </c>
      <c r="CC268" s="58"/>
      <c r="CD268" s="58"/>
      <c r="CE268" s="58"/>
    </row>
    <row r="269" customFormat="false" ht="15.75" hidden="false" customHeight="true" outlineLevel="0" collapsed="false">
      <c r="A269" s="17"/>
      <c r="B269" s="58"/>
      <c r="C269" s="58"/>
      <c r="D269" s="59"/>
      <c r="E269" s="60" t="str">
        <f aca="false">IF(LEN(D269)=11,"PF",IF(LEN(D269)=14,"PJ",""))</f>
        <v/>
      </c>
      <c r="F269" s="59"/>
      <c r="G269" s="59"/>
      <c r="H269" s="61" t="str">
        <f aca="false">IF(G269&lt;&gt;"",VLOOKUP(G269,'Cnae  mcc  id'!$A:$M,9,0),"")</f>
        <v/>
      </c>
      <c r="I269" s="62"/>
      <c r="J269" s="63" t="str">
        <f aca="false">IF(I269&lt;&gt;"",VLOOKUP(I269,'Legal Nature'!$E$2:$G$84,3,0),"")</f>
        <v/>
      </c>
      <c r="K269" s="64"/>
      <c r="L269" s="65"/>
      <c r="M269" s="66"/>
      <c r="N269" s="66"/>
      <c r="O269" s="79"/>
      <c r="P269" s="26"/>
      <c r="Q269" s="58"/>
      <c r="R269" s="58"/>
      <c r="S269" s="80"/>
      <c r="T269" s="68" t="str">
        <f aca="false">IF(LEFT(S269,1)="9","Celular",IF(S269="","","Fixo"))</f>
        <v/>
      </c>
      <c r="U269" s="58" t="str">
        <f aca="false">IF( T269&lt;&gt;"",VLOOKUP(T269,Selects!$M$4:$N$1000,2,0),"")</f>
        <v/>
      </c>
      <c r="V269" s="26"/>
      <c r="W269" s="58"/>
      <c r="X269" s="58"/>
      <c r="Y269" s="58"/>
      <c r="Z269" s="58"/>
      <c r="AA269" s="69"/>
      <c r="AB269" s="58"/>
      <c r="AC269" s="58"/>
      <c r="AD269" s="70" t="str">
        <f aca="false">IF(AC269&lt;&gt;"",VLOOKUP(AC269,Selects!$B$4:$C$100,2,0),"")</f>
        <v/>
      </c>
      <c r="AE269" s="26"/>
      <c r="AF269" s="58"/>
      <c r="AG269" s="59"/>
      <c r="AH269" s="65"/>
      <c r="AI269" s="66"/>
      <c r="AJ269" s="66"/>
      <c r="AK269" s="58"/>
      <c r="AL269" s="58"/>
      <c r="AM269" s="68" t="str">
        <f aca="false">IF(LEFT(AL269,1)="9","Celular",IF(AL269="","","Fixo"))</f>
        <v/>
      </c>
      <c r="AN269" s="58" t="str">
        <f aca="false">IF( AM269&lt;&gt;"",VLOOKUP(AM269,Selects!$M$4:$N$1000,2,0),"")</f>
        <v/>
      </c>
      <c r="AO269" s="58"/>
      <c r="AP269" s="59"/>
      <c r="AQ269" s="65"/>
      <c r="AR269" s="58"/>
      <c r="AS269" s="58"/>
      <c r="AT269" s="26"/>
      <c r="AU269" s="58"/>
      <c r="AV269" s="58"/>
      <c r="AW269" s="58"/>
      <c r="AX269" s="58"/>
      <c r="AY269" s="71"/>
      <c r="AZ269" s="58"/>
      <c r="BA269" s="58"/>
      <c r="BB269" s="72" t="str">
        <f aca="false">IF(BA269&lt;&gt;"",VLOOKUP(BA269,Selects!$B$4:$C$100,2,0),"")</f>
        <v/>
      </c>
      <c r="BC269" s="26"/>
      <c r="BD269" s="26"/>
      <c r="BE269" s="73"/>
      <c r="BF269" s="74"/>
      <c r="BG269" s="75" t="str">
        <f aca="false">IF(LEN(BF269)=11,"PF",IF(LEN(BF269)=14,"PJ",""))</f>
        <v/>
      </c>
      <c r="BH269" s="66"/>
      <c r="BI269" s="58" t="str">
        <f aca="false">IF(BH269&lt;&gt;"",VLOOKUP(BH269,Selects!$G:$H,2,0),"")</f>
        <v/>
      </c>
      <c r="BJ269" s="58"/>
      <c r="BK269" s="58"/>
      <c r="BL269" s="59"/>
      <c r="BM269" s="58"/>
      <c r="BN269" s="58"/>
      <c r="BO269" s="58" t="str">
        <f aca="false">IF(BN269&lt;&gt;"",VLOOKUP(BN269,Selects!$J$4:$K$1000,2,0),"")</f>
        <v/>
      </c>
      <c r="BP269" s="76"/>
      <c r="BQ269" s="59"/>
      <c r="BR269" s="77"/>
      <c r="BS269" s="59"/>
      <c r="BT269" s="77"/>
      <c r="BU269" s="58"/>
      <c r="BV269" s="58"/>
      <c r="BW269" s="58"/>
      <c r="BX269" s="58"/>
      <c r="BY269" s="58"/>
      <c r="BZ269" s="58"/>
      <c r="CA269" s="58"/>
      <c r="CB269" s="72" t="str">
        <f aca="false">IF(AC269&lt;&gt;"",VLOOKUP(AC269,Selects!$B:$E,4,0),"")</f>
        <v/>
      </c>
      <c r="CC269" s="58"/>
      <c r="CD269" s="58"/>
      <c r="CE269" s="58"/>
    </row>
    <row r="270" customFormat="false" ht="15.75" hidden="false" customHeight="true" outlineLevel="0" collapsed="false">
      <c r="A270" s="17"/>
      <c r="B270" s="58"/>
      <c r="C270" s="58"/>
      <c r="D270" s="59"/>
      <c r="E270" s="60" t="str">
        <f aca="false">IF(LEN(D270)=11,"PF",IF(LEN(D270)=14,"PJ",""))</f>
        <v/>
      </c>
      <c r="F270" s="59"/>
      <c r="G270" s="59"/>
      <c r="H270" s="61" t="str">
        <f aca="false">IF(G270&lt;&gt;"",VLOOKUP(G270,'Cnae  mcc  id'!$A:$M,9,0),"")</f>
        <v/>
      </c>
      <c r="I270" s="62"/>
      <c r="J270" s="63" t="str">
        <f aca="false">IF(I270&lt;&gt;"",VLOOKUP(I270,'Legal Nature'!$E$2:$G$84,3,0),"")</f>
        <v/>
      </c>
      <c r="K270" s="64"/>
      <c r="L270" s="65"/>
      <c r="M270" s="66"/>
      <c r="N270" s="66"/>
      <c r="O270" s="79"/>
      <c r="P270" s="26"/>
      <c r="Q270" s="58"/>
      <c r="R270" s="58"/>
      <c r="S270" s="80"/>
      <c r="T270" s="68" t="str">
        <f aca="false">IF(LEFT(S270,1)="9","Celular",IF(S270="","","Fixo"))</f>
        <v/>
      </c>
      <c r="U270" s="58" t="str">
        <f aca="false">IF( T270&lt;&gt;"",VLOOKUP(T270,Selects!$M$4:$N$1000,2,0),"")</f>
        <v/>
      </c>
      <c r="V270" s="26"/>
      <c r="W270" s="58"/>
      <c r="X270" s="58"/>
      <c r="Y270" s="58"/>
      <c r="Z270" s="58"/>
      <c r="AA270" s="69"/>
      <c r="AB270" s="58"/>
      <c r="AC270" s="58"/>
      <c r="AD270" s="70" t="str">
        <f aca="false">IF(AC270&lt;&gt;"",VLOOKUP(AC270,Selects!$B$4:$C$100,2,0),"")</f>
        <v/>
      </c>
      <c r="AE270" s="26"/>
      <c r="AF270" s="58"/>
      <c r="AG270" s="59"/>
      <c r="AH270" s="65"/>
      <c r="AI270" s="66"/>
      <c r="AJ270" s="66"/>
      <c r="AK270" s="58"/>
      <c r="AL270" s="58"/>
      <c r="AM270" s="68" t="str">
        <f aca="false">IF(LEFT(AL270,1)="9","Celular",IF(AL270="","","Fixo"))</f>
        <v/>
      </c>
      <c r="AN270" s="58" t="str">
        <f aca="false">IF( AM270&lt;&gt;"",VLOOKUP(AM270,Selects!$M$4:$N$1000,2,0),"")</f>
        <v/>
      </c>
      <c r="AO270" s="58"/>
      <c r="AP270" s="59"/>
      <c r="AQ270" s="65"/>
      <c r="AR270" s="58"/>
      <c r="AS270" s="58"/>
      <c r="AT270" s="26"/>
      <c r="AU270" s="58"/>
      <c r="AV270" s="58"/>
      <c r="AW270" s="58"/>
      <c r="AX270" s="58"/>
      <c r="AY270" s="71"/>
      <c r="AZ270" s="58"/>
      <c r="BA270" s="58"/>
      <c r="BB270" s="72" t="str">
        <f aca="false">IF(BA270&lt;&gt;"",VLOOKUP(BA270,Selects!$B$4:$C$100,2,0),"")</f>
        <v/>
      </c>
      <c r="BC270" s="26"/>
      <c r="BD270" s="26"/>
      <c r="BE270" s="73"/>
      <c r="BF270" s="74"/>
      <c r="BG270" s="75" t="str">
        <f aca="false">IF(LEN(BF270)=11,"PF",IF(LEN(BF270)=14,"PJ",""))</f>
        <v/>
      </c>
      <c r="BH270" s="66"/>
      <c r="BI270" s="58" t="str">
        <f aca="false">IF(BH270&lt;&gt;"",VLOOKUP(BH270,Selects!$G:$H,2,0),"")</f>
        <v/>
      </c>
      <c r="BJ270" s="58"/>
      <c r="BK270" s="58"/>
      <c r="BL270" s="59"/>
      <c r="BM270" s="58"/>
      <c r="BN270" s="58"/>
      <c r="BO270" s="58" t="str">
        <f aca="false">IF(BN270&lt;&gt;"",VLOOKUP(BN270,Selects!$J$4:$K$1000,2,0),"")</f>
        <v/>
      </c>
      <c r="BP270" s="76"/>
      <c r="BQ270" s="59"/>
      <c r="BR270" s="77"/>
      <c r="BS270" s="59"/>
      <c r="BT270" s="77"/>
      <c r="BU270" s="58"/>
      <c r="BV270" s="58"/>
      <c r="BW270" s="58"/>
      <c r="BX270" s="58"/>
      <c r="BY270" s="58"/>
      <c r="BZ270" s="58"/>
      <c r="CA270" s="58"/>
      <c r="CB270" s="72" t="str">
        <f aca="false">IF(AC270&lt;&gt;"",VLOOKUP(AC270,Selects!$B:$E,4,0),"")</f>
        <v/>
      </c>
      <c r="CC270" s="58"/>
      <c r="CD270" s="58"/>
      <c r="CE270" s="58"/>
    </row>
    <row r="271" customFormat="false" ht="15.75" hidden="false" customHeight="true" outlineLevel="0" collapsed="false">
      <c r="A271" s="17"/>
      <c r="B271" s="58"/>
      <c r="C271" s="58"/>
      <c r="D271" s="59"/>
      <c r="E271" s="60" t="str">
        <f aca="false">IF(LEN(D271)=11,"PF",IF(LEN(D271)=14,"PJ",""))</f>
        <v/>
      </c>
      <c r="F271" s="59"/>
      <c r="G271" s="59"/>
      <c r="H271" s="61" t="str">
        <f aca="false">IF(G271&lt;&gt;"",VLOOKUP(G271,'Cnae  mcc  id'!$A:$M,9,0),"")</f>
        <v/>
      </c>
      <c r="I271" s="62"/>
      <c r="J271" s="63" t="str">
        <f aca="false">IF(I271&lt;&gt;"",VLOOKUP(I271,'Legal Nature'!$E$2:$G$84,3,0),"")</f>
        <v/>
      </c>
      <c r="K271" s="64"/>
      <c r="L271" s="65"/>
      <c r="M271" s="66"/>
      <c r="N271" s="66"/>
      <c r="O271" s="79"/>
      <c r="P271" s="26"/>
      <c r="Q271" s="58"/>
      <c r="R271" s="58"/>
      <c r="S271" s="80"/>
      <c r="T271" s="68" t="str">
        <f aca="false">IF(LEFT(S271,1)="9","Celular",IF(S271="","","Fixo"))</f>
        <v/>
      </c>
      <c r="U271" s="58" t="str">
        <f aca="false">IF( T271&lt;&gt;"",VLOOKUP(T271,Selects!$M$4:$N$1000,2,0),"")</f>
        <v/>
      </c>
      <c r="V271" s="26"/>
      <c r="W271" s="58"/>
      <c r="X271" s="58"/>
      <c r="Y271" s="58"/>
      <c r="Z271" s="58"/>
      <c r="AA271" s="69"/>
      <c r="AB271" s="58"/>
      <c r="AC271" s="58"/>
      <c r="AD271" s="70" t="str">
        <f aca="false">IF(AC271&lt;&gt;"",VLOOKUP(AC271,Selects!$B$4:$C$100,2,0),"")</f>
        <v/>
      </c>
      <c r="AE271" s="26"/>
      <c r="AF271" s="58"/>
      <c r="AG271" s="59"/>
      <c r="AH271" s="65"/>
      <c r="AI271" s="66"/>
      <c r="AJ271" s="66"/>
      <c r="AK271" s="58"/>
      <c r="AL271" s="58"/>
      <c r="AM271" s="68" t="str">
        <f aca="false">IF(LEFT(AL271,1)="9","Celular",IF(AL271="","","Fixo"))</f>
        <v/>
      </c>
      <c r="AN271" s="58" t="str">
        <f aca="false">IF( AM271&lt;&gt;"",VLOOKUP(AM271,Selects!$M$4:$N$1000,2,0),"")</f>
        <v/>
      </c>
      <c r="AO271" s="58"/>
      <c r="AP271" s="59"/>
      <c r="AQ271" s="65"/>
      <c r="AR271" s="58"/>
      <c r="AS271" s="58"/>
      <c r="AT271" s="26"/>
      <c r="AU271" s="58"/>
      <c r="AV271" s="58"/>
      <c r="AW271" s="58"/>
      <c r="AX271" s="58"/>
      <c r="AY271" s="71"/>
      <c r="AZ271" s="58"/>
      <c r="BA271" s="58"/>
      <c r="BB271" s="72" t="str">
        <f aca="false">IF(BA271&lt;&gt;"",VLOOKUP(BA271,Selects!$B$4:$C$100,2,0),"")</f>
        <v/>
      </c>
      <c r="BC271" s="26"/>
      <c r="BD271" s="26"/>
      <c r="BE271" s="73"/>
      <c r="BF271" s="74"/>
      <c r="BG271" s="75" t="str">
        <f aca="false">IF(LEN(BF271)=11,"PF",IF(LEN(BF271)=14,"PJ",""))</f>
        <v/>
      </c>
      <c r="BH271" s="66"/>
      <c r="BI271" s="58" t="str">
        <f aca="false">IF(BH271&lt;&gt;"",VLOOKUP(BH271,Selects!$G:$H,2,0),"")</f>
        <v/>
      </c>
      <c r="BJ271" s="58"/>
      <c r="BK271" s="58"/>
      <c r="BL271" s="59"/>
      <c r="BM271" s="58"/>
      <c r="BN271" s="58"/>
      <c r="BO271" s="58" t="str">
        <f aca="false">IF(BN271&lt;&gt;"",VLOOKUP(BN271,Selects!$J$4:$K$1000,2,0),"")</f>
        <v/>
      </c>
      <c r="BP271" s="76"/>
      <c r="BQ271" s="59"/>
      <c r="BR271" s="77"/>
      <c r="BS271" s="59"/>
      <c r="BT271" s="77"/>
      <c r="BU271" s="58"/>
      <c r="BV271" s="58"/>
      <c r="BW271" s="58"/>
      <c r="BX271" s="58"/>
      <c r="BY271" s="58"/>
      <c r="BZ271" s="58"/>
      <c r="CA271" s="58"/>
      <c r="CB271" s="72" t="str">
        <f aca="false">IF(AC271&lt;&gt;"",VLOOKUP(AC271,Selects!$B:$E,4,0),"")</f>
        <v/>
      </c>
      <c r="CC271" s="58"/>
      <c r="CD271" s="58"/>
      <c r="CE271" s="58"/>
    </row>
    <row r="272" customFormat="false" ht="15.75" hidden="false" customHeight="true" outlineLevel="0" collapsed="false">
      <c r="A272" s="17"/>
      <c r="B272" s="58"/>
      <c r="C272" s="58"/>
      <c r="D272" s="59"/>
      <c r="E272" s="60" t="str">
        <f aca="false">IF(LEN(D272)=11,"PF",IF(LEN(D272)=14,"PJ",""))</f>
        <v/>
      </c>
      <c r="F272" s="59"/>
      <c r="G272" s="59"/>
      <c r="H272" s="61" t="str">
        <f aca="false">IF(G272&lt;&gt;"",VLOOKUP(G272,'Cnae  mcc  id'!$A:$M,9,0),"")</f>
        <v/>
      </c>
      <c r="I272" s="62"/>
      <c r="J272" s="63" t="str">
        <f aca="false">IF(I272&lt;&gt;"",VLOOKUP(I272,'Legal Nature'!$E$2:$G$84,3,0),"")</f>
        <v/>
      </c>
      <c r="K272" s="64"/>
      <c r="L272" s="65"/>
      <c r="M272" s="66"/>
      <c r="N272" s="66"/>
      <c r="O272" s="79"/>
      <c r="P272" s="26"/>
      <c r="Q272" s="58"/>
      <c r="R272" s="58"/>
      <c r="S272" s="80"/>
      <c r="T272" s="68" t="str">
        <f aca="false">IF(LEFT(S272,1)="9","Celular",IF(S272="","","Fixo"))</f>
        <v/>
      </c>
      <c r="U272" s="58" t="str">
        <f aca="false">IF( T272&lt;&gt;"",VLOOKUP(T272,Selects!$M$4:$N$1000,2,0),"")</f>
        <v/>
      </c>
      <c r="V272" s="26"/>
      <c r="W272" s="58"/>
      <c r="X272" s="58"/>
      <c r="Y272" s="58"/>
      <c r="Z272" s="58"/>
      <c r="AA272" s="69"/>
      <c r="AB272" s="58"/>
      <c r="AC272" s="58"/>
      <c r="AD272" s="70" t="str">
        <f aca="false">IF(AC272&lt;&gt;"",VLOOKUP(AC272,Selects!$B$4:$C$100,2,0),"")</f>
        <v/>
      </c>
      <c r="AE272" s="26"/>
      <c r="AF272" s="58"/>
      <c r="AG272" s="59"/>
      <c r="AH272" s="65"/>
      <c r="AI272" s="66"/>
      <c r="AJ272" s="66"/>
      <c r="AK272" s="58"/>
      <c r="AL272" s="58"/>
      <c r="AM272" s="68" t="str">
        <f aca="false">IF(LEFT(AL272,1)="9","Celular",IF(AL272="","","Fixo"))</f>
        <v/>
      </c>
      <c r="AN272" s="58" t="str">
        <f aca="false">IF( AM272&lt;&gt;"",VLOOKUP(AM272,Selects!$M$4:$N$1000,2,0),"")</f>
        <v/>
      </c>
      <c r="AO272" s="58"/>
      <c r="AP272" s="59"/>
      <c r="AQ272" s="65"/>
      <c r="AR272" s="58"/>
      <c r="AS272" s="58"/>
      <c r="AT272" s="26"/>
      <c r="AU272" s="58"/>
      <c r="AV272" s="58"/>
      <c r="AW272" s="58"/>
      <c r="AX272" s="58"/>
      <c r="AY272" s="71"/>
      <c r="AZ272" s="58"/>
      <c r="BA272" s="58"/>
      <c r="BB272" s="72" t="str">
        <f aca="false">IF(BA272&lt;&gt;"",VLOOKUP(BA272,Selects!$B$4:$C$100,2,0),"")</f>
        <v/>
      </c>
      <c r="BC272" s="26"/>
      <c r="BD272" s="26"/>
      <c r="BE272" s="73"/>
      <c r="BF272" s="74"/>
      <c r="BG272" s="75" t="str">
        <f aca="false">IF(LEN(BF272)=11,"PF",IF(LEN(BF272)=14,"PJ",""))</f>
        <v/>
      </c>
      <c r="BH272" s="66"/>
      <c r="BI272" s="58" t="str">
        <f aca="false">IF(BH272&lt;&gt;"",VLOOKUP(BH272,Selects!$G:$H,2,0),"")</f>
        <v/>
      </c>
      <c r="BJ272" s="58"/>
      <c r="BK272" s="58"/>
      <c r="BL272" s="59"/>
      <c r="BM272" s="58"/>
      <c r="BN272" s="58"/>
      <c r="BO272" s="58" t="str">
        <f aca="false">IF(BN272&lt;&gt;"",VLOOKUP(BN272,Selects!$J$4:$K$1000,2,0),"")</f>
        <v/>
      </c>
      <c r="BP272" s="76"/>
      <c r="BQ272" s="59"/>
      <c r="BR272" s="77"/>
      <c r="BS272" s="59"/>
      <c r="BT272" s="77"/>
      <c r="BU272" s="58"/>
      <c r="BV272" s="58"/>
      <c r="BW272" s="58"/>
      <c r="BX272" s="58"/>
      <c r="BY272" s="58"/>
      <c r="BZ272" s="58"/>
      <c r="CA272" s="58"/>
      <c r="CB272" s="72" t="str">
        <f aca="false">IF(AC272&lt;&gt;"",VLOOKUP(AC272,Selects!$B:$E,4,0),"")</f>
        <v/>
      </c>
      <c r="CC272" s="58"/>
      <c r="CD272" s="58"/>
      <c r="CE272" s="58"/>
    </row>
    <row r="273" customFormat="false" ht="15.75" hidden="false" customHeight="true" outlineLevel="0" collapsed="false">
      <c r="A273" s="17"/>
      <c r="B273" s="58"/>
      <c r="C273" s="58"/>
      <c r="D273" s="59"/>
      <c r="E273" s="60" t="str">
        <f aca="false">IF(LEN(D273)=11,"PF",IF(LEN(D273)=14,"PJ",""))</f>
        <v/>
      </c>
      <c r="F273" s="59"/>
      <c r="G273" s="59"/>
      <c r="H273" s="61" t="str">
        <f aca="false">IF(G273&lt;&gt;"",VLOOKUP(G273,'Cnae  mcc  id'!$A:$M,9,0),"")</f>
        <v/>
      </c>
      <c r="I273" s="62"/>
      <c r="J273" s="63" t="str">
        <f aca="false">IF(I273&lt;&gt;"",VLOOKUP(I273,'Legal Nature'!$E$2:$G$84,3,0),"")</f>
        <v/>
      </c>
      <c r="K273" s="64"/>
      <c r="L273" s="65"/>
      <c r="M273" s="66"/>
      <c r="N273" s="66"/>
      <c r="O273" s="79"/>
      <c r="P273" s="26"/>
      <c r="Q273" s="58"/>
      <c r="R273" s="58"/>
      <c r="S273" s="80"/>
      <c r="T273" s="68" t="str">
        <f aca="false">IF(LEFT(S273,1)="9","Celular",IF(S273="","","Fixo"))</f>
        <v/>
      </c>
      <c r="U273" s="58" t="str">
        <f aca="false">IF( T273&lt;&gt;"",VLOOKUP(T273,Selects!$M$4:$N$1000,2,0),"")</f>
        <v/>
      </c>
      <c r="V273" s="26"/>
      <c r="W273" s="58"/>
      <c r="X273" s="58"/>
      <c r="Y273" s="58"/>
      <c r="Z273" s="58"/>
      <c r="AA273" s="69"/>
      <c r="AB273" s="58"/>
      <c r="AC273" s="58"/>
      <c r="AD273" s="70" t="str">
        <f aca="false">IF(AC273&lt;&gt;"",VLOOKUP(AC273,Selects!$B$4:$C$100,2,0),"")</f>
        <v/>
      </c>
      <c r="AE273" s="26"/>
      <c r="AF273" s="58"/>
      <c r="AG273" s="59"/>
      <c r="AH273" s="65"/>
      <c r="AI273" s="66"/>
      <c r="AJ273" s="66"/>
      <c r="AK273" s="58"/>
      <c r="AL273" s="58"/>
      <c r="AM273" s="68" t="str">
        <f aca="false">IF(LEFT(AL273,1)="9","Celular",IF(AL273="","","Fixo"))</f>
        <v/>
      </c>
      <c r="AN273" s="58" t="str">
        <f aca="false">IF( AM273&lt;&gt;"",VLOOKUP(AM273,Selects!$M$4:$N$1000,2,0),"")</f>
        <v/>
      </c>
      <c r="AO273" s="58"/>
      <c r="AP273" s="59"/>
      <c r="AQ273" s="65"/>
      <c r="AR273" s="58"/>
      <c r="AS273" s="58"/>
      <c r="AT273" s="26"/>
      <c r="AU273" s="58"/>
      <c r="AV273" s="58"/>
      <c r="AW273" s="58"/>
      <c r="AX273" s="58"/>
      <c r="AY273" s="71"/>
      <c r="AZ273" s="58"/>
      <c r="BA273" s="58"/>
      <c r="BB273" s="72" t="str">
        <f aca="false">IF(BA273&lt;&gt;"",VLOOKUP(BA273,Selects!$B$4:$C$100,2,0),"")</f>
        <v/>
      </c>
      <c r="BC273" s="26"/>
      <c r="BD273" s="26"/>
      <c r="BE273" s="73"/>
      <c r="BF273" s="74"/>
      <c r="BG273" s="75" t="str">
        <f aca="false">IF(LEN(BF273)=11,"PF",IF(LEN(BF273)=14,"PJ",""))</f>
        <v/>
      </c>
      <c r="BH273" s="66"/>
      <c r="BI273" s="58" t="str">
        <f aca="false">IF(BH273&lt;&gt;"",VLOOKUP(BH273,Selects!$G:$H,2,0),"")</f>
        <v/>
      </c>
      <c r="BJ273" s="58"/>
      <c r="BK273" s="58"/>
      <c r="BL273" s="59"/>
      <c r="BM273" s="58"/>
      <c r="BN273" s="58"/>
      <c r="BO273" s="58" t="str">
        <f aca="false">IF(BN273&lt;&gt;"",VLOOKUP(BN273,Selects!$J$4:$K$1000,2,0),"")</f>
        <v/>
      </c>
      <c r="BP273" s="76"/>
      <c r="BQ273" s="59"/>
      <c r="BR273" s="77"/>
      <c r="BS273" s="59"/>
      <c r="BT273" s="77"/>
      <c r="BU273" s="58"/>
      <c r="BV273" s="58"/>
      <c r="BW273" s="58"/>
      <c r="BX273" s="58"/>
      <c r="BY273" s="58"/>
      <c r="BZ273" s="58"/>
      <c r="CA273" s="58"/>
      <c r="CB273" s="72" t="str">
        <f aca="false">IF(AC273&lt;&gt;"",VLOOKUP(AC273,Selects!$B:$E,4,0),"")</f>
        <v/>
      </c>
      <c r="CC273" s="58"/>
      <c r="CD273" s="58"/>
      <c r="CE273" s="58"/>
    </row>
    <row r="274" customFormat="false" ht="15.75" hidden="false" customHeight="true" outlineLevel="0" collapsed="false">
      <c r="A274" s="17"/>
      <c r="B274" s="58"/>
      <c r="C274" s="58"/>
      <c r="D274" s="59"/>
      <c r="E274" s="60" t="str">
        <f aca="false">IF(LEN(D274)=11,"PF",IF(LEN(D274)=14,"PJ",""))</f>
        <v/>
      </c>
      <c r="F274" s="59"/>
      <c r="G274" s="59"/>
      <c r="H274" s="61" t="str">
        <f aca="false">IF(G274&lt;&gt;"",VLOOKUP(G274,'Cnae  mcc  id'!$A:$M,9,0),"")</f>
        <v/>
      </c>
      <c r="I274" s="62"/>
      <c r="J274" s="63" t="str">
        <f aca="false">IF(I274&lt;&gt;"",VLOOKUP(I274,'Legal Nature'!$E$2:$G$84,3,0),"")</f>
        <v/>
      </c>
      <c r="K274" s="64"/>
      <c r="L274" s="65"/>
      <c r="M274" s="66"/>
      <c r="N274" s="66"/>
      <c r="O274" s="79"/>
      <c r="P274" s="26"/>
      <c r="Q274" s="58"/>
      <c r="R274" s="58"/>
      <c r="S274" s="80"/>
      <c r="T274" s="68" t="str">
        <f aca="false">IF(LEFT(S274,1)="9","Celular",IF(S274="","","Fixo"))</f>
        <v/>
      </c>
      <c r="U274" s="58" t="str">
        <f aca="false">IF( T274&lt;&gt;"",VLOOKUP(T274,Selects!$M$4:$N$1000,2,0),"")</f>
        <v/>
      </c>
      <c r="V274" s="26"/>
      <c r="W274" s="58"/>
      <c r="X274" s="58"/>
      <c r="Y274" s="58"/>
      <c r="Z274" s="58"/>
      <c r="AA274" s="69"/>
      <c r="AB274" s="58"/>
      <c r="AC274" s="58"/>
      <c r="AD274" s="70" t="str">
        <f aca="false">IF(AC274&lt;&gt;"",VLOOKUP(AC274,Selects!$B$4:$C$100,2,0),"")</f>
        <v/>
      </c>
      <c r="AE274" s="26"/>
      <c r="AF274" s="58"/>
      <c r="AG274" s="59"/>
      <c r="AH274" s="65"/>
      <c r="AI274" s="66"/>
      <c r="AJ274" s="66"/>
      <c r="AK274" s="58"/>
      <c r="AL274" s="58"/>
      <c r="AM274" s="68" t="str">
        <f aca="false">IF(LEFT(AL274,1)="9","Celular",IF(AL274="","","Fixo"))</f>
        <v/>
      </c>
      <c r="AN274" s="58" t="str">
        <f aca="false">IF( AM274&lt;&gt;"",VLOOKUP(AM274,Selects!$M$4:$N$1000,2,0),"")</f>
        <v/>
      </c>
      <c r="AO274" s="58"/>
      <c r="AP274" s="59"/>
      <c r="AQ274" s="65"/>
      <c r="AR274" s="58"/>
      <c r="AS274" s="58"/>
      <c r="AT274" s="26"/>
      <c r="AU274" s="58"/>
      <c r="AV274" s="58"/>
      <c r="AW274" s="58"/>
      <c r="AX274" s="58"/>
      <c r="AY274" s="71"/>
      <c r="AZ274" s="58"/>
      <c r="BA274" s="58"/>
      <c r="BB274" s="72" t="str">
        <f aca="false">IF(BA274&lt;&gt;"",VLOOKUP(BA274,Selects!$B$4:$C$100,2,0),"")</f>
        <v/>
      </c>
      <c r="BC274" s="26"/>
      <c r="BD274" s="26"/>
      <c r="BE274" s="73"/>
      <c r="BF274" s="74"/>
      <c r="BG274" s="75" t="str">
        <f aca="false">IF(LEN(BF274)=11,"PF",IF(LEN(BF274)=14,"PJ",""))</f>
        <v/>
      </c>
      <c r="BH274" s="66"/>
      <c r="BI274" s="58" t="str">
        <f aca="false">IF(BH274&lt;&gt;"",VLOOKUP(BH274,Selects!$G:$H,2,0),"")</f>
        <v/>
      </c>
      <c r="BJ274" s="58"/>
      <c r="BK274" s="58"/>
      <c r="BL274" s="59"/>
      <c r="BM274" s="58"/>
      <c r="BN274" s="58"/>
      <c r="BO274" s="58" t="str">
        <f aca="false">IF(BN274&lt;&gt;"",VLOOKUP(BN274,Selects!$J$4:$K$1000,2,0),"")</f>
        <v/>
      </c>
      <c r="BP274" s="76"/>
      <c r="BQ274" s="59"/>
      <c r="BR274" s="77"/>
      <c r="BS274" s="59"/>
      <c r="BT274" s="77"/>
      <c r="BU274" s="58"/>
      <c r="BV274" s="58"/>
      <c r="BW274" s="58"/>
      <c r="BX274" s="58"/>
      <c r="BY274" s="58"/>
      <c r="BZ274" s="58"/>
      <c r="CA274" s="58"/>
      <c r="CB274" s="72" t="str">
        <f aca="false">IF(AC274&lt;&gt;"",VLOOKUP(AC274,Selects!$B:$E,4,0),"")</f>
        <v/>
      </c>
      <c r="CC274" s="58"/>
      <c r="CD274" s="58"/>
      <c r="CE274" s="58"/>
    </row>
    <row r="275" customFormat="false" ht="15.75" hidden="false" customHeight="true" outlineLevel="0" collapsed="false">
      <c r="A275" s="17"/>
      <c r="B275" s="58"/>
      <c r="C275" s="58"/>
      <c r="D275" s="59"/>
      <c r="E275" s="60" t="str">
        <f aca="false">IF(LEN(D275)=11,"PF",IF(LEN(D275)=14,"PJ",""))</f>
        <v/>
      </c>
      <c r="F275" s="59"/>
      <c r="G275" s="59"/>
      <c r="H275" s="61" t="str">
        <f aca="false">IF(G275&lt;&gt;"",VLOOKUP(G275,'Cnae  mcc  id'!$A:$M,9,0),"")</f>
        <v/>
      </c>
      <c r="I275" s="62"/>
      <c r="J275" s="63" t="str">
        <f aca="false">IF(I275&lt;&gt;"",VLOOKUP(I275,'Legal Nature'!$E$2:$G$84,3,0),"")</f>
        <v/>
      </c>
      <c r="K275" s="64"/>
      <c r="L275" s="65"/>
      <c r="M275" s="66"/>
      <c r="N275" s="66"/>
      <c r="O275" s="79"/>
      <c r="P275" s="26"/>
      <c r="Q275" s="58"/>
      <c r="R275" s="58"/>
      <c r="S275" s="80"/>
      <c r="T275" s="68" t="str">
        <f aca="false">IF(LEFT(S275,1)="9","Celular",IF(S275="","","Fixo"))</f>
        <v/>
      </c>
      <c r="U275" s="58" t="str">
        <f aca="false">IF( T275&lt;&gt;"",VLOOKUP(T275,Selects!$M$4:$N$1000,2,0),"")</f>
        <v/>
      </c>
      <c r="V275" s="26"/>
      <c r="W275" s="58"/>
      <c r="X275" s="58"/>
      <c r="Y275" s="58"/>
      <c r="Z275" s="58"/>
      <c r="AA275" s="69"/>
      <c r="AB275" s="58"/>
      <c r="AC275" s="58"/>
      <c r="AD275" s="70" t="str">
        <f aca="false">IF(AC275&lt;&gt;"",VLOOKUP(AC275,Selects!$B$4:$C$100,2,0),"")</f>
        <v/>
      </c>
      <c r="AE275" s="26"/>
      <c r="AF275" s="58"/>
      <c r="AG275" s="59"/>
      <c r="AH275" s="65"/>
      <c r="AI275" s="66"/>
      <c r="AJ275" s="66"/>
      <c r="AK275" s="58"/>
      <c r="AL275" s="58"/>
      <c r="AM275" s="68" t="str">
        <f aca="false">IF(LEFT(AL275,1)="9","Celular",IF(AL275="","","Fixo"))</f>
        <v/>
      </c>
      <c r="AN275" s="58" t="str">
        <f aca="false">IF( AM275&lt;&gt;"",VLOOKUP(AM275,Selects!$M$4:$N$1000,2,0),"")</f>
        <v/>
      </c>
      <c r="AO275" s="58"/>
      <c r="AP275" s="59"/>
      <c r="AQ275" s="65"/>
      <c r="AR275" s="58"/>
      <c r="AS275" s="58"/>
      <c r="AT275" s="26"/>
      <c r="AU275" s="58"/>
      <c r="AV275" s="58"/>
      <c r="AW275" s="58"/>
      <c r="AX275" s="58"/>
      <c r="AY275" s="71"/>
      <c r="AZ275" s="58"/>
      <c r="BA275" s="58"/>
      <c r="BB275" s="72" t="str">
        <f aca="false">IF(BA275&lt;&gt;"",VLOOKUP(BA275,Selects!$B$4:$C$100,2,0),"")</f>
        <v/>
      </c>
      <c r="BC275" s="26"/>
      <c r="BD275" s="26"/>
      <c r="BE275" s="73"/>
      <c r="BF275" s="74"/>
      <c r="BG275" s="75" t="str">
        <f aca="false">IF(LEN(BF275)=11,"PF",IF(LEN(BF275)=14,"PJ",""))</f>
        <v/>
      </c>
      <c r="BH275" s="66"/>
      <c r="BI275" s="58" t="str">
        <f aca="false">IF(BH275&lt;&gt;"",VLOOKUP(BH275,Selects!$G:$H,2,0),"")</f>
        <v/>
      </c>
      <c r="BJ275" s="58"/>
      <c r="BK275" s="58"/>
      <c r="BL275" s="59"/>
      <c r="BM275" s="58"/>
      <c r="BN275" s="58"/>
      <c r="BO275" s="58" t="str">
        <f aca="false">IF(BN275&lt;&gt;"",VLOOKUP(BN275,Selects!$J$4:$K$1000,2,0),"")</f>
        <v/>
      </c>
      <c r="BP275" s="76"/>
      <c r="BQ275" s="59"/>
      <c r="BR275" s="77"/>
      <c r="BS275" s="59"/>
      <c r="BT275" s="77"/>
      <c r="BU275" s="58"/>
      <c r="BV275" s="58"/>
      <c r="BW275" s="58"/>
      <c r="BX275" s="58"/>
      <c r="BY275" s="58"/>
      <c r="BZ275" s="58"/>
      <c r="CA275" s="58"/>
      <c r="CB275" s="72" t="str">
        <f aca="false">IF(AC275&lt;&gt;"",VLOOKUP(AC275,Selects!$B:$E,4,0),"")</f>
        <v/>
      </c>
      <c r="CC275" s="58"/>
      <c r="CD275" s="58"/>
      <c r="CE275" s="58"/>
    </row>
    <row r="276" customFormat="false" ht="15.75" hidden="false" customHeight="true" outlineLevel="0" collapsed="false">
      <c r="A276" s="17"/>
      <c r="B276" s="58"/>
      <c r="C276" s="58"/>
      <c r="D276" s="59"/>
      <c r="E276" s="60" t="str">
        <f aca="false">IF(LEN(D276)=11,"PF",IF(LEN(D276)=14,"PJ",""))</f>
        <v/>
      </c>
      <c r="F276" s="59"/>
      <c r="G276" s="59"/>
      <c r="H276" s="61" t="str">
        <f aca="false">IF(G276&lt;&gt;"",VLOOKUP(G276,'Cnae  mcc  id'!$A:$M,9,0),"")</f>
        <v/>
      </c>
      <c r="I276" s="62"/>
      <c r="J276" s="63" t="str">
        <f aca="false">IF(I276&lt;&gt;"",VLOOKUP(I276,'Legal Nature'!$E$2:$G$84,3,0),"")</f>
        <v/>
      </c>
      <c r="K276" s="64"/>
      <c r="L276" s="65"/>
      <c r="M276" s="66"/>
      <c r="N276" s="66"/>
      <c r="O276" s="79"/>
      <c r="P276" s="26"/>
      <c r="Q276" s="58"/>
      <c r="R276" s="58"/>
      <c r="S276" s="80"/>
      <c r="T276" s="68" t="str">
        <f aca="false">IF(LEFT(S276,1)="9","Celular",IF(S276="","","Fixo"))</f>
        <v/>
      </c>
      <c r="U276" s="58" t="str">
        <f aca="false">IF( T276&lt;&gt;"",VLOOKUP(T276,Selects!$M$4:$N$1000,2,0),"")</f>
        <v/>
      </c>
      <c r="V276" s="26"/>
      <c r="W276" s="58"/>
      <c r="X276" s="58"/>
      <c r="Y276" s="58"/>
      <c r="Z276" s="58"/>
      <c r="AA276" s="69"/>
      <c r="AB276" s="58"/>
      <c r="AC276" s="58"/>
      <c r="AD276" s="70" t="str">
        <f aca="false">IF(AC276&lt;&gt;"",VLOOKUP(AC276,Selects!$B$4:$C$100,2,0),"")</f>
        <v/>
      </c>
      <c r="AE276" s="26"/>
      <c r="AF276" s="58"/>
      <c r="AG276" s="59"/>
      <c r="AH276" s="65"/>
      <c r="AI276" s="66"/>
      <c r="AJ276" s="66"/>
      <c r="AK276" s="58"/>
      <c r="AL276" s="58"/>
      <c r="AM276" s="68" t="str">
        <f aca="false">IF(LEFT(AL276,1)="9","Celular",IF(AL276="","","Fixo"))</f>
        <v/>
      </c>
      <c r="AN276" s="58" t="str">
        <f aca="false">IF( AM276&lt;&gt;"",VLOOKUP(AM276,Selects!$M$4:$N$1000,2,0),"")</f>
        <v/>
      </c>
      <c r="AO276" s="58"/>
      <c r="AP276" s="59"/>
      <c r="AQ276" s="65"/>
      <c r="AR276" s="58"/>
      <c r="AS276" s="58"/>
      <c r="AT276" s="26"/>
      <c r="AU276" s="58"/>
      <c r="AV276" s="58"/>
      <c r="AW276" s="58"/>
      <c r="AX276" s="58"/>
      <c r="AY276" s="71"/>
      <c r="AZ276" s="58"/>
      <c r="BA276" s="58"/>
      <c r="BB276" s="72" t="str">
        <f aca="false">IF(BA276&lt;&gt;"",VLOOKUP(BA276,Selects!$B$4:$C$100,2,0),"")</f>
        <v/>
      </c>
      <c r="BC276" s="26"/>
      <c r="BD276" s="26"/>
      <c r="BE276" s="73"/>
      <c r="BF276" s="74"/>
      <c r="BG276" s="75" t="str">
        <f aca="false">IF(LEN(BF276)=11,"PF",IF(LEN(BF276)=14,"PJ",""))</f>
        <v/>
      </c>
      <c r="BH276" s="66"/>
      <c r="BI276" s="58" t="str">
        <f aca="false">IF(BH276&lt;&gt;"",VLOOKUP(BH276,Selects!$G:$H,2,0),"")</f>
        <v/>
      </c>
      <c r="BJ276" s="58"/>
      <c r="BK276" s="58"/>
      <c r="BL276" s="59"/>
      <c r="BM276" s="58"/>
      <c r="BN276" s="58"/>
      <c r="BO276" s="58" t="str">
        <f aca="false">IF(BN276&lt;&gt;"",VLOOKUP(BN276,Selects!$J$4:$K$1000,2,0),"")</f>
        <v/>
      </c>
      <c r="BP276" s="76"/>
      <c r="BQ276" s="59"/>
      <c r="BR276" s="77"/>
      <c r="BS276" s="59"/>
      <c r="BT276" s="77"/>
      <c r="BU276" s="58"/>
      <c r="BV276" s="58"/>
      <c r="BW276" s="58"/>
      <c r="BX276" s="58"/>
      <c r="BY276" s="58"/>
      <c r="BZ276" s="58"/>
      <c r="CA276" s="58"/>
      <c r="CB276" s="72" t="str">
        <f aca="false">IF(AC276&lt;&gt;"",VLOOKUP(AC276,Selects!$B:$E,4,0),"")</f>
        <v/>
      </c>
      <c r="CC276" s="58"/>
      <c r="CD276" s="58"/>
      <c r="CE276" s="58"/>
    </row>
    <row r="277" customFormat="false" ht="15.75" hidden="false" customHeight="true" outlineLevel="0" collapsed="false">
      <c r="A277" s="17"/>
      <c r="B277" s="58"/>
      <c r="C277" s="58"/>
      <c r="D277" s="59"/>
      <c r="E277" s="60" t="str">
        <f aca="false">IF(LEN(D277)=11,"PF",IF(LEN(D277)=14,"PJ",""))</f>
        <v/>
      </c>
      <c r="F277" s="59"/>
      <c r="G277" s="59"/>
      <c r="H277" s="61" t="str">
        <f aca="false">IF(G277&lt;&gt;"",VLOOKUP(G277,'Cnae  mcc  id'!$A:$M,9,0),"")</f>
        <v/>
      </c>
      <c r="I277" s="62"/>
      <c r="J277" s="63" t="str">
        <f aca="false">IF(I277&lt;&gt;"",VLOOKUP(I277,'Legal Nature'!$E$2:$G$84,3,0),"")</f>
        <v/>
      </c>
      <c r="K277" s="64"/>
      <c r="L277" s="65"/>
      <c r="M277" s="66"/>
      <c r="N277" s="66"/>
      <c r="O277" s="79"/>
      <c r="P277" s="26"/>
      <c r="Q277" s="58"/>
      <c r="R277" s="58"/>
      <c r="S277" s="80"/>
      <c r="T277" s="68" t="str">
        <f aca="false">IF(LEFT(S277,1)="9","Celular",IF(S277="","","Fixo"))</f>
        <v/>
      </c>
      <c r="U277" s="58" t="str">
        <f aca="false">IF( T277&lt;&gt;"",VLOOKUP(T277,Selects!$M$4:$N$1000,2,0),"")</f>
        <v/>
      </c>
      <c r="V277" s="26"/>
      <c r="W277" s="58"/>
      <c r="X277" s="58"/>
      <c r="Y277" s="58"/>
      <c r="Z277" s="58"/>
      <c r="AA277" s="69"/>
      <c r="AB277" s="58"/>
      <c r="AC277" s="58"/>
      <c r="AD277" s="70" t="str">
        <f aca="false">IF(AC277&lt;&gt;"",VLOOKUP(AC277,Selects!$B$4:$C$100,2,0),"")</f>
        <v/>
      </c>
      <c r="AE277" s="26"/>
      <c r="AF277" s="58"/>
      <c r="AG277" s="59"/>
      <c r="AH277" s="65"/>
      <c r="AI277" s="66"/>
      <c r="AJ277" s="66"/>
      <c r="AK277" s="58"/>
      <c r="AL277" s="58"/>
      <c r="AM277" s="68" t="str">
        <f aca="false">IF(LEFT(AL277,1)="9","Celular",IF(AL277="","","Fixo"))</f>
        <v/>
      </c>
      <c r="AN277" s="58" t="str">
        <f aca="false">IF( AM277&lt;&gt;"",VLOOKUP(AM277,Selects!$M$4:$N$1000,2,0),"")</f>
        <v/>
      </c>
      <c r="AO277" s="58"/>
      <c r="AP277" s="59"/>
      <c r="AQ277" s="65"/>
      <c r="AR277" s="58"/>
      <c r="AS277" s="58"/>
      <c r="AT277" s="26"/>
      <c r="AU277" s="58"/>
      <c r="AV277" s="58"/>
      <c r="AW277" s="58"/>
      <c r="AX277" s="58"/>
      <c r="AY277" s="71"/>
      <c r="AZ277" s="58"/>
      <c r="BA277" s="58"/>
      <c r="BB277" s="72" t="str">
        <f aca="false">IF(BA277&lt;&gt;"",VLOOKUP(BA277,Selects!$B$4:$C$100,2,0),"")</f>
        <v/>
      </c>
      <c r="BC277" s="26"/>
      <c r="BD277" s="26"/>
      <c r="BE277" s="73"/>
      <c r="BF277" s="74"/>
      <c r="BG277" s="75" t="str">
        <f aca="false">IF(LEN(BF277)=11,"PF",IF(LEN(BF277)=14,"PJ",""))</f>
        <v/>
      </c>
      <c r="BH277" s="66"/>
      <c r="BI277" s="58" t="str">
        <f aca="false">IF(BH277&lt;&gt;"",VLOOKUP(BH277,Selects!$G:$H,2,0),"")</f>
        <v/>
      </c>
      <c r="BJ277" s="58"/>
      <c r="BK277" s="58"/>
      <c r="BL277" s="59"/>
      <c r="BM277" s="58"/>
      <c r="BN277" s="58"/>
      <c r="BO277" s="58" t="str">
        <f aca="false">IF(BN277&lt;&gt;"",VLOOKUP(BN277,Selects!$J$4:$K$1000,2,0),"")</f>
        <v/>
      </c>
      <c r="BP277" s="76"/>
      <c r="BQ277" s="59"/>
      <c r="BR277" s="77"/>
      <c r="BS277" s="59"/>
      <c r="BT277" s="77"/>
      <c r="BU277" s="58"/>
      <c r="BV277" s="58"/>
      <c r="BW277" s="58"/>
      <c r="BX277" s="58"/>
      <c r="BY277" s="58"/>
      <c r="BZ277" s="58"/>
      <c r="CA277" s="58"/>
      <c r="CB277" s="72" t="str">
        <f aca="false">IF(AC277&lt;&gt;"",VLOOKUP(AC277,Selects!$B:$E,4,0),"")</f>
        <v/>
      </c>
      <c r="CC277" s="58"/>
      <c r="CD277" s="58"/>
      <c r="CE277" s="58"/>
    </row>
    <row r="278" customFormat="false" ht="15.75" hidden="false" customHeight="true" outlineLevel="0" collapsed="false">
      <c r="A278" s="17"/>
      <c r="B278" s="58"/>
      <c r="C278" s="58"/>
      <c r="D278" s="59"/>
      <c r="E278" s="60" t="str">
        <f aca="false">IF(LEN(D278)=11,"PF",IF(LEN(D278)=14,"PJ",""))</f>
        <v/>
      </c>
      <c r="F278" s="59"/>
      <c r="G278" s="59"/>
      <c r="H278" s="61" t="str">
        <f aca="false">IF(G278&lt;&gt;"",VLOOKUP(G278,'Cnae  mcc  id'!$A:$M,9,0),"")</f>
        <v/>
      </c>
      <c r="I278" s="62"/>
      <c r="J278" s="63" t="str">
        <f aca="false">IF(I278&lt;&gt;"",VLOOKUP(I278,'Legal Nature'!$E$2:$G$84,3,0),"")</f>
        <v/>
      </c>
      <c r="K278" s="64"/>
      <c r="L278" s="65"/>
      <c r="M278" s="66"/>
      <c r="N278" s="66"/>
      <c r="O278" s="79"/>
      <c r="P278" s="26"/>
      <c r="Q278" s="58"/>
      <c r="R278" s="58"/>
      <c r="S278" s="80"/>
      <c r="T278" s="68" t="str">
        <f aca="false">IF(LEFT(S278,1)="9","Celular",IF(S278="","","Fixo"))</f>
        <v/>
      </c>
      <c r="U278" s="58" t="str">
        <f aca="false">IF( T278&lt;&gt;"",VLOOKUP(T278,Selects!$M$4:$N$1000,2,0),"")</f>
        <v/>
      </c>
      <c r="V278" s="26"/>
      <c r="W278" s="58"/>
      <c r="X278" s="58"/>
      <c r="Y278" s="58"/>
      <c r="Z278" s="58"/>
      <c r="AA278" s="69"/>
      <c r="AB278" s="58"/>
      <c r="AC278" s="58"/>
      <c r="AD278" s="70" t="str">
        <f aca="false">IF(AC278&lt;&gt;"",VLOOKUP(AC278,Selects!$B$4:$C$100,2,0),"")</f>
        <v/>
      </c>
      <c r="AE278" s="26"/>
      <c r="AF278" s="58"/>
      <c r="AG278" s="59"/>
      <c r="AH278" s="65"/>
      <c r="AI278" s="66"/>
      <c r="AJ278" s="66"/>
      <c r="AK278" s="58"/>
      <c r="AL278" s="58"/>
      <c r="AM278" s="68" t="str">
        <f aca="false">IF(LEFT(AL278,1)="9","Celular",IF(AL278="","","Fixo"))</f>
        <v/>
      </c>
      <c r="AN278" s="58" t="str">
        <f aca="false">IF( AM278&lt;&gt;"",VLOOKUP(AM278,Selects!$M$4:$N$1000,2,0),"")</f>
        <v/>
      </c>
      <c r="AO278" s="58"/>
      <c r="AP278" s="59"/>
      <c r="AQ278" s="65"/>
      <c r="AR278" s="58"/>
      <c r="AS278" s="58"/>
      <c r="AT278" s="26"/>
      <c r="AU278" s="58"/>
      <c r="AV278" s="58"/>
      <c r="AW278" s="58"/>
      <c r="AX278" s="58"/>
      <c r="AY278" s="71"/>
      <c r="AZ278" s="58"/>
      <c r="BA278" s="58"/>
      <c r="BB278" s="72" t="str">
        <f aca="false">IF(BA278&lt;&gt;"",VLOOKUP(BA278,Selects!$B$4:$C$100,2,0),"")</f>
        <v/>
      </c>
      <c r="BC278" s="26"/>
      <c r="BD278" s="26"/>
      <c r="BE278" s="73"/>
      <c r="BF278" s="74"/>
      <c r="BG278" s="75" t="str">
        <f aca="false">IF(LEN(BF278)=11,"PF",IF(LEN(BF278)=14,"PJ",""))</f>
        <v/>
      </c>
      <c r="BH278" s="66"/>
      <c r="BI278" s="58" t="str">
        <f aca="false">IF(BH278&lt;&gt;"",VLOOKUP(BH278,Selects!$G:$H,2,0),"")</f>
        <v/>
      </c>
      <c r="BJ278" s="58"/>
      <c r="BK278" s="58"/>
      <c r="BL278" s="59"/>
      <c r="BM278" s="58"/>
      <c r="BN278" s="58"/>
      <c r="BO278" s="58" t="str">
        <f aca="false">IF(BN278&lt;&gt;"",VLOOKUP(BN278,Selects!$J$4:$K$1000,2,0),"")</f>
        <v/>
      </c>
      <c r="BP278" s="76"/>
      <c r="BQ278" s="59"/>
      <c r="BR278" s="77"/>
      <c r="BS278" s="59"/>
      <c r="BT278" s="77"/>
      <c r="BU278" s="58"/>
      <c r="BV278" s="58"/>
      <c r="BW278" s="58"/>
      <c r="BX278" s="58"/>
      <c r="BY278" s="58"/>
      <c r="BZ278" s="58"/>
      <c r="CA278" s="58"/>
      <c r="CB278" s="72" t="str">
        <f aca="false">IF(AC278&lt;&gt;"",VLOOKUP(AC278,Selects!$B:$E,4,0),"")</f>
        <v/>
      </c>
      <c r="CC278" s="58"/>
      <c r="CD278" s="58"/>
      <c r="CE278" s="58"/>
    </row>
    <row r="279" customFormat="false" ht="15.75" hidden="false" customHeight="true" outlineLevel="0" collapsed="false">
      <c r="A279" s="17"/>
      <c r="B279" s="58"/>
      <c r="C279" s="58"/>
      <c r="D279" s="59"/>
      <c r="E279" s="60" t="str">
        <f aca="false">IF(LEN(D279)=11,"PF",IF(LEN(D279)=14,"PJ",""))</f>
        <v/>
      </c>
      <c r="F279" s="59"/>
      <c r="G279" s="59"/>
      <c r="H279" s="61" t="str">
        <f aca="false">IF(G279&lt;&gt;"",VLOOKUP(G279,'Cnae  mcc  id'!$A:$M,9,0),"")</f>
        <v/>
      </c>
      <c r="I279" s="62"/>
      <c r="J279" s="63" t="str">
        <f aca="false">IF(I279&lt;&gt;"",VLOOKUP(I279,'Legal Nature'!$E$2:$G$84,3,0),"")</f>
        <v/>
      </c>
      <c r="K279" s="64"/>
      <c r="L279" s="65"/>
      <c r="M279" s="66"/>
      <c r="N279" s="66"/>
      <c r="O279" s="79"/>
      <c r="P279" s="26"/>
      <c r="Q279" s="58"/>
      <c r="R279" s="58"/>
      <c r="S279" s="80"/>
      <c r="T279" s="68" t="str">
        <f aca="false">IF(LEFT(S279,1)="9","Celular",IF(S279="","","Fixo"))</f>
        <v/>
      </c>
      <c r="U279" s="58" t="str">
        <f aca="false">IF( T279&lt;&gt;"",VLOOKUP(T279,Selects!$M$4:$N$1000,2,0),"")</f>
        <v/>
      </c>
      <c r="V279" s="26"/>
      <c r="W279" s="58"/>
      <c r="X279" s="58"/>
      <c r="Y279" s="58"/>
      <c r="Z279" s="58"/>
      <c r="AA279" s="69"/>
      <c r="AB279" s="58"/>
      <c r="AC279" s="58"/>
      <c r="AD279" s="70" t="str">
        <f aca="false">IF(AC279&lt;&gt;"",VLOOKUP(AC279,Selects!$B$4:$C$100,2,0),"")</f>
        <v/>
      </c>
      <c r="AE279" s="26"/>
      <c r="AF279" s="58"/>
      <c r="AG279" s="59"/>
      <c r="AH279" s="65"/>
      <c r="AI279" s="66"/>
      <c r="AJ279" s="66"/>
      <c r="AK279" s="58"/>
      <c r="AL279" s="58"/>
      <c r="AM279" s="68" t="str">
        <f aca="false">IF(LEFT(AL279,1)="9","Celular",IF(AL279="","","Fixo"))</f>
        <v/>
      </c>
      <c r="AN279" s="58" t="str">
        <f aca="false">IF( AM279&lt;&gt;"",VLOOKUP(AM279,Selects!$M$4:$N$1000,2,0),"")</f>
        <v/>
      </c>
      <c r="AO279" s="58"/>
      <c r="AP279" s="59"/>
      <c r="AQ279" s="65"/>
      <c r="AR279" s="58"/>
      <c r="AS279" s="58"/>
      <c r="AT279" s="26"/>
      <c r="AU279" s="58"/>
      <c r="AV279" s="58"/>
      <c r="AW279" s="58"/>
      <c r="AX279" s="58"/>
      <c r="AY279" s="71"/>
      <c r="AZ279" s="58"/>
      <c r="BA279" s="58"/>
      <c r="BB279" s="72" t="str">
        <f aca="false">IF(BA279&lt;&gt;"",VLOOKUP(BA279,Selects!$B$4:$C$100,2,0),"")</f>
        <v/>
      </c>
      <c r="BC279" s="26"/>
      <c r="BD279" s="26"/>
      <c r="BE279" s="73"/>
      <c r="BF279" s="74"/>
      <c r="BG279" s="75" t="str">
        <f aca="false">IF(LEN(BF279)=11,"PF",IF(LEN(BF279)=14,"PJ",""))</f>
        <v/>
      </c>
      <c r="BH279" s="66"/>
      <c r="BI279" s="58" t="str">
        <f aca="false">IF(BH279&lt;&gt;"",VLOOKUP(BH279,Selects!$G:$H,2,0),"")</f>
        <v/>
      </c>
      <c r="BJ279" s="58"/>
      <c r="BK279" s="58"/>
      <c r="BL279" s="59"/>
      <c r="BM279" s="58"/>
      <c r="BN279" s="58"/>
      <c r="BO279" s="58" t="str">
        <f aca="false">IF(BN279&lt;&gt;"",VLOOKUP(BN279,Selects!$J$4:$K$1000,2,0),"")</f>
        <v/>
      </c>
      <c r="BP279" s="76"/>
      <c r="BQ279" s="59"/>
      <c r="BR279" s="77"/>
      <c r="BS279" s="59"/>
      <c r="BT279" s="77"/>
      <c r="BU279" s="58"/>
      <c r="BV279" s="58"/>
      <c r="BW279" s="58"/>
      <c r="BX279" s="58"/>
      <c r="BY279" s="58"/>
      <c r="BZ279" s="58"/>
      <c r="CA279" s="58"/>
      <c r="CB279" s="72" t="str">
        <f aca="false">IF(AC279&lt;&gt;"",VLOOKUP(AC279,Selects!$B:$E,4,0),"")</f>
        <v/>
      </c>
      <c r="CC279" s="58"/>
      <c r="CD279" s="58"/>
      <c r="CE279" s="58"/>
    </row>
    <row r="280" customFormat="false" ht="15.75" hidden="false" customHeight="true" outlineLevel="0" collapsed="false">
      <c r="A280" s="17"/>
      <c r="B280" s="58"/>
      <c r="C280" s="58"/>
      <c r="D280" s="59"/>
      <c r="E280" s="60" t="str">
        <f aca="false">IF(LEN(D280)=11,"PF",IF(LEN(D280)=14,"PJ",""))</f>
        <v/>
      </c>
      <c r="F280" s="59"/>
      <c r="G280" s="59"/>
      <c r="H280" s="61" t="str">
        <f aca="false">IF(G280&lt;&gt;"",VLOOKUP(G280,'Cnae  mcc  id'!$A:$M,9,0),"")</f>
        <v/>
      </c>
      <c r="I280" s="62"/>
      <c r="J280" s="63" t="str">
        <f aca="false">IF(I280&lt;&gt;"",VLOOKUP(I280,'Legal Nature'!$E$2:$G$84,3,0),"")</f>
        <v/>
      </c>
      <c r="K280" s="64"/>
      <c r="L280" s="65"/>
      <c r="M280" s="66"/>
      <c r="N280" s="66"/>
      <c r="O280" s="79"/>
      <c r="P280" s="26"/>
      <c r="Q280" s="58"/>
      <c r="R280" s="58"/>
      <c r="S280" s="80"/>
      <c r="T280" s="68" t="str">
        <f aca="false">IF(LEFT(S280,1)="9","Celular",IF(S280="","","Fixo"))</f>
        <v/>
      </c>
      <c r="U280" s="58" t="str">
        <f aca="false">IF( T280&lt;&gt;"",VLOOKUP(T280,Selects!$M$4:$N$1000,2,0),"")</f>
        <v/>
      </c>
      <c r="V280" s="26"/>
      <c r="W280" s="58"/>
      <c r="X280" s="58"/>
      <c r="Y280" s="58"/>
      <c r="Z280" s="58"/>
      <c r="AA280" s="69"/>
      <c r="AB280" s="58"/>
      <c r="AC280" s="58"/>
      <c r="AD280" s="70" t="str">
        <f aca="false">IF(AC280&lt;&gt;"",VLOOKUP(AC280,Selects!$B$4:$C$100,2,0),"")</f>
        <v/>
      </c>
      <c r="AE280" s="26"/>
      <c r="AF280" s="58"/>
      <c r="AG280" s="59"/>
      <c r="AH280" s="65"/>
      <c r="AI280" s="66"/>
      <c r="AJ280" s="66"/>
      <c r="AK280" s="58"/>
      <c r="AL280" s="58"/>
      <c r="AM280" s="68" t="str">
        <f aca="false">IF(LEFT(AL280,1)="9","Celular",IF(AL280="","","Fixo"))</f>
        <v/>
      </c>
      <c r="AN280" s="58" t="str">
        <f aca="false">IF( AM280&lt;&gt;"",VLOOKUP(AM280,Selects!$M$4:$N$1000,2,0),"")</f>
        <v/>
      </c>
      <c r="AO280" s="58"/>
      <c r="AP280" s="59"/>
      <c r="AQ280" s="65"/>
      <c r="AR280" s="58"/>
      <c r="AS280" s="58"/>
      <c r="AT280" s="26"/>
      <c r="AU280" s="58"/>
      <c r="AV280" s="58"/>
      <c r="AW280" s="58"/>
      <c r="AX280" s="58"/>
      <c r="AY280" s="71"/>
      <c r="AZ280" s="58"/>
      <c r="BA280" s="58"/>
      <c r="BB280" s="72" t="str">
        <f aca="false">IF(BA280&lt;&gt;"",VLOOKUP(BA280,Selects!$B$4:$C$100,2,0),"")</f>
        <v/>
      </c>
      <c r="BC280" s="26"/>
      <c r="BD280" s="26"/>
      <c r="BE280" s="73"/>
      <c r="BF280" s="74"/>
      <c r="BG280" s="75" t="str">
        <f aca="false">IF(LEN(BF280)=11,"PF",IF(LEN(BF280)=14,"PJ",""))</f>
        <v/>
      </c>
      <c r="BH280" s="66"/>
      <c r="BI280" s="58" t="str">
        <f aca="false">IF(BH280&lt;&gt;"",VLOOKUP(BH280,Selects!$G:$H,2,0),"")</f>
        <v/>
      </c>
      <c r="BJ280" s="58"/>
      <c r="BK280" s="58"/>
      <c r="BL280" s="59"/>
      <c r="BM280" s="58"/>
      <c r="BN280" s="58"/>
      <c r="BO280" s="58" t="str">
        <f aca="false">IF(BN280&lt;&gt;"",VLOOKUP(BN280,Selects!$J$4:$K$1000,2,0),"")</f>
        <v/>
      </c>
      <c r="BP280" s="76"/>
      <c r="BQ280" s="59"/>
      <c r="BR280" s="77"/>
      <c r="BS280" s="59"/>
      <c r="BT280" s="77"/>
      <c r="BU280" s="58"/>
      <c r="BV280" s="58"/>
      <c r="BW280" s="58"/>
      <c r="BX280" s="58"/>
      <c r="BY280" s="58"/>
      <c r="BZ280" s="58"/>
      <c r="CA280" s="58"/>
      <c r="CB280" s="72" t="str">
        <f aca="false">IF(AC280&lt;&gt;"",VLOOKUP(AC280,Selects!$B:$E,4,0),"")</f>
        <v/>
      </c>
      <c r="CC280" s="58"/>
      <c r="CD280" s="58"/>
      <c r="CE280" s="58"/>
    </row>
    <row r="281" customFormat="false" ht="15.75" hidden="false" customHeight="true" outlineLevel="0" collapsed="false">
      <c r="A281" s="17"/>
      <c r="B281" s="58"/>
      <c r="C281" s="58"/>
      <c r="D281" s="59"/>
      <c r="E281" s="60" t="str">
        <f aca="false">IF(LEN(D281)=11,"PF",IF(LEN(D281)=14,"PJ",""))</f>
        <v/>
      </c>
      <c r="F281" s="59"/>
      <c r="G281" s="59"/>
      <c r="H281" s="61" t="str">
        <f aca="false">IF(G281&lt;&gt;"",VLOOKUP(G281,'Cnae  mcc  id'!$A:$M,9,0),"")</f>
        <v/>
      </c>
      <c r="I281" s="62"/>
      <c r="J281" s="63" t="str">
        <f aca="false">IF(I281&lt;&gt;"",VLOOKUP(I281,'Legal Nature'!$E$2:$G$84,3,0),"")</f>
        <v/>
      </c>
      <c r="K281" s="64"/>
      <c r="L281" s="65"/>
      <c r="M281" s="66"/>
      <c r="N281" s="66"/>
      <c r="O281" s="79"/>
      <c r="P281" s="26"/>
      <c r="Q281" s="58"/>
      <c r="R281" s="58"/>
      <c r="S281" s="80"/>
      <c r="T281" s="68" t="str">
        <f aca="false">IF(LEFT(S281,1)="9","Celular",IF(S281="","","Fixo"))</f>
        <v/>
      </c>
      <c r="U281" s="58" t="str">
        <f aca="false">IF( T281&lt;&gt;"",VLOOKUP(T281,Selects!$M$4:$N$1000,2,0),"")</f>
        <v/>
      </c>
      <c r="V281" s="26"/>
      <c r="W281" s="58"/>
      <c r="X281" s="58"/>
      <c r="Y281" s="58"/>
      <c r="Z281" s="58"/>
      <c r="AA281" s="69"/>
      <c r="AB281" s="58"/>
      <c r="AC281" s="58"/>
      <c r="AD281" s="70" t="str">
        <f aca="false">IF(AC281&lt;&gt;"",VLOOKUP(AC281,Selects!$B$4:$C$100,2,0),"")</f>
        <v/>
      </c>
      <c r="AE281" s="26"/>
      <c r="AF281" s="58"/>
      <c r="AG281" s="59"/>
      <c r="AH281" s="65"/>
      <c r="AI281" s="66"/>
      <c r="AJ281" s="66"/>
      <c r="AK281" s="58"/>
      <c r="AL281" s="58"/>
      <c r="AM281" s="68" t="str">
        <f aca="false">IF(LEFT(AL281,1)="9","Celular",IF(AL281="","","Fixo"))</f>
        <v/>
      </c>
      <c r="AN281" s="58" t="str">
        <f aca="false">IF( AM281&lt;&gt;"",VLOOKUP(AM281,Selects!$M$4:$N$1000,2,0),"")</f>
        <v/>
      </c>
      <c r="AO281" s="58"/>
      <c r="AP281" s="59"/>
      <c r="AQ281" s="65"/>
      <c r="AR281" s="58"/>
      <c r="AS281" s="58"/>
      <c r="AT281" s="26"/>
      <c r="AU281" s="58"/>
      <c r="AV281" s="58"/>
      <c r="AW281" s="58"/>
      <c r="AX281" s="58"/>
      <c r="AY281" s="71"/>
      <c r="AZ281" s="58"/>
      <c r="BA281" s="58"/>
      <c r="BB281" s="72" t="str">
        <f aca="false">IF(BA281&lt;&gt;"",VLOOKUP(BA281,Selects!$B$4:$C$100,2,0),"")</f>
        <v/>
      </c>
      <c r="BC281" s="26"/>
      <c r="BD281" s="26"/>
      <c r="BE281" s="73"/>
      <c r="BF281" s="74"/>
      <c r="BG281" s="75" t="str">
        <f aca="false">IF(LEN(BF281)=11,"PF",IF(LEN(BF281)=14,"PJ",""))</f>
        <v/>
      </c>
      <c r="BH281" s="66"/>
      <c r="BI281" s="58" t="str">
        <f aca="false">IF(BH281&lt;&gt;"",VLOOKUP(BH281,Selects!$G:$H,2,0),"")</f>
        <v/>
      </c>
      <c r="BJ281" s="58"/>
      <c r="BK281" s="58"/>
      <c r="BL281" s="59"/>
      <c r="BM281" s="58"/>
      <c r="BN281" s="58"/>
      <c r="BO281" s="58" t="str">
        <f aca="false">IF(BN281&lt;&gt;"",VLOOKUP(BN281,Selects!$J$4:$K$1000,2,0),"")</f>
        <v/>
      </c>
      <c r="BP281" s="76"/>
      <c r="BQ281" s="59"/>
      <c r="BR281" s="77"/>
      <c r="BS281" s="59"/>
      <c r="BT281" s="77"/>
      <c r="BU281" s="58"/>
      <c r="BV281" s="58"/>
      <c r="BW281" s="58"/>
      <c r="BX281" s="58"/>
      <c r="BY281" s="58"/>
      <c r="BZ281" s="58"/>
      <c r="CA281" s="58"/>
      <c r="CB281" s="72" t="str">
        <f aca="false">IF(AC281&lt;&gt;"",VLOOKUP(AC281,Selects!$B:$E,4,0),"")</f>
        <v/>
      </c>
      <c r="CC281" s="58"/>
      <c r="CD281" s="58"/>
      <c r="CE281" s="58"/>
    </row>
    <row r="282" customFormat="false" ht="15.75" hidden="false" customHeight="true" outlineLevel="0" collapsed="false">
      <c r="A282" s="17"/>
      <c r="B282" s="58"/>
      <c r="C282" s="58"/>
      <c r="D282" s="59"/>
      <c r="E282" s="60" t="str">
        <f aca="false">IF(LEN(D282)=11,"PF",IF(LEN(D282)=14,"PJ",""))</f>
        <v/>
      </c>
      <c r="F282" s="59"/>
      <c r="G282" s="59"/>
      <c r="H282" s="61" t="str">
        <f aca="false">IF(G282&lt;&gt;"",VLOOKUP(G282,'Cnae  mcc  id'!$A:$M,9,0),"")</f>
        <v/>
      </c>
      <c r="I282" s="62"/>
      <c r="J282" s="63" t="str">
        <f aca="false">IF(I282&lt;&gt;"",VLOOKUP(I282,'Legal Nature'!$E$2:$G$84,3,0),"")</f>
        <v/>
      </c>
      <c r="K282" s="64"/>
      <c r="L282" s="65"/>
      <c r="M282" s="66"/>
      <c r="N282" s="66"/>
      <c r="O282" s="79"/>
      <c r="P282" s="26"/>
      <c r="Q282" s="58"/>
      <c r="R282" s="58"/>
      <c r="S282" s="80"/>
      <c r="T282" s="68" t="str">
        <f aca="false">IF(LEFT(S282,1)="9","Celular",IF(S282="","","Fixo"))</f>
        <v/>
      </c>
      <c r="U282" s="58" t="str">
        <f aca="false">IF( T282&lt;&gt;"",VLOOKUP(T282,Selects!$M$4:$N$1000,2,0),"")</f>
        <v/>
      </c>
      <c r="V282" s="26"/>
      <c r="W282" s="58"/>
      <c r="X282" s="58"/>
      <c r="Y282" s="58"/>
      <c r="Z282" s="58"/>
      <c r="AA282" s="69"/>
      <c r="AB282" s="58"/>
      <c r="AC282" s="58"/>
      <c r="AD282" s="70" t="str">
        <f aca="false">IF(AC282&lt;&gt;"",VLOOKUP(AC282,Selects!$B$4:$C$100,2,0),"")</f>
        <v/>
      </c>
      <c r="AE282" s="26"/>
      <c r="AF282" s="58"/>
      <c r="AG282" s="59"/>
      <c r="AH282" s="65"/>
      <c r="AI282" s="66"/>
      <c r="AJ282" s="66"/>
      <c r="AK282" s="58"/>
      <c r="AL282" s="58"/>
      <c r="AM282" s="68" t="str">
        <f aca="false">IF(LEFT(AL282,1)="9","Celular",IF(AL282="","","Fixo"))</f>
        <v/>
      </c>
      <c r="AN282" s="58" t="str">
        <f aca="false">IF( AM282&lt;&gt;"",VLOOKUP(AM282,Selects!$M$4:$N$1000,2,0),"")</f>
        <v/>
      </c>
      <c r="AO282" s="58"/>
      <c r="AP282" s="59"/>
      <c r="AQ282" s="65"/>
      <c r="AR282" s="58"/>
      <c r="AS282" s="58"/>
      <c r="AT282" s="26"/>
      <c r="AU282" s="58"/>
      <c r="AV282" s="58"/>
      <c r="AW282" s="58"/>
      <c r="AX282" s="58"/>
      <c r="AY282" s="71"/>
      <c r="AZ282" s="58"/>
      <c r="BA282" s="58"/>
      <c r="BB282" s="72" t="str">
        <f aca="false">IF(BA282&lt;&gt;"",VLOOKUP(BA282,Selects!$B$4:$C$100,2,0),"")</f>
        <v/>
      </c>
      <c r="BC282" s="26"/>
      <c r="BD282" s="26"/>
      <c r="BE282" s="73"/>
      <c r="BF282" s="74"/>
      <c r="BG282" s="75" t="str">
        <f aca="false">IF(LEN(BF282)=11,"PF",IF(LEN(BF282)=14,"PJ",""))</f>
        <v/>
      </c>
      <c r="BH282" s="66"/>
      <c r="BI282" s="58" t="str">
        <f aca="false">IF(BH282&lt;&gt;"",VLOOKUP(BH282,Selects!$G:$H,2,0),"")</f>
        <v/>
      </c>
      <c r="BJ282" s="58"/>
      <c r="BK282" s="58"/>
      <c r="BL282" s="59"/>
      <c r="BM282" s="58"/>
      <c r="BN282" s="58"/>
      <c r="BO282" s="58" t="str">
        <f aca="false">IF(BN282&lt;&gt;"",VLOOKUP(BN282,Selects!$J$4:$K$1000,2,0),"")</f>
        <v/>
      </c>
      <c r="BP282" s="76"/>
      <c r="BQ282" s="59"/>
      <c r="BR282" s="77"/>
      <c r="BS282" s="59"/>
      <c r="BT282" s="77"/>
      <c r="BU282" s="58"/>
      <c r="BV282" s="58"/>
      <c r="BW282" s="58"/>
      <c r="BX282" s="58"/>
      <c r="BY282" s="58"/>
      <c r="BZ282" s="58"/>
      <c r="CA282" s="58"/>
      <c r="CB282" s="72" t="str">
        <f aca="false">IF(AC282&lt;&gt;"",VLOOKUP(AC282,Selects!$B:$E,4,0),"")</f>
        <v/>
      </c>
      <c r="CC282" s="58"/>
      <c r="CD282" s="58"/>
      <c r="CE282" s="58"/>
    </row>
    <row r="283" customFormat="false" ht="15.75" hidden="false" customHeight="true" outlineLevel="0" collapsed="false">
      <c r="A283" s="17"/>
      <c r="B283" s="58"/>
      <c r="C283" s="58"/>
      <c r="D283" s="59"/>
      <c r="E283" s="60" t="str">
        <f aca="false">IF(LEN(D283)=11,"PF",IF(LEN(D283)=14,"PJ",""))</f>
        <v/>
      </c>
      <c r="F283" s="59"/>
      <c r="G283" s="59"/>
      <c r="H283" s="61" t="str">
        <f aca="false">IF(G283&lt;&gt;"",VLOOKUP(G283,'Cnae  mcc  id'!$A:$M,9,0),"")</f>
        <v/>
      </c>
      <c r="I283" s="62"/>
      <c r="J283" s="63" t="str">
        <f aca="false">IF(I283&lt;&gt;"",VLOOKUP(I283,'Legal Nature'!$E$2:$G$84,3,0),"")</f>
        <v/>
      </c>
      <c r="K283" s="64"/>
      <c r="L283" s="65"/>
      <c r="M283" s="66"/>
      <c r="N283" s="66"/>
      <c r="O283" s="79"/>
      <c r="P283" s="26"/>
      <c r="Q283" s="58"/>
      <c r="R283" s="58"/>
      <c r="S283" s="80"/>
      <c r="T283" s="68" t="str">
        <f aca="false">IF(LEFT(S283,1)="9","Celular",IF(S283="","","Fixo"))</f>
        <v/>
      </c>
      <c r="U283" s="58" t="str">
        <f aca="false">IF( T283&lt;&gt;"",VLOOKUP(T283,Selects!$M$4:$N$1000,2,0),"")</f>
        <v/>
      </c>
      <c r="V283" s="26"/>
      <c r="W283" s="58"/>
      <c r="X283" s="58"/>
      <c r="Y283" s="58"/>
      <c r="Z283" s="58"/>
      <c r="AA283" s="69"/>
      <c r="AB283" s="58"/>
      <c r="AC283" s="58"/>
      <c r="AD283" s="70" t="str">
        <f aca="false">IF(AC283&lt;&gt;"",VLOOKUP(AC283,Selects!$B$4:$C$100,2,0),"")</f>
        <v/>
      </c>
      <c r="AE283" s="26"/>
      <c r="AF283" s="58"/>
      <c r="AG283" s="59"/>
      <c r="AH283" s="65"/>
      <c r="AI283" s="66"/>
      <c r="AJ283" s="66"/>
      <c r="AK283" s="58"/>
      <c r="AL283" s="58"/>
      <c r="AM283" s="68" t="str">
        <f aca="false">IF(LEFT(AL283,1)="9","Celular",IF(AL283="","","Fixo"))</f>
        <v/>
      </c>
      <c r="AN283" s="58" t="str">
        <f aca="false">IF( AM283&lt;&gt;"",VLOOKUP(AM283,Selects!$M$4:$N$1000,2,0),"")</f>
        <v/>
      </c>
      <c r="AO283" s="58"/>
      <c r="AP283" s="59"/>
      <c r="AQ283" s="65"/>
      <c r="AR283" s="58"/>
      <c r="AS283" s="58"/>
      <c r="AT283" s="26"/>
      <c r="AU283" s="58"/>
      <c r="AV283" s="58"/>
      <c r="AW283" s="58"/>
      <c r="AX283" s="58"/>
      <c r="AY283" s="71"/>
      <c r="AZ283" s="58"/>
      <c r="BA283" s="58"/>
      <c r="BB283" s="72" t="str">
        <f aca="false">IF(BA283&lt;&gt;"",VLOOKUP(BA283,Selects!$B$4:$C$100,2,0),"")</f>
        <v/>
      </c>
      <c r="BC283" s="26"/>
      <c r="BD283" s="26"/>
      <c r="BE283" s="73"/>
      <c r="BF283" s="74"/>
      <c r="BG283" s="75" t="str">
        <f aca="false">IF(LEN(BF283)=11,"PF",IF(LEN(BF283)=14,"PJ",""))</f>
        <v/>
      </c>
      <c r="BH283" s="66"/>
      <c r="BI283" s="58" t="str">
        <f aca="false">IF(BH283&lt;&gt;"",VLOOKUP(BH283,Selects!$G:$H,2,0),"")</f>
        <v/>
      </c>
      <c r="BJ283" s="58"/>
      <c r="BK283" s="58"/>
      <c r="BL283" s="59"/>
      <c r="BM283" s="58"/>
      <c r="BN283" s="58"/>
      <c r="BO283" s="58" t="str">
        <f aca="false">IF(BN283&lt;&gt;"",VLOOKUP(BN283,Selects!$J$4:$K$1000,2,0),"")</f>
        <v/>
      </c>
      <c r="BP283" s="76"/>
      <c r="BQ283" s="59"/>
      <c r="BR283" s="77"/>
      <c r="BS283" s="59"/>
      <c r="BT283" s="77"/>
      <c r="BU283" s="58"/>
      <c r="BV283" s="58"/>
      <c r="BW283" s="58"/>
      <c r="BX283" s="58"/>
      <c r="BY283" s="58"/>
      <c r="BZ283" s="58"/>
      <c r="CA283" s="58"/>
      <c r="CB283" s="72" t="str">
        <f aca="false">IF(AC283&lt;&gt;"",VLOOKUP(AC283,Selects!$B:$E,4,0),"")</f>
        <v/>
      </c>
      <c r="CC283" s="58"/>
      <c r="CD283" s="58"/>
      <c r="CE283" s="58"/>
    </row>
    <row r="284" customFormat="false" ht="15.75" hidden="false" customHeight="true" outlineLevel="0" collapsed="false">
      <c r="A284" s="17"/>
      <c r="B284" s="58"/>
      <c r="C284" s="58"/>
      <c r="D284" s="59"/>
      <c r="E284" s="60" t="str">
        <f aca="false">IF(LEN(D284)=11,"PF",IF(LEN(D284)=14,"PJ",""))</f>
        <v/>
      </c>
      <c r="F284" s="59"/>
      <c r="G284" s="59"/>
      <c r="H284" s="61" t="str">
        <f aca="false">IF(G284&lt;&gt;"",VLOOKUP(G284,'Cnae  mcc  id'!$A:$M,9,0),"")</f>
        <v/>
      </c>
      <c r="I284" s="62"/>
      <c r="J284" s="63" t="str">
        <f aca="false">IF(I284&lt;&gt;"",VLOOKUP(I284,'Legal Nature'!$E$2:$G$84,3,0),"")</f>
        <v/>
      </c>
      <c r="K284" s="64"/>
      <c r="L284" s="65"/>
      <c r="M284" s="66"/>
      <c r="N284" s="66"/>
      <c r="O284" s="79"/>
      <c r="P284" s="26"/>
      <c r="Q284" s="58"/>
      <c r="R284" s="58"/>
      <c r="S284" s="80"/>
      <c r="T284" s="68" t="str">
        <f aca="false">IF(LEFT(S284,1)="9","Celular",IF(S284="","","Fixo"))</f>
        <v/>
      </c>
      <c r="U284" s="58" t="str">
        <f aca="false">IF( T284&lt;&gt;"",VLOOKUP(T284,Selects!$M$4:$N$1000,2,0),"")</f>
        <v/>
      </c>
      <c r="V284" s="26"/>
      <c r="W284" s="58"/>
      <c r="X284" s="58"/>
      <c r="Y284" s="58"/>
      <c r="Z284" s="58"/>
      <c r="AA284" s="69"/>
      <c r="AB284" s="58"/>
      <c r="AC284" s="58"/>
      <c r="AD284" s="70" t="str">
        <f aca="false">IF(AC284&lt;&gt;"",VLOOKUP(AC284,Selects!$B$4:$C$100,2,0),"")</f>
        <v/>
      </c>
      <c r="AE284" s="26"/>
      <c r="AF284" s="58"/>
      <c r="AG284" s="59"/>
      <c r="AH284" s="65"/>
      <c r="AI284" s="66"/>
      <c r="AJ284" s="66"/>
      <c r="AK284" s="58"/>
      <c r="AL284" s="58"/>
      <c r="AM284" s="68" t="str">
        <f aca="false">IF(LEFT(AL284,1)="9","Celular",IF(AL284="","","Fixo"))</f>
        <v/>
      </c>
      <c r="AN284" s="58" t="str">
        <f aca="false">IF( AM284&lt;&gt;"",VLOOKUP(AM284,Selects!$M$4:$N$1000,2,0),"")</f>
        <v/>
      </c>
      <c r="AO284" s="58"/>
      <c r="AP284" s="59"/>
      <c r="AQ284" s="65"/>
      <c r="AR284" s="58"/>
      <c r="AS284" s="58"/>
      <c r="AT284" s="26"/>
      <c r="AU284" s="58"/>
      <c r="AV284" s="58"/>
      <c r="AW284" s="58"/>
      <c r="AX284" s="58"/>
      <c r="AY284" s="71"/>
      <c r="AZ284" s="58"/>
      <c r="BA284" s="58"/>
      <c r="BB284" s="72" t="str">
        <f aca="false">IF(BA284&lt;&gt;"",VLOOKUP(BA284,Selects!$B$4:$C$100,2,0),"")</f>
        <v/>
      </c>
      <c r="BC284" s="26"/>
      <c r="BD284" s="26"/>
      <c r="BE284" s="73"/>
      <c r="BF284" s="74"/>
      <c r="BG284" s="75" t="str">
        <f aca="false">IF(LEN(BF284)=11,"PF",IF(LEN(BF284)=14,"PJ",""))</f>
        <v/>
      </c>
      <c r="BH284" s="66"/>
      <c r="BI284" s="58" t="str">
        <f aca="false">IF(BH284&lt;&gt;"",VLOOKUP(BH284,Selects!$G:$H,2,0),"")</f>
        <v/>
      </c>
      <c r="BJ284" s="58"/>
      <c r="BK284" s="58"/>
      <c r="BL284" s="59"/>
      <c r="BM284" s="58"/>
      <c r="BN284" s="58"/>
      <c r="BO284" s="58" t="str">
        <f aca="false">IF(BN284&lt;&gt;"",VLOOKUP(BN284,Selects!$J$4:$K$1000,2,0),"")</f>
        <v/>
      </c>
      <c r="BP284" s="76"/>
      <c r="BQ284" s="59"/>
      <c r="BR284" s="77"/>
      <c r="BS284" s="59"/>
      <c r="BT284" s="77"/>
      <c r="BU284" s="58"/>
      <c r="BV284" s="58"/>
      <c r="BW284" s="58"/>
      <c r="BX284" s="58"/>
      <c r="BY284" s="58"/>
      <c r="BZ284" s="58"/>
      <c r="CA284" s="58"/>
      <c r="CB284" s="72" t="str">
        <f aca="false">IF(AC284&lt;&gt;"",VLOOKUP(AC284,Selects!$B:$E,4,0),"")</f>
        <v/>
      </c>
      <c r="CC284" s="58"/>
      <c r="CD284" s="58"/>
      <c r="CE284" s="58"/>
    </row>
    <row r="285" customFormat="false" ht="15.75" hidden="false" customHeight="true" outlineLevel="0" collapsed="false">
      <c r="A285" s="17"/>
      <c r="B285" s="58"/>
      <c r="C285" s="58"/>
      <c r="D285" s="59"/>
      <c r="E285" s="60" t="str">
        <f aca="false">IF(LEN(D285)=11,"PF",IF(LEN(D285)=14,"PJ",""))</f>
        <v/>
      </c>
      <c r="F285" s="59"/>
      <c r="G285" s="59"/>
      <c r="H285" s="61" t="str">
        <f aca="false">IF(G285&lt;&gt;"",VLOOKUP(G285,'Cnae  mcc  id'!$A:$M,9,0),"")</f>
        <v/>
      </c>
      <c r="I285" s="62"/>
      <c r="J285" s="63" t="str">
        <f aca="false">IF(I285&lt;&gt;"",VLOOKUP(I285,'Legal Nature'!$E$2:$G$84,3,0),"")</f>
        <v/>
      </c>
      <c r="K285" s="64"/>
      <c r="L285" s="65"/>
      <c r="M285" s="66"/>
      <c r="N285" s="66"/>
      <c r="O285" s="79"/>
      <c r="P285" s="26"/>
      <c r="Q285" s="58"/>
      <c r="R285" s="58"/>
      <c r="S285" s="80"/>
      <c r="T285" s="68" t="str">
        <f aca="false">IF(LEFT(S285,1)="9","Celular",IF(S285="","","Fixo"))</f>
        <v/>
      </c>
      <c r="U285" s="58" t="str">
        <f aca="false">IF( T285&lt;&gt;"",VLOOKUP(T285,Selects!$M$4:$N$1000,2,0),"")</f>
        <v/>
      </c>
      <c r="V285" s="26"/>
      <c r="W285" s="58"/>
      <c r="X285" s="58"/>
      <c r="Y285" s="58"/>
      <c r="Z285" s="58"/>
      <c r="AA285" s="69"/>
      <c r="AB285" s="58"/>
      <c r="AC285" s="58"/>
      <c r="AD285" s="70" t="str">
        <f aca="false">IF(AC285&lt;&gt;"",VLOOKUP(AC285,Selects!$B$4:$C$100,2,0),"")</f>
        <v/>
      </c>
      <c r="AE285" s="26"/>
      <c r="AF285" s="58"/>
      <c r="AG285" s="59"/>
      <c r="AH285" s="65"/>
      <c r="AI285" s="66"/>
      <c r="AJ285" s="66"/>
      <c r="AK285" s="58"/>
      <c r="AL285" s="58"/>
      <c r="AM285" s="68" t="str">
        <f aca="false">IF(LEFT(AL285,1)="9","Celular",IF(AL285="","","Fixo"))</f>
        <v/>
      </c>
      <c r="AN285" s="58" t="str">
        <f aca="false">IF( AM285&lt;&gt;"",VLOOKUP(AM285,Selects!$M$4:$N$1000,2,0),"")</f>
        <v/>
      </c>
      <c r="AO285" s="58"/>
      <c r="AP285" s="59"/>
      <c r="AQ285" s="65"/>
      <c r="AR285" s="58"/>
      <c r="AS285" s="58"/>
      <c r="AT285" s="26"/>
      <c r="AU285" s="58"/>
      <c r="AV285" s="58"/>
      <c r="AW285" s="58"/>
      <c r="AX285" s="58"/>
      <c r="AY285" s="71"/>
      <c r="AZ285" s="58"/>
      <c r="BA285" s="58"/>
      <c r="BB285" s="72" t="str">
        <f aca="false">IF(BA285&lt;&gt;"",VLOOKUP(BA285,Selects!$B$4:$C$100,2,0),"")</f>
        <v/>
      </c>
      <c r="BC285" s="26"/>
      <c r="BD285" s="26"/>
      <c r="BE285" s="73"/>
      <c r="BF285" s="74"/>
      <c r="BG285" s="75" t="str">
        <f aca="false">IF(LEN(BF285)=11,"PF",IF(LEN(BF285)=14,"PJ",""))</f>
        <v/>
      </c>
      <c r="BH285" s="66"/>
      <c r="BI285" s="58" t="str">
        <f aca="false">IF(BH285&lt;&gt;"",VLOOKUP(BH285,Selects!$G:$H,2,0),"")</f>
        <v/>
      </c>
      <c r="BJ285" s="58"/>
      <c r="BK285" s="58"/>
      <c r="BL285" s="59"/>
      <c r="BM285" s="58"/>
      <c r="BN285" s="58"/>
      <c r="BO285" s="58" t="str">
        <f aca="false">IF(BN285&lt;&gt;"",VLOOKUP(BN285,Selects!$J$4:$K$1000,2,0),"")</f>
        <v/>
      </c>
      <c r="BP285" s="76"/>
      <c r="BQ285" s="59"/>
      <c r="BR285" s="77"/>
      <c r="BS285" s="59"/>
      <c r="BT285" s="77"/>
      <c r="BU285" s="58"/>
      <c r="BV285" s="58"/>
      <c r="BW285" s="58"/>
      <c r="BX285" s="58"/>
      <c r="BY285" s="58"/>
      <c r="BZ285" s="58"/>
      <c r="CA285" s="58"/>
      <c r="CB285" s="72" t="str">
        <f aca="false">IF(AC285&lt;&gt;"",VLOOKUP(AC285,Selects!$B:$E,4,0),"")</f>
        <v/>
      </c>
      <c r="CC285" s="58"/>
      <c r="CD285" s="58"/>
      <c r="CE285" s="58"/>
    </row>
    <row r="286" customFormat="false" ht="15.75" hidden="false" customHeight="true" outlineLevel="0" collapsed="false">
      <c r="A286" s="17"/>
      <c r="B286" s="58"/>
      <c r="C286" s="58"/>
      <c r="D286" s="59"/>
      <c r="E286" s="60" t="str">
        <f aca="false">IF(LEN(D286)=11,"PF",IF(LEN(D286)=14,"PJ",""))</f>
        <v/>
      </c>
      <c r="F286" s="59"/>
      <c r="G286" s="59"/>
      <c r="H286" s="61" t="str">
        <f aca="false">IF(G286&lt;&gt;"",VLOOKUP(G286,'Cnae  mcc  id'!$A:$M,9,0),"")</f>
        <v/>
      </c>
      <c r="I286" s="62"/>
      <c r="J286" s="63" t="str">
        <f aca="false">IF(I286&lt;&gt;"",VLOOKUP(I286,'Legal Nature'!$E$2:$G$84,3,0),"")</f>
        <v/>
      </c>
      <c r="K286" s="64"/>
      <c r="L286" s="65"/>
      <c r="M286" s="66"/>
      <c r="N286" s="66"/>
      <c r="O286" s="79"/>
      <c r="P286" s="26"/>
      <c r="Q286" s="58"/>
      <c r="R286" s="58"/>
      <c r="S286" s="80"/>
      <c r="T286" s="68" t="str">
        <f aca="false">IF(LEFT(S286,1)="9","Celular",IF(S286="","","Fixo"))</f>
        <v/>
      </c>
      <c r="U286" s="58" t="str">
        <f aca="false">IF( T286&lt;&gt;"",VLOOKUP(T286,Selects!$M$4:$N$1000,2,0),"")</f>
        <v/>
      </c>
      <c r="V286" s="26"/>
      <c r="W286" s="58"/>
      <c r="X286" s="58"/>
      <c r="Y286" s="58"/>
      <c r="Z286" s="58"/>
      <c r="AA286" s="69"/>
      <c r="AB286" s="58"/>
      <c r="AC286" s="58"/>
      <c r="AD286" s="70" t="str">
        <f aca="false">IF(AC286&lt;&gt;"",VLOOKUP(AC286,Selects!$B$4:$C$100,2,0),"")</f>
        <v/>
      </c>
      <c r="AE286" s="26"/>
      <c r="AF286" s="58"/>
      <c r="AG286" s="59"/>
      <c r="AH286" s="65"/>
      <c r="AI286" s="66"/>
      <c r="AJ286" s="66"/>
      <c r="AK286" s="58"/>
      <c r="AL286" s="58"/>
      <c r="AM286" s="68" t="str">
        <f aca="false">IF(LEFT(AL286,1)="9","Celular",IF(AL286="","","Fixo"))</f>
        <v/>
      </c>
      <c r="AN286" s="58" t="str">
        <f aca="false">IF( AM286&lt;&gt;"",VLOOKUP(AM286,Selects!$M$4:$N$1000,2,0),"")</f>
        <v/>
      </c>
      <c r="AO286" s="58"/>
      <c r="AP286" s="59"/>
      <c r="AQ286" s="65"/>
      <c r="AR286" s="58"/>
      <c r="AS286" s="58"/>
      <c r="AT286" s="26"/>
      <c r="AU286" s="58"/>
      <c r="AV286" s="58"/>
      <c r="AW286" s="58"/>
      <c r="AX286" s="58"/>
      <c r="AY286" s="71"/>
      <c r="AZ286" s="58"/>
      <c r="BA286" s="58"/>
      <c r="BB286" s="72" t="str">
        <f aca="false">IF(BA286&lt;&gt;"",VLOOKUP(BA286,Selects!$B$4:$C$100,2,0),"")</f>
        <v/>
      </c>
      <c r="BC286" s="26"/>
      <c r="BD286" s="26"/>
      <c r="BE286" s="73"/>
      <c r="BF286" s="74"/>
      <c r="BG286" s="75" t="str">
        <f aca="false">IF(LEN(BF286)=11,"PF",IF(LEN(BF286)=14,"PJ",""))</f>
        <v/>
      </c>
      <c r="BH286" s="66"/>
      <c r="BI286" s="58" t="str">
        <f aca="false">IF(BH286&lt;&gt;"",VLOOKUP(BH286,Selects!$G:$H,2,0),"")</f>
        <v/>
      </c>
      <c r="BJ286" s="58"/>
      <c r="BK286" s="58"/>
      <c r="BL286" s="59"/>
      <c r="BM286" s="58"/>
      <c r="BN286" s="58"/>
      <c r="BO286" s="58" t="str">
        <f aca="false">IF(BN286&lt;&gt;"",VLOOKUP(BN286,Selects!$J$4:$K$1000,2,0),"")</f>
        <v/>
      </c>
      <c r="BP286" s="76"/>
      <c r="BQ286" s="59"/>
      <c r="BR286" s="77"/>
      <c r="BS286" s="59"/>
      <c r="BT286" s="77"/>
      <c r="BU286" s="58"/>
      <c r="BV286" s="58"/>
      <c r="BW286" s="58"/>
      <c r="BX286" s="58"/>
      <c r="BY286" s="58"/>
      <c r="BZ286" s="58"/>
      <c r="CA286" s="58"/>
      <c r="CB286" s="72" t="str">
        <f aca="false">IF(AC286&lt;&gt;"",VLOOKUP(AC286,Selects!$B:$E,4,0),"")</f>
        <v/>
      </c>
      <c r="CC286" s="58"/>
      <c r="CD286" s="58"/>
      <c r="CE286" s="58"/>
    </row>
    <row r="287" customFormat="false" ht="15.75" hidden="false" customHeight="true" outlineLevel="0" collapsed="false">
      <c r="A287" s="17"/>
      <c r="B287" s="58"/>
      <c r="C287" s="58"/>
      <c r="D287" s="59"/>
      <c r="E287" s="60" t="str">
        <f aca="false">IF(LEN(D287)=11,"PF",IF(LEN(D287)=14,"PJ",""))</f>
        <v/>
      </c>
      <c r="F287" s="59"/>
      <c r="G287" s="59"/>
      <c r="H287" s="61" t="str">
        <f aca="false">IF(G287&lt;&gt;"",VLOOKUP(G287,'Cnae  mcc  id'!$A:$M,9,0),"")</f>
        <v/>
      </c>
      <c r="I287" s="62"/>
      <c r="J287" s="63" t="str">
        <f aca="false">IF(I287&lt;&gt;"",VLOOKUP(I287,'Legal Nature'!$E$2:$G$84,3,0),"")</f>
        <v/>
      </c>
      <c r="K287" s="64"/>
      <c r="L287" s="65"/>
      <c r="M287" s="66"/>
      <c r="N287" s="66"/>
      <c r="O287" s="79"/>
      <c r="P287" s="26"/>
      <c r="Q287" s="58"/>
      <c r="R287" s="58"/>
      <c r="S287" s="80"/>
      <c r="T287" s="68" t="str">
        <f aca="false">IF(LEFT(S287,1)="9","Celular",IF(S287="","","Fixo"))</f>
        <v/>
      </c>
      <c r="U287" s="58" t="str">
        <f aca="false">IF( T287&lt;&gt;"",VLOOKUP(T287,Selects!$M$4:$N$1000,2,0),"")</f>
        <v/>
      </c>
      <c r="V287" s="26"/>
      <c r="W287" s="58"/>
      <c r="X287" s="58"/>
      <c r="Y287" s="58"/>
      <c r="Z287" s="58"/>
      <c r="AA287" s="69"/>
      <c r="AB287" s="58"/>
      <c r="AC287" s="58"/>
      <c r="AD287" s="70" t="str">
        <f aca="false">IF(AC287&lt;&gt;"",VLOOKUP(AC287,Selects!$B$4:$C$100,2,0),"")</f>
        <v/>
      </c>
      <c r="AE287" s="26"/>
      <c r="AF287" s="58"/>
      <c r="AG287" s="59"/>
      <c r="AH287" s="65"/>
      <c r="AI287" s="66"/>
      <c r="AJ287" s="66"/>
      <c r="AK287" s="58"/>
      <c r="AL287" s="58"/>
      <c r="AM287" s="68" t="str">
        <f aca="false">IF(LEFT(AL287,1)="9","Celular",IF(AL287="","","Fixo"))</f>
        <v/>
      </c>
      <c r="AN287" s="58" t="str">
        <f aca="false">IF( AM287&lt;&gt;"",VLOOKUP(AM287,Selects!$M$4:$N$1000,2,0),"")</f>
        <v/>
      </c>
      <c r="AO287" s="58"/>
      <c r="AP287" s="59"/>
      <c r="AQ287" s="65"/>
      <c r="AR287" s="58"/>
      <c r="AS287" s="58"/>
      <c r="AT287" s="26"/>
      <c r="AU287" s="58"/>
      <c r="AV287" s="58"/>
      <c r="AW287" s="58"/>
      <c r="AX287" s="58"/>
      <c r="AY287" s="71"/>
      <c r="AZ287" s="58"/>
      <c r="BA287" s="58"/>
      <c r="BB287" s="72" t="str">
        <f aca="false">IF(BA287&lt;&gt;"",VLOOKUP(BA287,Selects!$B$4:$C$100,2,0),"")</f>
        <v/>
      </c>
      <c r="BC287" s="26"/>
      <c r="BD287" s="26"/>
      <c r="BE287" s="73"/>
      <c r="BF287" s="74"/>
      <c r="BG287" s="75" t="str">
        <f aca="false">IF(LEN(BF287)=11,"PF",IF(LEN(BF287)=14,"PJ",""))</f>
        <v/>
      </c>
      <c r="BH287" s="66"/>
      <c r="BI287" s="58" t="str">
        <f aca="false">IF(BH287&lt;&gt;"",VLOOKUP(BH287,Selects!$G:$H,2,0),"")</f>
        <v/>
      </c>
      <c r="BJ287" s="58"/>
      <c r="BK287" s="58"/>
      <c r="BL287" s="59"/>
      <c r="BM287" s="58"/>
      <c r="BN287" s="58"/>
      <c r="BO287" s="58" t="str">
        <f aca="false">IF(BN287&lt;&gt;"",VLOOKUP(BN287,Selects!$J$4:$K$1000,2,0),"")</f>
        <v/>
      </c>
      <c r="BP287" s="76"/>
      <c r="BQ287" s="59"/>
      <c r="BR287" s="77"/>
      <c r="BS287" s="59"/>
      <c r="BT287" s="77"/>
      <c r="BU287" s="58"/>
      <c r="BV287" s="58"/>
      <c r="BW287" s="58"/>
      <c r="BX287" s="58"/>
      <c r="BY287" s="58"/>
      <c r="BZ287" s="58"/>
      <c r="CA287" s="58"/>
      <c r="CB287" s="72" t="str">
        <f aca="false">IF(AC287&lt;&gt;"",VLOOKUP(AC287,Selects!$B:$E,4,0),"")</f>
        <v/>
      </c>
      <c r="CC287" s="58"/>
      <c r="CD287" s="58"/>
      <c r="CE287" s="58"/>
    </row>
    <row r="288" customFormat="false" ht="15.75" hidden="false" customHeight="true" outlineLevel="0" collapsed="false">
      <c r="A288" s="17"/>
      <c r="B288" s="58"/>
      <c r="C288" s="58"/>
      <c r="D288" s="59"/>
      <c r="E288" s="60" t="str">
        <f aca="false">IF(LEN(D288)=11,"PF",IF(LEN(D288)=14,"PJ",""))</f>
        <v/>
      </c>
      <c r="F288" s="59"/>
      <c r="G288" s="59"/>
      <c r="H288" s="61" t="str">
        <f aca="false">IF(G288&lt;&gt;"",VLOOKUP(G288,'Cnae  mcc  id'!$A:$M,9,0),"")</f>
        <v/>
      </c>
      <c r="I288" s="62"/>
      <c r="J288" s="63" t="str">
        <f aca="false">IF(I288&lt;&gt;"",VLOOKUP(I288,'Legal Nature'!$E$2:$G$84,3,0),"")</f>
        <v/>
      </c>
      <c r="K288" s="64"/>
      <c r="L288" s="65"/>
      <c r="M288" s="66"/>
      <c r="N288" s="66"/>
      <c r="O288" s="79"/>
      <c r="P288" s="26"/>
      <c r="Q288" s="58"/>
      <c r="R288" s="58"/>
      <c r="S288" s="80"/>
      <c r="T288" s="68" t="str">
        <f aca="false">IF(LEFT(S288,1)="9","Celular",IF(S288="","","Fixo"))</f>
        <v/>
      </c>
      <c r="U288" s="58" t="str">
        <f aca="false">IF( T288&lt;&gt;"",VLOOKUP(T288,Selects!$M$4:$N$1000,2,0),"")</f>
        <v/>
      </c>
      <c r="V288" s="26"/>
      <c r="W288" s="58"/>
      <c r="X288" s="58"/>
      <c r="Y288" s="58"/>
      <c r="Z288" s="58"/>
      <c r="AA288" s="69"/>
      <c r="AB288" s="58"/>
      <c r="AC288" s="58"/>
      <c r="AD288" s="70" t="str">
        <f aca="false">IF(AC288&lt;&gt;"",VLOOKUP(AC288,Selects!$B$4:$C$100,2,0),"")</f>
        <v/>
      </c>
      <c r="AE288" s="26"/>
      <c r="AF288" s="58"/>
      <c r="AG288" s="59"/>
      <c r="AH288" s="65"/>
      <c r="AI288" s="66"/>
      <c r="AJ288" s="66"/>
      <c r="AK288" s="58"/>
      <c r="AL288" s="58"/>
      <c r="AM288" s="68" t="str">
        <f aca="false">IF(LEFT(AL288,1)="9","Celular",IF(AL288="","","Fixo"))</f>
        <v/>
      </c>
      <c r="AN288" s="58" t="str">
        <f aca="false">IF( AM288&lt;&gt;"",VLOOKUP(AM288,Selects!$M$4:$N$1000,2,0),"")</f>
        <v/>
      </c>
      <c r="AO288" s="58"/>
      <c r="AP288" s="59"/>
      <c r="AQ288" s="65"/>
      <c r="AR288" s="58"/>
      <c r="AS288" s="58"/>
      <c r="AT288" s="26"/>
      <c r="AU288" s="58"/>
      <c r="AV288" s="58"/>
      <c r="AW288" s="58"/>
      <c r="AX288" s="58"/>
      <c r="AY288" s="71"/>
      <c r="AZ288" s="58"/>
      <c r="BA288" s="58"/>
      <c r="BB288" s="72" t="str">
        <f aca="false">IF(BA288&lt;&gt;"",VLOOKUP(BA288,Selects!$B$4:$C$100,2,0),"")</f>
        <v/>
      </c>
      <c r="BC288" s="26"/>
      <c r="BD288" s="26"/>
      <c r="BE288" s="73"/>
      <c r="BF288" s="74"/>
      <c r="BG288" s="75" t="str">
        <f aca="false">IF(LEN(BF288)=11,"PF",IF(LEN(BF288)=14,"PJ",""))</f>
        <v/>
      </c>
      <c r="BH288" s="66"/>
      <c r="BI288" s="58" t="str">
        <f aca="false">IF(BH288&lt;&gt;"",VLOOKUP(BH288,Selects!$G:$H,2,0),"")</f>
        <v/>
      </c>
      <c r="BJ288" s="58"/>
      <c r="BK288" s="58"/>
      <c r="BL288" s="59"/>
      <c r="BM288" s="58"/>
      <c r="BN288" s="58"/>
      <c r="BO288" s="58" t="str">
        <f aca="false">IF(BN288&lt;&gt;"",VLOOKUP(BN288,Selects!$J$4:$K$1000,2,0),"")</f>
        <v/>
      </c>
      <c r="BP288" s="76"/>
      <c r="BQ288" s="59"/>
      <c r="BR288" s="77"/>
      <c r="BS288" s="59"/>
      <c r="BT288" s="77"/>
      <c r="BU288" s="58"/>
      <c r="BV288" s="58"/>
      <c r="BW288" s="58"/>
      <c r="BX288" s="58"/>
      <c r="BY288" s="58"/>
      <c r="BZ288" s="58"/>
      <c r="CA288" s="58"/>
      <c r="CB288" s="72" t="str">
        <f aca="false">IF(AC288&lt;&gt;"",VLOOKUP(AC288,Selects!$B:$E,4,0),"")</f>
        <v/>
      </c>
      <c r="CC288" s="58"/>
      <c r="CD288" s="58"/>
      <c r="CE288" s="58"/>
    </row>
    <row r="289" customFormat="false" ht="15.75" hidden="false" customHeight="true" outlineLevel="0" collapsed="false">
      <c r="A289" s="17"/>
      <c r="B289" s="58"/>
      <c r="C289" s="58"/>
      <c r="D289" s="59"/>
      <c r="E289" s="60" t="str">
        <f aca="false">IF(LEN(D289)=11,"PF",IF(LEN(D289)=14,"PJ",""))</f>
        <v/>
      </c>
      <c r="F289" s="59"/>
      <c r="G289" s="59"/>
      <c r="H289" s="61" t="str">
        <f aca="false">IF(G289&lt;&gt;"",VLOOKUP(G289,'Cnae  mcc  id'!$A:$M,9,0),"")</f>
        <v/>
      </c>
      <c r="I289" s="62"/>
      <c r="J289" s="63" t="str">
        <f aca="false">IF(I289&lt;&gt;"",VLOOKUP(I289,'Legal Nature'!$E$2:$G$84,3,0),"")</f>
        <v/>
      </c>
      <c r="K289" s="64"/>
      <c r="L289" s="65"/>
      <c r="M289" s="66"/>
      <c r="N289" s="66"/>
      <c r="O289" s="79"/>
      <c r="P289" s="26"/>
      <c r="Q289" s="58"/>
      <c r="R289" s="58"/>
      <c r="S289" s="80"/>
      <c r="T289" s="68" t="str">
        <f aca="false">IF(LEFT(S289,1)="9","Celular",IF(S289="","","Fixo"))</f>
        <v/>
      </c>
      <c r="U289" s="58" t="str">
        <f aca="false">IF( T289&lt;&gt;"",VLOOKUP(T289,Selects!$M$4:$N$1000,2,0),"")</f>
        <v/>
      </c>
      <c r="V289" s="26"/>
      <c r="W289" s="58"/>
      <c r="X289" s="58"/>
      <c r="Y289" s="58"/>
      <c r="Z289" s="58"/>
      <c r="AA289" s="69"/>
      <c r="AB289" s="58"/>
      <c r="AC289" s="58"/>
      <c r="AD289" s="70" t="str">
        <f aca="false">IF(AC289&lt;&gt;"",VLOOKUP(AC289,Selects!$B$4:$C$100,2,0),"")</f>
        <v/>
      </c>
      <c r="AE289" s="26"/>
      <c r="AF289" s="58"/>
      <c r="AG289" s="59"/>
      <c r="AH289" s="65"/>
      <c r="AI289" s="66"/>
      <c r="AJ289" s="66"/>
      <c r="AK289" s="58"/>
      <c r="AL289" s="58"/>
      <c r="AM289" s="68" t="str">
        <f aca="false">IF(LEFT(AL289,1)="9","Celular",IF(AL289="","","Fixo"))</f>
        <v/>
      </c>
      <c r="AN289" s="58" t="str">
        <f aca="false">IF( AM289&lt;&gt;"",VLOOKUP(AM289,Selects!$M$4:$N$1000,2,0),"")</f>
        <v/>
      </c>
      <c r="AO289" s="58"/>
      <c r="AP289" s="59"/>
      <c r="AQ289" s="65"/>
      <c r="AR289" s="58"/>
      <c r="AS289" s="58"/>
      <c r="AT289" s="26"/>
      <c r="AU289" s="58"/>
      <c r="AV289" s="58"/>
      <c r="AW289" s="58"/>
      <c r="AX289" s="58"/>
      <c r="AY289" s="71"/>
      <c r="AZ289" s="58"/>
      <c r="BA289" s="58"/>
      <c r="BB289" s="72" t="str">
        <f aca="false">IF(BA289&lt;&gt;"",VLOOKUP(BA289,Selects!$B$4:$C$100,2,0),"")</f>
        <v/>
      </c>
      <c r="BC289" s="26"/>
      <c r="BD289" s="26"/>
      <c r="BE289" s="73"/>
      <c r="BF289" s="74"/>
      <c r="BG289" s="75" t="str">
        <f aca="false">IF(LEN(BF289)=11,"PF",IF(LEN(BF289)=14,"PJ",""))</f>
        <v/>
      </c>
      <c r="BH289" s="66"/>
      <c r="BI289" s="58" t="str">
        <f aca="false">IF(BH289&lt;&gt;"",VLOOKUP(BH289,Selects!$G:$H,2,0),"")</f>
        <v/>
      </c>
      <c r="BJ289" s="58"/>
      <c r="BK289" s="58"/>
      <c r="BL289" s="59"/>
      <c r="BM289" s="58"/>
      <c r="BN289" s="58"/>
      <c r="BO289" s="58" t="str">
        <f aca="false">IF(BN289&lt;&gt;"",VLOOKUP(BN289,Selects!$J$4:$K$1000,2,0),"")</f>
        <v/>
      </c>
      <c r="BP289" s="76"/>
      <c r="BQ289" s="59"/>
      <c r="BR289" s="77"/>
      <c r="BS289" s="59"/>
      <c r="BT289" s="77"/>
      <c r="BU289" s="58"/>
      <c r="BV289" s="58"/>
      <c r="BW289" s="58"/>
      <c r="BX289" s="58"/>
      <c r="BY289" s="58"/>
      <c r="BZ289" s="58"/>
      <c r="CA289" s="58"/>
      <c r="CB289" s="72" t="str">
        <f aca="false">IF(AC289&lt;&gt;"",VLOOKUP(AC289,Selects!$B:$E,4,0),"")</f>
        <v/>
      </c>
      <c r="CC289" s="58"/>
      <c r="CD289" s="58"/>
      <c r="CE289" s="58"/>
    </row>
    <row r="290" customFormat="false" ht="15.75" hidden="false" customHeight="true" outlineLevel="0" collapsed="false">
      <c r="A290" s="17"/>
      <c r="B290" s="58"/>
      <c r="C290" s="58"/>
      <c r="D290" s="59"/>
      <c r="E290" s="60" t="str">
        <f aca="false">IF(LEN(D290)=11,"PF",IF(LEN(D290)=14,"PJ",""))</f>
        <v/>
      </c>
      <c r="F290" s="59"/>
      <c r="G290" s="59"/>
      <c r="H290" s="61" t="str">
        <f aca="false">IF(G290&lt;&gt;"",VLOOKUP(G290,'Cnae  mcc  id'!$A:$M,9,0),"")</f>
        <v/>
      </c>
      <c r="I290" s="62"/>
      <c r="J290" s="63" t="str">
        <f aca="false">IF(I290&lt;&gt;"",VLOOKUP(I290,'Legal Nature'!$E$2:$G$84,3,0),"")</f>
        <v/>
      </c>
      <c r="K290" s="64"/>
      <c r="L290" s="65"/>
      <c r="M290" s="66"/>
      <c r="N290" s="66"/>
      <c r="O290" s="79"/>
      <c r="P290" s="26"/>
      <c r="Q290" s="58"/>
      <c r="R290" s="58"/>
      <c r="S290" s="80"/>
      <c r="T290" s="68" t="str">
        <f aca="false">IF(LEFT(S290,1)="9","Celular",IF(S290="","","Fixo"))</f>
        <v/>
      </c>
      <c r="U290" s="58" t="str">
        <f aca="false">IF( T290&lt;&gt;"",VLOOKUP(T290,Selects!$M$4:$N$1000,2,0),"")</f>
        <v/>
      </c>
      <c r="V290" s="26"/>
      <c r="W290" s="58"/>
      <c r="X290" s="58"/>
      <c r="Y290" s="58"/>
      <c r="Z290" s="58"/>
      <c r="AA290" s="69"/>
      <c r="AB290" s="58"/>
      <c r="AC290" s="58"/>
      <c r="AD290" s="70" t="str">
        <f aca="false">IF(AC290&lt;&gt;"",VLOOKUP(AC290,Selects!$B$4:$C$100,2,0),"")</f>
        <v/>
      </c>
      <c r="AE290" s="26"/>
      <c r="AF290" s="58"/>
      <c r="AG290" s="59"/>
      <c r="AH290" s="65"/>
      <c r="AI290" s="66"/>
      <c r="AJ290" s="66"/>
      <c r="AK290" s="58"/>
      <c r="AL290" s="58"/>
      <c r="AM290" s="68" t="str">
        <f aca="false">IF(LEFT(AL290,1)="9","Celular",IF(AL290="","","Fixo"))</f>
        <v/>
      </c>
      <c r="AN290" s="58" t="str">
        <f aca="false">IF( AM290&lt;&gt;"",VLOOKUP(AM290,Selects!$M$4:$N$1000,2,0),"")</f>
        <v/>
      </c>
      <c r="AO290" s="58"/>
      <c r="AP290" s="59"/>
      <c r="AQ290" s="65"/>
      <c r="AR290" s="58"/>
      <c r="AS290" s="58"/>
      <c r="AT290" s="26"/>
      <c r="AU290" s="58"/>
      <c r="AV290" s="58"/>
      <c r="AW290" s="58"/>
      <c r="AX290" s="58"/>
      <c r="AY290" s="71"/>
      <c r="AZ290" s="58"/>
      <c r="BA290" s="58"/>
      <c r="BB290" s="72" t="str">
        <f aca="false">IF(BA290&lt;&gt;"",VLOOKUP(BA290,Selects!$B$4:$C$100,2,0),"")</f>
        <v/>
      </c>
      <c r="BC290" s="26"/>
      <c r="BD290" s="26"/>
      <c r="BE290" s="73"/>
      <c r="BF290" s="74"/>
      <c r="BG290" s="75" t="str">
        <f aca="false">IF(LEN(BF290)=11,"PF",IF(LEN(BF290)=14,"PJ",""))</f>
        <v/>
      </c>
      <c r="BH290" s="66"/>
      <c r="BI290" s="58" t="str">
        <f aca="false">IF(BH290&lt;&gt;"",VLOOKUP(BH290,Selects!$G:$H,2,0),"")</f>
        <v/>
      </c>
      <c r="BJ290" s="58"/>
      <c r="BK290" s="58"/>
      <c r="BL290" s="59"/>
      <c r="BM290" s="58"/>
      <c r="BN290" s="58"/>
      <c r="BO290" s="58" t="str">
        <f aca="false">IF(BN290&lt;&gt;"",VLOOKUP(BN290,Selects!$J$4:$K$1000,2,0),"")</f>
        <v/>
      </c>
      <c r="BP290" s="76"/>
      <c r="BQ290" s="59"/>
      <c r="BR290" s="77"/>
      <c r="BS290" s="59"/>
      <c r="BT290" s="77"/>
      <c r="BU290" s="58"/>
      <c r="BV290" s="58"/>
      <c r="BW290" s="58"/>
      <c r="BX290" s="58"/>
      <c r="BY290" s="58"/>
      <c r="BZ290" s="58"/>
      <c r="CA290" s="58"/>
      <c r="CB290" s="72" t="str">
        <f aca="false">IF(AC290&lt;&gt;"",VLOOKUP(AC290,Selects!$B:$E,4,0),"")</f>
        <v/>
      </c>
      <c r="CC290" s="58"/>
      <c r="CD290" s="58"/>
      <c r="CE290" s="58"/>
    </row>
    <row r="291" customFormat="false" ht="15.75" hidden="false" customHeight="true" outlineLevel="0" collapsed="false">
      <c r="A291" s="17"/>
      <c r="B291" s="58"/>
      <c r="C291" s="58"/>
      <c r="D291" s="59"/>
      <c r="E291" s="60" t="str">
        <f aca="false">IF(LEN(D291)=11,"PF",IF(LEN(D291)=14,"PJ",""))</f>
        <v/>
      </c>
      <c r="F291" s="59"/>
      <c r="G291" s="59"/>
      <c r="H291" s="61" t="str">
        <f aca="false">IF(G291&lt;&gt;"",VLOOKUP(G291,'Cnae  mcc  id'!$A:$M,9,0),"")</f>
        <v/>
      </c>
      <c r="I291" s="62"/>
      <c r="J291" s="63" t="str">
        <f aca="false">IF(I291&lt;&gt;"",VLOOKUP(I291,'Legal Nature'!$E$2:$G$84,3,0),"")</f>
        <v/>
      </c>
      <c r="K291" s="64"/>
      <c r="L291" s="65"/>
      <c r="M291" s="66"/>
      <c r="N291" s="66"/>
      <c r="O291" s="79"/>
      <c r="P291" s="26"/>
      <c r="Q291" s="58"/>
      <c r="R291" s="58"/>
      <c r="S291" s="80"/>
      <c r="T291" s="68" t="str">
        <f aca="false">IF(LEFT(S291,1)="9","Celular",IF(S291="","","Fixo"))</f>
        <v/>
      </c>
      <c r="U291" s="58" t="str">
        <f aca="false">IF( T291&lt;&gt;"",VLOOKUP(T291,Selects!$M$4:$N$1000,2,0),"")</f>
        <v/>
      </c>
      <c r="V291" s="26"/>
      <c r="W291" s="58"/>
      <c r="X291" s="58"/>
      <c r="Y291" s="58"/>
      <c r="Z291" s="58"/>
      <c r="AA291" s="69"/>
      <c r="AB291" s="58"/>
      <c r="AC291" s="58"/>
      <c r="AD291" s="70" t="str">
        <f aca="false">IF(AC291&lt;&gt;"",VLOOKUP(AC291,Selects!$B$4:$C$100,2,0),"")</f>
        <v/>
      </c>
      <c r="AE291" s="26"/>
      <c r="AF291" s="58"/>
      <c r="AG291" s="59"/>
      <c r="AH291" s="65"/>
      <c r="AI291" s="66"/>
      <c r="AJ291" s="66"/>
      <c r="AK291" s="58"/>
      <c r="AL291" s="58"/>
      <c r="AM291" s="68" t="str">
        <f aca="false">IF(LEFT(AL291,1)="9","Celular",IF(AL291="","","Fixo"))</f>
        <v/>
      </c>
      <c r="AN291" s="58" t="str">
        <f aca="false">IF( AM291&lt;&gt;"",VLOOKUP(AM291,Selects!$M$4:$N$1000,2,0),"")</f>
        <v/>
      </c>
      <c r="AO291" s="58"/>
      <c r="AP291" s="59"/>
      <c r="AQ291" s="65"/>
      <c r="AR291" s="58"/>
      <c r="AS291" s="58"/>
      <c r="AT291" s="26"/>
      <c r="AU291" s="58"/>
      <c r="AV291" s="58"/>
      <c r="AW291" s="58"/>
      <c r="AX291" s="58"/>
      <c r="AY291" s="71"/>
      <c r="AZ291" s="58"/>
      <c r="BA291" s="58"/>
      <c r="BB291" s="72" t="str">
        <f aca="false">IF(BA291&lt;&gt;"",VLOOKUP(BA291,Selects!$B$4:$C$100,2,0),"")</f>
        <v/>
      </c>
      <c r="BC291" s="26"/>
      <c r="BD291" s="26"/>
      <c r="BE291" s="73"/>
      <c r="BF291" s="74"/>
      <c r="BG291" s="75" t="str">
        <f aca="false">IF(LEN(BF291)=11,"PF",IF(LEN(BF291)=14,"PJ",""))</f>
        <v/>
      </c>
      <c r="BH291" s="66"/>
      <c r="BI291" s="58" t="str">
        <f aca="false">IF(BH291&lt;&gt;"",VLOOKUP(BH291,Selects!$G:$H,2,0),"")</f>
        <v/>
      </c>
      <c r="BJ291" s="58"/>
      <c r="BK291" s="58"/>
      <c r="BL291" s="59"/>
      <c r="BM291" s="58"/>
      <c r="BN291" s="58"/>
      <c r="BO291" s="58" t="str">
        <f aca="false">IF(BN291&lt;&gt;"",VLOOKUP(BN291,Selects!$J$4:$K$1000,2,0),"")</f>
        <v/>
      </c>
      <c r="BP291" s="76"/>
      <c r="BQ291" s="59"/>
      <c r="BR291" s="77"/>
      <c r="BS291" s="59"/>
      <c r="BT291" s="77"/>
      <c r="BU291" s="58"/>
      <c r="BV291" s="58"/>
      <c r="BW291" s="58"/>
      <c r="BX291" s="58"/>
      <c r="BY291" s="58"/>
      <c r="BZ291" s="58"/>
      <c r="CA291" s="58"/>
      <c r="CB291" s="72" t="str">
        <f aca="false">IF(AC291&lt;&gt;"",VLOOKUP(AC291,Selects!$B:$E,4,0),"")</f>
        <v/>
      </c>
      <c r="CC291" s="58"/>
      <c r="CD291" s="58"/>
      <c r="CE291" s="58"/>
    </row>
    <row r="292" customFormat="false" ht="15.75" hidden="false" customHeight="true" outlineLevel="0" collapsed="false">
      <c r="A292" s="17"/>
      <c r="B292" s="58"/>
      <c r="C292" s="58"/>
      <c r="D292" s="59"/>
      <c r="E292" s="60" t="str">
        <f aca="false">IF(LEN(D292)=11,"PF",IF(LEN(D292)=14,"PJ",""))</f>
        <v/>
      </c>
      <c r="F292" s="59"/>
      <c r="G292" s="59"/>
      <c r="H292" s="61" t="str">
        <f aca="false">IF(G292&lt;&gt;"",VLOOKUP(G292,'Cnae  mcc  id'!$A:$M,9,0),"")</f>
        <v/>
      </c>
      <c r="I292" s="62"/>
      <c r="J292" s="63" t="str">
        <f aca="false">IF(I292&lt;&gt;"",VLOOKUP(I292,'Legal Nature'!$E$2:$G$84,3,0),"")</f>
        <v/>
      </c>
      <c r="K292" s="64"/>
      <c r="L292" s="65"/>
      <c r="M292" s="66"/>
      <c r="N292" s="66"/>
      <c r="O292" s="79"/>
      <c r="P292" s="26"/>
      <c r="Q292" s="58"/>
      <c r="R292" s="58"/>
      <c r="S292" s="80"/>
      <c r="T292" s="68" t="str">
        <f aca="false">IF(LEFT(S292,1)="9","Celular",IF(S292="","","Fixo"))</f>
        <v/>
      </c>
      <c r="U292" s="58" t="str">
        <f aca="false">IF( T292&lt;&gt;"",VLOOKUP(T292,Selects!$M$4:$N$1000,2,0),"")</f>
        <v/>
      </c>
      <c r="V292" s="26"/>
      <c r="W292" s="58"/>
      <c r="X292" s="58"/>
      <c r="Y292" s="58"/>
      <c r="Z292" s="58"/>
      <c r="AA292" s="69"/>
      <c r="AB292" s="58"/>
      <c r="AC292" s="58"/>
      <c r="AD292" s="70" t="str">
        <f aca="false">IF(AC292&lt;&gt;"",VLOOKUP(AC292,Selects!$B$4:$C$100,2,0),"")</f>
        <v/>
      </c>
      <c r="AE292" s="26"/>
      <c r="AF292" s="58"/>
      <c r="AG292" s="59"/>
      <c r="AH292" s="65"/>
      <c r="AI292" s="66"/>
      <c r="AJ292" s="66"/>
      <c r="AK292" s="58"/>
      <c r="AL292" s="58"/>
      <c r="AM292" s="68" t="str">
        <f aca="false">IF(LEFT(AL292,1)="9","Celular",IF(AL292="","","Fixo"))</f>
        <v/>
      </c>
      <c r="AN292" s="58" t="str">
        <f aca="false">IF( AM292&lt;&gt;"",VLOOKUP(AM292,Selects!$M$4:$N$1000,2,0),"")</f>
        <v/>
      </c>
      <c r="AO292" s="58"/>
      <c r="AP292" s="59"/>
      <c r="AQ292" s="65"/>
      <c r="AR292" s="58"/>
      <c r="AS292" s="58"/>
      <c r="AT292" s="26"/>
      <c r="AU292" s="58"/>
      <c r="AV292" s="58"/>
      <c r="AW292" s="58"/>
      <c r="AX292" s="58"/>
      <c r="AY292" s="71"/>
      <c r="AZ292" s="58"/>
      <c r="BA292" s="58"/>
      <c r="BB292" s="72" t="str">
        <f aca="false">IF(BA292&lt;&gt;"",VLOOKUP(BA292,Selects!$B$4:$C$100,2,0),"")</f>
        <v/>
      </c>
      <c r="BC292" s="26"/>
      <c r="BD292" s="26"/>
      <c r="BE292" s="73"/>
      <c r="BF292" s="74"/>
      <c r="BG292" s="75" t="str">
        <f aca="false">IF(LEN(BF292)=11,"PF",IF(LEN(BF292)=14,"PJ",""))</f>
        <v/>
      </c>
      <c r="BH292" s="66"/>
      <c r="BI292" s="58" t="str">
        <f aca="false">IF(BH292&lt;&gt;"",VLOOKUP(BH292,Selects!$G:$H,2,0),"")</f>
        <v/>
      </c>
      <c r="BJ292" s="58"/>
      <c r="BK292" s="58"/>
      <c r="BL292" s="59"/>
      <c r="BM292" s="58"/>
      <c r="BN292" s="58"/>
      <c r="BO292" s="58" t="str">
        <f aca="false">IF(BN292&lt;&gt;"",VLOOKUP(BN292,Selects!$J$4:$K$1000,2,0),"")</f>
        <v/>
      </c>
      <c r="BP292" s="76"/>
      <c r="BQ292" s="59"/>
      <c r="BR292" s="77"/>
      <c r="BS292" s="59"/>
      <c r="BT292" s="77"/>
      <c r="BU292" s="58"/>
      <c r="BV292" s="58"/>
      <c r="BW292" s="58"/>
      <c r="BX292" s="58"/>
      <c r="BY292" s="58"/>
      <c r="BZ292" s="58"/>
      <c r="CA292" s="58"/>
      <c r="CB292" s="72" t="str">
        <f aca="false">IF(AC292&lt;&gt;"",VLOOKUP(AC292,Selects!$B:$E,4,0),"")</f>
        <v/>
      </c>
      <c r="CC292" s="58"/>
      <c r="CD292" s="58"/>
      <c r="CE292" s="58"/>
    </row>
    <row r="293" customFormat="false" ht="15.75" hidden="false" customHeight="true" outlineLevel="0" collapsed="false">
      <c r="A293" s="17"/>
      <c r="B293" s="58"/>
      <c r="C293" s="58"/>
      <c r="D293" s="59"/>
      <c r="E293" s="60" t="str">
        <f aca="false">IF(LEN(D293)=11,"PF",IF(LEN(D293)=14,"PJ",""))</f>
        <v/>
      </c>
      <c r="F293" s="59"/>
      <c r="G293" s="59"/>
      <c r="H293" s="61" t="str">
        <f aca="false">IF(G293&lt;&gt;"",VLOOKUP(G293,'Cnae  mcc  id'!$A:$M,9,0),"")</f>
        <v/>
      </c>
      <c r="I293" s="62"/>
      <c r="J293" s="63" t="str">
        <f aca="false">IF(I293&lt;&gt;"",VLOOKUP(I293,'Legal Nature'!$E$2:$G$84,3,0),"")</f>
        <v/>
      </c>
      <c r="K293" s="64"/>
      <c r="L293" s="65"/>
      <c r="M293" s="66"/>
      <c r="N293" s="66"/>
      <c r="O293" s="79"/>
      <c r="P293" s="26"/>
      <c r="Q293" s="58"/>
      <c r="R293" s="58"/>
      <c r="S293" s="80"/>
      <c r="T293" s="68" t="str">
        <f aca="false">IF(LEFT(S293,1)="9","Celular",IF(S293="","","Fixo"))</f>
        <v/>
      </c>
      <c r="U293" s="58" t="str">
        <f aca="false">IF( T293&lt;&gt;"",VLOOKUP(T293,Selects!$M$4:$N$1000,2,0),"")</f>
        <v/>
      </c>
      <c r="V293" s="26"/>
      <c r="W293" s="58"/>
      <c r="X293" s="58"/>
      <c r="Y293" s="58"/>
      <c r="Z293" s="58"/>
      <c r="AA293" s="69"/>
      <c r="AB293" s="58"/>
      <c r="AC293" s="58"/>
      <c r="AD293" s="70" t="str">
        <f aca="false">IF(AC293&lt;&gt;"",VLOOKUP(AC293,Selects!$B$4:$C$100,2,0),"")</f>
        <v/>
      </c>
      <c r="AE293" s="26"/>
      <c r="AF293" s="58"/>
      <c r="AG293" s="59"/>
      <c r="AH293" s="65"/>
      <c r="AI293" s="66"/>
      <c r="AJ293" s="66"/>
      <c r="AK293" s="58"/>
      <c r="AL293" s="58"/>
      <c r="AM293" s="68" t="str">
        <f aca="false">IF(LEFT(AL293,1)="9","Celular",IF(AL293="","","Fixo"))</f>
        <v/>
      </c>
      <c r="AN293" s="58" t="str">
        <f aca="false">IF( AM293&lt;&gt;"",VLOOKUP(AM293,Selects!$M$4:$N$1000,2,0),"")</f>
        <v/>
      </c>
      <c r="AO293" s="58"/>
      <c r="AP293" s="59"/>
      <c r="AQ293" s="65"/>
      <c r="AR293" s="58"/>
      <c r="AS293" s="58"/>
      <c r="AT293" s="26"/>
      <c r="AU293" s="58"/>
      <c r="AV293" s="58"/>
      <c r="AW293" s="58"/>
      <c r="AX293" s="58"/>
      <c r="AY293" s="71"/>
      <c r="AZ293" s="58"/>
      <c r="BA293" s="58"/>
      <c r="BB293" s="72" t="str">
        <f aca="false">IF(BA293&lt;&gt;"",VLOOKUP(BA293,Selects!$B$4:$C$100,2,0),"")</f>
        <v/>
      </c>
      <c r="BC293" s="26"/>
      <c r="BD293" s="26"/>
      <c r="BE293" s="73"/>
      <c r="BF293" s="74"/>
      <c r="BG293" s="75" t="str">
        <f aca="false">IF(LEN(BF293)=11,"PF",IF(LEN(BF293)=14,"PJ",""))</f>
        <v/>
      </c>
      <c r="BH293" s="66"/>
      <c r="BI293" s="58" t="str">
        <f aca="false">IF(BH293&lt;&gt;"",VLOOKUP(BH293,Selects!$G:$H,2,0),"")</f>
        <v/>
      </c>
      <c r="BJ293" s="58"/>
      <c r="BK293" s="58"/>
      <c r="BL293" s="59"/>
      <c r="BM293" s="58"/>
      <c r="BN293" s="58"/>
      <c r="BO293" s="58" t="str">
        <f aca="false">IF(BN293&lt;&gt;"",VLOOKUP(BN293,Selects!$J$4:$K$1000,2,0),"")</f>
        <v/>
      </c>
      <c r="BP293" s="76"/>
      <c r="BQ293" s="59"/>
      <c r="BR293" s="77"/>
      <c r="BS293" s="59"/>
      <c r="BT293" s="77"/>
      <c r="BU293" s="58"/>
      <c r="BV293" s="58"/>
      <c r="BW293" s="58"/>
      <c r="BX293" s="58"/>
      <c r="BY293" s="58"/>
      <c r="BZ293" s="58"/>
      <c r="CA293" s="58"/>
      <c r="CB293" s="72" t="str">
        <f aca="false">IF(AC293&lt;&gt;"",VLOOKUP(AC293,Selects!$B:$E,4,0),"")</f>
        <v/>
      </c>
      <c r="CC293" s="58"/>
      <c r="CD293" s="58"/>
      <c r="CE293" s="58"/>
    </row>
    <row r="294" customFormat="false" ht="15.75" hidden="false" customHeight="true" outlineLevel="0" collapsed="false">
      <c r="A294" s="17"/>
      <c r="B294" s="58"/>
      <c r="C294" s="58"/>
      <c r="D294" s="59"/>
      <c r="E294" s="60" t="str">
        <f aca="false">IF(LEN(D294)=11,"PF",IF(LEN(D294)=14,"PJ",""))</f>
        <v/>
      </c>
      <c r="F294" s="59"/>
      <c r="G294" s="59"/>
      <c r="H294" s="61" t="str">
        <f aca="false">IF(G294&lt;&gt;"",VLOOKUP(G294,'Cnae  mcc  id'!$A:$M,9,0),"")</f>
        <v/>
      </c>
      <c r="I294" s="62"/>
      <c r="J294" s="63" t="str">
        <f aca="false">IF(I294&lt;&gt;"",VLOOKUP(I294,'Legal Nature'!$E$2:$G$84,3,0),"")</f>
        <v/>
      </c>
      <c r="K294" s="64"/>
      <c r="L294" s="65"/>
      <c r="M294" s="66"/>
      <c r="N294" s="66"/>
      <c r="O294" s="79"/>
      <c r="P294" s="26"/>
      <c r="Q294" s="58"/>
      <c r="R294" s="58"/>
      <c r="S294" s="80"/>
      <c r="T294" s="68" t="str">
        <f aca="false">IF(LEFT(S294,1)="9","Celular",IF(S294="","","Fixo"))</f>
        <v/>
      </c>
      <c r="U294" s="58" t="str">
        <f aca="false">IF( T294&lt;&gt;"",VLOOKUP(T294,Selects!$M$4:$N$1000,2,0),"")</f>
        <v/>
      </c>
      <c r="V294" s="26"/>
      <c r="W294" s="58"/>
      <c r="X294" s="58"/>
      <c r="Y294" s="58"/>
      <c r="Z294" s="58"/>
      <c r="AA294" s="69"/>
      <c r="AB294" s="58"/>
      <c r="AC294" s="58"/>
      <c r="AD294" s="70" t="str">
        <f aca="false">IF(AC294&lt;&gt;"",VLOOKUP(AC294,Selects!$B$4:$C$100,2,0),"")</f>
        <v/>
      </c>
      <c r="AE294" s="26"/>
      <c r="AF294" s="58"/>
      <c r="AG294" s="59"/>
      <c r="AH294" s="65"/>
      <c r="AI294" s="66"/>
      <c r="AJ294" s="66"/>
      <c r="AK294" s="58"/>
      <c r="AL294" s="58"/>
      <c r="AM294" s="68" t="str">
        <f aca="false">IF(LEFT(AL294,1)="9","Celular",IF(AL294="","","Fixo"))</f>
        <v/>
      </c>
      <c r="AN294" s="58" t="str">
        <f aca="false">IF( AM294&lt;&gt;"",VLOOKUP(AM294,Selects!$M$4:$N$1000,2,0),"")</f>
        <v/>
      </c>
      <c r="AO294" s="58"/>
      <c r="AP294" s="59"/>
      <c r="AQ294" s="65"/>
      <c r="AR294" s="58"/>
      <c r="AS294" s="58"/>
      <c r="AT294" s="26"/>
      <c r="AU294" s="58"/>
      <c r="AV294" s="58"/>
      <c r="AW294" s="58"/>
      <c r="AX294" s="58"/>
      <c r="AY294" s="71"/>
      <c r="AZ294" s="58"/>
      <c r="BA294" s="58"/>
      <c r="BB294" s="72" t="str">
        <f aca="false">IF(BA294&lt;&gt;"",VLOOKUP(BA294,Selects!$B$4:$C$100,2,0),"")</f>
        <v/>
      </c>
      <c r="BC294" s="26"/>
      <c r="BD294" s="26"/>
      <c r="BE294" s="73"/>
      <c r="BF294" s="74"/>
      <c r="BG294" s="75" t="str">
        <f aca="false">IF(LEN(BF294)=11,"PF",IF(LEN(BF294)=14,"PJ",""))</f>
        <v/>
      </c>
      <c r="BH294" s="66"/>
      <c r="BI294" s="58" t="str">
        <f aca="false">IF(BH294&lt;&gt;"",VLOOKUP(BH294,Selects!$G:$H,2,0),"")</f>
        <v/>
      </c>
      <c r="BJ294" s="58"/>
      <c r="BK294" s="58"/>
      <c r="BL294" s="59"/>
      <c r="BM294" s="58"/>
      <c r="BN294" s="58"/>
      <c r="BO294" s="58" t="str">
        <f aca="false">IF(BN294&lt;&gt;"",VLOOKUP(BN294,Selects!$J$4:$K$1000,2,0),"")</f>
        <v/>
      </c>
      <c r="BP294" s="76"/>
      <c r="BQ294" s="59"/>
      <c r="BR294" s="77"/>
      <c r="BS294" s="59"/>
      <c r="BT294" s="77"/>
      <c r="BU294" s="58"/>
      <c r="BV294" s="58"/>
      <c r="BW294" s="58"/>
      <c r="BX294" s="58"/>
      <c r="BY294" s="58"/>
      <c r="BZ294" s="58"/>
      <c r="CA294" s="58"/>
      <c r="CB294" s="72" t="str">
        <f aca="false">IF(AC294&lt;&gt;"",VLOOKUP(AC294,Selects!$B:$E,4,0),"")</f>
        <v/>
      </c>
      <c r="CC294" s="58"/>
      <c r="CD294" s="58"/>
      <c r="CE294" s="58"/>
    </row>
    <row r="295" customFormat="false" ht="15.75" hidden="false" customHeight="true" outlineLevel="0" collapsed="false">
      <c r="A295" s="17"/>
      <c r="B295" s="58"/>
      <c r="C295" s="58"/>
      <c r="D295" s="59"/>
      <c r="E295" s="60" t="str">
        <f aca="false">IF(LEN(D295)=11,"PF",IF(LEN(D295)=14,"PJ",""))</f>
        <v/>
      </c>
      <c r="F295" s="59"/>
      <c r="G295" s="59"/>
      <c r="H295" s="61" t="str">
        <f aca="false">IF(G295&lt;&gt;"",VLOOKUP(G295,'Cnae  mcc  id'!$A:$M,9,0),"")</f>
        <v/>
      </c>
      <c r="I295" s="62"/>
      <c r="J295" s="63" t="str">
        <f aca="false">IF(I295&lt;&gt;"",VLOOKUP(I295,'Legal Nature'!$E$2:$G$84,3,0),"")</f>
        <v/>
      </c>
      <c r="K295" s="64"/>
      <c r="L295" s="65"/>
      <c r="M295" s="66"/>
      <c r="N295" s="66"/>
      <c r="O295" s="79"/>
      <c r="P295" s="26"/>
      <c r="Q295" s="58"/>
      <c r="R295" s="58"/>
      <c r="S295" s="80"/>
      <c r="T295" s="68" t="str">
        <f aca="false">IF(LEFT(S295,1)="9","Celular",IF(S295="","","Fixo"))</f>
        <v/>
      </c>
      <c r="U295" s="58" t="str">
        <f aca="false">IF( T295&lt;&gt;"",VLOOKUP(T295,Selects!$M$4:$N$1000,2,0),"")</f>
        <v/>
      </c>
      <c r="V295" s="26"/>
      <c r="W295" s="58"/>
      <c r="X295" s="58"/>
      <c r="Y295" s="58"/>
      <c r="Z295" s="58"/>
      <c r="AA295" s="69"/>
      <c r="AB295" s="58"/>
      <c r="AC295" s="58"/>
      <c r="AD295" s="70" t="str">
        <f aca="false">IF(AC295&lt;&gt;"",VLOOKUP(AC295,Selects!$B$4:$C$100,2,0),"")</f>
        <v/>
      </c>
      <c r="AE295" s="26"/>
      <c r="AF295" s="58"/>
      <c r="AG295" s="59"/>
      <c r="AH295" s="65"/>
      <c r="AI295" s="66"/>
      <c r="AJ295" s="66"/>
      <c r="AK295" s="58"/>
      <c r="AL295" s="58"/>
      <c r="AM295" s="68" t="str">
        <f aca="false">IF(LEFT(AL295,1)="9","Celular",IF(AL295="","","Fixo"))</f>
        <v/>
      </c>
      <c r="AN295" s="58" t="str">
        <f aca="false">IF( AM295&lt;&gt;"",VLOOKUP(AM295,Selects!$M$4:$N$1000,2,0),"")</f>
        <v/>
      </c>
      <c r="AO295" s="58"/>
      <c r="AP295" s="59"/>
      <c r="AQ295" s="65"/>
      <c r="AR295" s="58"/>
      <c r="AS295" s="58"/>
      <c r="AT295" s="26"/>
      <c r="AU295" s="58"/>
      <c r="AV295" s="58"/>
      <c r="AW295" s="58"/>
      <c r="AX295" s="58"/>
      <c r="AY295" s="71"/>
      <c r="AZ295" s="58"/>
      <c r="BA295" s="58"/>
      <c r="BB295" s="72" t="str">
        <f aca="false">IF(BA295&lt;&gt;"",VLOOKUP(BA295,Selects!$B$4:$C$100,2,0),"")</f>
        <v/>
      </c>
      <c r="BC295" s="26"/>
      <c r="BD295" s="26"/>
      <c r="BE295" s="73"/>
      <c r="BF295" s="74"/>
      <c r="BG295" s="75" t="str">
        <f aca="false">IF(LEN(BF295)=11,"PF",IF(LEN(BF295)=14,"PJ",""))</f>
        <v/>
      </c>
      <c r="BH295" s="66"/>
      <c r="BI295" s="58" t="str">
        <f aca="false">IF(BH295&lt;&gt;"",VLOOKUP(BH295,Selects!$G:$H,2,0),"")</f>
        <v/>
      </c>
      <c r="BJ295" s="58"/>
      <c r="BK295" s="58"/>
      <c r="BL295" s="59"/>
      <c r="BM295" s="58"/>
      <c r="BN295" s="58"/>
      <c r="BO295" s="58" t="str">
        <f aca="false">IF(BN295&lt;&gt;"",VLOOKUP(BN295,Selects!$J$4:$K$1000,2,0),"")</f>
        <v/>
      </c>
      <c r="BP295" s="76"/>
      <c r="BQ295" s="59"/>
      <c r="BR295" s="77"/>
      <c r="BS295" s="59"/>
      <c r="BT295" s="77"/>
      <c r="BU295" s="58"/>
      <c r="BV295" s="58"/>
      <c r="BW295" s="58"/>
      <c r="BX295" s="58"/>
      <c r="BY295" s="58"/>
      <c r="BZ295" s="58"/>
      <c r="CA295" s="58"/>
      <c r="CB295" s="72" t="str">
        <f aca="false">IF(AC295&lt;&gt;"",VLOOKUP(AC295,Selects!$B:$E,4,0),"")</f>
        <v/>
      </c>
      <c r="CC295" s="58"/>
      <c r="CD295" s="58"/>
      <c r="CE295" s="58"/>
    </row>
    <row r="296" customFormat="false" ht="15.75" hidden="false" customHeight="true" outlineLevel="0" collapsed="false">
      <c r="A296" s="17"/>
      <c r="B296" s="58"/>
      <c r="C296" s="58"/>
      <c r="D296" s="59"/>
      <c r="E296" s="60" t="str">
        <f aca="false">IF(LEN(D296)=11,"PF",IF(LEN(D296)=14,"PJ",""))</f>
        <v/>
      </c>
      <c r="F296" s="59"/>
      <c r="G296" s="59"/>
      <c r="H296" s="61" t="str">
        <f aca="false">IF(G296&lt;&gt;"",VLOOKUP(G296,'Cnae  mcc  id'!$A:$M,9,0),"")</f>
        <v/>
      </c>
      <c r="I296" s="62"/>
      <c r="J296" s="63" t="str">
        <f aca="false">IF(I296&lt;&gt;"",VLOOKUP(I296,'Legal Nature'!$E$2:$G$84,3,0),"")</f>
        <v/>
      </c>
      <c r="K296" s="64"/>
      <c r="L296" s="65"/>
      <c r="M296" s="66"/>
      <c r="N296" s="66"/>
      <c r="O296" s="79"/>
      <c r="P296" s="26"/>
      <c r="Q296" s="58"/>
      <c r="R296" s="58"/>
      <c r="S296" s="80"/>
      <c r="T296" s="68" t="str">
        <f aca="false">IF(LEFT(S296,1)="9","Celular",IF(S296="","","Fixo"))</f>
        <v/>
      </c>
      <c r="U296" s="58" t="str">
        <f aca="false">IF( T296&lt;&gt;"",VLOOKUP(T296,Selects!$M$4:$N$1000,2,0),"")</f>
        <v/>
      </c>
      <c r="V296" s="26"/>
      <c r="W296" s="58"/>
      <c r="X296" s="58"/>
      <c r="Y296" s="58"/>
      <c r="Z296" s="58"/>
      <c r="AA296" s="69"/>
      <c r="AB296" s="58"/>
      <c r="AC296" s="58"/>
      <c r="AD296" s="70" t="str">
        <f aca="false">IF(AC296&lt;&gt;"",VLOOKUP(AC296,Selects!$B$4:$C$100,2,0),"")</f>
        <v/>
      </c>
      <c r="AE296" s="26"/>
      <c r="AF296" s="58"/>
      <c r="AG296" s="59"/>
      <c r="AH296" s="65"/>
      <c r="AI296" s="66"/>
      <c r="AJ296" s="66"/>
      <c r="AK296" s="58"/>
      <c r="AL296" s="58"/>
      <c r="AM296" s="68" t="str">
        <f aca="false">IF(LEFT(AL296,1)="9","Celular",IF(AL296="","","Fixo"))</f>
        <v/>
      </c>
      <c r="AN296" s="58" t="str">
        <f aca="false">IF( AM296&lt;&gt;"",VLOOKUP(AM296,Selects!$M$4:$N$1000,2,0),"")</f>
        <v/>
      </c>
      <c r="AO296" s="58"/>
      <c r="AP296" s="59"/>
      <c r="AQ296" s="65"/>
      <c r="AR296" s="58"/>
      <c r="AS296" s="58"/>
      <c r="AT296" s="26"/>
      <c r="AU296" s="58"/>
      <c r="AV296" s="58"/>
      <c r="AW296" s="58"/>
      <c r="AX296" s="58"/>
      <c r="AY296" s="71"/>
      <c r="AZ296" s="58"/>
      <c r="BA296" s="58"/>
      <c r="BB296" s="72" t="str">
        <f aca="false">IF(BA296&lt;&gt;"",VLOOKUP(BA296,Selects!$B$4:$C$100,2,0),"")</f>
        <v/>
      </c>
      <c r="BC296" s="26"/>
      <c r="BD296" s="26"/>
      <c r="BE296" s="73"/>
      <c r="BF296" s="74"/>
      <c r="BG296" s="75" t="str">
        <f aca="false">IF(LEN(BF296)=11,"PF",IF(LEN(BF296)=14,"PJ",""))</f>
        <v/>
      </c>
      <c r="BH296" s="66"/>
      <c r="BI296" s="58" t="str">
        <f aca="false">IF(BH296&lt;&gt;"",VLOOKUP(BH296,Selects!$G:$H,2,0),"")</f>
        <v/>
      </c>
      <c r="BJ296" s="58"/>
      <c r="BK296" s="58"/>
      <c r="BL296" s="59"/>
      <c r="BM296" s="58"/>
      <c r="BN296" s="58"/>
      <c r="BO296" s="58" t="str">
        <f aca="false">IF(BN296&lt;&gt;"",VLOOKUP(BN296,Selects!$J$4:$K$1000,2,0),"")</f>
        <v/>
      </c>
      <c r="BP296" s="76"/>
      <c r="BQ296" s="59"/>
      <c r="BR296" s="77"/>
      <c r="BS296" s="59"/>
      <c r="BT296" s="77"/>
      <c r="BU296" s="58"/>
      <c r="BV296" s="58"/>
      <c r="BW296" s="58"/>
      <c r="BX296" s="58"/>
      <c r="BY296" s="58"/>
      <c r="BZ296" s="58"/>
      <c r="CA296" s="58"/>
      <c r="CB296" s="72" t="str">
        <f aca="false">IF(AC296&lt;&gt;"",VLOOKUP(AC296,Selects!$B:$E,4,0),"")</f>
        <v/>
      </c>
      <c r="CC296" s="58"/>
      <c r="CD296" s="58"/>
      <c r="CE296" s="58"/>
    </row>
    <row r="297" customFormat="false" ht="15.75" hidden="false" customHeight="true" outlineLevel="0" collapsed="false">
      <c r="A297" s="17"/>
      <c r="B297" s="58"/>
      <c r="C297" s="58"/>
      <c r="D297" s="59"/>
      <c r="E297" s="60" t="str">
        <f aca="false">IF(LEN(D297)=11,"PF",IF(LEN(D297)=14,"PJ",""))</f>
        <v/>
      </c>
      <c r="F297" s="59"/>
      <c r="G297" s="59"/>
      <c r="H297" s="61" t="str">
        <f aca="false">IF(G297&lt;&gt;"",VLOOKUP(G297,'Cnae  mcc  id'!$A:$M,9,0),"")</f>
        <v/>
      </c>
      <c r="I297" s="62"/>
      <c r="J297" s="63" t="str">
        <f aca="false">IF(I297&lt;&gt;"",VLOOKUP(I297,'Legal Nature'!$E$2:$G$84,3,0),"")</f>
        <v/>
      </c>
      <c r="K297" s="64"/>
      <c r="L297" s="65"/>
      <c r="M297" s="66"/>
      <c r="N297" s="66"/>
      <c r="O297" s="79"/>
      <c r="P297" s="26"/>
      <c r="Q297" s="58"/>
      <c r="R297" s="58"/>
      <c r="S297" s="80"/>
      <c r="T297" s="68" t="str">
        <f aca="false">IF(LEFT(S297,1)="9","Celular",IF(S297="","","Fixo"))</f>
        <v/>
      </c>
      <c r="U297" s="58" t="str">
        <f aca="false">IF( T297&lt;&gt;"",VLOOKUP(T297,Selects!$M$4:$N$1000,2,0),"")</f>
        <v/>
      </c>
      <c r="V297" s="26"/>
      <c r="W297" s="58"/>
      <c r="X297" s="58"/>
      <c r="Y297" s="58"/>
      <c r="Z297" s="58"/>
      <c r="AA297" s="69"/>
      <c r="AB297" s="58"/>
      <c r="AC297" s="58"/>
      <c r="AD297" s="70" t="str">
        <f aca="false">IF(AC297&lt;&gt;"",VLOOKUP(AC297,Selects!$B$4:$C$100,2,0),"")</f>
        <v/>
      </c>
      <c r="AE297" s="26"/>
      <c r="AF297" s="58"/>
      <c r="AG297" s="59"/>
      <c r="AH297" s="65"/>
      <c r="AI297" s="66"/>
      <c r="AJ297" s="66"/>
      <c r="AK297" s="58"/>
      <c r="AL297" s="58"/>
      <c r="AM297" s="68" t="str">
        <f aca="false">IF(LEFT(AL297,1)="9","Celular",IF(AL297="","","Fixo"))</f>
        <v/>
      </c>
      <c r="AN297" s="58" t="str">
        <f aca="false">IF( AM297&lt;&gt;"",VLOOKUP(AM297,Selects!$M$4:$N$1000,2,0),"")</f>
        <v/>
      </c>
      <c r="AO297" s="58"/>
      <c r="AP297" s="59"/>
      <c r="AQ297" s="65"/>
      <c r="AR297" s="58"/>
      <c r="AS297" s="58"/>
      <c r="AT297" s="26"/>
      <c r="AU297" s="58"/>
      <c r="AV297" s="58"/>
      <c r="AW297" s="58"/>
      <c r="AX297" s="58"/>
      <c r="AY297" s="71"/>
      <c r="AZ297" s="58"/>
      <c r="BA297" s="58"/>
      <c r="BB297" s="72" t="str">
        <f aca="false">IF(BA297&lt;&gt;"",VLOOKUP(BA297,Selects!$B$4:$C$100,2,0),"")</f>
        <v/>
      </c>
      <c r="BC297" s="26"/>
      <c r="BD297" s="26"/>
      <c r="BE297" s="73"/>
      <c r="BF297" s="74"/>
      <c r="BG297" s="75" t="str">
        <f aca="false">IF(LEN(BF297)=11,"PF",IF(LEN(BF297)=14,"PJ",""))</f>
        <v/>
      </c>
      <c r="BH297" s="66"/>
      <c r="BI297" s="58" t="str">
        <f aca="false">IF(BH297&lt;&gt;"",VLOOKUP(BH297,Selects!$G:$H,2,0),"")</f>
        <v/>
      </c>
      <c r="BJ297" s="58"/>
      <c r="BK297" s="58"/>
      <c r="BL297" s="59"/>
      <c r="BM297" s="58"/>
      <c r="BN297" s="58"/>
      <c r="BO297" s="58" t="str">
        <f aca="false">IF(BN297&lt;&gt;"",VLOOKUP(BN297,Selects!$J$4:$K$1000,2,0),"")</f>
        <v/>
      </c>
      <c r="BP297" s="76"/>
      <c r="BQ297" s="59"/>
      <c r="BR297" s="77"/>
      <c r="BS297" s="59"/>
      <c r="BT297" s="77"/>
      <c r="BU297" s="58"/>
      <c r="BV297" s="58"/>
      <c r="BW297" s="58"/>
      <c r="BX297" s="58"/>
      <c r="BY297" s="58"/>
      <c r="BZ297" s="58"/>
      <c r="CA297" s="58"/>
      <c r="CB297" s="72" t="str">
        <f aca="false">IF(AC297&lt;&gt;"",VLOOKUP(AC297,Selects!$B:$E,4,0),"")</f>
        <v/>
      </c>
      <c r="CC297" s="58"/>
      <c r="CD297" s="58"/>
      <c r="CE297" s="58"/>
    </row>
    <row r="298" customFormat="false" ht="15.75" hidden="false" customHeight="true" outlineLevel="0" collapsed="false">
      <c r="A298" s="17"/>
      <c r="B298" s="58"/>
      <c r="C298" s="58"/>
      <c r="D298" s="59"/>
      <c r="E298" s="60" t="str">
        <f aca="false">IF(LEN(D298)=11,"PF",IF(LEN(D298)=14,"PJ",""))</f>
        <v/>
      </c>
      <c r="F298" s="59"/>
      <c r="G298" s="59"/>
      <c r="H298" s="61" t="str">
        <f aca="false">IF(G298&lt;&gt;"",VLOOKUP(G298,'Cnae  mcc  id'!$A:$M,9,0),"")</f>
        <v/>
      </c>
      <c r="I298" s="62"/>
      <c r="J298" s="63" t="str">
        <f aca="false">IF(I298&lt;&gt;"",VLOOKUP(I298,'Legal Nature'!$E$2:$G$84,3,0),"")</f>
        <v/>
      </c>
      <c r="K298" s="64"/>
      <c r="L298" s="65"/>
      <c r="M298" s="66"/>
      <c r="N298" s="66"/>
      <c r="O298" s="79"/>
      <c r="P298" s="26"/>
      <c r="Q298" s="58"/>
      <c r="R298" s="58"/>
      <c r="S298" s="80"/>
      <c r="T298" s="68" t="str">
        <f aca="false">IF(LEFT(S298,1)="9","Celular",IF(S298="","","Fixo"))</f>
        <v/>
      </c>
      <c r="U298" s="58" t="str">
        <f aca="false">IF( T298&lt;&gt;"",VLOOKUP(T298,Selects!$M$4:$N$1000,2,0),"")</f>
        <v/>
      </c>
      <c r="V298" s="26"/>
      <c r="W298" s="58"/>
      <c r="X298" s="58"/>
      <c r="Y298" s="58"/>
      <c r="Z298" s="58"/>
      <c r="AA298" s="69"/>
      <c r="AB298" s="58"/>
      <c r="AC298" s="58"/>
      <c r="AD298" s="70" t="str">
        <f aca="false">IF(AC298&lt;&gt;"",VLOOKUP(AC298,Selects!$B$4:$C$100,2,0),"")</f>
        <v/>
      </c>
      <c r="AE298" s="26"/>
      <c r="AF298" s="58"/>
      <c r="AG298" s="59"/>
      <c r="AH298" s="65"/>
      <c r="AI298" s="66"/>
      <c r="AJ298" s="66"/>
      <c r="AK298" s="58"/>
      <c r="AL298" s="58"/>
      <c r="AM298" s="68" t="str">
        <f aca="false">IF(LEFT(AL298,1)="9","Celular",IF(AL298="","","Fixo"))</f>
        <v/>
      </c>
      <c r="AN298" s="58" t="str">
        <f aca="false">IF( AM298&lt;&gt;"",VLOOKUP(AM298,Selects!$M$4:$N$1000,2,0),"")</f>
        <v/>
      </c>
      <c r="AO298" s="58"/>
      <c r="AP298" s="59"/>
      <c r="AQ298" s="65"/>
      <c r="AR298" s="58"/>
      <c r="AS298" s="58"/>
      <c r="AT298" s="26"/>
      <c r="AU298" s="58"/>
      <c r="AV298" s="58"/>
      <c r="AW298" s="58"/>
      <c r="AX298" s="58"/>
      <c r="AY298" s="71"/>
      <c r="AZ298" s="58"/>
      <c r="BA298" s="58"/>
      <c r="BB298" s="72" t="str">
        <f aca="false">IF(BA298&lt;&gt;"",VLOOKUP(BA298,Selects!$B$4:$C$100,2,0),"")</f>
        <v/>
      </c>
      <c r="BC298" s="26"/>
      <c r="BD298" s="26"/>
      <c r="BE298" s="73"/>
      <c r="BF298" s="74"/>
      <c r="BG298" s="75" t="str">
        <f aca="false">IF(LEN(BF298)=11,"PF",IF(LEN(BF298)=14,"PJ",""))</f>
        <v/>
      </c>
      <c r="BH298" s="66"/>
      <c r="BI298" s="58" t="str">
        <f aca="false">IF(BH298&lt;&gt;"",VLOOKUP(BH298,Selects!$G:$H,2,0),"")</f>
        <v/>
      </c>
      <c r="BJ298" s="58"/>
      <c r="BK298" s="58"/>
      <c r="BL298" s="59"/>
      <c r="BM298" s="58"/>
      <c r="BN298" s="58"/>
      <c r="BO298" s="58" t="str">
        <f aca="false">IF(BN298&lt;&gt;"",VLOOKUP(BN298,Selects!$J$4:$K$1000,2,0),"")</f>
        <v/>
      </c>
      <c r="BP298" s="76"/>
      <c r="BQ298" s="59"/>
      <c r="BR298" s="77"/>
      <c r="BS298" s="59"/>
      <c r="BT298" s="77"/>
      <c r="BU298" s="58"/>
      <c r="BV298" s="58"/>
      <c r="BW298" s="58"/>
      <c r="BX298" s="58"/>
      <c r="BY298" s="58"/>
      <c r="BZ298" s="58"/>
      <c r="CA298" s="58"/>
      <c r="CB298" s="72" t="str">
        <f aca="false">IF(AC298&lt;&gt;"",VLOOKUP(AC298,Selects!$B:$E,4,0),"")</f>
        <v/>
      </c>
      <c r="CC298" s="58"/>
      <c r="CD298" s="58"/>
      <c r="CE298" s="58"/>
    </row>
    <row r="299" customFormat="false" ht="15.75" hidden="false" customHeight="true" outlineLevel="0" collapsed="false">
      <c r="A299" s="17"/>
      <c r="B299" s="58"/>
      <c r="C299" s="58"/>
      <c r="D299" s="59"/>
      <c r="E299" s="60" t="str">
        <f aca="false">IF(LEN(D299)=11,"PF",IF(LEN(D299)=14,"PJ",""))</f>
        <v/>
      </c>
      <c r="F299" s="59"/>
      <c r="G299" s="59"/>
      <c r="H299" s="61" t="str">
        <f aca="false">IF(G299&lt;&gt;"",VLOOKUP(G299,'Cnae  mcc  id'!$A:$M,9,0),"")</f>
        <v/>
      </c>
      <c r="I299" s="62"/>
      <c r="J299" s="63" t="str">
        <f aca="false">IF(I299&lt;&gt;"",VLOOKUP(I299,'Legal Nature'!$E$2:$G$84,3,0),"")</f>
        <v/>
      </c>
      <c r="K299" s="64"/>
      <c r="L299" s="65"/>
      <c r="M299" s="66"/>
      <c r="N299" s="66"/>
      <c r="O299" s="79"/>
      <c r="P299" s="26"/>
      <c r="Q299" s="58"/>
      <c r="R299" s="58"/>
      <c r="S299" s="80"/>
      <c r="T299" s="68" t="str">
        <f aca="false">IF(LEFT(S299,1)="9","Celular",IF(S299="","","Fixo"))</f>
        <v/>
      </c>
      <c r="U299" s="58" t="str">
        <f aca="false">IF( T299&lt;&gt;"",VLOOKUP(T299,Selects!$M$4:$N$1000,2,0),"")</f>
        <v/>
      </c>
      <c r="V299" s="26"/>
      <c r="W299" s="58"/>
      <c r="X299" s="58"/>
      <c r="Y299" s="58"/>
      <c r="Z299" s="58"/>
      <c r="AA299" s="69"/>
      <c r="AB299" s="58"/>
      <c r="AC299" s="58"/>
      <c r="AD299" s="70" t="str">
        <f aca="false">IF(AC299&lt;&gt;"",VLOOKUP(AC299,Selects!$B$4:$C$100,2,0),"")</f>
        <v/>
      </c>
      <c r="AE299" s="26"/>
      <c r="AF299" s="58"/>
      <c r="AG299" s="59"/>
      <c r="AH299" s="65"/>
      <c r="AI299" s="66"/>
      <c r="AJ299" s="66"/>
      <c r="AK299" s="58"/>
      <c r="AL299" s="58"/>
      <c r="AM299" s="68" t="str">
        <f aca="false">IF(LEFT(AL299,1)="9","Celular",IF(AL299="","","Fixo"))</f>
        <v/>
      </c>
      <c r="AN299" s="58" t="str">
        <f aca="false">IF( AM299&lt;&gt;"",VLOOKUP(AM299,Selects!$M$4:$N$1000,2,0),"")</f>
        <v/>
      </c>
      <c r="AO299" s="58"/>
      <c r="AP299" s="59"/>
      <c r="AQ299" s="65"/>
      <c r="AR299" s="58"/>
      <c r="AS299" s="58"/>
      <c r="AT299" s="26"/>
      <c r="AU299" s="58"/>
      <c r="AV299" s="58"/>
      <c r="AW299" s="58"/>
      <c r="AX299" s="58"/>
      <c r="AY299" s="71"/>
      <c r="AZ299" s="58"/>
      <c r="BA299" s="58"/>
      <c r="BB299" s="72" t="str">
        <f aca="false">IF(BA299&lt;&gt;"",VLOOKUP(BA299,Selects!$B$4:$C$100,2,0),"")</f>
        <v/>
      </c>
      <c r="BC299" s="26"/>
      <c r="BD299" s="26"/>
      <c r="BE299" s="73"/>
      <c r="BF299" s="74"/>
      <c r="BG299" s="75" t="str">
        <f aca="false">IF(LEN(BF299)=11,"PF",IF(LEN(BF299)=14,"PJ",""))</f>
        <v/>
      </c>
      <c r="BH299" s="66"/>
      <c r="BI299" s="58" t="str">
        <f aca="false">IF(BH299&lt;&gt;"",VLOOKUP(BH299,Selects!$G:$H,2,0),"")</f>
        <v/>
      </c>
      <c r="BJ299" s="58"/>
      <c r="BK299" s="58"/>
      <c r="BL299" s="59"/>
      <c r="BM299" s="58"/>
      <c r="BN299" s="58"/>
      <c r="BO299" s="58" t="str">
        <f aca="false">IF(BN299&lt;&gt;"",VLOOKUP(BN299,Selects!$J$4:$K$1000,2,0),"")</f>
        <v/>
      </c>
      <c r="BP299" s="76"/>
      <c r="BQ299" s="59"/>
      <c r="BR299" s="77"/>
      <c r="BS299" s="59"/>
      <c r="BT299" s="77"/>
      <c r="BU299" s="58"/>
      <c r="BV299" s="58"/>
      <c r="BW299" s="58"/>
      <c r="BX299" s="58"/>
      <c r="BY299" s="58"/>
      <c r="BZ299" s="58"/>
      <c r="CA299" s="58"/>
      <c r="CB299" s="72" t="str">
        <f aca="false">IF(AC299&lt;&gt;"",VLOOKUP(AC299,Selects!$B:$E,4,0),"")</f>
        <v/>
      </c>
      <c r="CC299" s="58"/>
      <c r="CD299" s="58"/>
      <c r="CE299" s="58"/>
    </row>
    <row r="300" customFormat="false" ht="15.75" hidden="false" customHeight="true" outlineLevel="0" collapsed="false">
      <c r="A300" s="17"/>
      <c r="B300" s="58"/>
      <c r="C300" s="58"/>
      <c r="D300" s="59"/>
      <c r="E300" s="60" t="str">
        <f aca="false">IF(LEN(D300)=11,"PF",IF(LEN(D300)=14,"PJ",""))</f>
        <v/>
      </c>
      <c r="F300" s="59"/>
      <c r="G300" s="59"/>
      <c r="H300" s="61" t="str">
        <f aca="false">IF(G300&lt;&gt;"",VLOOKUP(G300,'Cnae  mcc  id'!$A:$M,9,0),"")</f>
        <v/>
      </c>
      <c r="I300" s="62"/>
      <c r="J300" s="63" t="str">
        <f aca="false">IF(I300&lt;&gt;"",VLOOKUP(I300,'Legal Nature'!$E$2:$G$84,3,0),"")</f>
        <v/>
      </c>
      <c r="K300" s="64"/>
      <c r="L300" s="65"/>
      <c r="M300" s="66"/>
      <c r="N300" s="66"/>
      <c r="O300" s="79"/>
      <c r="P300" s="26"/>
      <c r="Q300" s="58"/>
      <c r="R300" s="58"/>
      <c r="S300" s="80"/>
      <c r="T300" s="68" t="str">
        <f aca="false">IF(LEFT(S300,1)="9","Celular",IF(S300="","","Fixo"))</f>
        <v/>
      </c>
      <c r="U300" s="58" t="str">
        <f aca="false">IF( T300&lt;&gt;"",VLOOKUP(T300,Selects!$M$4:$N$1000,2,0),"")</f>
        <v/>
      </c>
      <c r="V300" s="26"/>
      <c r="W300" s="58"/>
      <c r="X300" s="58"/>
      <c r="Y300" s="58"/>
      <c r="Z300" s="58"/>
      <c r="AA300" s="69"/>
      <c r="AB300" s="58"/>
      <c r="AC300" s="58"/>
      <c r="AD300" s="70" t="str">
        <f aca="false">IF(AC300&lt;&gt;"",VLOOKUP(AC300,Selects!$B$4:$C$100,2,0),"")</f>
        <v/>
      </c>
      <c r="AE300" s="26"/>
      <c r="AF300" s="58"/>
      <c r="AG300" s="59"/>
      <c r="AH300" s="65"/>
      <c r="AI300" s="66"/>
      <c r="AJ300" s="66"/>
      <c r="AK300" s="58"/>
      <c r="AL300" s="58"/>
      <c r="AM300" s="68" t="str">
        <f aca="false">IF(LEFT(AL300,1)="9","Celular",IF(AL300="","","Fixo"))</f>
        <v/>
      </c>
      <c r="AN300" s="58" t="str">
        <f aca="false">IF( AM300&lt;&gt;"",VLOOKUP(AM300,Selects!$M$4:$N$1000,2,0),"")</f>
        <v/>
      </c>
      <c r="AO300" s="58"/>
      <c r="AP300" s="59"/>
      <c r="AQ300" s="65"/>
      <c r="AR300" s="58"/>
      <c r="AS300" s="58"/>
      <c r="AT300" s="26"/>
      <c r="AU300" s="58"/>
      <c r="AV300" s="58"/>
      <c r="AW300" s="58"/>
      <c r="AX300" s="58"/>
      <c r="AY300" s="71"/>
      <c r="AZ300" s="58"/>
      <c r="BA300" s="58"/>
      <c r="BB300" s="72" t="str">
        <f aca="false">IF(BA300&lt;&gt;"",VLOOKUP(BA300,Selects!$B$4:$C$100,2,0),"")</f>
        <v/>
      </c>
      <c r="BC300" s="26"/>
      <c r="BD300" s="26"/>
      <c r="BE300" s="73"/>
      <c r="BF300" s="74"/>
      <c r="BG300" s="75" t="str">
        <f aca="false">IF(LEN(BF300)=11,"PF",IF(LEN(BF300)=14,"PJ",""))</f>
        <v/>
      </c>
      <c r="BH300" s="66"/>
      <c r="BI300" s="58" t="str">
        <f aca="false">IF(BH300&lt;&gt;"",VLOOKUP(BH300,Selects!$G:$H,2,0),"")</f>
        <v/>
      </c>
      <c r="BJ300" s="58"/>
      <c r="BK300" s="58"/>
      <c r="BL300" s="59"/>
      <c r="BM300" s="58"/>
      <c r="BN300" s="58"/>
      <c r="BO300" s="58" t="str">
        <f aca="false">IF(BN300&lt;&gt;"",VLOOKUP(BN300,Selects!$J$4:$K$1000,2,0),"")</f>
        <v/>
      </c>
      <c r="BP300" s="76"/>
      <c r="BQ300" s="59"/>
      <c r="BR300" s="77"/>
      <c r="BS300" s="59"/>
      <c r="BT300" s="77"/>
      <c r="BU300" s="58"/>
      <c r="BV300" s="58"/>
      <c r="BW300" s="58"/>
      <c r="BX300" s="58"/>
      <c r="BY300" s="58"/>
      <c r="BZ300" s="58"/>
      <c r="CA300" s="58"/>
      <c r="CB300" s="72" t="str">
        <f aca="false">IF(AC300&lt;&gt;"",VLOOKUP(AC300,Selects!$B:$E,4,0),"")</f>
        <v/>
      </c>
      <c r="CC300" s="58"/>
      <c r="CD300" s="58"/>
      <c r="CE300" s="58"/>
    </row>
    <row r="301" customFormat="false" ht="15.75" hidden="false" customHeight="true" outlineLevel="0" collapsed="false">
      <c r="A301" s="17"/>
      <c r="B301" s="58"/>
      <c r="C301" s="58"/>
      <c r="D301" s="59"/>
      <c r="E301" s="60" t="str">
        <f aca="false">IF(LEN(D301)=11,"PF",IF(LEN(D301)=14,"PJ",""))</f>
        <v/>
      </c>
      <c r="F301" s="59"/>
      <c r="G301" s="59"/>
      <c r="H301" s="61" t="str">
        <f aca="false">IF(G301&lt;&gt;"",VLOOKUP(G301,'Cnae  mcc  id'!$A:$M,9,0),"")</f>
        <v/>
      </c>
      <c r="I301" s="62"/>
      <c r="J301" s="63" t="str">
        <f aca="false">IF(I301&lt;&gt;"",VLOOKUP(I301,'Legal Nature'!$E$2:$G$84,3,0),"")</f>
        <v/>
      </c>
      <c r="K301" s="64"/>
      <c r="L301" s="65"/>
      <c r="M301" s="66"/>
      <c r="N301" s="66"/>
      <c r="O301" s="79"/>
      <c r="P301" s="26"/>
      <c r="Q301" s="58"/>
      <c r="R301" s="58"/>
      <c r="S301" s="80"/>
      <c r="T301" s="68" t="str">
        <f aca="false">IF(LEFT(S301,1)="9","Celular",IF(S301="","","Fixo"))</f>
        <v/>
      </c>
      <c r="U301" s="58" t="str">
        <f aca="false">IF( T301&lt;&gt;"",VLOOKUP(T301,Selects!$M$4:$N$1000,2,0),"")</f>
        <v/>
      </c>
      <c r="V301" s="26"/>
      <c r="W301" s="58"/>
      <c r="X301" s="58"/>
      <c r="Y301" s="58"/>
      <c r="Z301" s="58"/>
      <c r="AA301" s="69"/>
      <c r="AB301" s="58"/>
      <c r="AC301" s="58"/>
      <c r="AD301" s="70" t="str">
        <f aca="false">IF(AC301&lt;&gt;"",VLOOKUP(AC301,Selects!$B$4:$C$100,2,0),"")</f>
        <v/>
      </c>
      <c r="AE301" s="26"/>
      <c r="AF301" s="58"/>
      <c r="AG301" s="59"/>
      <c r="AH301" s="65"/>
      <c r="AI301" s="66"/>
      <c r="AJ301" s="66"/>
      <c r="AK301" s="58"/>
      <c r="AL301" s="58"/>
      <c r="AM301" s="68" t="str">
        <f aca="false">IF(LEFT(AL301,1)="9","Celular",IF(AL301="","","Fixo"))</f>
        <v/>
      </c>
      <c r="AN301" s="58" t="str">
        <f aca="false">IF( AM301&lt;&gt;"",VLOOKUP(AM301,Selects!$M$4:$N$1000,2,0),"")</f>
        <v/>
      </c>
      <c r="AO301" s="58"/>
      <c r="AP301" s="59"/>
      <c r="AQ301" s="65"/>
      <c r="AR301" s="58"/>
      <c r="AS301" s="58"/>
      <c r="AT301" s="26"/>
      <c r="AU301" s="58"/>
      <c r="AV301" s="58"/>
      <c r="AW301" s="58"/>
      <c r="AX301" s="58"/>
      <c r="AY301" s="71"/>
      <c r="AZ301" s="58"/>
      <c r="BA301" s="58"/>
      <c r="BB301" s="72" t="str">
        <f aca="false">IF(BA301&lt;&gt;"",VLOOKUP(BA301,Selects!$B$4:$C$100,2,0),"")</f>
        <v/>
      </c>
      <c r="BC301" s="26"/>
      <c r="BD301" s="26"/>
      <c r="BE301" s="73"/>
      <c r="BF301" s="74"/>
      <c r="BG301" s="75" t="str">
        <f aca="false">IF(LEN(BF301)=11,"PF",IF(LEN(BF301)=14,"PJ",""))</f>
        <v/>
      </c>
      <c r="BH301" s="66"/>
      <c r="BI301" s="58" t="str">
        <f aca="false">IF(BH301&lt;&gt;"",VLOOKUP(BH301,Selects!$G:$H,2,0),"")</f>
        <v/>
      </c>
      <c r="BJ301" s="58"/>
      <c r="BK301" s="58"/>
      <c r="BL301" s="59"/>
      <c r="BM301" s="58"/>
      <c r="BN301" s="58"/>
      <c r="BO301" s="58" t="str">
        <f aca="false">IF(BN301&lt;&gt;"",VLOOKUP(BN301,Selects!$J$4:$K$1000,2,0),"")</f>
        <v/>
      </c>
      <c r="BP301" s="76"/>
      <c r="BQ301" s="59"/>
      <c r="BR301" s="77"/>
      <c r="BS301" s="59"/>
      <c r="BT301" s="77"/>
      <c r="BU301" s="58"/>
      <c r="BV301" s="58"/>
      <c r="BW301" s="58"/>
      <c r="BX301" s="58"/>
      <c r="BY301" s="58"/>
      <c r="BZ301" s="58"/>
      <c r="CA301" s="58"/>
      <c r="CB301" s="72" t="str">
        <f aca="false">IF(AC301&lt;&gt;"",VLOOKUP(AC301,Selects!$B:$E,4,0),"")</f>
        <v/>
      </c>
      <c r="CC301" s="58"/>
      <c r="CD301" s="58"/>
      <c r="CE301" s="58"/>
    </row>
    <row r="302" customFormat="false" ht="15.75" hidden="false" customHeight="true" outlineLevel="0" collapsed="false">
      <c r="A302" s="17"/>
      <c r="B302" s="58"/>
      <c r="C302" s="58"/>
      <c r="D302" s="59"/>
      <c r="E302" s="60" t="str">
        <f aca="false">IF(LEN(D302)=11,"PF",IF(LEN(D302)=14,"PJ",""))</f>
        <v/>
      </c>
      <c r="F302" s="59"/>
      <c r="G302" s="59"/>
      <c r="H302" s="61" t="str">
        <f aca="false">IF(G302&lt;&gt;"",VLOOKUP(G302,'Cnae  mcc  id'!$A:$M,9,0),"")</f>
        <v/>
      </c>
      <c r="I302" s="62"/>
      <c r="J302" s="63" t="str">
        <f aca="false">IF(I302&lt;&gt;"",VLOOKUP(I302,'Legal Nature'!$E$2:$G$84,3,0),"")</f>
        <v/>
      </c>
      <c r="K302" s="64"/>
      <c r="L302" s="65"/>
      <c r="M302" s="66"/>
      <c r="N302" s="66"/>
      <c r="O302" s="79"/>
      <c r="P302" s="26"/>
      <c r="Q302" s="58"/>
      <c r="R302" s="58"/>
      <c r="S302" s="80"/>
      <c r="T302" s="68" t="str">
        <f aca="false">IF(LEFT(S302,1)="9","Celular",IF(S302="","","Fixo"))</f>
        <v/>
      </c>
      <c r="U302" s="58" t="str">
        <f aca="false">IF( T302&lt;&gt;"",VLOOKUP(T302,Selects!$M$4:$N$1000,2,0),"")</f>
        <v/>
      </c>
      <c r="V302" s="26"/>
      <c r="W302" s="58"/>
      <c r="X302" s="58"/>
      <c r="Y302" s="58"/>
      <c r="Z302" s="58"/>
      <c r="AA302" s="69"/>
      <c r="AB302" s="58"/>
      <c r="AC302" s="58"/>
      <c r="AD302" s="70" t="str">
        <f aca="false">IF(AC302&lt;&gt;"",VLOOKUP(AC302,Selects!$B$4:$C$100,2,0),"")</f>
        <v/>
      </c>
      <c r="AE302" s="26"/>
      <c r="AF302" s="58"/>
      <c r="AG302" s="59"/>
      <c r="AH302" s="65"/>
      <c r="AI302" s="66"/>
      <c r="AJ302" s="66"/>
      <c r="AK302" s="58"/>
      <c r="AL302" s="58"/>
      <c r="AM302" s="68" t="str">
        <f aca="false">IF(LEFT(AL302,1)="9","Celular",IF(AL302="","","Fixo"))</f>
        <v/>
      </c>
      <c r="AN302" s="58" t="str">
        <f aca="false">IF( AM302&lt;&gt;"",VLOOKUP(AM302,Selects!$M$4:$N$1000,2,0),"")</f>
        <v/>
      </c>
      <c r="AO302" s="58"/>
      <c r="AP302" s="59"/>
      <c r="AQ302" s="65"/>
      <c r="AR302" s="58"/>
      <c r="AS302" s="58"/>
      <c r="AT302" s="26"/>
      <c r="AU302" s="58"/>
      <c r="AV302" s="58"/>
      <c r="AW302" s="58"/>
      <c r="AX302" s="58"/>
      <c r="AY302" s="71"/>
      <c r="AZ302" s="58"/>
      <c r="BA302" s="58"/>
      <c r="BB302" s="72" t="str">
        <f aca="false">IF(BA302&lt;&gt;"",VLOOKUP(BA302,Selects!$B$4:$C$100,2,0),"")</f>
        <v/>
      </c>
      <c r="BC302" s="26"/>
      <c r="BD302" s="26"/>
      <c r="BE302" s="73"/>
      <c r="BF302" s="74"/>
      <c r="BG302" s="75" t="str">
        <f aca="false">IF(LEN(BF302)=11,"PF",IF(LEN(BF302)=14,"PJ",""))</f>
        <v/>
      </c>
      <c r="BH302" s="66"/>
      <c r="BI302" s="58" t="str">
        <f aca="false">IF(BH302&lt;&gt;"",VLOOKUP(BH302,Selects!$G:$H,2,0),"")</f>
        <v/>
      </c>
      <c r="BJ302" s="58"/>
      <c r="BK302" s="58"/>
      <c r="BL302" s="59"/>
      <c r="BM302" s="58"/>
      <c r="BN302" s="58"/>
      <c r="BO302" s="58" t="str">
        <f aca="false">IF(BN302&lt;&gt;"",VLOOKUP(BN302,Selects!$J$4:$K$1000,2,0),"")</f>
        <v/>
      </c>
      <c r="BP302" s="76"/>
      <c r="BQ302" s="59"/>
      <c r="BR302" s="77"/>
      <c r="BS302" s="59"/>
      <c r="BT302" s="77"/>
      <c r="BU302" s="58"/>
      <c r="BV302" s="58"/>
      <c r="BW302" s="58"/>
      <c r="BX302" s="58"/>
      <c r="BY302" s="58"/>
      <c r="BZ302" s="58"/>
      <c r="CA302" s="58"/>
      <c r="CB302" s="72" t="str">
        <f aca="false">IF(AC302&lt;&gt;"",VLOOKUP(AC302,Selects!$B:$E,4,0),"")</f>
        <v/>
      </c>
      <c r="CC302" s="58"/>
      <c r="CD302" s="58"/>
      <c r="CE302" s="58"/>
    </row>
    <row r="303" customFormat="false" ht="15.75" hidden="false" customHeight="true" outlineLevel="0" collapsed="false">
      <c r="A303" s="17"/>
      <c r="B303" s="58"/>
      <c r="C303" s="58"/>
      <c r="D303" s="59"/>
      <c r="E303" s="60" t="str">
        <f aca="false">IF(LEN(D303)=11,"PF",IF(LEN(D303)=14,"PJ",""))</f>
        <v/>
      </c>
      <c r="F303" s="59"/>
      <c r="G303" s="59"/>
      <c r="H303" s="61" t="str">
        <f aca="false">IF(G303&lt;&gt;"",VLOOKUP(G303,'Cnae  mcc  id'!$A:$M,9,0),"")</f>
        <v/>
      </c>
      <c r="I303" s="62"/>
      <c r="J303" s="63" t="str">
        <f aca="false">IF(I303&lt;&gt;"",VLOOKUP(I303,'Legal Nature'!$E$2:$G$84,3,0),"")</f>
        <v/>
      </c>
      <c r="K303" s="64"/>
      <c r="L303" s="65"/>
      <c r="M303" s="66"/>
      <c r="N303" s="66"/>
      <c r="O303" s="79"/>
      <c r="P303" s="26"/>
      <c r="Q303" s="58"/>
      <c r="R303" s="58"/>
      <c r="S303" s="80"/>
      <c r="T303" s="68" t="str">
        <f aca="false">IF(LEFT(S303,1)="9","Celular",IF(S303="","","Fixo"))</f>
        <v/>
      </c>
      <c r="U303" s="58" t="str">
        <f aca="false">IF( T303&lt;&gt;"",VLOOKUP(T303,Selects!$M$4:$N$1000,2,0),"")</f>
        <v/>
      </c>
      <c r="V303" s="26"/>
      <c r="W303" s="58"/>
      <c r="X303" s="58"/>
      <c r="Y303" s="58"/>
      <c r="Z303" s="58"/>
      <c r="AA303" s="69"/>
      <c r="AB303" s="58"/>
      <c r="AC303" s="58"/>
      <c r="AD303" s="70" t="str">
        <f aca="false">IF(AC303&lt;&gt;"",VLOOKUP(AC303,Selects!$B$4:$C$100,2,0),"")</f>
        <v/>
      </c>
      <c r="AE303" s="26"/>
      <c r="AF303" s="58"/>
      <c r="AG303" s="59"/>
      <c r="AH303" s="65"/>
      <c r="AI303" s="66"/>
      <c r="AJ303" s="66"/>
      <c r="AK303" s="58"/>
      <c r="AL303" s="58"/>
      <c r="AM303" s="68" t="str">
        <f aca="false">IF(LEFT(AL303,1)="9","Celular",IF(AL303="","","Fixo"))</f>
        <v/>
      </c>
      <c r="AN303" s="58" t="str">
        <f aca="false">IF( AM303&lt;&gt;"",VLOOKUP(AM303,Selects!$M$4:$N$1000,2,0),"")</f>
        <v/>
      </c>
      <c r="AO303" s="58"/>
      <c r="AP303" s="59"/>
      <c r="AQ303" s="65"/>
      <c r="AR303" s="58"/>
      <c r="AS303" s="58"/>
      <c r="AT303" s="26"/>
      <c r="AU303" s="58"/>
      <c r="AV303" s="58"/>
      <c r="AW303" s="58"/>
      <c r="AX303" s="58"/>
      <c r="AY303" s="71"/>
      <c r="AZ303" s="58"/>
      <c r="BA303" s="58"/>
      <c r="BB303" s="72" t="str">
        <f aca="false">IF(BA303&lt;&gt;"",VLOOKUP(BA303,Selects!$B$4:$C$100,2,0),"")</f>
        <v/>
      </c>
      <c r="BC303" s="26"/>
      <c r="BD303" s="26"/>
      <c r="BE303" s="73"/>
      <c r="BF303" s="74"/>
      <c r="BG303" s="75" t="str">
        <f aca="false">IF(LEN(BF303)=11,"PF",IF(LEN(BF303)=14,"PJ",""))</f>
        <v/>
      </c>
      <c r="BH303" s="66"/>
      <c r="BI303" s="58" t="str">
        <f aca="false">IF(BH303&lt;&gt;"",VLOOKUP(BH303,Selects!$G:$H,2,0),"")</f>
        <v/>
      </c>
      <c r="BJ303" s="58"/>
      <c r="BK303" s="58"/>
      <c r="BL303" s="59"/>
      <c r="BM303" s="58"/>
      <c r="BN303" s="58"/>
      <c r="BO303" s="58" t="str">
        <f aca="false">IF(BN303&lt;&gt;"",VLOOKUP(BN303,Selects!$J$4:$K$1000,2,0),"")</f>
        <v/>
      </c>
      <c r="BP303" s="76"/>
      <c r="BQ303" s="59"/>
      <c r="BR303" s="77"/>
      <c r="BS303" s="59"/>
      <c r="BT303" s="77"/>
      <c r="BU303" s="58"/>
      <c r="BV303" s="58"/>
      <c r="BW303" s="58"/>
      <c r="BX303" s="58"/>
      <c r="BY303" s="58"/>
      <c r="BZ303" s="58"/>
      <c r="CA303" s="58"/>
      <c r="CB303" s="72" t="str">
        <f aca="false">IF(AC303&lt;&gt;"",VLOOKUP(AC303,Selects!$B:$E,4,0),"")</f>
        <v/>
      </c>
      <c r="CC303" s="58"/>
      <c r="CD303" s="58"/>
      <c r="CE303" s="58"/>
    </row>
    <row r="304" customFormat="false" ht="15.75" hidden="false" customHeight="true" outlineLevel="0" collapsed="false">
      <c r="A304" s="17"/>
      <c r="B304" s="58"/>
      <c r="C304" s="58"/>
      <c r="D304" s="59"/>
      <c r="E304" s="60" t="str">
        <f aca="false">IF(LEN(D304)=11,"PF",IF(LEN(D304)=14,"PJ",""))</f>
        <v/>
      </c>
      <c r="F304" s="59"/>
      <c r="G304" s="59"/>
      <c r="H304" s="61" t="str">
        <f aca="false">IF(G304&lt;&gt;"",VLOOKUP(G304,'Cnae  mcc  id'!$A:$M,9,0),"")</f>
        <v/>
      </c>
      <c r="I304" s="62"/>
      <c r="J304" s="63" t="str">
        <f aca="false">IF(I304&lt;&gt;"",VLOOKUP(I304,'Legal Nature'!$E$2:$G$84,3,0),"")</f>
        <v/>
      </c>
      <c r="K304" s="64"/>
      <c r="L304" s="65"/>
      <c r="M304" s="66"/>
      <c r="N304" s="66"/>
      <c r="O304" s="79"/>
      <c r="P304" s="26"/>
      <c r="Q304" s="58"/>
      <c r="R304" s="58"/>
      <c r="S304" s="80"/>
      <c r="T304" s="68" t="str">
        <f aca="false">IF(LEFT(S304,1)="9","Celular",IF(S304="","","Fixo"))</f>
        <v/>
      </c>
      <c r="U304" s="58" t="str">
        <f aca="false">IF( T304&lt;&gt;"",VLOOKUP(T304,Selects!$M$4:$N$1000,2,0),"")</f>
        <v/>
      </c>
      <c r="V304" s="26"/>
      <c r="W304" s="58"/>
      <c r="X304" s="58"/>
      <c r="Y304" s="58"/>
      <c r="Z304" s="58"/>
      <c r="AA304" s="69"/>
      <c r="AB304" s="58"/>
      <c r="AC304" s="58"/>
      <c r="AD304" s="70" t="str">
        <f aca="false">IF(AC304&lt;&gt;"",VLOOKUP(AC304,Selects!$B$4:$C$100,2,0),"")</f>
        <v/>
      </c>
      <c r="AE304" s="26"/>
      <c r="AF304" s="58"/>
      <c r="AG304" s="59"/>
      <c r="AH304" s="65"/>
      <c r="AI304" s="66"/>
      <c r="AJ304" s="66"/>
      <c r="AK304" s="58"/>
      <c r="AL304" s="58"/>
      <c r="AM304" s="68" t="str">
        <f aca="false">IF(LEFT(AL304,1)="9","Celular",IF(AL304="","","Fixo"))</f>
        <v/>
      </c>
      <c r="AN304" s="58" t="str">
        <f aca="false">IF( AM304&lt;&gt;"",VLOOKUP(AM304,Selects!$M$4:$N$1000,2,0),"")</f>
        <v/>
      </c>
      <c r="AO304" s="58"/>
      <c r="AP304" s="59"/>
      <c r="AQ304" s="65"/>
      <c r="AR304" s="58"/>
      <c r="AS304" s="58"/>
      <c r="AT304" s="26"/>
      <c r="AU304" s="58"/>
      <c r="AV304" s="58"/>
      <c r="AW304" s="58"/>
      <c r="AX304" s="58"/>
      <c r="AY304" s="71"/>
      <c r="AZ304" s="58"/>
      <c r="BA304" s="58"/>
      <c r="BB304" s="72" t="str">
        <f aca="false">IF(BA304&lt;&gt;"",VLOOKUP(BA304,Selects!$B$4:$C$100,2,0),"")</f>
        <v/>
      </c>
      <c r="BC304" s="26"/>
      <c r="BD304" s="26"/>
      <c r="BE304" s="73"/>
      <c r="BF304" s="74"/>
      <c r="BG304" s="75" t="str">
        <f aca="false">IF(LEN(BF304)=11,"PF",IF(LEN(BF304)=14,"PJ",""))</f>
        <v/>
      </c>
      <c r="BH304" s="66"/>
      <c r="BI304" s="58" t="str">
        <f aca="false">IF(BH304&lt;&gt;"",VLOOKUP(BH304,Selects!$G:$H,2,0),"")</f>
        <v/>
      </c>
      <c r="BJ304" s="58"/>
      <c r="BK304" s="58"/>
      <c r="BL304" s="59"/>
      <c r="BM304" s="58"/>
      <c r="BN304" s="58"/>
      <c r="BO304" s="58" t="str">
        <f aca="false">IF(BN304&lt;&gt;"",VLOOKUP(BN304,Selects!$J$4:$K$1000,2,0),"")</f>
        <v/>
      </c>
      <c r="BP304" s="76"/>
      <c r="BQ304" s="59"/>
      <c r="BR304" s="77"/>
      <c r="BS304" s="59"/>
      <c r="BT304" s="77"/>
      <c r="BU304" s="58"/>
      <c r="BV304" s="58"/>
      <c r="BW304" s="58"/>
      <c r="BX304" s="58"/>
      <c r="BY304" s="58"/>
      <c r="BZ304" s="58"/>
      <c r="CA304" s="58"/>
      <c r="CB304" s="72" t="str">
        <f aca="false">IF(AC304&lt;&gt;"",VLOOKUP(AC304,Selects!$B:$E,4,0),"")</f>
        <v/>
      </c>
      <c r="CC304" s="58"/>
      <c r="CD304" s="58"/>
      <c r="CE304" s="58"/>
    </row>
    <row r="305" customFormat="false" ht="15.75" hidden="false" customHeight="true" outlineLevel="0" collapsed="false">
      <c r="A305" s="17"/>
      <c r="B305" s="58"/>
      <c r="C305" s="58"/>
      <c r="D305" s="59"/>
      <c r="E305" s="60" t="str">
        <f aca="false">IF(LEN(D305)=11,"PF",IF(LEN(D305)=14,"PJ",""))</f>
        <v/>
      </c>
      <c r="F305" s="59"/>
      <c r="G305" s="59"/>
      <c r="H305" s="61" t="str">
        <f aca="false">IF(G305&lt;&gt;"",VLOOKUP(G305,'Cnae  mcc  id'!$A:$M,9,0),"")</f>
        <v/>
      </c>
      <c r="I305" s="62"/>
      <c r="J305" s="63" t="str">
        <f aca="false">IF(I305&lt;&gt;"",VLOOKUP(I305,'Legal Nature'!$E$2:$G$84,3,0),"")</f>
        <v/>
      </c>
      <c r="K305" s="64"/>
      <c r="L305" s="65"/>
      <c r="M305" s="66"/>
      <c r="N305" s="66"/>
      <c r="O305" s="79"/>
      <c r="P305" s="26"/>
      <c r="Q305" s="58"/>
      <c r="R305" s="58"/>
      <c r="S305" s="80"/>
      <c r="T305" s="68" t="str">
        <f aca="false">IF(LEFT(S305,1)="9","Celular",IF(S305="","","Fixo"))</f>
        <v/>
      </c>
      <c r="U305" s="58" t="str">
        <f aca="false">IF( T305&lt;&gt;"",VLOOKUP(T305,Selects!$M$4:$N$1000,2,0),"")</f>
        <v/>
      </c>
      <c r="V305" s="26"/>
      <c r="W305" s="58"/>
      <c r="X305" s="58"/>
      <c r="Y305" s="58"/>
      <c r="Z305" s="58"/>
      <c r="AA305" s="69"/>
      <c r="AB305" s="58"/>
      <c r="AC305" s="58"/>
      <c r="AD305" s="70" t="str">
        <f aca="false">IF(AC305&lt;&gt;"",VLOOKUP(AC305,Selects!$B$4:$C$100,2,0),"")</f>
        <v/>
      </c>
      <c r="AE305" s="26"/>
      <c r="AF305" s="58"/>
      <c r="AG305" s="59"/>
      <c r="AH305" s="65"/>
      <c r="AI305" s="66"/>
      <c r="AJ305" s="66"/>
      <c r="AK305" s="58"/>
      <c r="AL305" s="58"/>
      <c r="AM305" s="68" t="str">
        <f aca="false">IF(LEFT(AL305,1)="9","Celular",IF(AL305="","","Fixo"))</f>
        <v/>
      </c>
      <c r="AN305" s="58" t="str">
        <f aca="false">IF( AM305&lt;&gt;"",VLOOKUP(AM305,Selects!$M$4:$N$1000,2,0),"")</f>
        <v/>
      </c>
      <c r="AO305" s="58"/>
      <c r="AP305" s="59"/>
      <c r="AQ305" s="65"/>
      <c r="AR305" s="58"/>
      <c r="AS305" s="58"/>
      <c r="AT305" s="26"/>
      <c r="AU305" s="58"/>
      <c r="AV305" s="58"/>
      <c r="AW305" s="58"/>
      <c r="AX305" s="58"/>
      <c r="AY305" s="71"/>
      <c r="AZ305" s="58"/>
      <c r="BA305" s="58"/>
      <c r="BB305" s="72" t="str">
        <f aca="false">IF(BA305&lt;&gt;"",VLOOKUP(BA305,Selects!$B$4:$C$100,2,0),"")</f>
        <v/>
      </c>
      <c r="BC305" s="26"/>
      <c r="BD305" s="26"/>
      <c r="BE305" s="73"/>
      <c r="BF305" s="74"/>
      <c r="BG305" s="75" t="str">
        <f aca="false">IF(LEN(BF305)=11,"PF",IF(LEN(BF305)=14,"PJ",""))</f>
        <v/>
      </c>
      <c r="BH305" s="66"/>
      <c r="BI305" s="58" t="str">
        <f aca="false">IF(BH305&lt;&gt;"",VLOOKUP(BH305,Selects!$G:$H,2,0),"")</f>
        <v/>
      </c>
      <c r="BJ305" s="58"/>
      <c r="BK305" s="58"/>
      <c r="BL305" s="59"/>
      <c r="BM305" s="58"/>
      <c r="BN305" s="58"/>
      <c r="BO305" s="58" t="str">
        <f aca="false">IF(BN305&lt;&gt;"",VLOOKUP(BN305,Selects!$J$4:$K$1000,2,0),"")</f>
        <v/>
      </c>
      <c r="BP305" s="76"/>
      <c r="BQ305" s="59"/>
      <c r="BR305" s="77"/>
      <c r="BS305" s="59"/>
      <c r="BT305" s="77"/>
      <c r="BU305" s="58"/>
      <c r="BV305" s="58"/>
      <c r="BW305" s="58"/>
      <c r="BX305" s="58"/>
      <c r="BY305" s="58"/>
      <c r="BZ305" s="58"/>
      <c r="CA305" s="58"/>
      <c r="CB305" s="72" t="str">
        <f aca="false">IF(AC305&lt;&gt;"",VLOOKUP(AC305,Selects!$B:$E,4,0),"")</f>
        <v/>
      </c>
      <c r="CC305" s="58"/>
      <c r="CD305" s="58"/>
      <c r="CE305" s="58"/>
    </row>
    <row r="306" customFormat="false" ht="15.75" hidden="false" customHeight="true" outlineLevel="0" collapsed="false">
      <c r="A306" s="17"/>
      <c r="B306" s="58"/>
      <c r="C306" s="58"/>
      <c r="D306" s="59"/>
      <c r="E306" s="60" t="str">
        <f aca="false">IF(LEN(D306)=11,"PF",IF(LEN(D306)=14,"PJ",""))</f>
        <v/>
      </c>
      <c r="F306" s="59"/>
      <c r="G306" s="59"/>
      <c r="H306" s="61" t="str">
        <f aca="false">IF(G306&lt;&gt;"",VLOOKUP(G306,'Cnae  mcc  id'!$A:$M,9,0),"")</f>
        <v/>
      </c>
      <c r="I306" s="62"/>
      <c r="J306" s="63" t="str">
        <f aca="false">IF(I306&lt;&gt;"",VLOOKUP(I306,'Legal Nature'!$E$2:$G$84,3,0),"")</f>
        <v/>
      </c>
      <c r="K306" s="64"/>
      <c r="L306" s="65"/>
      <c r="M306" s="66"/>
      <c r="N306" s="66"/>
      <c r="O306" s="79"/>
      <c r="P306" s="26"/>
      <c r="Q306" s="58"/>
      <c r="R306" s="58"/>
      <c r="S306" s="80"/>
      <c r="T306" s="68" t="str">
        <f aca="false">IF(LEFT(S306,1)="9","Celular",IF(S306="","","Fixo"))</f>
        <v/>
      </c>
      <c r="U306" s="58" t="str">
        <f aca="false">IF( T306&lt;&gt;"",VLOOKUP(T306,Selects!$M$4:$N$1000,2,0),"")</f>
        <v/>
      </c>
      <c r="V306" s="26"/>
      <c r="W306" s="58"/>
      <c r="X306" s="58"/>
      <c r="Y306" s="58"/>
      <c r="Z306" s="58"/>
      <c r="AA306" s="69"/>
      <c r="AB306" s="58"/>
      <c r="AC306" s="58"/>
      <c r="AD306" s="70" t="str">
        <f aca="false">IF(AC306&lt;&gt;"",VLOOKUP(AC306,Selects!$B$4:$C$100,2,0),"")</f>
        <v/>
      </c>
      <c r="AE306" s="26"/>
      <c r="AF306" s="58"/>
      <c r="AG306" s="59"/>
      <c r="AH306" s="65"/>
      <c r="AI306" s="66"/>
      <c r="AJ306" s="66"/>
      <c r="AK306" s="58"/>
      <c r="AL306" s="58"/>
      <c r="AM306" s="68" t="str">
        <f aca="false">IF(LEFT(AL306,1)="9","Celular",IF(AL306="","","Fixo"))</f>
        <v/>
      </c>
      <c r="AN306" s="58" t="str">
        <f aca="false">IF( AM306&lt;&gt;"",VLOOKUP(AM306,Selects!$M$4:$N$1000,2,0),"")</f>
        <v/>
      </c>
      <c r="AO306" s="58"/>
      <c r="AP306" s="59"/>
      <c r="AQ306" s="65"/>
      <c r="AR306" s="58"/>
      <c r="AS306" s="58"/>
      <c r="AT306" s="26"/>
      <c r="AU306" s="58"/>
      <c r="AV306" s="58"/>
      <c r="AW306" s="58"/>
      <c r="AX306" s="58"/>
      <c r="AY306" s="71"/>
      <c r="AZ306" s="58"/>
      <c r="BA306" s="58"/>
      <c r="BB306" s="72" t="str">
        <f aca="false">IF(BA306&lt;&gt;"",VLOOKUP(BA306,Selects!$B$4:$C$100,2,0),"")</f>
        <v/>
      </c>
      <c r="BC306" s="26"/>
      <c r="BD306" s="26"/>
      <c r="BE306" s="73"/>
      <c r="BF306" s="74"/>
      <c r="BG306" s="75" t="str">
        <f aca="false">IF(LEN(BF306)=11,"PF",IF(LEN(BF306)=14,"PJ",""))</f>
        <v/>
      </c>
      <c r="BH306" s="66"/>
      <c r="BI306" s="58" t="str">
        <f aca="false">IF(BH306&lt;&gt;"",VLOOKUP(BH306,Selects!$G:$H,2,0),"")</f>
        <v/>
      </c>
      <c r="BJ306" s="58"/>
      <c r="BK306" s="58"/>
      <c r="BL306" s="59"/>
      <c r="BM306" s="58"/>
      <c r="BN306" s="58"/>
      <c r="BO306" s="58" t="str">
        <f aca="false">IF(BN306&lt;&gt;"",VLOOKUP(BN306,Selects!$J$4:$K$1000,2,0),"")</f>
        <v/>
      </c>
      <c r="BP306" s="76"/>
      <c r="BQ306" s="59"/>
      <c r="BR306" s="77"/>
      <c r="BS306" s="59"/>
      <c r="BT306" s="77"/>
      <c r="BU306" s="58"/>
      <c r="BV306" s="58"/>
      <c r="BW306" s="58"/>
      <c r="BX306" s="58"/>
      <c r="BY306" s="58"/>
      <c r="BZ306" s="58"/>
      <c r="CA306" s="58"/>
      <c r="CB306" s="72" t="str">
        <f aca="false">IF(AC306&lt;&gt;"",VLOOKUP(AC306,Selects!$B:$E,4,0),"")</f>
        <v/>
      </c>
      <c r="CC306" s="58"/>
      <c r="CD306" s="58"/>
      <c r="CE306" s="58"/>
    </row>
    <row r="307" customFormat="false" ht="15.75" hidden="false" customHeight="true" outlineLevel="0" collapsed="false">
      <c r="A307" s="17"/>
      <c r="B307" s="58"/>
      <c r="C307" s="58"/>
      <c r="D307" s="59"/>
      <c r="E307" s="60" t="str">
        <f aca="false">IF(LEN(D307)=11,"PF",IF(LEN(D307)=14,"PJ",""))</f>
        <v/>
      </c>
      <c r="F307" s="59"/>
      <c r="G307" s="59"/>
      <c r="H307" s="61" t="str">
        <f aca="false">IF(G307&lt;&gt;"",VLOOKUP(G307,'Cnae  mcc  id'!$A:$M,9,0),"")</f>
        <v/>
      </c>
      <c r="I307" s="62"/>
      <c r="J307" s="63" t="str">
        <f aca="false">IF(I307&lt;&gt;"",VLOOKUP(I307,'Legal Nature'!$E$2:$G$84,3,0),"")</f>
        <v/>
      </c>
      <c r="K307" s="64"/>
      <c r="L307" s="65"/>
      <c r="M307" s="66"/>
      <c r="N307" s="66"/>
      <c r="O307" s="79"/>
      <c r="P307" s="26"/>
      <c r="Q307" s="58"/>
      <c r="R307" s="58"/>
      <c r="S307" s="80"/>
      <c r="T307" s="68" t="str">
        <f aca="false">IF(LEFT(S307,1)="9","Celular",IF(S307="","","Fixo"))</f>
        <v/>
      </c>
      <c r="U307" s="58" t="str">
        <f aca="false">IF( T307&lt;&gt;"",VLOOKUP(T307,Selects!$M$4:$N$1000,2,0),"")</f>
        <v/>
      </c>
      <c r="V307" s="26"/>
      <c r="W307" s="58"/>
      <c r="X307" s="58"/>
      <c r="Y307" s="58"/>
      <c r="Z307" s="58"/>
      <c r="AA307" s="69"/>
      <c r="AB307" s="58"/>
      <c r="AC307" s="58"/>
      <c r="AD307" s="70" t="str">
        <f aca="false">IF(AC307&lt;&gt;"",VLOOKUP(AC307,Selects!$B$4:$C$100,2,0),"")</f>
        <v/>
      </c>
      <c r="AE307" s="26"/>
      <c r="AF307" s="58"/>
      <c r="AG307" s="59"/>
      <c r="AH307" s="65"/>
      <c r="AI307" s="66"/>
      <c r="AJ307" s="66"/>
      <c r="AK307" s="58"/>
      <c r="AL307" s="58"/>
      <c r="AM307" s="68" t="str">
        <f aca="false">IF(LEFT(AL307,1)="9","Celular",IF(AL307="","","Fixo"))</f>
        <v/>
      </c>
      <c r="AN307" s="58" t="str">
        <f aca="false">IF( AM307&lt;&gt;"",VLOOKUP(AM307,Selects!$M$4:$N$1000,2,0),"")</f>
        <v/>
      </c>
      <c r="AO307" s="58"/>
      <c r="AP307" s="59"/>
      <c r="AQ307" s="65"/>
      <c r="AR307" s="58"/>
      <c r="AS307" s="58"/>
      <c r="AT307" s="26"/>
      <c r="AU307" s="58"/>
      <c r="AV307" s="58"/>
      <c r="AW307" s="58"/>
      <c r="AX307" s="58"/>
      <c r="AY307" s="71"/>
      <c r="AZ307" s="58"/>
      <c r="BA307" s="58"/>
      <c r="BB307" s="72" t="str">
        <f aca="false">IF(BA307&lt;&gt;"",VLOOKUP(BA307,Selects!$B$4:$C$100,2,0),"")</f>
        <v/>
      </c>
      <c r="BC307" s="26"/>
      <c r="BD307" s="26"/>
      <c r="BE307" s="73"/>
      <c r="BF307" s="74"/>
      <c r="BG307" s="75" t="str">
        <f aca="false">IF(LEN(BF307)=11,"PF",IF(LEN(BF307)=14,"PJ",""))</f>
        <v/>
      </c>
      <c r="BH307" s="66"/>
      <c r="BI307" s="58" t="str">
        <f aca="false">IF(BH307&lt;&gt;"",VLOOKUP(BH307,Selects!$G:$H,2,0),"")</f>
        <v/>
      </c>
      <c r="BJ307" s="58"/>
      <c r="BK307" s="58"/>
      <c r="BL307" s="59"/>
      <c r="BM307" s="58"/>
      <c r="BN307" s="58"/>
      <c r="BO307" s="58" t="str">
        <f aca="false">IF(BN307&lt;&gt;"",VLOOKUP(BN307,Selects!$J$4:$K$1000,2,0),"")</f>
        <v/>
      </c>
      <c r="BP307" s="76"/>
      <c r="BQ307" s="59"/>
      <c r="BR307" s="77"/>
      <c r="BS307" s="59"/>
      <c r="BT307" s="77"/>
      <c r="BU307" s="58"/>
      <c r="BV307" s="58"/>
      <c r="BW307" s="58"/>
      <c r="BX307" s="58"/>
      <c r="BY307" s="58"/>
      <c r="BZ307" s="58"/>
      <c r="CA307" s="58"/>
      <c r="CB307" s="72" t="str">
        <f aca="false">IF(AC307&lt;&gt;"",VLOOKUP(AC307,Selects!$B:$E,4,0),"")</f>
        <v/>
      </c>
      <c r="CC307" s="58"/>
      <c r="CD307" s="58"/>
      <c r="CE307" s="58"/>
    </row>
    <row r="308" customFormat="false" ht="15.75" hidden="false" customHeight="true" outlineLevel="0" collapsed="false">
      <c r="A308" s="17"/>
      <c r="B308" s="58"/>
      <c r="C308" s="58"/>
      <c r="D308" s="59"/>
      <c r="E308" s="60" t="str">
        <f aca="false">IF(LEN(D308)=11,"PF",IF(LEN(D308)=14,"PJ",""))</f>
        <v/>
      </c>
      <c r="F308" s="59"/>
      <c r="G308" s="59"/>
      <c r="H308" s="61" t="str">
        <f aca="false">IF(G308&lt;&gt;"",VLOOKUP(G308,'Cnae  mcc  id'!$A:$M,9,0),"")</f>
        <v/>
      </c>
      <c r="I308" s="62"/>
      <c r="J308" s="63" t="str">
        <f aca="false">IF(I308&lt;&gt;"",VLOOKUP(I308,'Legal Nature'!$E$2:$G$84,3,0),"")</f>
        <v/>
      </c>
      <c r="K308" s="64"/>
      <c r="L308" s="65"/>
      <c r="M308" s="66"/>
      <c r="N308" s="66"/>
      <c r="O308" s="79"/>
      <c r="P308" s="26"/>
      <c r="Q308" s="58"/>
      <c r="R308" s="58"/>
      <c r="S308" s="80"/>
      <c r="T308" s="68" t="str">
        <f aca="false">IF(LEFT(S308,1)="9","Celular",IF(S308="","","Fixo"))</f>
        <v/>
      </c>
      <c r="U308" s="58" t="str">
        <f aca="false">IF( T308&lt;&gt;"",VLOOKUP(T308,Selects!$M$4:$N$1000,2,0),"")</f>
        <v/>
      </c>
      <c r="V308" s="26"/>
      <c r="W308" s="58"/>
      <c r="X308" s="58"/>
      <c r="Y308" s="58"/>
      <c r="Z308" s="58"/>
      <c r="AA308" s="69"/>
      <c r="AB308" s="58"/>
      <c r="AC308" s="58"/>
      <c r="AD308" s="70" t="str">
        <f aca="false">IF(AC308&lt;&gt;"",VLOOKUP(AC308,Selects!$B$4:$C$100,2,0),"")</f>
        <v/>
      </c>
      <c r="AE308" s="26"/>
      <c r="AF308" s="58"/>
      <c r="AG308" s="59"/>
      <c r="AH308" s="65"/>
      <c r="AI308" s="66"/>
      <c r="AJ308" s="66"/>
      <c r="AK308" s="58"/>
      <c r="AL308" s="58"/>
      <c r="AM308" s="68" t="str">
        <f aca="false">IF(LEFT(AL308,1)="9","Celular",IF(AL308="","","Fixo"))</f>
        <v/>
      </c>
      <c r="AN308" s="58" t="str">
        <f aca="false">IF( AM308&lt;&gt;"",VLOOKUP(AM308,Selects!$M$4:$N$1000,2,0),"")</f>
        <v/>
      </c>
      <c r="AO308" s="58"/>
      <c r="AP308" s="59"/>
      <c r="AQ308" s="65"/>
      <c r="AR308" s="58"/>
      <c r="AS308" s="58"/>
      <c r="AT308" s="26"/>
      <c r="AU308" s="58"/>
      <c r="AV308" s="58"/>
      <c r="AW308" s="58"/>
      <c r="AX308" s="58"/>
      <c r="AY308" s="71"/>
      <c r="AZ308" s="58"/>
      <c r="BA308" s="58"/>
      <c r="BB308" s="72" t="str">
        <f aca="false">IF(BA308&lt;&gt;"",VLOOKUP(BA308,Selects!$B$4:$C$100,2,0),"")</f>
        <v/>
      </c>
      <c r="BC308" s="26"/>
      <c r="BD308" s="26"/>
      <c r="BE308" s="73"/>
      <c r="BF308" s="74"/>
      <c r="BG308" s="75" t="str">
        <f aca="false">IF(LEN(BF308)=11,"PF",IF(LEN(BF308)=14,"PJ",""))</f>
        <v/>
      </c>
      <c r="BH308" s="66"/>
      <c r="BI308" s="58" t="str">
        <f aca="false">IF(BH308&lt;&gt;"",VLOOKUP(BH308,Selects!$G:$H,2,0),"")</f>
        <v/>
      </c>
      <c r="BJ308" s="58"/>
      <c r="BK308" s="58"/>
      <c r="BL308" s="59"/>
      <c r="BM308" s="58"/>
      <c r="BN308" s="58"/>
      <c r="BO308" s="58" t="str">
        <f aca="false">IF(BN308&lt;&gt;"",VLOOKUP(BN308,Selects!$J$4:$K$1000,2,0),"")</f>
        <v/>
      </c>
      <c r="BP308" s="76"/>
      <c r="BQ308" s="59"/>
      <c r="BR308" s="77"/>
      <c r="BS308" s="59"/>
      <c r="BT308" s="77"/>
      <c r="BU308" s="58"/>
      <c r="BV308" s="58"/>
      <c r="BW308" s="58"/>
      <c r="BX308" s="58"/>
      <c r="BY308" s="58"/>
      <c r="BZ308" s="58"/>
      <c r="CA308" s="58"/>
      <c r="CB308" s="72" t="str">
        <f aca="false">IF(AC308&lt;&gt;"",VLOOKUP(AC308,Selects!$B:$E,4,0),"")</f>
        <v/>
      </c>
      <c r="CC308" s="58"/>
      <c r="CD308" s="58"/>
      <c r="CE308" s="58"/>
    </row>
    <row r="309" customFormat="false" ht="15.75" hidden="false" customHeight="true" outlineLevel="0" collapsed="false">
      <c r="A309" s="17"/>
      <c r="B309" s="58"/>
      <c r="C309" s="58"/>
      <c r="D309" s="59"/>
      <c r="E309" s="60" t="str">
        <f aca="false">IF(LEN(D309)=11,"PF",IF(LEN(D309)=14,"PJ",""))</f>
        <v/>
      </c>
      <c r="F309" s="59"/>
      <c r="G309" s="59"/>
      <c r="H309" s="61" t="str">
        <f aca="false">IF(G309&lt;&gt;"",VLOOKUP(G309,'Cnae  mcc  id'!$A:$M,9,0),"")</f>
        <v/>
      </c>
      <c r="I309" s="62"/>
      <c r="J309" s="63" t="str">
        <f aca="false">IF(I309&lt;&gt;"",VLOOKUP(I309,'Legal Nature'!$E$2:$G$84,3,0),"")</f>
        <v/>
      </c>
      <c r="K309" s="64"/>
      <c r="L309" s="65"/>
      <c r="M309" s="66"/>
      <c r="N309" s="66"/>
      <c r="O309" s="79"/>
      <c r="P309" s="26"/>
      <c r="Q309" s="58"/>
      <c r="R309" s="58"/>
      <c r="S309" s="80"/>
      <c r="T309" s="68" t="str">
        <f aca="false">IF(LEFT(S309,1)="9","Celular",IF(S309="","","Fixo"))</f>
        <v/>
      </c>
      <c r="U309" s="58" t="str">
        <f aca="false">IF( T309&lt;&gt;"",VLOOKUP(T309,Selects!$M$4:$N$1000,2,0),"")</f>
        <v/>
      </c>
      <c r="V309" s="26"/>
      <c r="W309" s="58"/>
      <c r="X309" s="58"/>
      <c r="Y309" s="58"/>
      <c r="Z309" s="58"/>
      <c r="AA309" s="69"/>
      <c r="AB309" s="58"/>
      <c r="AC309" s="58"/>
      <c r="AD309" s="70" t="str">
        <f aca="false">IF(AC309&lt;&gt;"",VLOOKUP(AC309,Selects!$B$4:$C$100,2,0),"")</f>
        <v/>
      </c>
      <c r="AE309" s="26"/>
      <c r="AF309" s="58"/>
      <c r="AG309" s="59"/>
      <c r="AH309" s="65"/>
      <c r="AI309" s="66"/>
      <c r="AJ309" s="66"/>
      <c r="AK309" s="58"/>
      <c r="AL309" s="58"/>
      <c r="AM309" s="68" t="str">
        <f aca="false">IF(LEFT(AL309,1)="9","Celular",IF(AL309="","","Fixo"))</f>
        <v/>
      </c>
      <c r="AN309" s="58" t="str">
        <f aca="false">IF( AM309&lt;&gt;"",VLOOKUP(AM309,Selects!$M$4:$N$1000,2,0),"")</f>
        <v/>
      </c>
      <c r="AO309" s="58"/>
      <c r="AP309" s="59"/>
      <c r="AQ309" s="65"/>
      <c r="AR309" s="58"/>
      <c r="AS309" s="58"/>
      <c r="AT309" s="26"/>
      <c r="AU309" s="58"/>
      <c r="AV309" s="58"/>
      <c r="AW309" s="58"/>
      <c r="AX309" s="58"/>
      <c r="AY309" s="71"/>
      <c r="AZ309" s="58"/>
      <c r="BA309" s="58"/>
      <c r="BB309" s="72" t="str">
        <f aca="false">IF(BA309&lt;&gt;"",VLOOKUP(BA309,Selects!$B$4:$C$100,2,0),"")</f>
        <v/>
      </c>
      <c r="BC309" s="26"/>
      <c r="BD309" s="26"/>
      <c r="BE309" s="73"/>
      <c r="BF309" s="74"/>
      <c r="BG309" s="75" t="str">
        <f aca="false">IF(LEN(BF309)=11,"PF",IF(LEN(BF309)=14,"PJ",""))</f>
        <v/>
      </c>
      <c r="BH309" s="66"/>
      <c r="BI309" s="58" t="str">
        <f aca="false">IF(BH309&lt;&gt;"",VLOOKUP(BH309,Selects!$G:$H,2,0),"")</f>
        <v/>
      </c>
      <c r="BJ309" s="58"/>
      <c r="BK309" s="58"/>
      <c r="BL309" s="59"/>
      <c r="BM309" s="58"/>
      <c r="BN309" s="58"/>
      <c r="BO309" s="58" t="str">
        <f aca="false">IF(BN309&lt;&gt;"",VLOOKUP(BN309,Selects!$J$4:$K$1000,2,0),"")</f>
        <v/>
      </c>
      <c r="BP309" s="76"/>
      <c r="BQ309" s="59"/>
      <c r="BR309" s="77"/>
      <c r="BS309" s="59"/>
      <c r="BT309" s="77"/>
      <c r="BU309" s="58"/>
      <c r="BV309" s="58"/>
      <c r="BW309" s="58"/>
      <c r="BX309" s="58"/>
      <c r="BY309" s="58"/>
      <c r="BZ309" s="58"/>
      <c r="CA309" s="58"/>
      <c r="CB309" s="72" t="str">
        <f aca="false">IF(AC309&lt;&gt;"",VLOOKUP(AC309,Selects!$B:$E,4,0),"")</f>
        <v/>
      </c>
      <c r="CC309" s="58"/>
      <c r="CD309" s="58"/>
      <c r="CE309" s="58"/>
    </row>
    <row r="310" customFormat="false" ht="15.75" hidden="false" customHeight="true" outlineLevel="0" collapsed="false">
      <c r="A310" s="17"/>
      <c r="B310" s="58"/>
      <c r="C310" s="58"/>
      <c r="D310" s="59"/>
      <c r="E310" s="60" t="str">
        <f aca="false">IF(LEN(D310)=11,"PF",IF(LEN(D310)=14,"PJ",""))</f>
        <v/>
      </c>
      <c r="F310" s="59"/>
      <c r="G310" s="59"/>
      <c r="H310" s="61" t="str">
        <f aca="false">IF(G310&lt;&gt;"",VLOOKUP(G310,'Cnae  mcc  id'!$A:$M,9,0),"")</f>
        <v/>
      </c>
      <c r="I310" s="62"/>
      <c r="J310" s="63" t="str">
        <f aca="false">IF(I310&lt;&gt;"",VLOOKUP(I310,'Legal Nature'!$E$2:$G$84,3,0),"")</f>
        <v/>
      </c>
      <c r="K310" s="64"/>
      <c r="L310" s="65"/>
      <c r="M310" s="66"/>
      <c r="N310" s="66"/>
      <c r="O310" s="79"/>
      <c r="P310" s="26"/>
      <c r="Q310" s="58"/>
      <c r="R310" s="58"/>
      <c r="S310" s="80"/>
      <c r="T310" s="68" t="str">
        <f aca="false">IF(LEFT(S310,1)="9","Celular",IF(S310="","","Fixo"))</f>
        <v/>
      </c>
      <c r="U310" s="58" t="str">
        <f aca="false">IF( T310&lt;&gt;"",VLOOKUP(T310,Selects!$M$4:$N$1000,2,0),"")</f>
        <v/>
      </c>
      <c r="V310" s="26"/>
      <c r="W310" s="58"/>
      <c r="X310" s="58"/>
      <c r="Y310" s="58"/>
      <c r="Z310" s="58"/>
      <c r="AA310" s="69"/>
      <c r="AB310" s="58"/>
      <c r="AC310" s="58"/>
      <c r="AD310" s="70" t="str">
        <f aca="false">IF(AC310&lt;&gt;"",VLOOKUP(AC310,Selects!$B$4:$C$100,2,0),"")</f>
        <v/>
      </c>
      <c r="AE310" s="26"/>
      <c r="AF310" s="58"/>
      <c r="AG310" s="59"/>
      <c r="AH310" s="65"/>
      <c r="AI310" s="66"/>
      <c r="AJ310" s="66"/>
      <c r="AK310" s="58"/>
      <c r="AL310" s="58"/>
      <c r="AM310" s="68" t="str">
        <f aca="false">IF(LEFT(AL310,1)="9","Celular",IF(AL310="","","Fixo"))</f>
        <v/>
      </c>
      <c r="AN310" s="58" t="str">
        <f aca="false">IF( AM310&lt;&gt;"",VLOOKUP(AM310,Selects!$M$4:$N$1000,2,0),"")</f>
        <v/>
      </c>
      <c r="AO310" s="58"/>
      <c r="AP310" s="59"/>
      <c r="AQ310" s="65"/>
      <c r="AR310" s="58"/>
      <c r="AS310" s="58"/>
      <c r="AT310" s="26"/>
      <c r="AU310" s="58"/>
      <c r="AV310" s="58"/>
      <c r="AW310" s="58"/>
      <c r="AX310" s="58"/>
      <c r="AY310" s="71"/>
      <c r="AZ310" s="58"/>
      <c r="BA310" s="58"/>
      <c r="BB310" s="72" t="str">
        <f aca="false">IF(BA310&lt;&gt;"",VLOOKUP(BA310,Selects!$B$4:$C$100,2,0),"")</f>
        <v/>
      </c>
      <c r="BC310" s="26"/>
      <c r="BD310" s="26"/>
      <c r="BE310" s="73"/>
      <c r="BF310" s="74"/>
      <c r="BG310" s="75" t="str">
        <f aca="false">IF(LEN(BF310)=11,"PF",IF(LEN(BF310)=14,"PJ",""))</f>
        <v/>
      </c>
      <c r="BH310" s="66"/>
      <c r="BI310" s="58" t="str">
        <f aca="false">IF(BH310&lt;&gt;"",VLOOKUP(BH310,Selects!$G:$H,2,0),"")</f>
        <v/>
      </c>
      <c r="BJ310" s="58"/>
      <c r="BK310" s="58"/>
      <c r="BL310" s="59"/>
      <c r="BM310" s="58"/>
      <c r="BN310" s="58"/>
      <c r="BO310" s="58" t="str">
        <f aca="false">IF(BN310&lt;&gt;"",VLOOKUP(BN310,Selects!$J$4:$K$1000,2,0),"")</f>
        <v/>
      </c>
      <c r="BP310" s="76"/>
      <c r="BQ310" s="59"/>
      <c r="BR310" s="77"/>
      <c r="BS310" s="59"/>
      <c r="BT310" s="77"/>
      <c r="BU310" s="58"/>
      <c r="BV310" s="58"/>
      <c r="BW310" s="58"/>
      <c r="BX310" s="58"/>
      <c r="BY310" s="58"/>
      <c r="BZ310" s="58"/>
      <c r="CA310" s="58"/>
      <c r="CB310" s="72" t="str">
        <f aca="false">IF(AC310&lt;&gt;"",VLOOKUP(AC310,Selects!$B:$E,4,0),"")</f>
        <v/>
      </c>
      <c r="CC310" s="58"/>
      <c r="CD310" s="58"/>
      <c r="CE310" s="58"/>
    </row>
    <row r="311" customFormat="false" ht="15.75" hidden="false" customHeight="true" outlineLevel="0" collapsed="false">
      <c r="A311" s="17"/>
      <c r="B311" s="58"/>
      <c r="C311" s="58"/>
      <c r="D311" s="59"/>
      <c r="E311" s="60" t="str">
        <f aca="false">IF(LEN(D311)=11,"PF",IF(LEN(D311)=14,"PJ",""))</f>
        <v/>
      </c>
      <c r="F311" s="59"/>
      <c r="G311" s="59"/>
      <c r="H311" s="61" t="str">
        <f aca="false">IF(G311&lt;&gt;"",VLOOKUP(G311,'Cnae  mcc  id'!$A:$M,9,0),"")</f>
        <v/>
      </c>
      <c r="I311" s="62"/>
      <c r="J311" s="63" t="str">
        <f aca="false">IF(I311&lt;&gt;"",VLOOKUP(I311,'Legal Nature'!$E$2:$G$84,3,0),"")</f>
        <v/>
      </c>
      <c r="K311" s="64"/>
      <c r="L311" s="65"/>
      <c r="M311" s="66"/>
      <c r="N311" s="66"/>
      <c r="O311" s="79"/>
      <c r="P311" s="26"/>
      <c r="Q311" s="58"/>
      <c r="R311" s="58"/>
      <c r="S311" s="80"/>
      <c r="T311" s="68" t="str">
        <f aca="false">IF(LEFT(S311,1)="9","Celular",IF(S311="","","Fixo"))</f>
        <v/>
      </c>
      <c r="U311" s="58" t="str">
        <f aca="false">IF( T311&lt;&gt;"",VLOOKUP(T311,Selects!$M$4:$N$1000,2,0),"")</f>
        <v/>
      </c>
      <c r="V311" s="26"/>
      <c r="W311" s="58"/>
      <c r="X311" s="58"/>
      <c r="Y311" s="58"/>
      <c r="Z311" s="58"/>
      <c r="AA311" s="69"/>
      <c r="AB311" s="58"/>
      <c r="AC311" s="58"/>
      <c r="AD311" s="70" t="str">
        <f aca="false">IF(AC311&lt;&gt;"",VLOOKUP(AC311,Selects!$B$4:$C$100,2,0),"")</f>
        <v/>
      </c>
      <c r="AE311" s="26"/>
      <c r="AF311" s="58"/>
      <c r="AG311" s="59"/>
      <c r="AH311" s="65"/>
      <c r="AI311" s="66"/>
      <c r="AJ311" s="66"/>
      <c r="AK311" s="58"/>
      <c r="AL311" s="58"/>
      <c r="AM311" s="68" t="str">
        <f aca="false">IF(LEFT(AL311,1)="9","Celular",IF(AL311="","","Fixo"))</f>
        <v/>
      </c>
      <c r="AN311" s="58" t="str">
        <f aca="false">IF( AM311&lt;&gt;"",VLOOKUP(AM311,Selects!$M$4:$N$1000,2,0),"")</f>
        <v/>
      </c>
      <c r="AO311" s="58"/>
      <c r="AP311" s="59"/>
      <c r="AQ311" s="65"/>
      <c r="AR311" s="58"/>
      <c r="AS311" s="58"/>
      <c r="AT311" s="26"/>
      <c r="AU311" s="58"/>
      <c r="AV311" s="58"/>
      <c r="AW311" s="58"/>
      <c r="AX311" s="58"/>
      <c r="AY311" s="71"/>
      <c r="AZ311" s="58"/>
      <c r="BA311" s="58"/>
      <c r="BB311" s="72" t="str">
        <f aca="false">IF(BA311&lt;&gt;"",VLOOKUP(BA311,Selects!$B$4:$C$100,2,0),"")</f>
        <v/>
      </c>
      <c r="BC311" s="26"/>
      <c r="BD311" s="26"/>
      <c r="BE311" s="73"/>
      <c r="BF311" s="74"/>
      <c r="BG311" s="75" t="str">
        <f aca="false">IF(LEN(BF311)=11,"PF",IF(LEN(BF311)=14,"PJ",""))</f>
        <v/>
      </c>
      <c r="BH311" s="66"/>
      <c r="BI311" s="58" t="str">
        <f aca="false">IF(BH311&lt;&gt;"",VLOOKUP(BH311,Selects!$G:$H,2,0),"")</f>
        <v/>
      </c>
      <c r="BJ311" s="58"/>
      <c r="BK311" s="58"/>
      <c r="BL311" s="59"/>
      <c r="BM311" s="58"/>
      <c r="BN311" s="58"/>
      <c r="BO311" s="58" t="str">
        <f aca="false">IF(BN311&lt;&gt;"",VLOOKUP(BN311,Selects!$J$4:$K$1000,2,0),"")</f>
        <v/>
      </c>
      <c r="BP311" s="76"/>
      <c r="BQ311" s="59"/>
      <c r="BR311" s="77"/>
      <c r="BS311" s="59"/>
      <c r="BT311" s="77"/>
      <c r="BU311" s="58"/>
      <c r="BV311" s="58"/>
      <c r="BW311" s="58"/>
      <c r="BX311" s="58"/>
      <c r="BY311" s="58"/>
      <c r="BZ311" s="58"/>
      <c r="CA311" s="58"/>
      <c r="CB311" s="72" t="str">
        <f aca="false">IF(AC311&lt;&gt;"",VLOOKUP(AC311,Selects!$B:$E,4,0),"")</f>
        <v/>
      </c>
      <c r="CC311" s="58"/>
      <c r="CD311" s="58"/>
      <c r="CE311" s="58"/>
    </row>
    <row r="312" customFormat="false" ht="15.75" hidden="false" customHeight="true" outlineLevel="0" collapsed="false">
      <c r="A312" s="17"/>
      <c r="B312" s="58"/>
      <c r="C312" s="58"/>
      <c r="D312" s="59"/>
      <c r="E312" s="60" t="str">
        <f aca="false">IF(LEN(D312)=11,"PF",IF(LEN(D312)=14,"PJ",""))</f>
        <v/>
      </c>
      <c r="F312" s="59"/>
      <c r="G312" s="59"/>
      <c r="H312" s="61" t="str">
        <f aca="false">IF(G312&lt;&gt;"",VLOOKUP(G312,'Cnae  mcc  id'!$A:$M,9,0),"")</f>
        <v/>
      </c>
      <c r="I312" s="62"/>
      <c r="J312" s="63" t="str">
        <f aca="false">IF(I312&lt;&gt;"",VLOOKUP(I312,'Legal Nature'!$E$2:$G$84,3,0),"")</f>
        <v/>
      </c>
      <c r="K312" s="64"/>
      <c r="L312" s="65"/>
      <c r="M312" s="66"/>
      <c r="N312" s="66"/>
      <c r="O312" s="79"/>
      <c r="P312" s="26"/>
      <c r="Q312" s="58"/>
      <c r="R312" s="58"/>
      <c r="S312" s="80"/>
      <c r="T312" s="68" t="str">
        <f aca="false">IF(LEFT(S312,1)="9","Celular",IF(S312="","","Fixo"))</f>
        <v/>
      </c>
      <c r="U312" s="58" t="str">
        <f aca="false">IF( T312&lt;&gt;"",VLOOKUP(T312,Selects!$M$4:$N$1000,2,0),"")</f>
        <v/>
      </c>
      <c r="V312" s="26"/>
      <c r="W312" s="58"/>
      <c r="X312" s="58"/>
      <c r="Y312" s="58"/>
      <c r="Z312" s="58"/>
      <c r="AA312" s="69"/>
      <c r="AB312" s="58"/>
      <c r="AC312" s="58"/>
      <c r="AD312" s="70" t="str">
        <f aca="false">IF(AC312&lt;&gt;"",VLOOKUP(AC312,Selects!$B$4:$C$100,2,0),"")</f>
        <v/>
      </c>
      <c r="AE312" s="26"/>
      <c r="AF312" s="58"/>
      <c r="AG312" s="59"/>
      <c r="AH312" s="65"/>
      <c r="AI312" s="66"/>
      <c r="AJ312" s="66"/>
      <c r="AK312" s="58"/>
      <c r="AL312" s="58"/>
      <c r="AM312" s="68" t="str">
        <f aca="false">IF(LEFT(AL312,1)="9","Celular",IF(AL312="","","Fixo"))</f>
        <v/>
      </c>
      <c r="AN312" s="58" t="str">
        <f aca="false">IF( AM312&lt;&gt;"",VLOOKUP(AM312,Selects!$M$4:$N$1000,2,0),"")</f>
        <v/>
      </c>
      <c r="AO312" s="58"/>
      <c r="AP312" s="59"/>
      <c r="AQ312" s="65"/>
      <c r="AR312" s="58"/>
      <c r="AS312" s="58"/>
      <c r="AT312" s="26"/>
      <c r="AU312" s="58"/>
      <c r="AV312" s="58"/>
      <c r="AW312" s="58"/>
      <c r="AX312" s="58"/>
      <c r="AY312" s="71"/>
      <c r="AZ312" s="58"/>
      <c r="BA312" s="58"/>
      <c r="BB312" s="72" t="str">
        <f aca="false">IF(BA312&lt;&gt;"",VLOOKUP(BA312,Selects!$B$4:$C$100,2,0),"")</f>
        <v/>
      </c>
      <c r="BC312" s="26"/>
      <c r="BD312" s="26"/>
      <c r="BE312" s="73"/>
      <c r="BF312" s="74"/>
      <c r="BG312" s="75" t="str">
        <f aca="false">IF(LEN(BF312)=11,"PF",IF(LEN(BF312)=14,"PJ",""))</f>
        <v/>
      </c>
      <c r="BH312" s="66"/>
      <c r="BI312" s="58" t="str">
        <f aca="false">IF(BH312&lt;&gt;"",VLOOKUP(BH312,Selects!$G:$H,2,0),"")</f>
        <v/>
      </c>
      <c r="BJ312" s="58"/>
      <c r="BK312" s="58"/>
      <c r="BL312" s="59"/>
      <c r="BM312" s="58"/>
      <c r="BN312" s="58"/>
      <c r="BO312" s="58" t="str">
        <f aca="false">IF(BN312&lt;&gt;"",VLOOKUP(BN312,Selects!$J$4:$K$1000,2,0),"")</f>
        <v/>
      </c>
      <c r="BP312" s="76"/>
      <c r="BQ312" s="59"/>
      <c r="BR312" s="77"/>
      <c r="BS312" s="59"/>
      <c r="BT312" s="77"/>
      <c r="BU312" s="58"/>
      <c r="BV312" s="58"/>
      <c r="BW312" s="58"/>
      <c r="BX312" s="58"/>
      <c r="BY312" s="58"/>
      <c r="BZ312" s="58"/>
      <c r="CA312" s="58"/>
      <c r="CB312" s="72" t="str">
        <f aca="false">IF(AC312&lt;&gt;"",VLOOKUP(AC312,Selects!$B:$E,4,0),"")</f>
        <v/>
      </c>
      <c r="CC312" s="58"/>
      <c r="CD312" s="58"/>
      <c r="CE312" s="58"/>
    </row>
    <row r="313" customFormat="false" ht="15.75" hidden="false" customHeight="true" outlineLevel="0" collapsed="false">
      <c r="A313" s="17"/>
      <c r="B313" s="58"/>
      <c r="C313" s="58"/>
      <c r="D313" s="59"/>
      <c r="E313" s="60" t="str">
        <f aca="false">IF(LEN(D313)=11,"PF",IF(LEN(D313)=14,"PJ",""))</f>
        <v/>
      </c>
      <c r="F313" s="59"/>
      <c r="G313" s="59"/>
      <c r="H313" s="61" t="str">
        <f aca="false">IF(G313&lt;&gt;"",VLOOKUP(G313,'Cnae  mcc  id'!$A:$M,9,0),"")</f>
        <v/>
      </c>
      <c r="I313" s="62"/>
      <c r="J313" s="63" t="str">
        <f aca="false">IF(I313&lt;&gt;"",VLOOKUP(I313,'Legal Nature'!$E$2:$G$84,3,0),"")</f>
        <v/>
      </c>
      <c r="K313" s="64"/>
      <c r="L313" s="65"/>
      <c r="M313" s="66"/>
      <c r="N313" s="66"/>
      <c r="O313" s="79"/>
      <c r="P313" s="26"/>
      <c r="Q313" s="58"/>
      <c r="R313" s="58"/>
      <c r="S313" s="80"/>
      <c r="T313" s="68" t="str">
        <f aca="false">IF(LEFT(S313,1)="9","Celular",IF(S313="","","Fixo"))</f>
        <v/>
      </c>
      <c r="U313" s="58" t="str">
        <f aca="false">IF( T313&lt;&gt;"",VLOOKUP(T313,Selects!$M$4:$N$1000,2,0),"")</f>
        <v/>
      </c>
      <c r="V313" s="26"/>
      <c r="W313" s="58"/>
      <c r="X313" s="58"/>
      <c r="Y313" s="58"/>
      <c r="Z313" s="58"/>
      <c r="AA313" s="69"/>
      <c r="AB313" s="58"/>
      <c r="AC313" s="58"/>
      <c r="AD313" s="70" t="str">
        <f aca="false">IF(AC313&lt;&gt;"",VLOOKUP(AC313,Selects!$B$4:$C$100,2,0),"")</f>
        <v/>
      </c>
      <c r="AE313" s="26"/>
      <c r="AF313" s="58"/>
      <c r="AG313" s="59"/>
      <c r="AH313" s="65"/>
      <c r="AI313" s="66"/>
      <c r="AJ313" s="66"/>
      <c r="AK313" s="58"/>
      <c r="AL313" s="58"/>
      <c r="AM313" s="68" t="str">
        <f aca="false">IF(LEFT(AL313,1)="9","Celular",IF(AL313="","","Fixo"))</f>
        <v/>
      </c>
      <c r="AN313" s="58" t="str">
        <f aca="false">IF( AM313&lt;&gt;"",VLOOKUP(AM313,Selects!$M$4:$N$1000,2,0),"")</f>
        <v/>
      </c>
      <c r="AO313" s="58"/>
      <c r="AP313" s="59"/>
      <c r="AQ313" s="65"/>
      <c r="AR313" s="58"/>
      <c r="AS313" s="58"/>
      <c r="AT313" s="26"/>
      <c r="AU313" s="58"/>
      <c r="AV313" s="58"/>
      <c r="AW313" s="58"/>
      <c r="AX313" s="58"/>
      <c r="AY313" s="71"/>
      <c r="AZ313" s="58"/>
      <c r="BA313" s="58"/>
      <c r="BB313" s="72" t="str">
        <f aca="false">IF(BA313&lt;&gt;"",VLOOKUP(BA313,Selects!$B$4:$C$100,2,0),"")</f>
        <v/>
      </c>
      <c r="BC313" s="26"/>
      <c r="BD313" s="26"/>
      <c r="BE313" s="73"/>
      <c r="BF313" s="74"/>
      <c r="BG313" s="75" t="str">
        <f aca="false">IF(LEN(BF313)=11,"PF",IF(LEN(BF313)=14,"PJ",""))</f>
        <v/>
      </c>
      <c r="BH313" s="66"/>
      <c r="BI313" s="58" t="str">
        <f aca="false">IF(BH313&lt;&gt;"",VLOOKUP(BH313,Selects!$G:$H,2,0),"")</f>
        <v/>
      </c>
      <c r="BJ313" s="58"/>
      <c r="BK313" s="58"/>
      <c r="BL313" s="59"/>
      <c r="BM313" s="58"/>
      <c r="BN313" s="58"/>
      <c r="BO313" s="58" t="str">
        <f aca="false">IF(BN313&lt;&gt;"",VLOOKUP(BN313,Selects!$J$4:$K$1000,2,0),"")</f>
        <v/>
      </c>
      <c r="BP313" s="76"/>
      <c r="BQ313" s="59"/>
      <c r="BR313" s="77"/>
      <c r="BS313" s="59"/>
      <c r="BT313" s="77"/>
      <c r="BU313" s="58"/>
      <c r="BV313" s="58"/>
      <c r="BW313" s="58"/>
      <c r="BX313" s="58"/>
      <c r="BY313" s="58"/>
      <c r="BZ313" s="58"/>
      <c r="CA313" s="58"/>
      <c r="CB313" s="72" t="str">
        <f aca="false">IF(AC313&lt;&gt;"",VLOOKUP(AC313,Selects!$B:$E,4,0),"")</f>
        <v/>
      </c>
      <c r="CC313" s="58"/>
      <c r="CD313" s="58"/>
      <c r="CE313" s="58"/>
    </row>
    <row r="314" customFormat="false" ht="15.75" hidden="false" customHeight="true" outlineLevel="0" collapsed="false">
      <c r="A314" s="17"/>
      <c r="B314" s="58"/>
      <c r="C314" s="58"/>
      <c r="D314" s="59"/>
      <c r="E314" s="60" t="str">
        <f aca="false">IF(LEN(D314)=11,"PF",IF(LEN(D314)=14,"PJ",""))</f>
        <v/>
      </c>
      <c r="F314" s="59"/>
      <c r="G314" s="59"/>
      <c r="H314" s="61" t="str">
        <f aca="false">IF(G314&lt;&gt;"",VLOOKUP(G314,'Cnae  mcc  id'!$A:$M,9,0),"")</f>
        <v/>
      </c>
      <c r="I314" s="62"/>
      <c r="J314" s="63" t="str">
        <f aca="false">IF(I314&lt;&gt;"",VLOOKUP(I314,'Legal Nature'!$E$2:$G$84,3,0),"")</f>
        <v/>
      </c>
      <c r="K314" s="64"/>
      <c r="L314" s="65"/>
      <c r="M314" s="66"/>
      <c r="N314" s="66"/>
      <c r="O314" s="79"/>
      <c r="P314" s="26"/>
      <c r="Q314" s="58"/>
      <c r="R314" s="58"/>
      <c r="S314" s="80"/>
      <c r="T314" s="68" t="str">
        <f aca="false">IF(LEFT(S314,1)="9","Celular",IF(S314="","","Fixo"))</f>
        <v/>
      </c>
      <c r="U314" s="58" t="str">
        <f aca="false">IF( T314&lt;&gt;"",VLOOKUP(T314,Selects!$M$4:$N$1000,2,0),"")</f>
        <v/>
      </c>
      <c r="V314" s="26"/>
      <c r="W314" s="58"/>
      <c r="X314" s="58"/>
      <c r="Y314" s="58"/>
      <c r="Z314" s="58"/>
      <c r="AA314" s="69"/>
      <c r="AB314" s="58"/>
      <c r="AC314" s="58"/>
      <c r="AD314" s="70" t="str">
        <f aca="false">IF(AC314&lt;&gt;"",VLOOKUP(AC314,Selects!$B$4:$C$100,2,0),"")</f>
        <v/>
      </c>
      <c r="AE314" s="26"/>
      <c r="AF314" s="58"/>
      <c r="AG314" s="59"/>
      <c r="AH314" s="65"/>
      <c r="AI314" s="66"/>
      <c r="AJ314" s="66"/>
      <c r="AK314" s="58"/>
      <c r="AL314" s="58"/>
      <c r="AM314" s="68" t="str">
        <f aca="false">IF(LEFT(AL314,1)="9","Celular",IF(AL314="","","Fixo"))</f>
        <v/>
      </c>
      <c r="AN314" s="58" t="str">
        <f aca="false">IF( AM314&lt;&gt;"",VLOOKUP(AM314,Selects!$M$4:$N$1000,2,0),"")</f>
        <v/>
      </c>
      <c r="AO314" s="58"/>
      <c r="AP314" s="59"/>
      <c r="AQ314" s="65"/>
      <c r="AR314" s="58"/>
      <c r="AS314" s="58"/>
      <c r="AT314" s="26"/>
      <c r="AU314" s="58"/>
      <c r="AV314" s="58"/>
      <c r="AW314" s="58"/>
      <c r="AX314" s="58"/>
      <c r="AY314" s="71"/>
      <c r="AZ314" s="58"/>
      <c r="BA314" s="58"/>
      <c r="BB314" s="72" t="str">
        <f aca="false">IF(BA314&lt;&gt;"",VLOOKUP(BA314,Selects!$B$4:$C$100,2,0),"")</f>
        <v/>
      </c>
      <c r="BC314" s="26"/>
      <c r="BD314" s="26"/>
      <c r="BE314" s="73"/>
      <c r="BF314" s="74"/>
      <c r="BG314" s="75" t="str">
        <f aca="false">IF(LEN(BF314)=11,"PF",IF(LEN(BF314)=14,"PJ",""))</f>
        <v/>
      </c>
      <c r="BH314" s="66"/>
      <c r="BI314" s="58" t="str">
        <f aca="false">IF(BH314&lt;&gt;"",VLOOKUP(BH314,Selects!$G:$H,2,0),"")</f>
        <v/>
      </c>
      <c r="BJ314" s="58"/>
      <c r="BK314" s="58"/>
      <c r="BL314" s="59"/>
      <c r="BM314" s="58"/>
      <c r="BN314" s="58"/>
      <c r="BO314" s="58" t="str">
        <f aca="false">IF(BN314&lt;&gt;"",VLOOKUP(BN314,Selects!$J$4:$K$1000,2,0),"")</f>
        <v/>
      </c>
      <c r="BP314" s="76"/>
      <c r="BQ314" s="59"/>
      <c r="BR314" s="77"/>
      <c r="BS314" s="59"/>
      <c r="BT314" s="77"/>
      <c r="BU314" s="58"/>
      <c r="BV314" s="58"/>
      <c r="BW314" s="58"/>
      <c r="BX314" s="58"/>
      <c r="BY314" s="58"/>
      <c r="BZ314" s="58"/>
      <c r="CA314" s="58"/>
      <c r="CB314" s="72" t="str">
        <f aca="false">IF(AC314&lt;&gt;"",VLOOKUP(AC314,Selects!$B:$E,4,0),"")</f>
        <v/>
      </c>
      <c r="CC314" s="58"/>
      <c r="CD314" s="58"/>
      <c r="CE314" s="58"/>
    </row>
    <row r="315" customFormat="false" ht="15.75" hidden="false" customHeight="true" outlineLevel="0" collapsed="false">
      <c r="A315" s="17"/>
      <c r="B315" s="58"/>
      <c r="C315" s="58"/>
      <c r="D315" s="59"/>
      <c r="E315" s="60" t="str">
        <f aca="false">IF(LEN(D315)=11,"PF",IF(LEN(D315)=14,"PJ",""))</f>
        <v/>
      </c>
      <c r="F315" s="59"/>
      <c r="G315" s="59"/>
      <c r="H315" s="61" t="str">
        <f aca="false">IF(G315&lt;&gt;"",VLOOKUP(G315,'Cnae  mcc  id'!$A:$M,9,0),"")</f>
        <v/>
      </c>
      <c r="I315" s="62"/>
      <c r="J315" s="63" t="str">
        <f aca="false">IF(I315&lt;&gt;"",VLOOKUP(I315,'Legal Nature'!$E$2:$G$84,3,0),"")</f>
        <v/>
      </c>
      <c r="K315" s="64"/>
      <c r="L315" s="65"/>
      <c r="M315" s="66"/>
      <c r="N315" s="66"/>
      <c r="O315" s="79"/>
      <c r="P315" s="26"/>
      <c r="Q315" s="58"/>
      <c r="R315" s="58"/>
      <c r="S315" s="80"/>
      <c r="T315" s="68" t="str">
        <f aca="false">IF(LEFT(S315,1)="9","Celular",IF(S315="","","Fixo"))</f>
        <v/>
      </c>
      <c r="U315" s="58" t="str">
        <f aca="false">IF( T315&lt;&gt;"",VLOOKUP(T315,Selects!$M$4:$N$1000,2,0),"")</f>
        <v/>
      </c>
      <c r="V315" s="26"/>
      <c r="W315" s="58"/>
      <c r="X315" s="58"/>
      <c r="Y315" s="58"/>
      <c r="Z315" s="58"/>
      <c r="AA315" s="69"/>
      <c r="AB315" s="58"/>
      <c r="AC315" s="58"/>
      <c r="AD315" s="70" t="str">
        <f aca="false">IF(AC315&lt;&gt;"",VLOOKUP(AC315,Selects!$B$4:$C$100,2,0),"")</f>
        <v/>
      </c>
      <c r="AE315" s="26"/>
      <c r="AF315" s="58"/>
      <c r="AG315" s="59"/>
      <c r="AH315" s="65"/>
      <c r="AI315" s="66"/>
      <c r="AJ315" s="66"/>
      <c r="AK315" s="58"/>
      <c r="AL315" s="58"/>
      <c r="AM315" s="68" t="str">
        <f aca="false">IF(LEFT(AL315,1)="9","Celular",IF(AL315="","","Fixo"))</f>
        <v/>
      </c>
      <c r="AN315" s="58" t="str">
        <f aca="false">IF( AM315&lt;&gt;"",VLOOKUP(AM315,Selects!$M$4:$N$1000,2,0),"")</f>
        <v/>
      </c>
      <c r="AO315" s="58"/>
      <c r="AP315" s="59"/>
      <c r="AQ315" s="65"/>
      <c r="AR315" s="58"/>
      <c r="AS315" s="58"/>
      <c r="AT315" s="26"/>
      <c r="AU315" s="58"/>
      <c r="AV315" s="58"/>
      <c r="AW315" s="58"/>
      <c r="AX315" s="58"/>
      <c r="AY315" s="71"/>
      <c r="AZ315" s="58"/>
      <c r="BA315" s="58"/>
      <c r="BB315" s="72" t="str">
        <f aca="false">IF(BA315&lt;&gt;"",VLOOKUP(BA315,Selects!$B$4:$C$100,2,0),"")</f>
        <v/>
      </c>
      <c r="BC315" s="26"/>
      <c r="BD315" s="26"/>
      <c r="BE315" s="73"/>
      <c r="BF315" s="74"/>
      <c r="BG315" s="75" t="str">
        <f aca="false">IF(LEN(BF315)=11,"PF",IF(LEN(BF315)=14,"PJ",""))</f>
        <v/>
      </c>
      <c r="BH315" s="66"/>
      <c r="BI315" s="58" t="str">
        <f aca="false">IF(BH315&lt;&gt;"",VLOOKUP(BH315,Selects!$G:$H,2,0),"")</f>
        <v/>
      </c>
      <c r="BJ315" s="58"/>
      <c r="BK315" s="58"/>
      <c r="BL315" s="59"/>
      <c r="BM315" s="58"/>
      <c r="BN315" s="58"/>
      <c r="BO315" s="58" t="str">
        <f aca="false">IF(BN315&lt;&gt;"",VLOOKUP(BN315,Selects!$J$4:$K$1000,2,0),"")</f>
        <v/>
      </c>
      <c r="BP315" s="76"/>
      <c r="BQ315" s="59"/>
      <c r="BR315" s="77"/>
      <c r="BS315" s="59"/>
      <c r="BT315" s="77"/>
      <c r="BU315" s="58"/>
      <c r="BV315" s="58"/>
      <c r="BW315" s="58"/>
      <c r="BX315" s="58"/>
      <c r="BY315" s="58"/>
      <c r="BZ315" s="58"/>
      <c r="CA315" s="58"/>
      <c r="CB315" s="72" t="str">
        <f aca="false">IF(AC315&lt;&gt;"",VLOOKUP(AC315,Selects!$B:$E,4,0),"")</f>
        <v/>
      </c>
      <c r="CC315" s="58"/>
      <c r="CD315" s="58"/>
      <c r="CE315" s="58"/>
    </row>
    <row r="316" customFormat="false" ht="15.75" hidden="false" customHeight="true" outlineLevel="0" collapsed="false">
      <c r="A316" s="17"/>
      <c r="B316" s="58"/>
      <c r="C316" s="58"/>
      <c r="D316" s="59"/>
      <c r="E316" s="60" t="str">
        <f aca="false">IF(LEN(D316)=11,"PF",IF(LEN(D316)=14,"PJ",""))</f>
        <v/>
      </c>
      <c r="F316" s="59"/>
      <c r="G316" s="59"/>
      <c r="H316" s="61" t="str">
        <f aca="false">IF(G316&lt;&gt;"",VLOOKUP(G316,'Cnae  mcc  id'!$A:$M,9,0),"")</f>
        <v/>
      </c>
      <c r="I316" s="62"/>
      <c r="J316" s="63" t="str">
        <f aca="false">IF(I316&lt;&gt;"",VLOOKUP(I316,'Legal Nature'!$E$2:$G$84,3,0),"")</f>
        <v/>
      </c>
      <c r="K316" s="64"/>
      <c r="L316" s="65"/>
      <c r="M316" s="66"/>
      <c r="N316" s="66"/>
      <c r="O316" s="79"/>
      <c r="P316" s="26"/>
      <c r="Q316" s="58"/>
      <c r="R316" s="58"/>
      <c r="S316" s="80"/>
      <c r="T316" s="68" t="str">
        <f aca="false">IF(LEFT(S316,1)="9","Celular",IF(S316="","","Fixo"))</f>
        <v/>
      </c>
      <c r="U316" s="58" t="str">
        <f aca="false">IF( T316&lt;&gt;"",VLOOKUP(T316,Selects!$M$4:$N$1000,2,0),"")</f>
        <v/>
      </c>
      <c r="V316" s="26"/>
      <c r="W316" s="58"/>
      <c r="X316" s="58"/>
      <c r="Y316" s="58"/>
      <c r="Z316" s="58"/>
      <c r="AA316" s="69"/>
      <c r="AB316" s="58"/>
      <c r="AC316" s="58"/>
      <c r="AD316" s="70" t="str">
        <f aca="false">IF(AC316&lt;&gt;"",VLOOKUP(AC316,Selects!$B$4:$C$100,2,0),"")</f>
        <v/>
      </c>
      <c r="AE316" s="26"/>
      <c r="AF316" s="58"/>
      <c r="AG316" s="59"/>
      <c r="AH316" s="65"/>
      <c r="AI316" s="66"/>
      <c r="AJ316" s="66"/>
      <c r="AK316" s="58"/>
      <c r="AL316" s="58"/>
      <c r="AM316" s="68" t="str">
        <f aca="false">IF(LEFT(AL316,1)="9","Celular",IF(AL316="","","Fixo"))</f>
        <v/>
      </c>
      <c r="AN316" s="58" t="str">
        <f aca="false">IF( AM316&lt;&gt;"",VLOOKUP(AM316,Selects!$M$4:$N$1000,2,0),"")</f>
        <v/>
      </c>
      <c r="AO316" s="58"/>
      <c r="AP316" s="59"/>
      <c r="AQ316" s="65"/>
      <c r="AR316" s="58"/>
      <c r="AS316" s="58"/>
      <c r="AT316" s="26"/>
      <c r="AU316" s="58"/>
      <c r="AV316" s="58"/>
      <c r="AW316" s="58"/>
      <c r="AX316" s="58"/>
      <c r="AY316" s="71"/>
      <c r="AZ316" s="58"/>
      <c r="BA316" s="58"/>
      <c r="BB316" s="72" t="str">
        <f aca="false">IF(BA316&lt;&gt;"",VLOOKUP(BA316,Selects!$B$4:$C$100,2,0),"")</f>
        <v/>
      </c>
      <c r="BC316" s="26"/>
      <c r="BD316" s="26"/>
      <c r="BE316" s="73"/>
      <c r="BF316" s="74"/>
      <c r="BG316" s="75" t="str">
        <f aca="false">IF(LEN(BF316)=11,"PF",IF(LEN(BF316)=14,"PJ",""))</f>
        <v/>
      </c>
      <c r="BH316" s="66"/>
      <c r="BI316" s="58" t="str">
        <f aca="false">IF(BH316&lt;&gt;"",VLOOKUP(BH316,Selects!$G:$H,2,0),"")</f>
        <v/>
      </c>
      <c r="BJ316" s="58"/>
      <c r="BK316" s="58"/>
      <c r="BL316" s="59"/>
      <c r="BM316" s="58"/>
      <c r="BN316" s="58"/>
      <c r="BO316" s="58" t="str">
        <f aca="false">IF(BN316&lt;&gt;"",VLOOKUP(BN316,Selects!$J$4:$K$1000,2,0),"")</f>
        <v/>
      </c>
      <c r="BP316" s="76"/>
      <c r="BQ316" s="59"/>
      <c r="BR316" s="77"/>
      <c r="BS316" s="59"/>
      <c r="BT316" s="77"/>
      <c r="BU316" s="58"/>
      <c r="BV316" s="58"/>
      <c r="BW316" s="58"/>
      <c r="BX316" s="58"/>
      <c r="BY316" s="58"/>
      <c r="BZ316" s="58"/>
      <c r="CA316" s="58"/>
      <c r="CB316" s="72" t="str">
        <f aca="false">IF(AC316&lt;&gt;"",VLOOKUP(AC316,Selects!$B:$E,4,0),"")</f>
        <v/>
      </c>
      <c r="CC316" s="58"/>
      <c r="CD316" s="58"/>
      <c r="CE316" s="58"/>
    </row>
    <row r="317" customFormat="false" ht="15.75" hidden="false" customHeight="true" outlineLevel="0" collapsed="false">
      <c r="A317" s="17"/>
      <c r="B317" s="58"/>
      <c r="C317" s="58"/>
      <c r="D317" s="59"/>
      <c r="E317" s="60" t="str">
        <f aca="false">IF(LEN(D317)=11,"PF",IF(LEN(D317)=14,"PJ",""))</f>
        <v/>
      </c>
      <c r="F317" s="59"/>
      <c r="G317" s="59"/>
      <c r="H317" s="61" t="str">
        <f aca="false">IF(G317&lt;&gt;"",VLOOKUP(G317,'Cnae  mcc  id'!$A:$M,9,0),"")</f>
        <v/>
      </c>
      <c r="I317" s="62"/>
      <c r="J317" s="63" t="str">
        <f aca="false">IF(I317&lt;&gt;"",VLOOKUP(I317,'Legal Nature'!$E$2:$G$84,3,0),"")</f>
        <v/>
      </c>
      <c r="K317" s="64"/>
      <c r="L317" s="65"/>
      <c r="M317" s="66"/>
      <c r="N317" s="66"/>
      <c r="O317" s="79"/>
      <c r="P317" s="26"/>
      <c r="Q317" s="58"/>
      <c r="R317" s="58"/>
      <c r="S317" s="80"/>
      <c r="T317" s="68" t="str">
        <f aca="false">IF(LEFT(S317,1)="9","Celular",IF(S317="","","Fixo"))</f>
        <v/>
      </c>
      <c r="U317" s="58" t="str">
        <f aca="false">IF( T317&lt;&gt;"",VLOOKUP(T317,Selects!$M$4:$N$1000,2,0),"")</f>
        <v/>
      </c>
      <c r="V317" s="26"/>
      <c r="W317" s="58"/>
      <c r="X317" s="58"/>
      <c r="Y317" s="58"/>
      <c r="Z317" s="58"/>
      <c r="AA317" s="69"/>
      <c r="AB317" s="58"/>
      <c r="AC317" s="58"/>
      <c r="AD317" s="70" t="str">
        <f aca="false">IF(AC317&lt;&gt;"",VLOOKUP(AC317,Selects!$B$4:$C$100,2,0),"")</f>
        <v/>
      </c>
      <c r="AE317" s="26"/>
      <c r="AF317" s="58"/>
      <c r="AG317" s="59"/>
      <c r="AH317" s="65"/>
      <c r="AI317" s="66"/>
      <c r="AJ317" s="66"/>
      <c r="AK317" s="58"/>
      <c r="AL317" s="58"/>
      <c r="AM317" s="68" t="str">
        <f aca="false">IF(LEFT(AL317,1)="9","Celular",IF(AL317="","","Fixo"))</f>
        <v/>
      </c>
      <c r="AN317" s="58" t="str">
        <f aca="false">IF( AM317&lt;&gt;"",VLOOKUP(AM317,Selects!$M$4:$N$1000,2,0),"")</f>
        <v/>
      </c>
      <c r="AO317" s="58"/>
      <c r="AP317" s="59"/>
      <c r="AQ317" s="65"/>
      <c r="AR317" s="58"/>
      <c r="AS317" s="58"/>
      <c r="AT317" s="26"/>
      <c r="AU317" s="58"/>
      <c r="AV317" s="58"/>
      <c r="AW317" s="58"/>
      <c r="AX317" s="58"/>
      <c r="AY317" s="71"/>
      <c r="AZ317" s="58"/>
      <c r="BA317" s="58"/>
      <c r="BB317" s="72" t="str">
        <f aca="false">IF(BA317&lt;&gt;"",VLOOKUP(BA317,Selects!$B$4:$C$100,2,0),"")</f>
        <v/>
      </c>
      <c r="BC317" s="26"/>
      <c r="BD317" s="26"/>
      <c r="BE317" s="73"/>
      <c r="BF317" s="74"/>
      <c r="BG317" s="75" t="str">
        <f aca="false">IF(LEN(BF317)=11,"PF",IF(LEN(BF317)=14,"PJ",""))</f>
        <v/>
      </c>
      <c r="BH317" s="66"/>
      <c r="BI317" s="58" t="str">
        <f aca="false">IF(BH317&lt;&gt;"",VLOOKUP(BH317,Selects!$G:$H,2,0),"")</f>
        <v/>
      </c>
      <c r="BJ317" s="58"/>
      <c r="BK317" s="58"/>
      <c r="BL317" s="59"/>
      <c r="BM317" s="58"/>
      <c r="BN317" s="58"/>
      <c r="BO317" s="58" t="str">
        <f aca="false">IF(BN317&lt;&gt;"",VLOOKUP(BN317,Selects!$J$4:$K$1000,2,0),"")</f>
        <v/>
      </c>
      <c r="BP317" s="76"/>
      <c r="BQ317" s="59"/>
      <c r="BR317" s="77"/>
      <c r="BS317" s="59"/>
      <c r="BT317" s="77"/>
      <c r="BU317" s="58"/>
      <c r="BV317" s="58"/>
      <c r="BW317" s="58"/>
      <c r="BX317" s="58"/>
      <c r="BY317" s="58"/>
      <c r="BZ317" s="58"/>
      <c r="CA317" s="58"/>
      <c r="CB317" s="72" t="str">
        <f aca="false">IF(AC317&lt;&gt;"",VLOOKUP(AC317,Selects!$B:$E,4,0),"")</f>
        <v/>
      </c>
      <c r="CC317" s="58"/>
      <c r="CD317" s="58"/>
      <c r="CE317" s="58"/>
    </row>
    <row r="318" customFormat="false" ht="15.75" hidden="false" customHeight="true" outlineLevel="0" collapsed="false">
      <c r="A318" s="17"/>
      <c r="B318" s="58"/>
      <c r="C318" s="58"/>
      <c r="D318" s="59"/>
      <c r="E318" s="60" t="str">
        <f aca="false">IF(LEN(D318)=11,"PF",IF(LEN(D318)=14,"PJ",""))</f>
        <v/>
      </c>
      <c r="F318" s="59"/>
      <c r="G318" s="59"/>
      <c r="H318" s="61" t="str">
        <f aca="false">IF(G318&lt;&gt;"",VLOOKUP(G318,'Cnae  mcc  id'!$A:$M,9,0),"")</f>
        <v/>
      </c>
      <c r="I318" s="62"/>
      <c r="J318" s="63" t="str">
        <f aca="false">IF(I318&lt;&gt;"",VLOOKUP(I318,'Legal Nature'!$E$2:$G$84,3,0),"")</f>
        <v/>
      </c>
      <c r="K318" s="64"/>
      <c r="L318" s="65"/>
      <c r="M318" s="66"/>
      <c r="N318" s="66"/>
      <c r="O318" s="79"/>
      <c r="P318" s="26"/>
      <c r="Q318" s="58"/>
      <c r="R318" s="58"/>
      <c r="S318" s="80"/>
      <c r="T318" s="68" t="str">
        <f aca="false">IF(LEFT(S318,1)="9","Celular",IF(S318="","","Fixo"))</f>
        <v/>
      </c>
      <c r="U318" s="58" t="str">
        <f aca="false">IF( T318&lt;&gt;"",VLOOKUP(T318,Selects!$M$4:$N$1000,2,0),"")</f>
        <v/>
      </c>
      <c r="V318" s="26"/>
      <c r="W318" s="58"/>
      <c r="X318" s="58"/>
      <c r="Y318" s="58"/>
      <c r="Z318" s="58"/>
      <c r="AA318" s="69"/>
      <c r="AB318" s="58"/>
      <c r="AC318" s="58"/>
      <c r="AD318" s="70" t="str">
        <f aca="false">IF(AC318&lt;&gt;"",VLOOKUP(AC318,Selects!$B$4:$C$100,2,0),"")</f>
        <v/>
      </c>
      <c r="AE318" s="26"/>
      <c r="AF318" s="58"/>
      <c r="AG318" s="59"/>
      <c r="AH318" s="65"/>
      <c r="AI318" s="66"/>
      <c r="AJ318" s="66"/>
      <c r="AK318" s="58"/>
      <c r="AL318" s="58"/>
      <c r="AM318" s="68" t="str">
        <f aca="false">IF(LEFT(AL318,1)="9","Celular",IF(AL318="","","Fixo"))</f>
        <v/>
      </c>
      <c r="AN318" s="58" t="str">
        <f aca="false">IF( AM318&lt;&gt;"",VLOOKUP(AM318,Selects!$M$4:$N$1000,2,0),"")</f>
        <v/>
      </c>
      <c r="AO318" s="58"/>
      <c r="AP318" s="59"/>
      <c r="AQ318" s="65"/>
      <c r="AR318" s="58"/>
      <c r="AS318" s="58"/>
      <c r="AT318" s="26"/>
      <c r="AU318" s="58"/>
      <c r="AV318" s="58"/>
      <c r="AW318" s="58"/>
      <c r="AX318" s="58"/>
      <c r="AY318" s="71"/>
      <c r="AZ318" s="58"/>
      <c r="BA318" s="58"/>
      <c r="BB318" s="72" t="str">
        <f aca="false">IF(BA318&lt;&gt;"",VLOOKUP(BA318,Selects!$B$4:$C$100,2,0),"")</f>
        <v/>
      </c>
      <c r="BC318" s="26"/>
      <c r="BD318" s="26"/>
      <c r="BE318" s="73"/>
      <c r="BF318" s="74"/>
      <c r="BG318" s="75" t="str">
        <f aca="false">IF(LEN(BF318)=11,"PF",IF(LEN(BF318)=14,"PJ",""))</f>
        <v/>
      </c>
      <c r="BH318" s="66"/>
      <c r="BI318" s="58" t="str">
        <f aca="false">IF(BH318&lt;&gt;"",VLOOKUP(BH318,Selects!$G:$H,2,0),"")</f>
        <v/>
      </c>
      <c r="BJ318" s="58"/>
      <c r="BK318" s="58"/>
      <c r="BL318" s="59"/>
      <c r="BM318" s="58"/>
      <c r="BN318" s="58"/>
      <c r="BO318" s="58" t="str">
        <f aca="false">IF(BN318&lt;&gt;"",VLOOKUP(BN318,Selects!$J$4:$K$1000,2,0),"")</f>
        <v/>
      </c>
      <c r="BP318" s="76"/>
      <c r="BQ318" s="59"/>
      <c r="BR318" s="77"/>
      <c r="BS318" s="59"/>
      <c r="BT318" s="77"/>
      <c r="BU318" s="58"/>
      <c r="BV318" s="58"/>
      <c r="BW318" s="58"/>
      <c r="BX318" s="58"/>
      <c r="BY318" s="58"/>
      <c r="BZ318" s="58"/>
      <c r="CA318" s="58"/>
      <c r="CB318" s="72" t="str">
        <f aca="false">IF(AC318&lt;&gt;"",VLOOKUP(AC318,Selects!$B:$E,4,0),"")</f>
        <v/>
      </c>
      <c r="CC318" s="58"/>
      <c r="CD318" s="58"/>
      <c r="CE318" s="58"/>
    </row>
    <row r="319" customFormat="false" ht="15.75" hidden="false" customHeight="true" outlineLevel="0" collapsed="false">
      <c r="A319" s="17"/>
      <c r="B319" s="58"/>
      <c r="C319" s="58"/>
      <c r="D319" s="59"/>
      <c r="E319" s="60" t="str">
        <f aca="false">IF(LEN(D319)=11,"PF",IF(LEN(D319)=14,"PJ",""))</f>
        <v/>
      </c>
      <c r="F319" s="59"/>
      <c r="G319" s="59"/>
      <c r="H319" s="61" t="str">
        <f aca="false">IF(G319&lt;&gt;"",VLOOKUP(G319,'Cnae  mcc  id'!$A:$M,9,0),"")</f>
        <v/>
      </c>
      <c r="I319" s="62"/>
      <c r="J319" s="63" t="str">
        <f aca="false">IF(I319&lt;&gt;"",VLOOKUP(I319,'Legal Nature'!$E$2:$G$84,3,0),"")</f>
        <v/>
      </c>
      <c r="K319" s="64"/>
      <c r="L319" s="65"/>
      <c r="M319" s="66"/>
      <c r="N319" s="66"/>
      <c r="O319" s="79"/>
      <c r="P319" s="26"/>
      <c r="Q319" s="58"/>
      <c r="R319" s="58"/>
      <c r="S319" s="80"/>
      <c r="T319" s="68" t="str">
        <f aca="false">IF(LEFT(S319,1)="9","Celular",IF(S319="","","Fixo"))</f>
        <v/>
      </c>
      <c r="U319" s="58" t="str">
        <f aca="false">IF( T319&lt;&gt;"",VLOOKUP(T319,Selects!$M$4:$N$1000,2,0),"")</f>
        <v/>
      </c>
      <c r="V319" s="26"/>
      <c r="W319" s="58"/>
      <c r="X319" s="58"/>
      <c r="Y319" s="58"/>
      <c r="Z319" s="58"/>
      <c r="AA319" s="69"/>
      <c r="AB319" s="58"/>
      <c r="AC319" s="58"/>
      <c r="AD319" s="70" t="str">
        <f aca="false">IF(AC319&lt;&gt;"",VLOOKUP(AC319,Selects!$B$4:$C$100,2,0),"")</f>
        <v/>
      </c>
      <c r="AE319" s="26"/>
      <c r="AF319" s="58"/>
      <c r="AG319" s="59"/>
      <c r="AH319" s="65"/>
      <c r="AI319" s="66"/>
      <c r="AJ319" s="66"/>
      <c r="AK319" s="58"/>
      <c r="AL319" s="58"/>
      <c r="AM319" s="68" t="str">
        <f aca="false">IF(LEFT(AL319,1)="9","Celular",IF(AL319="","","Fixo"))</f>
        <v/>
      </c>
      <c r="AN319" s="58" t="str">
        <f aca="false">IF( AM319&lt;&gt;"",VLOOKUP(AM319,Selects!$M$4:$N$1000,2,0),"")</f>
        <v/>
      </c>
      <c r="AO319" s="58"/>
      <c r="AP319" s="59"/>
      <c r="AQ319" s="65"/>
      <c r="AR319" s="58"/>
      <c r="AS319" s="58"/>
      <c r="AT319" s="26"/>
      <c r="AU319" s="58"/>
      <c r="AV319" s="58"/>
      <c r="AW319" s="58"/>
      <c r="AX319" s="58"/>
      <c r="AY319" s="71"/>
      <c r="AZ319" s="58"/>
      <c r="BA319" s="58"/>
      <c r="BB319" s="72" t="str">
        <f aca="false">IF(BA319&lt;&gt;"",VLOOKUP(BA319,Selects!$B$4:$C$100,2,0),"")</f>
        <v/>
      </c>
      <c r="BC319" s="26"/>
      <c r="BD319" s="26"/>
      <c r="BE319" s="73"/>
      <c r="BF319" s="74"/>
      <c r="BG319" s="75" t="str">
        <f aca="false">IF(LEN(BF319)=11,"PF",IF(LEN(BF319)=14,"PJ",""))</f>
        <v/>
      </c>
      <c r="BH319" s="66"/>
      <c r="BI319" s="58" t="str">
        <f aca="false">IF(BH319&lt;&gt;"",VLOOKUP(BH319,Selects!$G:$H,2,0),"")</f>
        <v/>
      </c>
      <c r="BJ319" s="58"/>
      <c r="BK319" s="58"/>
      <c r="BL319" s="59"/>
      <c r="BM319" s="58"/>
      <c r="BN319" s="58"/>
      <c r="BO319" s="58" t="str">
        <f aca="false">IF(BN319&lt;&gt;"",VLOOKUP(BN319,Selects!$J$4:$K$1000,2,0),"")</f>
        <v/>
      </c>
      <c r="BP319" s="76"/>
      <c r="BQ319" s="59"/>
      <c r="BR319" s="77"/>
      <c r="BS319" s="59"/>
      <c r="BT319" s="77"/>
      <c r="BU319" s="58"/>
      <c r="BV319" s="58"/>
      <c r="BW319" s="58"/>
      <c r="BX319" s="58"/>
      <c r="BY319" s="58"/>
      <c r="BZ319" s="58"/>
      <c r="CA319" s="58"/>
      <c r="CB319" s="72" t="str">
        <f aca="false">IF(AC319&lt;&gt;"",VLOOKUP(AC319,Selects!$B:$E,4,0),"")</f>
        <v/>
      </c>
      <c r="CC319" s="58"/>
      <c r="CD319" s="58"/>
      <c r="CE319" s="58"/>
    </row>
    <row r="320" customFormat="false" ht="15.75" hidden="false" customHeight="true" outlineLevel="0" collapsed="false">
      <c r="A320" s="17"/>
      <c r="B320" s="58"/>
      <c r="C320" s="58"/>
      <c r="D320" s="59"/>
      <c r="E320" s="60" t="str">
        <f aca="false">IF(LEN(D320)=11,"PF",IF(LEN(D320)=14,"PJ",""))</f>
        <v/>
      </c>
      <c r="F320" s="59"/>
      <c r="G320" s="59"/>
      <c r="H320" s="61" t="str">
        <f aca="false">IF(G320&lt;&gt;"",VLOOKUP(G320,'Cnae  mcc  id'!$A:$M,9,0),"")</f>
        <v/>
      </c>
      <c r="I320" s="62"/>
      <c r="J320" s="63" t="str">
        <f aca="false">IF(I320&lt;&gt;"",VLOOKUP(I320,'Legal Nature'!$E$2:$G$84,3,0),"")</f>
        <v/>
      </c>
      <c r="K320" s="64"/>
      <c r="L320" s="65"/>
      <c r="M320" s="66"/>
      <c r="N320" s="66"/>
      <c r="O320" s="79"/>
      <c r="P320" s="26"/>
      <c r="Q320" s="58"/>
      <c r="R320" s="58"/>
      <c r="S320" s="80"/>
      <c r="T320" s="68" t="str">
        <f aca="false">IF(LEFT(S320,1)="9","Celular",IF(S320="","","Fixo"))</f>
        <v/>
      </c>
      <c r="U320" s="58" t="str">
        <f aca="false">IF( T320&lt;&gt;"",VLOOKUP(T320,Selects!$M$4:$N$1000,2,0),"")</f>
        <v/>
      </c>
      <c r="V320" s="26"/>
      <c r="W320" s="58"/>
      <c r="X320" s="58"/>
      <c r="Y320" s="58"/>
      <c r="Z320" s="58"/>
      <c r="AA320" s="69"/>
      <c r="AB320" s="58"/>
      <c r="AC320" s="58"/>
      <c r="AD320" s="70" t="str">
        <f aca="false">IF(AC320&lt;&gt;"",VLOOKUP(AC320,Selects!$B$4:$C$100,2,0),"")</f>
        <v/>
      </c>
      <c r="AE320" s="26"/>
      <c r="AF320" s="58"/>
      <c r="AG320" s="59"/>
      <c r="AH320" s="65"/>
      <c r="AI320" s="66"/>
      <c r="AJ320" s="66"/>
      <c r="AK320" s="58"/>
      <c r="AL320" s="58"/>
      <c r="AM320" s="68" t="str">
        <f aca="false">IF(LEFT(AL320,1)="9","Celular",IF(AL320="","","Fixo"))</f>
        <v/>
      </c>
      <c r="AN320" s="58" t="str">
        <f aca="false">IF( AM320&lt;&gt;"",VLOOKUP(AM320,Selects!$M$4:$N$1000,2,0),"")</f>
        <v/>
      </c>
      <c r="AO320" s="58"/>
      <c r="AP320" s="59"/>
      <c r="AQ320" s="65"/>
      <c r="AR320" s="58"/>
      <c r="AS320" s="58"/>
      <c r="AT320" s="26"/>
      <c r="AU320" s="58"/>
      <c r="AV320" s="58"/>
      <c r="AW320" s="58"/>
      <c r="AX320" s="58"/>
      <c r="AY320" s="71"/>
      <c r="AZ320" s="58"/>
      <c r="BA320" s="58"/>
      <c r="BB320" s="72" t="str">
        <f aca="false">IF(BA320&lt;&gt;"",VLOOKUP(BA320,Selects!$B$4:$C$100,2,0),"")</f>
        <v/>
      </c>
      <c r="BC320" s="26"/>
      <c r="BD320" s="26"/>
      <c r="BE320" s="73"/>
      <c r="BF320" s="74"/>
      <c r="BG320" s="75" t="str">
        <f aca="false">IF(LEN(BF320)=11,"PF",IF(LEN(BF320)=14,"PJ",""))</f>
        <v/>
      </c>
      <c r="BH320" s="66"/>
      <c r="BI320" s="58" t="str">
        <f aca="false">IF(BH320&lt;&gt;"",VLOOKUP(BH320,Selects!$G:$H,2,0),"")</f>
        <v/>
      </c>
      <c r="BJ320" s="58"/>
      <c r="BK320" s="58"/>
      <c r="BL320" s="59"/>
      <c r="BM320" s="58"/>
      <c r="BN320" s="58"/>
      <c r="BO320" s="58" t="str">
        <f aca="false">IF(BN320&lt;&gt;"",VLOOKUP(BN320,Selects!$J$4:$K$1000,2,0),"")</f>
        <v/>
      </c>
      <c r="BP320" s="76"/>
      <c r="BQ320" s="59"/>
      <c r="BR320" s="77"/>
      <c r="BS320" s="59"/>
      <c r="BT320" s="77"/>
      <c r="BU320" s="58"/>
      <c r="BV320" s="58"/>
      <c r="BW320" s="58"/>
      <c r="BX320" s="58"/>
      <c r="BY320" s="58"/>
      <c r="BZ320" s="58"/>
      <c r="CA320" s="58"/>
      <c r="CB320" s="72" t="str">
        <f aca="false">IF(AC320&lt;&gt;"",VLOOKUP(AC320,Selects!$B:$E,4,0),"")</f>
        <v/>
      </c>
      <c r="CC320" s="58"/>
      <c r="CD320" s="58"/>
      <c r="CE320" s="58"/>
    </row>
    <row r="321" customFormat="false" ht="15.75" hidden="false" customHeight="true" outlineLevel="0" collapsed="false">
      <c r="A321" s="17"/>
      <c r="B321" s="58"/>
      <c r="C321" s="58"/>
      <c r="D321" s="59"/>
      <c r="E321" s="60" t="str">
        <f aca="false">IF(LEN(D321)=11,"PF",IF(LEN(D321)=14,"PJ",""))</f>
        <v/>
      </c>
      <c r="F321" s="59"/>
      <c r="G321" s="59"/>
      <c r="H321" s="61" t="str">
        <f aca="false">IF(G321&lt;&gt;"",VLOOKUP(G321,'Cnae  mcc  id'!$A:$M,9,0),"")</f>
        <v/>
      </c>
      <c r="I321" s="62"/>
      <c r="J321" s="63" t="str">
        <f aca="false">IF(I321&lt;&gt;"",VLOOKUP(I321,'Legal Nature'!$E$2:$G$84,3,0),"")</f>
        <v/>
      </c>
      <c r="K321" s="64"/>
      <c r="L321" s="65"/>
      <c r="M321" s="66"/>
      <c r="N321" s="66"/>
      <c r="O321" s="79"/>
      <c r="P321" s="26"/>
      <c r="Q321" s="58"/>
      <c r="R321" s="58"/>
      <c r="S321" s="80"/>
      <c r="T321" s="68" t="str">
        <f aca="false">IF(LEFT(S321,1)="9","Celular",IF(S321="","","Fixo"))</f>
        <v/>
      </c>
      <c r="U321" s="58" t="str">
        <f aca="false">IF( T321&lt;&gt;"",VLOOKUP(T321,Selects!$M$4:$N$1000,2,0),"")</f>
        <v/>
      </c>
      <c r="V321" s="26"/>
      <c r="W321" s="58"/>
      <c r="X321" s="58"/>
      <c r="Y321" s="58"/>
      <c r="Z321" s="58"/>
      <c r="AA321" s="69"/>
      <c r="AB321" s="58"/>
      <c r="AC321" s="58"/>
      <c r="AD321" s="70" t="str">
        <f aca="false">IF(AC321&lt;&gt;"",VLOOKUP(AC321,Selects!$B$4:$C$100,2,0),"")</f>
        <v/>
      </c>
      <c r="AE321" s="26"/>
      <c r="AF321" s="58"/>
      <c r="AG321" s="59"/>
      <c r="AH321" s="65"/>
      <c r="AI321" s="66"/>
      <c r="AJ321" s="66"/>
      <c r="AK321" s="58"/>
      <c r="AL321" s="58"/>
      <c r="AM321" s="68" t="str">
        <f aca="false">IF(LEFT(AL321,1)="9","Celular",IF(AL321="","","Fixo"))</f>
        <v/>
      </c>
      <c r="AN321" s="58" t="str">
        <f aca="false">IF( AM321&lt;&gt;"",VLOOKUP(AM321,Selects!$M$4:$N$1000,2,0),"")</f>
        <v/>
      </c>
      <c r="AO321" s="58"/>
      <c r="AP321" s="59"/>
      <c r="AQ321" s="65"/>
      <c r="AR321" s="58"/>
      <c r="AS321" s="58"/>
      <c r="AT321" s="26"/>
      <c r="AU321" s="58"/>
      <c r="AV321" s="58"/>
      <c r="AW321" s="58"/>
      <c r="AX321" s="58"/>
      <c r="AY321" s="71"/>
      <c r="AZ321" s="58"/>
      <c r="BA321" s="58"/>
      <c r="BB321" s="72" t="str">
        <f aca="false">IF(BA321&lt;&gt;"",VLOOKUP(BA321,Selects!$B$4:$C$100,2,0),"")</f>
        <v/>
      </c>
      <c r="BC321" s="26"/>
      <c r="BD321" s="26"/>
      <c r="BE321" s="73"/>
      <c r="BF321" s="74"/>
      <c r="BG321" s="75" t="str">
        <f aca="false">IF(LEN(BF321)=11,"PF",IF(LEN(BF321)=14,"PJ",""))</f>
        <v/>
      </c>
      <c r="BH321" s="66"/>
      <c r="BI321" s="58" t="str">
        <f aca="false">IF(BH321&lt;&gt;"",VLOOKUP(BH321,Selects!$G:$H,2,0),"")</f>
        <v/>
      </c>
      <c r="BJ321" s="58"/>
      <c r="BK321" s="58"/>
      <c r="BL321" s="59"/>
      <c r="BM321" s="58"/>
      <c r="BN321" s="58"/>
      <c r="BO321" s="58" t="str">
        <f aca="false">IF(BN321&lt;&gt;"",VLOOKUP(BN321,Selects!$J$4:$K$1000,2,0),"")</f>
        <v/>
      </c>
      <c r="BP321" s="76"/>
      <c r="BQ321" s="59"/>
      <c r="BR321" s="77"/>
      <c r="BS321" s="59"/>
      <c r="BT321" s="77"/>
      <c r="BU321" s="58"/>
      <c r="BV321" s="58"/>
      <c r="BW321" s="58"/>
      <c r="BX321" s="58"/>
      <c r="BY321" s="58"/>
      <c r="BZ321" s="58"/>
      <c r="CA321" s="58"/>
      <c r="CB321" s="72" t="str">
        <f aca="false">IF(AC321&lt;&gt;"",VLOOKUP(AC321,Selects!$B:$E,4,0),"")</f>
        <v/>
      </c>
      <c r="CC321" s="58"/>
      <c r="CD321" s="58"/>
      <c r="CE321" s="58"/>
    </row>
    <row r="322" customFormat="false" ht="15.75" hidden="false" customHeight="true" outlineLevel="0" collapsed="false">
      <c r="A322" s="17"/>
      <c r="B322" s="58"/>
      <c r="C322" s="58"/>
      <c r="D322" s="59"/>
      <c r="E322" s="60" t="str">
        <f aca="false">IF(LEN(D322)=11,"PF",IF(LEN(D322)=14,"PJ",""))</f>
        <v/>
      </c>
      <c r="F322" s="59"/>
      <c r="G322" s="59"/>
      <c r="H322" s="61" t="str">
        <f aca="false">IF(G322&lt;&gt;"",VLOOKUP(G322,'Cnae  mcc  id'!$A:$M,9,0),"")</f>
        <v/>
      </c>
      <c r="I322" s="62"/>
      <c r="J322" s="63" t="str">
        <f aca="false">IF(I322&lt;&gt;"",VLOOKUP(I322,'Legal Nature'!$E$2:$G$84,3,0),"")</f>
        <v/>
      </c>
      <c r="K322" s="64"/>
      <c r="L322" s="65"/>
      <c r="M322" s="66"/>
      <c r="N322" s="66"/>
      <c r="O322" s="79"/>
      <c r="P322" s="26"/>
      <c r="Q322" s="58"/>
      <c r="R322" s="58"/>
      <c r="S322" s="80"/>
      <c r="T322" s="68" t="str">
        <f aca="false">IF(LEFT(S322,1)="9","Celular",IF(S322="","","Fixo"))</f>
        <v/>
      </c>
      <c r="U322" s="58" t="str">
        <f aca="false">IF( T322&lt;&gt;"",VLOOKUP(T322,Selects!$M$4:$N$1000,2,0),"")</f>
        <v/>
      </c>
      <c r="V322" s="26"/>
      <c r="W322" s="58"/>
      <c r="X322" s="58"/>
      <c r="Y322" s="58"/>
      <c r="Z322" s="58"/>
      <c r="AA322" s="69"/>
      <c r="AB322" s="58"/>
      <c r="AC322" s="58"/>
      <c r="AD322" s="70" t="str">
        <f aca="false">IF(AC322&lt;&gt;"",VLOOKUP(AC322,Selects!$B$4:$C$100,2,0),"")</f>
        <v/>
      </c>
      <c r="AE322" s="26"/>
      <c r="AF322" s="58"/>
      <c r="AG322" s="59"/>
      <c r="AH322" s="65"/>
      <c r="AI322" s="66"/>
      <c r="AJ322" s="66"/>
      <c r="AK322" s="58"/>
      <c r="AL322" s="58"/>
      <c r="AM322" s="68" t="str">
        <f aca="false">IF(LEFT(AL322,1)="9","Celular",IF(AL322="","","Fixo"))</f>
        <v/>
      </c>
      <c r="AN322" s="58" t="str">
        <f aca="false">IF( AM322&lt;&gt;"",VLOOKUP(AM322,Selects!$M$4:$N$1000,2,0),"")</f>
        <v/>
      </c>
      <c r="AO322" s="58"/>
      <c r="AP322" s="59"/>
      <c r="AQ322" s="65"/>
      <c r="AR322" s="58"/>
      <c r="AS322" s="58"/>
      <c r="AT322" s="26"/>
      <c r="AU322" s="58"/>
      <c r="AV322" s="58"/>
      <c r="AW322" s="58"/>
      <c r="AX322" s="58"/>
      <c r="AY322" s="71"/>
      <c r="AZ322" s="58"/>
      <c r="BA322" s="58"/>
      <c r="BB322" s="72" t="str">
        <f aca="false">IF(BA322&lt;&gt;"",VLOOKUP(BA322,Selects!$B$4:$C$100,2,0),"")</f>
        <v/>
      </c>
      <c r="BC322" s="26"/>
      <c r="BD322" s="26"/>
      <c r="BE322" s="73"/>
      <c r="BF322" s="74"/>
      <c r="BG322" s="75" t="str">
        <f aca="false">IF(LEN(BF322)=11,"PF",IF(LEN(BF322)=14,"PJ",""))</f>
        <v/>
      </c>
      <c r="BH322" s="66"/>
      <c r="BI322" s="58" t="str">
        <f aca="false">IF(BH322&lt;&gt;"",VLOOKUP(BH322,Selects!$G:$H,2,0),"")</f>
        <v/>
      </c>
      <c r="BJ322" s="58"/>
      <c r="BK322" s="58"/>
      <c r="BL322" s="59"/>
      <c r="BM322" s="58"/>
      <c r="BN322" s="58"/>
      <c r="BO322" s="58" t="str">
        <f aca="false">IF(BN322&lt;&gt;"",VLOOKUP(BN322,Selects!$J$4:$K$1000,2,0),"")</f>
        <v/>
      </c>
      <c r="BP322" s="76"/>
      <c r="BQ322" s="59"/>
      <c r="BR322" s="77"/>
      <c r="BS322" s="59"/>
      <c r="BT322" s="77"/>
      <c r="BU322" s="58"/>
      <c r="BV322" s="58"/>
      <c r="BW322" s="58"/>
      <c r="BX322" s="58"/>
      <c r="BY322" s="58"/>
      <c r="BZ322" s="58"/>
      <c r="CA322" s="58"/>
      <c r="CB322" s="72" t="str">
        <f aca="false">IF(AC322&lt;&gt;"",VLOOKUP(AC322,Selects!$B:$E,4,0),"")</f>
        <v/>
      </c>
      <c r="CC322" s="58"/>
      <c r="CD322" s="58"/>
      <c r="CE322" s="58"/>
    </row>
    <row r="323" customFormat="false" ht="15.75" hidden="false" customHeight="true" outlineLevel="0" collapsed="false">
      <c r="A323" s="17"/>
      <c r="B323" s="58"/>
      <c r="C323" s="58"/>
      <c r="D323" s="59"/>
      <c r="E323" s="60" t="str">
        <f aca="false">IF(LEN(D323)=11,"PF",IF(LEN(D323)=14,"PJ",""))</f>
        <v/>
      </c>
      <c r="F323" s="59"/>
      <c r="G323" s="59"/>
      <c r="H323" s="61" t="str">
        <f aca="false">IF(G323&lt;&gt;"",VLOOKUP(G323,'Cnae  mcc  id'!$A:$M,9,0),"")</f>
        <v/>
      </c>
      <c r="I323" s="62"/>
      <c r="J323" s="63" t="str">
        <f aca="false">IF(I323&lt;&gt;"",VLOOKUP(I323,'Legal Nature'!$E$2:$G$84,3,0),"")</f>
        <v/>
      </c>
      <c r="K323" s="64"/>
      <c r="L323" s="65"/>
      <c r="M323" s="66"/>
      <c r="N323" s="66"/>
      <c r="O323" s="79"/>
      <c r="P323" s="26"/>
      <c r="Q323" s="58"/>
      <c r="R323" s="58"/>
      <c r="S323" s="80"/>
      <c r="T323" s="68" t="str">
        <f aca="false">IF(LEFT(S323,1)="9","Celular",IF(S323="","","Fixo"))</f>
        <v/>
      </c>
      <c r="U323" s="58" t="str">
        <f aca="false">IF( T323&lt;&gt;"",VLOOKUP(T323,Selects!$M$4:$N$1000,2,0),"")</f>
        <v/>
      </c>
      <c r="V323" s="26"/>
      <c r="W323" s="58"/>
      <c r="X323" s="58"/>
      <c r="Y323" s="58"/>
      <c r="Z323" s="58"/>
      <c r="AA323" s="69"/>
      <c r="AB323" s="58"/>
      <c r="AC323" s="58"/>
      <c r="AD323" s="70" t="str">
        <f aca="false">IF(AC323&lt;&gt;"",VLOOKUP(AC323,Selects!$B$4:$C$100,2,0),"")</f>
        <v/>
      </c>
      <c r="AE323" s="26"/>
      <c r="AF323" s="58"/>
      <c r="AG323" s="59"/>
      <c r="AH323" s="65"/>
      <c r="AI323" s="66"/>
      <c r="AJ323" s="66"/>
      <c r="AK323" s="58"/>
      <c r="AL323" s="58"/>
      <c r="AM323" s="68" t="str">
        <f aca="false">IF(LEFT(AL323,1)="9","Celular",IF(AL323="","","Fixo"))</f>
        <v/>
      </c>
      <c r="AN323" s="58" t="str">
        <f aca="false">IF( AM323&lt;&gt;"",VLOOKUP(AM323,Selects!$M$4:$N$1000,2,0),"")</f>
        <v/>
      </c>
      <c r="AO323" s="58"/>
      <c r="AP323" s="59"/>
      <c r="AQ323" s="65"/>
      <c r="AR323" s="58"/>
      <c r="AS323" s="58"/>
      <c r="AT323" s="26"/>
      <c r="AU323" s="58"/>
      <c r="AV323" s="58"/>
      <c r="AW323" s="58"/>
      <c r="AX323" s="58"/>
      <c r="AY323" s="71"/>
      <c r="AZ323" s="58"/>
      <c r="BA323" s="58"/>
      <c r="BB323" s="72" t="str">
        <f aca="false">IF(BA323&lt;&gt;"",VLOOKUP(BA323,Selects!$B$4:$C$100,2,0),"")</f>
        <v/>
      </c>
      <c r="BC323" s="26"/>
      <c r="BD323" s="26"/>
      <c r="BE323" s="73"/>
      <c r="BF323" s="74"/>
      <c r="BG323" s="75" t="str">
        <f aca="false">IF(LEN(BF323)=11,"PF",IF(LEN(BF323)=14,"PJ",""))</f>
        <v/>
      </c>
      <c r="BH323" s="66"/>
      <c r="BI323" s="58" t="str">
        <f aca="false">IF(BH323&lt;&gt;"",VLOOKUP(BH323,Selects!$G:$H,2,0),"")</f>
        <v/>
      </c>
      <c r="BJ323" s="58"/>
      <c r="BK323" s="58"/>
      <c r="BL323" s="59"/>
      <c r="BM323" s="58"/>
      <c r="BN323" s="58"/>
      <c r="BO323" s="58" t="str">
        <f aca="false">IF(BN323&lt;&gt;"",VLOOKUP(BN323,Selects!$J$4:$K$1000,2,0),"")</f>
        <v/>
      </c>
      <c r="BP323" s="76"/>
      <c r="BQ323" s="59"/>
      <c r="BR323" s="77"/>
      <c r="BS323" s="59"/>
      <c r="BT323" s="77"/>
      <c r="BU323" s="58"/>
      <c r="BV323" s="58"/>
      <c r="BW323" s="58"/>
      <c r="BX323" s="58"/>
      <c r="BY323" s="58"/>
      <c r="BZ323" s="58"/>
      <c r="CA323" s="58"/>
      <c r="CB323" s="72" t="str">
        <f aca="false">IF(AC323&lt;&gt;"",VLOOKUP(AC323,Selects!$B:$E,4,0),"")</f>
        <v/>
      </c>
      <c r="CC323" s="58"/>
      <c r="CD323" s="58"/>
      <c r="CE323" s="58"/>
    </row>
    <row r="324" customFormat="false" ht="15.75" hidden="false" customHeight="true" outlineLevel="0" collapsed="false">
      <c r="A324" s="17"/>
      <c r="B324" s="58"/>
      <c r="C324" s="58"/>
      <c r="D324" s="59"/>
      <c r="E324" s="60" t="str">
        <f aca="false">IF(LEN(D324)=11,"PF",IF(LEN(D324)=14,"PJ",""))</f>
        <v/>
      </c>
      <c r="F324" s="59"/>
      <c r="G324" s="59"/>
      <c r="H324" s="61" t="str">
        <f aca="false">IF(G324&lt;&gt;"",VLOOKUP(G324,'Cnae  mcc  id'!$A:$M,9,0),"")</f>
        <v/>
      </c>
      <c r="I324" s="62"/>
      <c r="J324" s="63" t="str">
        <f aca="false">IF(I324&lt;&gt;"",VLOOKUP(I324,'Legal Nature'!$E$2:$G$84,3,0),"")</f>
        <v/>
      </c>
      <c r="K324" s="64"/>
      <c r="L324" s="65"/>
      <c r="M324" s="66"/>
      <c r="N324" s="66"/>
      <c r="O324" s="79"/>
      <c r="P324" s="26"/>
      <c r="Q324" s="58"/>
      <c r="R324" s="58"/>
      <c r="S324" s="80"/>
      <c r="T324" s="68" t="str">
        <f aca="false">IF(LEFT(S324,1)="9","Celular",IF(S324="","","Fixo"))</f>
        <v/>
      </c>
      <c r="U324" s="58" t="str">
        <f aca="false">IF( T324&lt;&gt;"",VLOOKUP(T324,Selects!$M$4:$N$1000,2,0),"")</f>
        <v/>
      </c>
      <c r="V324" s="26"/>
      <c r="W324" s="58"/>
      <c r="X324" s="58"/>
      <c r="Y324" s="58"/>
      <c r="Z324" s="58"/>
      <c r="AA324" s="69"/>
      <c r="AB324" s="58"/>
      <c r="AC324" s="58"/>
      <c r="AD324" s="70" t="str">
        <f aca="false">IF(AC324&lt;&gt;"",VLOOKUP(AC324,Selects!$B$4:$C$100,2,0),"")</f>
        <v/>
      </c>
      <c r="AE324" s="26"/>
      <c r="AF324" s="58"/>
      <c r="AG324" s="59"/>
      <c r="AH324" s="65"/>
      <c r="AI324" s="66"/>
      <c r="AJ324" s="66"/>
      <c r="AK324" s="58"/>
      <c r="AL324" s="58"/>
      <c r="AM324" s="68" t="str">
        <f aca="false">IF(LEFT(AL324,1)="9","Celular",IF(AL324="","","Fixo"))</f>
        <v/>
      </c>
      <c r="AN324" s="58" t="str">
        <f aca="false">IF( AM324&lt;&gt;"",VLOOKUP(AM324,Selects!$M$4:$N$1000,2,0),"")</f>
        <v/>
      </c>
      <c r="AO324" s="58"/>
      <c r="AP324" s="59"/>
      <c r="AQ324" s="65"/>
      <c r="AR324" s="58"/>
      <c r="AS324" s="58"/>
      <c r="AT324" s="26"/>
      <c r="AU324" s="58"/>
      <c r="AV324" s="58"/>
      <c r="AW324" s="58"/>
      <c r="AX324" s="58"/>
      <c r="AY324" s="71"/>
      <c r="AZ324" s="58"/>
      <c r="BA324" s="58"/>
      <c r="BB324" s="72" t="str">
        <f aca="false">IF(BA324&lt;&gt;"",VLOOKUP(BA324,Selects!$B$4:$C$100,2,0),"")</f>
        <v/>
      </c>
      <c r="BC324" s="26"/>
      <c r="BD324" s="26"/>
      <c r="BE324" s="73"/>
      <c r="BF324" s="74"/>
      <c r="BG324" s="75" t="str">
        <f aca="false">IF(LEN(BF324)=11,"PF",IF(LEN(BF324)=14,"PJ",""))</f>
        <v/>
      </c>
      <c r="BH324" s="66"/>
      <c r="BI324" s="58" t="str">
        <f aca="false">IF(BH324&lt;&gt;"",VLOOKUP(BH324,Selects!$G:$H,2,0),"")</f>
        <v/>
      </c>
      <c r="BJ324" s="58"/>
      <c r="BK324" s="58"/>
      <c r="BL324" s="59"/>
      <c r="BM324" s="58"/>
      <c r="BN324" s="58"/>
      <c r="BO324" s="58" t="str">
        <f aca="false">IF(BN324&lt;&gt;"",VLOOKUP(BN324,Selects!$J$4:$K$1000,2,0),"")</f>
        <v/>
      </c>
      <c r="BP324" s="76"/>
      <c r="BQ324" s="59"/>
      <c r="BR324" s="77"/>
      <c r="BS324" s="59"/>
      <c r="BT324" s="77"/>
      <c r="BU324" s="58"/>
      <c r="BV324" s="58"/>
      <c r="BW324" s="58"/>
      <c r="BX324" s="58"/>
      <c r="BY324" s="58"/>
      <c r="BZ324" s="58"/>
      <c r="CA324" s="58"/>
      <c r="CB324" s="72" t="str">
        <f aca="false">IF(AC324&lt;&gt;"",VLOOKUP(AC324,Selects!$B:$E,4,0),"")</f>
        <v/>
      </c>
      <c r="CC324" s="58"/>
      <c r="CD324" s="58"/>
      <c r="CE324" s="58"/>
    </row>
    <row r="325" customFormat="false" ht="15.75" hidden="false" customHeight="true" outlineLevel="0" collapsed="false">
      <c r="A325" s="17"/>
      <c r="B325" s="58"/>
      <c r="C325" s="58"/>
      <c r="D325" s="59"/>
      <c r="E325" s="60" t="str">
        <f aca="false">IF(LEN(D325)=11,"PF",IF(LEN(D325)=14,"PJ",""))</f>
        <v/>
      </c>
      <c r="F325" s="59"/>
      <c r="G325" s="59"/>
      <c r="H325" s="61" t="str">
        <f aca="false">IF(G325&lt;&gt;"",VLOOKUP(G325,'Cnae  mcc  id'!$A:$M,9,0),"")</f>
        <v/>
      </c>
      <c r="I325" s="62"/>
      <c r="J325" s="63" t="str">
        <f aca="false">IF(I325&lt;&gt;"",VLOOKUP(I325,'Legal Nature'!$E$2:$G$84,3,0),"")</f>
        <v/>
      </c>
      <c r="K325" s="64"/>
      <c r="L325" s="65"/>
      <c r="M325" s="66"/>
      <c r="N325" s="66"/>
      <c r="O325" s="79"/>
      <c r="P325" s="26"/>
      <c r="Q325" s="58"/>
      <c r="R325" s="58"/>
      <c r="S325" s="80"/>
      <c r="T325" s="68" t="str">
        <f aca="false">IF(LEFT(S325,1)="9","Celular",IF(S325="","","Fixo"))</f>
        <v/>
      </c>
      <c r="U325" s="58" t="str">
        <f aca="false">IF( T325&lt;&gt;"",VLOOKUP(T325,Selects!$M$4:$N$1000,2,0),"")</f>
        <v/>
      </c>
      <c r="V325" s="26"/>
      <c r="W325" s="58"/>
      <c r="X325" s="58"/>
      <c r="Y325" s="58"/>
      <c r="Z325" s="58"/>
      <c r="AA325" s="69"/>
      <c r="AB325" s="58"/>
      <c r="AC325" s="58"/>
      <c r="AD325" s="70" t="str">
        <f aca="false">IF(AC325&lt;&gt;"",VLOOKUP(AC325,Selects!$B$4:$C$100,2,0),"")</f>
        <v/>
      </c>
      <c r="AE325" s="26"/>
      <c r="AF325" s="58"/>
      <c r="AG325" s="59"/>
      <c r="AH325" s="65"/>
      <c r="AI325" s="66"/>
      <c r="AJ325" s="66"/>
      <c r="AK325" s="58"/>
      <c r="AL325" s="58"/>
      <c r="AM325" s="68" t="str">
        <f aca="false">IF(LEFT(AL325,1)="9","Celular",IF(AL325="","","Fixo"))</f>
        <v/>
      </c>
      <c r="AN325" s="58" t="str">
        <f aca="false">IF( AM325&lt;&gt;"",VLOOKUP(AM325,Selects!$M$4:$N$1000,2,0),"")</f>
        <v/>
      </c>
      <c r="AO325" s="58"/>
      <c r="AP325" s="59"/>
      <c r="AQ325" s="65"/>
      <c r="AR325" s="58"/>
      <c r="AS325" s="58"/>
      <c r="AT325" s="26"/>
      <c r="AU325" s="58"/>
      <c r="AV325" s="58"/>
      <c r="AW325" s="58"/>
      <c r="AX325" s="58"/>
      <c r="AY325" s="71"/>
      <c r="AZ325" s="58"/>
      <c r="BA325" s="58"/>
      <c r="BB325" s="72" t="str">
        <f aca="false">IF(BA325&lt;&gt;"",VLOOKUP(BA325,Selects!$B$4:$C$100,2,0),"")</f>
        <v/>
      </c>
      <c r="BC325" s="26"/>
      <c r="BD325" s="26"/>
      <c r="BE325" s="73"/>
      <c r="BF325" s="74"/>
      <c r="BG325" s="75" t="str">
        <f aca="false">IF(LEN(BF325)=11,"PF",IF(LEN(BF325)=14,"PJ",""))</f>
        <v/>
      </c>
      <c r="BH325" s="66"/>
      <c r="BI325" s="58" t="str">
        <f aca="false">IF(BH325&lt;&gt;"",VLOOKUP(BH325,Selects!$G:$H,2,0),"")</f>
        <v/>
      </c>
      <c r="BJ325" s="58"/>
      <c r="BK325" s="58"/>
      <c r="BL325" s="59"/>
      <c r="BM325" s="58"/>
      <c r="BN325" s="58"/>
      <c r="BO325" s="58" t="str">
        <f aca="false">IF(BN325&lt;&gt;"",VLOOKUP(BN325,Selects!$J$4:$K$1000,2,0),"")</f>
        <v/>
      </c>
      <c r="BP325" s="76"/>
      <c r="BQ325" s="59"/>
      <c r="BR325" s="77"/>
      <c r="BS325" s="59"/>
      <c r="BT325" s="77"/>
      <c r="BU325" s="58"/>
      <c r="BV325" s="58"/>
      <c r="BW325" s="58"/>
      <c r="BX325" s="58"/>
      <c r="BY325" s="58"/>
      <c r="BZ325" s="58"/>
      <c r="CA325" s="58"/>
      <c r="CB325" s="72" t="str">
        <f aca="false">IF(AC325&lt;&gt;"",VLOOKUP(AC325,Selects!$B:$E,4,0),"")</f>
        <v/>
      </c>
      <c r="CC325" s="58"/>
      <c r="CD325" s="58"/>
      <c r="CE325" s="58"/>
    </row>
    <row r="326" customFormat="false" ht="15.75" hidden="false" customHeight="true" outlineLevel="0" collapsed="false">
      <c r="A326" s="17"/>
      <c r="B326" s="58"/>
      <c r="C326" s="58"/>
      <c r="D326" s="59"/>
      <c r="E326" s="60" t="str">
        <f aca="false">IF(LEN(D326)=11,"PF",IF(LEN(D326)=14,"PJ",""))</f>
        <v/>
      </c>
      <c r="F326" s="59"/>
      <c r="G326" s="59"/>
      <c r="H326" s="61" t="str">
        <f aca="false">IF(G326&lt;&gt;"",VLOOKUP(G326,'Cnae  mcc  id'!$A:$M,9,0),"")</f>
        <v/>
      </c>
      <c r="I326" s="62"/>
      <c r="J326" s="63" t="str">
        <f aca="false">IF(I326&lt;&gt;"",VLOOKUP(I326,'Legal Nature'!$E$2:$G$84,3,0),"")</f>
        <v/>
      </c>
      <c r="K326" s="64"/>
      <c r="L326" s="65"/>
      <c r="M326" s="66"/>
      <c r="N326" s="66"/>
      <c r="O326" s="79"/>
      <c r="P326" s="26"/>
      <c r="Q326" s="58"/>
      <c r="R326" s="58"/>
      <c r="S326" s="80"/>
      <c r="T326" s="68" t="str">
        <f aca="false">IF(LEFT(S326,1)="9","Celular",IF(S326="","","Fixo"))</f>
        <v/>
      </c>
      <c r="U326" s="58" t="str">
        <f aca="false">IF( T326&lt;&gt;"",VLOOKUP(T326,Selects!$M$4:$N$1000,2,0),"")</f>
        <v/>
      </c>
      <c r="V326" s="26"/>
      <c r="W326" s="58"/>
      <c r="X326" s="58"/>
      <c r="Y326" s="58"/>
      <c r="Z326" s="58"/>
      <c r="AA326" s="69"/>
      <c r="AB326" s="58"/>
      <c r="AC326" s="58"/>
      <c r="AD326" s="70" t="str">
        <f aca="false">IF(AC326&lt;&gt;"",VLOOKUP(AC326,Selects!$B$4:$C$100,2,0),"")</f>
        <v/>
      </c>
      <c r="AE326" s="26"/>
      <c r="AF326" s="58"/>
      <c r="AG326" s="59"/>
      <c r="AH326" s="65"/>
      <c r="AI326" s="66"/>
      <c r="AJ326" s="66"/>
      <c r="AK326" s="58"/>
      <c r="AL326" s="58"/>
      <c r="AM326" s="68" t="str">
        <f aca="false">IF(LEFT(AL326,1)="9","Celular",IF(AL326="","","Fixo"))</f>
        <v/>
      </c>
      <c r="AN326" s="58" t="str">
        <f aca="false">IF( AM326&lt;&gt;"",VLOOKUP(AM326,Selects!$M$4:$N$1000,2,0),"")</f>
        <v/>
      </c>
      <c r="AO326" s="58"/>
      <c r="AP326" s="59"/>
      <c r="AQ326" s="65"/>
      <c r="AR326" s="58"/>
      <c r="AS326" s="58"/>
      <c r="AT326" s="26"/>
      <c r="AU326" s="58"/>
      <c r="AV326" s="58"/>
      <c r="AW326" s="58"/>
      <c r="AX326" s="58"/>
      <c r="AY326" s="71"/>
      <c r="AZ326" s="58"/>
      <c r="BA326" s="58"/>
      <c r="BB326" s="72" t="str">
        <f aca="false">IF(BA326&lt;&gt;"",VLOOKUP(BA326,Selects!$B$4:$C$100,2,0),"")</f>
        <v/>
      </c>
      <c r="BC326" s="26"/>
      <c r="BD326" s="26"/>
      <c r="BE326" s="73"/>
      <c r="BF326" s="74"/>
      <c r="BG326" s="75" t="str">
        <f aca="false">IF(LEN(BF326)=11,"PF",IF(LEN(BF326)=14,"PJ",""))</f>
        <v/>
      </c>
      <c r="BH326" s="66"/>
      <c r="BI326" s="58" t="str">
        <f aca="false">IF(BH326&lt;&gt;"",VLOOKUP(BH326,Selects!$G:$H,2,0),"")</f>
        <v/>
      </c>
      <c r="BJ326" s="58"/>
      <c r="BK326" s="58"/>
      <c r="BL326" s="59"/>
      <c r="BM326" s="58"/>
      <c r="BN326" s="58"/>
      <c r="BO326" s="58" t="str">
        <f aca="false">IF(BN326&lt;&gt;"",VLOOKUP(BN326,Selects!$J$4:$K$1000,2,0),"")</f>
        <v/>
      </c>
      <c r="BP326" s="76"/>
      <c r="BQ326" s="59"/>
      <c r="BR326" s="77"/>
      <c r="BS326" s="59"/>
      <c r="BT326" s="77"/>
      <c r="BU326" s="58"/>
      <c r="BV326" s="58"/>
      <c r="BW326" s="58"/>
      <c r="BX326" s="58"/>
      <c r="BY326" s="58"/>
      <c r="BZ326" s="58"/>
      <c r="CA326" s="58"/>
      <c r="CB326" s="72" t="str">
        <f aca="false">IF(AC326&lt;&gt;"",VLOOKUP(AC326,Selects!$B:$E,4,0),"")</f>
        <v/>
      </c>
      <c r="CC326" s="58"/>
      <c r="CD326" s="58"/>
      <c r="CE326" s="58"/>
    </row>
    <row r="327" customFormat="false" ht="15.75" hidden="false" customHeight="true" outlineLevel="0" collapsed="false">
      <c r="A327" s="17"/>
      <c r="B327" s="58"/>
      <c r="C327" s="58"/>
      <c r="D327" s="59"/>
      <c r="E327" s="60" t="str">
        <f aca="false">IF(LEN(D327)=11,"PF",IF(LEN(D327)=14,"PJ",""))</f>
        <v/>
      </c>
      <c r="F327" s="59"/>
      <c r="G327" s="59"/>
      <c r="H327" s="61" t="str">
        <f aca="false">IF(G327&lt;&gt;"",VLOOKUP(G327,'Cnae  mcc  id'!$A:$M,9,0),"")</f>
        <v/>
      </c>
      <c r="I327" s="62"/>
      <c r="J327" s="63" t="str">
        <f aca="false">IF(I327&lt;&gt;"",VLOOKUP(I327,'Legal Nature'!$E$2:$G$84,3,0),"")</f>
        <v/>
      </c>
      <c r="K327" s="64"/>
      <c r="L327" s="65"/>
      <c r="M327" s="66"/>
      <c r="N327" s="66"/>
      <c r="O327" s="79"/>
      <c r="P327" s="26"/>
      <c r="Q327" s="58"/>
      <c r="R327" s="58"/>
      <c r="S327" s="80"/>
      <c r="T327" s="68" t="str">
        <f aca="false">IF(LEFT(S327,1)="9","Celular",IF(S327="","","Fixo"))</f>
        <v/>
      </c>
      <c r="U327" s="58" t="str">
        <f aca="false">IF( T327&lt;&gt;"",VLOOKUP(T327,Selects!$M$4:$N$1000,2,0),"")</f>
        <v/>
      </c>
      <c r="V327" s="26"/>
      <c r="W327" s="58"/>
      <c r="X327" s="58"/>
      <c r="Y327" s="58"/>
      <c r="Z327" s="58"/>
      <c r="AA327" s="69"/>
      <c r="AB327" s="58"/>
      <c r="AC327" s="58"/>
      <c r="AD327" s="70" t="str">
        <f aca="false">IF(AC327&lt;&gt;"",VLOOKUP(AC327,Selects!$B$4:$C$100,2,0),"")</f>
        <v/>
      </c>
      <c r="AE327" s="26"/>
      <c r="AF327" s="58"/>
      <c r="AG327" s="59"/>
      <c r="AH327" s="65"/>
      <c r="AI327" s="66"/>
      <c r="AJ327" s="66"/>
      <c r="AK327" s="58"/>
      <c r="AL327" s="58"/>
      <c r="AM327" s="68" t="str">
        <f aca="false">IF(LEFT(AL327,1)="9","Celular",IF(AL327="","","Fixo"))</f>
        <v/>
      </c>
      <c r="AN327" s="58" t="str">
        <f aca="false">IF( AM327&lt;&gt;"",VLOOKUP(AM327,Selects!$M$4:$N$1000,2,0),"")</f>
        <v/>
      </c>
      <c r="AO327" s="58"/>
      <c r="AP327" s="59"/>
      <c r="AQ327" s="65"/>
      <c r="AR327" s="58"/>
      <c r="AS327" s="58"/>
      <c r="AT327" s="26"/>
      <c r="AU327" s="58"/>
      <c r="AV327" s="58"/>
      <c r="AW327" s="58"/>
      <c r="AX327" s="58"/>
      <c r="AY327" s="71"/>
      <c r="AZ327" s="58"/>
      <c r="BA327" s="58"/>
      <c r="BB327" s="72" t="str">
        <f aca="false">IF(BA327&lt;&gt;"",VLOOKUP(BA327,Selects!$B$4:$C$100,2,0),"")</f>
        <v/>
      </c>
      <c r="BC327" s="26"/>
      <c r="BD327" s="26"/>
      <c r="BE327" s="73"/>
      <c r="BF327" s="74"/>
      <c r="BG327" s="75" t="str">
        <f aca="false">IF(LEN(BF327)=11,"PF",IF(LEN(BF327)=14,"PJ",""))</f>
        <v/>
      </c>
      <c r="BH327" s="66"/>
      <c r="BI327" s="58" t="str">
        <f aca="false">IF(BH327&lt;&gt;"",VLOOKUP(BH327,Selects!$G:$H,2,0),"")</f>
        <v/>
      </c>
      <c r="BJ327" s="58"/>
      <c r="BK327" s="58"/>
      <c r="BL327" s="59"/>
      <c r="BM327" s="58"/>
      <c r="BN327" s="58"/>
      <c r="BO327" s="58" t="str">
        <f aca="false">IF(BN327&lt;&gt;"",VLOOKUP(BN327,Selects!$J$4:$K$1000,2,0),"")</f>
        <v/>
      </c>
      <c r="BP327" s="76"/>
      <c r="BQ327" s="59"/>
      <c r="BR327" s="77"/>
      <c r="BS327" s="59"/>
      <c r="BT327" s="77"/>
      <c r="BU327" s="58"/>
      <c r="BV327" s="58"/>
      <c r="BW327" s="58"/>
      <c r="BX327" s="58"/>
      <c r="BY327" s="58"/>
      <c r="BZ327" s="58"/>
      <c r="CA327" s="58"/>
      <c r="CB327" s="72" t="str">
        <f aca="false">IF(AC327&lt;&gt;"",VLOOKUP(AC327,Selects!$B:$E,4,0),"")</f>
        <v/>
      </c>
      <c r="CC327" s="58"/>
      <c r="CD327" s="58"/>
      <c r="CE327" s="58"/>
    </row>
    <row r="328" customFormat="false" ht="15.75" hidden="false" customHeight="true" outlineLevel="0" collapsed="false">
      <c r="A328" s="17"/>
      <c r="B328" s="58"/>
      <c r="C328" s="58"/>
      <c r="D328" s="59"/>
      <c r="E328" s="60" t="str">
        <f aca="false">IF(LEN(D328)=11,"PF",IF(LEN(D328)=14,"PJ",""))</f>
        <v/>
      </c>
      <c r="F328" s="59"/>
      <c r="G328" s="59"/>
      <c r="H328" s="61" t="str">
        <f aca="false">IF(G328&lt;&gt;"",VLOOKUP(G328,'Cnae  mcc  id'!$A:$M,9,0),"")</f>
        <v/>
      </c>
      <c r="I328" s="62"/>
      <c r="J328" s="63" t="str">
        <f aca="false">IF(I328&lt;&gt;"",VLOOKUP(I328,'Legal Nature'!$E$2:$G$84,3,0),"")</f>
        <v/>
      </c>
      <c r="K328" s="64"/>
      <c r="L328" s="65"/>
      <c r="M328" s="66"/>
      <c r="N328" s="66"/>
      <c r="O328" s="79"/>
      <c r="P328" s="26"/>
      <c r="Q328" s="58"/>
      <c r="R328" s="58"/>
      <c r="S328" s="80"/>
      <c r="T328" s="68" t="str">
        <f aca="false">IF(LEFT(S328,1)="9","Celular",IF(S328="","","Fixo"))</f>
        <v/>
      </c>
      <c r="U328" s="58" t="str">
        <f aca="false">IF( T328&lt;&gt;"",VLOOKUP(T328,Selects!$M$4:$N$1000,2,0),"")</f>
        <v/>
      </c>
      <c r="V328" s="26"/>
      <c r="W328" s="58"/>
      <c r="X328" s="58"/>
      <c r="Y328" s="58"/>
      <c r="Z328" s="58"/>
      <c r="AA328" s="69"/>
      <c r="AB328" s="58"/>
      <c r="AC328" s="58"/>
      <c r="AD328" s="70" t="str">
        <f aca="false">IF(AC328&lt;&gt;"",VLOOKUP(AC328,Selects!$B$4:$C$100,2,0),"")</f>
        <v/>
      </c>
      <c r="AE328" s="26"/>
      <c r="AF328" s="58"/>
      <c r="AG328" s="59"/>
      <c r="AH328" s="65"/>
      <c r="AI328" s="66"/>
      <c r="AJ328" s="66"/>
      <c r="AK328" s="58"/>
      <c r="AL328" s="58"/>
      <c r="AM328" s="68" t="str">
        <f aca="false">IF(LEFT(AL328,1)="9","Celular",IF(AL328="","","Fixo"))</f>
        <v/>
      </c>
      <c r="AN328" s="58" t="str">
        <f aca="false">IF( AM328&lt;&gt;"",VLOOKUP(AM328,Selects!$M$4:$N$1000,2,0),"")</f>
        <v/>
      </c>
      <c r="AO328" s="58"/>
      <c r="AP328" s="59"/>
      <c r="AQ328" s="65"/>
      <c r="AR328" s="58"/>
      <c r="AS328" s="58"/>
      <c r="AT328" s="26"/>
      <c r="AU328" s="58"/>
      <c r="AV328" s="58"/>
      <c r="AW328" s="58"/>
      <c r="AX328" s="58"/>
      <c r="AY328" s="71"/>
      <c r="AZ328" s="58"/>
      <c r="BA328" s="58"/>
      <c r="BB328" s="72" t="str">
        <f aca="false">IF(BA328&lt;&gt;"",VLOOKUP(BA328,Selects!$B$4:$C$100,2,0),"")</f>
        <v/>
      </c>
      <c r="BC328" s="26"/>
      <c r="BD328" s="26"/>
      <c r="BE328" s="73"/>
      <c r="BF328" s="74"/>
      <c r="BG328" s="75" t="str">
        <f aca="false">IF(LEN(BF328)=11,"PF",IF(LEN(BF328)=14,"PJ",""))</f>
        <v/>
      </c>
      <c r="BH328" s="66"/>
      <c r="BI328" s="58" t="str">
        <f aca="false">IF(BH328&lt;&gt;"",VLOOKUP(BH328,Selects!$G:$H,2,0),"")</f>
        <v/>
      </c>
      <c r="BJ328" s="58"/>
      <c r="BK328" s="58"/>
      <c r="BL328" s="59"/>
      <c r="BM328" s="58"/>
      <c r="BN328" s="58"/>
      <c r="BO328" s="58" t="str">
        <f aca="false">IF(BN328&lt;&gt;"",VLOOKUP(BN328,Selects!$J$4:$K$1000,2,0),"")</f>
        <v/>
      </c>
      <c r="BP328" s="76"/>
      <c r="BQ328" s="59"/>
      <c r="BR328" s="77"/>
      <c r="BS328" s="59"/>
      <c r="BT328" s="77"/>
      <c r="BU328" s="58"/>
      <c r="BV328" s="58"/>
      <c r="BW328" s="58"/>
      <c r="BX328" s="58"/>
      <c r="BY328" s="58"/>
      <c r="BZ328" s="58"/>
      <c r="CA328" s="58"/>
      <c r="CB328" s="72" t="str">
        <f aca="false">IF(AC328&lt;&gt;"",VLOOKUP(AC328,Selects!$B:$E,4,0),"")</f>
        <v/>
      </c>
      <c r="CC328" s="58"/>
      <c r="CD328" s="58"/>
      <c r="CE328" s="58"/>
    </row>
    <row r="329" customFormat="false" ht="15.75" hidden="false" customHeight="true" outlineLevel="0" collapsed="false">
      <c r="A329" s="17"/>
      <c r="B329" s="58"/>
      <c r="C329" s="58"/>
      <c r="D329" s="59"/>
      <c r="E329" s="60" t="str">
        <f aca="false">IF(LEN(D329)=11,"PF",IF(LEN(D329)=14,"PJ",""))</f>
        <v/>
      </c>
      <c r="F329" s="59"/>
      <c r="G329" s="59"/>
      <c r="H329" s="61" t="str">
        <f aca="false">IF(G329&lt;&gt;"",VLOOKUP(G329,'Cnae  mcc  id'!$A:$M,9,0),"")</f>
        <v/>
      </c>
      <c r="I329" s="62"/>
      <c r="J329" s="63" t="str">
        <f aca="false">IF(I329&lt;&gt;"",VLOOKUP(I329,'Legal Nature'!$E$2:$G$84,3,0),"")</f>
        <v/>
      </c>
      <c r="K329" s="64"/>
      <c r="L329" s="65"/>
      <c r="M329" s="66"/>
      <c r="N329" s="66"/>
      <c r="O329" s="79"/>
      <c r="P329" s="26"/>
      <c r="Q329" s="58"/>
      <c r="R329" s="58"/>
      <c r="S329" s="80"/>
      <c r="T329" s="68" t="str">
        <f aca="false">IF(LEFT(S329,1)="9","Celular",IF(S329="","","Fixo"))</f>
        <v/>
      </c>
      <c r="U329" s="58" t="str">
        <f aca="false">IF( T329&lt;&gt;"",VLOOKUP(T329,Selects!$M$4:$N$1000,2,0),"")</f>
        <v/>
      </c>
      <c r="V329" s="26"/>
      <c r="W329" s="58"/>
      <c r="X329" s="58"/>
      <c r="Y329" s="58"/>
      <c r="Z329" s="58"/>
      <c r="AA329" s="69"/>
      <c r="AB329" s="58"/>
      <c r="AC329" s="58"/>
      <c r="AD329" s="70" t="str">
        <f aca="false">IF(AC329&lt;&gt;"",VLOOKUP(AC329,Selects!$B$4:$C$100,2,0),"")</f>
        <v/>
      </c>
      <c r="AE329" s="26"/>
      <c r="AF329" s="58"/>
      <c r="AG329" s="59"/>
      <c r="AH329" s="65"/>
      <c r="AI329" s="66"/>
      <c r="AJ329" s="66"/>
      <c r="AK329" s="58"/>
      <c r="AL329" s="58"/>
      <c r="AM329" s="68" t="str">
        <f aca="false">IF(LEFT(AL329,1)="9","Celular",IF(AL329="","","Fixo"))</f>
        <v/>
      </c>
      <c r="AN329" s="58" t="str">
        <f aca="false">IF( AM329&lt;&gt;"",VLOOKUP(AM329,Selects!$M$4:$N$1000,2,0),"")</f>
        <v/>
      </c>
      <c r="AO329" s="58"/>
      <c r="AP329" s="59"/>
      <c r="AQ329" s="65"/>
      <c r="AR329" s="58"/>
      <c r="AS329" s="58"/>
      <c r="AT329" s="26"/>
      <c r="AU329" s="58"/>
      <c r="AV329" s="58"/>
      <c r="AW329" s="58"/>
      <c r="AX329" s="58"/>
      <c r="AY329" s="71"/>
      <c r="AZ329" s="58"/>
      <c r="BA329" s="58"/>
      <c r="BB329" s="72" t="str">
        <f aca="false">IF(BA329&lt;&gt;"",VLOOKUP(BA329,Selects!$B$4:$C$100,2,0),"")</f>
        <v/>
      </c>
      <c r="BC329" s="26"/>
      <c r="BD329" s="26"/>
      <c r="BE329" s="73"/>
      <c r="BF329" s="74"/>
      <c r="BG329" s="75" t="str">
        <f aca="false">IF(LEN(BF329)=11,"PF",IF(LEN(BF329)=14,"PJ",""))</f>
        <v/>
      </c>
      <c r="BH329" s="66"/>
      <c r="BI329" s="58" t="str">
        <f aca="false">IF(BH329&lt;&gt;"",VLOOKUP(BH329,Selects!$G:$H,2,0),"")</f>
        <v/>
      </c>
      <c r="BJ329" s="58"/>
      <c r="BK329" s="58"/>
      <c r="BL329" s="59"/>
      <c r="BM329" s="58"/>
      <c r="BN329" s="58"/>
      <c r="BO329" s="58" t="str">
        <f aca="false">IF(BN329&lt;&gt;"",VLOOKUP(BN329,Selects!$J$4:$K$1000,2,0),"")</f>
        <v/>
      </c>
      <c r="BP329" s="76"/>
      <c r="BQ329" s="59"/>
      <c r="BR329" s="77"/>
      <c r="BS329" s="59"/>
      <c r="BT329" s="77"/>
      <c r="BU329" s="58"/>
      <c r="BV329" s="58"/>
      <c r="BW329" s="58"/>
      <c r="BX329" s="58"/>
      <c r="BY329" s="58"/>
      <c r="BZ329" s="58"/>
      <c r="CA329" s="58"/>
      <c r="CB329" s="72" t="str">
        <f aca="false">IF(AC329&lt;&gt;"",VLOOKUP(AC329,Selects!$B:$E,4,0),"")</f>
        <v/>
      </c>
      <c r="CC329" s="58"/>
      <c r="CD329" s="58"/>
      <c r="CE329" s="58"/>
    </row>
    <row r="330" customFormat="false" ht="15.75" hidden="false" customHeight="true" outlineLevel="0" collapsed="false">
      <c r="A330" s="17"/>
      <c r="B330" s="58"/>
      <c r="C330" s="58"/>
      <c r="D330" s="59"/>
      <c r="E330" s="60" t="str">
        <f aca="false">IF(LEN(D330)=11,"PF",IF(LEN(D330)=14,"PJ",""))</f>
        <v/>
      </c>
      <c r="F330" s="59"/>
      <c r="G330" s="59"/>
      <c r="H330" s="61" t="str">
        <f aca="false">IF(G330&lt;&gt;"",VLOOKUP(G330,'Cnae  mcc  id'!$A:$M,9,0),"")</f>
        <v/>
      </c>
      <c r="I330" s="62"/>
      <c r="J330" s="63" t="str">
        <f aca="false">IF(I330&lt;&gt;"",VLOOKUP(I330,'Legal Nature'!$E$2:$G$84,3,0),"")</f>
        <v/>
      </c>
      <c r="K330" s="64"/>
      <c r="L330" s="65"/>
      <c r="M330" s="66"/>
      <c r="N330" s="66"/>
      <c r="O330" s="79"/>
      <c r="P330" s="26"/>
      <c r="Q330" s="58"/>
      <c r="R330" s="58"/>
      <c r="S330" s="80"/>
      <c r="T330" s="68" t="str">
        <f aca="false">IF(LEFT(S330,1)="9","Celular",IF(S330="","","Fixo"))</f>
        <v/>
      </c>
      <c r="U330" s="58" t="str">
        <f aca="false">IF( T330&lt;&gt;"",VLOOKUP(T330,Selects!$M$4:$N$1000,2,0),"")</f>
        <v/>
      </c>
      <c r="V330" s="26"/>
      <c r="W330" s="58"/>
      <c r="X330" s="58"/>
      <c r="Y330" s="58"/>
      <c r="Z330" s="58"/>
      <c r="AA330" s="69"/>
      <c r="AB330" s="58"/>
      <c r="AC330" s="58"/>
      <c r="AD330" s="70" t="str">
        <f aca="false">IF(AC330&lt;&gt;"",VLOOKUP(AC330,Selects!$B$4:$C$100,2,0),"")</f>
        <v/>
      </c>
      <c r="AE330" s="26"/>
      <c r="AF330" s="58"/>
      <c r="AG330" s="59"/>
      <c r="AH330" s="65"/>
      <c r="AI330" s="66"/>
      <c r="AJ330" s="66"/>
      <c r="AK330" s="58"/>
      <c r="AL330" s="58"/>
      <c r="AM330" s="68" t="str">
        <f aca="false">IF(LEFT(AL330,1)="9","Celular",IF(AL330="","","Fixo"))</f>
        <v/>
      </c>
      <c r="AN330" s="58" t="str">
        <f aca="false">IF( AM330&lt;&gt;"",VLOOKUP(AM330,Selects!$M$4:$N$1000,2,0),"")</f>
        <v/>
      </c>
      <c r="AO330" s="58"/>
      <c r="AP330" s="59"/>
      <c r="AQ330" s="65"/>
      <c r="AR330" s="58"/>
      <c r="AS330" s="58"/>
      <c r="AT330" s="26"/>
      <c r="AU330" s="58"/>
      <c r="AV330" s="58"/>
      <c r="AW330" s="58"/>
      <c r="AX330" s="58"/>
      <c r="AY330" s="71"/>
      <c r="AZ330" s="58"/>
      <c r="BA330" s="58"/>
      <c r="BB330" s="72" t="str">
        <f aca="false">IF(BA330&lt;&gt;"",VLOOKUP(BA330,Selects!$B$4:$C$100,2,0),"")</f>
        <v/>
      </c>
      <c r="BC330" s="26"/>
      <c r="BD330" s="26"/>
      <c r="BE330" s="73"/>
      <c r="BF330" s="74"/>
      <c r="BG330" s="75" t="str">
        <f aca="false">IF(LEN(BF330)=11,"PF",IF(LEN(BF330)=14,"PJ",""))</f>
        <v/>
      </c>
      <c r="BH330" s="66"/>
      <c r="BI330" s="58" t="str">
        <f aca="false">IF(BH330&lt;&gt;"",VLOOKUP(BH330,Selects!$G:$H,2,0),"")</f>
        <v/>
      </c>
      <c r="BJ330" s="58"/>
      <c r="BK330" s="58"/>
      <c r="BL330" s="59"/>
      <c r="BM330" s="58"/>
      <c r="BN330" s="58"/>
      <c r="BO330" s="58" t="str">
        <f aca="false">IF(BN330&lt;&gt;"",VLOOKUP(BN330,Selects!$J$4:$K$1000,2,0),"")</f>
        <v/>
      </c>
      <c r="BP330" s="76"/>
      <c r="BQ330" s="59"/>
      <c r="BR330" s="77"/>
      <c r="BS330" s="59"/>
      <c r="BT330" s="77"/>
      <c r="BU330" s="58"/>
      <c r="BV330" s="58"/>
      <c r="BW330" s="58"/>
      <c r="BX330" s="58"/>
      <c r="BY330" s="58"/>
      <c r="BZ330" s="58"/>
      <c r="CA330" s="58"/>
      <c r="CB330" s="72" t="str">
        <f aca="false">IF(AC330&lt;&gt;"",VLOOKUP(AC330,Selects!$B:$E,4,0),"")</f>
        <v/>
      </c>
      <c r="CC330" s="58"/>
      <c r="CD330" s="58"/>
      <c r="CE330" s="58"/>
    </row>
    <row r="331" customFormat="false" ht="15.75" hidden="false" customHeight="true" outlineLevel="0" collapsed="false">
      <c r="A331" s="17"/>
      <c r="B331" s="58"/>
      <c r="C331" s="58"/>
      <c r="D331" s="59"/>
      <c r="E331" s="60" t="str">
        <f aca="false">IF(LEN(D331)=11,"PF",IF(LEN(D331)=14,"PJ",""))</f>
        <v/>
      </c>
      <c r="F331" s="59"/>
      <c r="G331" s="59"/>
      <c r="H331" s="61" t="str">
        <f aca="false">IF(G331&lt;&gt;"",VLOOKUP(G331,'Cnae  mcc  id'!$A:$M,9,0),"")</f>
        <v/>
      </c>
      <c r="I331" s="62"/>
      <c r="J331" s="63" t="str">
        <f aca="false">IF(I331&lt;&gt;"",VLOOKUP(I331,'Legal Nature'!$E$2:$G$84,3,0),"")</f>
        <v/>
      </c>
      <c r="K331" s="64"/>
      <c r="L331" s="65"/>
      <c r="M331" s="66"/>
      <c r="N331" s="66"/>
      <c r="O331" s="79"/>
      <c r="P331" s="26"/>
      <c r="Q331" s="58"/>
      <c r="R331" s="58"/>
      <c r="S331" s="80"/>
      <c r="T331" s="68" t="str">
        <f aca="false">IF(LEFT(S331,1)="9","Celular",IF(S331="","","Fixo"))</f>
        <v/>
      </c>
      <c r="U331" s="58" t="str">
        <f aca="false">IF( T331&lt;&gt;"",VLOOKUP(T331,Selects!$M$4:$N$1000,2,0),"")</f>
        <v/>
      </c>
      <c r="V331" s="26"/>
      <c r="W331" s="58"/>
      <c r="X331" s="58"/>
      <c r="Y331" s="58"/>
      <c r="Z331" s="58"/>
      <c r="AA331" s="69"/>
      <c r="AB331" s="58"/>
      <c r="AC331" s="58"/>
      <c r="AD331" s="70" t="str">
        <f aca="false">IF(AC331&lt;&gt;"",VLOOKUP(AC331,Selects!$B$4:$C$100,2,0),"")</f>
        <v/>
      </c>
      <c r="AE331" s="26"/>
      <c r="AF331" s="58"/>
      <c r="AG331" s="59"/>
      <c r="AH331" s="65"/>
      <c r="AI331" s="66"/>
      <c r="AJ331" s="66"/>
      <c r="AK331" s="58"/>
      <c r="AL331" s="58"/>
      <c r="AM331" s="68" t="str">
        <f aca="false">IF(LEFT(AL331,1)="9","Celular",IF(AL331="","","Fixo"))</f>
        <v/>
      </c>
      <c r="AN331" s="58" t="str">
        <f aca="false">IF( AM331&lt;&gt;"",VLOOKUP(AM331,Selects!$M$4:$N$1000,2,0),"")</f>
        <v/>
      </c>
      <c r="AO331" s="58"/>
      <c r="AP331" s="59"/>
      <c r="AQ331" s="65"/>
      <c r="AR331" s="58"/>
      <c r="AS331" s="58"/>
      <c r="AT331" s="26"/>
      <c r="AU331" s="58"/>
      <c r="AV331" s="58"/>
      <c r="AW331" s="58"/>
      <c r="AX331" s="58"/>
      <c r="AY331" s="71"/>
      <c r="AZ331" s="58"/>
      <c r="BA331" s="58"/>
      <c r="BB331" s="72" t="str">
        <f aca="false">IF(BA331&lt;&gt;"",VLOOKUP(BA331,Selects!$B$4:$C$100,2,0),"")</f>
        <v/>
      </c>
      <c r="BC331" s="26"/>
      <c r="BD331" s="26"/>
      <c r="BE331" s="73"/>
      <c r="BF331" s="74"/>
      <c r="BG331" s="75" t="str">
        <f aca="false">IF(LEN(BF331)=11,"PF",IF(LEN(BF331)=14,"PJ",""))</f>
        <v/>
      </c>
      <c r="BH331" s="66"/>
      <c r="BI331" s="58" t="str">
        <f aca="false">IF(BH331&lt;&gt;"",VLOOKUP(BH331,Selects!$G:$H,2,0),"")</f>
        <v/>
      </c>
      <c r="BJ331" s="58"/>
      <c r="BK331" s="58"/>
      <c r="BL331" s="59"/>
      <c r="BM331" s="58"/>
      <c r="BN331" s="58"/>
      <c r="BO331" s="58" t="str">
        <f aca="false">IF(BN331&lt;&gt;"",VLOOKUP(BN331,Selects!$J$4:$K$1000,2,0),"")</f>
        <v/>
      </c>
      <c r="BP331" s="76"/>
      <c r="BQ331" s="59"/>
      <c r="BR331" s="77"/>
      <c r="BS331" s="59"/>
      <c r="BT331" s="77"/>
      <c r="BU331" s="58"/>
      <c r="BV331" s="58"/>
      <c r="BW331" s="58"/>
      <c r="BX331" s="58"/>
      <c r="BY331" s="58"/>
      <c r="BZ331" s="58"/>
      <c r="CA331" s="58"/>
      <c r="CB331" s="72" t="str">
        <f aca="false">IF(AC331&lt;&gt;"",VLOOKUP(AC331,Selects!$B:$E,4,0),"")</f>
        <v/>
      </c>
      <c r="CC331" s="58"/>
      <c r="CD331" s="58"/>
      <c r="CE331" s="58"/>
    </row>
    <row r="332" customFormat="false" ht="15.75" hidden="false" customHeight="true" outlineLevel="0" collapsed="false">
      <c r="A332" s="17"/>
      <c r="B332" s="58"/>
      <c r="C332" s="58"/>
      <c r="D332" s="59"/>
      <c r="E332" s="60" t="str">
        <f aca="false">IF(LEN(D332)=11,"PF",IF(LEN(D332)=14,"PJ",""))</f>
        <v/>
      </c>
      <c r="F332" s="59"/>
      <c r="G332" s="59"/>
      <c r="H332" s="61" t="str">
        <f aca="false">IF(G332&lt;&gt;"",VLOOKUP(G332,'Cnae  mcc  id'!$A:$M,9,0),"")</f>
        <v/>
      </c>
      <c r="I332" s="62"/>
      <c r="J332" s="63" t="str">
        <f aca="false">IF(I332&lt;&gt;"",VLOOKUP(I332,'Legal Nature'!$E$2:$G$84,3,0),"")</f>
        <v/>
      </c>
      <c r="K332" s="64"/>
      <c r="L332" s="65"/>
      <c r="M332" s="66"/>
      <c r="N332" s="66"/>
      <c r="O332" s="79"/>
      <c r="P332" s="26"/>
      <c r="Q332" s="58"/>
      <c r="R332" s="58"/>
      <c r="S332" s="80"/>
      <c r="T332" s="68" t="str">
        <f aca="false">IF(LEFT(S332,1)="9","Celular",IF(S332="","","Fixo"))</f>
        <v/>
      </c>
      <c r="U332" s="58" t="str">
        <f aca="false">IF( T332&lt;&gt;"",VLOOKUP(T332,Selects!$M$4:$N$1000,2,0),"")</f>
        <v/>
      </c>
      <c r="V332" s="26"/>
      <c r="W332" s="58"/>
      <c r="X332" s="58"/>
      <c r="Y332" s="58"/>
      <c r="Z332" s="58"/>
      <c r="AA332" s="69"/>
      <c r="AB332" s="58"/>
      <c r="AC332" s="58"/>
      <c r="AD332" s="70" t="str">
        <f aca="false">IF(AC332&lt;&gt;"",VLOOKUP(AC332,Selects!$B$4:$C$100,2,0),"")</f>
        <v/>
      </c>
      <c r="AE332" s="26"/>
      <c r="AF332" s="58"/>
      <c r="AG332" s="59"/>
      <c r="AH332" s="65"/>
      <c r="AI332" s="66"/>
      <c r="AJ332" s="66"/>
      <c r="AK332" s="58"/>
      <c r="AL332" s="58"/>
      <c r="AM332" s="68" t="str">
        <f aca="false">IF(LEFT(AL332,1)="9","Celular",IF(AL332="","","Fixo"))</f>
        <v/>
      </c>
      <c r="AN332" s="58" t="str">
        <f aca="false">IF( AM332&lt;&gt;"",VLOOKUP(AM332,Selects!$M$4:$N$1000,2,0),"")</f>
        <v/>
      </c>
      <c r="AO332" s="58"/>
      <c r="AP332" s="59"/>
      <c r="AQ332" s="65"/>
      <c r="AR332" s="58"/>
      <c r="AS332" s="58"/>
      <c r="AT332" s="26"/>
      <c r="AU332" s="58"/>
      <c r="AV332" s="58"/>
      <c r="AW332" s="58"/>
      <c r="AX332" s="58"/>
      <c r="AY332" s="71"/>
      <c r="AZ332" s="58"/>
      <c r="BA332" s="58"/>
      <c r="BB332" s="72" t="str">
        <f aca="false">IF(BA332&lt;&gt;"",VLOOKUP(BA332,Selects!$B$4:$C$100,2,0),"")</f>
        <v/>
      </c>
      <c r="BC332" s="26"/>
      <c r="BD332" s="26"/>
      <c r="BE332" s="73"/>
      <c r="BF332" s="74"/>
      <c r="BG332" s="75" t="str">
        <f aca="false">IF(LEN(BF332)=11,"PF",IF(LEN(BF332)=14,"PJ",""))</f>
        <v/>
      </c>
      <c r="BH332" s="66"/>
      <c r="BI332" s="58" t="str">
        <f aca="false">IF(BH332&lt;&gt;"",VLOOKUP(BH332,Selects!$G:$H,2,0),"")</f>
        <v/>
      </c>
      <c r="BJ332" s="58"/>
      <c r="BK332" s="58"/>
      <c r="BL332" s="59"/>
      <c r="BM332" s="58"/>
      <c r="BN332" s="58"/>
      <c r="BO332" s="58" t="str">
        <f aca="false">IF(BN332&lt;&gt;"",VLOOKUP(BN332,Selects!$J$4:$K$1000,2,0),"")</f>
        <v/>
      </c>
      <c r="BP332" s="76"/>
      <c r="BQ332" s="59"/>
      <c r="BR332" s="77"/>
      <c r="BS332" s="59"/>
      <c r="BT332" s="77"/>
      <c r="BU332" s="58"/>
      <c r="BV332" s="58"/>
      <c r="BW332" s="58"/>
      <c r="BX332" s="58"/>
      <c r="BY332" s="58"/>
      <c r="BZ332" s="58"/>
      <c r="CA332" s="58"/>
      <c r="CB332" s="72" t="str">
        <f aca="false">IF(AC332&lt;&gt;"",VLOOKUP(AC332,Selects!$B:$E,4,0),"")</f>
        <v/>
      </c>
      <c r="CC332" s="58"/>
      <c r="CD332" s="58"/>
      <c r="CE332" s="58"/>
    </row>
    <row r="333" customFormat="false" ht="15.75" hidden="false" customHeight="true" outlineLevel="0" collapsed="false">
      <c r="A333" s="17"/>
      <c r="B333" s="58"/>
      <c r="C333" s="58"/>
      <c r="D333" s="59"/>
      <c r="E333" s="60" t="str">
        <f aca="false">IF(LEN(D333)=11,"PF",IF(LEN(D333)=14,"PJ",""))</f>
        <v/>
      </c>
      <c r="F333" s="59"/>
      <c r="G333" s="59"/>
      <c r="H333" s="61" t="str">
        <f aca="false">IF(G333&lt;&gt;"",VLOOKUP(G333,'Cnae  mcc  id'!$A:$M,9,0),"")</f>
        <v/>
      </c>
      <c r="I333" s="62"/>
      <c r="J333" s="63" t="str">
        <f aca="false">IF(I333&lt;&gt;"",VLOOKUP(I333,'Legal Nature'!$E$2:$G$84,3,0),"")</f>
        <v/>
      </c>
      <c r="K333" s="64"/>
      <c r="L333" s="65"/>
      <c r="M333" s="66"/>
      <c r="N333" s="66"/>
      <c r="O333" s="79"/>
      <c r="P333" s="26"/>
      <c r="Q333" s="58"/>
      <c r="R333" s="58"/>
      <c r="S333" s="80"/>
      <c r="T333" s="68" t="str">
        <f aca="false">IF(LEFT(S333,1)="9","Celular",IF(S333="","","Fixo"))</f>
        <v/>
      </c>
      <c r="U333" s="58" t="str">
        <f aca="false">IF( T333&lt;&gt;"",VLOOKUP(T333,Selects!$M$4:$N$1000,2,0),"")</f>
        <v/>
      </c>
      <c r="V333" s="26"/>
      <c r="W333" s="58"/>
      <c r="X333" s="58"/>
      <c r="Y333" s="58"/>
      <c r="Z333" s="58"/>
      <c r="AA333" s="69"/>
      <c r="AB333" s="58"/>
      <c r="AC333" s="58"/>
      <c r="AD333" s="70" t="str">
        <f aca="false">IF(AC333&lt;&gt;"",VLOOKUP(AC333,Selects!$B$4:$C$100,2,0),"")</f>
        <v/>
      </c>
      <c r="AE333" s="26"/>
      <c r="AF333" s="58"/>
      <c r="AG333" s="59"/>
      <c r="AH333" s="65"/>
      <c r="AI333" s="66"/>
      <c r="AJ333" s="66"/>
      <c r="AK333" s="58"/>
      <c r="AL333" s="58"/>
      <c r="AM333" s="68" t="str">
        <f aca="false">IF(LEFT(AL333,1)="9","Celular",IF(AL333="","","Fixo"))</f>
        <v/>
      </c>
      <c r="AN333" s="58" t="str">
        <f aca="false">IF( AM333&lt;&gt;"",VLOOKUP(AM333,Selects!$M$4:$N$1000,2,0),"")</f>
        <v/>
      </c>
      <c r="AO333" s="58"/>
      <c r="AP333" s="59"/>
      <c r="AQ333" s="65"/>
      <c r="AR333" s="58"/>
      <c r="AS333" s="58"/>
      <c r="AT333" s="26"/>
      <c r="AU333" s="58"/>
      <c r="AV333" s="58"/>
      <c r="AW333" s="58"/>
      <c r="AX333" s="58"/>
      <c r="AY333" s="71"/>
      <c r="AZ333" s="58"/>
      <c r="BA333" s="58"/>
      <c r="BB333" s="72" t="str">
        <f aca="false">IF(BA333&lt;&gt;"",VLOOKUP(BA333,Selects!$B$4:$C$100,2,0),"")</f>
        <v/>
      </c>
      <c r="BC333" s="26"/>
      <c r="BD333" s="26"/>
      <c r="BE333" s="73"/>
      <c r="BF333" s="74"/>
      <c r="BG333" s="75" t="str">
        <f aca="false">IF(LEN(BF333)=11,"PF",IF(LEN(BF333)=14,"PJ",""))</f>
        <v/>
      </c>
      <c r="BH333" s="66"/>
      <c r="BI333" s="58" t="str">
        <f aca="false">IF(BH333&lt;&gt;"",VLOOKUP(BH333,Selects!$G:$H,2,0),"")</f>
        <v/>
      </c>
      <c r="BJ333" s="58"/>
      <c r="BK333" s="58"/>
      <c r="BL333" s="59"/>
      <c r="BM333" s="58"/>
      <c r="BN333" s="58"/>
      <c r="BO333" s="58" t="str">
        <f aca="false">IF(BN333&lt;&gt;"",VLOOKUP(BN333,Selects!$J$4:$K$1000,2,0),"")</f>
        <v/>
      </c>
      <c r="BP333" s="76"/>
      <c r="BQ333" s="59"/>
      <c r="BR333" s="77"/>
      <c r="BS333" s="59"/>
      <c r="BT333" s="77"/>
      <c r="BU333" s="58"/>
      <c r="BV333" s="58"/>
      <c r="BW333" s="58"/>
      <c r="BX333" s="58"/>
      <c r="BY333" s="58"/>
      <c r="BZ333" s="58"/>
      <c r="CA333" s="58"/>
      <c r="CB333" s="72" t="str">
        <f aca="false">IF(AC333&lt;&gt;"",VLOOKUP(AC333,Selects!$B:$E,4,0),"")</f>
        <v/>
      </c>
      <c r="CC333" s="58"/>
      <c r="CD333" s="58"/>
      <c r="CE333" s="58"/>
    </row>
    <row r="334" customFormat="false" ht="15.75" hidden="false" customHeight="true" outlineLevel="0" collapsed="false">
      <c r="A334" s="17"/>
      <c r="B334" s="58"/>
      <c r="C334" s="58"/>
      <c r="D334" s="59"/>
      <c r="E334" s="60" t="str">
        <f aca="false">IF(LEN(D334)=11,"PF",IF(LEN(D334)=14,"PJ",""))</f>
        <v/>
      </c>
      <c r="F334" s="59"/>
      <c r="G334" s="59"/>
      <c r="H334" s="61" t="str">
        <f aca="false">IF(G334&lt;&gt;"",VLOOKUP(G334,'Cnae  mcc  id'!$A:$M,9,0),"")</f>
        <v/>
      </c>
      <c r="I334" s="62"/>
      <c r="J334" s="63" t="str">
        <f aca="false">IF(I334&lt;&gt;"",VLOOKUP(I334,'Legal Nature'!$E$2:$G$84,3,0),"")</f>
        <v/>
      </c>
      <c r="K334" s="64"/>
      <c r="L334" s="65"/>
      <c r="M334" s="66"/>
      <c r="N334" s="66"/>
      <c r="O334" s="79"/>
      <c r="P334" s="26"/>
      <c r="Q334" s="58"/>
      <c r="R334" s="58"/>
      <c r="S334" s="80"/>
      <c r="T334" s="68" t="str">
        <f aca="false">IF(LEFT(S334,1)="9","Celular",IF(S334="","","Fixo"))</f>
        <v/>
      </c>
      <c r="U334" s="58" t="str">
        <f aca="false">IF( T334&lt;&gt;"",VLOOKUP(T334,Selects!$M$4:$N$1000,2,0),"")</f>
        <v/>
      </c>
      <c r="V334" s="26"/>
      <c r="W334" s="58"/>
      <c r="X334" s="58"/>
      <c r="Y334" s="58"/>
      <c r="Z334" s="58"/>
      <c r="AA334" s="69"/>
      <c r="AB334" s="58"/>
      <c r="AC334" s="58"/>
      <c r="AD334" s="70" t="str">
        <f aca="false">IF(AC334&lt;&gt;"",VLOOKUP(AC334,Selects!$B$4:$C$100,2,0),"")</f>
        <v/>
      </c>
      <c r="AE334" s="26"/>
      <c r="AF334" s="58"/>
      <c r="AG334" s="59"/>
      <c r="AH334" s="65"/>
      <c r="AI334" s="66"/>
      <c r="AJ334" s="66"/>
      <c r="AK334" s="58"/>
      <c r="AL334" s="58"/>
      <c r="AM334" s="68" t="str">
        <f aca="false">IF(LEFT(AL334,1)="9","Celular",IF(AL334="","","Fixo"))</f>
        <v/>
      </c>
      <c r="AN334" s="58" t="str">
        <f aca="false">IF( AM334&lt;&gt;"",VLOOKUP(AM334,Selects!$M$4:$N$1000,2,0),"")</f>
        <v/>
      </c>
      <c r="AO334" s="58"/>
      <c r="AP334" s="59"/>
      <c r="AQ334" s="65"/>
      <c r="AR334" s="58"/>
      <c r="AS334" s="58"/>
      <c r="AT334" s="26"/>
      <c r="AU334" s="58"/>
      <c r="AV334" s="58"/>
      <c r="AW334" s="58"/>
      <c r="AX334" s="58"/>
      <c r="AY334" s="71"/>
      <c r="AZ334" s="58"/>
      <c r="BA334" s="58"/>
      <c r="BB334" s="72" t="str">
        <f aca="false">IF(BA334&lt;&gt;"",VLOOKUP(BA334,Selects!$B$4:$C$100,2,0),"")</f>
        <v/>
      </c>
      <c r="BC334" s="26"/>
      <c r="BD334" s="26"/>
      <c r="BE334" s="73"/>
      <c r="BF334" s="74"/>
      <c r="BG334" s="75" t="str">
        <f aca="false">IF(LEN(BF334)=11,"PF",IF(LEN(BF334)=14,"PJ",""))</f>
        <v/>
      </c>
      <c r="BH334" s="66"/>
      <c r="BI334" s="58" t="str">
        <f aca="false">IF(BH334&lt;&gt;"",VLOOKUP(BH334,Selects!$G:$H,2,0),"")</f>
        <v/>
      </c>
      <c r="BJ334" s="58"/>
      <c r="BK334" s="58"/>
      <c r="BL334" s="59"/>
      <c r="BM334" s="58"/>
      <c r="BN334" s="58"/>
      <c r="BO334" s="58" t="str">
        <f aca="false">IF(BN334&lt;&gt;"",VLOOKUP(BN334,Selects!$J$4:$K$1000,2,0),"")</f>
        <v/>
      </c>
      <c r="BP334" s="76"/>
      <c r="BQ334" s="59"/>
      <c r="BR334" s="77"/>
      <c r="BS334" s="59"/>
      <c r="BT334" s="77"/>
      <c r="BU334" s="58"/>
      <c r="BV334" s="58"/>
      <c r="BW334" s="58"/>
      <c r="BX334" s="58"/>
      <c r="BY334" s="58"/>
      <c r="BZ334" s="58"/>
      <c r="CA334" s="58"/>
      <c r="CB334" s="72" t="str">
        <f aca="false">IF(AC334&lt;&gt;"",VLOOKUP(AC334,Selects!$B:$E,4,0),"")</f>
        <v/>
      </c>
      <c r="CC334" s="58"/>
      <c r="CD334" s="58"/>
      <c r="CE334" s="58"/>
    </row>
    <row r="335" customFormat="false" ht="15.75" hidden="false" customHeight="true" outlineLevel="0" collapsed="false">
      <c r="A335" s="17"/>
      <c r="B335" s="58"/>
      <c r="C335" s="58"/>
      <c r="D335" s="59"/>
      <c r="E335" s="60" t="str">
        <f aca="false">IF(LEN(D335)=11,"PF",IF(LEN(D335)=14,"PJ",""))</f>
        <v/>
      </c>
      <c r="F335" s="59"/>
      <c r="G335" s="59"/>
      <c r="H335" s="61" t="str">
        <f aca="false">IF(G335&lt;&gt;"",VLOOKUP(G335,'Cnae  mcc  id'!$A:$M,9,0),"")</f>
        <v/>
      </c>
      <c r="I335" s="62"/>
      <c r="J335" s="63" t="str">
        <f aca="false">IF(I335&lt;&gt;"",VLOOKUP(I335,'Legal Nature'!$E$2:$G$84,3,0),"")</f>
        <v/>
      </c>
      <c r="K335" s="64"/>
      <c r="L335" s="65"/>
      <c r="M335" s="66"/>
      <c r="N335" s="66"/>
      <c r="O335" s="79"/>
      <c r="P335" s="26"/>
      <c r="Q335" s="58"/>
      <c r="R335" s="58"/>
      <c r="S335" s="80"/>
      <c r="T335" s="68" t="str">
        <f aca="false">IF(LEFT(S335,1)="9","Celular",IF(S335="","","Fixo"))</f>
        <v/>
      </c>
      <c r="U335" s="58" t="str">
        <f aca="false">IF( T335&lt;&gt;"",VLOOKUP(T335,Selects!$M$4:$N$1000,2,0),"")</f>
        <v/>
      </c>
      <c r="V335" s="26"/>
      <c r="W335" s="58"/>
      <c r="X335" s="58"/>
      <c r="Y335" s="58"/>
      <c r="Z335" s="58"/>
      <c r="AA335" s="69"/>
      <c r="AB335" s="58"/>
      <c r="AC335" s="58"/>
      <c r="AD335" s="70" t="str">
        <f aca="false">IF(AC335&lt;&gt;"",VLOOKUP(AC335,Selects!$B$4:$C$100,2,0),"")</f>
        <v/>
      </c>
      <c r="AE335" s="26"/>
      <c r="AF335" s="58"/>
      <c r="AG335" s="59"/>
      <c r="AH335" s="65"/>
      <c r="AI335" s="66"/>
      <c r="AJ335" s="66"/>
      <c r="AK335" s="58"/>
      <c r="AL335" s="58"/>
      <c r="AM335" s="68" t="str">
        <f aca="false">IF(LEFT(AL335,1)="9","Celular",IF(AL335="","","Fixo"))</f>
        <v/>
      </c>
      <c r="AN335" s="58" t="str">
        <f aca="false">IF( AM335&lt;&gt;"",VLOOKUP(AM335,Selects!$M$4:$N$1000,2,0),"")</f>
        <v/>
      </c>
      <c r="AO335" s="58"/>
      <c r="AP335" s="59"/>
      <c r="AQ335" s="65"/>
      <c r="AR335" s="58"/>
      <c r="AS335" s="58"/>
      <c r="AT335" s="26"/>
      <c r="AU335" s="58"/>
      <c r="AV335" s="58"/>
      <c r="AW335" s="58"/>
      <c r="AX335" s="58"/>
      <c r="AY335" s="71"/>
      <c r="AZ335" s="58"/>
      <c r="BA335" s="58"/>
      <c r="BB335" s="72" t="str">
        <f aca="false">IF(BA335&lt;&gt;"",VLOOKUP(BA335,Selects!$B$4:$C$100,2,0),"")</f>
        <v/>
      </c>
      <c r="BC335" s="26"/>
      <c r="BD335" s="26"/>
      <c r="BE335" s="73"/>
      <c r="BF335" s="74"/>
      <c r="BG335" s="75" t="str">
        <f aca="false">IF(LEN(BF335)=11,"PF",IF(LEN(BF335)=14,"PJ",""))</f>
        <v/>
      </c>
      <c r="BH335" s="66"/>
      <c r="BI335" s="58" t="str">
        <f aca="false">IF(BH335&lt;&gt;"",VLOOKUP(BH335,Selects!$G:$H,2,0),"")</f>
        <v/>
      </c>
      <c r="BJ335" s="58"/>
      <c r="BK335" s="58"/>
      <c r="BL335" s="59"/>
      <c r="BM335" s="58"/>
      <c r="BN335" s="58"/>
      <c r="BO335" s="58" t="str">
        <f aca="false">IF(BN335&lt;&gt;"",VLOOKUP(BN335,Selects!$J$4:$K$1000,2,0),"")</f>
        <v/>
      </c>
      <c r="BP335" s="76"/>
      <c r="BQ335" s="59"/>
      <c r="BR335" s="77"/>
      <c r="BS335" s="59"/>
      <c r="BT335" s="77"/>
      <c r="BU335" s="58"/>
      <c r="BV335" s="58"/>
      <c r="BW335" s="58"/>
      <c r="BX335" s="58"/>
      <c r="BY335" s="58"/>
      <c r="BZ335" s="58"/>
      <c r="CA335" s="58"/>
      <c r="CB335" s="72" t="str">
        <f aca="false">IF(AC335&lt;&gt;"",VLOOKUP(AC335,Selects!$B:$E,4,0),"")</f>
        <v/>
      </c>
      <c r="CC335" s="58"/>
      <c r="CD335" s="58"/>
      <c r="CE335" s="58"/>
    </row>
    <row r="336" customFormat="false" ht="15.75" hidden="false" customHeight="true" outlineLevel="0" collapsed="false">
      <c r="A336" s="17"/>
      <c r="B336" s="58"/>
      <c r="C336" s="58"/>
      <c r="D336" s="59"/>
      <c r="E336" s="60" t="str">
        <f aca="false">IF(LEN(D336)=11,"PF",IF(LEN(D336)=14,"PJ",""))</f>
        <v/>
      </c>
      <c r="F336" s="59"/>
      <c r="G336" s="59"/>
      <c r="H336" s="61" t="str">
        <f aca="false">IF(G336&lt;&gt;"",VLOOKUP(G336,'Cnae  mcc  id'!$A:$M,9,0),"")</f>
        <v/>
      </c>
      <c r="I336" s="62"/>
      <c r="J336" s="63" t="str">
        <f aca="false">IF(I336&lt;&gt;"",VLOOKUP(I336,'Legal Nature'!$E$2:$G$84,3,0),"")</f>
        <v/>
      </c>
      <c r="K336" s="64"/>
      <c r="L336" s="65"/>
      <c r="M336" s="66"/>
      <c r="N336" s="66"/>
      <c r="O336" s="79"/>
      <c r="P336" s="26"/>
      <c r="Q336" s="58"/>
      <c r="R336" s="58"/>
      <c r="S336" s="80"/>
      <c r="T336" s="68" t="str">
        <f aca="false">IF(LEFT(S336,1)="9","Celular",IF(S336="","","Fixo"))</f>
        <v/>
      </c>
      <c r="U336" s="58" t="str">
        <f aca="false">IF( T336&lt;&gt;"",VLOOKUP(T336,Selects!$M$4:$N$1000,2,0),"")</f>
        <v/>
      </c>
      <c r="V336" s="26"/>
      <c r="W336" s="58"/>
      <c r="X336" s="58"/>
      <c r="Y336" s="58"/>
      <c r="Z336" s="58"/>
      <c r="AA336" s="69"/>
      <c r="AB336" s="58"/>
      <c r="AC336" s="58"/>
      <c r="AD336" s="70" t="str">
        <f aca="false">IF(AC336&lt;&gt;"",VLOOKUP(AC336,Selects!$B$4:$C$100,2,0),"")</f>
        <v/>
      </c>
      <c r="AE336" s="26"/>
      <c r="AF336" s="58"/>
      <c r="AG336" s="59"/>
      <c r="AH336" s="65"/>
      <c r="AI336" s="66"/>
      <c r="AJ336" s="66"/>
      <c r="AK336" s="58"/>
      <c r="AL336" s="58"/>
      <c r="AM336" s="68" t="str">
        <f aca="false">IF(LEFT(AL336,1)="9","Celular",IF(AL336="","","Fixo"))</f>
        <v/>
      </c>
      <c r="AN336" s="58" t="str">
        <f aca="false">IF( AM336&lt;&gt;"",VLOOKUP(AM336,Selects!$M$4:$N$1000,2,0),"")</f>
        <v/>
      </c>
      <c r="AO336" s="58"/>
      <c r="AP336" s="59"/>
      <c r="AQ336" s="65"/>
      <c r="AR336" s="58"/>
      <c r="AS336" s="58"/>
      <c r="AT336" s="26"/>
      <c r="AU336" s="58"/>
      <c r="AV336" s="58"/>
      <c r="AW336" s="58"/>
      <c r="AX336" s="58"/>
      <c r="AY336" s="71"/>
      <c r="AZ336" s="58"/>
      <c r="BA336" s="58"/>
      <c r="BB336" s="72" t="str">
        <f aca="false">IF(BA336&lt;&gt;"",VLOOKUP(BA336,Selects!$B$4:$C$100,2,0),"")</f>
        <v/>
      </c>
      <c r="BC336" s="26"/>
      <c r="BD336" s="26"/>
      <c r="BE336" s="73"/>
      <c r="BF336" s="74"/>
      <c r="BG336" s="75" t="str">
        <f aca="false">IF(LEN(BF336)=11,"PF",IF(LEN(BF336)=14,"PJ",""))</f>
        <v/>
      </c>
      <c r="BH336" s="66"/>
      <c r="BI336" s="58" t="str">
        <f aca="false">IF(BH336&lt;&gt;"",VLOOKUP(BH336,Selects!$G:$H,2,0),"")</f>
        <v/>
      </c>
      <c r="BJ336" s="58"/>
      <c r="BK336" s="58"/>
      <c r="BL336" s="59"/>
      <c r="BM336" s="58"/>
      <c r="BN336" s="58"/>
      <c r="BO336" s="58" t="str">
        <f aca="false">IF(BN336&lt;&gt;"",VLOOKUP(BN336,Selects!$J$4:$K$1000,2,0),"")</f>
        <v/>
      </c>
      <c r="BP336" s="76"/>
      <c r="BQ336" s="59"/>
      <c r="BR336" s="77"/>
      <c r="BS336" s="59"/>
      <c r="BT336" s="77"/>
      <c r="BU336" s="58"/>
      <c r="BV336" s="58"/>
      <c r="BW336" s="58"/>
      <c r="BX336" s="58"/>
      <c r="BY336" s="58"/>
      <c r="BZ336" s="58"/>
      <c r="CA336" s="58"/>
      <c r="CB336" s="72" t="str">
        <f aca="false">IF(AC336&lt;&gt;"",VLOOKUP(AC336,Selects!$B:$E,4,0),"")</f>
        <v/>
      </c>
      <c r="CC336" s="58"/>
      <c r="CD336" s="58"/>
      <c r="CE336" s="58"/>
    </row>
    <row r="337" customFormat="false" ht="15.75" hidden="false" customHeight="true" outlineLevel="0" collapsed="false">
      <c r="A337" s="17"/>
      <c r="B337" s="58"/>
      <c r="C337" s="58"/>
      <c r="D337" s="59"/>
      <c r="E337" s="60" t="str">
        <f aca="false">IF(LEN(D337)=11,"PF",IF(LEN(D337)=14,"PJ",""))</f>
        <v/>
      </c>
      <c r="F337" s="59"/>
      <c r="G337" s="59"/>
      <c r="H337" s="61" t="str">
        <f aca="false">IF(G337&lt;&gt;"",VLOOKUP(G337,'Cnae  mcc  id'!$A:$M,9,0),"")</f>
        <v/>
      </c>
      <c r="I337" s="62"/>
      <c r="J337" s="63" t="str">
        <f aca="false">IF(I337&lt;&gt;"",VLOOKUP(I337,'Legal Nature'!$E$2:$G$84,3,0),"")</f>
        <v/>
      </c>
      <c r="K337" s="64"/>
      <c r="L337" s="65"/>
      <c r="M337" s="66"/>
      <c r="N337" s="66"/>
      <c r="O337" s="79"/>
      <c r="P337" s="26"/>
      <c r="Q337" s="58"/>
      <c r="R337" s="58"/>
      <c r="S337" s="80"/>
      <c r="T337" s="68" t="str">
        <f aca="false">IF(LEFT(S337,1)="9","Celular",IF(S337="","","Fixo"))</f>
        <v/>
      </c>
      <c r="U337" s="58" t="str">
        <f aca="false">IF( T337&lt;&gt;"",VLOOKUP(T337,Selects!$M$4:$N$1000,2,0),"")</f>
        <v/>
      </c>
      <c r="V337" s="26"/>
      <c r="W337" s="58"/>
      <c r="X337" s="58"/>
      <c r="Y337" s="58"/>
      <c r="Z337" s="58"/>
      <c r="AA337" s="69"/>
      <c r="AB337" s="58"/>
      <c r="AC337" s="58"/>
      <c r="AD337" s="70" t="str">
        <f aca="false">IF(AC337&lt;&gt;"",VLOOKUP(AC337,Selects!$B$4:$C$100,2,0),"")</f>
        <v/>
      </c>
      <c r="AE337" s="26"/>
      <c r="AF337" s="58"/>
      <c r="AG337" s="59"/>
      <c r="AH337" s="65"/>
      <c r="AI337" s="66"/>
      <c r="AJ337" s="66"/>
      <c r="AK337" s="58"/>
      <c r="AL337" s="58"/>
      <c r="AM337" s="68" t="str">
        <f aca="false">IF(LEFT(AL337,1)="9","Celular",IF(AL337="","","Fixo"))</f>
        <v/>
      </c>
      <c r="AN337" s="58" t="str">
        <f aca="false">IF( AM337&lt;&gt;"",VLOOKUP(AM337,Selects!$M$4:$N$1000,2,0),"")</f>
        <v/>
      </c>
      <c r="AO337" s="58"/>
      <c r="AP337" s="59"/>
      <c r="AQ337" s="65"/>
      <c r="AR337" s="58"/>
      <c r="AS337" s="58"/>
      <c r="AT337" s="26"/>
      <c r="AU337" s="58"/>
      <c r="AV337" s="58"/>
      <c r="AW337" s="58"/>
      <c r="AX337" s="58"/>
      <c r="AY337" s="71"/>
      <c r="AZ337" s="58"/>
      <c r="BA337" s="58"/>
      <c r="BB337" s="72" t="str">
        <f aca="false">IF(BA337&lt;&gt;"",VLOOKUP(BA337,Selects!$B$4:$C$100,2,0),"")</f>
        <v/>
      </c>
      <c r="BC337" s="26"/>
      <c r="BD337" s="26"/>
      <c r="BE337" s="73"/>
      <c r="BF337" s="74"/>
      <c r="BG337" s="75" t="str">
        <f aca="false">IF(LEN(BF337)=11,"PF",IF(LEN(BF337)=14,"PJ",""))</f>
        <v/>
      </c>
      <c r="BH337" s="66"/>
      <c r="BI337" s="58" t="str">
        <f aca="false">IF(BH337&lt;&gt;"",VLOOKUP(BH337,Selects!$G:$H,2,0),"")</f>
        <v/>
      </c>
      <c r="BJ337" s="58"/>
      <c r="BK337" s="58"/>
      <c r="BL337" s="59"/>
      <c r="BM337" s="58"/>
      <c r="BN337" s="58"/>
      <c r="BO337" s="58" t="str">
        <f aca="false">IF(BN337&lt;&gt;"",VLOOKUP(BN337,Selects!$J$4:$K$1000,2,0),"")</f>
        <v/>
      </c>
      <c r="BP337" s="76"/>
      <c r="BQ337" s="59"/>
      <c r="BR337" s="77"/>
      <c r="BS337" s="59"/>
      <c r="BT337" s="77"/>
      <c r="BU337" s="58"/>
      <c r="BV337" s="58"/>
      <c r="BW337" s="58"/>
      <c r="BX337" s="58"/>
      <c r="BY337" s="58"/>
      <c r="BZ337" s="58"/>
      <c r="CA337" s="58"/>
      <c r="CB337" s="72" t="str">
        <f aca="false">IF(AC337&lt;&gt;"",VLOOKUP(AC337,Selects!$B:$E,4,0),"")</f>
        <v/>
      </c>
      <c r="CC337" s="58"/>
      <c r="CD337" s="58"/>
      <c r="CE337" s="58"/>
    </row>
    <row r="338" customFormat="false" ht="15.75" hidden="false" customHeight="true" outlineLevel="0" collapsed="false">
      <c r="A338" s="17"/>
      <c r="B338" s="58"/>
      <c r="C338" s="58"/>
      <c r="D338" s="59"/>
      <c r="E338" s="60" t="str">
        <f aca="false">IF(LEN(D338)=11,"PF",IF(LEN(D338)=14,"PJ",""))</f>
        <v/>
      </c>
      <c r="F338" s="59"/>
      <c r="G338" s="59"/>
      <c r="H338" s="61" t="str">
        <f aca="false">IF(G338&lt;&gt;"",VLOOKUP(G338,'Cnae  mcc  id'!$A:$M,9,0),"")</f>
        <v/>
      </c>
      <c r="I338" s="62"/>
      <c r="J338" s="63" t="str">
        <f aca="false">IF(I338&lt;&gt;"",VLOOKUP(I338,'Legal Nature'!$E$2:$G$84,3,0),"")</f>
        <v/>
      </c>
      <c r="K338" s="64"/>
      <c r="L338" s="65"/>
      <c r="M338" s="66"/>
      <c r="N338" s="66"/>
      <c r="O338" s="79"/>
      <c r="P338" s="26"/>
      <c r="Q338" s="58"/>
      <c r="R338" s="58"/>
      <c r="S338" s="80"/>
      <c r="T338" s="68" t="str">
        <f aca="false">IF(LEFT(S338,1)="9","Celular",IF(S338="","","Fixo"))</f>
        <v/>
      </c>
      <c r="U338" s="58" t="str">
        <f aca="false">IF( T338&lt;&gt;"",VLOOKUP(T338,Selects!$M$4:$N$1000,2,0),"")</f>
        <v/>
      </c>
      <c r="V338" s="26"/>
      <c r="W338" s="58"/>
      <c r="X338" s="58"/>
      <c r="Y338" s="58"/>
      <c r="Z338" s="58"/>
      <c r="AA338" s="69"/>
      <c r="AB338" s="58"/>
      <c r="AC338" s="58"/>
      <c r="AD338" s="70" t="str">
        <f aca="false">IF(AC338&lt;&gt;"",VLOOKUP(AC338,Selects!$B$4:$C$100,2,0),"")</f>
        <v/>
      </c>
      <c r="AE338" s="26"/>
      <c r="AF338" s="58"/>
      <c r="AG338" s="59"/>
      <c r="AH338" s="65"/>
      <c r="AI338" s="66"/>
      <c r="AJ338" s="66"/>
      <c r="AK338" s="58"/>
      <c r="AL338" s="58"/>
      <c r="AM338" s="68" t="str">
        <f aca="false">IF(LEFT(AL338,1)="9","Celular",IF(AL338="","","Fixo"))</f>
        <v/>
      </c>
      <c r="AN338" s="58" t="str">
        <f aca="false">IF( AM338&lt;&gt;"",VLOOKUP(AM338,Selects!$M$4:$N$1000,2,0),"")</f>
        <v/>
      </c>
      <c r="AO338" s="58"/>
      <c r="AP338" s="59"/>
      <c r="AQ338" s="65"/>
      <c r="AR338" s="58"/>
      <c r="AS338" s="58"/>
      <c r="AT338" s="26"/>
      <c r="AU338" s="58"/>
      <c r="AV338" s="58"/>
      <c r="AW338" s="58"/>
      <c r="AX338" s="58"/>
      <c r="AY338" s="71"/>
      <c r="AZ338" s="58"/>
      <c r="BA338" s="58"/>
      <c r="BB338" s="72" t="str">
        <f aca="false">IF(BA338&lt;&gt;"",VLOOKUP(BA338,Selects!$B$4:$C$100,2,0),"")</f>
        <v/>
      </c>
      <c r="BC338" s="26"/>
      <c r="BD338" s="26"/>
      <c r="BE338" s="73"/>
      <c r="BF338" s="74"/>
      <c r="BG338" s="75" t="str">
        <f aca="false">IF(LEN(BF338)=11,"PF",IF(LEN(BF338)=14,"PJ",""))</f>
        <v/>
      </c>
      <c r="BH338" s="66"/>
      <c r="BI338" s="58" t="str">
        <f aca="false">IF(BH338&lt;&gt;"",VLOOKUP(BH338,Selects!$G:$H,2,0),"")</f>
        <v/>
      </c>
      <c r="BJ338" s="58"/>
      <c r="BK338" s="58"/>
      <c r="BL338" s="59"/>
      <c r="BM338" s="58"/>
      <c r="BN338" s="58"/>
      <c r="BO338" s="58" t="str">
        <f aca="false">IF(BN338&lt;&gt;"",VLOOKUP(BN338,Selects!$J$4:$K$1000,2,0),"")</f>
        <v/>
      </c>
      <c r="BP338" s="76"/>
      <c r="BQ338" s="59"/>
      <c r="BR338" s="77"/>
      <c r="BS338" s="59"/>
      <c r="BT338" s="77"/>
      <c r="BU338" s="58"/>
      <c r="BV338" s="58"/>
      <c r="BW338" s="58"/>
      <c r="BX338" s="58"/>
      <c r="BY338" s="58"/>
      <c r="BZ338" s="58"/>
      <c r="CA338" s="58"/>
      <c r="CB338" s="72" t="str">
        <f aca="false">IF(AC338&lt;&gt;"",VLOOKUP(AC338,Selects!$B:$E,4,0),"")</f>
        <v/>
      </c>
      <c r="CC338" s="58"/>
      <c r="CD338" s="58"/>
      <c r="CE338" s="58"/>
    </row>
    <row r="339" customFormat="false" ht="15.75" hidden="false" customHeight="true" outlineLevel="0" collapsed="false">
      <c r="A339" s="17"/>
      <c r="B339" s="58"/>
      <c r="C339" s="58"/>
      <c r="D339" s="59"/>
      <c r="E339" s="60" t="str">
        <f aca="false">IF(LEN(D339)=11,"PF",IF(LEN(D339)=14,"PJ",""))</f>
        <v/>
      </c>
      <c r="F339" s="59"/>
      <c r="G339" s="59"/>
      <c r="H339" s="61" t="str">
        <f aca="false">IF(G339&lt;&gt;"",VLOOKUP(G339,'Cnae  mcc  id'!$A:$M,9,0),"")</f>
        <v/>
      </c>
      <c r="I339" s="62"/>
      <c r="J339" s="63" t="str">
        <f aca="false">IF(I339&lt;&gt;"",VLOOKUP(I339,'Legal Nature'!$E$2:$G$84,3,0),"")</f>
        <v/>
      </c>
      <c r="K339" s="64"/>
      <c r="L339" s="65"/>
      <c r="M339" s="66"/>
      <c r="N339" s="66"/>
      <c r="O339" s="79"/>
      <c r="P339" s="26"/>
      <c r="Q339" s="58"/>
      <c r="R339" s="58"/>
      <c r="S339" s="80"/>
      <c r="T339" s="68" t="str">
        <f aca="false">IF(LEFT(S339,1)="9","Celular",IF(S339="","","Fixo"))</f>
        <v/>
      </c>
      <c r="U339" s="58" t="str">
        <f aca="false">IF( T339&lt;&gt;"",VLOOKUP(T339,Selects!$M$4:$N$1000,2,0),"")</f>
        <v/>
      </c>
      <c r="V339" s="26"/>
      <c r="W339" s="58"/>
      <c r="X339" s="58"/>
      <c r="Y339" s="58"/>
      <c r="Z339" s="58"/>
      <c r="AA339" s="69"/>
      <c r="AB339" s="58"/>
      <c r="AC339" s="58"/>
      <c r="AD339" s="70" t="str">
        <f aca="false">IF(AC339&lt;&gt;"",VLOOKUP(AC339,Selects!$B$4:$C$100,2,0),"")</f>
        <v/>
      </c>
      <c r="AE339" s="26"/>
      <c r="AF339" s="58"/>
      <c r="AG339" s="59"/>
      <c r="AH339" s="65"/>
      <c r="AI339" s="66"/>
      <c r="AJ339" s="66"/>
      <c r="AK339" s="58"/>
      <c r="AL339" s="58"/>
      <c r="AM339" s="68" t="str">
        <f aca="false">IF(LEFT(AL339,1)="9","Celular",IF(AL339="","","Fixo"))</f>
        <v/>
      </c>
      <c r="AN339" s="58" t="str">
        <f aca="false">IF( AM339&lt;&gt;"",VLOOKUP(AM339,Selects!$M$4:$N$1000,2,0),"")</f>
        <v/>
      </c>
      <c r="AO339" s="58"/>
      <c r="AP339" s="59"/>
      <c r="AQ339" s="65"/>
      <c r="AR339" s="58"/>
      <c r="AS339" s="58"/>
      <c r="AT339" s="26"/>
      <c r="AU339" s="58"/>
      <c r="AV339" s="58"/>
      <c r="AW339" s="58"/>
      <c r="AX339" s="58"/>
      <c r="AY339" s="71"/>
      <c r="AZ339" s="58"/>
      <c r="BA339" s="58"/>
      <c r="BB339" s="72" t="str">
        <f aca="false">IF(BA339&lt;&gt;"",VLOOKUP(BA339,Selects!$B$4:$C$100,2,0),"")</f>
        <v/>
      </c>
      <c r="BC339" s="26"/>
      <c r="BD339" s="26"/>
      <c r="BE339" s="73"/>
      <c r="BF339" s="74"/>
      <c r="BG339" s="75" t="str">
        <f aca="false">IF(LEN(BF339)=11,"PF",IF(LEN(BF339)=14,"PJ",""))</f>
        <v/>
      </c>
      <c r="BH339" s="66"/>
      <c r="BI339" s="58" t="str">
        <f aca="false">IF(BH339&lt;&gt;"",VLOOKUP(BH339,Selects!$G:$H,2,0),"")</f>
        <v/>
      </c>
      <c r="BJ339" s="58"/>
      <c r="BK339" s="58"/>
      <c r="BL339" s="59"/>
      <c r="BM339" s="58"/>
      <c r="BN339" s="58"/>
      <c r="BO339" s="58" t="str">
        <f aca="false">IF(BN339&lt;&gt;"",VLOOKUP(BN339,Selects!$J$4:$K$1000,2,0),"")</f>
        <v/>
      </c>
      <c r="BP339" s="76"/>
      <c r="BQ339" s="59"/>
      <c r="BR339" s="77"/>
      <c r="BS339" s="59"/>
      <c r="BT339" s="77"/>
      <c r="BU339" s="58"/>
      <c r="BV339" s="58"/>
      <c r="BW339" s="58"/>
      <c r="BX339" s="58"/>
      <c r="BY339" s="58"/>
      <c r="BZ339" s="58"/>
      <c r="CA339" s="58"/>
      <c r="CB339" s="72" t="str">
        <f aca="false">IF(AC339&lt;&gt;"",VLOOKUP(AC339,Selects!$B:$E,4,0),"")</f>
        <v/>
      </c>
      <c r="CC339" s="58"/>
      <c r="CD339" s="58"/>
      <c r="CE339" s="58"/>
    </row>
    <row r="340" customFormat="false" ht="15.75" hidden="false" customHeight="true" outlineLevel="0" collapsed="false">
      <c r="A340" s="17"/>
      <c r="B340" s="58"/>
      <c r="C340" s="58"/>
      <c r="D340" s="59"/>
      <c r="E340" s="60" t="str">
        <f aca="false">IF(LEN(D340)=11,"PF",IF(LEN(D340)=14,"PJ",""))</f>
        <v/>
      </c>
      <c r="F340" s="59"/>
      <c r="G340" s="59"/>
      <c r="H340" s="61" t="str">
        <f aca="false">IF(G340&lt;&gt;"",VLOOKUP(G340,'Cnae  mcc  id'!$A:$M,9,0),"")</f>
        <v/>
      </c>
      <c r="I340" s="62"/>
      <c r="J340" s="63" t="str">
        <f aca="false">IF(I340&lt;&gt;"",VLOOKUP(I340,'Legal Nature'!$E$2:$G$84,3,0),"")</f>
        <v/>
      </c>
      <c r="K340" s="64"/>
      <c r="L340" s="65"/>
      <c r="M340" s="66"/>
      <c r="N340" s="66"/>
      <c r="O340" s="79"/>
      <c r="P340" s="26"/>
      <c r="Q340" s="58"/>
      <c r="R340" s="58"/>
      <c r="S340" s="80"/>
      <c r="T340" s="68" t="str">
        <f aca="false">IF(LEFT(S340,1)="9","Celular",IF(S340="","","Fixo"))</f>
        <v/>
      </c>
      <c r="U340" s="58" t="str">
        <f aca="false">IF( T340&lt;&gt;"",VLOOKUP(T340,Selects!$M$4:$N$1000,2,0),"")</f>
        <v/>
      </c>
      <c r="V340" s="26"/>
      <c r="W340" s="58"/>
      <c r="X340" s="58"/>
      <c r="Y340" s="58"/>
      <c r="Z340" s="58"/>
      <c r="AA340" s="69"/>
      <c r="AB340" s="58"/>
      <c r="AC340" s="58"/>
      <c r="AD340" s="70" t="str">
        <f aca="false">IF(AC340&lt;&gt;"",VLOOKUP(AC340,Selects!$B$4:$C$100,2,0),"")</f>
        <v/>
      </c>
      <c r="AE340" s="26"/>
      <c r="AF340" s="58"/>
      <c r="AG340" s="59"/>
      <c r="AH340" s="65"/>
      <c r="AI340" s="66"/>
      <c r="AJ340" s="66"/>
      <c r="AK340" s="58"/>
      <c r="AL340" s="58"/>
      <c r="AM340" s="68" t="str">
        <f aca="false">IF(LEFT(AL340,1)="9","Celular",IF(AL340="","","Fixo"))</f>
        <v/>
      </c>
      <c r="AN340" s="58" t="str">
        <f aca="false">IF( AM340&lt;&gt;"",VLOOKUP(AM340,Selects!$M$4:$N$1000,2,0),"")</f>
        <v/>
      </c>
      <c r="AO340" s="58"/>
      <c r="AP340" s="59"/>
      <c r="AQ340" s="65"/>
      <c r="AR340" s="58"/>
      <c r="AS340" s="58"/>
      <c r="AT340" s="26"/>
      <c r="AU340" s="58"/>
      <c r="AV340" s="58"/>
      <c r="AW340" s="58"/>
      <c r="AX340" s="58"/>
      <c r="AY340" s="71"/>
      <c r="AZ340" s="58"/>
      <c r="BA340" s="58"/>
      <c r="BB340" s="72" t="str">
        <f aca="false">IF(BA340&lt;&gt;"",VLOOKUP(BA340,Selects!$B$4:$C$100,2,0),"")</f>
        <v/>
      </c>
      <c r="BC340" s="26"/>
      <c r="BD340" s="26"/>
      <c r="BE340" s="73"/>
      <c r="BF340" s="74"/>
      <c r="BG340" s="75" t="str">
        <f aca="false">IF(LEN(BF340)=11,"PF",IF(LEN(BF340)=14,"PJ",""))</f>
        <v/>
      </c>
      <c r="BH340" s="66"/>
      <c r="BI340" s="58" t="str">
        <f aca="false">IF(BH340&lt;&gt;"",VLOOKUP(BH340,Selects!$G:$H,2,0),"")</f>
        <v/>
      </c>
      <c r="BJ340" s="58"/>
      <c r="BK340" s="58"/>
      <c r="BL340" s="59"/>
      <c r="BM340" s="58"/>
      <c r="BN340" s="58"/>
      <c r="BO340" s="58" t="str">
        <f aca="false">IF(BN340&lt;&gt;"",VLOOKUP(BN340,Selects!$J$4:$K$1000,2,0),"")</f>
        <v/>
      </c>
      <c r="BP340" s="76"/>
      <c r="BQ340" s="59"/>
      <c r="BR340" s="77"/>
      <c r="BS340" s="59"/>
      <c r="BT340" s="77"/>
      <c r="BU340" s="58"/>
      <c r="BV340" s="58"/>
      <c r="BW340" s="58"/>
      <c r="BX340" s="58"/>
      <c r="BY340" s="58"/>
      <c r="BZ340" s="58"/>
      <c r="CA340" s="58"/>
      <c r="CB340" s="72" t="str">
        <f aca="false">IF(AC340&lt;&gt;"",VLOOKUP(AC340,Selects!$B:$E,4,0),"")</f>
        <v/>
      </c>
      <c r="CC340" s="58"/>
      <c r="CD340" s="58"/>
      <c r="CE340" s="58"/>
    </row>
    <row r="341" customFormat="false" ht="15.75" hidden="false" customHeight="true" outlineLevel="0" collapsed="false">
      <c r="A341" s="17"/>
      <c r="B341" s="58"/>
      <c r="C341" s="58"/>
      <c r="D341" s="59"/>
      <c r="E341" s="60" t="str">
        <f aca="false">IF(LEN(D341)=11,"PF",IF(LEN(D341)=14,"PJ",""))</f>
        <v/>
      </c>
      <c r="F341" s="59"/>
      <c r="G341" s="59"/>
      <c r="H341" s="61" t="str">
        <f aca="false">IF(G341&lt;&gt;"",VLOOKUP(G341,'Cnae  mcc  id'!$A:$M,9,0),"")</f>
        <v/>
      </c>
      <c r="I341" s="62"/>
      <c r="J341" s="63" t="str">
        <f aca="false">IF(I341&lt;&gt;"",VLOOKUP(I341,'Legal Nature'!$E$2:$G$84,3,0),"")</f>
        <v/>
      </c>
      <c r="K341" s="64"/>
      <c r="L341" s="65"/>
      <c r="M341" s="66"/>
      <c r="N341" s="66"/>
      <c r="O341" s="79"/>
      <c r="P341" s="26"/>
      <c r="Q341" s="58"/>
      <c r="R341" s="58"/>
      <c r="S341" s="80"/>
      <c r="T341" s="68" t="str">
        <f aca="false">IF(LEFT(S341,1)="9","Celular",IF(S341="","","Fixo"))</f>
        <v/>
      </c>
      <c r="U341" s="58" t="str">
        <f aca="false">IF( T341&lt;&gt;"",VLOOKUP(T341,Selects!$M$4:$N$1000,2,0),"")</f>
        <v/>
      </c>
      <c r="V341" s="26"/>
      <c r="W341" s="58"/>
      <c r="X341" s="58"/>
      <c r="Y341" s="58"/>
      <c r="Z341" s="58"/>
      <c r="AA341" s="69"/>
      <c r="AB341" s="58"/>
      <c r="AC341" s="58"/>
      <c r="AD341" s="70" t="str">
        <f aca="false">IF(AC341&lt;&gt;"",VLOOKUP(AC341,Selects!$B$4:$C$100,2,0),"")</f>
        <v/>
      </c>
      <c r="AE341" s="26"/>
      <c r="AF341" s="58"/>
      <c r="AG341" s="59"/>
      <c r="AH341" s="65"/>
      <c r="AI341" s="66"/>
      <c r="AJ341" s="66"/>
      <c r="AK341" s="58"/>
      <c r="AL341" s="58"/>
      <c r="AM341" s="68" t="str">
        <f aca="false">IF(LEFT(AL341,1)="9","Celular",IF(AL341="","","Fixo"))</f>
        <v/>
      </c>
      <c r="AN341" s="58" t="str">
        <f aca="false">IF( AM341&lt;&gt;"",VLOOKUP(AM341,Selects!$M$4:$N$1000,2,0),"")</f>
        <v/>
      </c>
      <c r="AO341" s="58"/>
      <c r="AP341" s="59"/>
      <c r="AQ341" s="65"/>
      <c r="AR341" s="58"/>
      <c r="AS341" s="58"/>
      <c r="AT341" s="26"/>
      <c r="AU341" s="58"/>
      <c r="AV341" s="58"/>
      <c r="AW341" s="58"/>
      <c r="AX341" s="58"/>
      <c r="AY341" s="71"/>
      <c r="AZ341" s="58"/>
      <c r="BA341" s="58"/>
      <c r="BB341" s="72" t="str">
        <f aca="false">IF(BA341&lt;&gt;"",VLOOKUP(BA341,Selects!$B$4:$C$100,2,0),"")</f>
        <v/>
      </c>
      <c r="BC341" s="26"/>
      <c r="BD341" s="26"/>
      <c r="BE341" s="73"/>
      <c r="BF341" s="74"/>
      <c r="BG341" s="75" t="str">
        <f aca="false">IF(LEN(BF341)=11,"PF",IF(LEN(BF341)=14,"PJ",""))</f>
        <v/>
      </c>
      <c r="BH341" s="66"/>
      <c r="BI341" s="58" t="str">
        <f aca="false">IF(BH341&lt;&gt;"",VLOOKUP(BH341,Selects!$G:$H,2,0),"")</f>
        <v/>
      </c>
      <c r="BJ341" s="58"/>
      <c r="BK341" s="58"/>
      <c r="BL341" s="59"/>
      <c r="BM341" s="58"/>
      <c r="BN341" s="58"/>
      <c r="BO341" s="58" t="str">
        <f aca="false">IF(BN341&lt;&gt;"",VLOOKUP(BN341,Selects!$J$4:$K$1000,2,0),"")</f>
        <v/>
      </c>
      <c r="BP341" s="76"/>
      <c r="BQ341" s="59"/>
      <c r="BR341" s="77"/>
      <c r="BS341" s="59"/>
      <c r="BT341" s="77"/>
      <c r="BU341" s="58"/>
      <c r="BV341" s="58"/>
      <c r="BW341" s="58"/>
      <c r="BX341" s="58"/>
      <c r="BY341" s="58"/>
      <c r="BZ341" s="58"/>
      <c r="CA341" s="58"/>
      <c r="CB341" s="72" t="str">
        <f aca="false">IF(AC341&lt;&gt;"",VLOOKUP(AC341,Selects!$B:$E,4,0),"")</f>
        <v/>
      </c>
      <c r="CC341" s="58"/>
      <c r="CD341" s="58"/>
      <c r="CE341" s="58"/>
    </row>
    <row r="342" customFormat="false" ht="15.75" hidden="false" customHeight="true" outlineLevel="0" collapsed="false">
      <c r="A342" s="17"/>
      <c r="B342" s="58"/>
      <c r="C342" s="58"/>
      <c r="D342" s="59"/>
      <c r="E342" s="60" t="str">
        <f aca="false">IF(LEN(D342)=11,"PF",IF(LEN(D342)=14,"PJ",""))</f>
        <v/>
      </c>
      <c r="F342" s="59"/>
      <c r="G342" s="59"/>
      <c r="H342" s="61" t="str">
        <f aca="false">IF(G342&lt;&gt;"",VLOOKUP(G342,'Cnae  mcc  id'!$A:$M,9,0),"")</f>
        <v/>
      </c>
      <c r="I342" s="62"/>
      <c r="J342" s="63" t="str">
        <f aca="false">IF(I342&lt;&gt;"",VLOOKUP(I342,'Legal Nature'!$E$2:$G$84,3,0),"")</f>
        <v/>
      </c>
      <c r="K342" s="64"/>
      <c r="L342" s="65"/>
      <c r="M342" s="66"/>
      <c r="N342" s="66"/>
      <c r="O342" s="79"/>
      <c r="P342" s="26"/>
      <c r="Q342" s="58"/>
      <c r="R342" s="58"/>
      <c r="S342" s="80"/>
      <c r="T342" s="68" t="str">
        <f aca="false">IF(LEFT(S342,1)="9","Celular",IF(S342="","","Fixo"))</f>
        <v/>
      </c>
      <c r="U342" s="58" t="str">
        <f aca="false">IF( T342&lt;&gt;"",VLOOKUP(T342,Selects!$M$4:$N$1000,2,0),"")</f>
        <v/>
      </c>
      <c r="V342" s="26"/>
      <c r="W342" s="58"/>
      <c r="X342" s="58"/>
      <c r="Y342" s="58"/>
      <c r="Z342" s="58"/>
      <c r="AA342" s="69"/>
      <c r="AB342" s="58"/>
      <c r="AC342" s="58"/>
      <c r="AD342" s="70" t="str">
        <f aca="false">IF(AC342&lt;&gt;"",VLOOKUP(AC342,Selects!$B$4:$C$100,2,0),"")</f>
        <v/>
      </c>
      <c r="AE342" s="26"/>
      <c r="AF342" s="58"/>
      <c r="AG342" s="59"/>
      <c r="AH342" s="65"/>
      <c r="AI342" s="66"/>
      <c r="AJ342" s="66"/>
      <c r="AK342" s="58"/>
      <c r="AL342" s="58"/>
      <c r="AM342" s="68" t="str">
        <f aca="false">IF(LEFT(AL342,1)="9","Celular",IF(AL342="","","Fixo"))</f>
        <v/>
      </c>
      <c r="AN342" s="58" t="str">
        <f aca="false">IF( AM342&lt;&gt;"",VLOOKUP(AM342,Selects!$M$4:$N$1000,2,0),"")</f>
        <v/>
      </c>
      <c r="AO342" s="58"/>
      <c r="AP342" s="59"/>
      <c r="AQ342" s="65"/>
      <c r="AR342" s="58"/>
      <c r="AS342" s="58"/>
      <c r="AT342" s="26"/>
      <c r="AU342" s="58"/>
      <c r="AV342" s="58"/>
      <c r="AW342" s="58"/>
      <c r="AX342" s="58"/>
      <c r="AY342" s="71"/>
      <c r="AZ342" s="58"/>
      <c r="BA342" s="58"/>
      <c r="BB342" s="72" t="str">
        <f aca="false">IF(BA342&lt;&gt;"",VLOOKUP(BA342,Selects!$B$4:$C$100,2,0),"")</f>
        <v/>
      </c>
      <c r="BC342" s="26"/>
      <c r="BD342" s="26"/>
      <c r="BE342" s="73"/>
      <c r="BF342" s="74"/>
      <c r="BG342" s="75" t="str">
        <f aca="false">IF(LEN(BF342)=11,"PF",IF(LEN(BF342)=14,"PJ",""))</f>
        <v/>
      </c>
      <c r="BH342" s="66"/>
      <c r="BI342" s="58" t="str">
        <f aca="false">IF(BH342&lt;&gt;"",VLOOKUP(BH342,Selects!$G:$H,2,0),"")</f>
        <v/>
      </c>
      <c r="BJ342" s="58"/>
      <c r="BK342" s="58"/>
      <c r="BL342" s="59"/>
      <c r="BM342" s="58"/>
      <c r="BN342" s="58"/>
      <c r="BO342" s="58" t="str">
        <f aca="false">IF(BN342&lt;&gt;"",VLOOKUP(BN342,Selects!$J$4:$K$1000,2,0),"")</f>
        <v/>
      </c>
      <c r="BP342" s="76"/>
      <c r="BQ342" s="59"/>
      <c r="BR342" s="77"/>
      <c r="BS342" s="59"/>
      <c r="BT342" s="77"/>
      <c r="BU342" s="58"/>
      <c r="BV342" s="58"/>
      <c r="BW342" s="58"/>
      <c r="BX342" s="58"/>
      <c r="BY342" s="58"/>
      <c r="BZ342" s="58"/>
      <c r="CA342" s="58"/>
      <c r="CB342" s="72" t="str">
        <f aca="false">IF(AC342&lt;&gt;"",VLOOKUP(AC342,Selects!$B:$E,4,0),"")</f>
        <v/>
      </c>
      <c r="CC342" s="58"/>
      <c r="CD342" s="58"/>
      <c r="CE342" s="58"/>
    </row>
    <row r="343" customFormat="false" ht="15.75" hidden="false" customHeight="true" outlineLevel="0" collapsed="false">
      <c r="A343" s="17"/>
      <c r="B343" s="58"/>
      <c r="C343" s="58"/>
      <c r="D343" s="59"/>
      <c r="E343" s="60" t="str">
        <f aca="false">IF(LEN(D343)=11,"PF",IF(LEN(D343)=14,"PJ",""))</f>
        <v/>
      </c>
      <c r="F343" s="59"/>
      <c r="G343" s="59"/>
      <c r="H343" s="61" t="str">
        <f aca="false">IF(G343&lt;&gt;"",VLOOKUP(G343,'Cnae  mcc  id'!$A:$M,9,0),"")</f>
        <v/>
      </c>
      <c r="I343" s="62"/>
      <c r="J343" s="63" t="str">
        <f aca="false">IF(I343&lt;&gt;"",VLOOKUP(I343,'Legal Nature'!$E$2:$G$84,3,0),"")</f>
        <v/>
      </c>
      <c r="K343" s="64"/>
      <c r="L343" s="65"/>
      <c r="M343" s="66"/>
      <c r="N343" s="66"/>
      <c r="O343" s="79"/>
      <c r="P343" s="26"/>
      <c r="Q343" s="58"/>
      <c r="R343" s="58"/>
      <c r="S343" s="80"/>
      <c r="T343" s="68" t="str">
        <f aca="false">IF(LEFT(S343,1)="9","Celular",IF(S343="","","Fixo"))</f>
        <v/>
      </c>
      <c r="U343" s="58" t="str">
        <f aca="false">IF( T343&lt;&gt;"",VLOOKUP(T343,Selects!$M$4:$N$1000,2,0),"")</f>
        <v/>
      </c>
      <c r="V343" s="26"/>
      <c r="W343" s="58"/>
      <c r="X343" s="58"/>
      <c r="Y343" s="58"/>
      <c r="Z343" s="58"/>
      <c r="AA343" s="69"/>
      <c r="AB343" s="58"/>
      <c r="AC343" s="58"/>
      <c r="AD343" s="70" t="str">
        <f aca="false">IF(AC343&lt;&gt;"",VLOOKUP(AC343,Selects!$B$4:$C$100,2,0),"")</f>
        <v/>
      </c>
      <c r="AE343" s="26"/>
      <c r="AF343" s="58"/>
      <c r="AG343" s="59"/>
      <c r="AH343" s="65"/>
      <c r="AI343" s="66"/>
      <c r="AJ343" s="66"/>
      <c r="AK343" s="58"/>
      <c r="AL343" s="58"/>
      <c r="AM343" s="68" t="str">
        <f aca="false">IF(LEFT(AL343,1)="9","Celular",IF(AL343="","","Fixo"))</f>
        <v/>
      </c>
      <c r="AN343" s="58" t="str">
        <f aca="false">IF( AM343&lt;&gt;"",VLOOKUP(AM343,Selects!$M$4:$N$1000,2,0),"")</f>
        <v/>
      </c>
      <c r="AO343" s="58"/>
      <c r="AP343" s="59"/>
      <c r="AQ343" s="65"/>
      <c r="AR343" s="58"/>
      <c r="AS343" s="58"/>
      <c r="AT343" s="26"/>
      <c r="AU343" s="58"/>
      <c r="AV343" s="58"/>
      <c r="AW343" s="58"/>
      <c r="AX343" s="58"/>
      <c r="AY343" s="71"/>
      <c r="AZ343" s="58"/>
      <c r="BA343" s="58"/>
      <c r="BB343" s="72" t="str">
        <f aca="false">IF(BA343&lt;&gt;"",VLOOKUP(BA343,Selects!$B$4:$C$100,2,0),"")</f>
        <v/>
      </c>
      <c r="BC343" s="26"/>
      <c r="BD343" s="26"/>
      <c r="BE343" s="73"/>
      <c r="BF343" s="74"/>
      <c r="BG343" s="75" t="str">
        <f aca="false">IF(LEN(BF343)=11,"PF",IF(LEN(BF343)=14,"PJ",""))</f>
        <v/>
      </c>
      <c r="BH343" s="66"/>
      <c r="BI343" s="58" t="str">
        <f aca="false">IF(BH343&lt;&gt;"",VLOOKUP(BH343,Selects!$G:$H,2,0),"")</f>
        <v/>
      </c>
      <c r="BJ343" s="58"/>
      <c r="BK343" s="58"/>
      <c r="BL343" s="59"/>
      <c r="BM343" s="58"/>
      <c r="BN343" s="58"/>
      <c r="BO343" s="58" t="str">
        <f aca="false">IF(BN343&lt;&gt;"",VLOOKUP(BN343,Selects!$J$4:$K$1000,2,0),"")</f>
        <v/>
      </c>
      <c r="BP343" s="76"/>
      <c r="BQ343" s="59"/>
      <c r="BR343" s="77"/>
      <c r="BS343" s="59"/>
      <c r="BT343" s="77"/>
      <c r="BU343" s="58"/>
      <c r="BV343" s="58"/>
      <c r="BW343" s="58"/>
      <c r="BX343" s="58"/>
      <c r="BY343" s="58"/>
      <c r="BZ343" s="58"/>
      <c r="CA343" s="58"/>
      <c r="CB343" s="72" t="str">
        <f aca="false">IF(AC343&lt;&gt;"",VLOOKUP(AC343,Selects!$B:$E,4,0),"")</f>
        <v/>
      </c>
      <c r="CC343" s="58"/>
      <c r="CD343" s="58"/>
      <c r="CE343" s="58"/>
    </row>
    <row r="344" customFormat="false" ht="15.75" hidden="false" customHeight="true" outlineLevel="0" collapsed="false">
      <c r="A344" s="17"/>
      <c r="B344" s="58"/>
      <c r="C344" s="58"/>
      <c r="D344" s="59"/>
      <c r="E344" s="60" t="str">
        <f aca="false">IF(LEN(D344)=11,"PF",IF(LEN(D344)=14,"PJ",""))</f>
        <v/>
      </c>
      <c r="F344" s="59"/>
      <c r="G344" s="59"/>
      <c r="H344" s="61" t="str">
        <f aca="false">IF(G344&lt;&gt;"",VLOOKUP(G344,'Cnae  mcc  id'!$A:$M,9,0),"")</f>
        <v/>
      </c>
      <c r="I344" s="62"/>
      <c r="J344" s="63" t="str">
        <f aca="false">IF(I344&lt;&gt;"",VLOOKUP(I344,'Legal Nature'!$E$2:$G$84,3,0),"")</f>
        <v/>
      </c>
      <c r="K344" s="64"/>
      <c r="L344" s="65"/>
      <c r="M344" s="66"/>
      <c r="N344" s="66"/>
      <c r="O344" s="79"/>
      <c r="P344" s="26"/>
      <c r="Q344" s="58"/>
      <c r="R344" s="58"/>
      <c r="S344" s="80"/>
      <c r="T344" s="68" t="str">
        <f aca="false">IF(LEFT(S344,1)="9","Celular",IF(S344="","","Fixo"))</f>
        <v/>
      </c>
      <c r="U344" s="58" t="str">
        <f aca="false">IF( T344&lt;&gt;"",VLOOKUP(T344,Selects!$M$4:$N$1000,2,0),"")</f>
        <v/>
      </c>
      <c r="V344" s="26"/>
      <c r="W344" s="58"/>
      <c r="X344" s="58"/>
      <c r="Y344" s="58"/>
      <c r="Z344" s="58"/>
      <c r="AA344" s="69"/>
      <c r="AB344" s="58"/>
      <c r="AC344" s="58"/>
      <c r="AD344" s="70" t="str">
        <f aca="false">IF(AC344&lt;&gt;"",VLOOKUP(AC344,Selects!$B$4:$C$100,2,0),"")</f>
        <v/>
      </c>
      <c r="AE344" s="26"/>
      <c r="AF344" s="58"/>
      <c r="AG344" s="59"/>
      <c r="AH344" s="65"/>
      <c r="AI344" s="66"/>
      <c r="AJ344" s="66"/>
      <c r="AK344" s="58"/>
      <c r="AL344" s="58"/>
      <c r="AM344" s="68" t="str">
        <f aca="false">IF(LEFT(AL344,1)="9","Celular",IF(AL344="","","Fixo"))</f>
        <v/>
      </c>
      <c r="AN344" s="58" t="str">
        <f aca="false">IF( AM344&lt;&gt;"",VLOOKUP(AM344,Selects!$M$4:$N$1000,2,0),"")</f>
        <v/>
      </c>
      <c r="AO344" s="58"/>
      <c r="AP344" s="59"/>
      <c r="AQ344" s="65"/>
      <c r="AR344" s="58"/>
      <c r="AS344" s="58"/>
      <c r="AT344" s="26"/>
      <c r="AU344" s="58"/>
      <c r="AV344" s="58"/>
      <c r="AW344" s="58"/>
      <c r="AX344" s="58"/>
      <c r="AY344" s="71"/>
      <c r="AZ344" s="58"/>
      <c r="BA344" s="58"/>
      <c r="BB344" s="72" t="str">
        <f aca="false">IF(BA344&lt;&gt;"",VLOOKUP(BA344,Selects!$B$4:$C$100,2,0),"")</f>
        <v/>
      </c>
      <c r="BC344" s="26"/>
      <c r="BD344" s="26"/>
      <c r="BE344" s="73"/>
      <c r="BF344" s="74"/>
      <c r="BG344" s="75" t="str">
        <f aca="false">IF(LEN(BF344)=11,"PF",IF(LEN(BF344)=14,"PJ",""))</f>
        <v/>
      </c>
      <c r="BH344" s="66"/>
      <c r="BI344" s="58" t="str">
        <f aca="false">IF(BH344&lt;&gt;"",VLOOKUP(BH344,Selects!$G:$H,2,0),"")</f>
        <v/>
      </c>
      <c r="BJ344" s="58"/>
      <c r="BK344" s="58"/>
      <c r="BL344" s="59"/>
      <c r="BM344" s="58"/>
      <c r="BN344" s="58"/>
      <c r="BO344" s="58" t="str">
        <f aca="false">IF(BN344&lt;&gt;"",VLOOKUP(BN344,Selects!$J$4:$K$1000,2,0),"")</f>
        <v/>
      </c>
      <c r="BP344" s="76"/>
      <c r="BQ344" s="59"/>
      <c r="BR344" s="77"/>
      <c r="BS344" s="59"/>
      <c r="BT344" s="77"/>
      <c r="BU344" s="58"/>
      <c r="BV344" s="58"/>
      <c r="BW344" s="58"/>
      <c r="BX344" s="58"/>
      <c r="BY344" s="58"/>
      <c r="BZ344" s="58"/>
      <c r="CA344" s="58"/>
      <c r="CB344" s="72" t="str">
        <f aca="false">IF(AC344&lt;&gt;"",VLOOKUP(AC344,Selects!$B:$E,4,0),"")</f>
        <v/>
      </c>
      <c r="CC344" s="58"/>
      <c r="CD344" s="58"/>
      <c r="CE344" s="58"/>
    </row>
    <row r="345" customFormat="false" ht="15.75" hidden="false" customHeight="true" outlineLevel="0" collapsed="false">
      <c r="A345" s="17"/>
      <c r="B345" s="58"/>
      <c r="C345" s="58"/>
      <c r="D345" s="59"/>
      <c r="E345" s="60" t="str">
        <f aca="false">IF(LEN(D345)=11,"PF",IF(LEN(D345)=14,"PJ",""))</f>
        <v/>
      </c>
      <c r="F345" s="59"/>
      <c r="G345" s="59"/>
      <c r="H345" s="61" t="str">
        <f aca="false">IF(G345&lt;&gt;"",VLOOKUP(G345,'Cnae  mcc  id'!$A:$M,9,0),"")</f>
        <v/>
      </c>
      <c r="I345" s="62"/>
      <c r="J345" s="63" t="str">
        <f aca="false">IF(I345&lt;&gt;"",VLOOKUP(I345,'Legal Nature'!$E$2:$G$84,3,0),"")</f>
        <v/>
      </c>
      <c r="K345" s="64"/>
      <c r="L345" s="65"/>
      <c r="M345" s="66"/>
      <c r="N345" s="66"/>
      <c r="O345" s="79"/>
      <c r="P345" s="26"/>
      <c r="Q345" s="58"/>
      <c r="R345" s="58"/>
      <c r="S345" s="80"/>
      <c r="T345" s="68" t="str">
        <f aca="false">IF(LEFT(S345,1)="9","Celular",IF(S345="","","Fixo"))</f>
        <v/>
      </c>
      <c r="U345" s="58" t="str">
        <f aca="false">IF( T345&lt;&gt;"",VLOOKUP(T345,Selects!$M$4:$N$1000,2,0),"")</f>
        <v/>
      </c>
      <c r="V345" s="26"/>
      <c r="W345" s="58"/>
      <c r="X345" s="58"/>
      <c r="Y345" s="58"/>
      <c r="Z345" s="58"/>
      <c r="AA345" s="69"/>
      <c r="AB345" s="58"/>
      <c r="AC345" s="58"/>
      <c r="AD345" s="70" t="str">
        <f aca="false">IF(AC345&lt;&gt;"",VLOOKUP(AC345,Selects!$B$4:$C$100,2,0),"")</f>
        <v/>
      </c>
      <c r="AE345" s="26"/>
      <c r="AF345" s="58"/>
      <c r="AG345" s="59"/>
      <c r="AH345" s="65"/>
      <c r="AI345" s="66"/>
      <c r="AJ345" s="66"/>
      <c r="AK345" s="58"/>
      <c r="AL345" s="58"/>
      <c r="AM345" s="68" t="str">
        <f aca="false">IF(LEFT(AL345,1)="9","Celular",IF(AL345="","","Fixo"))</f>
        <v/>
      </c>
      <c r="AN345" s="58" t="str">
        <f aca="false">IF( AM345&lt;&gt;"",VLOOKUP(AM345,Selects!$M$4:$N$1000,2,0),"")</f>
        <v/>
      </c>
      <c r="AO345" s="58"/>
      <c r="AP345" s="59"/>
      <c r="AQ345" s="65"/>
      <c r="AR345" s="58"/>
      <c r="AS345" s="58"/>
      <c r="AT345" s="26"/>
      <c r="AU345" s="58"/>
      <c r="AV345" s="58"/>
      <c r="AW345" s="58"/>
      <c r="AX345" s="58"/>
      <c r="AY345" s="71"/>
      <c r="AZ345" s="58"/>
      <c r="BA345" s="58"/>
      <c r="BB345" s="72" t="str">
        <f aca="false">IF(BA345&lt;&gt;"",VLOOKUP(BA345,Selects!$B$4:$C$100,2,0),"")</f>
        <v/>
      </c>
      <c r="BC345" s="26"/>
      <c r="BD345" s="26"/>
      <c r="BE345" s="73"/>
      <c r="BF345" s="74"/>
      <c r="BG345" s="75" t="str">
        <f aca="false">IF(LEN(BF345)=11,"PF",IF(LEN(BF345)=14,"PJ",""))</f>
        <v/>
      </c>
      <c r="BH345" s="66"/>
      <c r="BI345" s="58" t="str">
        <f aca="false">IF(BH345&lt;&gt;"",VLOOKUP(BH345,Selects!$G:$H,2,0),"")</f>
        <v/>
      </c>
      <c r="BJ345" s="58"/>
      <c r="BK345" s="58"/>
      <c r="BL345" s="59"/>
      <c r="BM345" s="58"/>
      <c r="BN345" s="58"/>
      <c r="BO345" s="58" t="str">
        <f aca="false">IF(BN345&lt;&gt;"",VLOOKUP(BN345,Selects!$J$4:$K$1000,2,0),"")</f>
        <v/>
      </c>
      <c r="BP345" s="76"/>
      <c r="BQ345" s="59"/>
      <c r="BR345" s="77"/>
      <c r="BS345" s="59"/>
      <c r="BT345" s="77"/>
      <c r="BU345" s="58"/>
      <c r="BV345" s="58"/>
      <c r="BW345" s="58"/>
      <c r="BX345" s="58"/>
      <c r="BY345" s="58"/>
      <c r="BZ345" s="58"/>
      <c r="CA345" s="58"/>
      <c r="CB345" s="72" t="str">
        <f aca="false">IF(AC345&lt;&gt;"",VLOOKUP(AC345,Selects!$B:$E,4,0),"")</f>
        <v/>
      </c>
      <c r="CC345" s="58"/>
      <c r="CD345" s="58"/>
      <c r="CE345" s="58"/>
    </row>
    <row r="346" customFormat="false" ht="15.75" hidden="false" customHeight="true" outlineLevel="0" collapsed="false">
      <c r="A346" s="17"/>
      <c r="B346" s="58"/>
      <c r="C346" s="58"/>
      <c r="D346" s="59"/>
      <c r="E346" s="60" t="str">
        <f aca="false">IF(LEN(D346)=11,"PF",IF(LEN(D346)=14,"PJ",""))</f>
        <v/>
      </c>
      <c r="F346" s="59"/>
      <c r="G346" s="59"/>
      <c r="H346" s="61" t="str">
        <f aca="false">IF(G346&lt;&gt;"",VLOOKUP(G346,'Cnae  mcc  id'!$A:$M,9,0),"")</f>
        <v/>
      </c>
      <c r="I346" s="62"/>
      <c r="J346" s="63" t="str">
        <f aca="false">IF(I346&lt;&gt;"",VLOOKUP(I346,'Legal Nature'!$E$2:$G$84,3,0),"")</f>
        <v/>
      </c>
      <c r="K346" s="64"/>
      <c r="L346" s="65"/>
      <c r="M346" s="66"/>
      <c r="N346" s="66"/>
      <c r="O346" s="79"/>
      <c r="P346" s="26"/>
      <c r="Q346" s="58"/>
      <c r="R346" s="58"/>
      <c r="S346" s="80"/>
      <c r="T346" s="68" t="str">
        <f aca="false">IF(LEFT(S346,1)="9","Celular",IF(S346="","","Fixo"))</f>
        <v/>
      </c>
      <c r="U346" s="58" t="str">
        <f aca="false">IF( T346&lt;&gt;"",VLOOKUP(T346,Selects!$M$4:$N$1000,2,0),"")</f>
        <v/>
      </c>
      <c r="V346" s="26"/>
      <c r="W346" s="58"/>
      <c r="X346" s="58"/>
      <c r="Y346" s="58"/>
      <c r="Z346" s="58"/>
      <c r="AA346" s="69"/>
      <c r="AB346" s="58"/>
      <c r="AC346" s="58"/>
      <c r="AD346" s="70" t="str">
        <f aca="false">IF(AC346&lt;&gt;"",VLOOKUP(AC346,Selects!$B$4:$C$100,2,0),"")</f>
        <v/>
      </c>
      <c r="AE346" s="26"/>
      <c r="AF346" s="58"/>
      <c r="AG346" s="59"/>
      <c r="AH346" s="65"/>
      <c r="AI346" s="66"/>
      <c r="AJ346" s="66"/>
      <c r="AK346" s="58"/>
      <c r="AL346" s="58"/>
      <c r="AM346" s="68" t="str">
        <f aca="false">IF(LEFT(AL346,1)="9","Celular",IF(AL346="","","Fixo"))</f>
        <v/>
      </c>
      <c r="AN346" s="58" t="str">
        <f aca="false">IF( AM346&lt;&gt;"",VLOOKUP(AM346,Selects!$M$4:$N$1000,2,0),"")</f>
        <v/>
      </c>
      <c r="AO346" s="58"/>
      <c r="AP346" s="59"/>
      <c r="AQ346" s="65"/>
      <c r="AR346" s="58"/>
      <c r="AS346" s="58"/>
      <c r="AT346" s="26"/>
      <c r="AU346" s="58"/>
      <c r="AV346" s="58"/>
      <c r="AW346" s="58"/>
      <c r="AX346" s="58"/>
      <c r="AY346" s="71"/>
      <c r="AZ346" s="58"/>
      <c r="BA346" s="58"/>
      <c r="BB346" s="72" t="str">
        <f aca="false">IF(BA346&lt;&gt;"",VLOOKUP(BA346,Selects!$B$4:$C$100,2,0),"")</f>
        <v/>
      </c>
      <c r="BC346" s="26"/>
      <c r="BD346" s="26"/>
      <c r="BE346" s="73"/>
      <c r="BF346" s="74"/>
      <c r="BG346" s="75" t="str">
        <f aca="false">IF(LEN(BF346)=11,"PF",IF(LEN(BF346)=14,"PJ",""))</f>
        <v/>
      </c>
      <c r="BH346" s="66"/>
      <c r="BI346" s="58" t="str">
        <f aca="false">IF(BH346&lt;&gt;"",VLOOKUP(BH346,Selects!$G:$H,2,0),"")</f>
        <v/>
      </c>
      <c r="BJ346" s="58"/>
      <c r="BK346" s="58"/>
      <c r="BL346" s="59"/>
      <c r="BM346" s="58"/>
      <c r="BN346" s="58"/>
      <c r="BO346" s="58" t="str">
        <f aca="false">IF(BN346&lt;&gt;"",VLOOKUP(BN346,Selects!$J$4:$K$1000,2,0),"")</f>
        <v/>
      </c>
      <c r="BP346" s="76"/>
      <c r="BQ346" s="59"/>
      <c r="BR346" s="77"/>
      <c r="BS346" s="59"/>
      <c r="BT346" s="77"/>
      <c r="BU346" s="58"/>
      <c r="BV346" s="58"/>
      <c r="BW346" s="58"/>
      <c r="BX346" s="58"/>
      <c r="BY346" s="58"/>
      <c r="BZ346" s="58"/>
      <c r="CA346" s="58"/>
      <c r="CB346" s="72" t="str">
        <f aca="false">IF(AC346&lt;&gt;"",VLOOKUP(AC346,Selects!$B:$E,4,0),"")</f>
        <v/>
      </c>
      <c r="CC346" s="58"/>
      <c r="CD346" s="58"/>
      <c r="CE346" s="58"/>
    </row>
    <row r="347" customFormat="false" ht="15.75" hidden="false" customHeight="true" outlineLevel="0" collapsed="false">
      <c r="A347" s="17"/>
      <c r="B347" s="58"/>
      <c r="C347" s="58"/>
      <c r="D347" s="59"/>
      <c r="E347" s="60" t="str">
        <f aca="false">IF(LEN(D347)=11,"PF",IF(LEN(D347)=14,"PJ",""))</f>
        <v/>
      </c>
      <c r="F347" s="59"/>
      <c r="G347" s="59"/>
      <c r="H347" s="61" t="str">
        <f aca="false">IF(G347&lt;&gt;"",VLOOKUP(G347,'Cnae  mcc  id'!$A:$M,9,0),"")</f>
        <v/>
      </c>
      <c r="I347" s="62"/>
      <c r="J347" s="63" t="str">
        <f aca="false">IF(I347&lt;&gt;"",VLOOKUP(I347,'Legal Nature'!$E$2:$G$84,3,0),"")</f>
        <v/>
      </c>
      <c r="K347" s="64"/>
      <c r="L347" s="65"/>
      <c r="M347" s="66"/>
      <c r="N347" s="66"/>
      <c r="O347" s="79"/>
      <c r="P347" s="26"/>
      <c r="Q347" s="58"/>
      <c r="R347" s="58"/>
      <c r="S347" s="80"/>
      <c r="T347" s="68" t="str">
        <f aca="false">IF(LEFT(S347,1)="9","Celular",IF(S347="","","Fixo"))</f>
        <v/>
      </c>
      <c r="U347" s="58" t="str">
        <f aca="false">IF( T347&lt;&gt;"",VLOOKUP(T347,Selects!$M$4:$N$1000,2,0),"")</f>
        <v/>
      </c>
      <c r="V347" s="26"/>
      <c r="W347" s="58"/>
      <c r="X347" s="58"/>
      <c r="Y347" s="58"/>
      <c r="Z347" s="58"/>
      <c r="AA347" s="69"/>
      <c r="AB347" s="58"/>
      <c r="AC347" s="58"/>
      <c r="AD347" s="70" t="str">
        <f aca="false">IF(AC347&lt;&gt;"",VLOOKUP(AC347,Selects!$B$4:$C$100,2,0),"")</f>
        <v/>
      </c>
      <c r="AE347" s="26"/>
      <c r="AF347" s="58"/>
      <c r="AG347" s="59"/>
      <c r="AH347" s="65"/>
      <c r="AI347" s="66"/>
      <c r="AJ347" s="66"/>
      <c r="AK347" s="58"/>
      <c r="AL347" s="58"/>
      <c r="AM347" s="68" t="str">
        <f aca="false">IF(LEFT(AL347,1)="9","Celular",IF(AL347="","","Fixo"))</f>
        <v/>
      </c>
      <c r="AN347" s="58" t="str">
        <f aca="false">IF( AM347&lt;&gt;"",VLOOKUP(AM347,Selects!$M$4:$N$1000,2,0),"")</f>
        <v/>
      </c>
      <c r="AO347" s="58"/>
      <c r="AP347" s="59"/>
      <c r="AQ347" s="65"/>
      <c r="AR347" s="58"/>
      <c r="AS347" s="58"/>
      <c r="AT347" s="26"/>
      <c r="AU347" s="58"/>
      <c r="AV347" s="58"/>
      <c r="AW347" s="58"/>
      <c r="AX347" s="58"/>
      <c r="AY347" s="71"/>
      <c r="AZ347" s="58"/>
      <c r="BA347" s="58"/>
      <c r="BB347" s="72" t="str">
        <f aca="false">IF(BA347&lt;&gt;"",VLOOKUP(BA347,Selects!$B$4:$C$100,2,0),"")</f>
        <v/>
      </c>
      <c r="BC347" s="26"/>
      <c r="BD347" s="26"/>
      <c r="BE347" s="73"/>
      <c r="BF347" s="74"/>
      <c r="BG347" s="75" t="str">
        <f aca="false">IF(LEN(BF347)=11,"PF",IF(LEN(BF347)=14,"PJ",""))</f>
        <v/>
      </c>
      <c r="BH347" s="66"/>
      <c r="BI347" s="58" t="str">
        <f aca="false">IF(BH347&lt;&gt;"",VLOOKUP(BH347,Selects!$G:$H,2,0),"")</f>
        <v/>
      </c>
      <c r="BJ347" s="58"/>
      <c r="BK347" s="58"/>
      <c r="BL347" s="59"/>
      <c r="BM347" s="58"/>
      <c r="BN347" s="58"/>
      <c r="BO347" s="58" t="str">
        <f aca="false">IF(BN347&lt;&gt;"",VLOOKUP(BN347,Selects!$J$4:$K$1000,2,0),"")</f>
        <v/>
      </c>
      <c r="BP347" s="76"/>
      <c r="BQ347" s="59"/>
      <c r="BR347" s="77"/>
      <c r="BS347" s="59"/>
      <c r="BT347" s="77"/>
      <c r="BU347" s="58"/>
      <c r="BV347" s="58"/>
      <c r="BW347" s="58"/>
      <c r="BX347" s="58"/>
      <c r="BY347" s="58"/>
      <c r="BZ347" s="58"/>
      <c r="CA347" s="58"/>
      <c r="CB347" s="72" t="str">
        <f aca="false">IF(AC347&lt;&gt;"",VLOOKUP(AC347,Selects!$B:$E,4,0),"")</f>
        <v/>
      </c>
      <c r="CC347" s="58"/>
      <c r="CD347" s="58"/>
      <c r="CE347" s="58"/>
    </row>
    <row r="348" customFormat="false" ht="15.75" hidden="false" customHeight="true" outlineLevel="0" collapsed="false">
      <c r="A348" s="17"/>
      <c r="B348" s="58"/>
      <c r="C348" s="58"/>
      <c r="D348" s="59"/>
      <c r="E348" s="60" t="str">
        <f aca="false">IF(LEN(D348)=11,"PF",IF(LEN(D348)=14,"PJ",""))</f>
        <v/>
      </c>
      <c r="F348" s="59"/>
      <c r="G348" s="59"/>
      <c r="H348" s="61" t="str">
        <f aca="false">IF(G348&lt;&gt;"",VLOOKUP(G348,'Cnae  mcc  id'!$A:$M,9,0),"")</f>
        <v/>
      </c>
      <c r="I348" s="62"/>
      <c r="J348" s="63" t="str">
        <f aca="false">IF(I348&lt;&gt;"",VLOOKUP(I348,'Legal Nature'!$E$2:$G$84,3,0),"")</f>
        <v/>
      </c>
      <c r="K348" s="64"/>
      <c r="L348" s="65"/>
      <c r="M348" s="66"/>
      <c r="N348" s="66"/>
      <c r="O348" s="79"/>
      <c r="P348" s="26"/>
      <c r="Q348" s="58"/>
      <c r="R348" s="58"/>
      <c r="S348" s="80"/>
      <c r="T348" s="68" t="str">
        <f aca="false">IF(LEFT(S348,1)="9","Celular",IF(S348="","","Fixo"))</f>
        <v/>
      </c>
      <c r="U348" s="58" t="str">
        <f aca="false">IF( T348&lt;&gt;"",VLOOKUP(T348,Selects!$M$4:$N$1000,2,0),"")</f>
        <v/>
      </c>
      <c r="V348" s="26"/>
      <c r="W348" s="58"/>
      <c r="X348" s="58"/>
      <c r="Y348" s="58"/>
      <c r="Z348" s="58"/>
      <c r="AA348" s="69"/>
      <c r="AB348" s="58"/>
      <c r="AC348" s="58"/>
      <c r="AD348" s="70" t="str">
        <f aca="false">IF(AC348&lt;&gt;"",VLOOKUP(AC348,Selects!$B$4:$C$100,2,0),"")</f>
        <v/>
      </c>
      <c r="AE348" s="26"/>
      <c r="AF348" s="58"/>
      <c r="AG348" s="59"/>
      <c r="AH348" s="65"/>
      <c r="AI348" s="66"/>
      <c r="AJ348" s="66"/>
      <c r="AK348" s="58"/>
      <c r="AL348" s="58"/>
      <c r="AM348" s="68" t="str">
        <f aca="false">IF(LEFT(AL348,1)="9","Celular",IF(AL348="","","Fixo"))</f>
        <v/>
      </c>
      <c r="AN348" s="58" t="str">
        <f aca="false">IF( AM348&lt;&gt;"",VLOOKUP(AM348,Selects!$M$4:$N$1000,2,0),"")</f>
        <v/>
      </c>
      <c r="AO348" s="58"/>
      <c r="AP348" s="59"/>
      <c r="AQ348" s="65"/>
      <c r="AR348" s="58"/>
      <c r="AS348" s="58"/>
      <c r="AT348" s="26"/>
      <c r="AU348" s="58"/>
      <c r="AV348" s="58"/>
      <c r="AW348" s="58"/>
      <c r="AX348" s="58"/>
      <c r="AY348" s="71"/>
      <c r="AZ348" s="58"/>
      <c r="BA348" s="58"/>
      <c r="BB348" s="72" t="str">
        <f aca="false">IF(BA348&lt;&gt;"",VLOOKUP(BA348,Selects!$B$4:$C$100,2,0),"")</f>
        <v/>
      </c>
      <c r="BC348" s="26"/>
      <c r="BD348" s="26"/>
      <c r="BE348" s="73"/>
      <c r="BF348" s="74"/>
      <c r="BG348" s="75" t="str">
        <f aca="false">IF(LEN(BF348)=11,"PF",IF(LEN(BF348)=14,"PJ",""))</f>
        <v/>
      </c>
      <c r="BH348" s="66"/>
      <c r="BI348" s="58" t="str">
        <f aca="false">IF(BH348&lt;&gt;"",VLOOKUP(BH348,Selects!$G:$H,2,0),"")</f>
        <v/>
      </c>
      <c r="BJ348" s="58"/>
      <c r="BK348" s="58"/>
      <c r="BL348" s="59"/>
      <c r="BM348" s="58"/>
      <c r="BN348" s="58"/>
      <c r="BO348" s="58" t="str">
        <f aca="false">IF(BN348&lt;&gt;"",VLOOKUP(BN348,Selects!$J$4:$K$1000,2,0),"")</f>
        <v/>
      </c>
      <c r="BP348" s="76"/>
      <c r="BQ348" s="59"/>
      <c r="BR348" s="77"/>
      <c r="BS348" s="59"/>
      <c r="BT348" s="77"/>
      <c r="BU348" s="58"/>
      <c r="BV348" s="58"/>
      <c r="BW348" s="58"/>
      <c r="BX348" s="58"/>
      <c r="BY348" s="58"/>
      <c r="BZ348" s="58"/>
      <c r="CA348" s="58"/>
      <c r="CB348" s="72" t="str">
        <f aca="false">IF(AC348&lt;&gt;"",VLOOKUP(AC348,Selects!$B:$E,4,0),"")</f>
        <v/>
      </c>
      <c r="CC348" s="58"/>
      <c r="CD348" s="58"/>
      <c r="CE348" s="58"/>
    </row>
    <row r="349" customFormat="false" ht="15.75" hidden="false" customHeight="true" outlineLevel="0" collapsed="false">
      <c r="A349" s="17"/>
      <c r="B349" s="58"/>
      <c r="C349" s="58"/>
      <c r="D349" s="59"/>
      <c r="E349" s="60" t="str">
        <f aca="false">IF(LEN(D349)=11,"PF",IF(LEN(D349)=14,"PJ",""))</f>
        <v/>
      </c>
      <c r="F349" s="59"/>
      <c r="G349" s="59"/>
      <c r="H349" s="61" t="str">
        <f aca="false">IF(G349&lt;&gt;"",VLOOKUP(G349,'Cnae  mcc  id'!$A:$M,9,0),"")</f>
        <v/>
      </c>
      <c r="I349" s="62"/>
      <c r="J349" s="63" t="str">
        <f aca="false">IF(I349&lt;&gt;"",VLOOKUP(I349,'Legal Nature'!$E$2:$G$84,3,0),"")</f>
        <v/>
      </c>
      <c r="K349" s="64"/>
      <c r="L349" s="65"/>
      <c r="M349" s="66"/>
      <c r="N349" s="66"/>
      <c r="O349" s="79"/>
      <c r="P349" s="26"/>
      <c r="Q349" s="58"/>
      <c r="R349" s="58"/>
      <c r="S349" s="80"/>
      <c r="T349" s="68" t="str">
        <f aca="false">IF(LEFT(S349,1)="9","Celular",IF(S349="","","Fixo"))</f>
        <v/>
      </c>
      <c r="U349" s="58" t="str">
        <f aca="false">IF( T349&lt;&gt;"",VLOOKUP(T349,Selects!$M$4:$N$1000,2,0),"")</f>
        <v/>
      </c>
      <c r="V349" s="26"/>
      <c r="W349" s="58"/>
      <c r="X349" s="58"/>
      <c r="Y349" s="58"/>
      <c r="Z349" s="58"/>
      <c r="AA349" s="69"/>
      <c r="AB349" s="58"/>
      <c r="AC349" s="58"/>
      <c r="AD349" s="70" t="str">
        <f aca="false">IF(AC349&lt;&gt;"",VLOOKUP(AC349,Selects!$B$4:$C$100,2,0),"")</f>
        <v/>
      </c>
      <c r="AE349" s="26"/>
      <c r="AF349" s="58"/>
      <c r="AG349" s="59"/>
      <c r="AH349" s="65"/>
      <c r="AI349" s="66"/>
      <c r="AJ349" s="66"/>
      <c r="AK349" s="58"/>
      <c r="AL349" s="58"/>
      <c r="AM349" s="68" t="str">
        <f aca="false">IF(LEFT(AL349,1)="9","Celular",IF(AL349="","","Fixo"))</f>
        <v/>
      </c>
      <c r="AN349" s="58" t="str">
        <f aca="false">IF( AM349&lt;&gt;"",VLOOKUP(AM349,Selects!$M$4:$N$1000,2,0),"")</f>
        <v/>
      </c>
      <c r="AO349" s="58"/>
      <c r="AP349" s="59"/>
      <c r="AQ349" s="65"/>
      <c r="AR349" s="58"/>
      <c r="AS349" s="58"/>
      <c r="AT349" s="26"/>
      <c r="AU349" s="58"/>
      <c r="AV349" s="58"/>
      <c r="AW349" s="58"/>
      <c r="AX349" s="58"/>
      <c r="AY349" s="71"/>
      <c r="AZ349" s="58"/>
      <c r="BA349" s="58"/>
      <c r="BB349" s="72" t="str">
        <f aca="false">IF(BA349&lt;&gt;"",VLOOKUP(BA349,Selects!$B$4:$C$100,2,0),"")</f>
        <v/>
      </c>
      <c r="BC349" s="26"/>
      <c r="BD349" s="26"/>
      <c r="BE349" s="73"/>
      <c r="BF349" s="74"/>
      <c r="BG349" s="75" t="str">
        <f aca="false">IF(LEN(BF349)=11,"PF",IF(LEN(BF349)=14,"PJ",""))</f>
        <v/>
      </c>
      <c r="BH349" s="66"/>
      <c r="BI349" s="58" t="str">
        <f aca="false">IF(BH349&lt;&gt;"",VLOOKUP(BH349,Selects!$G:$H,2,0),"")</f>
        <v/>
      </c>
      <c r="BJ349" s="58"/>
      <c r="BK349" s="58"/>
      <c r="BL349" s="59"/>
      <c r="BM349" s="58"/>
      <c r="BN349" s="58"/>
      <c r="BO349" s="58" t="str">
        <f aca="false">IF(BN349&lt;&gt;"",VLOOKUP(BN349,Selects!$J$4:$K$1000,2,0),"")</f>
        <v/>
      </c>
      <c r="BP349" s="76"/>
      <c r="BQ349" s="59"/>
      <c r="BR349" s="77"/>
      <c r="BS349" s="59"/>
      <c r="BT349" s="77"/>
      <c r="BU349" s="58"/>
      <c r="BV349" s="58"/>
      <c r="BW349" s="58"/>
      <c r="BX349" s="58"/>
      <c r="BY349" s="58"/>
      <c r="BZ349" s="58"/>
      <c r="CA349" s="58"/>
      <c r="CB349" s="72" t="str">
        <f aca="false">IF(AC349&lt;&gt;"",VLOOKUP(AC349,Selects!$B:$E,4,0),"")</f>
        <v/>
      </c>
      <c r="CC349" s="58"/>
      <c r="CD349" s="58"/>
      <c r="CE349" s="58"/>
    </row>
    <row r="350" customFormat="false" ht="15.75" hidden="false" customHeight="true" outlineLevel="0" collapsed="false">
      <c r="A350" s="17"/>
      <c r="B350" s="58"/>
      <c r="C350" s="58"/>
      <c r="D350" s="59"/>
      <c r="E350" s="60" t="str">
        <f aca="false">IF(LEN(D350)=11,"PF",IF(LEN(D350)=14,"PJ",""))</f>
        <v/>
      </c>
      <c r="F350" s="59"/>
      <c r="G350" s="59"/>
      <c r="H350" s="61" t="str">
        <f aca="false">IF(G350&lt;&gt;"",VLOOKUP(G350,'Cnae  mcc  id'!$A:$M,9,0),"")</f>
        <v/>
      </c>
      <c r="I350" s="62"/>
      <c r="J350" s="63" t="str">
        <f aca="false">IF(I350&lt;&gt;"",VLOOKUP(I350,'Legal Nature'!$E$2:$G$84,3,0),"")</f>
        <v/>
      </c>
      <c r="K350" s="64"/>
      <c r="L350" s="65"/>
      <c r="M350" s="66"/>
      <c r="N350" s="66"/>
      <c r="O350" s="79"/>
      <c r="P350" s="26"/>
      <c r="Q350" s="58"/>
      <c r="R350" s="58"/>
      <c r="S350" s="80"/>
      <c r="T350" s="68" t="str">
        <f aca="false">IF(LEFT(S350,1)="9","Celular",IF(S350="","","Fixo"))</f>
        <v/>
      </c>
      <c r="U350" s="58" t="str">
        <f aca="false">IF( T350&lt;&gt;"",VLOOKUP(T350,Selects!$M$4:$N$1000,2,0),"")</f>
        <v/>
      </c>
      <c r="V350" s="26"/>
      <c r="W350" s="58"/>
      <c r="X350" s="58"/>
      <c r="Y350" s="58"/>
      <c r="Z350" s="58"/>
      <c r="AA350" s="69"/>
      <c r="AB350" s="58"/>
      <c r="AC350" s="58"/>
      <c r="AD350" s="70" t="str">
        <f aca="false">IF(AC350&lt;&gt;"",VLOOKUP(AC350,Selects!$B$4:$C$100,2,0),"")</f>
        <v/>
      </c>
      <c r="AE350" s="26"/>
      <c r="AF350" s="58"/>
      <c r="AG350" s="59"/>
      <c r="AH350" s="65"/>
      <c r="AI350" s="66"/>
      <c r="AJ350" s="66"/>
      <c r="AK350" s="58"/>
      <c r="AL350" s="58"/>
      <c r="AM350" s="68" t="str">
        <f aca="false">IF(LEFT(AL350,1)="9","Celular",IF(AL350="","","Fixo"))</f>
        <v/>
      </c>
      <c r="AN350" s="58" t="str">
        <f aca="false">IF( AM350&lt;&gt;"",VLOOKUP(AM350,Selects!$M$4:$N$1000,2,0),"")</f>
        <v/>
      </c>
      <c r="AO350" s="58"/>
      <c r="AP350" s="59"/>
      <c r="AQ350" s="65"/>
      <c r="AR350" s="58"/>
      <c r="AS350" s="58"/>
      <c r="AT350" s="26"/>
      <c r="AU350" s="58"/>
      <c r="AV350" s="58"/>
      <c r="AW350" s="58"/>
      <c r="AX350" s="58"/>
      <c r="AY350" s="71"/>
      <c r="AZ350" s="58"/>
      <c r="BA350" s="58"/>
      <c r="BB350" s="72" t="str">
        <f aca="false">IF(BA350&lt;&gt;"",VLOOKUP(BA350,Selects!$B$4:$C$100,2,0),"")</f>
        <v/>
      </c>
      <c r="BC350" s="26"/>
      <c r="BD350" s="26"/>
      <c r="BE350" s="73"/>
      <c r="BF350" s="74"/>
      <c r="BG350" s="75" t="str">
        <f aca="false">IF(LEN(BF350)=11,"PF",IF(LEN(BF350)=14,"PJ",""))</f>
        <v/>
      </c>
      <c r="BH350" s="66"/>
      <c r="BI350" s="58" t="str">
        <f aca="false">IF(BH350&lt;&gt;"",VLOOKUP(BH350,Selects!$G:$H,2,0),"")</f>
        <v/>
      </c>
      <c r="BJ350" s="58"/>
      <c r="BK350" s="58"/>
      <c r="BL350" s="59"/>
      <c r="BM350" s="58"/>
      <c r="BN350" s="58"/>
      <c r="BO350" s="58" t="str">
        <f aca="false">IF(BN350&lt;&gt;"",VLOOKUP(BN350,Selects!$J$4:$K$1000,2,0),"")</f>
        <v/>
      </c>
      <c r="BP350" s="76"/>
      <c r="BQ350" s="59"/>
      <c r="BR350" s="77"/>
      <c r="BS350" s="59"/>
      <c r="BT350" s="77"/>
      <c r="BU350" s="58"/>
      <c r="BV350" s="58"/>
      <c r="BW350" s="58"/>
      <c r="BX350" s="58"/>
      <c r="BY350" s="58"/>
      <c r="BZ350" s="58"/>
      <c r="CA350" s="58"/>
      <c r="CB350" s="72" t="str">
        <f aca="false">IF(AC350&lt;&gt;"",VLOOKUP(AC350,Selects!$B:$E,4,0),"")</f>
        <v/>
      </c>
      <c r="CC350" s="58"/>
      <c r="CD350" s="58"/>
      <c r="CE350" s="58"/>
    </row>
    <row r="351" customFormat="false" ht="15.75" hidden="false" customHeight="true" outlineLevel="0" collapsed="false">
      <c r="A351" s="17"/>
      <c r="B351" s="58"/>
      <c r="C351" s="58"/>
      <c r="D351" s="59"/>
      <c r="E351" s="60" t="str">
        <f aca="false">IF(LEN(D351)=11,"PF",IF(LEN(D351)=14,"PJ",""))</f>
        <v/>
      </c>
      <c r="F351" s="59"/>
      <c r="G351" s="59"/>
      <c r="H351" s="61" t="str">
        <f aca="false">IF(G351&lt;&gt;"",VLOOKUP(G351,'Cnae  mcc  id'!$A:$M,9,0),"")</f>
        <v/>
      </c>
      <c r="I351" s="62"/>
      <c r="J351" s="63" t="str">
        <f aca="false">IF(I351&lt;&gt;"",VLOOKUP(I351,'Legal Nature'!$E$2:$G$84,3,0),"")</f>
        <v/>
      </c>
      <c r="K351" s="64"/>
      <c r="L351" s="65"/>
      <c r="M351" s="66"/>
      <c r="N351" s="66"/>
      <c r="O351" s="79"/>
      <c r="P351" s="26"/>
      <c r="Q351" s="58"/>
      <c r="R351" s="58"/>
      <c r="S351" s="80"/>
      <c r="T351" s="68" t="str">
        <f aca="false">IF(LEFT(S351,1)="9","Celular",IF(S351="","","Fixo"))</f>
        <v/>
      </c>
      <c r="U351" s="58" t="str">
        <f aca="false">IF( T351&lt;&gt;"",VLOOKUP(T351,Selects!$M$4:$N$1000,2,0),"")</f>
        <v/>
      </c>
      <c r="V351" s="26"/>
      <c r="W351" s="58"/>
      <c r="X351" s="58"/>
      <c r="Y351" s="58"/>
      <c r="Z351" s="58"/>
      <c r="AA351" s="69"/>
      <c r="AB351" s="58"/>
      <c r="AC351" s="58"/>
      <c r="AD351" s="70" t="str">
        <f aca="false">IF(AC351&lt;&gt;"",VLOOKUP(AC351,Selects!$B$4:$C$100,2,0),"")</f>
        <v/>
      </c>
      <c r="AE351" s="26"/>
      <c r="AF351" s="58"/>
      <c r="AG351" s="59"/>
      <c r="AH351" s="65"/>
      <c r="AI351" s="66"/>
      <c r="AJ351" s="66"/>
      <c r="AK351" s="58"/>
      <c r="AL351" s="58"/>
      <c r="AM351" s="68" t="str">
        <f aca="false">IF(LEFT(AL351,1)="9","Celular",IF(AL351="","","Fixo"))</f>
        <v/>
      </c>
      <c r="AN351" s="58" t="str">
        <f aca="false">IF( AM351&lt;&gt;"",VLOOKUP(AM351,Selects!$M$4:$N$1000,2,0),"")</f>
        <v/>
      </c>
      <c r="AO351" s="58"/>
      <c r="AP351" s="59"/>
      <c r="AQ351" s="65"/>
      <c r="AR351" s="58"/>
      <c r="AS351" s="58"/>
      <c r="AT351" s="26"/>
      <c r="AU351" s="58"/>
      <c r="AV351" s="58"/>
      <c r="AW351" s="58"/>
      <c r="AX351" s="58"/>
      <c r="AY351" s="71"/>
      <c r="AZ351" s="58"/>
      <c r="BA351" s="58"/>
      <c r="BB351" s="72" t="str">
        <f aca="false">IF(BA351&lt;&gt;"",VLOOKUP(BA351,Selects!$B$4:$C$100,2,0),"")</f>
        <v/>
      </c>
      <c r="BC351" s="26"/>
      <c r="BD351" s="26"/>
      <c r="BE351" s="73"/>
      <c r="BF351" s="74"/>
      <c r="BG351" s="75" t="str">
        <f aca="false">IF(LEN(BF351)=11,"PF",IF(LEN(BF351)=14,"PJ",""))</f>
        <v/>
      </c>
      <c r="BH351" s="66"/>
      <c r="BI351" s="58" t="str">
        <f aca="false">IF(BH351&lt;&gt;"",VLOOKUP(BH351,Selects!$G:$H,2,0),"")</f>
        <v/>
      </c>
      <c r="BJ351" s="58"/>
      <c r="BK351" s="58"/>
      <c r="BL351" s="59"/>
      <c r="BM351" s="58"/>
      <c r="BN351" s="58"/>
      <c r="BO351" s="58" t="str">
        <f aca="false">IF(BN351&lt;&gt;"",VLOOKUP(BN351,Selects!$J$4:$K$1000,2,0),"")</f>
        <v/>
      </c>
      <c r="BP351" s="76"/>
      <c r="BQ351" s="59"/>
      <c r="BR351" s="77"/>
      <c r="BS351" s="59"/>
      <c r="BT351" s="77"/>
      <c r="BU351" s="58"/>
      <c r="BV351" s="58"/>
      <c r="BW351" s="58"/>
      <c r="BX351" s="58"/>
      <c r="BY351" s="58"/>
      <c r="BZ351" s="58"/>
      <c r="CA351" s="58"/>
      <c r="CB351" s="72" t="str">
        <f aca="false">IF(AC351&lt;&gt;"",VLOOKUP(AC351,Selects!$B:$E,4,0),"")</f>
        <v/>
      </c>
      <c r="CC351" s="58"/>
      <c r="CD351" s="58"/>
      <c r="CE351" s="58"/>
    </row>
    <row r="352" customFormat="false" ht="15.75" hidden="false" customHeight="true" outlineLevel="0" collapsed="false">
      <c r="A352" s="17"/>
      <c r="B352" s="58"/>
      <c r="C352" s="58"/>
      <c r="D352" s="59"/>
      <c r="E352" s="60" t="str">
        <f aca="false">IF(LEN(D352)=11,"PF",IF(LEN(D352)=14,"PJ",""))</f>
        <v/>
      </c>
      <c r="F352" s="59"/>
      <c r="G352" s="59"/>
      <c r="H352" s="61" t="str">
        <f aca="false">IF(G352&lt;&gt;"",VLOOKUP(G352,'Cnae  mcc  id'!$A:$M,9,0),"")</f>
        <v/>
      </c>
      <c r="I352" s="62"/>
      <c r="J352" s="63" t="str">
        <f aca="false">IF(I352&lt;&gt;"",VLOOKUP(I352,'Legal Nature'!$E$2:$G$84,3,0),"")</f>
        <v/>
      </c>
      <c r="K352" s="64"/>
      <c r="L352" s="65"/>
      <c r="M352" s="66"/>
      <c r="N352" s="66"/>
      <c r="O352" s="79"/>
      <c r="P352" s="26"/>
      <c r="Q352" s="58"/>
      <c r="R352" s="58"/>
      <c r="S352" s="80"/>
      <c r="T352" s="68" t="str">
        <f aca="false">IF(LEFT(S352,1)="9","Celular",IF(S352="","","Fixo"))</f>
        <v/>
      </c>
      <c r="U352" s="58" t="str">
        <f aca="false">IF( T352&lt;&gt;"",VLOOKUP(T352,Selects!$M$4:$N$1000,2,0),"")</f>
        <v/>
      </c>
      <c r="V352" s="26"/>
      <c r="W352" s="58"/>
      <c r="X352" s="58"/>
      <c r="Y352" s="58"/>
      <c r="Z352" s="58"/>
      <c r="AA352" s="69"/>
      <c r="AB352" s="58"/>
      <c r="AC352" s="58"/>
      <c r="AD352" s="70" t="str">
        <f aca="false">IF(AC352&lt;&gt;"",VLOOKUP(AC352,Selects!$B$4:$C$100,2,0),"")</f>
        <v/>
      </c>
      <c r="AE352" s="26"/>
      <c r="AF352" s="58"/>
      <c r="AG352" s="59"/>
      <c r="AH352" s="65"/>
      <c r="AI352" s="66"/>
      <c r="AJ352" s="66"/>
      <c r="AK352" s="58"/>
      <c r="AL352" s="58"/>
      <c r="AM352" s="68" t="str">
        <f aca="false">IF(LEFT(AL352,1)="9","Celular",IF(AL352="","","Fixo"))</f>
        <v/>
      </c>
      <c r="AN352" s="58" t="str">
        <f aca="false">IF( AM352&lt;&gt;"",VLOOKUP(AM352,Selects!$M$4:$N$1000,2,0),"")</f>
        <v/>
      </c>
      <c r="AO352" s="58"/>
      <c r="AP352" s="59"/>
      <c r="AQ352" s="65"/>
      <c r="AR352" s="58"/>
      <c r="AS352" s="58"/>
      <c r="AT352" s="26"/>
      <c r="AU352" s="58"/>
      <c r="AV352" s="58"/>
      <c r="AW352" s="58"/>
      <c r="AX352" s="58"/>
      <c r="AY352" s="71"/>
      <c r="AZ352" s="58"/>
      <c r="BA352" s="58"/>
      <c r="BB352" s="72" t="str">
        <f aca="false">IF(BA352&lt;&gt;"",VLOOKUP(BA352,Selects!$B$4:$C$100,2,0),"")</f>
        <v/>
      </c>
      <c r="BC352" s="26"/>
      <c r="BD352" s="26"/>
      <c r="BE352" s="73"/>
      <c r="BF352" s="74"/>
      <c r="BG352" s="75" t="str">
        <f aca="false">IF(LEN(BF352)=11,"PF",IF(LEN(BF352)=14,"PJ",""))</f>
        <v/>
      </c>
      <c r="BH352" s="66"/>
      <c r="BI352" s="58" t="str">
        <f aca="false">IF(BH352&lt;&gt;"",VLOOKUP(BH352,Selects!$G:$H,2,0),"")</f>
        <v/>
      </c>
      <c r="BJ352" s="58"/>
      <c r="BK352" s="58"/>
      <c r="BL352" s="59"/>
      <c r="BM352" s="58"/>
      <c r="BN352" s="58"/>
      <c r="BO352" s="58" t="str">
        <f aca="false">IF(BN352&lt;&gt;"",VLOOKUP(BN352,Selects!$J$4:$K$1000,2,0),"")</f>
        <v/>
      </c>
      <c r="BP352" s="76"/>
      <c r="BQ352" s="59"/>
      <c r="BR352" s="77"/>
      <c r="BS352" s="59"/>
      <c r="BT352" s="77"/>
      <c r="BU352" s="58"/>
      <c r="BV352" s="58"/>
      <c r="BW352" s="58"/>
      <c r="BX352" s="58"/>
      <c r="BY352" s="58"/>
      <c r="BZ352" s="58"/>
      <c r="CA352" s="58"/>
      <c r="CB352" s="72" t="str">
        <f aca="false">IF(AC352&lt;&gt;"",VLOOKUP(AC352,Selects!$B:$E,4,0),"")</f>
        <v/>
      </c>
      <c r="CC352" s="58"/>
      <c r="CD352" s="58"/>
      <c r="CE352" s="58"/>
    </row>
    <row r="353" customFormat="false" ht="15.75" hidden="false" customHeight="true" outlineLevel="0" collapsed="false">
      <c r="A353" s="17"/>
      <c r="B353" s="58"/>
      <c r="C353" s="58"/>
      <c r="D353" s="59"/>
      <c r="E353" s="60" t="str">
        <f aca="false">IF(LEN(D353)=11,"PF",IF(LEN(D353)=14,"PJ",""))</f>
        <v/>
      </c>
      <c r="F353" s="59"/>
      <c r="G353" s="59"/>
      <c r="H353" s="61" t="str">
        <f aca="false">IF(G353&lt;&gt;"",VLOOKUP(G353,'Cnae  mcc  id'!$A:$M,9,0),"")</f>
        <v/>
      </c>
      <c r="I353" s="62"/>
      <c r="J353" s="63" t="str">
        <f aca="false">IF(I353&lt;&gt;"",VLOOKUP(I353,'Legal Nature'!$E$2:$G$84,3,0),"")</f>
        <v/>
      </c>
      <c r="K353" s="64"/>
      <c r="L353" s="65"/>
      <c r="M353" s="66"/>
      <c r="N353" s="66"/>
      <c r="O353" s="79"/>
      <c r="P353" s="26"/>
      <c r="Q353" s="58"/>
      <c r="R353" s="58"/>
      <c r="S353" s="80"/>
      <c r="T353" s="68" t="str">
        <f aca="false">IF(LEFT(S353,1)="9","Celular",IF(S353="","","Fixo"))</f>
        <v/>
      </c>
      <c r="U353" s="58" t="str">
        <f aca="false">IF( T353&lt;&gt;"",VLOOKUP(T353,Selects!$M$4:$N$1000,2,0),"")</f>
        <v/>
      </c>
      <c r="V353" s="26"/>
      <c r="W353" s="58"/>
      <c r="X353" s="58"/>
      <c r="Y353" s="58"/>
      <c r="Z353" s="58"/>
      <c r="AA353" s="69"/>
      <c r="AB353" s="58"/>
      <c r="AC353" s="58"/>
      <c r="AD353" s="70" t="str">
        <f aca="false">IF(AC353&lt;&gt;"",VLOOKUP(AC353,Selects!$B$4:$C$100,2,0),"")</f>
        <v/>
      </c>
      <c r="AE353" s="26"/>
      <c r="AF353" s="58"/>
      <c r="AG353" s="59"/>
      <c r="AH353" s="65"/>
      <c r="AI353" s="66"/>
      <c r="AJ353" s="66"/>
      <c r="AK353" s="58"/>
      <c r="AL353" s="58"/>
      <c r="AM353" s="68" t="str">
        <f aca="false">IF(LEFT(AL353,1)="9","Celular",IF(AL353="","","Fixo"))</f>
        <v/>
      </c>
      <c r="AN353" s="58" t="str">
        <f aca="false">IF( AM353&lt;&gt;"",VLOOKUP(AM353,Selects!$M$4:$N$1000,2,0),"")</f>
        <v/>
      </c>
      <c r="AO353" s="58"/>
      <c r="AP353" s="59"/>
      <c r="AQ353" s="65"/>
      <c r="AR353" s="58"/>
      <c r="AS353" s="58"/>
      <c r="AT353" s="26"/>
      <c r="AU353" s="58"/>
      <c r="AV353" s="58"/>
      <c r="AW353" s="58"/>
      <c r="AX353" s="58"/>
      <c r="AY353" s="71"/>
      <c r="AZ353" s="58"/>
      <c r="BA353" s="58"/>
      <c r="BB353" s="72" t="str">
        <f aca="false">IF(BA353&lt;&gt;"",VLOOKUP(BA353,Selects!$B$4:$C$100,2,0),"")</f>
        <v/>
      </c>
      <c r="BC353" s="26"/>
      <c r="BD353" s="26"/>
      <c r="BE353" s="73"/>
      <c r="BF353" s="74"/>
      <c r="BG353" s="75" t="str">
        <f aca="false">IF(LEN(BF353)=11,"PF",IF(LEN(BF353)=14,"PJ",""))</f>
        <v/>
      </c>
      <c r="BH353" s="66"/>
      <c r="BI353" s="58" t="str">
        <f aca="false">IF(BH353&lt;&gt;"",VLOOKUP(BH353,Selects!$G:$H,2,0),"")</f>
        <v/>
      </c>
      <c r="BJ353" s="58"/>
      <c r="BK353" s="58"/>
      <c r="BL353" s="59"/>
      <c r="BM353" s="58"/>
      <c r="BN353" s="58"/>
      <c r="BO353" s="58" t="str">
        <f aca="false">IF(BN353&lt;&gt;"",VLOOKUP(BN353,Selects!$J$4:$K$1000,2,0),"")</f>
        <v/>
      </c>
      <c r="BP353" s="76"/>
      <c r="BQ353" s="59"/>
      <c r="BR353" s="77"/>
      <c r="BS353" s="59"/>
      <c r="BT353" s="77"/>
      <c r="BU353" s="58"/>
      <c r="BV353" s="58"/>
      <c r="BW353" s="58"/>
      <c r="BX353" s="58"/>
      <c r="BY353" s="58"/>
      <c r="BZ353" s="58"/>
      <c r="CA353" s="58"/>
      <c r="CB353" s="72" t="str">
        <f aca="false">IF(AC353&lt;&gt;"",VLOOKUP(AC353,Selects!$B:$E,4,0),"")</f>
        <v/>
      </c>
      <c r="CC353" s="58"/>
      <c r="CD353" s="58"/>
      <c r="CE353" s="58"/>
    </row>
    <row r="354" customFormat="false" ht="15.75" hidden="false" customHeight="true" outlineLevel="0" collapsed="false">
      <c r="A354" s="17"/>
      <c r="B354" s="58"/>
      <c r="C354" s="58"/>
      <c r="D354" s="59"/>
      <c r="E354" s="60" t="str">
        <f aca="false">IF(LEN(D354)=11,"PF",IF(LEN(D354)=14,"PJ",""))</f>
        <v/>
      </c>
      <c r="F354" s="59"/>
      <c r="G354" s="59"/>
      <c r="H354" s="61" t="str">
        <f aca="false">IF(G354&lt;&gt;"",VLOOKUP(G354,'Cnae  mcc  id'!$A:$M,9,0),"")</f>
        <v/>
      </c>
      <c r="I354" s="62"/>
      <c r="J354" s="63" t="str">
        <f aca="false">IF(I354&lt;&gt;"",VLOOKUP(I354,'Legal Nature'!$E$2:$G$84,3,0),"")</f>
        <v/>
      </c>
      <c r="K354" s="64"/>
      <c r="L354" s="65"/>
      <c r="M354" s="66"/>
      <c r="N354" s="66"/>
      <c r="O354" s="79"/>
      <c r="P354" s="26"/>
      <c r="Q354" s="58"/>
      <c r="R354" s="58"/>
      <c r="S354" s="80"/>
      <c r="T354" s="68" t="str">
        <f aca="false">IF(LEFT(S354,1)="9","Celular",IF(S354="","","Fixo"))</f>
        <v/>
      </c>
      <c r="U354" s="58" t="str">
        <f aca="false">IF( T354&lt;&gt;"",VLOOKUP(T354,Selects!$M$4:$N$1000,2,0),"")</f>
        <v/>
      </c>
      <c r="V354" s="26"/>
      <c r="W354" s="58"/>
      <c r="X354" s="58"/>
      <c r="Y354" s="58"/>
      <c r="Z354" s="58"/>
      <c r="AA354" s="69"/>
      <c r="AB354" s="58"/>
      <c r="AC354" s="58"/>
      <c r="AD354" s="70" t="str">
        <f aca="false">IF(AC354&lt;&gt;"",VLOOKUP(AC354,Selects!$B$4:$C$100,2,0),"")</f>
        <v/>
      </c>
      <c r="AE354" s="26"/>
      <c r="AF354" s="58"/>
      <c r="AG354" s="59"/>
      <c r="AH354" s="65"/>
      <c r="AI354" s="66"/>
      <c r="AJ354" s="66"/>
      <c r="AK354" s="58"/>
      <c r="AL354" s="58"/>
      <c r="AM354" s="68" t="str">
        <f aca="false">IF(LEFT(AL354,1)="9","Celular",IF(AL354="","","Fixo"))</f>
        <v/>
      </c>
      <c r="AN354" s="58" t="str">
        <f aca="false">IF( AM354&lt;&gt;"",VLOOKUP(AM354,Selects!$M$4:$N$1000,2,0),"")</f>
        <v/>
      </c>
      <c r="AO354" s="58"/>
      <c r="AP354" s="59"/>
      <c r="AQ354" s="65"/>
      <c r="AR354" s="58"/>
      <c r="AS354" s="58"/>
      <c r="AT354" s="26"/>
      <c r="AU354" s="58"/>
      <c r="AV354" s="58"/>
      <c r="AW354" s="58"/>
      <c r="AX354" s="58"/>
      <c r="AY354" s="71"/>
      <c r="AZ354" s="58"/>
      <c r="BA354" s="58"/>
      <c r="BB354" s="72" t="str">
        <f aca="false">IF(BA354&lt;&gt;"",VLOOKUP(BA354,Selects!$B$4:$C$100,2,0),"")</f>
        <v/>
      </c>
      <c r="BC354" s="26"/>
      <c r="BD354" s="26"/>
      <c r="BE354" s="73"/>
      <c r="BF354" s="74"/>
      <c r="BG354" s="75" t="str">
        <f aca="false">IF(LEN(BF354)=11,"PF",IF(LEN(BF354)=14,"PJ",""))</f>
        <v/>
      </c>
      <c r="BH354" s="66"/>
      <c r="BI354" s="58" t="str">
        <f aca="false">IF(BH354&lt;&gt;"",VLOOKUP(BH354,Selects!$G:$H,2,0),"")</f>
        <v/>
      </c>
      <c r="BJ354" s="58"/>
      <c r="BK354" s="58"/>
      <c r="BL354" s="59"/>
      <c r="BM354" s="58"/>
      <c r="BN354" s="58"/>
      <c r="BO354" s="58" t="str">
        <f aca="false">IF(BN354&lt;&gt;"",VLOOKUP(BN354,Selects!$J$4:$K$1000,2,0),"")</f>
        <v/>
      </c>
      <c r="BP354" s="76"/>
      <c r="BQ354" s="59"/>
      <c r="BR354" s="77"/>
      <c r="BS354" s="59"/>
      <c r="BT354" s="77"/>
      <c r="BU354" s="58"/>
      <c r="BV354" s="58"/>
      <c r="BW354" s="58"/>
      <c r="BX354" s="58"/>
      <c r="BY354" s="58"/>
      <c r="BZ354" s="58"/>
      <c r="CA354" s="58"/>
      <c r="CB354" s="72" t="str">
        <f aca="false">IF(AC354&lt;&gt;"",VLOOKUP(AC354,Selects!$B:$E,4,0),"")</f>
        <v/>
      </c>
      <c r="CC354" s="58"/>
      <c r="CD354" s="58"/>
      <c r="CE354" s="58"/>
    </row>
    <row r="355" customFormat="false" ht="15.75" hidden="false" customHeight="true" outlineLevel="0" collapsed="false">
      <c r="A355" s="17"/>
      <c r="B355" s="58"/>
      <c r="C355" s="58"/>
      <c r="D355" s="59"/>
      <c r="E355" s="60" t="str">
        <f aca="false">IF(LEN(D355)=11,"PF",IF(LEN(D355)=14,"PJ",""))</f>
        <v/>
      </c>
      <c r="F355" s="59"/>
      <c r="G355" s="59"/>
      <c r="H355" s="61" t="str">
        <f aca="false">IF(G355&lt;&gt;"",VLOOKUP(G355,'Cnae  mcc  id'!$A:$M,9,0),"")</f>
        <v/>
      </c>
      <c r="I355" s="62"/>
      <c r="J355" s="63" t="str">
        <f aca="false">IF(I355&lt;&gt;"",VLOOKUP(I355,'Legal Nature'!$E$2:$G$84,3,0),"")</f>
        <v/>
      </c>
      <c r="K355" s="64"/>
      <c r="L355" s="65"/>
      <c r="M355" s="66"/>
      <c r="N355" s="66"/>
      <c r="O355" s="79"/>
      <c r="P355" s="26"/>
      <c r="Q355" s="58"/>
      <c r="R355" s="58"/>
      <c r="S355" s="80"/>
      <c r="T355" s="68" t="str">
        <f aca="false">IF(LEFT(S355,1)="9","Celular",IF(S355="","","Fixo"))</f>
        <v/>
      </c>
      <c r="U355" s="58" t="str">
        <f aca="false">IF( T355&lt;&gt;"",VLOOKUP(T355,Selects!$M$4:$N$1000,2,0),"")</f>
        <v/>
      </c>
      <c r="V355" s="26"/>
      <c r="W355" s="58"/>
      <c r="X355" s="58"/>
      <c r="Y355" s="58"/>
      <c r="Z355" s="58"/>
      <c r="AA355" s="69"/>
      <c r="AB355" s="58"/>
      <c r="AC355" s="58"/>
      <c r="AD355" s="70" t="str">
        <f aca="false">IF(AC355&lt;&gt;"",VLOOKUP(AC355,Selects!$B$4:$C$100,2,0),"")</f>
        <v/>
      </c>
      <c r="AE355" s="26"/>
      <c r="AF355" s="58"/>
      <c r="AG355" s="59"/>
      <c r="AH355" s="65"/>
      <c r="AI355" s="66"/>
      <c r="AJ355" s="66"/>
      <c r="AK355" s="58"/>
      <c r="AL355" s="58"/>
      <c r="AM355" s="68" t="str">
        <f aca="false">IF(LEFT(AL355,1)="9","Celular",IF(AL355="","","Fixo"))</f>
        <v/>
      </c>
      <c r="AN355" s="58" t="str">
        <f aca="false">IF( AM355&lt;&gt;"",VLOOKUP(AM355,Selects!$M$4:$N$1000,2,0),"")</f>
        <v/>
      </c>
      <c r="AO355" s="58"/>
      <c r="AP355" s="59"/>
      <c r="AQ355" s="65"/>
      <c r="AR355" s="58"/>
      <c r="AS355" s="58"/>
      <c r="AT355" s="26"/>
      <c r="AU355" s="58"/>
      <c r="AV355" s="58"/>
      <c r="AW355" s="58"/>
      <c r="AX355" s="58"/>
      <c r="AY355" s="71"/>
      <c r="AZ355" s="58"/>
      <c r="BA355" s="58"/>
      <c r="BB355" s="72" t="str">
        <f aca="false">IF(BA355&lt;&gt;"",VLOOKUP(BA355,Selects!$B$4:$C$100,2,0),"")</f>
        <v/>
      </c>
      <c r="BC355" s="26"/>
      <c r="BD355" s="26"/>
      <c r="BE355" s="73"/>
      <c r="BF355" s="74"/>
      <c r="BG355" s="75" t="str">
        <f aca="false">IF(LEN(BF355)=11,"PF",IF(LEN(BF355)=14,"PJ",""))</f>
        <v/>
      </c>
      <c r="BH355" s="66"/>
      <c r="BI355" s="58" t="str">
        <f aca="false">IF(BH355&lt;&gt;"",VLOOKUP(BH355,Selects!$G:$H,2,0),"")</f>
        <v/>
      </c>
      <c r="BJ355" s="58"/>
      <c r="BK355" s="58"/>
      <c r="BL355" s="59"/>
      <c r="BM355" s="58"/>
      <c r="BN355" s="58"/>
      <c r="BO355" s="58" t="str">
        <f aca="false">IF(BN355&lt;&gt;"",VLOOKUP(BN355,Selects!$J$4:$K$1000,2,0),"")</f>
        <v/>
      </c>
      <c r="BP355" s="76"/>
      <c r="BQ355" s="59"/>
      <c r="BR355" s="77"/>
      <c r="BS355" s="59"/>
      <c r="BT355" s="77"/>
      <c r="BU355" s="58"/>
      <c r="BV355" s="58"/>
      <c r="BW355" s="58"/>
      <c r="BX355" s="58"/>
      <c r="BY355" s="58"/>
      <c r="BZ355" s="58"/>
      <c r="CA355" s="58"/>
      <c r="CB355" s="72" t="str">
        <f aca="false">IF(AC355&lt;&gt;"",VLOOKUP(AC355,Selects!$B:$E,4,0),"")</f>
        <v/>
      </c>
      <c r="CC355" s="58"/>
      <c r="CD355" s="58"/>
      <c r="CE355" s="58"/>
    </row>
    <row r="356" customFormat="false" ht="15.75" hidden="false" customHeight="true" outlineLevel="0" collapsed="false">
      <c r="A356" s="17"/>
      <c r="B356" s="58"/>
      <c r="C356" s="58"/>
      <c r="D356" s="59"/>
      <c r="E356" s="60" t="str">
        <f aca="false">IF(LEN(D356)=11,"PF",IF(LEN(D356)=14,"PJ",""))</f>
        <v/>
      </c>
      <c r="F356" s="59"/>
      <c r="G356" s="59"/>
      <c r="H356" s="61" t="str">
        <f aca="false">IF(G356&lt;&gt;"",VLOOKUP(G356,'Cnae  mcc  id'!$A:$M,9,0),"")</f>
        <v/>
      </c>
      <c r="I356" s="62"/>
      <c r="J356" s="63" t="str">
        <f aca="false">IF(I356&lt;&gt;"",VLOOKUP(I356,'Legal Nature'!$E$2:$G$84,3,0),"")</f>
        <v/>
      </c>
      <c r="K356" s="64"/>
      <c r="L356" s="65"/>
      <c r="M356" s="66"/>
      <c r="N356" s="66"/>
      <c r="O356" s="79"/>
      <c r="P356" s="26"/>
      <c r="Q356" s="58"/>
      <c r="R356" s="58"/>
      <c r="S356" s="80"/>
      <c r="T356" s="68" t="str">
        <f aca="false">IF(LEFT(S356,1)="9","Celular",IF(S356="","","Fixo"))</f>
        <v/>
      </c>
      <c r="U356" s="58" t="str">
        <f aca="false">IF( T356&lt;&gt;"",VLOOKUP(T356,Selects!$M$4:$N$1000,2,0),"")</f>
        <v/>
      </c>
      <c r="V356" s="26"/>
      <c r="W356" s="58"/>
      <c r="X356" s="58"/>
      <c r="Y356" s="58"/>
      <c r="Z356" s="58"/>
      <c r="AA356" s="69"/>
      <c r="AB356" s="58"/>
      <c r="AC356" s="58"/>
      <c r="AD356" s="70" t="str">
        <f aca="false">IF(AC356&lt;&gt;"",VLOOKUP(AC356,Selects!$B$4:$C$100,2,0),"")</f>
        <v/>
      </c>
      <c r="AE356" s="26"/>
      <c r="AF356" s="58"/>
      <c r="AG356" s="59"/>
      <c r="AH356" s="65"/>
      <c r="AI356" s="66"/>
      <c r="AJ356" s="66"/>
      <c r="AK356" s="58"/>
      <c r="AL356" s="58"/>
      <c r="AM356" s="68" t="str">
        <f aca="false">IF(LEFT(AL356,1)="9","Celular",IF(AL356="","","Fixo"))</f>
        <v/>
      </c>
      <c r="AN356" s="58" t="str">
        <f aca="false">IF( AM356&lt;&gt;"",VLOOKUP(AM356,Selects!$M$4:$N$1000,2,0),"")</f>
        <v/>
      </c>
      <c r="AO356" s="58"/>
      <c r="AP356" s="59"/>
      <c r="AQ356" s="65"/>
      <c r="AR356" s="58"/>
      <c r="AS356" s="58"/>
      <c r="AT356" s="26"/>
      <c r="AU356" s="58"/>
      <c r="AV356" s="58"/>
      <c r="AW356" s="58"/>
      <c r="AX356" s="58"/>
      <c r="AY356" s="71"/>
      <c r="AZ356" s="58"/>
      <c r="BA356" s="58"/>
      <c r="BB356" s="72" t="str">
        <f aca="false">IF(BA356&lt;&gt;"",VLOOKUP(BA356,Selects!$B$4:$C$100,2,0),"")</f>
        <v/>
      </c>
      <c r="BC356" s="26"/>
      <c r="BD356" s="26"/>
      <c r="BE356" s="73"/>
      <c r="BF356" s="74"/>
      <c r="BG356" s="75" t="str">
        <f aca="false">IF(LEN(BF356)=11,"PF",IF(LEN(BF356)=14,"PJ",""))</f>
        <v/>
      </c>
      <c r="BH356" s="66"/>
      <c r="BI356" s="58" t="str">
        <f aca="false">IF(BH356&lt;&gt;"",VLOOKUP(BH356,Selects!$G:$H,2,0),"")</f>
        <v/>
      </c>
      <c r="BJ356" s="58"/>
      <c r="BK356" s="58"/>
      <c r="BL356" s="59"/>
      <c r="BM356" s="58"/>
      <c r="BN356" s="58"/>
      <c r="BO356" s="58" t="str">
        <f aca="false">IF(BN356&lt;&gt;"",VLOOKUP(BN356,Selects!$J$4:$K$1000,2,0),"")</f>
        <v/>
      </c>
      <c r="BP356" s="76"/>
      <c r="BQ356" s="59"/>
      <c r="BR356" s="77"/>
      <c r="BS356" s="59"/>
      <c r="BT356" s="77"/>
      <c r="BU356" s="58"/>
      <c r="BV356" s="58"/>
      <c r="BW356" s="58"/>
      <c r="BX356" s="58"/>
      <c r="BY356" s="58"/>
      <c r="BZ356" s="58"/>
      <c r="CA356" s="58"/>
      <c r="CB356" s="72" t="str">
        <f aca="false">IF(AC356&lt;&gt;"",VLOOKUP(AC356,Selects!$B:$E,4,0),"")</f>
        <v/>
      </c>
      <c r="CC356" s="58"/>
      <c r="CD356" s="58"/>
      <c r="CE356" s="58"/>
    </row>
    <row r="357" customFormat="false" ht="15.75" hidden="false" customHeight="true" outlineLevel="0" collapsed="false">
      <c r="A357" s="17"/>
      <c r="B357" s="58"/>
      <c r="C357" s="58"/>
      <c r="D357" s="59"/>
      <c r="E357" s="60" t="str">
        <f aca="false">IF(LEN(D357)=11,"PF",IF(LEN(D357)=14,"PJ",""))</f>
        <v/>
      </c>
      <c r="F357" s="59"/>
      <c r="G357" s="59"/>
      <c r="H357" s="61" t="str">
        <f aca="false">IF(G357&lt;&gt;"",VLOOKUP(G357,'Cnae  mcc  id'!$A:$M,9,0),"")</f>
        <v/>
      </c>
      <c r="I357" s="62"/>
      <c r="J357" s="63" t="str">
        <f aca="false">IF(I357&lt;&gt;"",VLOOKUP(I357,'Legal Nature'!$E$2:$G$84,3,0),"")</f>
        <v/>
      </c>
      <c r="K357" s="64"/>
      <c r="L357" s="65"/>
      <c r="M357" s="66"/>
      <c r="N357" s="66"/>
      <c r="O357" s="79"/>
      <c r="P357" s="26"/>
      <c r="Q357" s="58"/>
      <c r="R357" s="58"/>
      <c r="S357" s="80"/>
      <c r="T357" s="68" t="str">
        <f aca="false">IF(LEFT(S357,1)="9","Celular",IF(S357="","","Fixo"))</f>
        <v/>
      </c>
      <c r="U357" s="58" t="str">
        <f aca="false">IF( T357&lt;&gt;"",VLOOKUP(T357,Selects!$M$4:$N$1000,2,0),"")</f>
        <v/>
      </c>
      <c r="V357" s="26"/>
      <c r="W357" s="58"/>
      <c r="X357" s="58"/>
      <c r="Y357" s="58"/>
      <c r="Z357" s="58"/>
      <c r="AA357" s="69"/>
      <c r="AB357" s="58"/>
      <c r="AC357" s="58"/>
      <c r="AD357" s="70" t="str">
        <f aca="false">IF(AC357&lt;&gt;"",VLOOKUP(AC357,Selects!$B$4:$C$100,2,0),"")</f>
        <v/>
      </c>
      <c r="AE357" s="26"/>
      <c r="AF357" s="58"/>
      <c r="AG357" s="59"/>
      <c r="AH357" s="65"/>
      <c r="AI357" s="66"/>
      <c r="AJ357" s="66"/>
      <c r="AK357" s="58"/>
      <c r="AL357" s="58"/>
      <c r="AM357" s="68" t="str">
        <f aca="false">IF(LEFT(AL357,1)="9","Celular",IF(AL357="","","Fixo"))</f>
        <v/>
      </c>
      <c r="AN357" s="58" t="str">
        <f aca="false">IF( AM357&lt;&gt;"",VLOOKUP(AM357,Selects!$M$4:$N$1000,2,0),"")</f>
        <v/>
      </c>
      <c r="AO357" s="58"/>
      <c r="AP357" s="59"/>
      <c r="AQ357" s="65"/>
      <c r="AR357" s="58"/>
      <c r="AS357" s="58"/>
      <c r="AT357" s="26"/>
      <c r="AU357" s="58"/>
      <c r="AV357" s="58"/>
      <c r="AW357" s="58"/>
      <c r="AX357" s="58"/>
      <c r="AY357" s="71"/>
      <c r="AZ357" s="58"/>
      <c r="BA357" s="58"/>
      <c r="BB357" s="72" t="str">
        <f aca="false">IF(BA357&lt;&gt;"",VLOOKUP(BA357,Selects!$B$4:$C$100,2,0),"")</f>
        <v/>
      </c>
      <c r="BC357" s="26"/>
      <c r="BD357" s="26"/>
      <c r="BE357" s="73"/>
      <c r="BF357" s="74"/>
      <c r="BG357" s="75" t="str">
        <f aca="false">IF(LEN(BF357)=11,"PF",IF(LEN(BF357)=14,"PJ",""))</f>
        <v/>
      </c>
      <c r="BH357" s="66"/>
      <c r="BI357" s="58" t="str">
        <f aca="false">IF(BH357&lt;&gt;"",VLOOKUP(BH357,Selects!$G:$H,2,0),"")</f>
        <v/>
      </c>
      <c r="BJ357" s="58"/>
      <c r="BK357" s="58"/>
      <c r="BL357" s="59"/>
      <c r="BM357" s="58"/>
      <c r="BN357" s="58"/>
      <c r="BO357" s="58" t="str">
        <f aca="false">IF(BN357&lt;&gt;"",VLOOKUP(BN357,Selects!$J$4:$K$1000,2,0),"")</f>
        <v/>
      </c>
      <c r="BP357" s="76"/>
      <c r="BQ357" s="59"/>
      <c r="BR357" s="77"/>
      <c r="BS357" s="59"/>
      <c r="BT357" s="77"/>
      <c r="BU357" s="58"/>
      <c r="BV357" s="58"/>
      <c r="BW357" s="58"/>
      <c r="BX357" s="58"/>
      <c r="BY357" s="58"/>
      <c r="BZ357" s="58"/>
      <c r="CA357" s="58"/>
      <c r="CB357" s="72" t="str">
        <f aca="false">IF(AC357&lt;&gt;"",VLOOKUP(AC357,Selects!$B:$E,4,0),"")</f>
        <v/>
      </c>
      <c r="CC357" s="58"/>
      <c r="CD357" s="58"/>
      <c r="CE357" s="58"/>
    </row>
    <row r="358" customFormat="false" ht="15.75" hidden="false" customHeight="true" outlineLevel="0" collapsed="false">
      <c r="A358" s="17"/>
      <c r="B358" s="58"/>
      <c r="C358" s="58"/>
      <c r="D358" s="59"/>
      <c r="E358" s="60" t="str">
        <f aca="false">IF(LEN(D358)=11,"PF",IF(LEN(D358)=14,"PJ",""))</f>
        <v/>
      </c>
      <c r="F358" s="59"/>
      <c r="G358" s="59"/>
      <c r="H358" s="61" t="str">
        <f aca="false">IF(G358&lt;&gt;"",VLOOKUP(G358,'Cnae  mcc  id'!$A:$M,9,0),"")</f>
        <v/>
      </c>
      <c r="I358" s="62"/>
      <c r="J358" s="63" t="str">
        <f aca="false">IF(I358&lt;&gt;"",VLOOKUP(I358,'Legal Nature'!$E$2:$G$84,3,0),"")</f>
        <v/>
      </c>
      <c r="K358" s="64"/>
      <c r="L358" s="65"/>
      <c r="M358" s="66"/>
      <c r="N358" s="66"/>
      <c r="O358" s="79"/>
      <c r="P358" s="26"/>
      <c r="Q358" s="58"/>
      <c r="R358" s="58"/>
      <c r="S358" s="80"/>
      <c r="T358" s="68" t="str">
        <f aca="false">IF(LEFT(S358,1)="9","Celular",IF(S358="","","Fixo"))</f>
        <v/>
      </c>
      <c r="U358" s="58" t="str">
        <f aca="false">IF( T358&lt;&gt;"",VLOOKUP(T358,Selects!$M$4:$N$1000,2,0),"")</f>
        <v/>
      </c>
      <c r="V358" s="26"/>
      <c r="W358" s="58"/>
      <c r="X358" s="58"/>
      <c r="Y358" s="58"/>
      <c r="Z358" s="58"/>
      <c r="AA358" s="69"/>
      <c r="AB358" s="58"/>
      <c r="AC358" s="58"/>
      <c r="AD358" s="70" t="str">
        <f aca="false">IF(AC358&lt;&gt;"",VLOOKUP(AC358,Selects!$B$4:$C$100,2,0),"")</f>
        <v/>
      </c>
      <c r="AE358" s="26"/>
      <c r="AF358" s="58"/>
      <c r="AG358" s="59"/>
      <c r="AH358" s="65"/>
      <c r="AI358" s="66"/>
      <c r="AJ358" s="66"/>
      <c r="AK358" s="58"/>
      <c r="AL358" s="58"/>
      <c r="AM358" s="68" t="str">
        <f aca="false">IF(LEFT(AL358,1)="9","Celular",IF(AL358="","","Fixo"))</f>
        <v/>
      </c>
      <c r="AN358" s="58" t="str">
        <f aca="false">IF( AM358&lt;&gt;"",VLOOKUP(AM358,Selects!$M$4:$N$1000,2,0),"")</f>
        <v/>
      </c>
      <c r="AO358" s="58"/>
      <c r="AP358" s="59"/>
      <c r="AQ358" s="65"/>
      <c r="AR358" s="58"/>
      <c r="AS358" s="58"/>
      <c r="AT358" s="26"/>
      <c r="AU358" s="58"/>
      <c r="AV358" s="58"/>
      <c r="AW358" s="58"/>
      <c r="AX358" s="58"/>
      <c r="AY358" s="71"/>
      <c r="AZ358" s="58"/>
      <c r="BA358" s="58"/>
      <c r="BB358" s="72" t="str">
        <f aca="false">IF(BA358&lt;&gt;"",VLOOKUP(BA358,Selects!$B$4:$C$100,2,0),"")</f>
        <v/>
      </c>
      <c r="BC358" s="26"/>
      <c r="BD358" s="26"/>
      <c r="BE358" s="73"/>
      <c r="BF358" s="74"/>
      <c r="BG358" s="75" t="str">
        <f aca="false">IF(LEN(BF358)=11,"PF",IF(LEN(BF358)=14,"PJ",""))</f>
        <v/>
      </c>
      <c r="BH358" s="66"/>
      <c r="BI358" s="58" t="str">
        <f aca="false">IF(BH358&lt;&gt;"",VLOOKUP(BH358,Selects!$G:$H,2,0),"")</f>
        <v/>
      </c>
      <c r="BJ358" s="58"/>
      <c r="BK358" s="58"/>
      <c r="BL358" s="59"/>
      <c r="BM358" s="58"/>
      <c r="BN358" s="58"/>
      <c r="BO358" s="58" t="str">
        <f aca="false">IF(BN358&lt;&gt;"",VLOOKUP(BN358,Selects!$J$4:$K$1000,2,0),"")</f>
        <v/>
      </c>
      <c r="BP358" s="76"/>
      <c r="BQ358" s="59"/>
      <c r="BR358" s="77"/>
      <c r="BS358" s="59"/>
      <c r="BT358" s="77"/>
      <c r="BU358" s="58"/>
      <c r="BV358" s="58"/>
      <c r="BW358" s="58"/>
      <c r="BX358" s="58"/>
      <c r="BY358" s="58"/>
      <c r="BZ358" s="58"/>
      <c r="CA358" s="58"/>
      <c r="CB358" s="72" t="str">
        <f aca="false">IF(AC358&lt;&gt;"",VLOOKUP(AC358,Selects!$B:$E,4,0),"")</f>
        <v/>
      </c>
      <c r="CC358" s="58"/>
      <c r="CD358" s="58"/>
      <c r="CE358" s="58"/>
    </row>
    <row r="359" customFormat="false" ht="15.75" hidden="false" customHeight="true" outlineLevel="0" collapsed="false">
      <c r="A359" s="17"/>
      <c r="B359" s="58"/>
      <c r="C359" s="58"/>
      <c r="D359" s="59"/>
      <c r="E359" s="60" t="str">
        <f aca="false">IF(LEN(D359)=11,"PF",IF(LEN(D359)=14,"PJ",""))</f>
        <v/>
      </c>
      <c r="F359" s="59"/>
      <c r="G359" s="59"/>
      <c r="H359" s="61" t="str">
        <f aca="false">IF(G359&lt;&gt;"",VLOOKUP(G359,'Cnae  mcc  id'!$A:$M,9,0),"")</f>
        <v/>
      </c>
      <c r="I359" s="62"/>
      <c r="J359" s="63" t="str">
        <f aca="false">IF(I359&lt;&gt;"",VLOOKUP(I359,'Legal Nature'!$E$2:$G$84,3,0),"")</f>
        <v/>
      </c>
      <c r="K359" s="64"/>
      <c r="L359" s="65"/>
      <c r="M359" s="66"/>
      <c r="N359" s="66"/>
      <c r="O359" s="79"/>
      <c r="P359" s="26"/>
      <c r="Q359" s="58"/>
      <c r="R359" s="58"/>
      <c r="S359" s="80"/>
      <c r="T359" s="68" t="str">
        <f aca="false">IF(LEFT(S359,1)="9","Celular",IF(S359="","","Fixo"))</f>
        <v/>
      </c>
      <c r="U359" s="58" t="str">
        <f aca="false">IF( T359&lt;&gt;"",VLOOKUP(T359,Selects!$M$4:$N$1000,2,0),"")</f>
        <v/>
      </c>
      <c r="V359" s="26"/>
      <c r="W359" s="58"/>
      <c r="X359" s="58"/>
      <c r="Y359" s="58"/>
      <c r="Z359" s="58"/>
      <c r="AA359" s="69"/>
      <c r="AB359" s="58"/>
      <c r="AC359" s="58"/>
      <c r="AD359" s="70" t="str">
        <f aca="false">IF(AC359&lt;&gt;"",VLOOKUP(AC359,Selects!$B$4:$C$100,2,0),"")</f>
        <v/>
      </c>
      <c r="AE359" s="26"/>
      <c r="AF359" s="58"/>
      <c r="AG359" s="59"/>
      <c r="AH359" s="65"/>
      <c r="AI359" s="66"/>
      <c r="AJ359" s="66"/>
      <c r="AK359" s="58"/>
      <c r="AL359" s="58"/>
      <c r="AM359" s="68" t="str">
        <f aca="false">IF(LEFT(AL359,1)="9","Celular",IF(AL359="","","Fixo"))</f>
        <v/>
      </c>
      <c r="AN359" s="58" t="str">
        <f aca="false">IF( AM359&lt;&gt;"",VLOOKUP(AM359,Selects!$M$4:$N$1000,2,0),"")</f>
        <v/>
      </c>
      <c r="AO359" s="58"/>
      <c r="AP359" s="59"/>
      <c r="AQ359" s="65"/>
      <c r="AR359" s="58"/>
      <c r="AS359" s="58"/>
      <c r="AT359" s="26"/>
      <c r="AU359" s="58"/>
      <c r="AV359" s="58"/>
      <c r="AW359" s="58"/>
      <c r="AX359" s="58"/>
      <c r="AY359" s="71"/>
      <c r="AZ359" s="58"/>
      <c r="BA359" s="58"/>
      <c r="BB359" s="72" t="str">
        <f aca="false">IF(BA359&lt;&gt;"",VLOOKUP(BA359,Selects!$B$4:$C$100,2,0),"")</f>
        <v/>
      </c>
      <c r="BC359" s="26"/>
      <c r="BD359" s="26"/>
      <c r="BE359" s="73"/>
      <c r="BF359" s="74"/>
      <c r="BG359" s="75" t="str">
        <f aca="false">IF(LEN(BF359)=11,"PF",IF(LEN(BF359)=14,"PJ",""))</f>
        <v/>
      </c>
      <c r="BH359" s="66"/>
      <c r="BI359" s="58" t="str">
        <f aca="false">IF(BH359&lt;&gt;"",VLOOKUP(BH359,Selects!$G:$H,2,0),"")</f>
        <v/>
      </c>
      <c r="BJ359" s="58"/>
      <c r="BK359" s="58"/>
      <c r="BL359" s="59"/>
      <c r="BM359" s="58"/>
      <c r="BN359" s="58"/>
      <c r="BO359" s="58" t="str">
        <f aca="false">IF(BN359&lt;&gt;"",VLOOKUP(BN359,Selects!$J$4:$K$1000,2,0),"")</f>
        <v/>
      </c>
      <c r="BP359" s="76"/>
      <c r="BQ359" s="59"/>
      <c r="BR359" s="77"/>
      <c r="BS359" s="59"/>
      <c r="BT359" s="77"/>
      <c r="BU359" s="58"/>
      <c r="BV359" s="58"/>
      <c r="BW359" s="58"/>
      <c r="BX359" s="58"/>
      <c r="BY359" s="58"/>
      <c r="BZ359" s="58"/>
      <c r="CA359" s="58"/>
      <c r="CB359" s="72" t="str">
        <f aca="false">IF(AC359&lt;&gt;"",VLOOKUP(AC359,Selects!$B:$E,4,0),"")</f>
        <v/>
      </c>
      <c r="CC359" s="58"/>
      <c r="CD359" s="58"/>
      <c r="CE359" s="58"/>
    </row>
    <row r="360" customFormat="false" ht="15.75" hidden="false" customHeight="true" outlineLevel="0" collapsed="false">
      <c r="A360" s="17"/>
      <c r="B360" s="58"/>
      <c r="C360" s="58"/>
      <c r="D360" s="59"/>
      <c r="E360" s="60" t="str">
        <f aca="false">IF(LEN(D360)=11,"PF",IF(LEN(D360)=14,"PJ",""))</f>
        <v/>
      </c>
      <c r="F360" s="59"/>
      <c r="G360" s="59"/>
      <c r="H360" s="61" t="str">
        <f aca="false">IF(G360&lt;&gt;"",VLOOKUP(G360,'Cnae  mcc  id'!$A:$M,9,0),"")</f>
        <v/>
      </c>
      <c r="I360" s="62"/>
      <c r="J360" s="63" t="str">
        <f aca="false">IF(I360&lt;&gt;"",VLOOKUP(I360,'Legal Nature'!$E$2:$G$84,3,0),"")</f>
        <v/>
      </c>
      <c r="K360" s="64"/>
      <c r="L360" s="65"/>
      <c r="M360" s="66"/>
      <c r="N360" s="66"/>
      <c r="O360" s="79"/>
      <c r="P360" s="26"/>
      <c r="Q360" s="58"/>
      <c r="R360" s="58"/>
      <c r="S360" s="80"/>
      <c r="T360" s="68" t="str">
        <f aca="false">IF(LEFT(S360,1)="9","Celular",IF(S360="","","Fixo"))</f>
        <v/>
      </c>
      <c r="U360" s="58" t="str">
        <f aca="false">IF( T360&lt;&gt;"",VLOOKUP(T360,Selects!$M$4:$N$1000,2,0),"")</f>
        <v/>
      </c>
      <c r="V360" s="26"/>
      <c r="W360" s="58"/>
      <c r="X360" s="58"/>
      <c r="Y360" s="58"/>
      <c r="Z360" s="58"/>
      <c r="AA360" s="69"/>
      <c r="AB360" s="58"/>
      <c r="AC360" s="58"/>
      <c r="AD360" s="70" t="str">
        <f aca="false">IF(AC360&lt;&gt;"",VLOOKUP(AC360,Selects!$B$4:$C$100,2,0),"")</f>
        <v/>
      </c>
      <c r="AE360" s="26"/>
      <c r="AF360" s="58"/>
      <c r="AG360" s="59"/>
      <c r="AH360" s="65"/>
      <c r="AI360" s="66"/>
      <c r="AJ360" s="66"/>
      <c r="AK360" s="58"/>
      <c r="AL360" s="58"/>
      <c r="AM360" s="68" t="str">
        <f aca="false">IF(LEFT(AL360,1)="9","Celular",IF(AL360="","","Fixo"))</f>
        <v/>
      </c>
      <c r="AN360" s="58" t="str">
        <f aca="false">IF( AM360&lt;&gt;"",VLOOKUP(AM360,Selects!$M$4:$N$1000,2,0),"")</f>
        <v/>
      </c>
      <c r="AO360" s="58"/>
      <c r="AP360" s="59"/>
      <c r="AQ360" s="65"/>
      <c r="AR360" s="58"/>
      <c r="AS360" s="58"/>
      <c r="AT360" s="26"/>
      <c r="AU360" s="58"/>
      <c r="AV360" s="58"/>
      <c r="AW360" s="58"/>
      <c r="AX360" s="58"/>
      <c r="AY360" s="71"/>
      <c r="AZ360" s="58"/>
      <c r="BA360" s="58"/>
      <c r="BB360" s="72" t="str">
        <f aca="false">IF(BA360&lt;&gt;"",VLOOKUP(BA360,Selects!$B$4:$C$100,2,0),"")</f>
        <v/>
      </c>
      <c r="BC360" s="26"/>
      <c r="BD360" s="26"/>
      <c r="BE360" s="73"/>
      <c r="BF360" s="74"/>
      <c r="BG360" s="75" t="str">
        <f aca="false">IF(LEN(BF360)=11,"PF",IF(LEN(BF360)=14,"PJ",""))</f>
        <v/>
      </c>
      <c r="BH360" s="66"/>
      <c r="BI360" s="58" t="str">
        <f aca="false">IF(BH360&lt;&gt;"",VLOOKUP(BH360,Selects!$G:$H,2,0),"")</f>
        <v/>
      </c>
      <c r="BJ360" s="58"/>
      <c r="BK360" s="58"/>
      <c r="BL360" s="59"/>
      <c r="BM360" s="58"/>
      <c r="BN360" s="58"/>
      <c r="BO360" s="58" t="str">
        <f aca="false">IF(BN360&lt;&gt;"",VLOOKUP(BN360,Selects!$J$4:$K$1000,2,0),"")</f>
        <v/>
      </c>
      <c r="BP360" s="76"/>
      <c r="BQ360" s="59"/>
      <c r="BR360" s="77"/>
      <c r="BS360" s="59"/>
      <c r="BT360" s="77"/>
      <c r="BU360" s="58"/>
      <c r="BV360" s="58"/>
      <c r="BW360" s="58"/>
      <c r="BX360" s="58"/>
      <c r="BY360" s="58"/>
      <c r="BZ360" s="58"/>
      <c r="CA360" s="58"/>
      <c r="CB360" s="72" t="str">
        <f aca="false">IF(AC360&lt;&gt;"",VLOOKUP(AC360,Selects!$B:$E,4,0),"")</f>
        <v/>
      </c>
      <c r="CC360" s="58"/>
      <c r="CD360" s="58"/>
      <c r="CE360" s="58"/>
    </row>
    <row r="361" customFormat="false" ht="15.75" hidden="false" customHeight="true" outlineLevel="0" collapsed="false">
      <c r="A361" s="17"/>
      <c r="B361" s="58"/>
      <c r="C361" s="58"/>
      <c r="D361" s="59"/>
      <c r="E361" s="60" t="str">
        <f aca="false">IF(LEN(D361)=11,"PF",IF(LEN(D361)=14,"PJ",""))</f>
        <v/>
      </c>
      <c r="F361" s="59"/>
      <c r="G361" s="59"/>
      <c r="H361" s="61" t="str">
        <f aca="false">IF(G361&lt;&gt;"",VLOOKUP(G361,'Cnae  mcc  id'!$A:$M,9,0),"")</f>
        <v/>
      </c>
      <c r="I361" s="62"/>
      <c r="J361" s="63" t="str">
        <f aca="false">IF(I361&lt;&gt;"",VLOOKUP(I361,'Legal Nature'!$E$2:$G$84,3,0),"")</f>
        <v/>
      </c>
      <c r="K361" s="64"/>
      <c r="L361" s="65"/>
      <c r="M361" s="66"/>
      <c r="N361" s="66"/>
      <c r="O361" s="79"/>
      <c r="P361" s="26"/>
      <c r="Q361" s="58"/>
      <c r="R361" s="58"/>
      <c r="S361" s="80"/>
      <c r="T361" s="68" t="str">
        <f aca="false">IF(LEFT(S361,1)="9","Celular",IF(S361="","","Fixo"))</f>
        <v/>
      </c>
      <c r="U361" s="58" t="str">
        <f aca="false">IF( T361&lt;&gt;"",VLOOKUP(T361,Selects!$M$4:$N$1000,2,0),"")</f>
        <v/>
      </c>
      <c r="V361" s="26"/>
      <c r="W361" s="58"/>
      <c r="X361" s="58"/>
      <c r="Y361" s="58"/>
      <c r="Z361" s="58"/>
      <c r="AA361" s="69"/>
      <c r="AB361" s="58"/>
      <c r="AC361" s="58"/>
      <c r="AD361" s="70" t="str">
        <f aca="false">IF(AC361&lt;&gt;"",VLOOKUP(AC361,Selects!$B$4:$C$100,2,0),"")</f>
        <v/>
      </c>
      <c r="AE361" s="26"/>
      <c r="AF361" s="58"/>
      <c r="AG361" s="59"/>
      <c r="AH361" s="65"/>
      <c r="AI361" s="66"/>
      <c r="AJ361" s="66"/>
      <c r="AK361" s="58"/>
      <c r="AL361" s="58"/>
      <c r="AM361" s="68" t="str">
        <f aca="false">IF(LEFT(AL361,1)="9","Celular",IF(AL361="","","Fixo"))</f>
        <v/>
      </c>
      <c r="AN361" s="58" t="str">
        <f aca="false">IF( AM361&lt;&gt;"",VLOOKUP(AM361,Selects!$M$4:$N$1000,2,0),"")</f>
        <v/>
      </c>
      <c r="AO361" s="58"/>
      <c r="AP361" s="59"/>
      <c r="AQ361" s="65"/>
      <c r="AR361" s="58"/>
      <c r="AS361" s="58"/>
      <c r="AT361" s="26"/>
      <c r="AU361" s="58"/>
      <c r="AV361" s="58"/>
      <c r="AW361" s="58"/>
      <c r="AX361" s="58"/>
      <c r="AY361" s="71"/>
      <c r="AZ361" s="58"/>
      <c r="BA361" s="58"/>
      <c r="BB361" s="72" t="str">
        <f aca="false">IF(BA361&lt;&gt;"",VLOOKUP(BA361,Selects!$B$4:$C$100,2,0),"")</f>
        <v/>
      </c>
      <c r="BC361" s="26"/>
      <c r="BD361" s="26"/>
      <c r="BE361" s="73"/>
      <c r="BF361" s="74"/>
      <c r="BG361" s="75" t="str">
        <f aca="false">IF(LEN(BF361)=11,"PF",IF(LEN(BF361)=14,"PJ",""))</f>
        <v/>
      </c>
      <c r="BH361" s="66"/>
      <c r="BI361" s="58" t="str">
        <f aca="false">IF(BH361&lt;&gt;"",VLOOKUP(BH361,Selects!$G:$H,2,0),"")</f>
        <v/>
      </c>
      <c r="BJ361" s="58"/>
      <c r="BK361" s="58"/>
      <c r="BL361" s="59"/>
      <c r="BM361" s="58"/>
      <c r="BN361" s="58"/>
      <c r="BO361" s="58" t="str">
        <f aca="false">IF(BN361&lt;&gt;"",VLOOKUP(BN361,Selects!$J$4:$K$1000,2,0),"")</f>
        <v/>
      </c>
      <c r="BP361" s="76"/>
      <c r="BQ361" s="59"/>
      <c r="BR361" s="77"/>
      <c r="BS361" s="59"/>
      <c r="BT361" s="77"/>
      <c r="BU361" s="58"/>
      <c r="BV361" s="58"/>
      <c r="BW361" s="58"/>
      <c r="BX361" s="58"/>
      <c r="BY361" s="58"/>
      <c r="BZ361" s="58"/>
      <c r="CA361" s="58"/>
      <c r="CB361" s="72" t="str">
        <f aca="false">IF(AC361&lt;&gt;"",VLOOKUP(AC361,Selects!$B:$E,4,0),"")</f>
        <v/>
      </c>
      <c r="CC361" s="58"/>
      <c r="CD361" s="58"/>
      <c r="CE361" s="58"/>
    </row>
    <row r="362" customFormat="false" ht="15.75" hidden="false" customHeight="true" outlineLevel="0" collapsed="false">
      <c r="A362" s="17"/>
      <c r="B362" s="58"/>
      <c r="C362" s="58"/>
      <c r="D362" s="59"/>
      <c r="E362" s="60" t="str">
        <f aca="false">IF(LEN(D362)=11,"PF",IF(LEN(D362)=14,"PJ",""))</f>
        <v/>
      </c>
      <c r="F362" s="59"/>
      <c r="G362" s="59"/>
      <c r="H362" s="61" t="str">
        <f aca="false">IF(G362&lt;&gt;"",VLOOKUP(G362,'Cnae  mcc  id'!$A:$M,9,0),"")</f>
        <v/>
      </c>
      <c r="I362" s="62"/>
      <c r="J362" s="63" t="str">
        <f aca="false">IF(I362&lt;&gt;"",VLOOKUP(I362,'Legal Nature'!$E$2:$G$84,3,0),"")</f>
        <v/>
      </c>
      <c r="K362" s="64"/>
      <c r="L362" s="65"/>
      <c r="M362" s="66"/>
      <c r="N362" s="66"/>
      <c r="O362" s="79"/>
      <c r="P362" s="26"/>
      <c r="Q362" s="58"/>
      <c r="R362" s="58"/>
      <c r="S362" s="80"/>
      <c r="T362" s="68" t="str">
        <f aca="false">IF(LEFT(S362,1)="9","Celular",IF(S362="","","Fixo"))</f>
        <v/>
      </c>
      <c r="U362" s="58" t="str">
        <f aca="false">IF( T362&lt;&gt;"",VLOOKUP(T362,Selects!$M$4:$N$1000,2,0),"")</f>
        <v/>
      </c>
      <c r="V362" s="26"/>
      <c r="W362" s="58"/>
      <c r="X362" s="58"/>
      <c r="Y362" s="58"/>
      <c r="Z362" s="58"/>
      <c r="AA362" s="69"/>
      <c r="AB362" s="58"/>
      <c r="AC362" s="58"/>
      <c r="AD362" s="70" t="str">
        <f aca="false">IF(AC362&lt;&gt;"",VLOOKUP(AC362,Selects!$B$4:$C$100,2,0),"")</f>
        <v/>
      </c>
      <c r="AE362" s="26"/>
      <c r="AF362" s="58"/>
      <c r="AG362" s="59"/>
      <c r="AH362" s="65"/>
      <c r="AI362" s="66"/>
      <c r="AJ362" s="66"/>
      <c r="AK362" s="58"/>
      <c r="AL362" s="58"/>
      <c r="AM362" s="68" t="str">
        <f aca="false">IF(LEFT(AL362,1)="9","Celular",IF(AL362="","","Fixo"))</f>
        <v/>
      </c>
      <c r="AN362" s="58" t="str">
        <f aca="false">IF( AM362&lt;&gt;"",VLOOKUP(AM362,Selects!$M$4:$N$1000,2,0),"")</f>
        <v/>
      </c>
      <c r="AO362" s="58"/>
      <c r="AP362" s="59"/>
      <c r="AQ362" s="65"/>
      <c r="AR362" s="58"/>
      <c r="AS362" s="58"/>
      <c r="AT362" s="26"/>
      <c r="AU362" s="58"/>
      <c r="AV362" s="58"/>
      <c r="AW362" s="58"/>
      <c r="AX362" s="58"/>
      <c r="AY362" s="71"/>
      <c r="AZ362" s="58"/>
      <c r="BA362" s="58"/>
      <c r="BB362" s="72" t="str">
        <f aca="false">IF(BA362&lt;&gt;"",VLOOKUP(BA362,Selects!$B$4:$C$100,2,0),"")</f>
        <v/>
      </c>
      <c r="BC362" s="26"/>
      <c r="BD362" s="26"/>
      <c r="BE362" s="73"/>
      <c r="BF362" s="74"/>
      <c r="BG362" s="75" t="str">
        <f aca="false">IF(LEN(BF362)=11,"PF",IF(LEN(BF362)=14,"PJ",""))</f>
        <v/>
      </c>
      <c r="BH362" s="66"/>
      <c r="BI362" s="58" t="str">
        <f aca="false">IF(BH362&lt;&gt;"",VLOOKUP(BH362,Selects!$G:$H,2,0),"")</f>
        <v/>
      </c>
      <c r="BJ362" s="58"/>
      <c r="BK362" s="58"/>
      <c r="BL362" s="59"/>
      <c r="BM362" s="58"/>
      <c r="BN362" s="58"/>
      <c r="BO362" s="58" t="str">
        <f aca="false">IF(BN362&lt;&gt;"",VLOOKUP(BN362,Selects!$J$4:$K$1000,2,0),"")</f>
        <v/>
      </c>
      <c r="BP362" s="76"/>
      <c r="BQ362" s="59"/>
      <c r="BR362" s="77"/>
      <c r="BS362" s="59"/>
      <c r="BT362" s="77"/>
      <c r="BU362" s="58"/>
      <c r="BV362" s="58"/>
      <c r="BW362" s="58"/>
      <c r="BX362" s="58"/>
      <c r="BY362" s="58"/>
      <c r="BZ362" s="58"/>
      <c r="CA362" s="58"/>
      <c r="CB362" s="72" t="str">
        <f aca="false">IF(AC362&lt;&gt;"",VLOOKUP(AC362,Selects!$B:$E,4,0),"")</f>
        <v/>
      </c>
      <c r="CC362" s="58"/>
      <c r="CD362" s="58"/>
      <c r="CE362" s="58"/>
    </row>
    <row r="363" customFormat="false" ht="15.75" hidden="false" customHeight="true" outlineLevel="0" collapsed="false">
      <c r="A363" s="17"/>
      <c r="B363" s="58"/>
      <c r="C363" s="58"/>
      <c r="D363" s="59"/>
      <c r="E363" s="60" t="str">
        <f aca="false">IF(LEN(D363)=11,"PF",IF(LEN(D363)=14,"PJ",""))</f>
        <v/>
      </c>
      <c r="F363" s="59"/>
      <c r="G363" s="59"/>
      <c r="H363" s="61" t="str">
        <f aca="false">IF(G363&lt;&gt;"",VLOOKUP(G363,'Cnae  mcc  id'!$A:$M,9,0),"")</f>
        <v/>
      </c>
      <c r="I363" s="62"/>
      <c r="J363" s="63" t="str">
        <f aca="false">IF(I363&lt;&gt;"",VLOOKUP(I363,'Legal Nature'!$E$2:$G$84,3,0),"")</f>
        <v/>
      </c>
      <c r="K363" s="64"/>
      <c r="L363" s="65"/>
      <c r="M363" s="66"/>
      <c r="N363" s="66"/>
      <c r="O363" s="79"/>
      <c r="P363" s="26"/>
      <c r="Q363" s="58"/>
      <c r="R363" s="58"/>
      <c r="S363" s="80"/>
      <c r="T363" s="68" t="str">
        <f aca="false">IF(LEFT(S363,1)="9","Celular",IF(S363="","","Fixo"))</f>
        <v/>
      </c>
      <c r="U363" s="58" t="str">
        <f aca="false">IF( T363&lt;&gt;"",VLOOKUP(T363,Selects!$M$4:$N$1000,2,0),"")</f>
        <v/>
      </c>
      <c r="V363" s="26"/>
      <c r="W363" s="58"/>
      <c r="X363" s="58"/>
      <c r="Y363" s="58"/>
      <c r="Z363" s="58"/>
      <c r="AA363" s="69"/>
      <c r="AB363" s="58"/>
      <c r="AC363" s="58"/>
      <c r="AD363" s="70" t="str">
        <f aca="false">IF(AC363&lt;&gt;"",VLOOKUP(AC363,Selects!$B$4:$C$100,2,0),"")</f>
        <v/>
      </c>
      <c r="AE363" s="26"/>
      <c r="AF363" s="58"/>
      <c r="AG363" s="59"/>
      <c r="AH363" s="65"/>
      <c r="AI363" s="66"/>
      <c r="AJ363" s="66"/>
      <c r="AK363" s="58"/>
      <c r="AL363" s="58"/>
      <c r="AM363" s="68" t="str">
        <f aca="false">IF(LEFT(AL363,1)="9","Celular",IF(AL363="","","Fixo"))</f>
        <v/>
      </c>
      <c r="AN363" s="58" t="str">
        <f aca="false">IF( AM363&lt;&gt;"",VLOOKUP(AM363,Selects!$M$4:$N$1000,2,0),"")</f>
        <v/>
      </c>
      <c r="AO363" s="58"/>
      <c r="AP363" s="59"/>
      <c r="AQ363" s="65"/>
      <c r="AR363" s="58"/>
      <c r="AS363" s="58"/>
      <c r="AT363" s="26"/>
      <c r="AU363" s="58"/>
      <c r="AV363" s="58"/>
      <c r="AW363" s="58"/>
      <c r="AX363" s="58"/>
      <c r="AY363" s="71"/>
      <c r="AZ363" s="58"/>
      <c r="BA363" s="58"/>
      <c r="BB363" s="72" t="str">
        <f aca="false">IF(BA363&lt;&gt;"",VLOOKUP(BA363,Selects!$B$4:$C$100,2,0),"")</f>
        <v/>
      </c>
      <c r="BC363" s="26"/>
      <c r="BD363" s="26"/>
      <c r="BE363" s="73"/>
      <c r="BF363" s="74"/>
      <c r="BG363" s="75" t="str">
        <f aca="false">IF(LEN(BF363)=11,"PF",IF(LEN(BF363)=14,"PJ",""))</f>
        <v/>
      </c>
      <c r="BH363" s="66"/>
      <c r="BI363" s="58" t="str">
        <f aca="false">IF(BH363&lt;&gt;"",VLOOKUP(BH363,Selects!$G:$H,2,0),"")</f>
        <v/>
      </c>
      <c r="BJ363" s="58"/>
      <c r="BK363" s="58"/>
      <c r="BL363" s="59"/>
      <c r="BM363" s="58"/>
      <c r="BN363" s="58"/>
      <c r="BO363" s="58" t="str">
        <f aca="false">IF(BN363&lt;&gt;"",VLOOKUP(BN363,Selects!$J$4:$K$1000,2,0),"")</f>
        <v/>
      </c>
      <c r="BP363" s="76"/>
      <c r="BQ363" s="59"/>
      <c r="BR363" s="77"/>
      <c r="BS363" s="59"/>
      <c r="BT363" s="77"/>
      <c r="BU363" s="58"/>
      <c r="BV363" s="58"/>
      <c r="BW363" s="58"/>
      <c r="BX363" s="58"/>
      <c r="BY363" s="58"/>
      <c r="BZ363" s="58"/>
      <c r="CA363" s="58"/>
      <c r="CB363" s="72" t="str">
        <f aca="false">IF(AC363&lt;&gt;"",VLOOKUP(AC363,Selects!$B:$E,4,0),"")</f>
        <v/>
      </c>
      <c r="CC363" s="58"/>
      <c r="CD363" s="58"/>
      <c r="CE363" s="58"/>
    </row>
    <row r="364" customFormat="false" ht="15.75" hidden="false" customHeight="true" outlineLevel="0" collapsed="false">
      <c r="A364" s="17"/>
      <c r="B364" s="58"/>
      <c r="C364" s="58"/>
      <c r="D364" s="59"/>
      <c r="E364" s="60" t="str">
        <f aca="false">IF(LEN(D364)=11,"PF",IF(LEN(D364)=14,"PJ",""))</f>
        <v/>
      </c>
      <c r="F364" s="59"/>
      <c r="G364" s="59"/>
      <c r="H364" s="61" t="str">
        <f aca="false">IF(G364&lt;&gt;"",VLOOKUP(G364,'Cnae  mcc  id'!$A:$M,9,0),"")</f>
        <v/>
      </c>
      <c r="I364" s="62"/>
      <c r="J364" s="63" t="str">
        <f aca="false">IF(I364&lt;&gt;"",VLOOKUP(I364,'Legal Nature'!$E$2:$G$84,3,0),"")</f>
        <v/>
      </c>
      <c r="K364" s="64"/>
      <c r="L364" s="65"/>
      <c r="M364" s="66"/>
      <c r="N364" s="66"/>
      <c r="O364" s="79"/>
      <c r="P364" s="26"/>
      <c r="Q364" s="58"/>
      <c r="R364" s="58"/>
      <c r="S364" s="80"/>
      <c r="T364" s="68" t="str">
        <f aca="false">IF(LEFT(S364,1)="9","Celular",IF(S364="","","Fixo"))</f>
        <v/>
      </c>
      <c r="U364" s="58" t="str">
        <f aca="false">IF( T364&lt;&gt;"",VLOOKUP(T364,Selects!$M$4:$N$1000,2,0),"")</f>
        <v/>
      </c>
      <c r="V364" s="26"/>
      <c r="W364" s="58"/>
      <c r="X364" s="58"/>
      <c r="Y364" s="58"/>
      <c r="Z364" s="58"/>
      <c r="AA364" s="69"/>
      <c r="AB364" s="58"/>
      <c r="AC364" s="58"/>
      <c r="AD364" s="70" t="str">
        <f aca="false">IF(AC364&lt;&gt;"",VLOOKUP(AC364,Selects!$B$4:$C$100,2,0),"")</f>
        <v/>
      </c>
      <c r="AE364" s="26"/>
      <c r="AF364" s="58"/>
      <c r="AG364" s="59"/>
      <c r="AH364" s="65"/>
      <c r="AI364" s="66"/>
      <c r="AJ364" s="66"/>
      <c r="AK364" s="58"/>
      <c r="AL364" s="58"/>
      <c r="AM364" s="68" t="str">
        <f aca="false">IF(LEFT(AL364,1)="9","Celular",IF(AL364="","","Fixo"))</f>
        <v/>
      </c>
      <c r="AN364" s="58" t="str">
        <f aca="false">IF( AM364&lt;&gt;"",VLOOKUP(AM364,Selects!$M$4:$N$1000,2,0),"")</f>
        <v/>
      </c>
      <c r="AO364" s="58"/>
      <c r="AP364" s="59"/>
      <c r="AQ364" s="65"/>
      <c r="AR364" s="58"/>
      <c r="AS364" s="58"/>
      <c r="AT364" s="26"/>
      <c r="AU364" s="58"/>
      <c r="AV364" s="58"/>
      <c r="AW364" s="58"/>
      <c r="AX364" s="58"/>
      <c r="AY364" s="71"/>
      <c r="AZ364" s="58"/>
      <c r="BA364" s="58"/>
      <c r="BB364" s="72" t="str">
        <f aca="false">IF(BA364&lt;&gt;"",VLOOKUP(BA364,Selects!$B$4:$C$100,2,0),"")</f>
        <v/>
      </c>
      <c r="BC364" s="26"/>
      <c r="BD364" s="26"/>
      <c r="BE364" s="73"/>
      <c r="BF364" s="74"/>
      <c r="BG364" s="75" t="str">
        <f aca="false">IF(LEN(BF364)=11,"PF",IF(LEN(BF364)=14,"PJ",""))</f>
        <v/>
      </c>
      <c r="BH364" s="66"/>
      <c r="BI364" s="58" t="str">
        <f aca="false">IF(BH364&lt;&gt;"",VLOOKUP(BH364,Selects!$G:$H,2,0),"")</f>
        <v/>
      </c>
      <c r="BJ364" s="58"/>
      <c r="BK364" s="58"/>
      <c r="BL364" s="59"/>
      <c r="BM364" s="58"/>
      <c r="BN364" s="58"/>
      <c r="BO364" s="58" t="str">
        <f aca="false">IF(BN364&lt;&gt;"",VLOOKUP(BN364,Selects!$J$4:$K$1000,2,0),"")</f>
        <v/>
      </c>
      <c r="BP364" s="76"/>
      <c r="BQ364" s="59"/>
      <c r="BR364" s="77"/>
      <c r="BS364" s="59"/>
      <c r="BT364" s="77"/>
      <c r="BU364" s="58"/>
      <c r="BV364" s="58"/>
      <c r="BW364" s="58"/>
      <c r="BX364" s="58"/>
      <c r="BY364" s="58"/>
      <c r="BZ364" s="58"/>
      <c r="CA364" s="58"/>
      <c r="CB364" s="72" t="str">
        <f aca="false">IF(AC364&lt;&gt;"",VLOOKUP(AC364,Selects!$B:$E,4,0),"")</f>
        <v/>
      </c>
      <c r="CC364" s="58"/>
      <c r="CD364" s="58"/>
      <c r="CE364" s="58"/>
    </row>
    <row r="365" customFormat="false" ht="15.75" hidden="false" customHeight="true" outlineLevel="0" collapsed="false">
      <c r="A365" s="17"/>
      <c r="B365" s="58"/>
      <c r="C365" s="58"/>
      <c r="D365" s="59"/>
      <c r="E365" s="60" t="str">
        <f aca="false">IF(LEN(D365)=11,"PF",IF(LEN(D365)=14,"PJ",""))</f>
        <v/>
      </c>
      <c r="F365" s="59"/>
      <c r="G365" s="59"/>
      <c r="H365" s="61" t="str">
        <f aca="false">IF(G365&lt;&gt;"",VLOOKUP(G365,'Cnae  mcc  id'!$A:$M,9,0),"")</f>
        <v/>
      </c>
      <c r="I365" s="62"/>
      <c r="J365" s="63" t="str">
        <f aca="false">IF(I365&lt;&gt;"",VLOOKUP(I365,'Legal Nature'!$E$2:$G$84,3,0),"")</f>
        <v/>
      </c>
      <c r="K365" s="64"/>
      <c r="L365" s="65"/>
      <c r="M365" s="66"/>
      <c r="N365" s="66"/>
      <c r="O365" s="79"/>
      <c r="P365" s="26"/>
      <c r="Q365" s="58"/>
      <c r="R365" s="58"/>
      <c r="S365" s="80"/>
      <c r="T365" s="68" t="str">
        <f aca="false">IF(LEFT(S365,1)="9","Celular",IF(S365="","","Fixo"))</f>
        <v/>
      </c>
      <c r="U365" s="58" t="str">
        <f aca="false">IF( T365&lt;&gt;"",VLOOKUP(T365,Selects!$M$4:$N$1000,2,0),"")</f>
        <v/>
      </c>
      <c r="V365" s="26"/>
      <c r="W365" s="58"/>
      <c r="X365" s="58"/>
      <c r="Y365" s="58"/>
      <c r="Z365" s="58"/>
      <c r="AA365" s="69"/>
      <c r="AB365" s="58"/>
      <c r="AC365" s="58"/>
      <c r="AD365" s="70" t="str">
        <f aca="false">IF(AC365&lt;&gt;"",VLOOKUP(AC365,Selects!$B$4:$C$100,2,0),"")</f>
        <v/>
      </c>
      <c r="AE365" s="26"/>
      <c r="AF365" s="58"/>
      <c r="AG365" s="59"/>
      <c r="AH365" s="65"/>
      <c r="AI365" s="66"/>
      <c r="AJ365" s="66"/>
      <c r="AK365" s="58"/>
      <c r="AL365" s="58"/>
      <c r="AM365" s="68" t="str">
        <f aca="false">IF(LEFT(AL365,1)="9","Celular",IF(AL365="","","Fixo"))</f>
        <v/>
      </c>
      <c r="AN365" s="58" t="str">
        <f aca="false">IF( AM365&lt;&gt;"",VLOOKUP(AM365,Selects!$M$4:$N$1000,2,0),"")</f>
        <v/>
      </c>
      <c r="AO365" s="58"/>
      <c r="AP365" s="59"/>
      <c r="AQ365" s="65"/>
      <c r="AR365" s="58"/>
      <c r="AS365" s="58"/>
      <c r="AT365" s="26"/>
      <c r="AU365" s="58"/>
      <c r="AV365" s="58"/>
      <c r="AW365" s="58"/>
      <c r="AX365" s="58"/>
      <c r="AY365" s="71"/>
      <c r="AZ365" s="58"/>
      <c r="BA365" s="58"/>
      <c r="BB365" s="72" t="str">
        <f aca="false">IF(BA365&lt;&gt;"",VLOOKUP(BA365,Selects!$B$4:$C$100,2,0),"")</f>
        <v/>
      </c>
      <c r="BC365" s="26"/>
      <c r="BD365" s="26"/>
      <c r="BE365" s="73"/>
      <c r="BF365" s="74"/>
      <c r="BG365" s="75" t="str">
        <f aca="false">IF(LEN(BF365)=11,"PF",IF(LEN(BF365)=14,"PJ",""))</f>
        <v/>
      </c>
      <c r="BH365" s="66"/>
      <c r="BI365" s="58" t="str">
        <f aca="false">IF(BH365&lt;&gt;"",VLOOKUP(BH365,Selects!$G:$H,2,0),"")</f>
        <v/>
      </c>
      <c r="BJ365" s="58"/>
      <c r="BK365" s="58"/>
      <c r="BL365" s="59"/>
      <c r="BM365" s="58"/>
      <c r="BN365" s="58"/>
      <c r="BO365" s="58" t="str">
        <f aca="false">IF(BN365&lt;&gt;"",VLOOKUP(BN365,Selects!$J$4:$K$1000,2,0),"")</f>
        <v/>
      </c>
      <c r="BP365" s="76"/>
      <c r="BQ365" s="59"/>
      <c r="BR365" s="77"/>
      <c r="BS365" s="59"/>
      <c r="BT365" s="77"/>
      <c r="BU365" s="58"/>
      <c r="BV365" s="58"/>
      <c r="BW365" s="58"/>
      <c r="BX365" s="58"/>
      <c r="BY365" s="58"/>
      <c r="BZ365" s="58"/>
      <c r="CA365" s="58"/>
      <c r="CB365" s="72" t="str">
        <f aca="false">IF(AC365&lt;&gt;"",VLOOKUP(AC365,Selects!$B:$E,4,0),"")</f>
        <v/>
      </c>
      <c r="CC365" s="58"/>
      <c r="CD365" s="58"/>
      <c r="CE365" s="58"/>
    </row>
    <row r="366" customFormat="false" ht="15.75" hidden="false" customHeight="true" outlineLevel="0" collapsed="false">
      <c r="A366" s="17"/>
      <c r="B366" s="58"/>
      <c r="C366" s="58"/>
      <c r="D366" s="59"/>
      <c r="E366" s="60" t="str">
        <f aca="false">IF(LEN(D366)=11,"PF",IF(LEN(D366)=14,"PJ",""))</f>
        <v/>
      </c>
      <c r="F366" s="59"/>
      <c r="G366" s="59"/>
      <c r="H366" s="61" t="str">
        <f aca="false">IF(G366&lt;&gt;"",VLOOKUP(G366,'Cnae  mcc  id'!$A:$M,9,0),"")</f>
        <v/>
      </c>
      <c r="I366" s="62"/>
      <c r="J366" s="63" t="str">
        <f aca="false">IF(I366&lt;&gt;"",VLOOKUP(I366,'Legal Nature'!$E$2:$G$84,3,0),"")</f>
        <v/>
      </c>
      <c r="K366" s="64"/>
      <c r="L366" s="65"/>
      <c r="M366" s="66"/>
      <c r="N366" s="66"/>
      <c r="O366" s="79"/>
      <c r="P366" s="26"/>
      <c r="Q366" s="58"/>
      <c r="R366" s="58"/>
      <c r="S366" s="80"/>
      <c r="T366" s="68" t="str">
        <f aca="false">IF(LEFT(S366,1)="9","Celular",IF(S366="","","Fixo"))</f>
        <v/>
      </c>
      <c r="U366" s="58" t="str">
        <f aca="false">IF( T366&lt;&gt;"",VLOOKUP(T366,Selects!$M$4:$N$1000,2,0),"")</f>
        <v/>
      </c>
      <c r="V366" s="26"/>
      <c r="W366" s="58"/>
      <c r="X366" s="58"/>
      <c r="Y366" s="58"/>
      <c r="Z366" s="58"/>
      <c r="AA366" s="69"/>
      <c r="AB366" s="58"/>
      <c r="AC366" s="58"/>
      <c r="AD366" s="70" t="str">
        <f aca="false">IF(AC366&lt;&gt;"",VLOOKUP(AC366,Selects!$B$4:$C$100,2,0),"")</f>
        <v/>
      </c>
      <c r="AE366" s="26"/>
      <c r="AF366" s="58"/>
      <c r="AG366" s="59"/>
      <c r="AH366" s="65"/>
      <c r="AI366" s="66"/>
      <c r="AJ366" s="66"/>
      <c r="AK366" s="58"/>
      <c r="AL366" s="58"/>
      <c r="AM366" s="68" t="str">
        <f aca="false">IF(LEFT(AL366,1)="9","Celular",IF(AL366="","","Fixo"))</f>
        <v/>
      </c>
      <c r="AN366" s="58" t="str">
        <f aca="false">IF( AM366&lt;&gt;"",VLOOKUP(AM366,Selects!$M$4:$N$1000,2,0),"")</f>
        <v/>
      </c>
      <c r="AO366" s="58"/>
      <c r="AP366" s="59"/>
      <c r="AQ366" s="65"/>
      <c r="AR366" s="58"/>
      <c r="AS366" s="58"/>
      <c r="AT366" s="26"/>
      <c r="AU366" s="58"/>
      <c r="AV366" s="58"/>
      <c r="AW366" s="58"/>
      <c r="AX366" s="58"/>
      <c r="AY366" s="71"/>
      <c r="AZ366" s="58"/>
      <c r="BA366" s="58"/>
      <c r="BB366" s="72" t="str">
        <f aca="false">IF(BA366&lt;&gt;"",VLOOKUP(BA366,Selects!$B$4:$C$100,2,0),"")</f>
        <v/>
      </c>
      <c r="BC366" s="26"/>
      <c r="BD366" s="26"/>
      <c r="BE366" s="73"/>
      <c r="BF366" s="74"/>
      <c r="BG366" s="75" t="str">
        <f aca="false">IF(LEN(BF366)=11,"PF",IF(LEN(BF366)=14,"PJ",""))</f>
        <v/>
      </c>
      <c r="BH366" s="66"/>
      <c r="BI366" s="58" t="str">
        <f aca="false">IF(BH366&lt;&gt;"",VLOOKUP(BH366,Selects!$G:$H,2,0),"")</f>
        <v/>
      </c>
      <c r="BJ366" s="58"/>
      <c r="BK366" s="58"/>
      <c r="BL366" s="59"/>
      <c r="BM366" s="58"/>
      <c r="BN366" s="58"/>
      <c r="BO366" s="58" t="str">
        <f aca="false">IF(BN366&lt;&gt;"",VLOOKUP(BN366,Selects!$J$4:$K$1000,2,0),"")</f>
        <v/>
      </c>
      <c r="BP366" s="76"/>
      <c r="BQ366" s="59"/>
      <c r="BR366" s="77"/>
      <c r="BS366" s="59"/>
      <c r="BT366" s="77"/>
      <c r="BU366" s="58"/>
      <c r="BV366" s="58"/>
      <c r="BW366" s="58"/>
      <c r="BX366" s="58"/>
      <c r="BY366" s="58"/>
      <c r="BZ366" s="58"/>
      <c r="CA366" s="58"/>
      <c r="CB366" s="72" t="str">
        <f aca="false">IF(AC366&lt;&gt;"",VLOOKUP(AC366,Selects!$B:$E,4,0),"")</f>
        <v/>
      </c>
      <c r="CC366" s="58"/>
      <c r="CD366" s="58"/>
      <c r="CE366" s="58"/>
    </row>
    <row r="367" customFormat="false" ht="15.75" hidden="false" customHeight="true" outlineLevel="0" collapsed="false">
      <c r="A367" s="17"/>
      <c r="B367" s="58"/>
      <c r="C367" s="58"/>
      <c r="D367" s="59"/>
      <c r="E367" s="60" t="str">
        <f aca="false">IF(LEN(D367)=11,"PF",IF(LEN(D367)=14,"PJ",""))</f>
        <v/>
      </c>
      <c r="F367" s="59"/>
      <c r="G367" s="59"/>
      <c r="H367" s="61" t="str">
        <f aca="false">IF(G367&lt;&gt;"",VLOOKUP(G367,'Cnae  mcc  id'!$A:$M,9,0),"")</f>
        <v/>
      </c>
      <c r="I367" s="62"/>
      <c r="J367" s="63" t="str">
        <f aca="false">IF(I367&lt;&gt;"",VLOOKUP(I367,'Legal Nature'!$E$2:$G$84,3,0),"")</f>
        <v/>
      </c>
      <c r="K367" s="64"/>
      <c r="L367" s="65"/>
      <c r="M367" s="66"/>
      <c r="N367" s="66"/>
      <c r="O367" s="79"/>
      <c r="P367" s="26"/>
      <c r="Q367" s="58"/>
      <c r="R367" s="58"/>
      <c r="S367" s="80"/>
      <c r="T367" s="68" t="str">
        <f aca="false">IF(LEFT(S367,1)="9","Celular",IF(S367="","","Fixo"))</f>
        <v/>
      </c>
      <c r="U367" s="58" t="str">
        <f aca="false">IF( T367&lt;&gt;"",VLOOKUP(T367,Selects!$M$4:$N$1000,2,0),"")</f>
        <v/>
      </c>
      <c r="V367" s="26"/>
      <c r="W367" s="58"/>
      <c r="X367" s="58"/>
      <c r="Y367" s="58"/>
      <c r="Z367" s="58"/>
      <c r="AA367" s="69"/>
      <c r="AB367" s="58"/>
      <c r="AC367" s="58"/>
      <c r="AD367" s="70" t="str">
        <f aca="false">IF(AC367&lt;&gt;"",VLOOKUP(AC367,Selects!$B$4:$C$100,2,0),"")</f>
        <v/>
      </c>
      <c r="AE367" s="26"/>
      <c r="AF367" s="58"/>
      <c r="AG367" s="59"/>
      <c r="AH367" s="65"/>
      <c r="AI367" s="66"/>
      <c r="AJ367" s="66"/>
      <c r="AK367" s="58"/>
      <c r="AL367" s="58"/>
      <c r="AM367" s="68" t="str">
        <f aca="false">IF(LEFT(AL367,1)="9","Celular",IF(AL367="","","Fixo"))</f>
        <v/>
      </c>
      <c r="AN367" s="58" t="str">
        <f aca="false">IF( AM367&lt;&gt;"",VLOOKUP(AM367,Selects!$M$4:$N$1000,2,0),"")</f>
        <v/>
      </c>
      <c r="AO367" s="58"/>
      <c r="AP367" s="59"/>
      <c r="AQ367" s="65"/>
      <c r="AR367" s="58"/>
      <c r="AS367" s="58"/>
      <c r="AT367" s="26"/>
      <c r="AU367" s="58"/>
      <c r="AV367" s="58"/>
      <c r="AW367" s="58"/>
      <c r="AX367" s="58"/>
      <c r="AY367" s="71"/>
      <c r="AZ367" s="58"/>
      <c r="BA367" s="58"/>
      <c r="BB367" s="72" t="str">
        <f aca="false">IF(BA367&lt;&gt;"",VLOOKUP(BA367,Selects!$B$4:$C$100,2,0),"")</f>
        <v/>
      </c>
      <c r="BC367" s="26"/>
      <c r="BD367" s="26"/>
      <c r="BE367" s="73"/>
      <c r="BF367" s="74"/>
      <c r="BG367" s="75" t="str">
        <f aca="false">IF(LEN(BF367)=11,"PF",IF(LEN(BF367)=14,"PJ",""))</f>
        <v/>
      </c>
      <c r="BH367" s="66"/>
      <c r="BI367" s="58" t="str">
        <f aca="false">IF(BH367&lt;&gt;"",VLOOKUP(BH367,Selects!$G:$H,2,0),"")</f>
        <v/>
      </c>
      <c r="BJ367" s="58"/>
      <c r="BK367" s="58"/>
      <c r="BL367" s="59"/>
      <c r="BM367" s="58"/>
      <c r="BN367" s="58"/>
      <c r="BO367" s="58" t="str">
        <f aca="false">IF(BN367&lt;&gt;"",VLOOKUP(BN367,Selects!$J$4:$K$1000,2,0),"")</f>
        <v/>
      </c>
      <c r="BP367" s="76"/>
      <c r="BQ367" s="59"/>
      <c r="BR367" s="77"/>
      <c r="BS367" s="59"/>
      <c r="BT367" s="77"/>
      <c r="BU367" s="58"/>
      <c r="BV367" s="58"/>
      <c r="BW367" s="58"/>
      <c r="BX367" s="58"/>
      <c r="BY367" s="58"/>
      <c r="BZ367" s="58"/>
      <c r="CA367" s="58"/>
      <c r="CB367" s="72" t="str">
        <f aca="false">IF(AC367&lt;&gt;"",VLOOKUP(AC367,Selects!$B:$E,4,0),"")</f>
        <v/>
      </c>
      <c r="CC367" s="58"/>
      <c r="CD367" s="58"/>
      <c r="CE367" s="58"/>
    </row>
    <row r="368" customFormat="false" ht="15.75" hidden="false" customHeight="true" outlineLevel="0" collapsed="false">
      <c r="A368" s="17"/>
      <c r="B368" s="58"/>
      <c r="C368" s="58"/>
      <c r="D368" s="59"/>
      <c r="E368" s="60" t="str">
        <f aca="false">IF(LEN(D368)=11,"PF",IF(LEN(D368)=14,"PJ",""))</f>
        <v/>
      </c>
      <c r="F368" s="59"/>
      <c r="G368" s="59"/>
      <c r="H368" s="61" t="str">
        <f aca="false">IF(G368&lt;&gt;"",VLOOKUP(G368,'Cnae  mcc  id'!$A:$M,9,0),"")</f>
        <v/>
      </c>
      <c r="I368" s="62"/>
      <c r="J368" s="63" t="str">
        <f aca="false">IF(I368&lt;&gt;"",VLOOKUP(I368,'Legal Nature'!$E$2:$G$84,3,0),"")</f>
        <v/>
      </c>
      <c r="K368" s="64"/>
      <c r="L368" s="65"/>
      <c r="M368" s="66"/>
      <c r="N368" s="66"/>
      <c r="O368" s="79"/>
      <c r="P368" s="26"/>
      <c r="Q368" s="58"/>
      <c r="R368" s="58"/>
      <c r="S368" s="80"/>
      <c r="T368" s="68" t="str">
        <f aca="false">IF(LEFT(S368,1)="9","Celular",IF(S368="","","Fixo"))</f>
        <v/>
      </c>
      <c r="U368" s="58" t="str">
        <f aca="false">IF( T368&lt;&gt;"",VLOOKUP(T368,Selects!$M$4:$N$1000,2,0),"")</f>
        <v/>
      </c>
      <c r="V368" s="26"/>
      <c r="W368" s="58"/>
      <c r="X368" s="58"/>
      <c r="Y368" s="58"/>
      <c r="Z368" s="58"/>
      <c r="AA368" s="69"/>
      <c r="AB368" s="58"/>
      <c r="AC368" s="58"/>
      <c r="AD368" s="70" t="str">
        <f aca="false">IF(AC368&lt;&gt;"",VLOOKUP(AC368,Selects!$B$4:$C$100,2,0),"")</f>
        <v/>
      </c>
      <c r="AE368" s="26"/>
      <c r="AF368" s="58"/>
      <c r="AG368" s="59"/>
      <c r="AH368" s="65"/>
      <c r="AI368" s="66"/>
      <c r="AJ368" s="66"/>
      <c r="AK368" s="58"/>
      <c r="AL368" s="58"/>
      <c r="AM368" s="68" t="str">
        <f aca="false">IF(LEFT(AL368,1)="9","Celular",IF(AL368="","","Fixo"))</f>
        <v/>
      </c>
      <c r="AN368" s="58" t="str">
        <f aca="false">IF( AM368&lt;&gt;"",VLOOKUP(AM368,Selects!$M$4:$N$1000,2,0),"")</f>
        <v/>
      </c>
      <c r="AO368" s="58"/>
      <c r="AP368" s="59"/>
      <c r="AQ368" s="65"/>
      <c r="AR368" s="58"/>
      <c r="AS368" s="58"/>
      <c r="AT368" s="26"/>
      <c r="AU368" s="58"/>
      <c r="AV368" s="58"/>
      <c r="AW368" s="58"/>
      <c r="AX368" s="58"/>
      <c r="AY368" s="71"/>
      <c r="AZ368" s="58"/>
      <c r="BA368" s="58"/>
      <c r="BB368" s="72" t="str">
        <f aca="false">IF(BA368&lt;&gt;"",VLOOKUP(BA368,Selects!$B$4:$C$100,2,0),"")</f>
        <v/>
      </c>
      <c r="BC368" s="26"/>
      <c r="BD368" s="26"/>
      <c r="BE368" s="73"/>
      <c r="BF368" s="74"/>
      <c r="BG368" s="75" t="str">
        <f aca="false">IF(LEN(BF368)=11,"PF",IF(LEN(BF368)=14,"PJ",""))</f>
        <v/>
      </c>
      <c r="BH368" s="66"/>
      <c r="BI368" s="58" t="str">
        <f aca="false">IF(BH368&lt;&gt;"",VLOOKUP(BH368,Selects!$G:$H,2,0),"")</f>
        <v/>
      </c>
      <c r="BJ368" s="58"/>
      <c r="BK368" s="58"/>
      <c r="BL368" s="59"/>
      <c r="BM368" s="58"/>
      <c r="BN368" s="58"/>
      <c r="BO368" s="58" t="str">
        <f aca="false">IF(BN368&lt;&gt;"",VLOOKUP(BN368,Selects!$J$4:$K$1000,2,0),"")</f>
        <v/>
      </c>
      <c r="BP368" s="76"/>
      <c r="BQ368" s="59"/>
      <c r="BR368" s="77"/>
      <c r="BS368" s="59"/>
      <c r="BT368" s="77"/>
      <c r="BU368" s="58"/>
      <c r="BV368" s="58"/>
      <c r="BW368" s="58"/>
      <c r="BX368" s="58"/>
      <c r="BY368" s="58"/>
      <c r="BZ368" s="58"/>
      <c r="CA368" s="58"/>
      <c r="CB368" s="72" t="str">
        <f aca="false">IF(AC368&lt;&gt;"",VLOOKUP(AC368,Selects!$B:$E,4,0),"")</f>
        <v/>
      </c>
      <c r="CC368" s="58"/>
      <c r="CD368" s="58"/>
      <c r="CE368" s="58"/>
    </row>
    <row r="369" customFormat="false" ht="15.75" hidden="false" customHeight="true" outlineLevel="0" collapsed="false">
      <c r="A369" s="17"/>
      <c r="B369" s="58"/>
      <c r="C369" s="58"/>
      <c r="D369" s="59"/>
      <c r="E369" s="60" t="str">
        <f aca="false">IF(LEN(D369)=11,"PF",IF(LEN(D369)=14,"PJ",""))</f>
        <v/>
      </c>
      <c r="F369" s="59"/>
      <c r="G369" s="59"/>
      <c r="H369" s="61" t="str">
        <f aca="false">IF(G369&lt;&gt;"",VLOOKUP(G369,'Cnae  mcc  id'!$A:$M,9,0),"")</f>
        <v/>
      </c>
      <c r="I369" s="62"/>
      <c r="J369" s="63" t="str">
        <f aca="false">IF(I369&lt;&gt;"",VLOOKUP(I369,'Legal Nature'!$E$2:$G$84,3,0),"")</f>
        <v/>
      </c>
      <c r="K369" s="64"/>
      <c r="L369" s="65"/>
      <c r="M369" s="66"/>
      <c r="N369" s="66"/>
      <c r="O369" s="79"/>
      <c r="P369" s="26"/>
      <c r="Q369" s="58"/>
      <c r="R369" s="58"/>
      <c r="S369" s="80"/>
      <c r="T369" s="68" t="str">
        <f aca="false">IF(LEFT(S369,1)="9","Celular",IF(S369="","","Fixo"))</f>
        <v/>
      </c>
      <c r="U369" s="58" t="str">
        <f aca="false">IF( T369&lt;&gt;"",VLOOKUP(T369,Selects!$M$4:$N$1000,2,0),"")</f>
        <v/>
      </c>
      <c r="V369" s="26"/>
      <c r="W369" s="58"/>
      <c r="X369" s="58"/>
      <c r="Y369" s="58"/>
      <c r="Z369" s="58"/>
      <c r="AA369" s="69"/>
      <c r="AB369" s="58"/>
      <c r="AC369" s="58"/>
      <c r="AD369" s="70" t="str">
        <f aca="false">IF(AC369&lt;&gt;"",VLOOKUP(AC369,Selects!$B$4:$C$100,2,0),"")</f>
        <v/>
      </c>
      <c r="AE369" s="26"/>
      <c r="AF369" s="58"/>
      <c r="AG369" s="59"/>
      <c r="AH369" s="65"/>
      <c r="AI369" s="66"/>
      <c r="AJ369" s="66"/>
      <c r="AK369" s="58"/>
      <c r="AL369" s="58"/>
      <c r="AM369" s="68" t="str">
        <f aca="false">IF(LEFT(AL369,1)="9","Celular",IF(AL369="","","Fixo"))</f>
        <v/>
      </c>
      <c r="AN369" s="58" t="str">
        <f aca="false">IF( AM369&lt;&gt;"",VLOOKUP(AM369,Selects!$M$4:$N$1000,2,0),"")</f>
        <v/>
      </c>
      <c r="AO369" s="58"/>
      <c r="AP369" s="59"/>
      <c r="AQ369" s="65"/>
      <c r="AR369" s="58"/>
      <c r="AS369" s="58"/>
      <c r="AT369" s="26"/>
      <c r="AU369" s="58"/>
      <c r="AV369" s="58"/>
      <c r="AW369" s="58"/>
      <c r="AX369" s="58"/>
      <c r="AY369" s="71"/>
      <c r="AZ369" s="58"/>
      <c r="BA369" s="58"/>
      <c r="BB369" s="72" t="str">
        <f aca="false">IF(BA369&lt;&gt;"",VLOOKUP(BA369,Selects!$B$4:$C$100,2,0),"")</f>
        <v/>
      </c>
      <c r="BC369" s="26"/>
      <c r="BD369" s="26"/>
      <c r="BE369" s="73"/>
      <c r="BF369" s="74"/>
      <c r="BG369" s="75" t="str">
        <f aca="false">IF(LEN(BF369)=11,"PF",IF(LEN(BF369)=14,"PJ",""))</f>
        <v/>
      </c>
      <c r="BH369" s="66"/>
      <c r="BI369" s="58" t="str">
        <f aca="false">IF(BH369&lt;&gt;"",VLOOKUP(BH369,Selects!$G:$H,2,0),"")</f>
        <v/>
      </c>
      <c r="BJ369" s="58"/>
      <c r="BK369" s="58"/>
      <c r="BL369" s="59"/>
      <c r="BM369" s="58"/>
      <c r="BN369" s="58"/>
      <c r="BO369" s="58" t="str">
        <f aca="false">IF(BN369&lt;&gt;"",VLOOKUP(BN369,Selects!$J$4:$K$1000,2,0),"")</f>
        <v/>
      </c>
      <c r="BP369" s="76"/>
      <c r="BQ369" s="59"/>
      <c r="BR369" s="77"/>
      <c r="BS369" s="59"/>
      <c r="BT369" s="77"/>
      <c r="BU369" s="58"/>
      <c r="BV369" s="58"/>
      <c r="BW369" s="58"/>
      <c r="BX369" s="58"/>
      <c r="BY369" s="58"/>
      <c r="BZ369" s="58"/>
      <c r="CA369" s="58"/>
      <c r="CB369" s="72" t="str">
        <f aca="false">IF(AC369&lt;&gt;"",VLOOKUP(AC369,Selects!$B:$E,4,0),"")</f>
        <v/>
      </c>
      <c r="CC369" s="58"/>
      <c r="CD369" s="58"/>
      <c r="CE369" s="58"/>
    </row>
    <row r="370" customFormat="false" ht="15.75" hidden="false" customHeight="true" outlineLevel="0" collapsed="false">
      <c r="A370" s="17"/>
      <c r="B370" s="58"/>
      <c r="C370" s="58"/>
      <c r="D370" s="59"/>
      <c r="E370" s="60" t="str">
        <f aca="false">IF(LEN(D370)=11,"PF",IF(LEN(D370)=14,"PJ",""))</f>
        <v/>
      </c>
      <c r="F370" s="59"/>
      <c r="G370" s="59"/>
      <c r="H370" s="61" t="str">
        <f aca="false">IF(G370&lt;&gt;"",VLOOKUP(G370,'Cnae  mcc  id'!$A:$M,9,0),"")</f>
        <v/>
      </c>
      <c r="I370" s="62"/>
      <c r="J370" s="63" t="str">
        <f aca="false">IF(I370&lt;&gt;"",VLOOKUP(I370,'Legal Nature'!$E$2:$G$84,3,0),"")</f>
        <v/>
      </c>
      <c r="K370" s="64"/>
      <c r="L370" s="65"/>
      <c r="M370" s="66"/>
      <c r="N370" s="66"/>
      <c r="O370" s="79"/>
      <c r="P370" s="26"/>
      <c r="Q370" s="58"/>
      <c r="R370" s="58"/>
      <c r="S370" s="80"/>
      <c r="T370" s="68" t="str">
        <f aca="false">IF(LEFT(S370,1)="9","Celular",IF(S370="","","Fixo"))</f>
        <v/>
      </c>
      <c r="U370" s="58" t="str">
        <f aca="false">IF( T370&lt;&gt;"",VLOOKUP(T370,Selects!$M$4:$N$1000,2,0),"")</f>
        <v/>
      </c>
      <c r="V370" s="26"/>
      <c r="W370" s="58"/>
      <c r="X370" s="58"/>
      <c r="Y370" s="58"/>
      <c r="Z370" s="58"/>
      <c r="AA370" s="69"/>
      <c r="AB370" s="58"/>
      <c r="AC370" s="58"/>
      <c r="AD370" s="70" t="str">
        <f aca="false">IF(AC370&lt;&gt;"",VLOOKUP(AC370,Selects!$B$4:$C$100,2,0),"")</f>
        <v/>
      </c>
      <c r="AE370" s="26"/>
      <c r="AF370" s="58"/>
      <c r="AG370" s="59"/>
      <c r="AH370" s="65"/>
      <c r="AI370" s="66"/>
      <c r="AJ370" s="66"/>
      <c r="AK370" s="58"/>
      <c r="AL370" s="58"/>
      <c r="AM370" s="68" t="str">
        <f aca="false">IF(LEFT(AL370,1)="9","Celular",IF(AL370="","","Fixo"))</f>
        <v/>
      </c>
      <c r="AN370" s="58" t="str">
        <f aca="false">IF( AM370&lt;&gt;"",VLOOKUP(AM370,Selects!$M$4:$N$1000,2,0),"")</f>
        <v/>
      </c>
      <c r="AO370" s="58"/>
      <c r="AP370" s="59"/>
      <c r="AQ370" s="65"/>
      <c r="AR370" s="58"/>
      <c r="AS370" s="58"/>
      <c r="AT370" s="26"/>
      <c r="AU370" s="58"/>
      <c r="AV370" s="58"/>
      <c r="AW370" s="58"/>
      <c r="AX370" s="58"/>
      <c r="AY370" s="71"/>
      <c r="AZ370" s="58"/>
      <c r="BA370" s="58"/>
      <c r="BB370" s="72" t="str">
        <f aca="false">IF(BA370&lt;&gt;"",VLOOKUP(BA370,Selects!$B$4:$C$100,2,0),"")</f>
        <v/>
      </c>
      <c r="BC370" s="26"/>
      <c r="BD370" s="26"/>
      <c r="BE370" s="73"/>
      <c r="BF370" s="74"/>
      <c r="BG370" s="75" t="str">
        <f aca="false">IF(LEN(BF370)=11,"PF",IF(LEN(BF370)=14,"PJ",""))</f>
        <v/>
      </c>
      <c r="BH370" s="66"/>
      <c r="BI370" s="58" t="str">
        <f aca="false">IF(BH370&lt;&gt;"",VLOOKUP(BH370,Selects!$G:$H,2,0),"")</f>
        <v/>
      </c>
      <c r="BJ370" s="58"/>
      <c r="BK370" s="58"/>
      <c r="BL370" s="59"/>
      <c r="BM370" s="58"/>
      <c r="BN370" s="58"/>
      <c r="BO370" s="58" t="str">
        <f aca="false">IF(BN370&lt;&gt;"",VLOOKUP(BN370,Selects!$J$4:$K$1000,2,0),"")</f>
        <v/>
      </c>
      <c r="BP370" s="76"/>
      <c r="BQ370" s="59"/>
      <c r="BR370" s="77"/>
      <c r="BS370" s="59"/>
      <c r="BT370" s="77"/>
      <c r="BU370" s="58"/>
      <c r="BV370" s="58"/>
      <c r="BW370" s="58"/>
      <c r="BX370" s="58"/>
      <c r="BY370" s="58"/>
      <c r="BZ370" s="58"/>
      <c r="CA370" s="58"/>
      <c r="CB370" s="72" t="str">
        <f aca="false">IF(AC370&lt;&gt;"",VLOOKUP(AC370,Selects!$B:$E,4,0),"")</f>
        <v/>
      </c>
      <c r="CC370" s="58"/>
      <c r="CD370" s="58"/>
      <c r="CE370" s="58"/>
    </row>
    <row r="371" customFormat="false" ht="15.75" hidden="false" customHeight="true" outlineLevel="0" collapsed="false">
      <c r="A371" s="17"/>
      <c r="B371" s="58"/>
      <c r="C371" s="58"/>
      <c r="D371" s="59"/>
      <c r="E371" s="60" t="str">
        <f aca="false">IF(LEN(D371)=11,"PF",IF(LEN(D371)=14,"PJ",""))</f>
        <v/>
      </c>
      <c r="F371" s="59"/>
      <c r="G371" s="59"/>
      <c r="H371" s="61" t="str">
        <f aca="false">IF(G371&lt;&gt;"",VLOOKUP(G371,'Cnae  mcc  id'!$A:$M,9,0),"")</f>
        <v/>
      </c>
      <c r="I371" s="62"/>
      <c r="J371" s="63" t="str">
        <f aca="false">IF(I371&lt;&gt;"",VLOOKUP(I371,'Legal Nature'!$E$2:$G$84,3,0),"")</f>
        <v/>
      </c>
      <c r="K371" s="64"/>
      <c r="L371" s="65"/>
      <c r="M371" s="66"/>
      <c r="N371" s="66"/>
      <c r="O371" s="79"/>
      <c r="P371" s="26"/>
      <c r="Q371" s="58"/>
      <c r="R371" s="58"/>
      <c r="S371" s="80"/>
      <c r="T371" s="68" t="str">
        <f aca="false">IF(LEFT(S371,1)="9","Celular",IF(S371="","","Fixo"))</f>
        <v/>
      </c>
      <c r="U371" s="58" t="str">
        <f aca="false">IF( T371&lt;&gt;"",VLOOKUP(T371,Selects!$M$4:$N$1000,2,0),"")</f>
        <v/>
      </c>
      <c r="V371" s="26"/>
      <c r="W371" s="58"/>
      <c r="X371" s="58"/>
      <c r="Y371" s="58"/>
      <c r="Z371" s="58"/>
      <c r="AA371" s="69"/>
      <c r="AB371" s="58"/>
      <c r="AC371" s="58"/>
      <c r="AD371" s="70" t="str">
        <f aca="false">IF(AC371&lt;&gt;"",VLOOKUP(AC371,Selects!$B$4:$C$100,2,0),"")</f>
        <v/>
      </c>
      <c r="AE371" s="26"/>
      <c r="AF371" s="58"/>
      <c r="AG371" s="59"/>
      <c r="AH371" s="65"/>
      <c r="AI371" s="66"/>
      <c r="AJ371" s="66"/>
      <c r="AK371" s="58"/>
      <c r="AL371" s="58"/>
      <c r="AM371" s="68" t="str">
        <f aca="false">IF(LEFT(AL371,1)="9","Celular",IF(AL371="","","Fixo"))</f>
        <v/>
      </c>
      <c r="AN371" s="58" t="str">
        <f aca="false">IF( AM371&lt;&gt;"",VLOOKUP(AM371,Selects!$M$4:$N$1000,2,0),"")</f>
        <v/>
      </c>
      <c r="AO371" s="58"/>
      <c r="AP371" s="59"/>
      <c r="AQ371" s="65"/>
      <c r="AR371" s="58"/>
      <c r="AS371" s="58"/>
      <c r="AT371" s="26"/>
      <c r="AU371" s="58"/>
      <c r="AV371" s="58"/>
      <c r="AW371" s="58"/>
      <c r="AX371" s="58"/>
      <c r="AY371" s="71"/>
      <c r="AZ371" s="58"/>
      <c r="BA371" s="58"/>
      <c r="BB371" s="72" t="str">
        <f aca="false">IF(BA371&lt;&gt;"",VLOOKUP(BA371,Selects!$B$4:$C$100,2,0),"")</f>
        <v/>
      </c>
      <c r="BC371" s="26"/>
      <c r="BD371" s="26"/>
      <c r="BE371" s="73"/>
      <c r="BF371" s="74"/>
      <c r="BG371" s="75" t="str">
        <f aca="false">IF(LEN(BF371)=11,"PF",IF(LEN(BF371)=14,"PJ",""))</f>
        <v/>
      </c>
      <c r="BH371" s="66"/>
      <c r="BI371" s="58" t="str">
        <f aca="false">IF(BH371&lt;&gt;"",VLOOKUP(BH371,Selects!$G:$H,2,0),"")</f>
        <v/>
      </c>
      <c r="BJ371" s="58"/>
      <c r="BK371" s="58"/>
      <c r="BL371" s="59"/>
      <c r="BM371" s="58"/>
      <c r="BN371" s="58"/>
      <c r="BO371" s="58" t="str">
        <f aca="false">IF(BN371&lt;&gt;"",VLOOKUP(BN371,Selects!$J$4:$K$1000,2,0),"")</f>
        <v/>
      </c>
      <c r="BP371" s="76"/>
      <c r="BQ371" s="59"/>
      <c r="BR371" s="77"/>
      <c r="BS371" s="59"/>
      <c r="BT371" s="77"/>
      <c r="BU371" s="58"/>
      <c r="BV371" s="58"/>
      <c r="BW371" s="58"/>
      <c r="BX371" s="58"/>
      <c r="BY371" s="58"/>
      <c r="BZ371" s="58"/>
      <c r="CA371" s="58"/>
      <c r="CB371" s="72" t="str">
        <f aca="false">IF(AC371&lt;&gt;"",VLOOKUP(AC371,Selects!$B:$E,4,0),"")</f>
        <v/>
      </c>
      <c r="CC371" s="58"/>
      <c r="CD371" s="58"/>
      <c r="CE371" s="58"/>
    </row>
    <row r="372" customFormat="false" ht="15.75" hidden="false" customHeight="true" outlineLevel="0" collapsed="false">
      <c r="A372" s="17"/>
      <c r="B372" s="58"/>
      <c r="C372" s="58"/>
      <c r="D372" s="59"/>
      <c r="E372" s="60" t="str">
        <f aca="false">IF(LEN(D372)=11,"PF",IF(LEN(D372)=14,"PJ",""))</f>
        <v/>
      </c>
      <c r="F372" s="59"/>
      <c r="G372" s="59"/>
      <c r="H372" s="61" t="str">
        <f aca="false">IF(G372&lt;&gt;"",VLOOKUP(G372,'Cnae  mcc  id'!$A:$M,9,0),"")</f>
        <v/>
      </c>
      <c r="I372" s="62"/>
      <c r="J372" s="63" t="str">
        <f aca="false">IF(I372&lt;&gt;"",VLOOKUP(I372,'Legal Nature'!$E$2:$G$84,3,0),"")</f>
        <v/>
      </c>
      <c r="K372" s="64"/>
      <c r="L372" s="65"/>
      <c r="M372" s="66"/>
      <c r="N372" s="66"/>
      <c r="O372" s="79"/>
      <c r="P372" s="26"/>
      <c r="Q372" s="58"/>
      <c r="R372" s="58"/>
      <c r="S372" s="80"/>
      <c r="T372" s="68" t="str">
        <f aca="false">IF(LEFT(S372,1)="9","Celular",IF(S372="","","Fixo"))</f>
        <v/>
      </c>
      <c r="U372" s="58" t="str">
        <f aca="false">IF( T372&lt;&gt;"",VLOOKUP(T372,Selects!$M$4:$N$1000,2,0),"")</f>
        <v/>
      </c>
      <c r="V372" s="26"/>
      <c r="W372" s="58"/>
      <c r="X372" s="58"/>
      <c r="Y372" s="58"/>
      <c r="Z372" s="58"/>
      <c r="AA372" s="69"/>
      <c r="AB372" s="58"/>
      <c r="AC372" s="58"/>
      <c r="AD372" s="70" t="str">
        <f aca="false">IF(AC372&lt;&gt;"",VLOOKUP(AC372,Selects!$B$4:$C$100,2,0),"")</f>
        <v/>
      </c>
      <c r="AE372" s="26"/>
      <c r="AF372" s="58"/>
      <c r="AG372" s="59"/>
      <c r="AH372" s="65"/>
      <c r="AI372" s="66"/>
      <c r="AJ372" s="66"/>
      <c r="AK372" s="58"/>
      <c r="AL372" s="58"/>
      <c r="AM372" s="68" t="str">
        <f aca="false">IF(LEFT(AL372,1)="9","Celular",IF(AL372="","","Fixo"))</f>
        <v/>
      </c>
      <c r="AN372" s="58" t="str">
        <f aca="false">IF( AM372&lt;&gt;"",VLOOKUP(AM372,Selects!$M$4:$N$1000,2,0),"")</f>
        <v/>
      </c>
      <c r="AO372" s="58"/>
      <c r="AP372" s="59"/>
      <c r="AQ372" s="65"/>
      <c r="AR372" s="58"/>
      <c r="AS372" s="58"/>
      <c r="AT372" s="26"/>
      <c r="AU372" s="58"/>
      <c r="AV372" s="58"/>
      <c r="AW372" s="58"/>
      <c r="AX372" s="58"/>
      <c r="AY372" s="71"/>
      <c r="AZ372" s="58"/>
      <c r="BA372" s="58"/>
      <c r="BB372" s="72" t="str">
        <f aca="false">IF(BA372&lt;&gt;"",VLOOKUP(BA372,Selects!$B$4:$C$100,2,0),"")</f>
        <v/>
      </c>
      <c r="BC372" s="26"/>
      <c r="BD372" s="26"/>
      <c r="BE372" s="73"/>
      <c r="BF372" s="74"/>
      <c r="BG372" s="75" t="str">
        <f aca="false">IF(LEN(BF372)=11,"PF",IF(LEN(BF372)=14,"PJ",""))</f>
        <v/>
      </c>
      <c r="BH372" s="66"/>
      <c r="BI372" s="58" t="str">
        <f aca="false">IF(BH372&lt;&gt;"",VLOOKUP(BH372,Selects!$G:$H,2,0),"")</f>
        <v/>
      </c>
      <c r="BJ372" s="58"/>
      <c r="BK372" s="58"/>
      <c r="BL372" s="59"/>
      <c r="BM372" s="58"/>
      <c r="BN372" s="58"/>
      <c r="BO372" s="58" t="str">
        <f aca="false">IF(BN372&lt;&gt;"",VLOOKUP(BN372,Selects!$J$4:$K$1000,2,0),"")</f>
        <v/>
      </c>
      <c r="BP372" s="76"/>
      <c r="BQ372" s="59"/>
      <c r="BR372" s="77"/>
      <c r="BS372" s="59"/>
      <c r="BT372" s="77"/>
      <c r="BU372" s="58"/>
      <c r="BV372" s="58"/>
      <c r="BW372" s="58"/>
      <c r="BX372" s="58"/>
      <c r="BY372" s="58"/>
      <c r="BZ372" s="58"/>
      <c r="CA372" s="58"/>
      <c r="CB372" s="72" t="str">
        <f aca="false">IF(AC372&lt;&gt;"",VLOOKUP(AC372,Selects!$B:$E,4,0),"")</f>
        <v/>
      </c>
      <c r="CC372" s="58"/>
      <c r="CD372" s="58"/>
      <c r="CE372" s="58"/>
    </row>
    <row r="373" customFormat="false" ht="15.75" hidden="false" customHeight="true" outlineLevel="0" collapsed="false">
      <c r="A373" s="17"/>
      <c r="B373" s="58"/>
      <c r="C373" s="58"/>
      <c r="D373" s="59"/>
      <c r="E373" s="60" t="str">
        <f aca="false">IF(LEN(D373)=11,"PF",IF(LEN(D373)=14,"PJ",""))</f>
        <v/>
      </c>
      <c r="F373" s="59"/>
      <c r="G373" s="59"/>
      <c r="H373" s="61" t="str">
        <f aca="false">IF(G373&lt;&gt;"",VLOOKUP(G373,'Cnae  mcc  id'!$A:$M,9,0),"")</f>
        <v/>
      </c>
      <c r="I373" s="62"/>
      <c r="J373" s="63" t="str">
        <f aca="false">IF(I373&lt;&gt;"",VLOOKUP(I373,'Legal Nature'!$E$2:$G$84,3,0),"")</f>
        <v/>
      </c>
      <c r="K373" s="64"/>
      <c r="L373" s="65"/>
      <c r="M373" s="66"/>
      <c r="N373" s="66"/>
      <c r="O373" s="79"/>
      <c r="P373" s="26"/>
      <c r="Q373" s="58"/>
      <c r="R373" s="58"/>
      <c r="S373" s="80"/>
      <c r="T373" s="68" t="str">
        <f aca="false">IF(LEFT(S373,1)="9","Celular",IF(S373="","","Fixo"))</f>
        <v/>
      </c>
      <c r="U373" s="58" t="str">
        <f aca="false">IF( T373&lt;&gt;"",VLOOKUP(T373,Selects!$M$4:$N$1000,2,0),"")</f>
        <v/>
      </c>
      <c r="V373" s="26"/>
      <c r="W373" s="58"/>
      <c r="X373" s="58"/>
      <c r="Y373" s="58"/>
      <c r="Z373" s="58"/>
      <c r="AA373" s="69"/>
      <c r="AB373" s="58"/>
      <c r="AC373" s="58"/>
      <c r="AD373" s="70" t="str">
        <f aca="false">IF(AC373&lt;&gt;"",VLOOKUP(AC373,Selects!$B$4:$C$100,2,0),"")</f>
        <v/>
      </c>
      <c r="AE373" s="26"/>
      <c r="AF373" s="58"/>
      <c r="AG373" s="59"/>
      <c r="AH373" s="65"/>
      <c r="AI373" s="66"/>
      <c r="AJ373" s="66"/>
      <c r="AK373" s="58"/>
      <c r="AL373" s="58"/>
      <c r="AM373" s="68" t="str">
        <f aca="false">IF(LEFT(AL373,1)="9","Celular",IF(AL373="","","Fixo"))</f>
        <v/>
      </c>
      <c r="AN373" s="58" t="str">
        <f aca="false">IF( AM373&lt;&gt;"",VLOOKUP(AM373,Selects!$M$4:$N$1000,2,0),"")</f>
        <v/>
      </c>
      <c r="AO373" s="58"/>
      <c r="AP373" s="59"/>
      <c r="AQ373" s="65"/>
      <c r="AR373" s="58"/>
      <c r="AS373" s="58"/>
      <c r="AT373" s="26"/>
      <c r="AU373" s="58"/>
      <c r="AV373" s="58"/>
      <c r="AW373" s="58"/>
      <c r="AX373" s="58"/>
      <c r="AY373" s="71"/>
      <c r="AZ373" s="58"/>
      <c r="BA373" s="58"/>
      <c r="BB373" s="72" t="str">
        <f aca="false">IF(BA373&lt;&gt;"",VLOOKUP(BA373,Selects!$B$4:$C$100,2,0),"")</f>
        <v/>
      </c>
      <c r="BC373" s="26"/>
      <c r="BD373" s="26"/>
      <c r="BE373" s="73"/>
      <c r="BF373" s="74"/>
      <c r="BG373" s="75" t="str">
        <f aca="false">IF(LEN(BF373)=11,"PF",IF(LEN(BF373)=14,"PJ",""))</f>
        <v/>
      </c>
      <c r="BH373" s="66"/>
      <c r="BI373" s="58" t="str">
        <f aca="false">IF(BH373&lt;&gt;"",VLOOKUP(BH373,Selects!$G:$H,2,0),"")</f>
        <v/>
      </c>
      <c r="BJ373" s="58"/>
      <c r="BK373" s="58"/>
      <c r="BL373" s="59"/>
      <c r="BM373" s="58"/>
      <c r="BN373" s="58"/>
      <c r="BO373" s="58" t="str">
        <f aca="false">IF(BN373&lt;&gt;"",VLOOKUP(BN373,Selects!$J$4:$K$1000,2,0),"")</f>
        <v/>
      </c>
      <c r="BP373" s="76"/>
      <c r="BQ373" s="59"/>
      <c r="BR373" s="77"/>
      <c r="BS373" s="59"/>
      <c r="BT373" s="77"/>
      <c r="BU373" s="58"/>
      <c r="BV373" s="58"/>
      <c r="BW373" s="58"/>
      <c r="BX373" s="58"/>
      <c r="BY373" s="58"/>
      <c r="BZ373" s="58"/>
      <c r="CA373" s="58"/>
      <c r="CB373" s="72" t="str">
        <f aca="false">IF(AC373&lt;&gt;"",VLOOKUP(AC373,Selects!$B:$E,4,0),"")</f>
        <v/>
      </c>
      <c r="CC373" s="58"/>
      <c r="CD373" s="58"/>
      <c r="CE373" s="58"/>
    </row>
    <row r="374" customFormat="false" ht="15.75" hidden="false" customHeight="true" outlineLevel="0" collapsed="false">
      <c r="A374" s="17"/>
      <c r="B374" s="58"/>
      <c r="C374" s="58"/>
      <c r="D374" s="59"/>
      <c r="E374" s="60" t="str">
        <f aca="false">IF(LEN(D374)=11,"PF",IF(LEN(D374)=14,"PJ",""))</f>
        <v/>
      </c>
      <c r="F374" s="59"/>
      <c r="G374" s="59"/>
      <c r="H374" s="61" t="str">
        <f aca="false">IF(G374&lt;&gt;"",VLOOKUP(G374,'Cnae  mcc  id'!$A:$M,9,0),"")</f>
        <v/>
      </c>
      <c r="I374" s="62"/>
      <c r="J374" s="63" t="str">
        <f aca="false">IF(I374&lt;&gt;"",VLOOKUP(I374,'Legal Nature'!$E$2:$G$84,3,0),"")</f>
        <v/>
      </c>
      <c r="K374" s="64"/>
      <c r="L374" s="65"/>
      <c r="M374" s="66"/>
      <c r="N374" s="66"/>
      <c r="O374" s="79"/>
      <c r="P374" s="26"/>
      <c r="Q374" s="58"/>
      <c r="R374" s="58"/>
      <c r="S374" s="80"/>
      <c r="T374" s="68" t="str">
        <f aca="false">IF(LEFT(S374,1)="9","Celular",IF(S374="","","Fixo"))</f>
        <v/>
      </c>
      <c r="U374" s="58" t="str">
        <f aca="false">IF( T374&lt;&gt;"",VLOOKUP(T374,Selects!$M$4:$N$1000,2,0),"")</f>
        <v/>
      </c>
      <c r="V374" s="26"/>
      <c r="W374" s="58"/>
      <c r="X374" s="58"/>
      <c r="Y374" s="58"/>
      <c r="Z374" s="58"/>
      <c r="AA374" s="69"/>
      <c r="AB374" s="58"/>
      <c r="AC374" s="58"/>
      <c r="AD374" s="70" t="str">
        <f aca="false">IF(AC374&lt;&gt;"",VLOOKUP(AC374,Selects!$B$4:$C$100,2,0),"")</f>
        <v/>
      </c>
      <c r="AE374" s="26"/>
      <c r="AF374" s="58"/>
      <c r="AG374" s="59"/>
      <c r="AH374" s="65"/>
      <c r="AI374" s="66"/>
      <c r="AJ374" s="66"/>
      <c r="AK374" s="58"/>
      <c r="AL374" s="58"/>
      <c r="AM374" s="68" t="str">
        <f aca="false">IF(LEFT(AL374,1)="9","Celular",IF(AL374="","","Fixo"))</f>
        <v/>
      </c>
      <c r="AN374" s="58" t="str">
        <f aca="false">IF( AM374&lt;&gt;"",VLOOKUP(AM374,Selects!$M$4:$N$1000,2,0),"")</f>
        <v/>
      </c>
      <c r="AO374" s="58"/>
      <c r="AP374" s="59"/>
      <c r="AQ374" s="65"/>
      <c r="AR374" s="58"/>
      <c r="AS374" s="58"/>
      <c r="AT374" s="26"/>
      <c r="AU374" s="58"/>
      <c r="AV374" s="58"/>
      <c r="AW374" s="58"/>
      <c r="AX374" s="58"/>
      <c r="AY374" s="71"/>
      <c r="AZ374" s="58"/>
      <c r="BA374" s="58"/>
      <c r="BB374" s="72" t="str">
        <f aca="false">IF(BA374&lt;&gt;"",VLOOKUP(BA374,Selects!$B$4:$C$100,2,0),"")</f>
        <v/>
      </c>
      <c r="BC374" s="26"/>
      <c r="BD374" s="26"/>
      <c r="BE374" s="73"/>
      <c r="BF374" s="74"/>
      <c r="BG374" s="75" t="str">
        <f aca="false">IF(LEN(BF374)=11,"PF",IF(LEN(BF374)=14,"PJ",""))</f>
        <v/>
      </c>
      <c r="BH374" s="66"/>
      <c r="BI374" s="58" t="str">
        <f aca="false">IF(BH374&lt;&gt;"",VLOOKUP(BH374,Selects!$G:$H,2,0),"")</f>
        <v/>
      </c>
      <c r="BJ374" s="58"/>
      <c r="BK374" s="58"/>
      <c r="BL374" s="59"/>
      <c r="BM374" s="58"/>
      <c r="BN374" s="58"/>
      <c r="BO374" s="58" t="str">
        <f aca="false">IF(BN374&lt;&gt;"",VLOOKUP(BN374,Selects!$J$4:$K$1000,2,0),"")</f>
        <v/>
      </c>
      <c r="BP374" s="76"/>
      <c r="BQ374" s="59"/>
      <c r="BR374" s="77"/>
      <c r="BS374" s="59"/>
      <c r="BT374" s="77"/>
      <c r="BU374" s="58"/>
      <c r="BV374" s="58"/>
      <c r="BW374" s="58"/>
      <c r="BX374" s="58"/>
      <c r="BY374" s="58"/>
      <c r="BZ374" s="58"/>
      <c r="CA374" s="58"/>
      <c r="CB374" s="72" t="str">
        <f aca="false">IF(AC374&lt;&gt;"",VLOOKUP(AC374,Selects!$B:$E,4,0),"")</f>
        <v/>
      </c>
      <c r="CC374" s="58"/>
      <c r="CD374" s="58"/>
      <c r="CE374" s="58"/>
    </row>
    <row r="375" customFormat="false" ht="15.75" hidden="false" customHeight="true" outlineLevel="0" collapsed="false">
      <c r="A375" s="17"/>
      <c r="B375" s="58"/>
      <c r="C375" s="58"/>
      <c r="D375" s="59"/>
      <c r="E375" s="60" t="str">
        <f aca="false">IF(LEN(D375)=11,"PF",IF(LEN(D375)=14,"PJ",""))</f>
        <v/>
      </c>
      <c r="F375" s="59"/>
      <c r="G375" s="59"/>
      <c r="H375" s="61" t="str">
        <f aca="false">IF(G375&lt;&gt;"",VLOOKUP(G375,'Cnae  mcc  id'!$A:$M,9,0),"")</f>
        <v/>
      </c>
      <c r="I375" s="62"/>
      <c r="J375" s="63" t="str">
        <f aca="false">IF(I375&lt;&gt;"",VLOOKUP(I375,'Legal Nature'!$E$2:$G$84,3,0),"")</f>
        <v/>
      </c>
      <c r="K375" s="64"/>
      <c r="L375" s="65"/>
      <c r="M375" s="66"/>
      <c r="N375" s="66"/>
      <c r="O375" s="79"/>
      <c r="P375" s="26"/>
      <c r="Q375" s="58"/>
      <c r="R375" s="58"/>
      <c r="S375" s="80"/>
      <c r="T375" s="68" t="str">
        <f aca="false">IF(LEFT(S375,1)="9","Celular",IF(S375="","","Fixo"))</f>
        <v/>
      </c>
      <c r="U375" s="58" t="str">
        <f aca="false">IF( T375&lt;&gt;"",VLOOKUP(T375,Selects!$M$4:$N$1000,2,0),"")</f>
        <v/>
      </c>
      <c r="V375" s="26"/>
      <c r="W375" s="58"/>
      <c r="X375" s="58"/>
      <c r="Y375" s="58"/>
      <c r="Z375" s="58"/>
      <c r="AA375" s="69"/>
      <c r="AB375" s="58"/>
      <c r="AC375" s="58"/>
      <c r="AD375" s="70" t="str">
        <f aca="false">IF(AC375&lt;&gt;"",VLOOKUP(AC375,Selects!$B$4:$C$100,2,0),"")</f>
        <v/>
      </c>
      <c r="AE375" s="26"/>
      <c r="AF375" s="58"/>
      <c r="AG375" s="59"/>
      <c r="AH375" s="65"/>
      <c r="AI375" s="66"/>
      <c r="AJ375" s="66"/>
      <c r="AK375" s="58"/>
      <c r="AL375" s="58"/>
      <c r="AM375" s="68" t="str">
        <f aca="false">IF(LEFT(AL375,1)="9","Celular",IF(AL375="","","Fixo"))</f>
        <v/>
      </c>
      <c r="AN375" s="58" t="str">
        <f aca="false">IF( AM375&lt;&gt;"",VLOOKUP(AM375,Selects!$M$4:$N$1000,2,0),"")</f>
        <v/>
      </c>
      <c r="AO375" s="58"/>
      <c r="AP375" s="59"/>
      <c r="AQ375" s="65"/>
      <c r="AR375" s="58"/>
      <c r="AS375" s="58"/>
      <c r="AT375" s="26"/>
      <c r="AU375" s="58"/>
      <c r="AV375" s="58"/>
      <c r="AW375" s="58"/>
      <c r="AX375" s="58"/>
      <c r="AY375" s="71"/>
      <c r="AZ375" s="58"/>
      <c r="BA375" s="58"/>
      <c r="BB375" s="72" t="str">
        <f aca="false">IF(BA375&lt;&gt;"",VLOOKUP(BA375,Selects!$B$4:$C$100,2,0),"")</f>
        <v/>
      </c>
      <c r="BC375" s="26"/>
      <c r="BD375" s="26"/>
      <c r="BE375" s="73"/>
      <c r="BF375" s="74"/>
      <c r="BG375" s="75" t="str">
        <f aca="false">IF(LEN(BF375)=11,"PF",IF(LEN(BF375)=14,"PJ",""))</f>
        <v/>
      </c>
      <c r="BH375" s="66"/>
      <c r="BI375" s="58" t="str">
        <f aca="false">IF(BH375&lt;&gt;"",VLOOKUP(BH375,Selects!$G:$H,2,0),"")</f>
        <v/>
      </c>
      <c r="BJ375" s="58"/>
      <c r="BK375" s="58"/>
      <c r="BL375" s="59"/>
      <c r="BM375" s="58"/>
      <c r="BN375" s="58"/>
      <c r="BO375" s="58" t="str">
        <f aca="false">IF(BN375&lt;&gt;"",VLOOKUP(BN375,Selects!$J$4:$K$1000,2,0),"")</f>
        <v/>
      </c>
      <c r="BP375" s="76"/>
      <c r="BQ375" s="59"/>
      <c r="BR375" s="77"/>
      <c r="BS375" s="59"/>
      <c r="BT375" s="77"/>
      <c r="BU375" s="58"/>
      <c r="BV375" s="58"/>
      <c r="BW375" s="58"/>
      <c r="BX375" s="58"/>
      <c r="BY375" s="58"/>
      <c r="BZ375" s="58"/>
      <c r="CA375" s="58"/>
      <c r="CB375" s="72" t="str">
        <f aca="false">IF(AC375&lt;&gt;"",VLOOKUP(AC375,Selects!$B:$E,4,0),"")</f>
        <v/>
      </c>
      <c r="CC375" s="58"/>
      <c r="CD375" s="58"/>
      <c r="CE375" s="58"/>
    </row>
    <row r="376" customFormat="false" ht="15.75" hidden="false" customHeight="true" outlineLevel="0" collapsed="false">
      <c r="A376" s="17"/>
      <c r="B376" s="58"/>
      <c r="C376" s="58"/>
      <c r="D376" s="59"/>
      <c r="E376" s="60" t="str">
        <f aca="false">IF(LEN(D376)=11,"PF",IF(LEN(D376)=14,"PJ",""))</f>
        <v/>
      </c>
      <c r="F376" s="59"/>
      <c r="G376" s="59"/>
      <c r="H376" s="61" t="str">
        <f aca="false">IF(G376&lt;&gt;"",VLOOKUP(G376,'Cnae  mcc  id'!$A:$M,9,0),"")</f>
        <v/>
      </c>
      <c r="I376" s="62"/>
      <c r="J376" s="63" t="str">
        <f aca="false">IF(I376&lt;&gt;"",VLOOKUP(I376,'Legal Nature'!$E$2:$G$84,3,0),"")</f>
        <v/>
      </c>
      <c r="K376" s="64"/>
      <c r="L376" s="65"/>
      <c r="M376" s="66"/>
      <c r="N376" s="66"/>
      <c r="O376" s="79"/>
      <c r="P376" s="26"/>
      <c r="Q376" s="58"/>
      <c r="R376" s="58"/>
      <c r="S376" s="80"/>
      <c r="T376" s="68" t="str">
        <f aca="false">IF(LEFT(S376,1)="9","Celular",IF(S376="","","Fixo"))</f>
        <v/>
      </c>
      <c r="U376" s="58" t="str">
        <f aca="false">IF( T376&lt;&gt;"",VLOOKUP(T376,Selects!$M$4:$N$1000,2,0),"")</f>
        <v/>
      </c>
      <c r="V376" s="26"/>
      <c r="W376" s="58"/>
      <c r="X376" s="58"/>
      <c r="Y376" s="58"/>
      <c r="Z376" s="58"/>
      <c r="AA376" s="69"/>
      <c r="AB376" s="58"/>
      <c r="AC376" s="58"/>
      <c r="AD376" s="70" t="str">
        <f aca="false">IF(AC376&lt;&gt;"",VLOOKUP(AC376,Selects!$B$4:$C$100,2,0),"")</f>
        <v/>
      </c>
      <c r="AE376" s="26"/>
      <c r="AF376" s="58"/>
      <c r="AG376" s="59"/>
      <c r="AH376" s="65"/>
      <c r="AI376" s="66"/>
      <c r="AJ376" s="66"/>
      <c r="AK376" s="58"/>
      <c r="AL376" s="58"/>
      <c r="AM376" s="68" t="str">
        <f aca="false">IF(LEFT(AL376,1)="9","Celular",IF(AL376="","","Fixo"))</f>
        <v/>
      </c>
      <c r="AN376" s="58" t="str">
        <f aca="false">IF( AM376&lt;&gt;"",VLOOKUP(AM376,Selects!$M$4:$N$1000,2,0),"")</f>
        <v/>
      </c>
      <c r="AO376" s="58"/>
      <c r="AP376" s="59"/>
      <c r="AQ376" s="65"/>
      <c r="AR376" s="58"/>
      <c r="AS376" s="58"/>
      <c r="AT376" s="26"/>
      <c r="AU376" s="58"/>
      <c r="AV376" s="58"/>
      <c r="AW376" s="58"/>
      <c r="AX376" s="58"/>
      <c r="AY376" s="71"/>
      <c r="AZ376" s="58"/>
      <c r="BA376" s="58"/>
      <c r="BB376" s="72" t="str">
        <f aca="false">IF(BA376&lt;&gt;"",VLOOKUP(BA376,Selects!$B$4:$C$100,2,0),"")</f>
        <v/>
      </c>
      <c r="BC376" s="26"/>
      <c r="BD376" s="26"/>
      <c r="BE376" s="73"/>
      <c r="BF376" s="74"/>
      <c r="BG376" s="75" t="str">
        <f aca="false">IF(LEN(BF376)=11,"PF",IF(LEN(BF376)=14,"PJ",""))</f>
        <v/>
      </c>
      <c r="BH376" s="66"/>
      <c r="BI376" s="58" t="str">
        <f aca="false">IF(BH376&lt;&gt;"",VLOOKUP(BH376,Selects!$G:$H,2,0),"")</f>
        <v/>
      </c>
      <c r="BJ376" s="58"/>
      <c r="BK376" s="58"/>
      <c r="BL376" s="59"/>
      <c r="BM376" s="58"/>
      <c r="BN376" s="58"/>
      <c r="BO376" s="58" t="str">
        <f aca="false">IF(BN376&lt;&gt;"",VLOOKUP(BN376,Selects!$J$4:$K$1000,2,0),"")</f>
        <v/>
      </c>
      <c r="BP376" s="76"/>
      <c r="BQ376" s="59"/>
      <c r="BR376" s="77"/>
      <c r="BS376" s="59"/>
      <c r="BT376" s="77"/>
      <c r="BU376" s="58"/>
      <c r="BV376" s="58"/>
      <c r="BW376" s="58"/>
      <c r="BX376" s="58"/>
      <c r="BY376" s="58"/>
      <c r="BZ376" s="58"/>
      <c r="CA376" s="58"/>
      <c r="CB376" s="72" t="str">
        <f aca="false">IF(AC376&lt;&gt;"",VLOOKUP(AC376,Selects!$B:$E,4,0),"")</f>
        <v/>
      </c>
      <c r="CC376" s="58"/>
      <c r="CD376" s="58"/>
      <c r="CE376" s="58"/>
    </row>
    <row r="377" customFormat="false" ht="15.75" hidden="false" customHeight="true" outlineLevel="0" collapsed="false">
      <c r="A377" s="17"/>
      <c r="B377" s="58"/>
      <c r="C377" s="58"/>
      <c r="D377" s="59"/>
      <c r="E377" s="60" t="str">
        <f aca="false">IF(LEN(D377)=11,"PF",IF(LEN(D377)=14,"PJ",""))</f>
        <v/>
      </c>
      <c r="F377" s="59"/>
      <c r="G377" s="59"/>
      <c r="H377" s="61" t="str">
        <f aca="false">IF(G377&lt;&gt;"",VLOOKUP(G377,'Cnae  mcc  id'!$A:$M,9,0),"")</f>
        <v/>
      </c>
      <c r="I377" s="62"/>
      <c r="J377" s="63" t="str">
        <f aca="false">IF(I377&lt;&gt;"",VLOOKUP(I377,'Legal Nature'!$E$2:$G$84,3,0),"")</f>
        <v/>
      </c>
      <c r="K377" s="64"/>
      <c r="L377" s="65"/>
      <c r="M377" s="66"/>
      <c r="N377" s="66"/>
      <c r="O377" s="79"/>
      <c r="P377" s="26"/>
      <c r="Q377" s="58"/>
      <c r="R377" s="58"/>
      <c r="S377" s="80"/>
      <c r="T377" s="68" t="str">
        <f aca="false">IF(LEFT(S377,1)="9","Celular",IF(S377="","","Fixo"))</f>
        <v/>
      </c>
      <c r="U377" s="58" t="str">
        <f aca="false">IF( T377&lt;&gt;"",VLOOKUP(T377,Selects!$M$4:$N$1000,2,0),"")</f>
        <v/>
      </c>
      <c r="V377" s="26"/>
      <c r="W377" s="58"/>
      <c r="X377" s="58"/>
      <c r="Y377" s="58"/>
      <c r="Z377" s="58"/>
      <c r="AA377" s="69"/>
      <c r="AB377" s="58"/>
      <c r="AC377" s="58"/>
      <c r="AD377" s="70" t="str">
        <f aca="false">IF(AC377&lt;&gt;"",VLOOKUP(AC377,Selects!$B$4:$C$100,2,0),"")</f>
        <v/>
      </c>
      <c r="AE377" s="26"/>
      <c r="AF377" s="58"/>
      <c r="AG377" s="59"/>
      <c r="AH377" s="65"/>
      <c r="AI377" s="66"/>
      <c r="AJ377" s="66"/>
      <c r="AK377" s="58"/>
      <c r="AL377" s="58"/>
      <c r="AM377" s="68" t="str">
        <f aca="false">IF(LEFT(AL377,1)="9","Celular",IF(AL377="","","Fixo"))</f>
        <v/>
      </c>
      <c r="AN377" s="58" t="str">
        <f aca="false">IF( AM377&lt;&gt;"",VLOOKUP(AM377,Selects!$M$4:$N$1000,2,0),"")</f>
        <v/>
      </c>
      <c r="AO377" s="58"/>
      <c r="AP377" s="59"/>
      <c r="AQ377" s="65"/>
      <c r="AR377" s="58"/>
      <c r="AS377" s="58"/>
      <c r="AT377" s="26"/>
      <c r="AU377" s="58"/>
      <c r="AV377" s="58"/>
      <c r="AW377" s="58"/>
      <c r="AX377" s="58"/>
      <c r="AY377" s="71"/>
      <c r="AZ377" s="58"/>
      <c r="BA377" s="58"/>
      <c r="BB377" s="72" t="str">
        <f aca="false">IF(BA377&lt;&gt;"",VLOOKUP(BA377,Selects!$B$4:$C$100,2,0),"")</f>
        <v/>
      </c>
      <c r="BC377" s="26"/>
      <c r="BD377" s="26"/>
      <c r="BE377" s="73"/>
      <c r="BF377" s="74"/>
      <c r="BG377" s="75" t="str">
        <f aca="false">IF(LEN(BF377)=11,"PF",IF(LEN(BF377)=14,"PJ",""))</f>
        <v/>
      </c>
      <c r="BH377" s="66"/>
      <c r="BI377" s="58" t="str">
        <f aca="false">IF(BH377&lt;&gt;"",VLOOKUP(BH377,Selects!$G:$H,2,0),"")</f>
        <v/>
      </c>
      <c r="BJ377" s="58"/>
      <c r="BK377" s="58"/>
      <c r="BL377" s="59"/>
      <c r="BM377" s="58"/>
      <c r="BN377" s="58"/>
      <c r="BO377" s="58" t="str">
        <f aca="false">IF(BN377&lt;&gt;"",VLOOKUP(BN377,Selects!$J$4:$K$1000,2,0),"")</f>
        <v/>
      </c>
      <c r="BP377" s="76"/>
      <c r="BQ377" s="59"/>
      <c r="BR377" s="77"/>
      <c r="BS377" s="59"/>
      <c r="BT377" s="77"/>
      <c r="BU377" s="58"/>
      <c r="BV377" s="58"/>
      <c r="BW377" s="58"/>
      <c r="BX377" s="58"/>
      <c r="BY377" s="58"/>
      <c r="BZ377" s="58"/>
      <c r="CA377" s="58"/>
      <c r="CB377" s="72" t="str">
        <f aca="false">IF(AC377&lt;&gt;"",VLOOKUP(AC377,Selects!$B:$E,4,0),"")</f>
        <v/>
      </c>
      <c r="CC377" s="58"/>
      <c r="CD377" s="58"/>
      <c r="CE377" s="58"/>
    </row>
    <row r="378" customFormat="false" ht="15.75" hidden="false" customHeight="true" outlineLevel="0" collapsed="false">
      <c r="A378" s="17"/>
      <c r="B378" s="58"/>
      <c r="C378" s="58"/>
      <c r="D378" s="59"/>
      <c r="E378" s="60" t="str">
        <f aca="false">IF(LEN(D378)=11,"PF",IF(LEN(D378)=14,"PJ",""))</f>
        <v/>
      </c>
      <c r="F378" s="59"/>
      <c r="G378" s="59"/>
      <c r="H378" s="61" t="str">
        <f aca="false">IF(G378&lt;&gt;"",VLOOKUP(G378,'Cnae  mcc  id'!$A:$M,9,0),"")</f>
        <v/>
      </c>
      <c r="I378" s="62"/>
      <c r="J378" s="63" t="str">
        <f aca="false">IF(I378&lt;&gt;"",VLOOKUP(I378,'Legal Nature'!$E$2:$G$84,3,0),"")</f>
        <v/>
      </c>
      <c r="K378" s="64"/>
      <c r="L378" s="65"/>
      <c r="M378" s="66"/>
      <c r="N378" s="66"/>
      <c r="O378" s="79"/>
      <c r="P378" s="26"/>
      <c r="Q378" s="58"/>
      <c r="R378" s="58"/>
      <c r="S378" s="80"/>
      <c r="T378" s="68" t="str">
        <f aca="false">IF(LEFT(S378,1)="9","Celular",IF(S378="","","Fixo"))</f>
        <v/>
      </c>
      <c r="U378" s="58" t="str">
        <f aca="false">IF( T378&lt;&gt;"",VLOOKUP(T378,Selects!$M$4:$N$1000,2,0),"")</f>
        <v/>
      </c>
      <c r="V378" s="26"/>
      <c r="W378" s="58"/>
      <c r="X378" s="58"/>
      <c r="Y378" s="58"/>
      <c r="Z378" s="58"/>
      <c r="AA378" s="69"/>
      <c r="AB378" s="58"/>
      <c r="AC378" s="58"/>
      <c r="AD378" s="70" t="str">
        <f aca="false">IF(AC378&lt;&gt;"",VLOOKUP(AC378,Selects!$B$4:$C$100,2,0),"")</f>
        <v/>
      </c>
      <c r="AE378" s="26"/>
      <c r="AF378" s="58"/>
      <c r="AG378" s="59"/>
      <c r="AH378" s="65"/>
      <c r="AI378" s="66"/>
      <c r="AJ378" s="66"/>
      <c r="AK378" s="58"/>
      <c r="AL378" s="58"/>
      <c r="AM378" s="68" t="str">
        <f aca="false">IF(LEFT(AL378,1)="9","Celular",IF(AL378="","","Fixo"))</f>
        <v/>
      </c>
      <c r="AN378" s="58" t="str">
        <f aca="false">IF( AM378&lt;&gt;"",VLOOKUP(AM378,Selects!$M$4:$N$1000,2,0),"")</f>
        <v/>
      </c>
      <c r="AO378" s="58"/>
      <c r="AP378" s="59"/>
      <c r="AQ378" s="65"/>
      <c r="AR378" s="58"/>
      <c r="AS378" s="58"/>
      <c r="AT378" s="26"/>
      <c r="AU378" s="58"/>
      <c r="AV378" s="58"/>
      <c r="AW378" s="58"/>
      <c r="AX378" s="58"/>
      <c r="AY378" s="71"/>
      <c r="AZ378" s="58"/>
      <c r="BA378" s="58"/>
      <c r="BB378" s="72" t="str">
        <f aca="false">IF(BA378&lt;&gt;"",VLOOKUP(BA378,Selects!$B$4:$C$100,2,0),"")</f>
        <v/>
      </c>
      <c r="BC378" s="26"/>
      <c r="BD378" s="26"/>
      <c r="BE378" s="73"/>
      <c r="BF378" s="74"/>
      <c r="BG378" s="75" t="str">
        <f aca="false">IF(LEN(BF378)=11,"PF",IF(LEN(BF378)=14,"PJ",""))</f>
        <v/>
      </c>
      <c r="BH378" s="66"/>
      <c r="BI378" s="58" t="str">
        <f aca="false">IF(BH378&lt;&gt;"",VLOOKUP(BH378,Selects!$G:$H,2,0),"")</f>
        <v/>
      </c>
      <c r="BJ378" s="58"/>
      <c r="BK378" s="58"/>
      <c r="BL378" s="59"/>
      <c r="BM378" s="58"/>
      <c r="BN378" s="58"/>
      <c r="BO378" s="58" t="str">
        <f aca="false">IF(BN378&lt;&gt;"",VLOOKUP(BN378,Selects!$J$4:$K$1000,2,0),"")</f>
        <v/>
      </c>
      <c r="BP378" s="76"/>
      <c r="BQ378" s="59"/>
      <c r="BR378" s="77"/>
      <c r="BS378" s="59"/>
      <c r="BT378" s="77"/>
      <c r="BU378" s="58"/>
      <c r="BV378" s="58"/>
      <c r="BW378" s="58"/>
      <c r="BX378" s="58"/>
      <c r="BY378" s="58"/>
      <c r="BZ378" s="58"/>
      <c r="CA378" s="58"/>
      <c r="CB378" s="72" t="str">
        <f aca="false">IF(AC378&lt;&gt;"",VLOOKUP(AC378,Selects!$B:$E,4,0),"")</f>
        <v/>
      </c>
      <c r="CC378" s="58"/>
      <c r="CD378" s="58"/>
      <c r="CE378" s="58"/>
    </row>
    <row r="379" customFormat="false" ht="15.75" hidden="false" customHeight="true" outlineLevel="0" collapsed="false">
      <c r="A379" s="17"/>
      <c r="B379" s="58"/>
      <c r="C379" s="58"/>
      <c r="D379" s="59"/>
      <c r="E379" s="60" t="str">
        <f aca="false">IF(LEN(D379)=11,"PF",IF(LEN(D379)=14,"PJ",""))</f>
        <v/>
      </c>
      <c r="F379" s="59"/>
      <c r="G379" s="59"/>
      <c r="H379" s="61" t="str">
        <f aca="false">IF(G379&lt;&gt;"",VLOOKUP(G379,'Cnae  mcc  id'!$A:$M,9,0),"")</f>
        <v/>
      </c>
      <c r="I379" s="62"/>
      <c r="J379" s="63" t="str">
        <f aca="false">IF(I379&lt;&gt;"",VLOOKUP(I379,'Legal Nature'!$E$2:$G$84,3,0),"")</f>
        <v/>
      </c>
      <c r="K379" s="64"/>
      <c r="L379" s="65"/>
      <c r="M379" s="66"/>
      <c r="N379" s="66"/>
      <c r="O379" s="79"/>
      <c r="P379" s="26"/>
      <c r="Q379" s="58"/>
      <c r="R379" s="58"/>
      <c r="S379" s="80"/>
      <c r="T379" s="68" t="str">
        <f aca="false">IF(LEFT(S379,1)="9","Celular",IF(S379="","","Fixo"))</f>
        <v/>
      </c>
      <c r="U379" s="58" t="str">
        <f aca="false">IF( T379&lt;&gt;"",VLOOKUP(T379,Selects!$M$4:$N$1000,2,0),"")</f>
        <v/>
      </c>
      <c r="V379" s="26"/>
      <c r="W379" s="58"/>
      <c r="X379" s="58"/>
      <c r="Y379" s="58"/>
      <c r="Z379" s="58"/>
      <c r="AA379" s="69"/>
      <c r="AB379" s="58"/>
      <c r="AC379" s="58"/>
      <c r="AD379" s="70" t="str">
        <f aca="false">IF(AC379&lt;&gt;"",VLOOKUP(AC379,Selects!$B$4:$C$100,2,0),"")</f>
        <v/>
      </c>
      <c r="AE379" s="26"/>
      <c r="AF379" s="58"/>
      <c r="AG379" s="59"/>
      <c r="AH379" s="65"/>
      <c r="AI379" s="66"/>
      <c r="AJ379" s="66"/>
      <c r="AK379" s="58"/>
      <c r="AL379" s="58"/>
      <c r="AM379" s="68" t="str">
        <f aca="false">IF(LEFT(AL379,1)="9","Celular",IF(AL379="","","Fixo"))</f>
        <v/>
      </c>
      <c r="AN379" s="58" t="str">
        <f aca="false">IF( AM379&lt;&gt;"",VLOOKUP(AM379,Selects!$M$4:$N$1000,2,0),"")</f>
        <v/>
      </c>
      <c r="AO379" s="58"/>
      <c r="AP379" s="59"/>
      <c r="AQ379" s="65"/>
      <c r="AR379" s="58"/>
      <c r="AS379" s="58"/>
      <c r="AT379" s="26"/>
      <c r="AU379" s="58"/>
      <c r="AV379" s="58"/>
      <c r="AW379" s="58"/>
      <c r="AX379" s="58"/>
      <c r="AY379" s="71"/>
      <c r="AZ379" s="58"/>
      <c r="BA379" s="58"/>
      <c r="BB379" s="72" t="str">
        <f aca="false">IF(BA379&lt;&gt;"",VLOOKUP(BA379,Selects!$B$4:$C$100,2,0),"")</f>
        <v/>
      </c>
      <c r="BC379" s="26"/>
      <c r="BD379" s="26"/>
      <c r="BE379" s="73"/>
      <c r="BF379" s="74"/>
      <c r="BG379" s="75" t="str">
        <f aca="false">IF(LEN(BF379)=11,"PF",IF(LEN(BF379)=14,"PJ",""))</f>
        <v/>
      </c>
      <c r="BH379" s="66"/>
      <c r="BI379" s="58" t="str">
        <f aca="false">IF(BH379&lt;&gt;"",VLOOKUP(BH379,Selects!$G:$H,2,0),"")</f>
        <v/>
      </c>
      <c r="BJ379" s="58"/>
      <c r="BK379" s="58"/>
      <c r="BL379" s="59"/>
      <c r="BM379" s="58"/>
      <c r="BN379" s="58"/>
      <c r="BO379" s="58" t="str">
        <f aca="false">IF(BN379&lt;&gt;"",VLOOKUP(BN379,Selects!$J$4:$K$1000,2,0),"")</f>
        <v/>
      </c>
      <c r="BP379" s="76"/>
      <c r="BQ379" s="59"/>
      <c r="BR379" s="77"/>
      <c r="BS379" s="59"/>
      <c r="BT379" s="77"/>
      <c r="BU379" s="58"/>
      <c r="BV379" s="58"/>
      <c r="BW379" s="58"/>
      <c r="BX379" s="58"/>
      <c r="BY379" s="58"/>
      <c r="BZ379" s="58"/>
      <c r="CA379" s="58"/>
      <c r="CB379" s="72" t="str">
        <f aca="false">IF(AC379&lt;&gt;"",VLOOKUP(AC379,Selects!$B:$E,4,0),"")</f>
        <v/>
      </c>
      <c r="CC379" s="58"/>
      <c r="CD379" s="58"/>
      <c r="CE379" s="58"/>
    </row>
    <row r="380" customFormat="false" ht="15.75" hidden="false" customHeight="true" outlineLevel="0" collapsed="false">
      <c r="A380" s="17"/>
      <c r="B380" s="58"/>
      <c r="C380" s="58"/>
      <c r="D380" s="59"/>
      <c r="E380" s="60" t="str">
        <f aca="false">IF(LEN(D380)=11,"PF",IF(LEN(D380)=14,"PJ",""))</f>
        <v/>
      </c>
      <c r="F380" s="59"/>
      <c r="G380" s="59"/>
      <c r="H380" s="61" t="str">
        <f aca="false">IF(G380&lt;&gt;"",VLOOKUP(G380,'Cnae  mcc  id'!$A:$M,9,0),"")</f>
        <v/>
      </c>
      <c r="I380" s="62"/>
      <c r="J380" s="63" t="str">
        <f aca="false">IF(I380&lt;&gt;"",VLOOKUP(I380,'Legal Nature'!$E$2:$G$84,3,0),"")</f>
        <v/>
      </c>
      <c r="K380" s="64"/>
      <c r="L380" s="65"/>
      <c r="M380" s="66"/>
      <c r="N380" s="66"/>
      <c r="O380" s="79"/>
      <c r="P380" s="26"/>
      <c r="Q380" s="58"/>
      <c r="R380" s="58"/>
      <c r="S380" s="80"/>
      <c r="T380" s="68" t="str">
        <f aca="false">IF(LEFT(S380,1)="9","Celular",IF(S380="","","Fixo"))</f>
        <v/>
      </c>
      <c r="U380" s="58" t="str">
        <f aca="false">IF( T380&lt;&gt;"",VLOOKUP(T380,Selects!$M$4:$N$1000,2,0),"")</f>
        <v/>
      </c>
      <c r="V380" s="26"/>
      <c r="W380" s="58"/>
      <c r="X380" s="58"/>
      <c r="Y380" s="58"/>
      <c r="Z380" s="58"/>
      <c r="AA380" s="69"/>
      <c r="AB380" s="58"/>
      <c r="AC380" s="58"/>
      <c r="AD380" s="70" t="str">
        <f aca="false">IF(AC380&lt;&gt;"",VLOOKUP(AC380,Selects!$B$4:$C$100,2,0),"")</f>
        <v/>
      </c>
      <c r="AE380" s="26"/>
      <c r="AF380" s="58"/>
      <c r="AG380" s="59"/>
      <c r="AH380" s="65"/>
      <c r="AI380" s="66"/>
      <c r="AJ380" s="66"/>
      <c r="AK380" s="58"/>
      <c r="AL380" s="58"/>
      <c r="AM380" s="68" t="str">
        <f aca="false">IF(LEFT(AL380,1)="9","Celular",IF(AL380="","","Fixo"))</f>
        <v/>
      </c>
      <c r="AN380" s="58" t="str">
        <f aca="false">IF( AM380&lt;&gt;"",VLOOKUP(AM380,Selects!$M$4:$N$1000,2,0),"")</f>
        <v/>
      </c>
      <c r="AO380" s="58"/>
      <c r="AP380" s="59"/>
      <c r="AQ380" s="65"/>
      <c r="AR380" s="58"/>
      <c r="AS380" s="58"/>
      <c r="AT380" s="26"/>
      <c r="AU380" s="58"/>
      <c r="AV380" s="58"/>
      <c r="AW380" s="58"/>
      <c r="AX380" s="58"/>
      <c r="AY380" s="71"/>
      <c r="AZ380" s="58"/>
      <c r="BA380" s="58"/>
      <c r="BB380" s="72" t="str">
        <f aca="false">IF(BA380&lt;&gt;"",VLOOKUP(BA380,Selects!$B$4:$C$100,2,0),"")</f>
        <v/>
      </c>
      <c r="BC380" s="26"/>
      <c r="BD380" s="26"/>
      <c r="BE380" s="73"/>
      <c r="BF380" s="74"/>
      <c r="BG380" s="75" t="str">
        <f aca="false">IF(LEN(BF380)=11,"PF",IF(LEN(BF380)=14,"PJ",""))</f>
        <v/>
      </c>
      <c r="BH380" s="66"/>
      <c r="BI380" s="58" t="str">
        <f aca="false">IF(BH380&lt;&gt;"",VLOOKUP(BH380,Selects!$G:$H,2,0),"")</f>
        <v/>
      </c>
      <c r="BJ380" s="58"/>
      <c r="BK380" s="58"/>
      <c r="BL380" s="59"/>
      <c r="BM380" s="58"/>
      <c r="BN380" s="58"/>
      <c r="BO380" s="58" t="str">
        <f aca="false">IF(BN380&lt;&gt;"",VLOOKUP(BN380,Selects!$J$4:$K$1000,2,0),"")</f>
        <v/>
      </c>
      <c r="BP380" s="76"/>
      <c r="BQ380" s="59"/>
      <c r="BR380" s="77"/>
      <c r="BS380" s="59"/>
      <c r="BT380" s="77"/>
      <c r="BU380" s="58"/>
      <c r="BV380" s="58"/>
      <c r="BW380" s="58"/>
      <c r="BX380" s="58"/>
      <c r="BY380" s="58"/>
      <c r="BZ380" s="58"/>
      <c r="CA380" s="58"/>
      <c r="CB380" s="72" t="str">
        <f aca="false">IF(AC380&lt;&gt;"",VLOOKUP(AC380,Selects!$B:$E,4,0),"")</f>
        <v/>
      </c>
      <c r="CC380" s="58"/>
      <c r="CD380" s="58"/>
      <c r="CE380" s="58"/>
    </row>
    <row r="381" customFormat="false" ht="15.75" hidden="false" customHeight="true" outlineLevel="0" collapsed="false">
      <c r="A381" s="17"/>
      <c r="B381" s="58"/>
      <c r="C381" s="58"/>
      <c r="D381" s="59"/>
      <c r="E381" s="60" t="str">
        <f aca="false">IF(LEN(D381)=11,"PF",IF(LEN(D381)=14,"PJ",""))</f>
        <v/>
      </c>
      <c r="F381" s="59"/>
      <c r="G381" s="59"/>
      <c r="H381" s="61" t="str">
        <f aca="false">IF(G381&lt;&gt;"",VLOOKUP(G381,'Cnae  mcc  id'!$A:$M,9,0),"")</f>
        <v/>
      </c>
      <c r="I381" s="62"/>
      <c r="J381" s="63" t="str">
        <f aca="false">IF(I381&lt;&gt;"",VLOOKUP(I381,'Legal Nature'!$E$2:$G$84,3,0),"")</f>
        <v/>
      </c>
      <c r="K381" s="64"/>
      <c r="L381" s="65"/>
      <c r="M381" s="66"/>
      <c r="N381" s="66"/>
      <c r="O381" s="79"/>
      <c r="P381" s="26"/>
      <c r="Q381" s="58"/>
      <c r="R381" s="58"/>
      <c r="S381" s="80"/>
      <c r="T381" s="68" t="str">
        <f aca="false">IF(LEFT(S381,1)="9","Celular",IF(S381="","","Fixo"))</f>
        <v/>
      </c>
      <c r="U381" s="58" t="str">
        <f aca="false">IF( T381&lt;&gt;"",VLOOKUP(T381,Selects!$M$4:$N$1000,2,0),"")</f>
        <v/>
      </c>
      <c r="V381" s="26"/>
      <c r="W381" s="58"/>
      <c r="X381" s="58"/>
      <c r="Y381" s="58"/>
      <c r="Z381" s="58"/>
      <c r="AA381" s="69"/>
      <c r="AB381" s="58"/>
      <c r="AC381" s="58"/>
      <c r="AD381" s="70" t="str">
        <f aca="false">IF(AC381&lt;&gt;"",VLOOKUP(AC381,Selects!$B$4:$C$100,2,0),"")</f>
        <v/>
      </c>
      <c r="AE381" s="26"/>
      <c r="AF381" s="58"/>
      <c r="AG381" s="59"/>
      <c r="AH381" s="65"/>
      <c r="AI381" s="66"/>
      <c r="AJ381" s="66"/>
      <c r="AK381" s="58"/>
      <c r="AL381" s="58"/>
      <c r="AM381" s="68" t="str">
        <f aca="false">IF(LEFT(AL381,1)="9","Celular",IF(AL381="","","Fixo"))</f>
        <v/>
      </c>
      <c r="AN381" s="58" t="str">
        <f aca="false">IF( AM381&lt;&gt;"",VLOOKUP(AM381,Selects!$M$4:$N$1000,2,0),"")</f>
        <v/>
      </c>
      <c r="AO381" s="58"/>
      <c r="AP381" s="59"/>
      <c r="AQ381" s="65"/>
      <c r="AR381" s="58"/>
      <c r="AS381" s="58"/>
      <c r="AT381" s="26"/>
      <c r="AU381" s="58"/>
      <c r="AV381" s="58"/>
      <c r="AW381" s="58"/>
      <c r="AX381" s="58"/>
      <c r="AY381" s="71"/>
      <c r="AZ381" s="58"/>
      <c r="BA381" s="58"/>
      <c r="BB381" s="72" t="str">
        <f aca="false">IF(BA381&lt;&gt;"",VLOOKUP(BA381,Selects!$B$4:$C$100,2,0),"")</f>
        <v/>
      </c>
      <c r="BC381" s="26"/>
      <c r="BD381" s="26"/>
      <c r="BE381" s="73"/>
      <c r="BF381" s="74"/>
      <c r="BG381" s="75" t="str">
        <f aca="false">IF(LEN(BF381)=11,"PF",IF(LEN(BF381)=14,"PJ",""))</f>
        <v/>
      </c>
      <c r="BH381" s="66"/>
      <c r="BI381" s="58" t="str">
        <f aca="false">IF(BH381&lt;&gt;"",VLOOKUP(BH381,Selects!$G:$H,2,0),"")</f>
        <v/>
      </c>
      <c r="BJ381" s="58"/>
      <c r="BK381" s="58"/>
      <c r="BL381" s="59"/>
      <c r="BM381" s="58"/>
      <c r="BN381" s="58"/>
      <c r="BO381" s="58" t="str">
        <f aca="false">IF(BN381&lt;&gt;"",VLOOKUP(BN381,Selects!$J$4:$K$1000,2,0),"")</f>
        <v/>
      </c>
      <c r="BP381" s="76"/>
      <c r="BQ381" s="59"/>
      <c r="BR381" s="77"/>
      <c r="BS381" s="59"/>
      <c r="BT381" s="77"/>
      <c r="BU381" s="58"/>
      <c r="BV381" s="58"/>
      <c r="BW381" s="58"/>
      <c r="BX381" s="58"/>
      <c r="BY381" s="58"/>
      <c r="BZ381" s="58"/>
      <c r="CA381" s="58"/>
      <c r="CB381" s="72" t="str">
        <f aca="false">IF(AC381&lt;&gt;"",VLOOKUP(AC381,Selects!$B:$E,4,0),"")</f>
        <v/>
      </c>
      <c r="CC381" s="58"/>
      <c r="CD381" s="58"/>
      <c r="CE381" s="58"/>
    </row>
    <row r="382" customFormat="false" ht="15.75" hidden="false" customHeight="true" outlineLevel="0" collapsed="false">
      <c r="A382" s="17"/>
      <c r="B382" s="58"/>
      <c r="C382" s="58"/>
      <c r="D382" s="59"/>
      <c r="E382" s="60" t="str">
        <f aca="false">IF(LEN(D382)=11,"PF",IF(LEN(D382)=14,"PJ",""))</f>
        <v/>
      </c>
      <c r="F382" s="59"/>
      <c r="G382" s="59"/>
      <c r="H382" s="61" t="str">
        <f aca="false">IF(G382&lt;&gt;"",VLOOKUP(G382,'Cnae  mcc  id'!$A:$M,9,0),"")</f>
        <v/>
      </c>
      <c r="I382" s="62"/>
      <c r="J382" s="63" t="str">
        <f aca="false">IF(I382&lt;&gt;"",VLOOKUP(I382,'Legal Nature'!$E$2:$G$84,3,0),"")</f>
        <v/>
      </c>
      <c r="K382" s="64"/>
      <c r="L382" s="65"/>
      <c r="M382" s="66"/>
      <c r="N382" s="66"/>
      <c r="O382" s="79"/>
      <c r="P382" s="26"/>
      <c r="Q382" s="58"/>
      <c r="R382" s="58"/>
      <c r="S382" s="80"/>
      <c r="T382" s="68" t="str">
        <f aca="false">IF(LEFT(S382,1)="9","Celular",IF(S382="","","Fixo"))</f>
        <v/>
      </c>
      <c r="U382" s="58" t="str">
        <f aca="false">IF( T382&lt;&gt;"",VLOOKUP(T382,Selects!$M$4:$N$1000,2,0),"")</f>
        <v/>
      </c>
      <c r="V382" s="26"/>
      <c r="W382" s="58"/>
      <c r="X382" s="58"/>
      <c r="Y382" s="58"/>
      <c r="Z382" s="58"/>
      <c r="AA382" s="69"/>
      <c r="AB382" s="58"/>
      <c r="AC382" s="58"/>
      <c r="AD382" s="70" t="str">
        <f aca="false">IF(AC382&lt;&gt;"",VLOOKUP(AC382,Selects!$B$4:$C$100,2,0),"")</f>
        <v/>
      </c>
      <c r="AE382" s="26"/>
      <c r="AF382" s="58"/>
      <c r="AG382" s="59"/>
      <c r="AH382" s="65"/>
      <c r="AI382" s="66"/>
      <c r="AJ382" s="66"/>
      <c r="AK382" s="58"/>
      <c r="AL382" s="58"/>
      <c r="AM382" s="68" t="str">
        <f aca="false">IF(LEFT(AL382,1)="9","Celular",IF(AL382="","","Fixo"))</f>
        <v/>
      </c>
      <c r="AN382" s="58" t="str">
        <f aca="false">IF( AM382&lt;&gt;"",VLOOKUP(AM382,Selects!$M$4:$N$1000,2,0),"")</f>
        <v/>
      </c>
      <c r="AO382" s="58"/>
      <c r="AP382" s="59"/>
      <c r="AQ382" s="65"/>
      <c r="AR382" s="58"/>
      <c r="AS382" s="58"/>
      <c r="AT382" s="26"/>
      <c r="AU382" s="58"/>
      <c r="AV382" s="58"/>
      <c r="AW382" s="58"/>
      <c r="AX382" s="58"/>
      <c r="AY382" s="71"/>
      <c r="AZ382" s="58"/>
      <c r="BA382" s="58"/>
      <c r="BB382" s="72" t="str">
        <f aca="false">IF(BA382&lt;&gt;"",VLOOKUP(BA382,Selects!$B$4:$C$100,2,0),"")</f>
        <v/>
      </c>
      <c r="BC382" s="26"/>
      <c r="BD382" s="26"/>
      <c r="BE382" s="73"/>
      <c r="BF382" s="74"/>
      <c r="BG382" s="75" t="str">
        <f aca="false">IF(LEN(BF382)=11,"PF",IF(LEN(BF382)=14,"PJ",""))</f>
        <v/>
      </c>
      <c r="BH382" s="66"/>
      <c r="BI382" s="58" t="str">
        <f aca="false">IF(BH382&lt;&gt;"",VLOOKUP(BH382,Selects!$G:$H,2,0),"")</f>
        <v/>
      </c>
      <c r="BJ382" s="58"/>
      <c r="BK382" s="58"/>
      <c r="BL382" s="59"/>
      <c r="BM382" s="58"/>
      <c r="BN382" s="58"/>
      <c r="BO382" s="58" t="str">
        <f aca="false">IF(BN382&lt;&gt;"",VLOOKUP(BN382,Selects!$J$4:$K$1000,2,0),"")</f>
        <v/>
      </c>
      <c r="BP382" s="76"/>
      <c r="BQ382" s="59"/>
      <c r="BR382" s="77"/>
      <c r="BS382" s="59"/>
      <c r="BT382" s="77"/>
      <c r="BU382" s="58"/>
      <c r="BV382" s="58"/>
      <c r="BW382" s="58"/>
      <c r="BX382" s="58"/>
      <c r="BY382" s="58"/>
      <c r="BZ382" s="58"/>
      <c r="CA382" s="58"/>
      <c r="CB382" s="72" t="str">
        <f aca="false">IF(AC382&lt;&gt;"",VLOOKUP(AC382,Selects!$B:$E,4,0),"")</f>
        <v/>
      </c>
      <c r="CC382" s="58"/>
      <c r="CD382" s="58"/>
      <c r="CE382" s="58"/>
    </row>
    <row r="383" customFormat="false" ht="15.75" hidden="false" customHeight="true" outlineLevel="0" collapsed="false">
      <c r="A383" s="17"/>
      <c r="B383" s="58"/>
      <c r="C383" s="58"/>
      <c r="D383" s="59"/>
      <c r="E383" s="60" t="str">
        <f aca="false">IF(LEN(D383)=11,"PF",IF(LEN(D383)=14,"PJ",""))</f>
        <v/>
      </c>
      <c r="F383" s="59"/>
      <c r="G383" s="59"/>
      <c r="H383" s="61" t="str">
        <f aca="false">IF(G383&lt;&gt;"",VLOOKUP(G383,'Cnae  mcc  id'!$A:$M,9,0),"")</f>
        <v/>
      </c>
      <c r="I383" s="62"/>
      <c r="J383" s="63" t="str">
        <f aca="false">IF(I383&lt;&gt;"",VLOOKUP(I383,'Legal Nature'!$E$2:$G$84,3,0),"")</f>
        <v/>
      </c>
      <c r="K383" s="64"/>
      <c r="L383" s="65"/>
      <c r="M383" s="66"/>
      <c r="N383" s="66"/>
      <c r="O383" s="79"/>
      <c r="P383" s="26"/>
      <c r="Q383" s="58"/>
      <c r="R383" s="58"/>
      <c r="S383" s="80"/>
      <c r="T383" s="68" t="str">
        <f aca="false">IF(LEFT(S383,1)="9","Celular",IF(S383="","","Fixo"))</f>
        <v/>
      </c>
      <c r="U383" s="58" t="str">
        <f aca="false">IF( T383&lt;&gt;"",VLOOKUP(T383,Selects!$M$4:$N$1000,2,0),"")</f>
        <v/>
      </c>
      <c r="V383" s="26"/>
      <c r="W383" s="58"/>
      <c r="X383" s="58"/>
      <c r="Y383" s="58"/>
      <c r="Z383" s="58"/>
      <c r="AA383" s="69"/>
      <c r="AB383" s="58"/>
      <c r="AC383" s="58"/>
      <c r="AD383" s="70" t="str">
        <f aca="false">IF(AC383&lt;&gt;"",VLOOKUP(AC383,Selects!$B$4:$C$100,2,0),"")</f>
        <v/>
      </c>
      <c r="AE383" s="26"/>
      <c r="AF383" s="58"/>
      <c r="AG383" s="59"/>
      <c r="AH383" s="65"/>
      <c r="AI383" s="66"/>
      <c r="AJ383" s="66"/>
      <c r="AK383" s="58"/>
      <c r="AL383" s="58"/>
      <c r="AM383" s="68" t="str">
        <f aca="false">IF(LEFT(AL383,1)="9","Celular",IF(AL383="","","Fixo"))</f>
        <v/>
      </c>
      <c r="AN383" s="58" t="str">
        <f aca="false">IF( AM383&lt;&gt;"",VLOOKUP(AM383,Selects!$M$4:$N$1000,2,0),"")</f>
        <v/>
      </c>
      <c r="AO383" s="58"/>
      <c r="AP383" s="59"/>
      <c r="AQ383" s="65"/>
      <c r="AR383" s="58"/>
      <c r="AS383" s="58"/>
      <c r="AT383" s="26"/>
      <c r="AU383" s="58"/>
      <c r="AV383" s="58"/>
      <c r="AW383" s="58"/>
      <c r="AX383" s="58"/>
      <c r="AY383" s="71"/>
      <c r="AZ383" s="58"/>
      <c r="BA383" s="58"/>
      <c r="BB383" s="72" t="str">
        <f aca="false">IF(BA383&lt;&gt;"",VLOOKUP(BA383,Selects!$B$4:$C$100,2,0),"")</f>
        <v/>
      </c>
      <c r="BC383" s="26"/>
      <c r="BD383" s="26"/>
      <c r="BE383" s="73"/>
      <c r="BF383" s="74"/>
      <c r="BG383" s="75" t="str">
        <f aca="false">IF(LEN(BF383)=11,"PF",IF(LEN(BF383)=14,"PJ",""))</f>
        <v/>
      </c>
      <c r="BH383" s="66"/>
      <c r="BI383" s="58" t="str">
        <f aca="false">IF(BH383&lt;&gt;"",VLOOKUP(BH383,Selects!$G:$H,2,0),"")</f>
        <v/>
      </c>
      <c r="BJ383" s="58"/>
      <c r="BK383" s="58"/>
      <c r="BL383" s="59"/>
      <c r="BM383" s="58"/>
      <c r="BN383" s="58"/>
      <c r="BO383" s="58" t="str">
        <f aca="false">IF(BN383&lt;&gt;"",VLOOKUP(BN383,Selects!$J$4:$K$1000,2,0),"")</f>
        <v/>
      </c>
      <c r="BP383" s="76"/>
      <c r="BQ383" s="59"/>
      <c r="BR383" s="77"/>
      <c r="BS383" s="59"/>
      <c r="BT383" s="77"/>
      <c r="BU383" s="58"/>
      <c r="BV383" s="58"/>
      <c r="BW383" s="58"/>
      <c r="BX383" s="58"/>
      <c r="BY383" s="58"/>
      <c r="BZ383" s="58"/>
      <c r="CA383" s="58"/>
      <c r="CB383" s="72" t="str">
        <f aca="false">IF(AC383&lt;&gt;"",VLOOKUP(AC383,Selects!$B:$E,4,0),"")</f>
        <v/>
      </c>
      <c r="CC383" s="58"/>
      <c r="CD383" s="58"/>
      <c r="CE383" s="58"/>
    </row>
    <row r="384" customFormat="false" ht="15.75" hidden="false" customHeight="true" outlineLevel="0" collapsed="false">
      <c r="A384" s="17"/>
      <c r="B384" s="58"/>
      <c r="C384" s="58"/>
      <c r="D384" s="59"/>
      <c r="E384" s="60" t="str">
        <f aca="false">IF(LEN(D384)=11,"PF",IF(LEN(D384)=14,"PJ",""))</f>
        <v/>
      </c>
      <c r="F384" s="59"/>
      <c r="G384" s="59"/>
      <c r="H384" s="61" t="str">
        <f aca="false">IF(G384&lt;&gt;"",VLOOKUP(G384,'Cnae  mcc  id'!$A:$M,9,0),"")</f>
        <v/>
      </c>
      <c r="I384" s="62"/>
      <c r="J384" s="63" t="str">
        <f aca="false">IF(I384&lt;&gt;"",VLOOKUP(I384,'Legal Nature'!$E$2:$G$84,3,0),"")</f>
        <v/>
      </c>
      <c r="K384" s="64"/>
      <c r="L384" s="65"/>
      <c r="M384" s="66"/>
      <c r="N384" s="66"/>
      <c r="O384" s="79"/>
      <c r="P384" s="26"/>
      <c r="Q384" s="58"/>
      <c r="R384" s="58"/>
      <c r="S384" s="80"/>
      <c r="T384" s="68" t="str">
        <f aca="false">IF(LEFT(S384,1)="9","Celular",IF(S384="","","Fixo"))</f>
        <v/>
      </c>
      <c r="U384" s="58" t="str">
        <f aca="false">IF( T384&lt;&gt;"",VLOOKUP(T384,Selects!$M$4:$N$1000,2,0),"")</f>
        <v/>
      </c>
      <c r="V384" s="26"/>
      <c r="W384" s="58"/>
      <c r="X384" s="58"/>
      <c r="Y384" s="58"/>
      <c r="Z384" s="58"/>
      <c r="AA384" s="69"/>
      <c r="AB384" s="58"/>
      <c r="AC384" s="58"/>
      <c r="AD384" s="70" t="str">
        <f aca="false">IF(AC384&lt;&gt;"",VLOOKUP(AC384,Selects!$B$4:$C$100,2,0),"")</f>
        <v/>
      </c>
      <c r="AE384" s="26"/>
      <c r="AF384" s="58"/>
      <c r="AG384" s="59"/>
      <c r="AH384" s="65"/>
      <c r="AI384" s="66"/>
      <c r="AJ384" s="66"/>
      <c r="AK384" s="58"/>
      <c r="AL384" s="58"/>
      <c r="AM384" s="68" t="str">
        <f aca="false">IF(LEFT(AL384,1)="9","Celular",IF(AL384="","","Fixo"))</f>
        <v/>
      </c>
      <c r="AN384" s="58" t="str">
        <f aca="false">IF( AM384&lt;&gt;"",VLOOKUP(AM384,Selects!$M$4:$N$1000,2,0),"")</f>
        <v/>
      </c>
      <c r="AO384" s="58"/>
      <c r="AP384" s="59"/>
      <c r="AQ384" s="65"/>
      <c r="AR384" s="58"/>
      <c r="AS384" s="58"/>
      <c r="AT384" s="26"/>
      <c r="AU384" s="58"/>
      <c r="AV384" s="58"/>
      <c r="AW384" s="58"/>
      <c r="AX384" s="58"/>
      <c r="AY384" s="71"/>
      <c r="AZ384" s="58"/>
      <c r="BA384" s="58"/>
      <c r="BB384" s="72" t="str">
        <f aca="false">IF(BA384&lt;&gt;"",VLOOKUP(BA384,Selects!$B$4:$C$100,2,0),"")</f>
        <v/>
      </c>
      <c r="BC384" s="26"/>
      <c r="BD384" s="26"/>
      <c r="BE384" s="73"/>
      <c r="BF384" s="74"/>
      <c r="BG384" s="75" t="str">
        <f aca="false">IF(LEN(BF384)=11,"PF",IF(LEN(BF384)=14,"PJ",""))</f>
        <v/>
      </c>
      <c r="BH384" s="66"/>
      <c r="BI384" s="58" t="str">
        <f aca="false">IF(BH384&lt;&gt;"",VLOOKUP(BH384,Selects!$G:$H,2,0),"")</f>
        <v/>
      </c>
      <c r="BJ384" s="58"/>
      <c r="BK384" s="58"/>
      <c r="BL384" s="59"/>
      <c r="BM384" s="58"/>
      <c r="BN384" s="58"/>
      <c r="BO384" s="58" t="str">
        <f aca="false">IF(BN384&lt;&gt;"",VLOOKUP(BN384,Selects!$J$4:$K$1000,2,0),"")</f>
        <v/>
      </c>
      <c r="BP384" s="76"/>
      <c r="BQ384" s="59"/>
      <c r="BR384" s="77"/>
      <c r="BS384" s="59"/>
      <c r="BT384" s="77"/>
      <c r="BU384" s="58"/>
      <c r="BV384" s="58"/>
      <c r="BW384" s="58"/>
      <c r="BX384" s="58"/>
      <c r="BY384" s="58"/>
      <c r="BZ384" s="58"/>
      <c r="CA384" s="58"/>
      <c r="CB384" s="72" t="str">
        <f aca="false">IF(AC384&lt;&gt;"",VLOOKUP(AC384,Selects!$B:$E,4,0),"")</f>
        <v/>
      </c>
      <c r="CC384" s="58"/>
      <c r="CD384" s="58"/>
      <c r="CE384" s="58"/>
    </row>
    <row r="385" customFormat="false" ht="15.75" hidden="false" customHeight="true" outlineLevel="0" collapsed="false">
      <c r="A385" s="17"/>
      <c r="B385" s="58"/>
      <c r="C385" s="58"/>
      <c r="D385" s="59"/>
      <c r="E385" s="60" t="str">
        <f aca="false">IF(LEN(D385)=11,"PF",IF(LEN(D385)=14,"PJ",""))</f>
        <v/>
      </c>
      <c r="F385" s="59"/>
      <c r="G385" s="59"/>
      <c r="H385" s="61" t="str">
        <f aca="false">IF(G385&lt;&gt;"",VLOOKUP(G385,'Cnae  mcc  id'!$A:$M,9,0),"")</f>
        <v/>
      </c>
      <c r="I385" s="62"/>
      <c r="J385" s="63" t="str">
        <f aca="false">IF(I385&lt;&gt;"",VLOOKUP(I385,'Legal Nature'!$E$2:$G$84,3,0),"")</f>
        <v/>
      </c>
      <c r="K385" s="64"/>
      <c r="L385" s="65"/>
      <c r="M385" s="66"/>
      <c r="N385" s="66"/>
      <c r="O385" s="79"/>
      <c r="P385" s="26"/>
      <c r="Q385" s="58"/>
      <c r="R385" s="58"/>
      <c r="S385" s="80"/>
      <c r="T385" s="68" t="str">
        <f aca="false">IF(LEFT(S385,1)="9","Celular",IF(S385="","","Fixo"))</f>
        <v/>
      </c>
      <c r="U385" s="58" t="str">
        <f aca="false">IF( T385&lt;&gt;"",VLOOKUP(T385,Selects!$M$4:$N$1000,2,0),"")</f>
        <v/>
      </c>
      <c r="V385" s="26"/>
      <c r="W385" s="58"/>
      <c r="X385" s="58"/>
      <c r="Y385" s="58"/>
      <c r="Z385" s="58"/>
      <c r="AA385" s="69"/>
      <c r="AB385" s="58"/>
      <c r="AC385" s="58"/>
      <c r="AD385" s="70" t="str">
        <f aca="false">IF(AC385&lt;&gt;"",VLOOKUP(AC385,Selects!$B$4:$C$100,2,0),"")</f>
        <v/>
      </c>
      <c r="AE385" s="26"/>
      <c r="AF385" s="58"/>
      <c r="AG385" s="59"/>
      <c r="AH385" s="65"/>
      <c r="AI385" s="66"/>
      <c r="AJ385" s="66"/>
      <c r="AK385" s="58"/>
      <c r="AL385" s="58"/>
      <c r="AM385" s="68" t="str">
        <f aca="false">IF(LEFT(AL385,1)="9","Celular",IF(AL385="","","Fixo"))</f>
        <v/>
      </c>
      <c r="AN385" s="58" t="str">
        <f aca="false">IF( AM385&lt;&gt;"",VLOOKUP(AM385,Selects!$M$4:$N$1000,2,0),"")</f>
        <v/>
      </c>
      <c r="AO385" s="58"/>
      <c r="AP385" s="59"/>
      <c r="AQ385" s="65"/>
      <c r="AR385" s="58"/>
      <c r="AS385" s="58"/>
      <c r="AT385" s="26"/>
      <c r="AU385" s="58"/>
      <c r="AV385" s="58"/>
      <c r="AW385" s="58"/>
      <c r="AX385" s="58"/>
      <c r="AY385" s="71"/>
      <c r="AZ385" s="58"/>
      <c r="BA385" s="58"/>
      <c r="BB385" s="72" t="str">
        <f aca="false">IF(BA385&lt;&gt;"",VLOOKUP(BA385,Selects!$B$4:$C$100,2,0),"")</f>
        <v/>
      </c>
      <c r="BC385" s="26"/>
      <c r="BD385" s="26"/>
      <c r="BE385" s="73"/>
      <c r="BF385" s="74"/>
      <c r="BG385" s="75" t="str">
        <f aca="false">IF(LEN(BF385)=11,"PF",IF(LEN(BF385)=14,"PJ",""))</f>
        <v/>
      </c>
      <c r="BH385" s="66"/>
      <c r="BI385" s="58" t="str">
        <f aca="false">IF(BH385&lt;&gt;"",VLOOKUP(BH385,Selects!$G:$H,2,0),"")</f>
        <v/>
      </c>
      <c r="BJ385" s="58"/>
      <c r="BK385" s="58"/>
      <c r="BL385" s="59"/>
      <c r="BM385" s="58"/>
      <c r="BN385" s="58"/>
      <c r="BO385" s="58" t="str">
        <f aca="false">IF(BN385&lt;&gt;"",VLOOKUP(BN385,Selects!$J$4:$K$1000,2,0),"")</f>
        <v/>
      </c>
      <c r="BP385" s="76"/>
      <c r="BQ385" s="59"/>
      <c r="BR385" s="77"/>
      <c r="BS385" s="59"/>
      <c r="BT385" s="77"/>
      <c r="BU385" s="58"/>
      <c r="BV385" s="58"/>
      <c r="BW385" s="58"/>
      <c r="BX385" s="58"/>
      <c r="BY385" s="58"/>
      <c r="BZ385" s="58"/>
      <c r="CA385" s="58"/>
      <c r="CB385" s="72" t="str">
        <f aca="false">IF(AC385&lt;&gt;"",VLOOKUP(AC385,Selects!$B:$E,4,0),"")</f>
        <v/>
      </c>
      <c r="CC385" s="58"/>
      <c r="CD385" s="58"/>
      <c r="CE385" s="58"/>
    </row>
    <row r="386" customFormat="false" ht="15.75" hidden="false" customHeight="true" outlineLevel="0" collapsed="false">
      <c r="A386" s="17"/>
      <c r="B386" s="58"/>
      <c r="C386" s="58"/>
      <c r="D386" s="59"/>
      <c r="E386" s="60" t="str">
        <f aca="false">IF(LEN(D386)=11,"PF",IF(LEN(D386)=14,"PJ",""))</f>
        <v/>
      </c>
      <c r="F386" s="59"/>
      <c r="G386" s="59"/>
      <c r="H386" s="61" t="str">
        <f aca="false">IF(G386&lt;&gt;"",VLOOKUP(G386,'Cnae  mcc  id'!$A:$M,9,0),"")</f>
        <v/>
      </c>
      <c r="I386" s="62"/>
      <c r="J386" s="63" t="str">
        <f aca="false">IF(I386&lt;&gt;"",VLOOKUP(I386,'Legal Nature'!$E$2:$G$84,3,0),"")</f>
        <v/>
      </c>
      <c r="K386" s="64"/>
      <c r="L386" s="65"/>
      <c r="M386" s="66"/>
      <c r="N386" s="66"/>
      <c r="O386" s="79"/>
      <c r="P386" s="26"/>
      <c r="Q386" s="58"/>
      <c r="R386" s="58"/>
      <c r="S386" s="80"/>
      <c r="T386" s="68" t="str">
        <f aca="false">IF(LEFT(S386,1)="9","Celular",IF(S386="","","Fixo"))</f>
        <v/>
      </c>
      <c r="U386" s="58" t="str">
        <f aca="false">IF( T386&lt;&gt;"",VLOOKUP(T386,Selects!$M$4:$N$1000,2,0),"")</f>
        <v/>
      </c>
      <c r="V386" s="26"/>
      <c r="W386" s="58"/>
      <c r="X386" s="58"/>
      <c r="Y386" s="58"/>
      <c r="Z386" s="58"/>
      <c r="AA386" s="69"/>
      <c r="AB386" s="58"/>
      <c r="AC386" s="58"/>
      <c r="AD386" s="70" t="str">
        <f aca="false">IF(AC386&lt;&gt;"",VLOOKUP(AC386,Selects!$B$4:$C$100,2,0),"")</f>
        <v/>
      </c>
      <c r="AE386" s="26"/>
      <c r="AF386" s="58"/>
      <c r="AG386" s="59"/>
      <c r="AH386" s="65"/>
      <c r="AI386" s="66"/>
      <c r="AJ386" s="66"/>
      <c r="AK386" s="58"/>
      <c r="AL386" s="58"/>
      <c r="AM386" s="68" t="str">
        <f aca="false">IF(LEFT(AL386,1)="9","Celular",IF(AL386="","","Fixo"))</f>
        <v/>
      </c>
      <c r="AN386" s="58" t="str">
        <f aca="false">IF( AM386&lt;&gt;"",VLOOKUP(AM386,Selects!$M$4:$N$1000,2,0),"")</f>
        <v/>
      </c>
      <c r="AO386" s="58"/>
      <c r="AP386" s="59"/>
      <c r="AQ386" s="65"/>
      <c r="AR386" s="58"/>
      <c r="AS386" s="58"/>
      <c r="AT386" s="26"/>
      <c r="AU386" s="58"/>
      <c r="AV386" s="58"/>
      <c r="AW386" s="58"/>
      <c r="AX386" s="58"/>
      <c r="AY386" s="71"/>
      <c r="AZ386" s="58"/>
      <c r="BA386" s="58"/>
      <c r="BB386" s="72" t="str">
        <f aca="false">IF(BA386&lt;&gt;"",VLOOKUP(BA386,Selects!$B$4:$C$100,2,0),"")</f>
        <v/>
      </c>
      <c r="BC386" s="26"/>
      <c r="BD386" s="26"/>
      <c r="BE386" s="73"/>
      <c r="BF386" s="74"/>
      <c r="BG386" s="75" t="str">
        <f aca="false">IF(LEN(BF386)=11,"PF",IF(LEN(BF386)=14,"PJ",""))</f>
        <v/>
      </c>
      <c r="BH386" s="66"/>
      <c r="BI386" s="58" t="str">
        <f aca="false">IF(BH386&lt;&gt;"",VLOOKUP(BH386,Selects!$G:$H,2,0),"")</f>
        <v/>
      </c>
      <c r="BJ386" s="58"/>
      <c r="BK386" s="58"/>
      <c r="BL386" s="59"/>
      <c r="BM386" s="58"/>
      <c r="BN386" s="58"/>
      <c r="BO386" s="58" t="str">
        <f aca="false">IF(BN386&lt;&gt;"",VLOOKUP(BN386,Selects!$J$4:$K$1000,2,0),"")</f>
        <v/>
      </c>
      <c r="BP386" s="76"/>
      <c r="BQ386" s="59"/>
      <c r="BR386" s="77"/>
      <c r="BS386" s="59"/>
      <c r="BT386" s="77"/>
      <c r="BU386" s="58"/>
      <c r="BV386" s="58"/>
      <c r="BW386" s="58"/>
      <c r="BX386" s="58"/>
      <c r="BY386" s="58"/>
      <c r="BZ386" s="58"/>
      <c r="CA386" s="58"/>
      <c r="CB386" s="72" t="str">
        <f aca="false">IF(AC386&lt;&gt;"",VLOOKUP(AC386,Selects!$B:$E,4,0),"")</f>
        <v/>
      </c>
      <c r="CC386" s="58"/>
      <c r="CD386" s="58"/>
      <c r="CE386" s="58"/>
    </row>
    <row r="387" customFormat="false" ht="15.75" hidden="false" customHeight="true" outlineLevel="0" collapsed="false">
      <c r="A387" s="17"/>
      <c r="B387" s="58"/>
      <c r="C387" s="58"/>
      <c r="D387" s="59"/>
      <c r="E387" s="60" t="str">
        <f aca="false">IF(LEN(D387)=11,"PF",IF(LEN(D387)=14,"PJ",""))</f>
        <v/>
      </c>
      <c r="F387" s="59"/>
      <c r="G387" s="59"/>
      <c r="H387" s="61" t="str">
        <f aca="false">IF(G387&lt;&gt;"",VLOOKUP(G387,'Cnae  mcc  id'!$A:$M,9,0),"")</f>
        <v/>
      </c>
      <c r="I387" s="62"/>
      <c r="J387" s="63" t="str">
        <f aca="false">IF(I387&lt;&gt;"",VLOOKUP(I387,'Legal Nature'!$E$2:$G$84,3,0),"")</f>
        <v/>
      </c>
      <c r="K387" s="64"/>
      <c r="L387" s="65"/>
      <c r="M387" s="66"/>
      <c r="N387" s="66"/>
      <c r="O387" s="79"/>
      <c r="P387" s="26"/>
      <c r="Q387" s="58"/>
      <c r="R387" s="58"/>
      <c r="S387" s="80"/>
      <c r="T387" s="68" t="str">
        <f aca="false">IF(LEFT(S387,1)="9","Celular",IF(S387="","","Fixo"))</f>
        <v/>
      </c>
      <c r="U387" s="58" t="str">
        <f aca="false">IF( T387&lt;&gt;"",VLOOKUP(T387,Selects!$M$4:$N$1000,2,0),"")</f>
        <v/>
      </c>
      <c r="V387" s="26"/>
      <c r="W387" s="58"/>
      <c r="X387" s="58"/>
      <c r="Y387" s="58"/>
      <c r="Z387" s="58"/>
      <c r="AA387" s="69"/>
      <c r="AB387" s="58"/>
      <c r="AC387" s="58"/>
      <c r="AD387" s="70" t="str">
        <f aca="false">IF(AC387&lt;&gt;"",VLOOKUP(AC387,Selects!$B$4:$C$100,2,0),"")</f>
        <v/>
      </c>
      <c r="AE387" s="26"/>
      <c r="AF387" s="58"/>
      <c r="AG387" s="59"/>
      <c r="AH387" s="65"/>
      <c r="AI387" s="66"/>
      <c r="AJ387" s="66"/>
      <c r="AK387" s="58"/>
      <c r="AL387" s="58"/>
      <c r="AM387" s="68" t="str">
        <f aca="false">IF(LEFT(AL387,1)="9","Celular",IF(AL387="","","Fixo"))</f>
        <v/>
      </c>
      <c r="AN387" s="58" t="str">
        <f aca="false">IF( AM387&lt;&gt;"",VLOOKUP(AM387,Selects!$M$4:$N$1000,2,0),"")</f>
        <v/>
      </c>
      <c r="AO387" s="58"/>
      <c r="AP387" s="59"/>
      <c r="AQ387" s="65"/>
      <c r="AR387" s="58"/>
      <c r="AS387" s="58"/>
      <c r="AT387" s="26"/>
      <c r="AU387" s="58"/>
      <c r="AV387" s="58"/>
      <c r="AW387" s="58"/>
      <c r="AX387" s="58"/>
      <c r="AY387" s="71"/>
      <c r="AZ387" s="58"/>
      <c r="BA387" s="58"/>
      <c r="BB387" s="72" t="str">
        <f aca="false">IF(BA387&lt;&gt;"",VLOOKUP(BA387,Selects!$B$4:$C$100,2,0),"")</f>
        <v/>
      </c>
      <c r="BC387" s="26"/>
      <c r="BD387" s="26"/>
      <c r="BE387" s="73"/>
      <c r="BF387" s="74"/>
      <c r="BG387" s="75" t="str">
        <f aca="false">IF(LEN(BF387)=11,"PF",IF(LEN(BF387)=14,"PJ",""))</f>
        <v/>
      </c>
      <c r="BH387" s="66"/>
      <c r="BI387" s="58" t="str">
        <f aca="false">IF(BH387&lt;&gt;"",VLOOKUP(BH387,Selects!$G:$H,2,0),"")</f>
        <v/>
      </c>
      <c r="BJ387" s="58"/>
      <c r="BK387" s="58"/>
      <c r="BL387" s="59"/>
      <c r="BM387" s="58"/>
      <c r="BN387" s="58"/>
      <c r="BO387" s="58" t="str">
        <f aca="false">IF(BN387&lt;&gt;"",VLOOKUP(BN387,Selects!$J$4:$K$1000,2,0),"")</f>
        <v/>
      </c>
      <c r="BP387" s="76"/>
      <c r="BQ387" s="59"/>
      <c r="BR387" s="77"/>
      <c r="BS387" s="59"/>
      <c r="BT387" s="77"/>
      <c r="BU387" s="58"/>
      <c r="BV387" s="58"/>
      <c r="BW387" s="58"/>
      <c r="BX387" s="58"/>
      <c r="BY387" s="58"/>
      <c r="BZ387" s="58"/>
      <c r="CA387" s="58"/>
      <c r="CB387" s="72" t="str">
        <f aca="false">IF(AC387&lt;&gt;"",VLOOKUP(AC387,Selects!$B:$E,4,0),"")</f>
        <v/>
      </c>
      <c r="CC387" s="58"/>
      <c r="CD387" s="58"/>
      <c r="CE387" s="58"/>
    </row>
    <row r="388" customFormat="false" ht="15.75" hidden="false" customHeight="true" outlineLevel="0" collapsed="false">
      <c r="A388" s="17"/>
      <c r="B388" s="58"/>
      <c r="C388" s="58"/>
      <c r="D388" s="59"/>
      <c r="E388" s="60" t="str">
        <f aca="false">IF(LEN(D388)=11,"PF",IF(LEN(D388)=14,"PJ",""))</f>
        <v/>
      </c>
      <c r="F388" s="59"/>
      <c r="G388" s="59"/>
      <c r="H388" s="61" t="str">
        <f aca="false">IF(G388&lt;&gt;"",VLOOKUP(G388,'Cnae  mcc  id'!$A:$M,9,0),"")</f>
        <v/>
      </c>
      <c r="I388" s="62"/>
      <c r="J388" s="63" t="str">
        <f aca="false">IF(I388&lt;&gt;"",VLOOKUP(I388,'Legal Nature'!$E$2:$G$84,3,0),"")</f>
        <v/>
      </c>
      <c r="K388" s="64"/>
      <c r="L388" s="65"/>
      <c r="M388" s="66"/>
      <c r="N388" s="66"/>
      <c r="O388" s="79"/>
      <c r="P388" s="26"/>
      <c r="Q388" s="58"/>
      <c r="R388" s="58"/>
      <c r="S388" s="80"/>
      <c r="T388" s="68" t="str">
        <f aca="false">IF(LEFT(S388,1)="9","Celular",IF(S388="","","Fixo"))</f>
        <v/>
      </c>
      <c r="U388" s="58" t="str">
        <f aca="false">IF( T388&lt;&gt;"",VLOOKUP(T388,Selects!$M$4:$N$1000,2,0),"")</f>
        <v/>
      </c>
      <c r="V388" s="26"/>
      <c r="W388" s="58"/>
      <c r="X388" s="58"/>
      <c r="Y388" s="58"/>
      <c r="Z388" s="58"/>
      <c r="AA388" s="69"/>
      <c r="AB388" s="58"/>
      <c r="AC388" s="58"/>
      <c r="AD388" s="70" t="str">
        <f aca="false">IF(AC388&lt;&gt;"",VLOOKUP(AC388,Selects!$B$4:$C$100,2,0),"")</f>
        <v/>
      </c>
      <c r="AE388" s="26"/>
      <c r="AF388" s="58"/>
      <c r="AG388" s="59"/>
      <c r="AH388" s="65"/>
      <c r="AI388" s="66"/>
      <c r="AJ388" s="66"/>
      <c r="AK388" s="58"/>
      <c r="AL388" s="58"/>
      <c r="AM388" s="68" t="str">
        <f aca="false">IF(LEFT(AL388,1)="9","Celular",IF(AL388="","","Fixo"))</f>
        <v/>
      </c>
      <c r="AN388" s="58" t="str">
        <f aca="false">IF( AM388&lt;&gt;"",VLOOKUP(AM388,Selects!$M$4:$N$1000,2,0),"")</f>
        <v/>
      </c>
      <c r="AO388" s="58"/>
      <c r="AP388" s="59"/>
      <c r="AQ388" s="65"/>
      <c r="AR388" s="58"/>
      <c r="AS388" s="58"/>
      <c r="AT388" s="26"/>
      <c r="AU388" s="58"/>
      <c r="AV388" s="58"/>
      <c r="AW388" s="58"/>
      <c r="AX388" s="58"/>
      <c r="AY388" s="71"/>
      <c r="AZ388" s="58"/>
      <c r="BA388" s="58"/>
      <c r="BB388" s="72" t="str">
        <f aca="false">IF(BA388&lt;&gt;"",VLOOKUP(BA388,Selects!$B$4:$C$100,2,0),"")</f>
        <v/>
      </c>
      <c r="BC388" s="26"/>
      <c r="BD388" s="26"/>
      <c r="BE388" s="73"/>
      <c r="BF388" s="74"/>
      <c r="BG388" s="75" t="str">
        <f aca="false">IF(LEN(BF388)=11,"PF",IF(LEN(BF388)=14,"PJ",""))</f>
        <v/>
      </c>
      <c r="BH388" s="66"/>
      <c r="BI388" s="58" t="str">
        <f aca="false">IF(BH388&lt;&gt;"",VLOOKUP(BH388,Selects!$G:$H,2,0),"")</f>
        <v/>
      </c>
      <c r="BJ388" s="58"/>
      <c r="BK388" s="58"/>
      <c r="BL388" s="59"/>
      <c r="BM388" s="58"/>
      <c r="BN388" s="58"/>
      <c r="BO388" s="58" t="str">
        <f aca="false">IF(BN388&lt;&gt;"",VLOOKUP(BN388,Selects!$J$4:$K$1000,2,0),"")</f>
        <v/>
      </c>
      <c r="BP388" s="76"/>
      <c r="BQ388" s="59"/>
      <c r="BR388" s="77"/>
      <c r="BS388" s="59"/>
      <c r="BT388" s="77"/>
      <c r="BU388" s="58"/>
      <c r="BV388" s="58"/>
      <c r="BW388" s="58"/>
      <c r="BX388" s="58"/>
      <c r="BY388" s="58"/>
      <c r="BZ388" s="58"/>
      <c r="CA388" s="58"/>
      <c r="CB388" s="72" t="str">
        <f aca="false">IF(AC388&lt;&gt;"",VLOOKUP(AC388,Selects!$B:$E,4,0),"")</f>
        <v/>
      </c>
      <c r="CC388" s="58"/>
      <c r="CD388" s="58"/>
      <c r="CE388" s="58"/>
    </row>
    <row r="389" customFormat="false" ht="15.75" hidden="false" customHeight="true" outlineLevel="0" collapsed="false">
      <c r="A389" s="17"/>
      <c r="B389" s="58"/>
      <c r="C389" s="58"/>
      <c r="D389" s="59"/>
      <c r="E389" s="60" t="str">
        <f aca="false">IF(LEN(D389)=11,"PF",IF(LEN(D389)=14,"PJ",""))</f>
        <v/>
      </c>
      <c r="F389" s="59"/>
      <c r="G389" s="59"/>
      <c r="H389" s="61" t="str">
        <f aca="false">IF(G389&lt;&gt;"",VLOOKUP(G389,'Cnae  mcc  id'!$A:$M,9,0),"")</f>
        <v/>
      </c>
      <c r="I389" s="62"/>
      <c r="J389" s="63" t="str">
        <f aca="false">IF(I389&lt;&gt;"",VLOOKUP(I389,'Legal Nature'!$E$2:$G$84,3,0),"")</f>
        <v/>
      </c>
      <c r="K389" s="64"/>
      <c r="L389" s="65"/>
      <c r="M389" s="66"/>
      <c r="N389" s="66"/>
      <c r="O389" s="79"/>
      <c r="P389" s="26"/>
      <c r="Q389" s="58"/>
      <c r="R389" s="58"/>
      <c r="S389" s="80"/>
      <c r="T389" s="68" t="str">
        <f aca="false">IF(LEFT(S389,1)="9","Celular",IF(S389="","","Fixo"))</f>
        <v/>
      </c>
      <c r="U389" s="58" t="str">
        <f aca="false">IF( T389&lt;&gt;"",VLOOKUP(T389,Selects!$M$4:$N$1000,2,0),"")</f>
        <v/>
      </c>
      <c r="V389" s="26"/>
      <c r="W389" s="58"/>
      <c r="X389" s="58"/>
      <c r="Y389" s="58"/>
      <c r="Z389" s="58"/>
      <c r="AA389" s="69"/>
      <c r="AB389" s="58"/>
      <c r="AC389" s="58"/>
      <c r="AD389" s="70" t="str">
        <f aca="false">IF(AC389&lt;&gt;"",VLOOKUP(AC389,Selects!$B$4:$C$100,2,0),"")</f>
        <v/>
      </c>
      <c r="AE389" s="26"/>
      <c r="AF389" s="58"/>
      <c r="AG389" s="59"/>
      <c r="AH389" s="65"/>
      <c r="AI389" s="66"/>
      <c r="AJ389" s="66"/>
      <c r="AK389" s="58"/>
      <c r="AL389" s="58"/>
      <c r="AM389" s="68" t="str">
        <f aca="false">IF(LEFT(AL389,1)="9","Celular",IF(AL389="","","Fixo"))</f>
        <v/>
      </c>
      <c r="AN389" s="58" t="str">
        <f aca="false">IF( AM389&lt;&gt;"",VLOOKUP(AM389,Selects!$M$4:$N$1000,2,0),"")</f>
        <v/>
      </c>
      <c r="AO389" s="58"/>
      <c r="AP389" s="59"/>
      <c r="AQ389" s="65"/>
      <c r="AR389" s="58"/>
      <c r="AS389" s="58"/>
      <c r="AT389" s="26"/>
      <c r="AU389" s="58"/>
      <c r="AV389" s="58"/>
      <c r="AW389" s="58"/>
      <c r="AX389" s="58"/>
      <c r="AY389" s="71"/>
      <c r="AZ389" s="58"/>
      <c r="BA389" s="58"/>
      <c r="BB389" s="72" t="str">
        <f aca="false">IF(BA389&lt;&gt;"",VLOOKUP(BA389,Selects!$B$4:$C$100,2,0),"")</f>
        <v/>
      </c>
      <c r="BC389" s="26"/>
      <c r="BD389" s="26"/>
      <c r="BE389" s="73"/>
      <c r="BF389" s="74"/>
      <c r="BG389" s="75" t="str">
        <f aca="false">IF(LEN(BF389)=11,"PF",IF(LEN(BF389)=14,"PJ",""))</f>
        <v/>
      </c>
      <c r="BH389" s="66"/>
      <c r="BI389" s="58" t="str">
        <f aca="false">IF(BH389&lt;&gt;"",VLOOKUP(BH389,Selects!$G:$H,2,0),"")</f>
        <v/>
      </c>
      <c r="BJ389" s="58"/>
      <c r="BK389" s="58"/>
      <c r="BL389" s="59"/>
      <c r="BM389" s="58"/>
      <c r="BN389" s="58"/>
      <c r="BO389" s="58" t="str">
        <f aca="false">IF(BN389&lt;&gt;"",VLOOKUP(BN389,Selects!$J$4:$K$1000,2,0),"")</f>
        <v/>
      </c>
      <c r="BP389" s="76"/>
      <c r="BQ389" s="59"/>
      <c r="BR389" s="77"/>
      <c r="BS389" s="59"/>
      <c r="BT389" s="77"/>
      <c r="BU389" s="58"/>
      <c r="BV389" s="58"/>
      <c r="BW389" s="58"/>
      <c r="BX389" s="58"/>
      <c r="BY389" s="58"/>
      <c r="BZ389" s="58"/>
      <c r="CA389" s="58"/>
      <c r="CB389" s="72" t="str">
        <f aca="false">IF(AC389&lt;&gt;"",VLOOKUP(AC389,Selects!$B:$E,4,0),"")</f>
        <v/>
      </c>
      <c r="CC389" s="58"/>
      <c r="CD389" s="58"/>
      <c r="CE389" s="58"/>
    </row>
    <row r="390" customFormat="false" ht="15.75" hidden="false" customHeight="true" outlineLevel="0" collapsed="false">
      <c r="A390" s="17"/>
      <c r="B390" s="58"/>
      <c r="C390" s="58"/>
      <c r="D390" s="59"/>
      <c r="E390" s="60" t="str">
        <f aca="false">IF(LEN(D390)=11,"PF",IF(LEN(D390)=14,"PJ",""))</f>
        <v/>
      </c>
      <c r="F390" s="59"/>
      <c r="G390" s="59"/>
      <c r="H390" s="61" t="str">
        <f aca="false">IF(G390&lt;&gt;"",VLOOKUP(G390,'Cnae  mcc  id'!$A:$M,9,0),"")</f>
        <v/>
      </c>
      <c r="I390" s="62"/>
      <c r="J390" s="63" t="str">
        <f aca="false">IF(I390&lt;&gt;"",VLOOKUP(I390,'Legal Nature'!$E$2:$G$84,3,0),"")</f>
        <v/>
      </c>
      <c r="K390" s="64"/>
      <c r="L390" s="65"/>
      <c r="M390" s="66"/>
      <c r="N390" s="66"/>
      <c r="O390" s="79"/>
      <c r="P390" s="26"/>
      <c r="Q390" s="58"/>
      <c r="R390" s="58"/>
      <c r="S390" s="80"/>
      <c r="T390" s="68" t="str">
        <f aca="false">IF(LEFT(S390,1)="9","Celular",IF(S390="","","Fixo"))</f>
        <v/>
      </c>
      <c r="U390" s="58" t="str">
        <f aca="false">IF( T390&lt;&gt;"",VLOOKUP(T390,Selects!$M$4:$N$1000,2,0),"")</f>
        <v/>
      </c>
      <c r="V390" s="26"/>
      <c r="W390" s="58"/>
      <c r="X390" s="58"/>
      <c r="Y390" s="58"/>
      <c r="Z390" s="58"/>
      <c r="AA390" s="69"/>
      <c r="AB390" s="58"/>
      <c r="AC390" s="58"/>
      <c r="AD390" s="70" t="str">
        <f aca="false">IF(AC390&lt;&gt;"",VLOOKUP(AC390,Selects!$B$4:$C$100,2,0),"")</f>
        <v/>
      </c>
      <c r="AE390" s="26"/>
      <c r="AF390" s="58"/>
      <c r="AG390" s="59"/>
      <c r="AH390" s="65"/>
      <c r="AI390" s="66"/>
      <c r="AJ390" s="66"/>
      <c r="AK390" s="58"/>
      <c r="AL390" s="58"/>
      <c r="AM390" s="68" t="str">
        <f aca="false">IF(LEFT(AL390,1)="9","Celular",IF(AL390="","","Fixo"))</f>
        <v/>
      </c>
      <c r="AN390" s="58" t="str">
        <f aca="false">IF( AM390&lt;&gt;"",VLOOKUP(AM390,Selects!$M$4:$N$1000,2,0),"")</f>
        <v/>
      </c>
      <c r="AO390" s="58"/>
      <c r="AP390" s="59"/>
      <c r="AQ390" s="65"/>
      <c r="AR390" s="58"/>
      <c r="AS390" s="58"/>
      <c r="AT390" s="26"/>
      <c r="AU390" s="58"/>
      <c r="AV390" s="58"/>
      <c r="AW390" s="58"/>
      <c r="AX390" s="58"/>
      <c r="AY390" s="71"/>
      <c r="AZ390" s="58"/>
      <c r="BA390" s="58"/>
      <c r="BB390" s="72" t="str">
        <f aca="false">IF(BA390&lt;&gt;"",VLOOKUP(BA390,Selects!$B$4:$C$100,2,0),"")</f>
        <v/>
      </c>
      <c r="BC390" s="26"/>
      <c r="BD390" s="26"/>
      <c r="BE390" s="73"/>
      <c r="BF390" s="74"/>
      <c r="BG390" s="75" t="str">
        <f aca="false">IF(LEN(BF390)=11,"PF",IF(LEN(BF390)=14,"PJ",""))</f>
        <v/>
      </c>
      <c r="BH390" s="66"/>
      <c r="BI390" s="58" t="str">
        <f aca="false">IF(BH390&lt;&gt;"",VLOOKUP(BH390,Selects!$G:$H,2,0),"")</f>
        <v/>
      </c>
      <c r="BJ390" s="58"/>
      <c r="BK390" s="58"/>
      <c r="BL390" s="59"/>
      <c r="BM390" s="58"/>
      <c r="BN390" s="58"/>
      <c r="BO390" s="58" t="str">
        <f aca="false">IF(BN390&lt;&gt;"",VLOOKUP(BN390,Selects!$J$4:$K$1000,2,0),"")</f>
        <v/>
      </c>
      <c r="BP390" s="76"/>
      <c r="BQ390" s="59"/>
      <c r="BR390" s="77"/>
      <c r="BS390" s="59"/>
      <c r="BT390" s="77"/>
      <c r="BU390" s="58"/>
      <c r="BV390" s="58"/>
      <c r="BW390" s="58"/>
      <c r="BX390" s="58"/>
      <c r="BY390" s="58"/>
      <c r="BZ390" s="58"/>
      <c r="CA390" s="58"/>
      <c r="CB390" s="72" t="str">
        <f aca="false">IF(AC390&lt;&gt;"",VLOOKUP(AC390,Selects!$B:$E,4,0),"")</f>
        <v/>
      </c>
      <c r="CC390" s="58"/>
      <c r="CD390" s="58"/>
      <c r="CE390" s="58"/>
    </row>
    <row r="391" customFormat="false" ht="15.75" hidden="false" customHeight="true" outlineLevel="0" collapsed="false">
      <c r="A391" s="17"/>
      <c r="B391" s="58"/>
      <c r="C391" s="58"/>
      <c r="D391" s="59"/>
      <c r="E391" s="60" t="str">
        <f aca="false">IF(LEN(D391)=11,"PF",IF(LEN(D391)=14,"PJ",""))</f>
        <v/>
      </c>
      <c r="F391" s="59"/>
      <c r="G391" s="59"/>
      <c r="H391" s="61" t="str">
        <f aca="false">IF(G391&lt;&gt;"",VLOOKUP(G391,'Cnae  mcc  id'!$A:$M,9,0),"")</f>
        <v/>
      </c>
      <c r="I391" s="62"/>
      <c r="J391" s="63" t="str">
        <f aca="false">IF(I391&lt;&gt;"",VLOOKUP(I391,'Legal Nature'!$E$2:$G$84,3,0),"")</f>
        <v/>
      </c>
      <c r="K391" s="64"/>
      <c r="L391" s="65"/>
      <c r="M391" s="66"/>
      <c r="N391" s="66"/>
      <c r="O391" s="79"/>
      <c r="P391" s="26"/>
      <c r="Q391" s="58"/>
      <c r="R391" s="58"/>
      <c r="S391" s="80"/>
      <c r="T391" s="68" t="str">
        <f aca="false">IF(LEFT(S391,1)="9","Celular",IF(S391="","","Fixo"))</f>
        <v/>
      </c>
      <c r="U391" s="58" t="str">
        <f aca="false">IF( T391&lt;&gt;"",VLOOKUP(T391,Selects!$M$4:$N$1000,2,0),"")</f>
        <v/>
      </c>
      <c r="V391" s="26"/>
      <c r="W391" s="58"/>
      <c r="X391" s="58"/>
      <c r="Y391" s="58"/>
      <c r="Z391" s="58"/>
      <c r="AA391" s="69"/>
      <c r="AB391" s="58"/>
      <c r="AC391" s="58"/>
      <c r="AD391" s="70" t="str">
        <f aca="false">IF(AC391&lt;&gt;"",VLOOKUP(AC391,Selects!$B$4:$C$100,2,0),"")</f>
        <v/>
      </c>
      <c r="AE391" s="26"/>
      <c r="AF391" s="58"/>
      <c r="AG391" s="59"/>
      <c r="AH391" s="65"/>
      <c r="AI391" s="66"/>
      <c r="AJ391" s="66"/>
      <c r="AK391" s="58"/>
      <c r="AL391" s="58"/>
      <c r="AM391" s="68" t="str">
        <f aca="false">IF(LEFT(AL391,1)="9","Celular",IF(AL391="","","Fixo"))</f>
        <v/>
      </c>
      <c r="AN391" s="58" t="str">
        <f aca="false">IF( AM391&lt;&gt;"",VLOOKUP(AM391,Selects!$M$4:$N$1000,2,0),"")</f>
        <v/>
      </c>
      <c r="AO391" s="58"/>
      <c r="AP391" s="59"/>
      <c r="AQ391" s="65"/>
      <c r="AR391" s="58"/>
      <c r="AS391" s="58"/>
      <c r="AT391" s="26"/>
      <c r="AU391" s="58"/>
      <c r="AV391" s="58"/>
      <c r="AW391" s="58"/>
      <c r="AX391" s="58"/>
      <c r="AY391" s="71"/>
      <c r="AZ391" s="58"/>
      <c r="BA391" s="58"/>
      <c r="BB391" s="72" t="str">
        <f aca="false">IF(BA391&lt;&gt;"",VLOOKUP(BA391,Selects!$B$4:$C$100,2,0),"")</f>
        <v/>
      </c>
      <c r="BC391" s="26"/>
      <c r="BD391" s="26"/>
      <c r="BE391" s="73"/>
      <c r="BF391" s="74"/>
      <c r="BG391" s="75" t="str">
        <f aca="false">IF(LEN(BF391)=11,"PF",IF(LEN(BF391)=14,"PJ",""))</f>
        <v/>
      </c>
      <c r="BH391" s="66"/>
      <c r="BI391" s="58" t="str">
        <f aca="false">IF(BH391&lt;&gt;"",VLOOKUP(BH391,Selects!$G:$H,2,0),"")</f>
        <v/>
      </c>
      <c r="BJ391" s="58"/>
      <c r="BK391" s="58"/>
      <c r="BL391" s="59"/>
      <c r="BM391" s="58"/>
      <c r="BN391" s="58"/>
      <c r="BO391" s="58" t="str">
        <f aca="false">IF(BN391&lt;&gt;"",VLOOKUP(BN391,Selects!$J$4:$K$1000,2,0),"")</f>
        <v/>
      </c>
      <c r="BP391" s="76"/>
      <c r="BQ391" s="59"/>
      <c r="BR391" s="77"/>
      <c r="BS391" s="59"/>
      <c r="BT391" s="77"/>
      <c r="BU391" s="58"/>
      <c r="BV391" s="58"/>
      <c r="BW391" s="58"/>
      <c r="BX391" s="58"/>
      <c r="BY391" s="58"/>
      <c r="BZ391" s="58"/>
      <c r="CA391" s="58"/>
      <c r="CB391" s="72" t="str">
        <f aca="false">IF(AC391&lt;&gt;"",VLOOKUP(AC391,Selects!$B:$E,4,0),"")</f>
        <v/>
      </c>
      <c r="CC391" s="58"/>
      <c r="CD391" s="58"/>
      <c r="CE391" s="58"/>
    </row>
    <row r="392" customFormat="false" ht="15.75" hidden="false" customHeight="true" outlineLevel="0" collapsed="false">
      <c r="A392" s="17"/>
      <c r="B392" s="58"/>
      <c r="C392" s="58"/>
      <c r="D392" s="59"/>
      <c r="E392" s="60" t="str">
        <f aca="false">IF(LEN(D392)=11,"PF",IF(LEN(D392)=14,"PJ",""))</f>
        <v/>
      </c>
      <c r="F392" s="59"/>
      <c r="G392" s="59"/>
      <c r="H392" s="61" t="str">
        <f aca="false">IF(G392&lt;&gt;"",VLOOKUP(G392,'Cnae  mcc  id'!$A:$M,9,0),"")</f>
        <v/>
      </c>
      <c r="I392" s="62"/>
      <c r="J392" s="63" t="str">
        <f aca="false">IF(I392&lt;&gt;"",VLOOKUP(I392,'Legal Nature'!$E$2:$G$84,3,0),"")</f>
        <v/>
      </c>
      <c r="K392" s="64"/>
      <c r="L392" s="65"/>
      <c r="M392" s="66"/>
      <c r="N392" s="66"/>
      <c r="O392" s="79"/>
      <c r="P392" s="26"/>
      <c r="Q392" s="58"/>
      <c r="R392" s="58"/>
      <c r="S392" s="80"/>
      <c r="T392" s="68" t="str">
        <f aca="false">IF(LEFT(S392,1)="9","Celular",IF(S392="","","Fixo"))</f>
        <v/>
      </c>
      <c r="U392" s="58" t="str">
        <f aca="false">IF( T392&lt;&gt;"",VLOOKUP(T392,Selects!$M$4:$N$1000,2,0),"")</f>
        <v/>
      </c>
      <c r="V392" s="26"/>
      <c r="W392" s="58"/>
      <c r="X392" s="58"/>
      <c r="Y392" s="58"/>
      <c r="Z392" s="58"/>
      <c r="AA392" s="69"/>
      <c r="AB392" s="58"/>
      <c r="AC392" s="58"/>
      <c r="AD392" s="70" t="str">
        <f aca="false">IF(AC392&lt;&gt;"",VLOOKUP(AC392,Selects!$B$4:$C$100,2,0),"")</f>
        <v/>
      </c>
      <c r="AE392" s="26"/>
      <c r="AF392" s="58"/>
      <c r="AG392" s="59"/>
      <c r="AH392" s="65"/>
      <c r="AI392" s="66"/>
      <c r="AJ392" s="66"/>
      <c r="AK392" s="58"/>
      <c r="AL392" s="58"/>
      <c r="AM392" s="68" t="str">
        <f aca="false">IF(LEFT(AL392,1)="9","Celular",IF(AL392="","","Fixo"))</f>
        <v/>
      </c>
      <c r="AN392" s="58" t="str">
        <f aca="false">IF( AM392&lt;&gt;"",VLOOKUP(AM392,Selects!$M$4:$N$1000,2,0),"")</f>
        <v/>
      </c>
      <c r="AO392" s="58"/>
      <c r="AP392" s="59"/>
      <c r="AQ392" s="65"/>
      <c r="AR392" s="58"/>
      <c r="AS392" s="58"/>
      <c r="AT392" s="26"/>
      <c r="AU392" s="58"/>
      <c r="AV392" s="58"/>
      <c r="AW392" s="58"/>
      <c r="AX392" s="58"/>
      <c r="AY392" s="71"/>
      <c r="AZ392" s="58"/>
      <c r="BA392" s="58"/>
      <c r="BB392" s="72" t="str">
        <f aca="false">IF(BA392&lt;&gt;"",VLOOKUP(BA392,Selects!$B$4:$C$100,2,0),"")</f>
        <v/>
      </c>
      <c r="BC392" s="26"/>
      <c r="BD392" s="26"/>
      <c r="BE392" s="73"/>
      <c r="BF392" s="74"/>
      <c r="BG392" s="75" t="str">
        <f aca="false">IF(LEN(BF392)=11,"PF",IF(LEN(BF392)=14,"PJ",""))</f>
        <v/>
      </c>
      <c r="BH392" s="66"/>
      <c r="BI392" s="58" t="str">
        <f aca="false">IF(BH392&lt;&gt;"",VLOOKUP(BH392,Selects!$G:$H,2,0),"")</f>
        <v/>
      </c>
      <c r="BJ392" s="58"/>
      <c r="BK392" s="58"/>
      <c r="BL392" s="59"/>
      <c r="BM392" s="58"/>
      <c r="BN392" s="58"/>
      <c r="BO392" s="58" t="str">
        <f aca="false">IF(BN392&lt;&gt;"",VLOOKUP(BN392,Selects!$J$4:$K$1000,2,0),"")</f>
        <v/>
      </c>
      <c r="BP392" s="76"/>
      <c r="BQ392" s="59"/>
      <c r="BR392" s="77"/>
      <c r="BS392" s="59"/>
      <c r="BT392" s="77"/>
      <c r="BU392" s="58"/>
      <c r="BV392" s="58"/>
      <c r="BW392" s="58"/>
      <c r="BX392" s="58"/>
      <c r="BY392" s="58"/>
      <c r="BZ392" s="58"/>
      <c r="CA392" s="58"/>
      <c r="CB392" s="72" t="str">
        <f aca="false">IF(AC392&lt;&gt;"",VLOOKUP(AC392,Selects!$B:$E,4,0),"")</f>
        <v/>
      </c>
      <c r="CC392" s="58"/>
      <c r="CD392" s="58"/>
      <c r="CE392" s="58"/>
    </row>
    <row r="393" customFormat="false" ht="15.75" hidden="false" customHeight="true" outlineLevel="0" collapsed="false">
      <c r="A393" s="17"/>
      <c r="B393" s="58"/>
      <c r="C393" s="58"/>
      <c r="D393" s="59"/>
      <c r="E393" s="60" t="str">
        <f aca="false">IF(LEN(D393)=11,"PF",IF(LEN(D393)=14,"PJ",""))</f>
        <v/>
      </c>
      <c r="F393" s="59"/>
      <c r="G393" s="59"/>
      <c r="H393" s="61" t="str">
        <f aca="false">IF(G393&lt;&gt;"",VLOOKUP(G393,'Cnae  mcc  id'!$A:$M,9,0),"")</f>
        <v/>
      </c>
      <c r="I393" s="62"/>
      <c r="J393" s="63" t="str">
        <f aca="false">IF(I393&lt;&gt;"",VLOOKUP(I393,'Legal Nature'!$E$2:$G$84,3,0),"")</f>
        <v/>
      </c>
      <c r="K393" s="64"/>
      <c r="L393" s="65"/>
      <c r="M393" s="66"/>
      <c r="N393" s="66"/>
      <c r="O393" s="79"/>
      <c r="P393" s="26"/>
      <c r="Q393" s="58"/>
      <c r="R393" s="58"/>
      <c r="S393" s="80"/>
      <c r="T393" s="68" t="str">
        <f aca="false">IF(LEFT(S393,1)="9","Celular",IF(S393="","","Fixo"))</f>
        <v/>
      </c>
      <c r="U393" s="58" t="str">
        <f aca="false">IF( T393&lt;&gt;"",VLOOKUP(T393,Selects!$M$4:$N$1000,2,0),"")</f>
        <v/>
      </c>
      <c r="V393" s="26"/>
      <c r="W393" s="58"/>
      <c r="X393" s="58"/>
      <c r="Y393" s="58"/>
      <c r="Z393" s="58"/>
      <c r="AA393" s="69"/>
      <c r="AB393" s="58"/>
      <c r="AC393" s="58"/>
      <c r="AD393" s="70" t="str">
        <f aca="false">IF(AC393&lt;&gt;"",VLOOKUP(AC393,Selects!$B$4:$C$100,2,0),"")</f>
        <v/>
      </c>
      <c r="AE393" s="26"/>
      <c r="AF393" s="58"/>
      <c r="AG393" s="59"/>
      <c r="AH393" s="65"/>
      <c r="AI393" s="66"/>
      <c r="AJ393" s="66"/>
      <c r="AK393" s="58"/>
      <c r="AL393" s="58"/>
      <c r="AM393" s="68" t="str">
        <f aca="false">IF(LEFT(AL393,1)="9","Celular",IF(AL393="","","Fixo"))</f>
        <v/>
      </c>
      <c r="AN393" s="58" t="str">
        <f aca="false">IF( AM393&lt;&gt;"",VLOOKUP(AM393,Selects!$M$4:$N$1000,2,0),"")</f>
        <v/>
      </c>
      <c r="AO393" s="58"/>
      <c r="AP393" s="59"/>
      <c r="AQ393" s="65"/>
      <c r="AR393" s="58"/>
      <c r="AS393" s="58"/>
      <c r="AT393" s="26"/>
      <c r="AU393" s="58"/>
      <c r="AV393" s="58"/>
      <c r="AW393" s="58"/>
      <c r="AX393" s="58"/>
      <c r="AY393" s="71"/>
      <c r="AZ393" s="58"/>
      <c r="BA393" s="58"/>
      <c r="BB393" s="72" t="str">
        <f aca="false">IF(BA393&lt;&gt;"",VLOOKUP(BA393,Selects!$B$4:$C$100,2,0),"")</f>
        <v/>
      </c>
      <c r="BC393" s="26"/>
      <c r="BD393" s="26"/>
      <c r="BE393" s="73"/>
      <c r="BF393" s="74"/>
      <c r="BG393" s="75" t="str">
        <f aca="false">IF(LEN(BF393)=11,"PF",IF(LEN(BF393)=14,"PJ",""))</f>
        <v/>
      </c>
      <c r="BH393" s="66"/>
      <c r="BI393" s="58" t="str">
        <f aca="false">IF(BH393&lt;&gt;"",VLOOKUP(BH393,Selects!$G:$H,2,0),"")</f>
        <v/>
      </c>
      <c r="BJ393" s="58"/>
      <c r="BK393" s="58"/>
      <c r="BL393" s="59"/>
      <c r="BM393" s="58"/>
      <c r="BN393" s="58"/>
      <c r="BO393" s="58" t="str">
        <f aca="false">IF(BN393&lt;&gt;"",VLOOKUP(BN393,Selects!$J$4:$K$1000,2,0),"")</f>
        <v/>
      </c>
      <c r="BP393" s="76"/>
      <c r="BQ393" s="59"/>
      <c r="BR393" s="77"/>
      <c r="BS393" s="59"/>
      <c r="BT393" s="77"/>
      <c r="BU393" s="58"/>
      <c r="BV393" s="58"/>
      <c r="BW393" s="58"/>
      <c r="BX393" s="58"/>
      <c r="BY393" s="58"/>
      <c r="BZ393" s="58"/>
      <c r="CA393" s="58"/>
      <c r="CB393" s="72" t="str">
        <f aca="false">IF(AC393&lt;&gt;"",VLOOKUP(AC393,Selects!$B:$E,4,0),"")</f>
        <v/>
      </c>
      <c r="CC393" s="58"/>
      <c r="CD393" s="58"/>
      <c r="CE393" s="58"/>
    </row>
    <row r="394" customFormat="false" ht="15.75" hidden="false" customHeight="true" outlineLevel="0" collapsed="false">
      <c r="A394" s="17"/>
      <c r="B394" s="58"/>
      <c r="C394" s="58"/>
      <c r="D394" s="59"/>
      <c r="E394" s="60" t="str">
        <f aca="false">IF(LEN(D394)=11,"PF",IF(LEN(D394)=14,"PJ",""))</f>
        <v/>
      </c>
      <c r="F394" s="59"/>
      <c r="G394" s="59"/>
      <c r="H394" s="61" t="str">
        <f aca="false">IF(G394&lt;&gt;"",VLOOKUP(G394,'Cnae  mcc  id'!$A:$M,9,0),"")</f>
        <v/>
      </c>
      <c r="I394" s="62"/>
      <c r="J394" s="63" t="str">
        <f aca="false">IF(I394&lt;&gt;"",VLOOKUP(I394,'Legal Nature'!$E$2:$G$84,3,0),"")</f>
        <v/>
      </c>
      <c r="K394" s="64"/>
      <c r="L394" s="65"/>
      <c r="M394" s="66"/>
      <c r="N394" s="66"/>
      <c r="O394" s="79"/>
      <c r="P394" s="26"/>
      <c r="Q394" s="58"/>
      <c r="R394" s="58"/>
      <c r="S394" s="80"/>
      <c r="T394" s="68" t="str">
        <f aca="false">IF(LEFT(S394,1)="9","Celular",IF(S394="","","Fixo"))</f>
        <v/>
      </c>
      <c r="U394" s="58" t="str">
        <f aca="false">IF( T394&lt;&gt;"",VLOOKUP(T394,Selects!$M$4:$N$1000,2,0),"")</f>
        <v/>
      </c>
      <c r="V394" s="26"/>
      <c r="W394" s="58"/>
      <c r="X394" s="58"/>
      <c r="Y394" s="58"/>
      <c r="Z394" s="58"/>
      <c r="AA394" s="69"/>
      <c r="AB394" s="58"/>
      <c r="AC394" s="58"/>
      <c r="AD394" s="70" t="str">
        <f aca="false">IF(AC394&lt;&gt;"",VLOOKUP(AC394,Selects!$B$4:$C$100,2,0),"")</f>
        <v/>
      </c>
      <c r="AE394" s="26"/>
      <c r="AF394" s="58"/>
      <c r="AG394" s="59"/>
      <c r="AH394" s="65"/>
      <c r="AI394" s="66"/>
      <c r="AJ394" s="66"/>
      <c r="AK394" s="58"/>
      <c r="AL394" s="58"/>
      <c r="AM394" s="68" t="str">
        <f aca="false">IF(LEFT(AL394,1)="9","Celular",IF(AL394="","","Fixo"))</f>
        <v/>
      </c>
      <c r="AN394" s="58" t="str">
        <f aca="false">IF( AM394&lt;&gt;"",VLOOKUP(AM394,Selects!$M$4:$N$1000,2,0),"")</f>
        <v/>
      </c>
      <c r="AO394" s="58"/>
      <c r="AP394" s="59"/>
      <c r="AQ394" s="65"/>
      <c r="AR394" s="58"/>
      <c r="AS394" s="58"/>
      <c r="AT394" s="26"/>
      <c r="AU394" s="58"/>
      <c r="AV394" s="58"/>
      <c r="AW394" s="58"/>
      <c r="AX394" s="58"/>
      <c r="AY394" s="71"/>
      <c r="AZ394" s="58"/>
      <c r="BA394" s="58"/>
      <c r="BB394" s="72" t="str">
        <f aca="false">IF(BA394&lt;&gt;"",VLOOKUP(BA394,Selects!$B$4:$C$100,2,0),"")</f>
        <v/>
      </c>
      <c r="BC394" s="26"/>
      <c r="BD394" s="26"/>
      <c r="BE394" s="73"/>
      <c r="BF394" s="74"/>
      <c r="BG394" s="75" t="str">
        <f aca="false">IF(LEN(BF394)=11,"PF",IF(LEN(BF394)=14,"PJ",""))</f>
        <v/>
      </c>
      <c r="BH394" s="66"/>
      <c r="BI394" s="58" t="str">
        <f aca="false">IF(BH394&lt;&gt;"",VLOOKUP(BH394,Selects!$G:$H,2,0),"")</f>
        <v/>
      </c>
      <c r="BJ394" s="58"/>
      <c r="BK394" s="58"/>
      <c r="BL394" s="59"/>
      <c r="BM394" s="58"/>
      <c r="BN394" s="58"/>
      <c r="BO394" s="58" t="str">
        <f aca="false">IF(BN394&lt;&gt;"",VLOOKUP(BN394,Selects!$J$4:$K$1000,2,0),"")</f>
        <v/>
      </c>
      <c r="BP394" s="76"/>
      <c r="BQ394" s="59"/>
      <c r="BR394" s="77"/>
      <c r="BS394" s="59"/>
      <c r="BT394" s="77"/>
      <c r="BU394" s="58"/>
      <c r="BV394" s="58"/>
      <c r="BW394" s="58"/>
      <c r="BX394" s="58"/>
      <c r="BY394" s="58"/>
      <c r="BZ394" s="58"/>
      <c r="CA394" s="58"/>
      <c r="CB394" s="72" t="str">
        <f aca="false">IF(AC394&lt;&gt;"",VLOOKUP(AC394,Selects!$B:$E,4,0),"")</f>
        <v/>
      </c>
      <c r="CC394" s="58"/>
      <c r="CD394" s="58"/>
      <c r="CE394" s="58"/>
    </row>
    <row r="395" customFormat="false" ht="15.75" hidden="false" customHeight="true" outlineLevel="0" collapsed="false">
      <c r="A395" s="17"/>
      <c r="B395" s="58"/>
      <c r="C395" s="58"/>
      <c r="D395" s="59"/>
      <c r="E395" s="60" t="str">
        <f aca="false">IF(LEN(D395)=11,"PF",IF(LEN(D395)=14,"PJ",""))</f>
        <v/>
      </c>
      <c r="F395" s="59"/>
      <c r="G395" s="59"/>
      <c r="H395" s="61" t="str">
        <f aca="false">IF(G395&lt;&gt;"",VLOOKUP(G395,'Cnae  mcc  id'!$A:$M,9,0),"")</f>
        <v/>
      </c>
      <c r="I395" s="62"/>
      <c r="J395" s="63" t="str">
        <f aca="false">IF(I395&lt;&gt;"",VLOOKUP(I395,'Legal Nature'!$E$2:$G$84,3,0),"")</f>
        <v/>
      </c>
      <c r="K395" s="64"/>
      <c r="L395" s="65"/>
      <c r="M395" s="66"/>
      <c r="N395" s="66"/>
      <c r="O395" s="79"/>
      <c r="P395" s="26"/>
      <c r="Q395" s="58"/>
      <c r="R395" s="58"/>
      <c r="S395" s="80"/>
      <c r="T395" s="68" t="str">
        <f aca="false">IF(LEFT(S395,1)="9","Celular",IF(S395="","","Fixo"))</f>
        <v/>
      </c>
      <c r="U395" s="58" t="str">
        <f aca="false">IF( T395&lt;&gt;"",VLOOKUP(T395,Selects!$M$4:$N$1000,2,0),"")</f>
        <v/>
      </c>
      <c r="V395" s="26"/>
      <c r="W395" s="58"/>
      <c r="X395" s="58"/>
      <c r="Y395" s="58"/>
      <c r="Z395" s="58"/>
      <c r="AA395" s="69"/>
      <c r="AB395" s="58"/>
      <c r="AC395" s="58"/>
      <c r="AD395" s="70" t="str">
        <f aca="false">IF(AC395&lt;&gt;"",VLOOKUP(AC395,Selects!$B$4:$C$100,2,0),"")</f>
        <v/>
      </c>
      <c r="AE395" s="26"/>
      <c r="AF395" s="58"/>
      <c r="AG395" s="59"/>
      <c r="AH395" s="65"/>
      <c r="AI395" s="66"/>
      <c r="AJ395" s="66"/>
      <c r="AK395" s="58"/>
      <c r="AL395" s="58"/>
      <c r="AM395" s="68" t="str">
        <f aca="false">IF(LEFT(AL395,1)="9","Celular",IF(AL395="","","Fixo"))</f>
        <v/>
      </c>
      <c r="AN395" s="58" t="str">
        <f aca="false">IF( AM395&lt;&gt;"",VLOOKUP(AM395,Selects!$M$4:$N$1000,2,0),"")</f>
        <v/>
      </c>
      <c r="AO395" s="58"/>
      <c r="AP395" s="59"/>
      <c r="AQ395" s="65"/>
      <c r="AR395" s="58"/>
      <c r="AS395" s="58"/>
      <c r="AT395" s="26"/>
      <c r="AU395" s="58"/>
      <c r="AV395" s="58"/>
      <c r="AW395" s="58"/>
      <c r="AX395" s="58"/>
      <c r="AY395" s="71"/>
      <c r="AZ395" s="58"/>
      <c r="BA395" s="58"/>
      <c r="BB395" s="72" t="str">
        <f aca="false">IF(BA395&lt;&gt;"",VLOOKUP(BA395,Selects!$B$4:$C$100,2,0),"")</f>
        <v/>
      </c>
      <c r="BC395" s="26"/>
      <c r="BD395" s="26"/>
      <c r="BE395" s="73"/>
      <c r="BF395" s="74"/>
      <c r="BG395" s="75" t="str">
        <f aca="false">IF(LEN(BF395)=11,"PF",IF(LEN(BF395)=14,"PJ",""))</f>
        <v/>
      </c>
      <c r="BH395" s="66"/>
      <c r="BI395" s="58" t="str">
        <f aca="false">IF(BH395&lt;&gt;"",VLOOKUP(BH395,Selects!$G:$H,2,0),"")</f>
        <v/>
      </c>
      <c r="BJ395" s="58"/>
      <c r="BK395" s="58"/>
      <c r="BL395" s="59"/>
      <c r="BM395" s="58"/>
      <c r="BN395" s="58"/>
      <c r="BO395" s="58" t="str">
        <f aca="false">IF(BN395&lt;&gt;"",VLOOKUP(BN395,Selects!$J$4:$K$1000,2,0),"")</f>
        <v/>
      </c>
      <c r="BP395" s="76"/>
      <c r="BQ395" s="59"/>
      <c r="BR395" s="77"/>
      <c r="BS395" s="59"/>
      <c r="BT395" s="77"/>
      <c r="BU395" s="58"/>
      <c r="BV395" s="58"/>
      <c r="BW395" s="58"/>
      <c r="BX395" s="58"/>
      <c r="BY395" s="58"/>
      <c r="BZ395" s="58"/>
      <c r="CA395" s="58"/>
      <c r="CB395" s="72" t="str">
        <f aca="false">IF(AC395&lt;&gt;"",VLOOKUP(AC395,Selects!$B:$E,4,0),"")</f>
        <v/>
      </c>
      <c r="CC395" s="58"/>
      <c r="CD395" s="58"/>
      <c r="CE395" s="58"/>
    </row>
    <row r="396" customFormat="false" ht="15.75" hidden="false" customHeight="true" outlineLevel="0" collapsed="false">
      <c r="A396" s="17"/>
      <c r="B396" s="58"/>
      <c r="C396" s="58"/>
      <c r="D396" s="59"/>
      <c r="E396" s="60" t="str">
        <f aca="false">IF(LEN(D396)=11,"PF",IF(LEN(D396)=14,"PJ",""))</f>
        <v/>
      </c>
      <c r="F396" s="59"/>
      <c r="G396" s="59"/>
      <c r="H396" s="61" t="str">
        <f aca="false">IF(G396&lt;&gt;"",VLOOKUP(G396,'Cnae  mcc  id'!$A:$M,9,0),"")</f>
        <v/>
      </c>
      <c r="I396" s="62"/>
      <c r="J396" s="63" t="str">
        <f aca="false">IF(I396&lt;&gt;"",VLOOKUP(I396,'Legal Nature'!$E$2:$G$84,3,0),"")</f>
        <v/>
      </c>
      <c r="K396" s="64"/>
      <c r="L396" s="65"/>
      <c r="M396" s="66"/>
      <c r="N396" s="66"/>
      <c r="O396" s="79"/>
      <c r="P396" s="26"/>
      <c r="Q396" s="58"/>
      <c r="R396" s="58"/>
      <c r="S396" s="80"/>
      <c r="T396" s="68" t="str">
        <f aca="false">IF(LEFT(S396,1)="9","Celular",IF(S396="","","Fixo"))</f>
        <v/>
      </c>
      <c r="U396" s="58" t="str">
        <f aca="false">IF( T396&lt;&gt;"",VLOOKUP(T396,Selects!$M$4:$N$1000,2,0),"")</f>
        <v/>
      </c>
      <c r="V396" s="26"/>
      <c r="W396" s="58"/>
      <c r="X396" s="58"/>
      <c r="Y396" s="58"/>
      <c r="Z396" s="58"/>
      <c r="AA396" s="69"/>
      <c r="AB396" s="58"/>
      <c r="AC396" s="58"/>
      <c r="AD396" s="70" t="str">
        <f aca="false">IF(AC396&lt;&gt;"",VLOOKUP(AC396,Selects!$B$4:$C$100,2,0),"")</f>
        <v/>
      </c>
      <c r="AE396" s="26"/>
      <c r="AF396" s="58"/>
      <c r="AG396" s="59"/>
      <c r="AH396" s="65"/>
      <c r="AI396" s="66"/>
      <c r="AJ396" s="66"/>
      <c r="AK396" s="58"/>
      <c r="AL396" s="58"/>
      <c r="AM396" s="68" t="str">
        <f aca="false">IF(LEFT(AL396,1)="9","Celular",IF(AL396="","","Fixo"))</f>
        <v/>
      </c>
      <c r="AN396" s="58" t="str">
        <f aca="false">IF( AM396&lt;&gt;"",VLOOKUP(AM396,Selects!$M$4:$N$1000,2,0),"")</f>
        <v/>
      </c>
      <c r="AO396" s="58"/>
      <c r="AP396" s="59"/>
      <c r="AQ396" s="65"/>
      <c r="AR396" s="58"/>
      <c r="AS396" s="58"/>
      <c r="AT396" s="26"/>
      <c r="AU396" s="58"/>
      <c r="AV396" s="58"/>
      <c r="AW396" s="58"/>
      <c r="AX396" s="58"/>
      <c r="AY396" s="71"/>
      <c r="AZ396" s="58"/>
      <c r="BA396" s="58"/>
      <c r="BB396" s="72" t="str">
        <f aca="false">IF(BA396&lt;&gt;"",VLOOKUP(BA396,Selects!$B$4:$C$100,2,0),"")</f>
        <v/>
      </c>
      <c r="BC396" s="26"/>
      <c r="BD396" s="26"/>
      <c r="BE396" s="73"/>
      <c r="BF396" s="74"/>
      <c r="BG396" s="75" t="str">
        <f aca="false">IF(LEN(BF396)=11,"PF",IF(LEN(BF396)=14,"PJ",""))</f>
        <v/>
      </c>
      <c r="BH396" s="66"/>
      <c r="BI396" s="58" t="str">
        <f aca="false">IF(BH396&lt;&gt;"",VLOOKUP(BH396,Selects!$G:$H,2,0),"")</f>
        <v/>
      </c>
      <c r="BJ396" s="58"/>
      <c r="BK396" s="58"/>
      <c r="BL396" s="59"/>
      <c r="BM396" s="58"/>
      <c r="BN396" s="58"/>
      <c r="BO396" s="58" t="str">
        <f aca="false">IF(BN396&lt;&gt;"",VLOOKUP(BN396,Selects!$J$4:$K$1000,2,0),"")</f>
        <v/>
      </c>
      <c r="BP396" s="76"/>
      <c r="BQ396" s="59"/>
      <c r="BR396" s="77"/>
      <c r="BS396" s="59"/>
      <c r="BT396" s="77"/>
      <c r="BU396" s="58"/>
      <c r="BV396" s="58"/>
      <c r="BW396" s="58"/>
      <c r="BX396" s="58"/>
      <c r="BY396" s="58"/>
      <c r="BZ396" s="58"/>
      <c r="CA396" s="58"/>
      <c r="CB396" s="72" t="str">
        <f aca="false">IF(AC396&lt;&gt;"",VLOOKUP(AC396,Selects!$B:$E,4,0),"")</f>
        <v/>
      </c>
      <c r="CC396" s="58"/>
      <c r="CD396" s="58"/>
      <c r="CE396" s="58"/>
    </row>
    <row r="397" customFormat="false" ht="15.75" hidden="false" customHeight="true" outlineLevel="0" collapsed="false">
      <c r="A397" s="17"/>
      <c r="B397" s="58"/>
      <c r="C397" s="58"/>
      <c r="D397" s="59"/>
      <c r="E397" s="60" t="str">
        <f aca="false">IF(LEN(D397)=11,"PF",IF(LEN(D397)=14,"PJ",""))</f>
        <v/>
      </c>
      <c r="F397" s="59"/>
      <c r="G397" s="59"/>
      <c r="H397" s="61" t="str">
        <f aca="false">IF(G397&lt;&gt;"",VLOOKUP(G397,'Cnae  mcc  id'!$A:$M,9,0),"")</f>
        <v/>
      </c>
      <c r="I397" s="62"/>
      <c r="J397" s="63" t="str">
        <f aca="false">IF(I397&lt;&gt;"",VLOOKUP(I397,'Legal Nature'!$E$2:$G$84,3,0),"")</f>
        <v/>
      </c>
      <c r="K397" s="64"/>
      <c r="L397" s="65"/>
      <c r="M397" s="66"/>
      <c r="N397" s="66"/>
      <c r="O397" s="79"/>
      <c r="P397" s="26"/>
      <c r="Q397" s="58"/>
      <c r="R397" s="58"/>
      <c r="S397" s="80"/>
      <c r="T397" s="68" t="str">
        <f aca="false">IF(LEFT(S397,1)="9","Celular",IF(S397="","","Fixo"))</f>
        <v/>
      </c>
      <c r="U397" s="58" t="str">
        <f aca="false">IF( T397&lt;&gt;"",VLOOKUP(T397,Selects!$M$4:$N$1000,2,0),"")</f>
        <v/>
      </c>
      <c r="V397" s="26"/>
      <c r="W397" s="58"/>
      <c r="X397" s="58"/>
      <c r="Y397" s="58"/>
      <c r="Z397" s="58"/>
      <c r="AA397" s="69"/>
      <c r="AB397" s="58"/>
      <c r="AC397" s="58"/>
      <c r="AD397" s="70" t="str">
        <f aca="false">IF(AC397&lt;&gt;"",VLOOKUP(AC397,Selects!$B$4:$C$100,2,0),"")</f>
        <v/>
      </c>
      <c r="AE397" s="26"/>
      <c r="AF397" s="58"/>
      <c r="AG397" s="59"/>
      <c r="AH397" s="65"/>
      <c r="AI397" s="66"/>
      <c r="AJ397" s="66"/>
      <c r="AK397" s="58"/>
      <c r="AL397" s="58"/>
      <c r="AM397" s="68" t="str">
        <f aca="false">IF(LEFT(AL397,1)="9","Celular",IF(AL397="","","Fixo"))</f>
        <v/>
      </c>
      <c r="AN397" s="58" t="str">
        <f aca="false">IF( AM397&lt;&gt;"",VLOOKUP(AM397,Selects!$M$4:$N$1000,2,0),"")</f>
        <v/>
      </c>
      <c r="AO397" s="58"/>
      <c r="AP397" s="59"/>
      <c r="AQ397" s="65"/>
      <c r="AR397" s="58"/>
      <c r="AS397" s="58"/>
      <c r="AT397" s="26"/>
      <c r="AU397" s="58"/>
      <c r="AV397" s="58"/>
      <c r="AW397" s="58"/>
      <c r="AX397" s="58"/>
      <c r="AY397" s="71"/>
      <c r="AZ397" s="58"/>
      <c r="BA397" s="58"/>
      <c r="BB397" s="72" t="str">
        <f aca="false">IF(BA397&lt;&gt;"",VLOOKUP(BA397,Selects!$B$4:$C$100,2,0),"")</f>
        <v/>
      </c>
      <c r="BC397" s="26"/>
      <c r="BD397" s="26"/>
      <c r="BE397" s="73"/>
      <c r="BF397" s="74"/>
      <c r="BG397" s="75" t="str">
        <f aca="false">IF(LEN(BF397)=11,"PF",IF(LEN(BF397)=14,"PJ",""))</f>
        <v/>
      </c>
      <c r="BH397" s="66"/>
      <c r="BI397" s="58" t="str">
        <f aca="false">IF(BH397&lt;&gt;"",VLOOKUP(BH397,Selects!$G:$H,2,0),"")</f>
        <v/>
      </c>
      <c r="BJ397" s="58"/>
      <c r="BK397" s="58"/>
      <c r="BL397" s="59"/>
      <c r="BM397" s="58"/>
      <c r="BN397" s="58"/>
      <c r="BO397" s="58" t="str">
        <f aca="false">IF(BN397&lt;&gt;"",VLOOKUP(BN397,Selects!$J$4:$K$1000,2,0),"")</f>
        <v/>
      </c>
      <c r="BP397" s="76"/>
      <c r="BQ397" s="59"/>
      <c r="BR397" s="77"/>
      <c r="BS397" s="59"/>
      <c r="BT397" s="77"/>
      <c r="BU397" s="58"/>
      <c r="BV397" s="58"/>
      <c r="BW397" s="58"/>
      <c r="BX397" s="58"/>
      <c r="BY397" s="58"/>
      <c r="BZ397" s="58"/>
      <c r="CA397" s="58"/>
      <c r="CB397" s="72" t="str">
        <f aca="false">IF(AC397&lt;&gt;"",VLOOKUP(AC397,Selects!$B:$E,4,0),"")</f>
        <v/>
      </c>
      <c r="CC397" s="58"/>
      <c r="CD397" s="58"/>
      <c r="CE397" s="58"/>
    </row>
    <row r="398" customFormat="false" ht="15.75" hidden="false" customHeight="true" outlineLevel="0" collapsed="false">
      <c r="A398" s="17"/>
      <c r="B398" s="58"/>
      <c r="C398" s="58"/>
      <c r="D398" s="59"/>
      <c r="E398" s="60" t="str">
        <f aca="false">IF(LEN(D398)=11,"PF",IF(LEN(D398)=14,"PJ",""))</f>
        <v/>
      </c>
      <c r="F398" s="59"/>
      <c r="G398" s="59"/>
      <c r="H398" s="61" t="str">
        <f aca="false">IF(G398&lt;&gt;"",VLOOKUP(G398,'Cnae  mcc  id'!$A:$M,9,0),"")</f>
        <v/>
      </c>
      <c r="I398" s="62"/>
      <c r="J398" s="63" t="str">
        <f aca="false">IF(I398&lt;&gt;"",VLOOKUP(I398,'Legal Nature'!$E$2:$G$84,3,0),"")</f>
        <v/>
      </c>
      <c r="K398" s="64"/>
      <c r="L398" s="65"/>
      <c r="M398" s="66"/>
      <c r="N398" s="66"/>
      <c r="O398" s="79"/>
      <c r="P398" s="26"/>
      <c r="Q398" s="58"/>
      <c r="R398" s="58"/>
      <c r="S398" s="80"/>
      <c r="T398" s="68" t="str">
        <f aca="false">IF(LEFT(S398,1)="9","Celular",IF(S398="","","Fixo"))</f>
        <v/>
      </c>
      <c r="U398" s="58" t="str">
        <f aca="false">IF( T398&lt;&gt;"",VLOOKUP(T398,Selects!$M$4:$N$1000,2,0),"")</f>
        <v/>
      </c>
      <c r="V398" s="26"/>
      <c r="W398" s="58"/>
      <c r="X398" s="58"/>
      <c r="Y398" s="58"/>
      <c r="Z398" s="58"/>
      <c r="AA398" s="69"/>
      <c r="AB398" s="58"/>
      <c r="AC398" s="58"/>
      <c r="AD398" s="70" t="str">
        <f aca="false">IF(AC398&lt;&gt;"",VLOOKUP(AC398,Selects!$B$4:$C$100,2,0),"")</f>
        <v/>
      </c>
      <c r="AE398" s="26"/>
      <c r="AF398" s="58"/>
      <c r="AG398" s="59"/>
      <c r="AH398" s="65"/>
      <c r="AI398" s="66"/>
      <c r="AJ398" s="66"/>
      <c r="AK398" s="58"/>
      <c r="AL398" s="58"/>
      <c r="AM398" s="68" t="str">
        <f aca="false">IF(LEFT(AL398,1)="9","Celular",IF(AL398="","","Fixo"))</f>
        <v/>
      </c>
      <c r="AN398" s="58" t="str">
        <f aca="false">IF( AM398&lt;&gt;"",VLOOKUP(AM398,Selects!$M$4:$N$1000,2,0),"")</f>
        <v/>
      </c>
      <c r="AO398" s="58"/>
      <c r="AP398" s="59"/>
      <c r="AQ398" s="65"/>
      <c r="AR398" s="58"/>
      <c r="AS398" s="58"/>
      <c r="AT398" s="26"/>
      <c r="AU398" s="58"/>
      <c r="AV398" s="58"/>
      <c r="AW398" s="58"/>
      <c r="AX398" s="58"/>
      <c r="AY398" s="71"/>
      <c r="AZ398" s="58"/>
      <c r="BA398" s="58"/>
      <c r="BB398" s="72" t="str">
        <f aca="false">IF(BA398&lt;&gt;"",VLOOKUP(BA398,Selects!$B$4:$C$100,2,0),"")</f>
        <v/>
      </c>
      <c r="BC398" s="26"/>
      <c r="BD398" s="26"/>
      <c r="BE398" s="73"/>
      <c r="BF398" s="74"/>
      <c r="BG398" s="75" t="str">
        <f aca="false">IF(LEN(BF398)=11,"PF",IF(LEN(BF398)=14,"PJ",""))</f>
        <v/>
      </c>
      <c r="BH398" s="66"/>
      <c r="BI398" s="58" t="str">
        <f aca="false">IF(BH398&lt;&gt;"",VLOOKUP(BH398,Selects!$G:$H,2,0),"")</f>
        <v/>
      </c>
      <c r="BJ398" s="58"/>
      <c r="BK398" s="58"/>
      <c r="BL398" s="59"/>
      <c r="BM398" s="58"/>
      <c r="BN398" s="58"/>
      <c r="BO398" s="58" t="str">
        <f aca="false">IF(BN398&lt;&gt;"",VLOOKUP(BN398,Selects!$J$4:$K$1000,2,0),"")</f>
        <v/>
      </c>
      <c r="BP398" s="76"/>
      <c r="BQ398" s="59"/>
      <c r="BR398" s="77"/>
      <c r="BS398" s="59"/>
      <c r="BT398" s="77"/>
      <c r="BU398" s="58"/>
      <c r="BV398" s="58"/>
      <c r="BW398" s="58"/>
      <c r="BX398" s="58"/>
      <c r="BY398" s="58"/>
      <c r="BZ398" s="58"/>
      <c r="CA398" s="58"/>
      <c r="CB398" s="72" t="str">
        <f aca="false">IF(AC398&lt;&gt;"",VLOOKUP(AC398,Selects!$B:$E,4,0),"")</f>
        <v/>
      </c>
      <c r="CC398" s="58"/>
      <c r="CD398" s="58"/>
      <c r="CE398" s="58"/>
    </row>
    <row r="399" customFormat="false" ht="15.75" hidden="false" customHeight="true" outlineLevel="0" collapsed="false">
      <c r="A399" s="17"/>
      <c r="B399" s="58"/>
      <c r="C399" s="58"/>
      <c r="D399" s="59"/>
      <c r="E399" s="60" t="str">
        <f aca="false">IF(LEN(D399)=11,"PF",IF(LEN(D399)=14,"PJ",""))</f>
        <v/>
      </c>
      <c r="F399" s="59"/>
      <c r="G399" s="59"/>
      <c r="H399" s="61" t="str">
        <f aca="false">IF(G399&lt;&gt;"",VLOOKUP(G399,'Cnae  mcc  id'!$A:$M,9,0),"")</f>
        <v/>
      </c>
      <c r="I399" s="62"/>
      <c r="J399" s="63" t="str">
        <f aca="false">IF(I399&lt;&gt;"",VLOOKUP(I399,'Legal Nature'!$E$2:$G$84,3,0),"")</f>
        <v/>
      </c>
      <c r="K399" s="64"/>
      <c r="L399" s="65"/>
      <c r="M399" s="66"/>
      <c r="N399" s="66"/>
      <c r="O399" s="79"/>
      <c r="P399" s="26"/>
      <c r="Q399" s="58"/>
      <c r="R399" s="58"/>
      <c r="S399" s="80"/>
      <c r="T399" s="68" t="str">
        <f aca="false">IF(LEFT(S399,1)="9","Celular",IF(S399="","","Fixo"))</f>
        <v/>
      </c>
      <c r="U399" s="58" t="str">
        <f aca="false">IF( T399&lt;&gt;"",VLOOKUP(T399,Selects!$M$4:$N$1000,2,0),"")</f>
        <v/>
      </c>
      <c r="V399" s="26"/>
      <c r="W399" s="58"/>
      <c r="X399" s="58"/>
      <c r="Y399" s="58"/>
      <c r="Z399" s="58"/>
      <c r="AA399" s="69"/>
      <c r="AB399" s="58"/>
      <c r="AC399" s="58"/>
      <c r="AD399" s="70" t="str">
        <f aca="false">IF(AC399&lt;&gt;"",VLOOKUP(AC399,Selects!$B$4:$C$100,2,0),"")</f>
        <v/>
      </c>
      <c r="AE399" s="26"/>
      <c r="AF399" s="58"/>
      <c r="AG399" s="59"/>
      <c r="AH399" s="65"/>
      <c r="AI399" s="66"/>
      <c r="AJ399" s="66"/>
      <c r="AK399" s="58"/>
      <c r="AL399" s="58"/>
      <c r="AM399" s="68" t="str">
        <f aca="false">IF(LEFT(AL399,1)="9","Celular",IF(AL399="","","Fixo"))</f>
        <v/>
      </c>
      <c r="AN399" s="58" t="str">
        <f aca="false">IF( AM399&lt;&gt;"",VLOOKUP(AM399,Selects!$M$4:$N$1000,2,0),"")</f>
        <v/>
      </c>
      <c r="AO399" s="58"/>
      <c r="AP399" s="59"/>
      <c r="AQ399" s="65"/>
      <c r="AR399" s="58"/>
      <c r="AS399" s="58"/>
      <c r="AT399" s="26"/>
      <c r="AU399" s="58"/>
      <c r="AV399" s="58"/>
      <c r="AW399" s="58"/>
      <c r="AX399" s="58"/>
      <c r="AY399" s="71"/>
      <c r="AZ399" s="58"/>
      <c r="BA399" s="58"/>
      <c r="BB399" s="72" t="str">
        <f aca="false">IF(BA399&lt;&gt;"",VLOOKUP(BA399,Selects!$B$4:$C$100,2,0),"")</f>
        <v/>
      </c>
      <c r="BC399" s="26"/>
      <c r="BD399" s="26"/>
      <c r="BE399" s="73"/>
      <c r="BF399" s="74"/>
      <c r="BG399" s="75" t="str">
        <f aca="false">IF(LEN(BF399)=11,"PF",IF(LEN(BF399)=14,"PJ",""))</f>
        <v/>
      </c>
      <c r="BH399" s="66"/>
      <c r="BI399" s="58" t="str">
        <f aca="false">IF(BH399&lt;&gt;"",VLOOKUP(BH399,Selects!$G:$H,2,0),"")</f>
        <v/>
      </c>
      <c r="BJ399" s="58"/>
      <c r="BK399" s="58"/>
      <c r="BL399" s="59"/>
      <c r="BM399" s="58"/>
      <c r="BN399" s="58"/>
      <c r="BO399" s="58" t="str">
        <f aca="false">IF(BN399&lt;&gt;"",VLOOKUP(BN399,Selects!$J$4:$K$1000,2,0),"")</f>
        <v/>
      </c>
      <c r="BP399" s="76"/>
      <c r="BQ399" s="59"/>
      <c r="BR399" s="77"/>
      <c r="BS399" s="59"/>
      <c r="BT399" s="77"/>
      <c r="BU399" s="58"/>
      <c r="BV399" s="58"/>
      <c r="BW399" s="58"/>
      <c r="BX399" s="58"/>
      <c r="BY399" s="58"/>
      <c r="BZ399" s="58"/>
      <c r="CA399" s="58"/>
      <c r="CB399" s="72" t="str">
        <f aca="false">IF(AC399&lt;&gt;"",VLOOKUP(AC399,Selects!$B:$E,4,0),"")</f>
        <v/>
      </c>
      <c r="CC399" s="58"/>
      <c r="CD399" s="58"/>
      <c r="CE399" s="58"/>
    </row>
    <row r="400" customFormat="false" ht="15.75" hidden="false" customHeight="true" outlineLevel="0" collapsed="false">
      <c r="A400" s="17"/>
      <c r="B400" s="58"/>
      <c r="C400" s="58"/>
      <c r="D400" s="59"/>
      <c r="E400" s="60" t="str">
        <f aca="false">IF(LEN(D400)=11,"PF",IF(LEN(D400)=14,"PJ",""))</f>
        <v/>
      </c>
      <c r="F400" s="59"/>
      <c r="G400" s="59"/>
      <c r="H400" s="61" t="str">
        <f aca="false">IF(G400&lt;&gt;"",VLOOKUP(G400,'Cnae  mcc  id'!$A:$M,9,0),"")</f>
        <v/>
      </c>
      <c r="I400" s="62"/>
      <c r="J400" s="63" t="str">
        <f aca="false">IF(I400&lt;&gt;"",VLOOKUP(I400,'Legal Nature'!$E$2:$G$84,3,0),"")</f>
        <v/>
      </c>
      <c r="K400" s="64"/>
      <c r="L400" s="65"/>
      <c r="M400" s="66"/>
      <c r="N400" s="66"/>
      <c r="O400" s="79"/>
      <c r="P400" s="26"/>
      <c r="Q400" s="58"/>
      <c r="R400" s="58"/>
      <c r="S400" s="80"/>
      <c r="T400" s="68" t="str">
        <f aca="false">IF(LEFT(S400,1)="9","Celular",IF(S400="","","Fixo"))</f>
        <v/>
      </c>
      <c r="U400" s="58" t="str">
        <f aca="false">IF( T400&lt;&gt;"",VLOOKUP(T400,Selects!$M$4:$N$1000,2,0),"")</f>
        <v/>
      </c>
      <c r="V400" s="26"/>
      <c r="W400" s="58"/>
      <c r="X400" s="58"/>
      <c r="Y400" s="58"/>
      <c r="Z400" s="58"/>
      <c r="AA400" s="69"/>
      <c r="AB400" s="58"/>
      <c r="AC400" s="58"/>
      <c r="AD400" s="70" t="str">
        <f aca="false">IF(AC400&lt;&gt;"",VLOOKUP(AC400,Selects!$B$4:$C$100,2,0),"")</f>
        <v/>
      </c>
      <c r="AE400" s="26"/>
      <c r="AF400" s="58"/>
      <c r="AG400" s="59"/>
      <c r="AH400" s="65"/>
      <c r="AI400" s="66"/>
      <c r="AJ400" s="66"/>
      <c r="AK400" s="58"/>
      <c r="AL400" s="58"/>
      <c r="AM400" s="68" t="str">
        <f aca="false">IF(LEFT(AL400,1)="9","Celular",IF(AL400="","","Fixo"))</f>
        <v/>
      </c>
      <c r="AN400" s="58" t="str">
        <f aca="false">IF( AM400&lt;&gt;"",VLOOKUP(AM400,Selects!$M$4:$N$1000,2,0),"")</f>
        <v/>
      </c>
      <c r="AO400" s="58"/>
      <c r="AP400" s="59"/>
      <c r="AQ400" s="65"/>
      <c r="AR400" s="58"/>
      <c r="AS400" s="58"/>
      <c r="AT400" s="26"/>
      <c r="AU400" s="58"/>
      <c r="AV400" s="58"/>
      <c r="AW400" s="58"/>
      <c r="AX400" s="58"/>
      <c r="AY400" s="71"/>
      <c r="AZ400" s="58"/>
      <c r="BA400" s="58"/>
      <c r="BB400" s="72" t="str">
        <f aca="false">IF(BA400&lt;&gt;"",VLOOKUP(BA400,Selects!$B$4:$C$100,2,0),"")</f>
        <v/>
      </c>
      <c r="BC400" s="26"/>
      <c r="BD400" s="26"/>
      <c r="BE400" s="73"/>
      <c r="BF400" s="74"/>
      <c r="BG400" s="75" t="str">
        <f aca="false">IF(LEN(BF400)=11,"PF",IF(LEN(BF400)=14,"PJ",""))</f>
        <v/>
      </c>
      <c r="BH400" s="66"/>
      <c r="BI400" s="58" t="str">
        <f aca="false">IF(BH400&lt;&gt;"",VLOOKUP(BH400,Selects!$G:$H,2,0),"")</f>
        <v/>
      </c>
      <c r="BJ400" s="58"/>
      <c r="BK400" s="58"/>
      <c r="BL400" s="59"/>
      <c r="BM400" s="58"/>
      <c r="BN400" s="58"/>
      <c r="BO400" s="58" t="str">
        <f aca="false">IF(BN400&lt;&gt;"",VLOOKUP(BN400,Selects!$J$4:$K$1000,2,0),"")</f>
        <v/>
      </c>
      <c r="BP400" s="76"/>
      <c r="BQ400" s="59"/>
      <c r="BR400" s="77"/>
      <c r="BS400" s="59"/>
      <c r="BT400" s="77"/>
      <c r="BU400" s="58"/>
      <c r="BV400" s="58"/>
      <c r="BW400" s="58"/>
      <c r="BX400" s="58"/>
      <c r="BY400" s="58"/>
      <c r="BZ400" s="58"/>
      <c r="CA400" s="58"/>
      <c r="CB400" s="72" t="str">
        <f aca="false">IF(AC400&lt;&gt;"",VLOOKUP(AC400,Selects!$B:$E,4,0),"")</f>
        <v/>
      </c>
      <c r="CC400" s="58"/>
      <c r="CD400" s="58"/>
      <c r="CE400" s="58"/>
    </row>
    <row r="401" customFormat="false" ht="15.75" hidden="false" customHeight="true" outlineLevel="0" collapsed="false">
      <c r="A401" s="17"/>
      <c r="B401" s="58"/>
      <c r="C401" s="58"/>
      <c r="D401" s="59"/>
      <c r="E401" s="60" t="str">
        <f aca="false">IF(LEN(D401)=11,"PF",IF(LEN(D401)=14,"PJ",""))</f>
        <v/>
      </c>
      <c r="F401" s="59"/>
      <c r="G401" s="59"/>
      <c r="H401" s="61" t="str">
        <f aca="false">IF(G401&lt;&gt;"",VLOOKUP(G401,'Cnae  mcc  id'!$A:$M,9,0),"")</f>
        <v/>
      </c>
      <c r="I401" s="62"/>
      <c r="J401" s="63" t="str">
        <f aca="false">IF(I401&lt;&gt;"",VLOOKUP(I401,'Legal Nature'!$E$2:$G$84,3,0),"")</f>
        <v/>
      </c>
      <c r="K401" s="64"/>
      <c r="L401" s="65"/>
      <c r="M401" s="66"/>
      <c r="N401" s="66"/>
      <c r="O401" s="79"/>
      <c r="P401" s="26"/>
      <c r="Q401" s="58"/>
      <c r="R401" s="58"/>
      <c r="S401" s="80"/>
      <c r="T401" s="68" t="str">
        <f aca="false">IF(LEFT(S401,1)="9","Celular",IF(S401="","","Fixo"))</f>
        <v/>
      </c>
      <c r="U401" s="58" t="str">
        <f aca="false">IF( T401&lt;&gt;"",VLOOKUP(T401,Selects!$M$4:$N$1000,2,0),"")</f>
        <v/>
      </c>
      <c r="V401" s="26"/>
      <c r="W401" s="58"/>
      <c r="X401" s="58"/>
      <c r="Y401" s="58"/>
      <c r="Z401" s="58"/>
      <c r="AA401" s="69"/>
      <c r="AB401" s="58"/>
      <c r="AC401" s="58"/>
      <c r="AD401" s="70" t="str">
        <f aca="false">IF(AC401&lt;&gt;"",VLOOKUP(AC401,Selects!$B$4:$C$100,2,0),"")</f>
        <v/>
      </c>
      <c r="AE401" s="26"/>
      <c r="AF401" s="58"/>
      <c r="AG401" s="59"/>
      <c r="AH401" s="65"/>
      <c r="AI401" s="66"/>
      <c r="AJ401" s="66"/>
      <c r="AK401" s="58"/>
      <c r="AL401" s="58"/>
      <c r="AM401" s="68" t="str">
        <f aca="false">IF(LEFT(AL401,1)="9","Celular",IF(AL401="","","Fixo"))</f>
        <v/>
      </c>
      <c r="AN401" s="58" t="str">
        <f aca="false">IF( AM401&lt;&gt;"",VLOOKUP(AM401,Selects!$M$4:$N$1000,2,0),"")</f>
        <v/>
      </c>
      <c r="AO401" s="58"/>
      <c r="AP401" s="59"/>
      <c r="AQ401" s="65"/>
      <c r="AR401" s="58"/>
      <c r="AS401" s="58"/>
      <c r="AT401" s="26"/>
      <c r="AU401" s="58"/>
      <c r="AV401" s="58"/>
      <c r="AW401" s="58"/>
      <c r="AX401" s="58"/>
      <c r="AY401" s="71"/>
      <c r="AZ401" s="58"/>
      <c r="BA401" s="58"/>
      <c r="BB401" s="72" t="str">
        <f aca="false">IF(BA401&lt;&gt;"",VLOOKUP(BA401,Selects!$B$4:$C$100,2,0),"")</f>
        <v/>
      </c>
      <c r="BC401" s="26"/>
      <c r="BD401" s="26"/>
      <c r="BE401" s="73"/>
      <c r="BF401" s="74"/>
      <c r="BG401" s="75" t="str">
        <f aca="false">IF(LEN(BF401)=11,"PF",IF(LEN(BF401)=14,"PJ",""))</f>
        <v/>
      </c>
      <c r="BH401" s="66"/>
      <c r="BI401" s="58" t="str">
        <f aca="false">IF(BH401&lt;&gt;"",VLOOKUP(BH401,Selects!$G:$H,2,0),"")</f>
        <v/>
      </c>
      <c r="BJ401" s="58"/>
      <c r="BK401" s="58"/>
      <c r="BL401" s="59"/>
      <c r="BM401" s="58"/>
      <c r="BN401" s="58"/>
      <c r="BO401" s="58" t="str">
        <f aca="false">IF(BN401&lt;&gt;"",VLOOKUP(BN401,Selects!$J$4:$K$1000,2,0),"")</f>
        <v/>
      </c>
      <c r="BP401" s="76"/>
      <c r="BQ401" s="59"/>
      <c r="BR401" s="77"/>
      <c r="BS401" s="59"/>
      <c r="BT401" s="77"/>
      <c r="BU401" s="58"/>
      <c r="BV401" s="58"/>
      <c r="BW401" s="58"/>
      <c r="BX401" s="58"/>
      <c r="BY401" s="58"/>
      <c r="BZ401" s="58"/>
      <c r="CA401" s="58"/>
      <c r="CB401" s="72" t="str">
        <f aca="false">IF(AC401&lt;&gt;"",VLOOKUP(AC401,Selects!$B:$E,4,0),"")</f>
        <v/>
      </c>
      <c r="CC401" s="58"/>
      <c r="CD401" s="58"/>
      <c r="CE401" s="58"/>
    </row>
    <row r="402" customFormat="false" ht="15.75" hidden="false" customHeight="true" outlineLevel="0" collapsed="false">
      <c r="A402" s="17"/>
      <c r="B402" s="58"/>
      <c r="C402" s="58"/>
      <c r="D402" s="59"/>
      <c r="E402" s="60" t="str">
        <f aca="false">IF(LEN(D402)=11,"PF",IF(LEN(D402)=14,"PJ",""))</f>
        <v/>
      </c>
      <c r="F402" s="59"/>
      <c r="G402" s="59"/>
      <c r="H402" s="61" t="str">
        <f aca="false">IF(G402&lt;&gt;"",VLOOKUP(G402,'Cnae  mcc  id'!$A:$M,9,0),"")</f>
        <v/>
      </c>
      <c r="I402" s="62"/>
      <c r="J402" s="63" t="str">
        <f aca="false">IF(I402&lt;&gt;"",VLOOKUP(I402,'Legal Nature'!$E$2:$G$84,3,0),"")</f>
        <v/>
      </c>
      <c r="K402" s="64"/>
      <c r="L402" s="65"/>
      <c r="M402" s="66"/>
      <c r="N402" s="66"/>
      <c r="O402" s="79"/>
      <c r="P402" s="26"/>
      <c r="Q402" s="58"/>
      <c r="R402" s="58"/>
      <c r="S402" s="80"/>
      <c r="T402" s="68" t="str">
        <f aca="false">IF(LEFT(S402,1)="9","Celular",IF(S402="","","Fixo"))</f>
        <v/>
      </c>
      <c r="U402" s="58" t="str">
        <f aca="false">IF( T402&lt;&gt;"",VLOOKUP(T402,Selects!$M$4:$N$1000,2,0),"")</f>
        <v/>
      </c>
      <c r="V402" s="26"/>
      <c r="W402" s="58"/>
      <c r="X402" s="58"/>
      <c r="Y402" s="58"/>
      <c r="Z402" s="58"/>
      <c r="AA402" s="69"/>
      <c r="AB402" s="58"/>
      <c r="AC402" s="58"/>
      <c r="AD402" s="70" t="str">
        <f aca="false">IF(AC402&lt;&gt;"",VLOOKUP(AC402,Selects!$B$4:$C$100,2,0),"")</f>
        <v/>
      </c>
      <c r="AE402" s="26"/>
      <c r="AF402" s="58"/>
      <c r="AG402" s="59"/>
      <c r="AH402" s="65"/>
      <c r="AI402" s="66"/>
      <c r="AJ402" s="66"/>
      <c r="AK402" s="58"/>
      <c r="AL402" s="58"/>
      <c r="AM402" s="68" t="str">
        <f aca="false">IF(LEFT(AL402,1)="9","Celular",IF(AL402="","","Fixo"))</f>
        <v/>
      </c>
      <c r="AN402" s="58" t="str">
        <f aca="false">IF( AM402&lt;&gt;"",VLOOKUP(AM402,Selects!$M$4:$N$1000,2,0),"")</f>
        <v/>
      </c>
      <c r="AO402" s="58"/>
      <c r="AP402" s="59"/>
      <c r="AQ402" s="65"/>
      <c r="AR402" s="58"/>
      <c r="AS402" s="58"/>
      <c r="AT402" s="26"/>
      <c r="AU402" s="58"/>
      <c r="AV402" s="58"/>
      <c r="AW402" s="58"/>
      <c r="AX402" s="58"/>
      <c r="AY402" s="71"/>
      <c r="AZ402" s="58"/>
      <c r="BA402" s="58"/>
      <c r="BB402" s="72" t="str">
        <f aca="false">IF(BA402&lt;&gt;"",VLOOKUP(BA402,Selects!$B$4:$C$100,2,0),"")</f>
        <v/>
      </c>
      <c r="BC402" s="26"/>
      <c r="BD402" s="26"/>
      <c r="BE402" s="73"/>
      <c r="BF402" s="74"/>
      <c r="BG402" s="75" t="str">
        <f aca="false">IF(LEN(BF402)=11,"PF",IF(LEN(BF402)=14,"PJ",""))</f>
        <v/>
      </c>
      <c r="BH402" s="66"/>
      <c r="BI402" s="58" t="str">
        <f aca="false">IF(BH402&lt;&gt;"",VLOOKUP(BH402,Selects!$G:$H,2,0),"")</f>
        <v/>
      </c>
      <c r="BJ402" s="58"/>
      <c r="BK402" s="58"/>
      <c r="BL402" s="59"/>
      <c r="BM402" s="58"/>
      <c r="BN402" s="58"/>
      <c r="BO402" s="58" t="str">
        <f aca="false">IF(BN402&lt;&gt;"",VLOOKUP(BN402,Selects!$J$4:$K$1000,2,0),"")</f>
        <v/>
      </c>
      <c r="BP402" s="76"/>
      <c r="BQ402" s="59"/>
      <c r="BR402" s="77"/>
      <c r="BS402" s="59"/>
      <c r="BT402" s="77"/>
      <c r="BU402" s="58"/>
      <c r="BV402" s="58"/>
      <c r="BW402" s="58"/>
      <c r="BX402" s="58"/>
      <c r="BY402" s="58"/>
      <c r="BZ402" s="58"/>
      <c r="CA402" s="58"/>
      <c r="CB402" s="72" t="str">
        <f aca="false">IF(AC402&lt;&gt;"",VLOOKUP(AC402,Selects!$B:$E,4,0),"")</f>
        <v/>
      </c>
      <c r="CC402" s="58"/>
      <c r="CD402" s="58"/>
      <c r="CE402" s="58"/>
    </row>
    <row r="403" customFormat="false" ht="15.75" hidden="false" customHeight="true" outlineLevel="0" collapsed="false">
      <c r="A403" s="17"/>
      <c r="B403" s="58"/>
      <c r="C403" s="58"/>
      <c r="D403" s="59"/>
      <c r="E403" s="60" t="str">
        <f aca="false">IF(LEN(D403)=11,"PF",IF(LEN(D403)=14,"PJ",""))</f>
        <v/>
      </c>
      <c r="F403" s="59"/>
      <c r="G403" s="59"/>
      <c r="H403" s="61" t="str">
        <f aca="false">IF(G403&lt;&gt;"",VLOOKUP(G403,'Cnae  mcc  id'!$A:$M,9,0),"")</f>
        <v/>
      </c>
      <c r="I403" s="62"/>
      <c r="J403" s="63" t="str">
        <f aca="false">IF(I403&lt;&gt;"",VLOOKUP(I403,'Legal Nature'!$E$2:$G$84,3,0),"")</f>
        <v/>
      </c>
      <c r="K403" s="64"/>
      <c r="L403" s="65"/>
      <c r="M403" s="66"/>
      <c r="N403" s="66"/>
      <c r="O403" s="79"/>
      <c r="P403" s="26"/>
      <c r="Q403" s="58"/>
      <c r="R403" s="58"/>
      <c r="S403" s="80"/>
      <c r="T403" s="68" t="str">
        <f aca="false">IF(LEFT(S403,1)="9","Celular",IF(S403="","","Fixo"))</f>
        <v/>
      </c>
      <c r="U403" s="58" t="str">
        <f aca="false">IF( T403&lt;&gt;"",VLOOKUP(T403,Selects!$M$4:$N$1000,2,0),"")</f>
        <v/>
      </c>
      <c r="V403" s="26"/>
      <c r="W403" s="58"/>
      <c r="X403" s="58"/>
      <c r="Y403" s="58"/>
      <c r="Z403" s="58"/>
      <c r="AA403" s="69"/>
      <c r="AB403" s="58"/>
      <c r="AC403" s="58"/>
      <c r="AD403" s="70" t="str">
        <f aca="false">IF(AC403&lt;&gt;"",VLOOKUP(AC403,Selects!$B$4:$C$100,2,0),"")</f>
        <v/>
      </c>
      <c r="AE403" s="26"/>
      <c r="AF403" s="58"/>
      <c r="AG403" s="59"/>
      <c r="AH403" s="65"/>
      <c r="AI403" s="66"/>
      <c r="AJ403" s="66"/>
      <c r="AK403" s="58"/>
      <c r="AL403" s="58"/>
      <c r="AM403" s="68" t="str">
        <f aca="false">IF(LEFT(AL403,1)="9","Celular",IF(AL403="","","Fixo"))</f>
        <v/>
      </c>
      <c r="AN403" s="58" t="str">
        <f aca="false">IF( AM403&lt;&gt;"",VLOOKUP(AM403,Selects!$M$4:$N$1000,2,0),"")</f>
        <v/>
      </c>
      <c r="AO403" s="58"/>
      <c r="AP403" s="59"/>
      <c r="AQ403" s="65"/>
      <c r="AR403" s="58"/>
      <c r="AS403" s="58"/>
      <c r="AT403" s="26"/>
      <c r="AU403" s="58"/>
      <c r="AV403" s="58"/>
      <c r="AW403" s="58"/>
      <c r="AX403" s="58"/>
      <c r="AY403" s="71"/>
      <c r="AZ403" s="58"/>
      <c r="BA403" s="58"/>
      <c r="BB403" s="72" t="str">
        <f aca="false">IF(BA403&lt;&gt;"",VLOOKUP(BA403,Selects!$B$4:$C$100,2,0),"")</f>
        <v/>
      </c>
      <c r="BC403" s="26"/>
      <c r="BD403" s="26"/>
      <c r="BE403" s="73"/>
      <c r="BF403" s="74"/>
      <c r="BG403" s="75" t="str">
        <f aca="false">IF(LEN(BF403)=11,"PF",IF(LEN(BF403)=14,"PJ",""))</f>
        <v/>
      </c>
      <c r="BH403" s="66"/>
      <c r="BI403" s="58" t="str">
        <f aca="false">IF(BH403&lt;&gt;"",VLOOKUP(BH403,Selects!$G:$H,2,0),"")</f>
        <v/>
      </c>
      <c r="BJ403" s="58"/>
      <c r="BK403" s="58"/>
      <c r="BL403" s="59"/>
      <c r="BM403" s="58"/>
      <c r="BN403" s="58"/>
      <c r="BO403" s="58" t="str">
        <f aca="false">IF(BN403&lt;&gt;"",VLOOKUP(BN403,Selects!$J$4:$K$1000,2,0),"")</f>
        <v/>
      </c>
      <c r="BP403" s="76"/>
      <c r="BQ403" s="59"/>
      <c r="BR403" s="77"/>
      <c r="BS403" s="59"/>
      <c r="BT403" s="77"/>
      <c r="BU403" s="58"/>
      <c r="BV403" s="58"/>
      <c r="BW403" s="58"/>
      <c r="BX403" s="58"/>
      <c r="BY403" s="58"/>
      <c r="BZ403" s="58"/>
      <c r="CA403" s="58"/>
      <c r="CB403" s="72" t="str">
        <f aca="false">IF(AC403&lt;&gt;"",VLOOKUP(AC403,Selects!$B:$E,4,0),"")</f>
        <v/>
      </c>
      <c r="CC403" s="58"/>
      <c r="CD403" s="58"/>
      <c r="CE403" s="58"/>
    </row>
    <row r="404" customFormat="false" ht="15.75" hidden="false" customHeight="true" outlineLevel="0" collapsed="false">
      <c r="A404" s="17"/>
      <c r="B404" s="58"/>
      <c r="C404" s="58"/>
      <c r="D404" s="59"/>
      <c r="E404" s="60" t="str">
        <f aca="false">IF(LEN(D404)=11,"PF",IF(LEN(D404)=14,"PJ",""))</f>
        <v/>
      </c>
      <c r="F404" s="59"/>
      <c r="G404" s="59"/>
      <c r="H404" s="61" t="str">
        <f aca="false">IF(G404&lt;&gt;"",VLOOKUP(G404,'Cnae  mcc  id'!$A:$M,9,0),"")</f>
        <v/>
      </c>
      <c r="I404" s="62"/>
      <c r="J404" s="63" t="str">
        <f aca="false">IF(I404&lt;&gt;"",VLOOKUP(I404,'Legal Nature'!$E$2:$G$84,3,0),"")</f>
        <v/>
      </c>
      <c r="K404" s="64"/>
      <c r="L404" s="65"/>
      <c r="M404" s="66"/>
      <c r="N404" s="66"/>
      <c r="O404" s="79"/>
      <c r="P404" s="26"/>
      <c r="Q404" s="58"/>
      <c r="R404" s="58"/>
      <c r="S404" s="80"/>
      <c r="T404" s="68" t="str">
        <f aca="false">IF(LEFT(S404,1)="9","Celular",IF(S404="","","Fixo"))</f>
        <v/>
      </c>
      <c r="U404" s="58" t="str">
        <f aca="false">IF( T404&lt;&gt;"",VLOOKUP(T404,Selects!$M$4:$N$1000,2,0),"")</f>
        <v/>
      </c>
      <c r="V404" s="26"/>
      <c r="W404" s="58"/>
      <c r="X404" s="58"/>
      <c r="Y404" s="58"/>
      <c r="Z404" s="58"/>
      <c r="AA404" s="69"/>
      <c r="AB404" s="58"/>
      <c r="AC404" s="58"/>
      <c r="AD404" s="70" t="str">
        <f aca="false">IF(AC404&lt;&gt;"",VLOOKUP(AC404,Selects!$B$4:$C$100,2,0),"")</f>
        <v/>
      </c>
      <c r="AE404" s="26"/>
      <c r="AF404" s="58"/>
      <c r="AG404" s="59"/>
      <c r="AH404" s="65"/>
      <c r="AI404" s="66"/>
      <c r="AJ404" s="66"/>
      <c r="AK404" s="58"/>
      <c r="AL404" s="58"/>
      <c r="AM404" s="68" t="str">
        <f aca="false">IF(LEFT(AL404,1)="9","Celular",IF(AL404="","","Fixo"))</f>
        <v/>
      </c>
      <c r="AN404" s="58" t="str">
        <f aca="false">IF( AM404&lt;&gt;"",VLOOKUP(AM404,Selects!$M$4:$N$1000,2,0),"")</f>
        <v/>
      </c>
      <c r="AO404" s="58"/>
      <c r="AP404" s="59"/>
      <c r="AQ404" s="65"/>
      <c r="AR404" s="58"/>
      <c r="AS404" s="58"/>
      <c r="AT404" s="26"/>
      <c r="AU404" s="58"/>
      <c r="AV404" s="58"/>
      <c r="AW404" s="58"/>
      <c r="AX404" s="58"/>
      <c r="AY404" s="71"/>
      <c r="AZ404" s="58"/>
      <c r="BA404" s="58"/>
      <c r="BB404" s="72" t="str">
        <f aca="false">IF(BA404&lt;&gt;"",VLOOKUP(BA404,Selects!$B$4:$C$100,2,0),"")</f>
        <v/>
      </c>
      <c r="BC404" s="26"/>
      <c r="BD404" s="26"/>
      <c r="BE404" s="73"/>
      <c r="BF404" s="74"/>
      <c r="BG404" s="75" t="str">
        <f aca="false">IF(LEN(BF404)=11,"PF",IF(LEN(BF404)=14,"PJ",""))</f>
        <v/>
      </c>
      <c r="BH404" s="66"/>
      <c r="BI404" s="58" t="str">
        <f aca="false">IF(BH404&lt;&gt;"",VLOOKUP(BH404,Selects!$G:$H,2,0),"")</f>
        <v/>
      </c>
      <c r="BJ404" s="58"/>
      <c r="BK404" s="58"/>
      <c r="BL404" s="59"/>
      <c r="BM404" s="58"/>
      <c r="BN404" s="58"/>
      <c r="BO404" s="58" t="str">
        <f aca="false">IF(BN404&lt;&gt;"",VLOOKUP(BN404,Selects!$J$4:$K$1000,2,0),"")</f>
        <v/>
      </c>
      <c r="BP404" s="76"/>
      <c r="BQ404" s="59"/>
      <c r="BR404" s="77"/>
      <c r="BS404" s="59"/>
      <c r="BT404" s="77"/>
      <c r="BU404" s="58"/>
      <c r="BV404" s="58"/>
      <c r="BW404" s="58"/>
      <c r="BX404" s="58"/>
      <c r="BY404" s="58"/>
      <c r="BZ404" s="58"/>
      <c r="CA404" s="58"/>
      <c r="CB404" s="72" t="str">
        <f aca="false">IF(AC404&lt;&gt;"",VLOOKUP(AC404,Selects!$B:$E,4,0),"")</f>
        <v/>
      </c>
      <c r="CC404" s="58"/>
      <c r="CD404" s="58"/>
      <c r="CE404" s="58"/>
    </row>
    <row r="405" customFormat="false" ht="15.75" hidden="false" customHeight="true" outlineLevel="0" collapsed="false">
      <c r="A405" s="17"/>
      <c r="B405" s="58"/>
      <c r="C405" s="58"/>
      <c r="D405" s="59"/>
      <c r="E405" s="60" t="str">
        <f aca="false">IF(LEN(D405)=11,"PF",IF(LEN(D405)=14,"PJ",""))</f>
        <v/>
      </c>
      <c r="F405" s="59"/>
      <c r="G405" s="59"/>
      <c r="H405" s="61" t="str">
        <f aca="false">IF(G405&lt;&gt;"",VLOOKUP(G405,'Cnae  mcc  id'!$A:$M,9,0),"")</f>
        <v/>
      </c>
      <c r="I405" s="62"/>
      <c r="J405" s="63" t="str">
        <f aca="false">IF(I405&lt;&gt;"",VLOOKUP(I405,'Legal Nature'!$E$2:$G$84,3,0),"")</f>
        <v/>
      </c>
      <c r="K405" s="64"/>
      <c r="L405" s="65"/>
      <c r="M405" s="66"/>
      <c r="N405" s="66"/>
      <c r="O405" s="79"/>
      <c r="P405" s="26"/>
      <c r="Q405" s="58"/>
      <c r="R405" s="58"/>
      <c r="S405" s="80"/>
      <c r="T405" s="68" t="str">
        <f aca="false">IF(LEFT(S405,1)="9","Celular",IF(S405="","","Fixo"))</f>
        <v/>
      </c>
      <c r="U405" s="58" t="str">
        <f aca="false">IF( T405&lt;&gt;"",VLOOKUP(T405,Selects!$M$4:$N$1000,2,0),"")</f>
        <v/>
      </c>
      <c r="V405" s="26"/>
      <c r="W405" s="58"/>
      <c r="X405" s="58"/>
      <c r="Y405" s="58"/>
      <c r="Z405" s="58"/>
      <c r="AA405" s="69"/>
      <c r="AB405" s="58"/>
      <c r="AC405" s="58"/>
      <c r="AD405" s="70" t="str">
        <f aca="false">IF(AC405&lt;&gt;"",VLOOKUP(AC405,Selects!$B$4:$C$100,2,0),"")</f>
        <v/>
      </c>
      <c r="AE405" s="26"/>
      <c r="AF405" s="58"/>
      <c r="AG405" s="59"/>
      <c r="AH405" s="65"/>
      <c r="AI405" s="66"/>
      <c r="AJ405" s="66"/>
      <c r="AK405" s="58"/>
      <c r="AL405" s="58"/>
      <c r="AM405" s="68" t="str">
        <f aca="false">IF(LEFT(AL405,1)="9","Celular",IF(AL405="","","Fixo"))</f>
        <v/>
      </c>
      <c r="AN405" s="58" t="str">
        <f aca="false">IF( AM405&lt;&gt;"",VLOOKUP(AM405,Selects!$M$4:$N$1000,2,0),"")</f>
        <v/>
      </c>
      <c r="AO405" s="58"/>
      <c r="AP405" s="59"/>
      <c r="AQ405" s="65"/>
      <c r="AR405" s="58"/>
      <c r="AS405" s="58"/>
      <c r="AT405" s="26"/>
      <c r="AU405" s="58"/>
      <c r="AV405" s="58"/>
      <c r="AW405" s="58"/>
      <c r="AX405" s="58"/>
      <c r="AY405" s="71"/>
      <c r="AZ405" s="58"/>
      <c r="BA405" s="58"/>
      <c r="BB405" s="72" t="str">
        <f aca="false">IF(BA405&lt;&gt;"",VLOOKUP(BA405,Selects!$B$4:$C$100,2,0),"")</f>
        <v/>
      </c>
      <c r="BC405" s="26"/>
      <c r="BD405" s="26"/>
      <c r="BE405" s="73"/>
      <c r="BF405" s="74"/>
      <c r="BG405" s="75" t="str">
        <f aca="false">IF(LEN(BF405)=11,"PF",IF(LEN(BF405)=14,"PJ",""))</f>
        <v/>
      </c>
      <c r="BH405" s="66"/>
      <c r="BI405" s="58" t="str">
        <f aca="false">IF(BH405&lt;&gt;"",VLOOKUP(BH405,Selects!$G:$H,2,0),"")</f>
        <v/>
      </c>
      <c r="BJ405" s="58"/>
      <c r="BK405" s="58"/>
      <c r="BL405" s="59"/>
      <c r="BM405" s="58"/>
      <c r="BN405" s="58"/>
      <c r="BO405" s="58" t="str">
        <f aca="false">IF(BN405&lt;&gt;"",VLOOKUP(BN405,Selects!$J$4:$K$1000,2,0),"")</f>
        <v/>
      </c>
      <c r="BP405" s="76"/>
      <c r="BQ405" s="59"/>
      <c r="BR405" s="77"/>
      <c r="BS405" s="59"/>
      <c r="BT405" s="77"/>
      <c r="BU405" s="58"/>
      <c r="BV405" s="58"/>
      <c r="BW405" s="58"/>
      <c r="BX405" s="58"/>
      <c r="BY405" s="58"/>
      <c r="BZ405" s="58"/>
      <c r="CA405" s="58"/>
      <c r="CB405" s="72" t="str">
        <f aca="false">IF(AC405&lt;&gt;"",VLOOKUP(AC405,Selects!$B:$E,4,0),"")</f>
        <v/>
      </c>
      <c r="CC405" s="58"/>
      <c r="CD405" s="58"/>
      <c r="CE405" s="58"/>
    </row>
    <row r="406" customFormat="false" ht="15.75" hidden="false" customHeight="true" outlineLevel="0" collapsed="false">
      <c r="A406" s="17"/>
      <c r="B406" s="58"/>
      <c r="C406" s="58"/>
      <c r="D406" s="59"/>
      <c r="E406" s="60" t="str">
        <f aca="false">IF(LEN(D406)=11,"PF",IF(LEN(D406)=14,"PJ",""))</f>
        <v/>
      </c>
      <c r="F406" s="59"/>
      <c r="G406" s="59"/>
      <c r="H406" s="61" t="str">
        <f aca="false">IF(G406&lt;&gt;"",VLOOKUP(G406,'Cnae  mcc  id'!$A:$M,9,0),"")</f>
        <v/>
      </c>
      <c r="I406" s="62"/>
      <c r="J406" s="63" t="str">
        <f aca="false">IF(I406&lt;&gt;"",VLOOKUP(I406,'Legal Nature'!$E$2:$G$84,3,0),"")</f>
        <v/>
      </c>
      <c r="K406" s="64"/>
      <c r="L406" s="65"/>
      <c r="M406" s="66"/>
      <c r="N406" s="66"/>
      <c r="O406" s="79"/>
      <c r="P406" s="26"/>
      <c r="Q406" s="58"/>
      <c r="R406" s="58"/>
      <c r="S406" s="80"/>
      <c r="T406" s="68" t="str">
        <f aca="false">IF(LEFT(S406,1)="9","Celular",IF(S406="","","Fixo"))</f>
        <v/>
      </c>
      <c r="U406" s="58" t="str">
        <f aca="false">IF( T406&lt;&gt;"",VLOOKUP(T406,Selects!$M$4:$N$1000,2,0),"")</f>
        <v/>
      </c>
      <c r="V406" s="26"/>
      <c r="W406" s="58"/>
      <c r="X406" s="58"/>
      <c r="Y406" s="58"/>
      <c r="Z406" s="58"/>
      <c r="AA406" s="69"/>
      <c r="AB406" s="58"/>
      <c r="AC406" s="58"/>
      <c r="AD406" s="70" t="str">
        <f aca="false">IF(AC406&lt;&gt;"",VLOOKUP(AC406,Selects!$B$4:$C$100,2,0),"")</f>
        <v/>
      </c>
      <c r="AE406" s="26"/>
      <c r="AF406" s="58"/>
      <c r="AG406" s="59"/>
      <c r="AH406" s="65"/>
      <c r="AI406" s="66"/>
      <c r="AJ406" s="66"/>
      <c r="AK406" s="58"/>
      <c r="AL406" s="58"/>
      <c r="AM406" s="68" t="str">
        <f aca="false">IF(LEFT(AL406,1)="9","Celular",IF(AL406="","","Fixo"))</f>
        <v/>
      </c>
      <c r="AN406" s="58" t="str">
        <f aca="false">IF( AM406&lt;&gt;"",VLOOKUP(AM406,Selects!$M$4:$N$1000,2,0),"")</f>
        <v/>
      </c>
      <c r="AO406" s="58"/>
      <c r="AP406" s="59"/>
      <c r="AQ406" s="65"/>
      <c r="AR406" s="58"/>
      <c r="AS406" s="58"/>
      <c r="AT406" s="26"/>
      <c r="AU406" s="58"/>
      <c r="AV406" s="58"/>
      <c r="AW406" s="58"/>
      <c r="AX406" s="58"/>
      <c r="AY406" s="71"/>
      <c r="AZ406" s="58"/>
      <c r="BA406" s="58"/>
      <c r="BB406" s="72" t="str">
        <f aca="false">IF(BA406&lt;&gt;"",VLOOKUP(BA406,Selects!$B$4:$C$100,2,0),"")</f>
        <v/>
      </c>
      <c r="BC406" s="26"/>
      <c r="BD406" s="26"/>
      <c r="BE406" s="73"/>
      <c r="BF406" s="74"/>
      <c r="BG406" s="75" t="str">
        <f aca="false">IF(LEN(BF406)=11,"PF",IF(LEN(BF406)=14,"PJ",""))</f>
        <v/>
      </c>
      <c r="BH406" s="66"/>
      <c r="BI406" s="58" t="str">
        <f aca="false">IF(BH406&lt;&gt;"",VLOOKUP(BH406,Selects!$G:$H,2,0),"")</f>
        <v/>
      </c>
      <c r="BJ406" s="58"/>
      <c r="BK406" s="58"/>
      <c r="BL406" s="59"/>
      <c r="BM406" s="58"/>
      <c r="BN406" s="58"/>
      <c r="BO406" s="58" t="str">
        <f aca="false">IF(BN406&lt;&gt;"",VLOOKUP(BN406,Selects!$J$4:$K$1000,2,0),"")</f>
        <v/>
      </c>
      <c r="BP406" s="76"/>
      <c r="BQ406" s="59"/>
      <c r="BR406" s="77"/>
      <c r="BS406" s="59"/>
      <c r="BT406" s="77"/>
      <c r="BU406" s="58"/>
      <c r="BV406" s="58"/>
      <c r="BW406" s="58"/>
      <c r="BX406" s="58"/>
      <c r="BY406" s="58"/>
      <c r="BZ406" s="58"/>
      <c r="CA406" s="58"/>
      <c r="CB406" s="72" t="str">
        <f aca="false">IF(AC406&lt;&gt;"",VLOOKUP(AC406,Selects!$B:$E,4,0),"")</f>
        <v/>
      </c>
      <c r="CC406" s="58"/>
      <c r="CD406" s="58"/>
      <c r="CE406" s="58"/>
    </row>
    <row r="407" customFormat="false" ht="15.75" hidden="false" customHeight="true" outlineLevel="0" collapsed="false">
      <c r="A407" s="17"/>
      <c r="B407" s="58"/>
      <c r="C407" s="58"/>
      <c r="D407" s="59"/>
      <c r="E407" s="60" t="str">
        <f aca="false">IF(LEN(D407)=11,"PF",IF(LEN(D407)=14,"PJ",""))</f>
        <v/>
      </c>
      <c r="F407" s="59"/>
      <c r="G407" s="59"/>
      <c r="H407" s="61" t="str">
        <f aca="false">IF(G407&lt;&gt;"",VLOOKUP(G407,'Cnae  mcc  id'!$A:$M,9,0),"")</f>
        <v/>
      </c>
      <c r="I407" s="62"/>
      <c r="J407" s="63" t="str">
        <f aca="false">IF(I407&lt;&gt;"",VLOOKUP(I407,'Legal Nature'!$E$2:$G$84,3,0),"")</f>
        <v/>
      </c>
      <c r="K407" s="64"/>
      <c r="L407" s="65"/>
      <c r="M407" s="66"/>
      <c r="N407" s="66"/>
      <c r="O407" s="79"/>
      <c r="P407" s="26"/>
      <c r="Q407" s="58"/>
      <c r="R407" s="58"/>
      <c r="S407" s="80"/>
      <c r="T407" s="68" t="str">
        <f aca="false">IF(LEFT(S407,1)="9","Celular",IF(S407="","","Fixo"))</f>
        <v/>
      </c>
      <c r="U407" s="58" t="str">
        <f aca="false">IF( T407&lt;&gt;"",VLOOKUP(T407,Selects!$M$4:$N$1000,2,0),"")</f>
        <v/>
      </c>
      <c r="V407" s="26"/>
      <c r="W407" s="58"/>
      <c r="X407" s="58"/>
      <c r="Y407" s="58"/>
      <c r="Z407" s="58"/>
      <c r="AA407" s="69"/>
      <c r="AB407" s="58"/>
      <c r="AC407" s="58"/>
      <c r="AD407" s="70" t="str">
        <f aca="false">IF(AC407&lt;&gt;"",VLOOKUP(AC407,Selects!$B$4:$C$100,2,0),"")</f>
        <v/>
      </c>
      <c r="AE407" s="26"/>
      <c r="AF407" s="58"/>
      <c r="AG407" s="59"/>
      <c r="AH407" s="65"/>
      <c r="AI407" s="66"/>
      <c r="AJ407" s="66"/>
      <c r="AK407" s="58"/>
      <c r="AL407" s="58"/>
      <c r="AM407" s="68" t="str">
        <f aca="false">IF(LEFT(AL407,1)="9","Celular",IF(AL407="","","Fixo"))</f>
        <v/>
      </c>
      <c r="AN407" s="58" t="str">
        <f aca="false">IF( AM407&lt;&gt;"",VLOOKUP(AM407,Selects!$M$4:$N$1000,2,0),"")</f>
        <v/>
      </c>
      <c r="AO407" s="58"/>
      <c r="AP407" s="59"/>
      <c r="AQ407" s="65"/>
      <c r="AR407" s="58"/>
      <c r="AS407" s="58"/>
      <c r="AT407" s="26"/>
      <c r="AU407" s="58"/>
      <c r="AV407" s="58"/>
      <c r="AW407" s="58"/>
      <c r="AX407" s="58"/>
      <c r="AY407" s="71"/>
      <c r="AZ407" s="58"/>
      <c r="BA407" s="58"/>
      <c r="BB407" s="72" t="str">
        <f aca="false">IF(BA407&lt;&gt;"",VLOOKUP(BA407,Selects!$B$4:$C$100,2,0),"")</f>
        <v/>
      </c>
      <c r="BC407" s="26"/>
      <c r="BD407" s="26"/>
      <c r="BE407" s="73"/>
      <c r="BF407" s="74"/>
      <c r="BG407" s="75" t="str">
        <f aca="false">IF(LEN(BF407)=11,"PF",IF(LEN(BF407)=14,"PJ",""))</f>
        <v/>
      </c>
      <c r="BH407" s="66"/>
      <c r="BI407" s="58" t="str">
        <f aca="false">IF(BH407&lt;&gt;"",VLOOKUP(BH407,Selects!$G:$H,2,0),"")</f>
        <v/>
      </c>
      <c r="BJ407" s="58"/>
      <c r="BK407" s="58"/>
      <c r="BL407" s="59"/>
      <c r="BM407" s="58"/>
      <c r="BN407" s="58"/>
      <c r="BO407" s="58" t="str">
        <f aca="false">IF(BN407&lt;&gt;"",VLOOKUP(BN407,Selects!$J$4:$K$1000,2,0),"")</f>
        <v/>
      </c>
      <c r="BP407" s="76"/>
      <c r="BQ407" s="59"/>
      <c r="BR407" s="77"/>
      <c r="BS407" s="59"/>
      <c r="BT407" s="77"/>
      <c r="BU407" s="58"/>
      <c r="BV407" s="58"/>
      <c r="BW407" s="58"/>
      <c r="BX407" s="58"/>
      <c r="BY407" s="58"/>
      <c r="BZ407" s="58"/>
      <c r="CA407" s="58"/>
      <c r="CB407" s="72" t="str">
        <f aca="false">IF(AC407&lt;&gt;"",VLOOKUP(AC407,Selects!$B:$E,4,0),"")</f>
        <v/>
      </c>
      <c r="CC407" s="58"/>
      <c r="CD407" s="58"/>
      <c r="CE407" s="58"/>
    </row>
    <row r="408" customFormat="false" ht="15.75" hidden="false" customHeight="true" outlineLevel="0" collapsed="false">
      <c r="A408" s="17"/>
      <c r="B408" s="58"/>
      <c r="C408" s="58"/>
      <c r="D408" s="59"/>
      <c r="E408" s="60" t="str">
        <f aca="false">IF(LEN(D408)=11,"PF",IF(LEN(D408)=14,"PJ",""))</f>
        <v/>
      </c>
      <c r="F408" s="59"/>
      <c r="G408" s="59"/>
      <c r="H408" s="61" t="str">
        <f aca="false">IF(G408&lt;&gt;"",VLOOKUP(G408,'Cnae  mcc  id'!$A:$M,9,0),"")</f>
        <v/>
      </c>
      <c r="I408" s="62"/>
      <c r="J408" s="63" t="str">
        <f aca="false">IF(I408&lt;&gt;"",VLOOKUP(I408,'Legal Nature'!$E$2:$G$84,3,0),"")</f>
        <v/>
      </c>
      <c r="K408" s="64"/>
      <c r="L408" s="65"/>
      <c r="M408" s="66"/>
      <c r="N408" s="66"/>
      <c r="O408" s="79"/>
      <c r="P408" s="26"/>
      <c r="Q408" s="58"/>
      <c r="R408" s="58"/>
      <c r="S408" s="80"/>
      <c r="T408" s="68" t="str">
        <f aca="false">IF(LEFT(S408,1)="9","Celular",IF(S408="","","Fixo"))</f>
        <v/>
      </c>
      <c r="U408" s="58" t="str">
        <f aca="false">IF( T408&lt;&gt;"",VLOOKUP(T408,Selects!$M$4:$N$1000,2,0),"")</f>
        <v/>
      </c>
      <c r="V408" s="26"/>
      <c r="W408" s="58"/>
      <c r="X408" s="58"/>
      <c r="Y408" s="58"/>
      <c r="Z408" s="58"/>
      <c r="AA408" s="69"/>
      <c r="AB408" s="58"/>
      <c r="AC408" s="58"/>
      <c r="AD408" s="70" t="str">
        <f aca="false">IF(AC408&lt;&gt;"",VLOOKUP(AC408,Selects!$B$4:$C$100,2,0),"")</f>
        <v/>
      </c>
      <c r="AE408" s="26"/>
      <c r="AF408" s="58"/>
      <c r="AG408" s="59"/>
      <c r="AH408" s="65"/>
      <c r="AI408" s="66"/>
      <c r="AJ408" s="66"/>
      <c r="AK408" s="58"/>
      <c r="AL408" s="58"/>
      <c r="AM408" s="68" t="str">
        <f aca="false">IF(LEFT(AL408,1)="9","Celular",IF(AL408="","","Fixo"))</f>
        <v/>
      </c>
      <c r="AN408" s="58" t="str">
        <f aca="false">IF( AM408&lt;&gt;"",VLOOKUP(AM408,Selects!$M$4:$N$1000,2,0),"")</f>
        <v/>
      </c>
      <c r="AO408" s="58"/>
      <c r="AP408" s="59"/>
      <c r="AQ408" s="65"/>
      <c r="AR408" s="58"/>
      <c r="AS408" s="58"/>
      <c r="AT408" s="26"/>
      <c r="AU408" s="58"/>
      <c r="AV408" s="58"/>
      <c r="AW408" s="58"/>
      <c r="AX408" s="58"/>
      <c r="AY408" s="71"/>
      <c r="AZ408" s="58"/>
      <c r="BA408" s="58"/>
      <c r="BB408" s="72" t="str">
        <f aca="false">IF(BA408&lt;&gt;"",VLOOKUP(BA408,Selects!$B$4:$C$100,2,0),"")</f>
        <v/>
      </c>
      <c r="BC408" s="26"/>
      <c r="BD408" s="26"/>
      <c r="BE408" s="73"/>
      <c r="BF408" s="74"/>
      <c r="BG408" s="75" t="str">
        <f aca="false">IF(LEN(BF408)=11,"PF",IF(LEN(BF408)=14,"PJ",""))</f>
        <v/>
      </c>
      <c r="BH408" s="66"/>
      <c r="BI408" s="58" t="str">
        <f aca="false">IF(BH408&lt;&gt;"",VLOOKUP(BH408,Selects!$G:$H,2,0),"")</f>
        <v/>
      </c>
      <c r="BJ408" s="58"/>
      <c r="BK408" s="58"/>
      <c r="BL408" s="59"/>
      <c r="BM408" s="58"/>
      <c r="BN408" s="58"/>
      <c r="BO408" s="58" t="str">
        <f aca="false">IF(BN408&lt;&gt;"",VLOOKUP(BN408,Selects!$J$4:$K$1000,2,0),"")</f>
        <v/>
      </c>
      <c r="BP408" s="76"/>
      <c r="BQ408" s="59"/>
      <c r="BR408" s="77"/>
      <c r="BS408" s="59"/>
      <c r="BT408" s="77"/>
      <c r="BU408" s="58"/>
      <c r="BV408" s="58"/>
      <c r="BW408" s="58"/>
      <c r="BX408" s="58"/>
      <c r="BY408" s="58"/>
      <c r="BZ408" s="58"/>
      <c r="CA408" s="58"/>
      <c r="CB408" s="72" t="str">
        <f aca="false">IF(AC408&lt;&gt;"",VLOOKUP(AC408,Selects!$B:$E,4,0),"")</f>
        <v/>
      </c>
      <c r="CC408" s="58"/>
      <c r="CD408" s="58"/>
      <c r="CE408" s="58"/>
    </row>
    <row r="409" customFormat="false" ht="15.75" hidden="false" customHeight="true" outlineLevel="0" collapsed="false">
      <c r="A409" s="17"/>
      <c r="B409" s="58"/>
      <c r="C409" s="58"/>
      <c r="D409" s="59"/>
      <c r="E409" s="60" t="str">
        <f aca="false">IF(LEN(D409)=11,"PF",IF(LEN(D409)=14,"PJ",""))</f>
        <v/>
      </c>
      <c r="F409" s="59"/>
      <c r="G409" s="59"/>
      <c r="H409" s="61" t="str">
        <f aca="false">IF(G409&lt;&gt;"",VLOOKUP(G409,'Cnae  mcc  id'!$A:$M,9,0),"")</f>
        <v/>
      </c>
      <c r="I409" s="62"/>
      <c r="J409" s="63" t="str">
        <f aca="false">IF(I409&lt;&gt;"",VLOOKUP(I409,'Legal Nature'!$E$2:$G$84,3,0),"")</f>
        <v/>
      </c>
      <c r="K409" s="64"/>
      <c r="L409" s="65"/>
      <c r="M409" s="66"/>
      <c r="N409" s="66"/>
      <c r="O409" s="79"/>
      <c r="P409" s="26"/>
      <c r="Q409" s="58"/>
      <c r="R409" s="58"/>
      <c r="S409" s="80"/>
      <c r="T409" s="68" t="str">
        <f aca="false">IF(LEFT(S409,1)="9","Celular",IF(S409="","","Fixo"))</f>
        <v/>
      </c>
      <c r="U409" s="58" t="str">
        <f aca="false">IF( T409&lt;&gt;"",VLOOKUP(T409,Selects!$M$4:$N$1000,2,0),"")</f>
        <v/>
      </c>
      <c r="V409" s="26"/>
      <c r="W409" s="58"/>
      <c r="X409" s="58"/>
      <c r="Y409" s="58"/>
      <c r="Z409" s="58"/>
      <c r="AA409" s="69"/>
      <c r="AB409" s="58"/>
      <c r="AC409" s="58"/>
      <c r="AD409" s="70" t="str">
        <f aca="false">IF(AC409&lt;&gt;"",VLOOKUP(AC409,Selects!$B$4:$C$100,2,0),"")</f>
        <v/>
      </c>
      <c r="AE409" s="26"/>
      <c r="AF409" s="58"/>
      <c r="AG409" s="59"/>
      <c r="AH409" s="65"/>
      <c r="AI409" s="66"/>
      <c r="AJ409" s="66"/>
      <c r="AK409" s="58"/>
      <c r="AL409" s="58"/>
      <c r="AM409" s="68" t="str">
        <f aca="false">IF(LEFT(AL409,1)="9","Celular",IF(AL409="","","Fixo"))</f>
        <v/>
      </c>
      <c r="AN409" s="58" t="str">
        <f aca="false">IF( AM409&lt;&gt;"",VLOOKUP(AM409,Selects!$M$4:$N$1000,2,0),"")</f>
        <v/>
      </c>
      <c r="AO409" s="58"/>
      <c r="AP409" s="59"/>
      <c r="AQ409" s="65"/>
      <c r="AR409" s="58"/>
      <c r="AS409" s="58"/>
      <c r="AT409" s="26"/>
      <c r="AU409" s="58"/>
      <c r="AV409" s="58"/>
      <c r="AW409" s="58"/>
      <c r="AX409" s="58"/>
      <c r="AY409" s="71"/>
      <c r="AZ409" s="58"/>
      <c r="BA409" s="58"/>
      <c r="BB409" s="72" t="str">
        <f aca="false">IF(BA409&lt;&gt;"",VLOOKUP(BA409,Selects!$B$4:$C$100,2,0),"")</f>
        <v/>
      </c>
      <c r="BC409" s="26"/>
      <c r="BD409" s="26"/>
      <c r="BE409" s="73"/>
      <c r="BF409" s="74"/>
      <c r="BG409" s="75" t="str">
        <f aca="false">IF(LEN(BF409)=11,"PF",IF(LEN(BF409)=14,"PJ",""))</f>
        <v/>
      </c>
      <c r="BH409" s="66"/>
      <c r="BI409" s="58" t="str">
        <f aca="false">IF(BH409&lt;&gt;"",VLOOKUP(BH409,Selects!$G:$H,2,0),"")</f>
        <v/>
      </c>
      <c r="BJ409" s="58"/>
      <c r="BK409" s="58"/>
      <c r="BL409" s="59"/>
      <c r="BM409" s="58"/>
      <c r="BN409" s="58"/>
      <c r="BO409" s="58" t="str">
        <f aca="false">IF(BN409&lt;&gt;"",VLOOKUP(BN409,Selects!$J$4:$K$1000,2,0),"")</f>
        <v/>
      </c>
      <c r="BP409" s="76"/>
      <c r="BQ409" s="59"/>
      <c r="BR409" s="77"/>
      <c r="BS409" s="59"/>
      <c r="BT409" s="77"/>
      <c r="BU409" s="58"/>
      <c r="BV409" s="58"/>
      <c r="BW409" s="58"/>
      <c r="BX409" s="58"/>
      <c r="BY409" s="58"/>
      <c r="BZ409" s="58"/>
      <c r="CA409" s="58"/>
      <c r="CB409" s="72" t="str">
        <f aca="false">IF(AC409&lt;&gt;"",VLOOKUP(AC409,Selects!$B:$E,4,0),"")</f>
        <v/>
      </c>
      <c r="CC409" s="58"/>
      <c r="CD409" s="58"/>
      <c r="CE409" s="58"/>
    </row>
    <row r="410" customFormat="false" ht="15.75" hidden="false" customHeight="true" outlineLevel="0" collapsed="false">
      <c r="A410" s="17"/>
      <c r="B410" s="58"/>
      <c r="C410" s="58"/>
      <c r="D410" s="59"/>
      <c r="E410" s="60" t="str">
        <f aca="false">IF(LEN(D410)=11,"PF",IF(LEN(D410)=14,"PJ",""))</f>
        <v/>
      </c>
      <c r="F410" s="59"/>
      <c r="G410" s="59"/>
      <c r="H410" s="61" t="str">
        <f aca="false">IF(G410&lt;&gt;"",VLOOKUP(G410,'Cnae  mcc  id'!$A:$M,9,0),"")</f>
        <v/>
      </c>
      <c r="I410" s="62"/>
      <c r="J410" s="63" t="str">
        <f aca="false">IF(I410&lt;&gt;"",VLOOKUP(I410,'Legal Nature'!$E$2:$G$84,3,0),"")</f>
        <v/>
      </c>
      <c r="K410" s="64"/>
      <c r="L410" s="65"/>
      <c r="M410" s="66"/>
      <c r="N410" s="66"/>
      <c r="O410" s="79"/>
      <c r="P410" s="26"/>
      <c r="Q410" s="58"/>
      <c r="R410" s="58"/>
      <c r="S410" s="80"/>
      <c r="T410" s="68" t="str">
        <f aca="false">IF(LEFT(S410,1)="9","Celular",IF(S410="","","Fixo"))</f>
        <v/>
      </c>
      <c r="U410" s="58" t="str">
        <f aca="false">IF( T410&lt;&gt;"",VLOOKUP(T410,Selects!$M$4:$N$1000,2,0),"")</f>
        <v/>
      </c>
      <c r="V410" s="26"/>
      <c r="W410" s="58"/>
      <c r="X410" s="58"/>
      <c r="Y410" s="58"/>
      <c r="Z410" s="58"/>
      <c r="AA410" s="69"/>
      <c r="AB410" s="58"/>
      <c r="AC410" s="58"/>
      <c r="AD410" s="70" t="str">
        <f aca="false">IF(AC410&lt;&gt;"",VLOOKUP(AC410,Selects!$B$4:$C$100,2,0),"")</f>
        <v/>
      </c>
      <c r="AE410" s="26"/>
      <c r="AF410" s="58"/>
      <c r="AG410" s="59"/>
      <c r="AH410" s="65"/>
      <c r="AI410" s="66"/>
      <c r="AJ410" s="66"/>
      <c r="AK410" s="58"/>
      <c r="AL410" s="58"/>
      <c r="AM410" s="68" t="str">
        <f aca="false">IF(LEFT(AL410,1)="9","Celular",IF(AL410="","","Fixo"))</f>
        <v/>
      </c>
      <c r="AN410" s="58" t="str">
        <f aca="false">IF( AM410&lt;&gt;"",VLOOKUP(AM410,Selects!$M$4:$N$1000,2,0),"")</f>
        <v/>
      </c>
      <c r="AO410" s="58"/>
      <c r="AP410" s="59"/>
      <c r="AQ410" s="65"/>
      <c r="AR410" s="58"/>
      <c r="AS410" s="58"/>
      <c r="AT410" s="26"/>
      <c r="AU410" s="58"/>
      <c r="AV410" s="58"/>
      <c r="AW410" s="58"/>
      <c r="AX410" s="58"/>
      <c r="AY410" s="71"/>
      <c r="AZ410" s="58"/>
      <c r="BA410" s="58"/>
      <c r="BB410" s="72" t="str">
        <f aca="false">IF(BA410&lt;&gt;"",VLOOKUP(BA410,Selects!$B$4:$C$100,2,0),"")</f>
        <v/>
      </c>
      <c r="BC410" s="26"/>
      <c r="BD410" s="26"/>
      <c r="BE410" s="73"/>
      <c r="BF410" s="74"/>
      <c r="BG410" s="75" t="str">
        <f aca="false">IF(LEN(BF410)=11,"PF",IF(LEN(BF410)=14,"PJ",""))</f>
        <v/>
      </c>
      <c r="BH410" s="66"/>
      <c r="BI410" s="58" t="str">
        <f aca="false">IF(BH410&lt;&gt;"",VLOOKUP(BH410,Selects!$G:$H,2,0),"")</f>
        <v/>
      </c>
      <c r="BJ410" s="58"/>
      <c r="BK410" s="58"/>
      <c r="BL410" s="59"/>
      <c r="BM410" s="58"/>
      <c r="BN410" s="58"/>
      <c r="BO410" s="58" t="str">
        <f aca="false">IF(BN410&lt;&gt;"",VLOOKUP(BN410,Selects!$J$4:$K$1000,2,0),"")</f>
        <v/>
      </c>
      <c r="BP410" s="76"/>
      <c r="BQ410" s="59"/>
      <c r="BR410" s="77"/>
      <c r="BS410" s="59"/>
      <c r="BT410" s="77"/>
      <c r="BU410" s="58"/>
      <c r="BV410" s="58"/>
      <c r="BW410" s="58"/>
      <c r="BX410" s="58"/>
      <c r="BY410" s="58"/>
      <c r="BZ410" s="58"/>
      <c r="CA410" s="58"/>
      <c r="CB410" s="72" t="str">
        <f aca="false">IF(AC410&lt;&gt;"",VLOOKUP(AC410,Selects!$B:$E,4,0),"")</f>
        <v/>
      </c>
      <c r="CC410" s="58"/>
      <c r="CD410" s="58"/>
      <c r="CE410" s="58"/>
    </row>
    <row r="411" customFormat="false" ht="15.75" hidden="false" customHeight="true" outlineLevel="0" collapsed="false">
      <c r="A411" s="17"/>
      <c r="B411" s="58"/>
      <c r="C411" s="58"/>
      <c r="D411" s="59"/>
      <c r="E411" s="60" t="str">
        <f aca="false">IF(LEN(D411)=11,"PF",IF(LEN(D411)=14,"PJ",""))</f>
        <v/>
      </c>
      <c r="F411" s="59"/>
      <c r="G411" s="59"/>
      <c r="H411" s="61" t="str">
        <f aca="false">IF(G411&lt;&gt;"",VLOOKUP(G411,'Cnae  mcc  id'!$A:$M,9,0),"")</f>
        <v/>
      </c>
      <c r="I411" s="62"/>
      <c r="J411" s="63" t="str">
        <f aca="false">IF(I411&lt;&gt;"",VLOOKUP(I411,'Legal Nature'!$E$2:$G$84,3,0),"")</f>
        <v/>
      </c>
      <c r="K411" s="64"/>
      <c r="L411" s="65"/>
      <c r="M411" s="66"/>
      <c r="N411" s="66"/>
      <c r="O411" s="79"/>
      <c r="P411" s="26"/>
      <c r="Q411" s="58"/>
      <c r="R411" s="58"/>
      <c r="S411" s="80"/>
      <c r="T411" s="68" t="str">
        <f aca="false">IF(LEFT(S411,1)="9","Celular",IF(S411="","","Fixo"))</f>
        <v/>
      </c>
      <c r="U411" s="58" t="str">
        <f aca="false">IF( T411&lt;&gt;"",VLOOKUP(T411,Selects!$M$4:$N$1000,2,0),"")</f>
        <v/>
      </c>
      <c r="V411" s="26"/>
      <c r="W411" s="58"/>
      <c r="X411" s="58"/>
      <c r="Y411" s="58"/>
      <c r="Z411" s="58"/>
      <c r="AA411" s="69"/>
      <c r="AB411" s="58"/>
      <c r="AC411" s="58"/>
      <c r="AD411" s="70" t="str">
        <f aca="false">IF(AC411&lt;&gt;"",VLOOKUP(AC411,Selects!$B$4:$C$100,2,0),"")</f>
        <v/>
      </c>
      <c r="AE411" s="26"/>
      <c r="AF411" s="58"/>
      <c r="AG411" s="59"/>
      <c r="AH411" s="65"/>
      <c r="AI411" s="66"/>
      <c r="AJ411" s="66"/>
      <c r="AK411" s="58"/>
      <c r="AL411" s="58"/>
      <c r="AM411" s="68" t="str">
        <f aca="false">IF(LEFT(AL411,1)="9","Celular",IF(AL411="","","Fixo"))</f>
        <v/>
      </c>
      <c r="AN411" s="58" t="str">
        <f aca="false">IF( AM411&lt;&gt;"",VLOOKUP(AM411,Selects!$M$4:$N$1000,2,0),"")</f>
        <v/>
      </c>
      <c r="AO411" s="58"/>
      <c r="AP411" s="59"/>
      <c r="AQ411" s="65"/>
      <c r="AR411" s="58"/>
      <c r="AS411" s="58"/>
      <c r="AT411" s="26"/>
      <c r="AU411" s="58"/>
      <c r="AV411" s="58"/>
      <c r="AW411" s="58"/>
      <c r="AX411" s="58"/>
      <c r="AY411" s="71"/>
      <c r="AZ411" s="58"/>
      <c r="BA411" s="58"/>
      <c r="BB411" s="72" t="str">
        <f aca="false">IF(BA411&lt;&gt;"",VLOOKUP(BA411,Selects!$B$4:$C$100,2,0),"")</f>
        <v/>
      </c>
      <c r="BC411" s="26"/>
      <c r="BD411" s="26"/>
      <c r="BE411" s="73"/>
      <c r="BF411" s="74"/>
      <c r="BG411" s="75" t="str">
        <f aca="false">IF(LEN(BF411)=11,"PF",IF(LEN(BF411)=14,"PJ",""))</f>
        <v/>
      </c>
      <c r="BH411" s="66"/>
      <c r="BI411" s="58" t="str">
        <f aca="false">IF(BH411&lt;&gt;"",VLOOKUP(BH411,Selects!$G:$H,2,0),"")</f>
        <v/>
      </c>
      <c r="BJ411" s="58"/>
      <c r="BK411" s="58"/>
      <c r="BL411" s="59"/>
      <c r="BM411" s="58"/>
      <c r="BN411" s="58"/>
      <c r="BO411" s="58" t="str">
        <f aca="false">IF(BN411&lt;&gt;"",VLOOKUP(BN411,Selects!$J$4:$K$1000,2,0),"")</f>
        <v/>
      </c>
      <c r="BP411" s="76"/>
      <c r="BQ411" s="59"/>
      <c r="BR411" s="77"/>
      <c r="BS411" s="59"/>
      <c r="BT411" s="77"/>
      <c r="BU411" s="58"/>
      <c r="BV411" s="58"/>
      <c r="BW411" s="58"/>
      <c r="BX411" s="58"/>
      <c r="BY411" s="58"/>
      <c r="BZ411" s="58"/>
      <c r="CA411" s="58"/>
      <c r="CB411" s="72" t="str">
        <f aca="false">IF(AC411&lt;&gt;"",VLOOKUP(AC411,Selects!$B:$E,4,0),"")</f>
        <v/>
      </c>
      <c r="CC411" s="58"/>
      <c r="CD411" s="58"/>
      <c r="CE411" s="58"/>
    </row>
    <row r="412" customFormat="false" ht="15.75" hidden="false" customHeight="true" outlineLevel="0" collapsed="false">
      <c r="A412" s="17"/>
      <c r="B412" s="58"/>
      <c r="C412" s="58"/>
      <c r="D412" s="59"/>
      <c r="E412" s="60" t="str">
        <f aca="false">IF(LEN(D412)=11,"PF",IF(LEN(D412)=14,"PJ",""))</f>
        <v/>
      </c>
      <c r="F412" s="59"/>
      <c r="G412" s="59"/>
      <c r="H412" s="61" t="str">
        <f aca="false">IF(G412&lt;&gt;"",VLOOKUP(G412,'Cnae  mcc  id'!$A:$M,9,0),"")</f>
        <v/>
      </c>
      <c r="I412" s="62"/>
      <c r="J412" s="63" t="str">
        <f aca="false">IF(I412&lt;&gt;"",VLOOKUP(I412,'Legal Nature'!$E$2:$G$84,3,0),"")</f>
        <v/>
      </c>
      <c r="K412" s="64"/>
      <c r="L412" s="65"/>
      <c r="M412" s="66"/>
      <c r="N412" s="66"/>
      <c r="O412" s="79"/>
      <c r="P412" s="26"/>
      <c r="Q412" s="58"/>
      <c r="R412" s="58"/>
      <c r="S412" s="80"/>
      <c r="T412" s="68" t="str">
        <f aca="false">IF(LEFT(S412,1)="9","Celular",IF(S412="","","Fixo"))</f>
        <v/>
      </c>
      <c r="U412" s="58" t="str">
        <f aca="false">IF( T412&lt;&gt;"",VLOOKUP(T412,Selects!$M$4:$N$1000,2,0),"")</f>
        <v/>
      </c>
      <c r="V412" s="26"/>
      <c r="W412" s="58"/>
      <c r="X412" s="58"/>
      <c r="Y412" s="58"/>
      <c r="Z412" s="58"/>
      <c r="AA412" s="69"/>
      <c r="AB412" s="58"/>
      <c r="AC412" s="58"/>
      <c r="AD412" s="70" t="str">
        <f aca="false">IF(AC412&lt;&gt;"",VLOOKUP(AC412,Selects!$B$4:$C$100,2,0),"")</f>
        <v/>
      </c>
      <c r="AE412" s="26"/>
      <c r="AF412" s="58"/>
      <c r="AG412" s="59"/>
      <c r="AH412" s="65"/>
      <c r="AI412" s="66"/>
      <c r="AJ412" s="66"/>
      <c r="AK412" s="58"/>
      <c r="AL412" s="58"/>
      <c r="AM412" s="68" t="str">
        <f aca="false">IF(LEFT(AL412,1)="9","Celular",IF(AL412="","","Fixo"))</f>
        <v/>
      </c>
      <c r="AN412" s="58" t="str">
        <f aca="false">IF( AM412&lt;&gt;"",VLOOKUP(AM412,Selects!$M$4:$N$1000,2,0),"")</f>
        <v/>
      </c>
      <c r="AO412" s="58"/>
      <c r="AP412" s="59"/>
      <c r="AQ412" s="65"/>
      <c r="AR412" s="58"/>
      <c r="AS412" s="58"/>
      <c r="AT412" s="26"/>
      <c r="AU412" s="58"/>
      <c r="AV412" s="58"/>
      <c r="AW412" s="58"/>
      <c r="AX412" s="58"/>
      <c r="AY412" s="71"/>
      <c r="AZ412" s="58"/>
      <c r="BA412" s="58"/>
      <c r="BB412" s="72" t="str">
        <f aca="false">IF(BA412&lt;&gt;"",VLOOKUP(BA412,Selects!$B$4:$C$100,2,0),"")</f>
        <v/>
      </c>
      <c r="BC412" s="26"/>
      <c r="BD412" s="26"/>
      <c r="BE412" s="73"/>
      <c r="BF412" s="74"/>
      <c r="BG412" s="75" t="str">
        <f aca="false">IF(LEN(BF412)=11,"PF",IF(LEN(BF412)=14,"PJ",""))</f>
        <v/>
      </c>
      <c r="BH412" s="66"/>
      <c r="BI412" s="58" t="str">
        <f aca="false">IF(BH412&lt;&gt;"",VLOOKUP(BH412,Selects!$G:$H,2,0),"")</f>
        <v/>
      </c>
      <c r="BJ412" s="58"/>
      <c r="BK412" s="58"/>
      <c r="BL412" s="59"/>
      <c r="BM412" s="58"/>
      <c r="BN412" s="58"/>
      <c r="BO412" s="58" t="str">
        <f aca="false">IF(BN412&lt;&gt;"",VLOOKUP(BN412,Selects!$J$4:$K$1000,2,0),"")</f>
        <v/>
      </c>
      <c r="BP412" s="76"/>
      <c r="BQ412" s="59"/>
      <c r="BR412" s="77"/>
      <c r="BS412" s="59"/>
      <c r="BT412" s="77"/>
      <c r="BU412" s="58"/>
      <c r="BV412" s="58"/>
      <c r="BW412" s="58"/>
      <c r="BX412" s="58"/>
      <c r="BY412" s="58"/>
      <c r="BZ412" s="58"/>
      <c r="CA412" s="58"/>
      <c r="CB412" s="72" t="str">
        <f aca="false">IF(AC412&lt;&gt;"",VLOOKUP(AC412,Selects!$B:$E,4,0),"")</f>
        <v/>
      </c>
      <c r="CC412" s="58"/>
      <c r="CD412" s="58"/>
      <c r="CE412" s="58"/>
    </row>
    <row r="413" customFormat="false" ht="15.75" hidden="false" customHeight="true" outlineLevel="0" collapsed="false">
      <c r="A413" s="17"/>
      <c r="B413" s="58"/>
      <c r="C413" s="58"/>
      <c r="D413" s="59"/>
      <c r="E413" s="60" t="str">
        <f aca="false">IF(LEN(D413)=11,"PF",IF(LEN(D413)=14,"PJ",""))</f>
        <v/>
      </c>
      <c r="F413" s="59"/>
      <c r="G413" s="59"/>
      <c r="H413" s="61" t="str">
        <f aca="false">IF(G413&lt;&gt;"",VLOOKUP(G413,'Cnae  mcc  id'!$A:$M,9,0),"")</f>
        <v/>
      </c>
      <c r="I413" s="62"/>
      <c r="J413" s="63" t="str">
        <f aca="false">IF(I413&lt;&gt;"",VLOOKUP(I413,'Legal Nature'!$E$2:$G$84,3,0),"")</f>
        <v/>
      </c>
      <c r="K413" s="64"/>
      <c r="L413" s="65"/>
      <c r="M413" s="66"/>
      <c r="N413" s="66"/>
      <c r="O413" s="79"/>
      <c r="P413" s="26"/>
      <c r="Q413" s="58"/>
      <c r="R413" s="58"/>
      <c r="S413" s="80"/>
      <c r="T413" s="68" t="str">
        <f aca="false">IF(LEFT(S413,1)="9","Celular",IF(S413="","","Fixo"))</f>
        <v/>
      </c>
      <c r="U413" s="58" t="str">
        <f aca="false">IF( T413&lt;&gt;"",VLOOKUP(T413,Selects!$M$4:$N$1000,2,0),"")</f>
        <v/>
      </c>
      <c r="V413" s="26"/>
      <c r="W413" s="58"/>
      <c r="X413" s="58"/>
      <c r="Y413" s="58"/>
      <c r="Z413" s="58"/>
      <c r="AA413" s="69"/>
      <c r="AB413" s="58"/>
      <c r="AC413" s="58"/>
      <c r="AD413" s="70" t="str">
        <f aca="false">IF(AC413&lt;&gt;"",VLOOKUP(AC413,Selects!$B$4:$C$100,2,0),"")</f>
        <v/>
      </c>
      <c r="AE413" s="26"/>
      <c r="AF413" s="58"/>
      <c r="AG413" s="59"/>
      <c r="AH413" s="65"/>
      <c r="AI413" s="66"/>
      <c r="AJ413" s="66"/>
      <c r="AK413" s="58"/>
      <c r="AL413" s="58"/>
      <c r="AM413" s="68" t="str">
        <f aca="false">IF(LEFT(AL413,1)="9","Celular",IF(AL413="","","Fixo"))</f>
        <v/>
      </c>
      <c r="AN413" s="58" t="str">
        <f aca="false">IF( AM413&lt;&gt;"",VLOOKUP(AM413,Selects!$M$4:$N$1000,2,0),"")</f>
        <v/>
      </c>
      <c r="AO413" s="58"/>
      <c r="AP413" s="59"/>
      <c r="AQ413" s="65"/>
      <c r="AR413" s="58"/>
      <c r="AS413" s="58"/>
      <c r="AT413" s="26"/>
      <c r="AU413" s="58"/>
      <c r="AV413" s="58"/>
      <c r="AW413" s="58"/>
      <c r="AX413" s="58"/>
      <c r="AY413" s="71"/>
      <c r="AZ413" s="58"/>
      <c r="BA413" s="58"/>
      <c r="BB413" s="72" t="str">
        <f aca="false">IF(BA413&lt;&gt;"",VLOOKUP(BA413,Selects!$B$4:$C$100,2,0),"")</f>
        <v/>
      </c>
      <c r="BC413" s="26"/>
      <c r="BD413" s="26"/>
      <c r="BE413" s="73"/>
      <c r="BF413" s="74"/>
      <c r="BG413" s="75" t="str">
        <f aca="false">IF(LEN(BF413)=11,"PF",IF(LEN(BF413)=14,"PJ",""))</f>
        <v/>
      </c>
      <c r="BH413" s="66"/>
      <c r="BI413" s="58" t="str">
        <f aca="false">IF(BH413&lt;&gt;"",VLOOKUP(BH413,Selects!$G:$H,2,0),"")</f>
        <v/>
      </c>
      <c r="BJ413" s="58"/>
      <c r="BK413" s="58"/>
      <c r="BL413" s="59"/>
      <c r="BM413" s="58"/>
      <c r="BN413" s="58"/>
      <c r="BO413" s="58" t="str">
        <f aca="false">IF(BN413&lt;&gt;"",VLOOKUP(BN413,Selects!$J$4:$K$1000,2,0),"")</f>
        <v/>
      </c>
      <c r="BP413" s="76"/>
      <c r="BQ413" s="59"/>
      <c r="BR413" s="77"/>
      <c r="BS413" s="59"/>
      <c r="BT413" s="77"/>
      <c r="BU413" s="58"/>
      <c r="BV413" s="58"/>
      <c r="BW413" s="58"/>
      <c r="BX413" s="58"/>
      <c r="BY413" s="58"/>
      <c r="BZ413" s="58"/>
      <c r="CA413" s="58"/>
      <c r="CB413" s="72" t="str">
        <f aca="false">IF(AC413&lt;&gt;"",VLOOKUP(AC413,Selects!$B:$E,4,0),"")</f>
        <v/>
      </c>
      <c r="CC413" s="58"/>
      <c r="CD413" s="58"/>
      <c r="CE413" s="58"/>
    </row>
    <row r="414" customFormat="false" ht="15.75" hidden="false" customHeight="true" outlineLevel="0" collapsed="false">
      <c r="A414" s="17"/>
      <c r="B414" s="58"/>
      <c r="C414" s="58"/>
      <c r="D414" s="59"/>
      <c r="E414" s="60" t="str">
        <f aca="false">IF(LEN(D414)=11,"PF",IF(LEN(D414)=14,"PJ",""))</f>
        <v/>
      </c>
      <c r="F414" s="59"/>
      <c r="G414" s="59"/>
      <c r="H414" s="61" t="str">
        <f aca="false">IF(G414&lt;&gt;"",VLOOKUP(G414,'Cnae  mcc  id'!$A:$M,9,0),"")</f>
        <v/>
      </c>
      <c r="I414" s="62"/>
      <c r="J414" s="63" t="str">
        <f aca="false">IF(I414&lt;&gt;"",VLOOKUP(I414,'Legal Nature'!$E$2:$G$84,3,0),"")</f>
        <v/>
      </c>
      <c r="K414" s="64"/>
      <c r="L414" s="65"/>
      <c r="M414" s="66"/>
      <c r="N414" s="66"/>
      <c r="O414" s="79"/>
      <c r="P414" s="26"/>
      <c r="Q414" s="58"/>
      <c r="R414" s="58"/>
      <c r="S414" s="80"/>
      <c r="T414" s="68" t="str">
        <f aca="false">IF(LEFT(S414,1)="9","Celular",IF(S414="","","Fixo"))</f>
        <v/>
      </c>
      <c r="U414" s="58" t="str">
        <f aca="false">IF( T414&lt;&gt;"",VLOOKUP(T414,Selects!$M$4:$N$1000,2,0),"")</f>
        <v/>
      </c>
      <c r="V414" s="26"/>
      <c r="W414" s="58"/>
      <c r="X414" s="58"/>
      <c r="Y414" s="58"/>
      <c r="Z414" s="58"/>
      <c r="AA414" s="69"/>
      <c r="AB414" s="58"/>
      <c r="AC414" s="58"/>
      <c r="AD414" s="70" t="str">
        <f aca="false">IF(AC414&lt;&gt;"",VLOOKUP(AC414,Selects!$B$4:$C$100,2,0),"")</f>
        <v/>
      </c>
      <c r="AE414" s="26"/>
      <c r="AF414" s="58"/>
      <c r="AG414" s="59"/>
      <c r="AH414" s="65"/>
      <c r="AI414" s="66"/>
      <c r="AJ414" s="66"/>
      <c r="AK414" s="58"/>
      <c r="AL414" s="58"/>
      <c r="AM414" s="68" t="str">
        <f aca="false">IF(LEFT(AL414,1)="9","Celular",IF(AL414="","","Fixo"))</f>
        <v/>
      </c>
      <c r="AN414" s="58" t="str">
        <f aca="false">IF( AM414&lt;&gt;"",VLOOKUP(AM414,Selects!$M$4:$N$1000,2,0),"")</f>
        <v/>
      </c>
      <c r="AO414" s="58"/>
      <c r="AP414" s="59"/>
      <c r="AQ414" s="65"/>
      <c r="AR414" s="58"/>
      <c r="AS414" s="58"/>
      <c r="AT414" s="26"/>
      <c r="AU414" s="58"/>
      <c r="AV414" s="58"/>
      <c r="AW414" s="58"/>
      <c r="AX414" s="58"/>
      <c r="AY414" s="71"/>
      <c r="AZ414" s="58"/>
      <c r="BA414" s="58"/>
      <c r="BB414" s="72" t="str">
        <f aca="false">IF(BA414&lt;&gt;"",VLOOKUP(BA414,Selects!$B$4:$C$100,2,0),"")</f>
        <v/>
      </c>
      <c r="BC414" s="26"/>
      <c r="BD414" s="26"/>
      <c r="BE414" s="73"/>
      <c r="BF414" s="74"/>
      <c r="BG414" s="75" t="str">
        <f aca="false">IF(LEN(BF414)=11,"PF",IF(LEN(BF414)=14,"PJ",""))</f>
        <v/>
      </c>
      <c r="BH414" s="66"/>
      <c r="BI414" s="58" t="str">
        <f aca="false">IF(BH414&lt;&gt;"",VLOOKUP(BH414,Selects!$G:$H,2,0),"")</f>
        <v/>
      </c>
      <c r="BJ414" s="58"/>
      <c r="BK414" s="58"/>
      <c r="BL414" s="59"/>
      <c r="BM414" s="58"/>
      <c r="BN414" s="58"/>
      <c r="BO414" s="58" t="str">
        <f aca="false">IF(BN414&lt;&gt;"",VLOOKUP(BN414,Selects!$J$4:$K$1000,2,0),"")</f>
        <v/>
      </c>
      <c r="BP414" s="76"/>
      <c r="BQ414" s="59"/>
      <c r="BR414" s="77"/>
      <c r="BS414" s="59"/>
      <c r="BT414" s="77"/>
      <c r="BU414" s="58"/>
      <c r="BV414" s="58"/>
      <c r="BW414" s="58"/>
      <c r="BX414" s="58"/>
      <c r="BY414" s="58"/>
      <c r="BZ414" s="58"/>
      <c r="CA414" s="58"/>
      <c r="CB414" s="72" t="str">
        <f aca="false">IF(AC414&lt;&gt;"",VLOOKUP(AC414,Selects!$B:$E,4,0),"")</f>
        <v/>
      </c>
      <c r="CC414" s="58"/>
      <c r="CD414" s="58"/>
      <c r="CE414" s="58"/>
    </row>
    <row r="415" customFormat="false" ht="15.75" hidden="false" customHeight="true" outlineLevel="0" collapsed="false">
      <c r="A415" s="17"/>
      <c r="B415" s="58"/>
      <c r="C415" s="58"/>
      <c r="D415" s="59"/>
      <c r="E415" s="60" t="str">
        <f aca="false">IF(LEN(D415)=11,"PF",IF(LEN(D415)=14,"PJ",""))</f>
        <v/>
      </c>
      <c r="F415" s="59"/>
      <c r="G415" s="59"/>
      <c r="H415" s="61" t="str">
        <f aca="false">IF(G415&lt;&gt;"",VLOOKUP(G415,'Cnae  mcc  id'!$A:$M,9,0),"")</f>
        <v/>
      </c>
      <c r="I415" s="62"/>
      <c r="J415" s="63" t="str">
        <f aca="false">IF(I415&lt;&gt;"",VLOOKUP(I415,'Legal Nature'!$E$2:$G$84,3,0),"")</f>
        <v/>
      </c>
      <c r="K415" s="64"/>
      <c r="L415" s="65"/>
      <c r="M415" s="66"/>
      <c r="N415" s="66"/>
      <c r="O415" s="79"/>
      <c r="P415" s="26"/>
      <c r="Q415" s="58"/>
      <c r="R415" s="58"/>
      <c r="S415" s="80"/>
      <c r="T415" s="68" t="str">
        <f aca="false">IF(LEFT(S415,1)="9","Celular",IF(S415="","","Fixo"))</f>
        <v/>
      </c>
      <c r="U415" s="58" t="str">
        <f aca="false">IF( T415&lt;&gt;"",VLOOKUP(T415,Selects!$M$4:$N$1000,2,0),"")</f>
        <v/>
      </c>
      <c r="V415" s="26"/>
      <c r="W415" s="58"/>
      <c r="X415" s="58"/>
      <c r="Y415" s="58"/>
      <c r="Z415" s="58"/>
      <c r="AA415" s="69"/>
      <c r="AB415" s="58"/>
      <c r="AC415" s="58"/>
      <c r="AD415" s="70" t="str">
        <f aca="false">IF(AC415&lt;&gt;"",VLOOKUP(AC415,Selects!$B$4:$C$100,2,0),"")</f>
        <v/>
      </c>
      <c r="AE415" s="26"/>
      <c r="AF415" s="58"/>
      <c r="AG415" s="59"/>
      <c r="AH415" s="65"/>
      <c r="AI415" s="66"/>
      <c r="AJ415" s="66"/>
      <c r="AK415" s="58"/>
      <c r="AL415" s="58"/>
      <c r="AM415" s="68" t="str">
        <f aca="false">IF(LEFT(AL415,1)="9","Celular",IF(AL415="","","Fixo"))</f>
        <v/>
      </c>
      <c r="AN415" s="58" t="str">
        <f aca="false">IF( AM415&lt;&gt;"",VLOOKUP(AM415,Selects!$M$4:$N$1000,2,0),"")</f>
        <v/>
      </c>
      <c r="AO415" s="58"/>
      <c r="AP415" s="59"/>
      <c r="AQ415" s="65"/>
      <c r="AR415" s="58"/>
      <c r="AS415" s="58"/>
      <c r="AT415" s="26"/>
      <c r="AU415" s="58"/>
      <c r="AV415" s="58"/>
      <c r="AW415" s="58"/>
      <c r="AX415" s="58"/>
      <c r="AY415" s="71"/>
      <c r="AZ415" s="58"/>
      <c r="BA415" s="58"/>
      <c r="BB415" s="72" t="str">
        <f aca="false">IF(BA415&lt;&gt;"",VLOOKUP(BA415,Selects!$B$4:$C$100,2,0),"")</f>
        <v/>
      </c>
      <c r="BC415" s="26"/>
      <c r="BD415" s="26"/>
      <c r="BE415" s="73"/>
      <c r="BF415" s="74"/>
      <c r="BG415" s="75" t="str">
        <f aca="false">IF(LEN(BF415)=11,"PF",IF(LEN(BF415)=14,"PJ",""))</f>
        <v/>
      </c>
      <c r="BH415" s="66"/>
      <c r="BI415" s="58" t="str">
        <f aca="false">IF(BH415&lt;&gt;"",VLOOKUP(BH415,Selects!$G:$H,2,0),"")</f>
        <v/>
      </c>
      <c r="BJ415" s="58"/>
      <c r="BK415" s="58"/>
      <c r="BL415" s="59"/>
      <c r="BM415" s="58"/>
      <c r="BN415" s="58"/>
      <c r="BO415" s="58" t="str">
        <f aca="false">IF(BN415&lt;&gt;"",VLOOKUP(BN415,Selects!$J$4:$K$1000,2,0),"")</f>
        <v/>
      </c>
      <c r="BP415" s="76"/>
      <c r="BQ415" s="59"/>
      <c r="BR415" s="77"/>
      <c r="BS415" s="59"/>
      <c r="BT415" s="77"/>
      <c r="BU415" s="58"/>
      <c r="BV415" s="58"/>
      <c r="BW415" s="58"/>
      <c r="BX415" s="58"/>
      <c r="BY415" s="58"/>
      <c r="BZ415" s="58"/>
      <c r="CA415" s="58"/>
      <c r="CB415" s="72" t="str">
        <f aca="false">IF(AC415&lt;&gt;"",VLOOKUP(AC415,Selects!$B:$E,4,0),"")</f>
        <v/>
      </c>
      <c r="CC415" s="58"/>
      <c r="CD415" s="58"/>
      <c r="CE415" s="58"/>
    </row>
    <row r="416" customFormat="false" ht="15.75" hidden="false" customHeight="true" outlineLevel="0" collapsed="false">
      <c r="A416" s="17"/>
      <c r="B416" s="58"/>
      <c r="C416" s="58"/>
      <c r="D416" s="59"/>
      <c r="E416" s="60" t="str">
        <f aca="false">IF(LEN(D416)=11,"PF",IF(LEN(D416)=14,"PJ",""))</f>
        <v/>
      </c>
      <c r="F416" s="59"/>
      <c r="G416" s="59"/>
      <c r="H416" s="61" t="str">
        <f aca="false">IF(G416&lt;&gt;"",VLOOKUP(G416,'Cnae  mcc  id'!$A:$M,9,0),"")</f>
        <v/>
      </c>
      <c r="I416" s="62"/>
      <c r="J416" s="63" t="str">
        <f aca="false">IF(I416&lt;&gt;"",VLOOKUP(I416,'Legal Nature'!$E$2:$G$84,3,0),"")</f>
        <v/>
      </c>
      <c r="K416" s="64"/>
      <c r="L416" s="65"/>
      <c r="M416" s="66"/>
      <c r="N416" s="66"/>
      <c r="O416" s="79"/>
      <c r="P416" s="26"/>
      <c r="Q416" s="58"/>
      <c r="R416" s="58"/>
      <c r="S416" s="80"/>
      <c r="T416" s="68" t="str">
        <f aca="false">IF(LEFT(S416,1)="9","Celular",IF(S416="","","Fixo"))</f>
        <v/>
      </c>
      <c r="U416" s="58" t="str">
        <f aca="false">IF( T416&lt;&gt;"",VLOOKUP(T416,Selects!$M$4:$N$1000,2,0),"")</f>
        <v/>
      </c>
      <c r="V416" s="26"/>
      <c r="W416" s="58"/>
      <c r="X416" s="58"/>
      <c r="Y416" s="58"/>
      <c r="Z416" s="58"/>
      <c r="AA416" s="69"/>
      <c r="AB416" s="58"/>
      <c r="AC416" s="58"/>
      <c r="AD416" s="70" t="str">
        <f aca="false">IF(AC416&lt;&gt;"",VLOOKUP(AC416,Selects!$B$4:$C$100,2,0),"")</f>
        <v/>
      </c>
      <c r="AE416" s="26"/>
      <c r="AF416" s="58"/>
      <c r="AG416" s="59"/>
      <c r="AH416" s="65"/>
      <c r="AI416" s="66"/>
      <c r="AJ416" s="66"/>
      <c r="AK416" s="58"/>
      <c r="AL416" s="58"/>
      <c r="AM416" s="68" t="str">
        <f aca="false">IF(LEFT(AL416,1)="9","Celular",IF(AL416="","","Fixo"))</f>
        <v/>
      </c>
      <c r="AN416" s="58" t="str">
        <f aca="false">IF( AM416&lt;&gt;"",VLOOKUP(AM416,Selects!$M$4:$N$1000,2,0),"")</f>
        <v/>
      </c>
      <c r="AO416" s="58"/>
      <c r="AP416" s="59"/>
      <c r="AQ416" s="65"/>
      <c r="AR416" s="58"/>
      <c r="AS416" s="58"/>
      <c r="AT416" s="26"/>
      <c r="AU416" s="58"/>
      <c r="AV416" s="58"/>
      <c r="AW416" s="58"/>
      <c r="AX416" s="58"/>
      <c r="AY416" s="71"/>
      <c r="AZ416" s="58"/>
      <c r="BA416" s="58"/>
      <c r="BB416" s="72" t="str">
        <f aca="false">IF(BA416&lt;&gt;"",VLOOKUP(BA416,Selects!$B$4:$C$100,2,0),"")</f>
        <v/>
      </c>
      <c r="BC416" s="26"/>
      <c r="BD416" s="26"/>
      <c r="BE416" s="73"/>
      <c r="BF416" s="74"/>
      <c r="BG416" s="75" t="str">
        <f aca="false">IF(LEN(BF416)=11,"PF",IF(LEN(BF416)=14,"PJ",""))</f>
        <v/>
      </c>
      <c r="BH416" s="66"/>
      <c r="BI416" s="58" t="str">
        <f aca="false">IF(BH416&lt;&gt;"",VLOOKUP(BH416,Selects!$G:$H,2,0),"")</f>
        <v/>
      </c>
      <c r="BJ416" s="58"/>
      <c r="BK416" s="58"/>
      <c r="BL416" s="59"/>
      <c r="BM416" s="58"/>
      <c r="BN416" s="58"/>
      <c r="BO416" s="58" t="str">
        <f aca="false">IF(BN416&lt;&gt;"",VLOOKUP(BN416,Selects!$J$4:$K$1000,2,0),"")</f>
        <v/>
      </c>
      <c r="BP416" s="76"/>
      <c r="BQ416" s="59"/>
      <c r="BR416" s="77"/>
      <c r="BS416" s="59"/>
      <c r="BT416" s="77"/>
      <c r="BU416" s="58"/>
      <c r="BV416" s="58"/>
      <c r="BW416" s="58"/>
      <c r="BX416" s="58"/>
      <c r="BY416" s="58"/>
      <c r="BZ416" s="58"/>
      <c r="CA416" s="58"/>
      <c r="CB416" s="72" t="str">
        <f aca="false">IF(AC416&lt;&gt;"",VLOOKUP(AC416,Selects!$B:$E,4,0),"")</f>
        <v/>
      </c>
      <c r="CC416" s="58"/>
      <c r="CD416" s="58"/>
      <c r="CE416" s="58"/>
    </row>
    <row r="417" customFormat="false" ht="15.75" hidden="false" customHeight="true" outlineLevel="0" collapsed="false">
      <c r="A417" s="17"/>
      <c r="B417" s="58"/>
      <c r="C417" s="58"/>
      <c r="D417" s="59"/>
      <c r="E417" s="60" t="str">
        <f aca="false">IF(LEN(D417)=11,"PF",IF(LEN(D417)=14,"PJ",""))</f>
        <v/>
      </c>
      <c r="F417" s="59"/>
      <c r="G417" s="59"/>
      <c r="H417" s="61" t="str">
        <f aca="false">IF(G417&lt;&gt;"",VLOOKUP(G417,'Cnae  mcc  id'!$A:$M,9,0),"")</f>
        <v/>
      </c>
      <c r="I417" s="62"/>
      <c r="J417" s="63" t="str">
        <f aca="false">IF(I417&lt;&gt;"",VLOOKUP(I417,'Legal Nature'!$E$2:$G$84,3,0),"")</f>
        <v/>
      </c>
      <c r="K417" s="64"/>
      <c r="L417" s="65"/>
      <c r="M417" s="66"/>
      <c r="N417" s="66"/>
      <c r="O417" s="79"/>
      <c r="P417" s="26"/>
      <c r="Q417" s="58"/>
      <c r="R417" s="58"/>
      <c r="S417" s="80"/>
      <c r="T417" s="68" t="str">
        <f aca="false">IF(LEFT(S417,1)="9","Celular",IF(S417="","","Fixo"))</f>
        <v/>
      </c>
      <c r="U417" s="58" t="str">
        <f aca="false">IF( T417&lt;&gt;"",VLOOKUP(T417,Selects!$M$4:$N$1000,2,0),"")</f>
        <v/>
      </c>
      <c r="V417" s="26"/>
      <c r="W417" s="58"/>
      <c r="X417" s="58"/>
      <c r="Y417" s="58"/>
      <c r="Z417" s="58"/>
      <c r="AA417" s="69"/>
      <c r="AB417" s="58"/>
      <c r="AC417" s="58"/>
      <c r="AD417" s="70" t="str">
        <f aca="false">IF(AC417&lt;&gt;"",VLOOKUP(AC417,Selects!$B$4:$C$100,2,0),"")</f>
        <v/>
      </c>
      <c r="AE417" s="26"/>
      <c r="AF417" s="58"/>
      <c r="AG417" s="59"/>
      <c r="AH417" s="65"/>
      <c r="AI417" s="66"/>
      <c r="AJ417" s="66"/>
      <c r="AK417" s="58"/>
      <c r="AL417" s="58"/>
      <c r="AM417" s="68" t="str">
        <f aca="false">IF(LEFT(AL417,1)="9","Celular",IF(AL417="","","Fixo"))</f>
        <v/>
      </c>
      <c r="AN417" s="58" t="str">
        <f aca="false">IF( AM417&lt;&gt;"",VLOOKUP(AM417,Selects!$M$4:$N$1000,2,0),"")</f>
        <v/>
      </c>
      <c r="AO417" s="58"/>
      <c r="AP417" s="59"/>
      <c r="AQ417" s="65"/>
      <c r="AR417" s="58"/>
      <c r="AS417" s="58"/>
      <c r="AT417" s="26"/>
      <c r="AU417" s="58"/>
      <c r="AV417" s="58"/>
      <c r="AW417" s="58"/>
      <c r="AX417" s="58"/>
      <c r="AY417" s="71"/>
      <c r="AZ417" s="58"/>
      <c r="BA417" s="58"/>
      <c r="BB417" s="72" t="str">
        <f aca="false">IF(BA417&lt;&gt;"",VLOOKUP(BA417,Selects!$B$4:$C$100,2,0),"")</f>
        <v/>
      </c>
      <c r="BC417" s="26"/>
      <c r="BD417" s="26"/>
      <c r="BE417" s="73"/>
      <c r="BF417" s="74"/>
      <c r="BG417" s="75" t="str">
        <f aca="false">IF(LEN(BF417)=11,"PF",IF(LEN(BF417)=14,"PJ",""))</f>
        <v/>
      </c>
      <c r="BH417" s="66"/>
      <c r="BI417" s="58" t="str">
        <f aca="false">IF(BH417&lt;&gt;"",VLOOKUP(BH417,Selects!$G:$H,2,0),"")</f>
        <v/>
      </c>
      <c r="BJ417" s="58"/>
      <c r="BK417" s="58"/>
      <c r="BL417" s="59"/>
      <c r="BM417" s="58"/>
      <c r="BN417" s="58"/>
      <c r="BO417" s="58" t="str">
        <f aca="false">IF(BN417&lt;&gt;"",VLOOKUP(BN417,Selects!$J$4:$K$1000,2,0),"")</f>
        <v/>
      </c>
      <c r="BP417" s="76"/>
      <c r="BQ417" s="59"/>
      <c r="BR417" s="77"/>
      <c r="BS417" s="59"/>
      <c r="BT417" s="77"/>
      <c r="BU417" s="58"/>
      <c r="BV417" s="58"/>
      <c r="BW417" s="58"/>
      <c r="BX417" s="58"/>
      <c r="BY417" s="58"/>
      <c r="BZ417" s="58"/>
      <c r="CA417" s="58"/>
      <c r="CB417" s="72" t="str">
        <f aca="false">IF(AC417&lt;&gt;"",VLOOKUP(AC417,Selects!$B:$E,4,0),"")</f>
        <v/>
      </c>
      <c r="CC417" s="58"/>
      <c r="CD417" s="58"/>
      <c r="CE417" s="58"/>
    </row>
    <row r="418" customFormat="false" ht="15.75" hidden="false" customHeight="true" outlineLevel="0" collapsed="false">
      <c r="A418" s="17"/>
      <c r="B418" s="58"/>
      <c r="C418" s="58"/>
      <c r="D418" s="59"/>
      <c r="E418" s="60" t="str">
        <f aca="false">IF(LEN(D418)=11,"PF",IF(LEN(D418)=14,"PJ",""))</f>
        <v/>
      </c>
      <c r="F418" s="59"/>
      <c r="G418" s="59"/>
      <c r="H418" s="61" t="str">
        <f aca="false">IF(G418&lt;&gt;"",VLOOKUP(G418,'Cnae  mcc  id'!$A:$M,9,0),"")</f>
        <v/>
      </c>
      <c r="I418" s="62"/>
      <c r="J418" s="63" t="str">
        <f aca="false">IF(I418&lt;&gt;"",VLOOKUP(I418,'Legal Nature'!$E$2:$G$84,3,0),"")</f>
        <v/>
      </c>
      <c r="K418" s="64"/>
      <c r="L418" s="65"/>
      <c r="M418" s="66"/>
      <c r="N418" s="66"/>
      <c r="O418" s="79"/>
      <c r="P418" s="26"/>
      <c r="Q418" s="58"/>
      <c r="R418" s="58"/>
      <c r="S418" s="80"/>
      <c r="T418" s="68" t="str">
        <f aca="false">IF(LEFT(S418,1)="9","Celular",IF(S418="","","Fixo"))</f>
        <v/>
      </c>
      <c r="U418" s="58" t="str">
        <f aca="false">IF( T418&lt;&gt;"",VLOOKUP(T418,Selects!$M$4:$N$1000,2,0),"")</f>
        <v/>
      </c>
      <c r="V418" s="26"/>
      <c r="W418" s="58"/>
      <c r="X418" s="58"/>
      <c r="Y418" s="58"/>
      <c r="Z418" s="58"/>
      <c r="AA418" s="69"/>
      <c r="AB418" s="58"/>
      <c r="AC418" s="58"/>
      <c r="AD418" s="70" t="str">
        <f aca="false">IF(AC418&lt;&gt;"",VLOOKUP(AC418,Selects!$B$4:$C$100,2,0),"")</f>
        <v/>
      </c>
      <c r="AE418" s="26"/>
      <c r="AF418" s="58"/>
      <c r="AG418" s="59"/>
      <c r="AH418" s="65"/>
      <c r="AI418" s="66"/>
      <c r="AJ418" s="66"/>
      <c r="AK418" s="58"/>
      <c r="AL418" s="58"/>
      <c r="AM418" s="68" t="str">
        <f aca="false">IF(LEFT(AL418,1)="9","Celular",IF(AL418="","","Fixo"))</f>
        <v/>
      </c>
      <c r="AN418" s="58" t="str">
        <f aca="false">IF( AM418&lt;&gt;"",VLOOKUP(AM418,Selects!$M$4:$N$1000,2,0),"")</f>
        <v/>
      </c>
      <c r="AO418" s="58"/>
      <c r="AP418" s="59"/>
      <c r="AQ418" s="65"/>
      <c r="AR418" s="58"/>
      <c r="AS418" s="58"/>
      <c r="AT418" s="26"/>
      <c r="AU418" s="58"/>
      <c r="AV418" s="58"/>
      <c r="AW418" s="58"/>
      <c r="AX418" s="58"/>
      <c r="AY418" s="71"/>
      <c r="AZ418" s="58"/>
      <c r="BA418" s="58"/>
      <c r="BB418" s="72" t="str">
        <f aca="false">IF(BA418&lt;&gt;"",VLOOKUP(BA418,Selects!$B$4:$C$100,2,0),"")</f>
        <v/>
      </c>
      <c r="BC418" s="26"/>
      <c r="BD418" s="26"/>
      <c r="BE418" s="73"/>
      <c r="BF418" s="74"/>
      <c r="BG418" s="75" t="str">
        <f aca="false">IF(LEN(BF418)=11,"PF",IF(LEN(BF418)=14,"PJ",""))</f>
        <v/>
      </c>
      <c r="BH418" s="66"/>
      <c r="BI418" s="58" t="str">
        <f aca="false">IF(BH418&lt;&gt;"",VLOOKUP(BH418,Selects!$G:$H,2,0),"")</f>
        <v/>
      </c>
      <c r="BJ418" s="58"/>
      <c r="BK418" s="58"/>
      <c r="BL418" s="59"/>
      <c r="BM418" s="58"/>
      <c r="BN418" s="58"/>
      <c r="BO418" s="58" t="str">
        <f aca="false">IF(BN418&lt;&gt;"",VLOOKUP(BN418,Selects!$J$4:$K$1000,2,0),"")</f>
        <v/>
      </c>
      <c r="BP418" s="76"/>
      <c r="BQ418" s="59"/>
      <c r="BR418" s="77"/>
      <c r="BS418" s="59"/>
      <c r="BT418" s="77"/>
      <c r="BU418" s="58"/>
      <c r="BV418" s="58"/>
      <c r="BW418" s="58"/>
      <c r="BX418" s="58"/>
      <c r="BY418" s="58"/>
      <c r="BZ418" s="58"/>
      <c r="CA418" s="58"/>
      <c r="CB418" s="72" t="str">
        <f aca="false">IF(AC418&lt;&gt;"",VLOOKUP(AC418,Selects!$B:$E,4,0),"")</f>
        <v/>
      </c>
      <c r="CC418" s="58"/>
      <c r="CD418" s="58"/>
      <c r="CE418" s="58"/>
    </row>
    <row r="419" customFormat="false" ht="15.75" hidden="false" customHeight="true" outlineLevel="0" collapsed="false">
      <c r="A419" s="17"/>
      <c r="B419" s="58"/>
      <c r="C419" s="58"/>
      <c r="D419" s="59"/>
      <c r="E419" s="60" t="str">
        <f aca="false">IF(LEN(D419)=11,"PF",IF(LEN(D419)=14,"PJ",""))</f>
        <v/>
      </c>
      <c r="F419" s="59"/>
      <c r="G419" s="59"/>
      <c r="H419" s="61" t="str">
        <f aca="false">IF(G419&lt;&gt;"",VLOOKUP(G419,'Cnae  mcc  id'!$A:$M,9,0),"")</f>
        <v/>
      </c>
      <c r="I419" s="62"/>
      <c r="J419" s="63" t="str">
        <f aca="false">IF(I419&lt;&gt;"",VLOOKUP(I419,'Legal Nature'!$E$2:$G$84,3,0),"")</f>
        <v/>
      </c>
      <c r="K419" s="64"/>
      <c r="L419" s="65"/>
      <c r="M419" s="66"/>
      <c r="N419" s="66"/>
      <c r="O419" s="79"/>
      <c r="P419" s="26"/>
      <c r="Q419" s="58"/>
      <c r="R419" s="58"/>
      <c r="S419" s="80"/>
      <c r="T419" s="68" t="str">
        <f aca="false">IF(LEFT(S419,1)="9","Celular",IF(S419="","","Fixo"))</f>
        <v/>
      </c>
      <c r="U419" s="58" t="str">
        <f aca="false">IF( T419&lt;&gt;"",VLOOKUP(T419,Selects!$M$4:$N$1000,2,0),"")</f>
        <v/>
      </c>
      <c r="V419" s="26"/>
      <c r="W419" s="58"/>
      <c r="X419" s="58"/>
      <c r="Y419" s="58"/>
      <c r="Z419" s="58"/>
      <c r="AA419" s="69"/>
      <c r="AB419" s="58"/>
      <c r="AC419" s="58"/>
      <c r="AD419" s="70" t="str">
        <f aca="false">IF(AC419&lt;&gt;"",VLOOKUP(AC419,Selects!$B$4:$C$100,2,0),"")</f>
        <v/>
      </c>
      <c r="AE419" s="26"/>
      <c r="AF419" s="58"/>
      <c r="AG419" s="59"/>
      <c r="AH419" s="65"/>
      <c r="AI419" s="66"/>
      <c r="AJ419" s="66"/>
      <c r="AK419" s="58"/>
      <c r="AL419" s="58"/>
      <c r="AM419" s="68" t="str">
        <f aca="false">IF(LEFT(AL419,1)="9","Celular",IF(AL419="","","Fixo"))</f>
        <v/>
      </c>
      <c r="AN419" s="58" t="str">
        <f aca="false">IF( AM419&lt;&gt;"",VLOOKUP(AM419,Selects!$M$4:$N$1000,2,0),"")</f>
        <v/>
      </c>
      <c r="AO419" s="58"/>
      <c r="AP419" s="59"/>
      <c r="AQ419" s="65"/>
      <c r="AR419" s="58"/>
      <c r="AS419" s="58"/>
      <c r="AT419" s="26"/>
      <c r="AU419" s="58"/>
      <c r="AV419" s="58"/>
      <c r="AW419" s="58"/>
      <c r="AX419" s="58"/>
      <c r="AY419" s="71"/>
      <c r="AZ419" s="58"/>
      <c r="BA419" s="58"/>
      <c r="BB419" s="72" t="str">
        <f aca="false">IF(BA419&lt;&gt;"",VLOOKUP(BA419,Selects!$B$4:$C$100,2,0),"")</f>
        <v/>
      </c>
      <c r="BC419" s="26"/>
      <c r="BD419" s="26"/>
      <c r="BE419" s="73"/>
      <c r="BF419" s="74"/>
      <c r="BG419" s="75" t="str">
        <f aca="false">IF(LEN(BF419)=11,"PF",IF(LEN(BF419)=14,"PJ",""))</f>
        <v/>
      </c>
      <c r="BH419" s="66"/>
      <c r="BI419" s="58" t="str">
        <f aca="false">IF(BH419&lt;&gt;"",VLOOKUP(BH419,Selects!$G:$H,2,0),"")</f>
        <v/>
      </c>
      <c r="BJ419" s="58"/>
      <c r="BK419" s="58"/>
      <c r="BL419" s="59"/>
      <c r="BM419" s="58"/>
      <c r="BN419" s="58"/>
      <c r="BO419" s="58" t="str">
        <f aca="false">IF(BN419&lt;&gt;"",VLOOKUP(BN419,Selects!$J$4:$K$1000,2,0),"")</f>
        <v/>
      </c>
      <c r="BP419" s="76"/>
      <c r="BQ419" s="59"/>
      <c r="BR419" s="77"/>
      <c r="BS419" s="59"/>
      <c r="BT419" s="77"/>
      <c r="BU419" s="58"/>
      <c r="BV419" s="58"/>
      <c r="BW419" s="58"/>
      <c r="BX419" s="58"/>
      <c r="BY419" s="58"/>
      <c r="BZ419" s="58"/>
      <c r="CA419" s="58"/>
      <c r="CB419" s="72" t="str">
        <f aca="false">IF(AC419&lt;&gt;"",VLOOKUP(AC419,Selects!$B:$E,4,0),"")</f>
        <v/>
      </c>
      <c r="CC419" s="58"/>
      <c r="CD419" s="58"/>
      <c r="CE419" s="58"/>
    </row>
    <row r="420" customFormat="false" ht="15.75" hidden="false" customHeight="true" outlineLevel="0" collapsed="false">
      <c r="A420" s="17"/>
      <c r="B420" s="58"/>
      <c r="C420" s="58"/>
      <c r="D420" s="59"/>
      <c r="E420" s="60" t="str">
        <f aca="false">IF(LEN(D420)=11,"PF",IF(LEN(D420)=14,"PJ",""))</f>
        <v/>
      </c>
      <c r="F420" s="59"/>
      <c r="G420" s="59"/>
      <c r="H420" s="61" t="str">
        <f aca="false">IF(G420&lt;&gt;"",VLOOKUP(G420,'Cnae  mcc  id'!$A:$M,9,0),"")</f>
        <v/>
      </c>
      <c r="I420" s="62"/>
      <c r="J420" s="63" t="str">
        <f aca="false">IF(I420&lt;&gt;"",VLOOKUP(I420,'Legal Nature'!$E$2:$G$84,3,0),"")</f>
        <v/>
      </c>
      <c r="K420" s="64"/>
      <c r="L420" s="65"/>
      <c r="M420" s="66"/>
      <c r="N420" s="66"/>
      <c r="O420" s="79"/>
      <c r="P420" s="26"/>
      <c r="Q420" s="58"/>
      <c r="R420" s="58"/>
      <c r="S420" s="80"/>
      <c r="T420" s="68" t="str">
        <f aca="false">IF(LEFT(S420,1)="9","Celular",IF(S420="","","Fixo"))</f>
        <v/>
      </c>
      <c r="U420" s="58" t="str">
        <f aca="false">IF( T420&lt;&gt;"",VLOOKUP(T420,Selects!$M$4:$N$1000,2,0),"")</f>
        <v/>
      </c>
      <c r="V420" s="26"/>
      <c r="W420" s="58"/>
      <c r="X420" s="58"/>
      <c r="Y420" s="58"/>
      <c r="Z420" s="58"/>
      <c r="AA420" s="69"/>
      <c r="AB420" s="58"/>
      <c r="AC420" s="58"/>
      <c r="AD420" s="70" t="str">
        <f aca="false">IF(AC420&lt;&gt;"",VLOOKUP(AC420,Selects!$B$4:$C$100,2,0),"")</f>
        <v/>
      </c>
      <c r="AE420" s="26"/>
      <c r="AF420" s="58"/>
      <c r="AG420" s="59"/>
      <c r="AH420" s="65"/>
      <c r="AI420" s="66"/>
      <c r="AJ420" s="66"/>
      <c r="AK420" s="58"/>
      <c r="AL420" s="58"/>
      <c r="AM420" s="68" t="str">
        <f aca="false">IF(LEFT(AL420,1)="9","Celular",IF(AL420="","","Fixo"))</f>
        <v/>
      </c>
      <c r="AN420" s="58" t="str">
        <f aca="false">IF( AM420&lt;&gt;"",VLOOKUP(AM420,Selects!$M$4:$N$1000,2,0),"")</f>
        <v/>
      </c>
      <c r="AO420" s="58"/>
      <c r="AP420" s="59"/>
      <c r="AQ420" s="65"/>
      <c r="AR420" s="58"/>
      <c r="AS420" s="58"/>
      <c r="AT420" s="26"/>
      <c r="AU420" s="58"/>
      <c r="AV420" s="58"/>
      <c r="AW420" s="58"/>
      <c r="AX420" s="58"/>
      <c r="AY420" s="71"/>
      <c r="AZ420" s="58"/>
      <c r="BA420" s="58"/>
      <c r="BB420" s="72" t="str">
        <f aca="false">IF(BA420&lt;&gt;"",VLOOKUP(BA420,Selects!$B$4:$C$100,2,0),"")</f>
        <v/>
      </c>
      <c r="BC420" s="26"/>
      <c r="BD420" s="26"/>
      <c r="BE420" s="73"/>
      <c r="BF420" s="74"/>
      <c r="BG420" s="75" t="str">
        <f aca="false">IF(LEN(BF420)=11,"PF",IF(LEN(BF420)=14,"PJ",""))</f>
        <v/>
      </c>
      <c r="BH420" s="66"/>
      <c r="BI420" s="58" t="str">
        <f aca="false">IF(BH420&lt;&gt;"",VLOOKUP(BH420,Selects!$G:$H,2,0),"")</f>
        <v/>
      </c>
      <c r="BJ420" s="58"/>
      <c r="BK420" s="58"/>
      <c r="BL420" s="59"/>
      <c r="BM420" s="58"/>
      <c r="BN420" s="58"/>
      <c r="BO420" s="58" t="str">
        <f aca="false">IF(BN420&lt;&gt;"",VLOOKUP(BN420,Selects!$J$4:$K$1000,2,0),"")</f>
        <v/>
      </c>
      <c r="BP420" s="76"/>
      <c r="BQ420" s="59"/>
      <c r="BR420" s="77"/>
      <c r="BS420" s="59"/>
      <c r="BT420" s="77"/>
      <c r="BU420" s="58"/>
      <c r="BV420" s="58"/>
      <c r="BW420" s="58"/>
      <c r="BX420" s="58"/>
      <c r="BY420" s="58"/>
      <c r="BZ420" s="58"/>
      <c r="CA420" s="58"/>
      <c r="CB420" s="72" t="str">
        <f aca="false">IF(AC420&lt;&gt;"",VLOOKUP(AC420,Selects!$B:$E,4,0),"")</f>
        <v/>
      </c>
      <c r="CC420" s="58"/>
      <c r="CD420" s="58"/>
      <c r="CE420" s="58"/>
    </row>
    <row r="421" customFormat="false" ht="15.75" hidden="false" customHeight="true" outlineLevel="0" collapsed="false">
      <c r="A421" s="17"/>
      <c r="B421" s="58"/>
      <c r="C421" s="58"/>
      <c r="D421" s="59"/>
      <c r="E421" s="60" t="str">
        <f aca="false">IF(LEN(D421)=11,"PF",IF(LEN(D421)=14,"PJ",""))</f>
        <v/>
      </c>
      <c r="F421" s="59"/>
      <c r="G421" s="59"/>
      <c r="H421" s="61" t="str">
        <f aca="false">IF(G421&lt;&gt;"",VLOOKUP(G421,'Cnae  mcc  id'!$A:$M,9,0),"")</f>
        <v/>
      </c>
      <c r="I421" s="62"/>
      <c r="J421" s="63" t="str">
        <f aca="false">IF(I421&lt;&gt;"",VLOOKUP(I421,'Legal Nature'!$E$2:$G$84,3,0),"")</f>
        <v/>
      </c>
      <c r="K421" s="64"/>
      <c r="L421" s="65"/>
      <c r="M421" s="66"/>
      <c r="N421" s="66"/>
      <c r="O421" s="79"/>
      <c r="P421" s="26"/>
      <c r="Q421" s="58"/>
      <c r="R421" s="58"/>
      <c r="S421" s="80"/>
      <c r="T421" s="68" t="str">
        <f aca="false">IF(LEFT(S421,1)="9","Celular",IF(S421="","","Fixo"))</f>
        <v/>
      </c>
      <c r="U421" s="58" t="str">
        <f aca="false">IF( T421&lt;&gt;"",VLOOKUP(T421,Selects!$M$4:$N$1000,2,0),"")</f>
        <v/>
      </c>
      <c r="V421" s="26"/>
      <c r="W421" s="58"/>
      <c r="X421" s="58"/>
      <c r="Y421" s="58"/>
      <c r="Z421" s="58"/>
      <c r="AA421" s="69"/>
      <c r="AB421" s="58"/>
      <c r="AC421" s="58"/>
      <c r="AD421" s="70" t="str">
        <f aca="false">IF(AC421&lt;&gt;"",VLOOKUP(AC421,Selects!$B$4:$C$100,2,0),"")</f>
        <v/>
      </c>
      <c r="AE421" s="26"/>
      <c r="AF421" s="58"/>
      <c r="AG421" s="59"/>
      <c r="AH421" s="65"/>
      <c r="AI421" s="66"/>
      <c r="AJ421" s="66"/>
      <c r="AK421" s="58"/>
      <c r="AL421" s="58"/>
      <c r="AM421" s="68" t="str">
        <f aca="false">IF(LEFT(AL421,1)="9","Celular",IF(AL421="","","Fixo"))</f>
        <v/>
      </c>
      <c r="AN421" s="58" t="str">
        <f aca="false">IF( AM421&lt;&gt;"",VLOOKUP(AM421,Selects!$M$4:$N$1000,2,0),"")</f>
        <v/>
      </c>
      <c r="AO421" s="58"/>
      <c r="AP421" s="59"/>
      <c r="AQ421" s="65"/>
      <c r="AR421" s="58"/>
      <c r="AS421" s="58"/>
      <c r="AT421" s="26"/>
      <c r="AU421" s="58"/>
      <c r="AV421" s="58"/>
      <c r="AW421" s="58"/>
      <c r="AX421" s="58"/>
      <c r="AY421" s="71"/>
      <c r="AZ421" s="58"/>
      <c r="BA421" s="58"/>
      <c r="BB421" s="72" t="str">
        <f aca="false">IF(BA421&lt;&gt;"",VLOOKUP(BA421,Selects!$B$4:$C$100,2,0),"")</f>
        <v/>
      </c>
      <c r="BC421" s="26"/>
      <c r="BD421" s="26"/>
      <c r="BE421" s="73"/>
      <c r="BF421" s="74"/>
      <c r="BG421" s="75" t="str">
        <f aca="false">IF(LEN(BF421)=11,"PF",IF(LEN(BF421)=14,"PJ",""))</f>
        <v/>
      </c>
      <c r="BH421" s="66"/>
      <c r="BI421" s="58" t="str">
        <f aca="false">IF(BH421&lt;&gt;"",VLOOKUP(BH421,Selects!$G:$H,2,0),"")</f>
        <v/>
      </c>
      <c r="BJ421" s="58"/>
      <c r="BK421" s="58"/>
      <c r="BL421" s="59"/>
      <c r="BM421" s="58"/>
      <c r="BN421" s="58"/>
      <c r="BO421" s="58" t="str">
        <f aca="false">IF(BN421&lt;&gt;"",VLOOKUP(BN421,Selects!$J$4:$K$1000,2,0),"")</f>
        <v/>
      </c>
      <c r="BP421" s="76"/>
      <c r="BQ421" s="59"/>
      <c r="BR421" s="77"/>
      <c r="BS421" s="59"/>
      <c r="BT421" s="77"/>
      <c r="BU421" s="58"/>
      <c r="BV421" s="58"/>
      <c r="BW421" s="58"/>
      <c r="BX421" s="58"/>
      <c r="BY421" s="58"/>
      <c r="BZ421" s="58"/>
      <c r="CA421" s="58"/>
      <c r="CB421" s="72" t="str">
        <f aca="false">IF(AC421&lt;&gt;"",VLOOKUP(AC421,Selects!$B:$E,4,0),"")</f>
        <v/>
      </c>
      <c r="CC421" s="58"/>
      <c r="CD421" s="58"/>
      <c r="CE421" s="58"/>
    </row>
    <row r="422" customFormat="false" ht="15.75" hidden="false" customHeight="true" outlineLevel="0" collapsed="false">
      <c r="A422" s="17"/>
      <c r="B422" s="58"/>
      <c r="C422" s="58"/>
      <c r="D422" s="59"/>
      <c r="E422" s="60" t="str">
        <f aca="false">IF(LEN(D422)=11,"PF",IF(LEN(D422)=14,"PJ",""))</f>
        <v/>
      </c>
      <c r="F422" s="59"/>
      <c r="G422" s="59"/>
      <c r="H422" s="61" t="str">
        <f aca="false">IF(G422&lt;&gt;"",VLOOKUP(G422,'Cnae  mcc  id'!$A:$M,9,0),"")</f>
        <v/>
      </c>
      <c r="I422" s="62"/>
      <c r="J422" s="63" t="str">
        <f aca="false">IF(I422&lt;&gt;"",VLOOKUP(I422,'Legal Nature'!$E$2:$G$84,3,0),"")</f>
        <v/>
      </c>
      <c r="K422" s="64"/>
      <c r="L422" s="65"/>
      <c r="M422" s="66"/>
      <c r="N422" s="66"/>
      <c r="O422" s="79"/>
      <c r="P422" s="26"/>
      <c r="Q422" s="58"/>
      <c r="R422" s="58"/>
      <c r="S422" s="80"/>
      <c r="T422" s="68" t="str">
        <f aca="false">IF(LEFT(S422,1)="9","Celular",IF(S422="","","Fixo"))</f>
        <v/>
      </c>
      <c r="U422" s="58" t="str">
        <f aca="false">IF( T422&lt;&gt;"",VLOOKUP(T422,Selects!$M$4:$N$1000,2,0),"")</f>
        <v/>
      </c>
      <c r="V422" s="26"/>
      <c r="W422" s="58"/>
      <c r="X422" s="58"/>
      <c r="Y422" s="58"/>
      <c r="Z422" s="58"/>
      <c r="AA422" s="69"/>
      <c r="AB422" s="58"/>
      <c r="AC422" s="58"/>
      <c r="AD422" s="70" t="str">
        <f aca="false">IF(AC422&lt;&gt;"",VLOOKUP(AC422,Selects!$B$4:$C$100,2,0),"")</f>
        <v/>
      </c>
      <c r="AE422" s="26"/>
      <c r="AF422" s="58"/>
      <c r="AG422" s="59"/>
      <c r="AH422" s="65"/>
      <c r="AI422" s="66"/>
      <c r="AJ422" s="66"/>
      <c r="AK422" s="58"/>
      <c r="AL422" s="58"/>
      <c r="AM422" s="68" t="str">
        <f aca="false">IF(LEFT(AL422,1)="9","Celular",IF(AL422="","","Fixo"))</f>
        <v/>
      </c>
      <c r="AN422" s="58" t="str">
        <f aca="false">IF( AM422&lt;&gt;"",VLOOKUP(AM422,Selects!$M$4:$N$1000,2,0),"")</f>
        <v/>
      </c>
      <c r="AO422" s="58"/>
      <c r="AP422" s="59"/>
      <c r="AQ422" s="65"/>
      <c r="AR422" s="58"/>
      <c r="AS422" s="58"/>
      <c r="AT422" s="26"/>
      <c r="AU422" s="58"/>
      <c r="AV422" s="58"/>
      <c r="AW422" s="58"/>
      <c r="AX422" s="58"/>
      <c r="AY422" s="71"/>
      <c r="AZ422" s="58"/>
      <c r="BA422" s="58"/>
      <c r="BB422" s="72" t="str">
        <f aca="false">IF(BA422&lt;&gt;"",VLOOKUP(BA422,Selects!$B$4:$C$100,2,0),"")</f>
        <v/>
      </c>
      <c r="BC422" s="26"/>
      <c r="BD422" s="26"/>
      <c r="BE422" s="73"/>
      <c r="BF422" s="74"/>
      <c r="BG422" s="75" t="str">
        <f aca="false">IF(LEN(BF422)=11,"PF",IF(LEN(BF422)=14,"PJ",""))</f>
        <v/>
      </c>
      <c r="BH422" s="66"/>
      <c r="BI422" s="58" t="str">
        <f aca="false">IF(BH422&lt;&gt;"",VLOOKUP(BH422,Selects!$G:$H,2,0),"")</f>
        <v/>
      </c>
      <c r="BJ422" s="58"/>
      <c r="BK422" s="58"/>
      <c r="BL422" s="59"/>
      <c r="BM422" s="58"/>
      <c r="BN422" s="58"/>
      <c r="BO422" s="58" t="str">
        <f aca="false">IF(BN422&lt;&gt;"",VLOOKUP(BN422,Selects!$J$4:$K$1000,2,0),"")</f>
        <v/>
      </c>
      <c r="BP422" s="76"/>
      <c r="BQ422" s="59"/>
      <c r="BR422" s="77"/>
      <c r="BS422" s="59"/>
      <c r="BT422" s="77"/>
      <c r="BU422" s="58"/>
      <c r="BV422" s="58"/>
      <c r="BW422" s="58"/>
      <c r="BX422" s="58"/>
      <c r="BY422" s="58"/>
      <c r="BZ422" s="58"/>
      <c r="CA422" s="58"/>
      <c r="CB422" s="72" t="str">
        <f aca="false">IF(AC422&lt;&gt;"",VLOOKUP(AC422,Selects!$B:$E,4,0),"")</f>
        <v/>
      </c>
      <c r="CC422" s="58"/>
      <c r="CD422" s="58"/>
      <c r="CE422" s="58"/>
    </row>
    <row r="423" customFormat="false" ht="15.75" hidden="false" customHeight="true" outlineLevel="0" collapsed="false">
      <c r="A423" s="17"/>
      <c r="B423" s="58"/>
      <c r="C423" s="58"/>
      <c r="D423" s="59"/>
      <c r="E423" s="60" t="str">
        <f aca="false">IF(LEN(D423)=11,"PF",IF(LEN(D423)=14,"PJ",""))</f>
        <v/>
      </c>
      <c r="F423" s="59"/>
      <c r="G423" s="59"/>
      <c r="H423" s="61" t="str">
        <f aca="false">IF(G423&lt;&gt;"",VLOOKUP(G423,'Cnae  mcc  id'!$A:$M,9,0),"")</f>
        <v/>
      </c>
      <c r="I423" s="62"/>
      <c r="J423" s="63" t="str">
        <f aca="false">IF(I423&lt;&gt;"",VLOOKUP(I423,'Legal Nature'!$E$2:$G$84,3,0),"")</f>
        <v/>
      </c>
      <c r="K423" s="64"/>
      <c r="L423" s="65"/>
      <c r="M423" s="66"/>
      <c r="N423" s="66"/>
      <c r="O423" s="79"/>
      <c r="P423" s="26"/>
      <c r="Q423" s="58"/>
      <c r="R423" s="58"/>
      <c r="S423" s="80"/>
      <c r="T423" s="68" t="str">
        <f aca="false">IF(LEFT(S423,1)="9","Celular",IF(S423="","","Fixo"))</f>
        <v/>
      </c>
      <c r="U423" s="58" t="str">
        <f aca="false">IF( T423&lt;&gt;"",VLOOKUP(T423,Selects!$M$4:$N$1000,2,0),"")</f>
        <v/>
      </c>
      <c r="V423" s="26"/>
      <c r="W423" s="58"/>
      <c r="X423" s="58"/>
      <c r="Y423" s="58"/>
      <c r="Z423" s="58"/>
      <c r="AA423" s="69"/>
      <c r="AB423" s="58"/>
      <c r="AC423" s="58"/>
      <c r="AD423" s="70" t="str">
        <f aca="false">IF(AC423&lt;&gt;"",VLOOKUP(AC423,Selects!$B$4:$C$100,2,0),"")</f>
        <v/>
      </c>
      <c r="AE423" s="26"/>
      <c r="AF423" s="58"/>
      <c r="AG423" s="59"/>
      <c r="AH423" s="65"/>
      <c r="AI423" s="66"/>
      <c r="AJ423" s="66"/>
      <c r="AK423" s="58"/>
      <c r="AL423" s="58"/>
      <c r="AM423" s="68" t="str">
        <f aca="false">IF(LEFT(AL423,1)="9","Celular",IF(AL423="","","Fixo"))</f>
        <v/>
      </c>
      <c r="AN423" s="58" t="str">
        <f aca="false">IF( AM423&lt;&gt;"",VLOOKUP(AM423,Selects!$M$4:$N$1000,2,0),"")</f>
        <v/>
      </c>
      <c r="AO423" s="58"/>
      <c r="AP423" s="59"/>
      <c r="AQ423" s="65"/>
      <c r="AR423" s="58"/>
      <c r="AS423" s="58"/>
      <c r="AT423" s="26"/>
      <c r="AU423" s="58"/>
      <c r="AV423" s="58"/>
      <c r="AW423" s="58"/>
      <c r="AX423" s="58"/>
      <c r="AY423" s="71"/>
      <c r="AZ423" s="58"/>
      <c r="BA423" s="58"/>
      <c r="BB423" s="72" t="str">
        <f aca="false">IF(BA423&lt;&gt;"",VLOOKUP(BA423,Selects!$B$4:$C$100,2,0),"")</f>
        <v/>
      </c>
      <c r="BC423" s="26"/>
      <c r="BD423" s="26"/>
      <c r="BE423" s="73"/>
      <c r="BF423" s="74"/>
      <c r="BG423" s="75" t="str">
        <f aca="false">IF(LEN(BF423)=11,"PF",IF(LEN(BF423)=14,"PJ",""))</f>
        <v/>
      </c>
      <c r="BH423" s="66"/>
      <c r="BI423" s="58" t="str">
        <f aca="false">IF(BH423&lt;&gt;"",VLOOKUP(BH423,Selects!$G:$H,2,0),"")</f>
        <v/>
      </c>
      <c r="BJ423" s="58"/>
      <c r="BK423" s="58"/>
      <c r="BL423" s="59"/>
      <c r="BM423" s="58"/>
      <c r="BN423" s="58"/>
      <c r="BO423" s="58" t="str">
        <f aca="false">IF(BN423&lt;&gt;"",VLOOKUP(BN423,Selects!$J$4:$K$1000,2,0),"")</f>
        <v/>
      </c>
      <c r="BP423" s="76"/>
      <c r="BQ423" s="59"/>
      <c r="BR423" s="77"/>
      <c r="BS423" s="59"/>
      <c r="BT423" s="77"/>
      <c r="BU423" s="58"/>
      <c r="BV423" s="58"/>
      <c r="BW423" s="58"/>
      <c r="BX423" s="58"/>
      <c r="BY423" s="58"/>
      <c r="BZ423" s="58"/>
      <c r="CA423" s="58"/>
      <c r="CB423" s="72" t="str">
        <f aca="false">IF(AC423&lt;&gt;"",VLOOKUP(AC423,Selects!$B:$E,4,0),"")</f>
        <v/>
      </c>
      <c r="CC423" s="58"/>
      <c r="CD423" s="58"/>
      <c r="CE423" s="58"/>
    </row>
    <row r="424" customFormat="false" ht="15.75" hidden="false" customHeight="true" outlineLevel="0" collapsed="false">
      <c r="A424" s="17"/>
      <c r="B424" s="58"/>
      <c r="C424" s="58"/>
      <c r="D424" s="59"/>
      <c r="E424" s="60" t="str">
        <f aca="false">IF(LEN(D424)=11,"PF",IF(LEN(D424)=14,"PJ",""))</f>
        <v/>
      </c>
      <c r="F424" s="59"/>
      <c r="G424" s="59"/>
      <c r="H424" s="61" t="str">
        <f aca="false">IF(G424&lt;&gt;"",VLOOKUP(G424,'Cnae  mcc  id'!$A:$M,9,0),"")</f>
        <v/>
      </c>
      <c r="I424" s="62"/>
      <c r="J424" s="63" t="str">
        <f aca="false">IF(I424&lt;&gt;"",VLOOKUP(I424,'Legal Nature'!$E$2:$G$84,3,0),"")</f>
        <v/>
      </c>
      <c r="K424" s="64"/>
      <c r="L424" s="65"/>
      <c r="M424" s="66"/>
      <c r="N424" s="66"/>
      <c r="O424" s="79"/>
      <c r="P424" s="26"/>
      <c r="Q424" s="58"/>
      <c r="R424" s="58"/>
      <c r="S424" s="80"/>
      <c r="T424" s="68" t="str">
        <f aca="false">IF(LEFT(S424,1)="9","Celular",IF(S424="","","Fixo"))</f>
        <v/>
      </c>
      <c r="U424" s="58" t="str">
        <f aca="false">IF( T424&lt;&gt;"",VLOOKUP(T424,Selects!$M$4:$N$1000,2,0),"")</f>
        <v/>
      </c>
      <c r="V424" s="26"/>
      <c r="W424" s="58"/>
      <c r="X424" s="58"/>
      <c r="Y424" s="58"/>
      <c r="Z424" s="58"/>
      <c r="AA424" s="69"/>
      <c r="AB424" s="58"/>
      <c r="AC424" s="58"/>
      <c r="AD424" s="70" t="str">
        <f aca="false">IF(AC424&lt;&gt;"",VLOOKUP(AC424,Selects!$B$4:$C$100,2,0),"")</f>
        <v/>
      </c>
      <c r="AE424" s="26"/>
      <c r="AF424" s="58"/>
      <c r="AG424" s="59"/>
      <c r="AH424" s="65"/>
      <c r="AI424" s="66"/>
      <c r="AJ424" s="66"/>
      <c r="AK424" s="58"/>
      <c r="AL424" s="58"/>
      <c r="AM424" s="68" t="str">
        <f aca="false">IF(LEFT(AL424,1)="9","Celular",IF(AL424="","","Fixo"))</f>
        <v/>
      </c>
      <c r="AN424" s="58" t="str">
        <f aca="false">IF( AM424&lt;&gt;"",VLOOKUP(AM424,Selects!$M$4:$N$1000,2,0),"")</f>
        <v/>
      </c>
      <c r="AO424" s="58"/>
      <c r="AP424" s="59"/>
      <c r="AQ424" s="65"/>
      <c r="AR424" s="58"/>
      <c r="AS424" s="58"/>
      <c r="AT424" s="26"/>
      <c r="AU424" s="58"/>
      <c r="AV424" s="58"/>
      <c r="AW424" s="58"/>
      <c r="AX424" s="58"/>
      <c r="AY424" s="71"/>
      <c r="AZ424" s="58"/>
      <c r="BA424" s="58"/>
      <c r="BB424" s="72" t="str">
        <f aca="false">IF(BA424&lt;&gt;"",VLOOKUP(BA424,Selects!$B$4:$C$100,2,0),"")</f>
        <v/>
      </c>
      <c r="BC424" s="26"/>
      <c r="BD424" s="26"/>
      <c r="BE424" s="73"/>
      <c r="BF424" s="74"/>
      <c r="BG424" s="75" t="str">
        <f aca="false">IF(LEN(BF424)=11,"PF",IF(LEN(BF424)=14,"PJ",""))</f>
        <v/>
      </c>
      <c r="BH424" s="66"/>
      <c r="BI424" s="58" t="str">
        <f aca="false">IF(BH424&lt;&gt;"",VLOOKUP(BH424,Selects!$G:$H,2,0),"")</f>
        <v/>
      </c>
      <c r="BJ424" s="58"/>
      <c r="BK424" s="58"/>
      <c r="BL424" s="59"/>
      <c r="BM424" s="58"/>
      <c r="BN424" s="58"/>
      <c r="BO424" s="58" t="str">
        <f aca="false">IF(BN424&lt;&gt;"",VLOOKUP(BN424,Selects!$J$4:$K$1000,2,0),"")</f>
        <v/>
      </c>
      <c r="BP424" s="76"/>
      <c r="BQ424" s="59"/>
      <c r="BR424" s="77"/>
      <c r="BS424" s="59"/>
      <c r="BT424" s="77"/>
      <c r="BU424" s="58"/>
      <c r="BV424" s="58"/>
      <c r="BW424" s="58"/>
      <c r="BX424" s="58"/>
      <c r="BY424" s="58"/>
      <c r="BZ424" s="58"/>
      <c r="CA424" s="58"/>
      <c r="CB424" s="72" t="str">
        <f aca="false">IF(AC424&lt;&gt;"",VLOOKUP(AC424,Selects!$B:$E,4,0),"")</f>
        <v/>
      </c>
      <c r="CC424" s="58"/>
      <c r="CD424" s="58"/>
      <c r="CE424" s="58"/>
    </row>
    <row r="425" customFormat="false" ht="15.75" hidden="false" customHeight="true" outlineLevel="0" collapsed="false">
      <c r="A425" s="17"/>
      <c r="B425" s="58"/>
      <c r="C425" s="58"/>
      <c r="D425" s="59"/>
      <c r="E425" s="60" t="str">
        <f aca="false">IF(LEN(D425)=11,"PF",IF(LEN(D425)=14,"PJ",""))</f>
        <v/>
      </c>
      <c r="F425" s="59"/>
      <c r="G425" s="59"/>
      <c r="H425" s="61" t="str">
        <f aca="false">IF(G425&lt;&gt;"",VLOOKUP(G425,'Cnae  mcc  id'!$A:$M,9,0),"")</f>
        <v/>
      </c>
      <c r="I425" s="62"/>
      <c r="J425" s="63" t="str">
        <f aca="false">IF(I425&lt;&gt;"",VLOOKUP(I425,'Legal Nature'!$E$2:$G$84,3,0),"")</f>
        <v/>
      </c>
      <c r="K425" s="64"/>
      <c r="L425" s="65"/>
      <c r="M425" s="66"/>
      <c r="N425" s="66"/>
      <c r="O425" s="79"/>
      <c r="P425" s="26"/>
      <c r="Q425" s="58"/>
      <c r="R425" s="58"/>
      <c r="S425" s="80"/>
      <c r="T425" s="68" t="str">
        <f aca="false">IF(LEFT(S425,1)="9","Celular",IF(S425="","","Fixo"))</f>
        <v/>
      </c>
      <c r="U425" s="58" t="str">
        <f aca="false">IF( T425&lt;&gt;"",VLOOKUP(T425,Selects!$M$4:$N$1000,2,0),"")</f>
        <v/>
      </c>
      <c r="V425" s="26"/>
      <c r="W425" s="58"/>
      <c r="X425" s="58"/>
      <c r="Y425" s="58"/>
      <c r="Z425" s="58"/>
      <c r="AA425" s="69"/>
      <c r="AB425" s="58"/>
      <c r="AC425" s="58"/>
      <c r="AD425" s="70" t="str">
        <f aca="false">IF(AC425&lt;&gt;"",VLOOKUP(AC425,Selects!$B$4:$C$100,2,0),"")</f>
        <v/>
      </c>
      <c r="AE425" s="26"/>
      <c r="AF425" s="58"/>
      <c r="AG425" s="59"/>
      <c r="AH425" s="65"/>
      <c r="AI425" s="66"/>
      <c r="AJ425" s="66"/>
      <c r="AK425" s="58"/>
      <c r="AL425" s="58"/>
      <c r="AM425" s="68" t="str">
        <f aca="false">IF(LEFT(AL425,1)="9","Celular",IF(AL425="","","Fixo"))</f>
        <v/>
      </c>
      <c r="AN425" s="58" t="str">
        <f aca="false">IF( AM425&lt;&gt;"",VLOOKUP(AM425,Selects!$M$4:$N$1000,2,0),"")</f>
        <v/>
      </c>
      <c r="AO425" s="58"/>
      <c r="AP425" s="59"/>
      <c r="AQ425" s="65"/>
      <c r="AR425" s="58"/>
      <c r="AS425" s="58"/>
      <c r="AT425" s="26"/>
      <c r="AU425" s="58"/>
      <c r="AV425" s="58"/>
      <c r="AW425" s="58"/>
      <c r="AX425" s="58"/>
      <c r="AY425" s="71"/>
      <c r="AZ425" s="58"/>
      <c r="BA425" s="58"/>
      <c r="BB425" s="72" t="str">
        <f aca="false">IF(BA425&lt;&gt;"",VLOOKUP(BA425,Selects!$B$4:$C$100,2,0),"")</f>
        <v/>
      </c>
      <c r="BC425" s="26"/>
      <c r="BD425" s="26"/>
      <c r="BE425" s="73"/>
      <c r="BF425" s="74"/>
      <c r="BG425" s="75" t="str">
        <f aca="false">IF(LEN(BF425)=11,"PF",IF(LEN(BF425)=14,"PJ",""))</f>
        <v/>
      </c>
      <c r="BH425" s="66"/>
      <c r="BI425" s="58" t="str">
        <f aca="false">IF(BH425&lt;&gt;"",VLOOKUP(BH425,Selects!$G:$H,2,0),"")</f>
        <v/>
      </c>
      <c r="BJ425" s="58"/>
      <c r="BK425" s="58"/>
      <c r="BL425" s="59"/>
      <c r="BM425" s="58"/>
      <c r="BN425" s="58"/>
      <c r="BO425" s="58" t="str">
        <f aca="false">IF(BN425&lt;&gt;"",VLOOKUP(BN425,Selects!$J$4:$K$1000,2,0),"")</f>
        <v/>
      </c>
      <c r="BP425" s="76"/>
      <c r="BQ425" s="59"/>
      <c r="BR425" s="77"/>
      <c r="BS425" s="59"/>
      <c r="BT425" s="77"/>
      <c r="BU425" s="58"/>
      <c r="BV425" s="58"/>
      <c r="BW425" s="58"/>
      <c r="BX425" s="58"/>
      <c r="BY425" s="58"/>
      <c r="BZ425" s="58"/>
      <c r="CA425" s="58"/>
      <c r="CB425" s="72" t="str">
        <f aca="false">IF(AC425&lt;&gt;"",VLOOKUP(AC425,Selects!$B:$E,4,0),"")</f>
        <v/>
      </c>
      <c r="CC425" s="58"/>
      <c r="CD425" s="58"/>
      <c r="CE425" s="58"/>
    </row>
    <row r="426" customFormat="false" ht="15.75" hidden="false" customHeight="true" outlineLevel="0" collapsed="false">
      <c r="A426" s="17"/>
      <c r="B426" s="58"/>
      <c r="C426" s="58"/>
      <c r="D426" s="59"/>
      <c r="E426" s="60" t="str">
        <f aca="false">IF(LEN(D426)=11,"PF",IF(LEN(D426)=14,"PJ",""))</f>
        <v/>
      </c>
      <c r="F426" s="59"/>
      <c r="G426" s="59"/>
      <c r="H426" s="61" t="str">
        <f aca="false">IF(G426&lt;&gt;"",VLOOKUP(G426,'Cnae  mcc  id'!$A:$M,9,0),"")</f>
        <v/>
      </c>
      <c r="I426" s="62"/>
      <c r="J426" s="63" t="str">
        <f aca="false">IF(I426&lt;&gt;"",VLOOKUP(I426,'Legal Nature'!$E$2:$G$84,3,0),"")</f>
        <v/>
      </c>
      <c r="K426" s="64"/>
      <c r="L426" s="65"/>
      <c r="M426" s="66"/>
      <c r="N426" s="66"/>
      <c r="O426" s="79"/>
      <c r="P426" s="26"/>
      <c r="Q426" s="58"/>
      <c r="R426" s="58"/>
      <c r="S426" s="80"/>
      <c r="T426" s="68" t="str">
        <f aca="false">IF(LEFT(S426,1)="9","Celular",IF(S426="","","Fixo"))</f>
        <v/>
      </c>
      <c r="U426" s="58" t="str">
        <f aca="false">IF( T426&lt;&gt;"",VLOOKUP(T426,Selects!$M$4:$N$1000,2,0),"")</f>
        <v/>
      </c>
      <c r="V426" s="26"/>
      <c r="W426" s="58"/>
      <c r="X426" s="58"/>
      <c r="Y426" s="58"/>
      <c r="Z426" s="58"/>
      <c r="AA426" s="69"/>
      <c r="AB426" s="58"/>
      <c r="AC426" s="58"/>
      <c r="AD426" s="70" t="str">
        <f aca="false">IF(AC426&lt;&gt;"",VLOOKUP(AC426,Selects!$B$4:$C$100,2,0),"")</f>
        <v/>
      </c>
      <c r="AE426" s="26"/>
      <c r="AF426" s="58"/>
      <c r="AG426" s="59"/>
      <c r="AH426" s="65"/>
      <c r="AI426" s="66"/>
      <c r="AJ426" s="66"/>
      <c r="AK426" s="58"/>
      <c r="AL426" s="58"/>
      <c r="AM426" s="68" t="str">
        <f aca="false">IF(LEFT(AL426,1)="9","Celular",IF(AL426="","","Fixo"))</f>
        <v/>
      </c>
      <c r="AN426" s="58" t="str">
        <f aca="false">IF( AM426&lt;&gt;"",VLOOKUP(AM426,Selects!$M$4:$N$1000,2,0),"")</f>
        <v/>
      </c>
      <c r="AO426" s="58"/>
      <c r="AP426" s="59"/>
      <c r="AQ426" s="65"/>
      <c r="AR426" s="58"/>
      <c r="AS426" s="58"/>
      <c r="AT426" s="26"/>
      <c r="AU426" s="58"/>
      <c r="AV426" s="58"/>
      <c r="AW426" s="58"/>
      <c r="AX426" s="58"/>
      <c r="AY426" s="71"/>
      <c r="AZ426" s="58"/>
      <c r="BA426" s="58"/>
      <c r="BB426" s="72" t="str">
        <f aca="false">IF(BA426&lt;&gt;"",VLOOKUP(BA426,Selects!$B$4:$C$100,2,0),"")</f>
        <v/>
      </c>
      <c r="BC426" s="26"/>
      <c r="BD426" s="26"/>
      <c r="BE426" s="73"/>
      <c r="BF426" s="74"/>
      <c r="BG426" s="75" t="str">
        <f aca="false">IF(LEN(BF426)=11,"PF",IF(LEN(BF426)=14,"PJ",""))</f>
        <v/>
      </c>
      <c r="BH426" s="66"/>
      <c r="BI426" s="58" t="str">
        <f aca="false">IF(BH426&lt;&gt;"",VLOOKUP(BH426,Selects!$G:$H,2,0),"")</f>
        <v/>
      </c>
      <c r="BJ426" s="58"/>
      <c r="BK426" s="58"/>
      <c r="BL426" s="59"/>
      <c r="BM426" s="58"/>
      <c r="BN426" s="58"/>
      <c r="BO426" s="58" t="str">
        <f aca="false">IF(BN426&lt;&gt;"",VLOOKUP(BN426,Selects!$J$4:$K$1000,2,0),"")</f>
        <v/>
      </c>
      <c r="BP426" s="76"/>
      <c r="BQ426" s="59"/>
      <c r="BR426" s="77"/>
      <c r="BS426" s="59"/>
      <c r="BT426" s="77"/>
      <c r="BU426" s="58"/>
      <c r="BV426" s="58"/>
      <c r="BW426" s="58"/>
      <c r="BX426" s="58"/>
      <c r="BY426" s="58"/>
      <c r="BZ426" s="58"/>
      <c r="CA426" s="58"/>
      <c r="CB426" s="72" t="str">
        <f aca="false">IF(AC426&lt;&gt;"",VLOOKUP(AC426,Selects!$B:$E,4,0),"")</f>
        <v/>
      </c>
      <c r="CC426" s="58"/>
      <c r="CD426" s="58"/>
      <c r="CE426" s="58"/>
    </row>
    <row r="427" customFormat="false" ht="15.75" hidden="false" customHeight="true" outlineLevel="0" collapsed="false">
      <c r="A427" s="17"/>
      <c r="B427" s="58"/>
      <c r="C427" s="58"/>
      <c r="D427" s="59"/>
      <c r="E427" s="60" t="str">
        <f aca="false">IF(LEN(D427)=11,"PF",IF(LEN(D427)=14,"PJ",""))</f>
        <v/>
      </c>
      <c r="F427" s="59"/>
      <c r="G427" s="59"/>
      <c r="H427" s="61" t="str">
        <f aca="false">IF(G427&lt;&gt;"",VLOOKUP(G427,'Cnae  mcc  id'!$A:$M,9,0),"")</f>
        <v/>
      </c>
      <c r="I427" s="62"/>
      <c r="J427" s="63" t="str">
        <f aca="false">IF(I427&lt;&gt;"",VLOOKUP(I427,'Legal Nature'!$E$2:$G$84,3,0),"")</f>
        <v/>
      </c>
      <c r="K427" s="64"/>
      <c r="L427" s="65"/>
      <c r="M427" s="66"/>
      <c r="N427" s="66"/>
      <c r="O427" s="79"/>
      <c r="P427" s="26"/>
      <c r="Q427" s="58"/>
      <c r="R427" s="58"/>
      <c r="S427" s="80"/>
      <c r="T427" s="68" t="str">
        <f aca="false">IF(LEFT(S427,1)="9","Celular",IF(S427="","","Fixo"))</f>
        <v/>
      </c>
      <c r="U427" s="58" t="str">
        <f aca="false">IF( T427&lt;&gt;"",VLOOKUP(T427,Selects!$M$4:$N$1000,2,0),"")</f>
        <v/>
      </c>
      <c r="V427" s="26"/>
      <c r="W427" s="58"/>
      <c r="X427" s="58"/>
      <c r="Y427" s="58"/>
      <c r="Z427" s="58"/>
      <c r="AA427" s="69"/>
      <c r="AB427" s="58"/>
      <c r="AC427" s="58"/>
      <c r="AD427" s="70" t="str">
        <f aca="false">IF(AC427&lt;&gt;"",VLOOKUP(AC427,Selects!$B$4:$C$100,2,0),"")</f>
        <v/>
      </c>
      <c r="AE427" s="26"/>
      <c r="AF427" s="58"/>
      <c r="AG427" s="59"/>
      <c r="AH427" s="65"/>
      <c r="AI427" s="66"/>
      <c r="AJ427" s="66"/>
      <c r="AK427" s="58"/>
      <c r="AL427" s="58"/>
      <c r="AM427" s="68" t="str">
        <f aca="false">IF(LEFT(AL427,1)="9","Celular",IF(AL427="","","Fixo"))</f>
        <v/>
      </c>
      <c r="AN427" s="58" t="str">
        <f aca="false">IF( AM427&lt;&gt;"",VLOOKUP(AM427,Selects!$M$4:$N$1000,2,0),"")</f>
        <v/>
      </c>
      <c r="AO427" s="58"/>
      <c r="AP427" s="59"/>
      <c r="AQ427" s="65"/>
      <c r="AR427" s="58"/>
      <c r="AS427" s="58"/>
      <c r="AT427" s="26"/>
      <c r="AU427" s="58"/>
      <c r="AV427" s="58"/>
      <c r="AW427" s="58"/>
      <c r="AX427" s="58"/>
      <c r="AY427" s="71"/>
      <c r="AZ427" s="58"/>
      <c r="BA427" s="58"/>
      <c r="BB427" s="72" t="str">
        <f aca="false">IF(BA427&lt;&gt;"",VLOOKUP(BA427,Selects!$B$4:$C$100,2,0),"")</f>
        <v/>
      </c>
      <c r="BC427" s="26"/>
      <c r="BD427" s="26"/>
      <c r="BE427" s="73"/>
      <c r="BF427" s="74"/>
      <c r="BG427" s="75" t="str">
        <f aca="false">IF(LEN(BF427)=11,"PF",IF(LEN(BF427)=14,"PJ",""))</f>
        <v/>
      </c>
      <c r="BH427" s="66"/>
      <c r="BI427" s="58" t="str">
        <f aca="false">IF(BH427&lt;&gt;"",VLOOKUP(BH427,Selects!$G:$H,2,0),"")</f>
        <v/>
      </c>
      <c r="BJ427" s="58"/>
      <c r="BK427" s="58"/>
      <c r="BL427" s="59"/>
      <c r="BM427" s="58"/>
      <c r="BN427" s="58"/>
      <c r="BO427" s="58" t="str">
        <f aca="false">IF(BN427&lt;&gt;"",VLOOKUP(BN427,Selects!$J$4:$K$1000,2,0),"")</f>
        <v/>
      </c>
      <c r="BP427" s="76"/>
      <c r="BQ427" s="59"/>
      <c r="BR427" s="77"/>
      <c r="BS427" s="59"/>
      <c r="BT427" s="77"/>
      <c r="BU427" s="58"/>
      <c r="BV427" s="58"/>
      <c r="BW427" s="58"/>
      <c r="BX427" s="58"/>
      <c r="BY427" s="58"/>
      <c r="BZ427" s="58"/>
      <c r="CA427" s="58"/>
      <c r="CB427" s="72" t="str">
        <f aca="false">IF(AC427&lt;&gt;"",VLOOKUP(AC427,Selects!$B:$E,4,0),"")</f>
        <v/>
      </c>
      <c r="CC427" s="58"/>
      <c r="CD427" s="58"/>
      <c r="CE427" s="58"/>
    </row>
    <row r="428" customFormat="false" ht="15.75" hidden="false" customHeight="true" outlineLevel="0" collapsed="false">
      <c r="A428" s="17"/>
      <c r="B428" s="58"/>
      <c r="C428" s="58"/>
      <c r="D428" s="59"/>
      <c r="E428" s="60" t="str">
        <f aca="false">IF(LEN(D428)=11,"PF",IF(LEN(D428)=14,"PJ",""))</f>
        <v/>
      </c>
      <c r="F428" s="59"/>
      <c r="G428" s="59"/>
      <c r="H428" s="61" t="str">
        <f aca="false">IF(G428&lt;&gt;"",VLOOKUP(G428,'Cnae  mcc  id'!$A:$M,9,0),"")</f>
        <v/>
      </c>
      <c r="I428" s="62"/>
      <c r="J428" s="63" t="str">
        <f aca="false">IF(I428&lt;&gt;"",VLOOKUP(I428,'Legal Nature'!$E$2:$G$84,3,0),"")</f>
        <v/>
      </c>
      <c r="K428" s="64"/>
      <c r="L428" s="65"/>
      <c r="M428" s="66"/>
      <c r="N428" s="66"/>
      <c r="O428" s="79"/>
      <c r="P428" s="26"/>
      <c r="Q428" s="58"/>
      <c r="R428" s="58"/>
      <c r="S428" s="80"/>
      <c r="T428" s="68" t="str">
        <f aca="false">IF(LEFT(S428,1)="9","Celular",IF(S428="","","Fixo"))</f>
        <v/>
      </c>
      <c r="U428" s="58" t="str">
        <f aca="false">IF( T428&lt;&gt;"",VLOOKUP(T428,Selects!$M$4:$N$1000,2,0),"")</f>
        <v/>
      </c>
      <c r="V428" s="26"/>
      <c r="W428" s="58"/>
      <c r="X428" s="58"/>
      <c r="Y428" s="58"/>
      <c r="Z428" s="58"/>
      <c r="AA428" s="69"/>
      <c r="AB428" s="58"/>
      <c r="AC428" s="58"/>
      <c r="AD428" s="70" t="str">
        <f aca="false">IF(AC428&lt;&gt;"",VLOOKUP(AC428,Selects!$B$4:$C$100,2,0),"")</f>
        <v/>
      </c>
      <c r="AE428" s="26"/>
      <c r="AF428" s="58"/>
      <c r="AG428" s="59"/>
      <c r="AH428" s="65"/>
      <c r="AI428" s="66"/>
      <c r="AJ428" s="66"/>
      <c r="AK428" s="58"/>
      <c r="AL428" s="58"/>
      <c r="AM428" s="68" t="str">
        <f aca="false">IF(LEFT(AL428,1)="9","Celular",IF(AL428="","","Fixo"))</f>
        <v/>
      </c>
      <c r="AN428" s="58" t="str">
        <f aca="false">IF( AM428&lt;&gt;"",VLOOKUP(AM428,Selects!$M$4:$N$1000,2,0),"")</f>
        <v/>
      </c>
      <c r="AO428" s="58"/>
      <c r="AP428" s="59"/>
      <c r="AQ428" s="65"/>
      <c r="AR428" s="58"/>
      <c r="AS428" s="58"/>
      <c r="AT428" s="26"/>
      <c r="AU428" s="58"/>
      <c r="AV428" s="58"/>
      <c r="AW428" s="58"/>
      <c r="AX428" s="58"/>
      <c r="AY428" s="71"/>
      <c r="AZ428" s="58"/>
      <c r="BA428" s="58"/>
      <c r="BB428" s="72" t="str">
        <f aca="false">IF(BA428&lt;&gt;"",VLOOKUP(BA428,Selects!$B$4:$C$100,2,0),"")</f>
        <v/>
      </c>
      <c r="BC428" s="26"/>
      <c r="BD428" s="26"/>
      <c r="BE428" s="73"/>
      <c r="BF428" s="74"/>
      <c r="BG428" s="75" t="str">
        <f aca="false">IF(LEN(BF428)=11,"PF",IF(LEN(BF428)=14,"PJ",""))</f>
        <v/>
      </c>
      <c r="BH428" s="66"/>
      <c r="BI428" s="58" t="str">
        <f aca="false">IF(BH428&lt;&gt;"",VLOOKUP(BH428,Selects!$G:$H,2,0),"")</f>
        <v/>
      </c>
      <c r="BJ428" s="58"/>
      <c r="BK428" s="58"/>
      <c r="BL428" s="59"/>
      <c r="BM428" s="58"/>
      <c r="BN428" s="58"/>
      <c r="BO428" s="58" t="str">
        <f aca="false">IF(BN428&lt;&gt;"",VLOOKUP(BN428,Selects!$J$4:$K$1000,2,0),"")</f>
        <v/>
      </c>
      <c r="BP428" s="76"/>
      <c r="BQ428" s="59"/>
      <c r="BR428" s="77"/>
      <c r="BS428" s="59"/>
      <c r="BT428" s="77"/>
      <c r="BU428" s="58"/>
      <c r="BV428" s="58"/>
      <c r="BW428" s="58"/>
      <c r="BX428" s="58"/>
      <c r="BY428" s="58"/>
      <c r="BZ428" s="58"/>
      <c r="CA428" s="58"/>
      <c r="CB428" s="72" t="str">
        <f aca="false">IF(AC428&lt;&gt;"",VLOOKUP(AC428,Selects!$B:$E,4,0),"")</f>
        <v/>
      </c>
      <c r="CC428" s="58"/>
      <c r="CD428" s="58"/>
      <c r="CE428" s="58"/>
    </row>
    <row r="429" customFormat="false" ht="15.75" hidden="false" customHeight="true" outlineLevel="0" collapsed="false">
      <c r="A429" s="17"/>
      <c r="B429" s="58"/>
      <c r="C429" s="58"/>
      <c r="D429" s="59"/>
      <c r="E429" s="60" t="str">
        <f aca="false">IF(LEN(D429)=11,"PF",IF(LEN(D429)=14,"PJ",""))</f>
        <v/>
      </c>
      <c r="F429" s="59"/>
      <c r="G429" s="59"/>
      <c r="H429" s="61" t="str">
        <f aca="false">IF(G429&lt;&gt;"",VLOOKUP(G429,'Cnae  mcc  id'!$A:$M,9,0),"")</f>
        <v/>
      </c>
      <c r="I429" s="62"/>
      <c r="J429" s="63" t="str">
        <f aca="false">IF(I429&lt;&gt;"",VLOOKUP(I429,'Legal Nature'!$E$2:$G$84,3,0),"")</f>
        <v/>
      </c>
      <c r="K429" s="64"/>
      <c r="L429" s="65"/>
      <c r="M429" s="66"/>
      <c r="N429" s="66"/>
      <c r="O429" s="79"/>
      <c r="P429" s="26"/>
      <c r="Q429" s="58"/>
      <c r="R429" s="58"/>
      <c r="S429" s="80"/>
      <c r="T429" s="68" t="str">
        <f aca="false">IF(LEFT(S429,1)="9","Celular",IF(S429="","","Fixo"))</f>
        <v/>
      </c>
      <c r="U429" s="58" t="str">
        <f aca="false">IF( T429&lt;&gt;"",VLOOKUP(T429,Selects!$M$4:$N$1000,2,0),"")</f>
        <v/>
      </c>
      <c r="V429" s="26"/>
      <c r="W429" s="58"/>
      <c r="X429" s="58"/>
      <c r="Y429" s="58"/>
      <c r="Z429" s="58"/>
      <c r="AA429" s="69"/>
      <c r="AB429" s="58"/>
      <c r="AC429" s="58"/>
      <c r="AD429" s="70" t="str">
        <f aca="false">IF(AC429&lt;&gt;"",VLOOKUP(AC429,Selects!$B$4:$C$100,2,0),"")</f>
        <v/>
      </c>
      <c r="AE429" s="26"/>
      <c r="AF429" s="58"/>
      <c r="AG429" s="59"/>
      <c r="AH429" s="65"/>
      <c r="AI429" s="66"/>
      <c r="AJ429" s="66"/>
      <c r="AK429" s="58"/>
      <c r="AL429" s="58"/>
      <c r="AM429" s="68" t="str">
        <f aca="false">IF(LEFT(AL429,1)="9","Celular",IF(AL429="","","Fixo"))</f>
        <v/>
      </c>
      <c r="AN429" s="58" t="str">
        <f aca="false">IF( AM429&lt;&gt;"",VLOOKUP(AM429,Selects!$M$4:$N$1000,2,0),"")</f>
        <v/>
      </c>
      <c r="AO429" s="58"/>
      <c r="AP429" s="59"/>
      <c r="AQ429" s="65"/>
      <c r="AR429" s="58"/>
      <c r="AS429" s="58"/>
      <c r="AT429" s="26"/>
      <c r="AU429" s="58"/>
      <c r="AV429" s="58"/>
      <c r="AW429" s="58"/>
      <c r="AX429" s="58"/>
      <c r="AY429" s="71"/>
      <c r="AZ429" s="58"/>
      <c r="BA429" s="58"/>
      <c r="BB429" s="72" t="str">
        <f aca="false">IF(BA429&lt;&gt;"",VLOOKUP(BA429,Selects!$B$4:$C$100,2,0),"")</f>
        <v/>
      </c>
      <c r="BC429" s="26"/>
      <c r="BD429" s="26"/>
      <c r="BE429" s="73"/>
      <c r="BF429" s="74"/>
      <c r="BG429" s="75" t="str">
        <f aca="false">IF(LEN(BF429)=11,"PF",IF(LEN(BF429)=14,"PJ",""))</f>
        <v/>
      </c>
      <c r="BH429" s="66"/>
      <c r="BI429" s="58" t="str">
        <f aca="false">IF(BH429&lt;&gt;"",VLOOKUP(BH429,Selects!$G:$H,2,0),"")</f>
        <v/>
      </c>
      <c r="BJ429" s="58"/>
      <c r="BK429" s="58"/>
      <c r="BL429" s="59"/>
      <c r="BM429" s="58"/>
      <c r="BN429" s="58"/>
      <c r="BO429" s="58" t="str">
        <f aca="false">IF(BN429&lt;&gt;"",VLOOKUP(BN429,Selects!$J$4:$K$1000,2,0),"")</f>
        <v/>
      </c>
      <c r="BP429" s="76"/>
      <c r="BQ429" s="59"/>
      <c r="BR429" s="77"/>
      <c r="BS429" s="59"/>
      <c r="BT429" s="77"/>
      <c r="BU429" s="58"/>
      <c r="BV429" s="58"/>
      <c r="BW429" s="58"/>
      <c r="BX429" s="58"/>
      <c r="BY429" s="58"/>
      <c r="BZ429" s="58"/>
      <c r="CA429" s="58"/>
      <c r="CB429" s="72" t="str">
        <f aca="false">IF(AC429&lt;&gt;"",VLOOKUP(AC429,Selects!$B:$E,4,0),"")</f>
        <v/>
      </c>
      <c r="CC429" s="58"/>
      <c r="CD429" s="58"/>
      <c r="CE429" s="58"/>
    </row>
    <row r="430" customFormat="false" ht="15.75" hidden="false" customHeight="true" outlineLevel="0" collapsed="false">
      <c r="A430" s="17"/>
      <c r="B430" s="58"/>
      <c r="C430" s="58"/>
      <c r="D430" s="59"/>
      <c r="E430" s="60" t="str">
        <f aca="false">IF(LEN(D430)=11,"PF",IF(LEN(D430)=14,"PJ",""))</f>
        <v/>
      </c>
      <c r="F430" s="59"/>
      <c r="G430" s="59"/>
      <c r="H430" s="61" t="str">
        <f aca="false">IF(G430&lt;&gt;"",VLOOKUP(G430,'Cnae  mcc  id'!$A:$M,9,0),"")</f>
        <v/>
      </c>
      <c r="I430" s="62"/>
      <c r="J430" s="63" t="str">
        <f aca="false">IF(I430&lt;&gt;"",VLOOKUP(I430,'Legal Nature'!$E$2:$G$84,3,0),"")</f>
        <v/>
      </c>
      <c r="K430" s="64"/>
      <c r="L430" s="65"/>
      <c r="M430" s="66"/>
      <c r="N430" s="66"/>
      <c r="O430" s="79"/>
      <c r="P430" s="26"/>
      <c r="Q430" s="58"/>
      <c r="R430" s="58"/>
      <c r="S430" s="80"/>
      <c r="T430" s="68" t="str">
        <f aca="false">IF(LEFT(S430,1)="9","Celular",IF(S430="","","Fixo"))</f>
        <v/>
      </c>
      <c r="U430" s="58" t="str">
        <f aca="false">IF( T430&lt;&gt;"",VLOOKUP(T430,Selects!$M$4:$N$1000,2,0),"")</f>
        <v/>
      </c>
      <c r="V430" s="26"/>
      <c r="W430" s="58"/>
      <c r="X430" s="58"/>
      <c r="Y430" s="58"/>
      <c r="Z430" s="58"/>
      <c r="AA430" s="69"/>
      <c r="AB430" s="58"/>
      <c r="AC430" s="58"/>
      <c r="AD430" s="70" t="str">
        <f aca="false">IF(AC430&lt;&gt;"",VLOOKUP(AC430,Selects!$B$4:$C$100,2,0),"")</f>
        <v/>
      </c>
      <c r="AE430" s="26"/>
      <c r="AF430" s="58"/>
      <c r="AG430" s="59"/>
      <c r="AH430" s="65"/>
      <c r="AI430" s="66"/>
      <c r="AJ430" s="66"/>
      <c r="AK430" s="58"/>
      <c r="AL430" s="58"/>
      <c r="AM430" s="68" t="str">
        <f aca="false">IF(LEFT(AL430,1)="9","Celular",IF(AL430="","","Fixo"))</f>
        <v/>
      </c>
      <c r="AN430" s="58" t="str">
        <f aca="false">IF( AM430&lt;&gt;"",VLOOKUP(AM430,Selects!$M$4:$N$1000,2,0),"")</f>
        <v/>
      </c>
      <c r="AO430" s="58"/>
      <c r="AP430" s="59"/>
      <c r="AQ430" s="65"/>
      <c r="AR430" s="58"/>
      <c r="AS430" s="58"/>
      <c r="AT430" s="26"/>
      <c r="AU430" s="58"/>
      <c r="AV430" s="58"/>
      <c r="AW430" s="58"/>
      <c r="AX430" s="58"/>
      <c r="AY430" s="71"/>
      <c r="AZ430" s="58"/>
      <c r="BA430" s="58"/>
      <c r="BB430" s="72" t="str">
        <f aca="false">IF(BA430&lt;&gt;"",VLOOKUP(BA430,Selects!$B$4:$C$100,2,0),"")</f>
        <v/>
      </c>
      <c r="BC430" s="26"/>
      <c r="BD430" s="26"/>
      <c r="BE430" s="73"/>
      <c r="BF430" s="74"/>
      <c r="BG430" s="75" t="str">
        <f aca="false">IF(LEN(BF430)=11,"PF",IF(LEN(BF430)=14,"PJ",""))</f>
        <v/>
      </c>
      <c r="BH430" s="66"/>
      <c r="BI430" s="58" t="str">
        <f aca="false">IF(BH430&lt;&gt;"",VLOOKUP(BH430,Selects!$G:$H,2,0),"")</f>
        <v/>
      </c>
      <c r="BJ430" s="58"/>
      <c r="BK430" s="58"/>
      <c r="BL430" s="59"/>
      <c r="BM430" s="58"/>
      <c r="BN430" s="58"/>
      <c r="BO430" s="58" t="str">
        <f aca="false">IF(BN430&lt;&gt;"",VLOOKUP(BN430,Selects!$J$4:$K$1000,2,0),"")</f>
        <v/>
      </c>
      <c r="BP430" s="76"/>
      <c r="BQ430" s="59"/>
      <c r="BR430" s="77"/>
      <c r="BS430" s="59"/>
      <c r="BT430" s="77"/>
      <c r="BU430" s="58"/>
      <c r="BV430" s="58"/>
      <c r="BW430" s="58"/>
      <c r="BX430" s="58"/>
      <c r="BY430" s="58"/>
      <c r="BZ430" s="58"/>
      <c r="CA430" s="58"/>
      <c r="CB430" s="72" t="str">
        <f aca="false">IF(AC430&lt;&gt;"",VLOOKUP(AC430,Selects!$B:$E,4,0),"")</f>
        <v/>
      </c>
      <c r="CC430" s="58"/>
      <c r="CD430" s="58"/>
      <c r="CE430" s="58"/>
    </row>
    <row r="431" customFormat="false" ht="15.75" hidden="false" customHeight="true" outlineLevel="0" collapsed="false">
      <c r="A431" s="17"/>
      <c r="B431" s="58"/>
      <c r="C431" s="58"/>
      <c r="D431" s="59"/>
      <c r="E431" s="60" t="str">
        <f aca="false">IF(LEN(D431)=11,"PF",IF(LEN(D431)=14,"PJ",""))</f>
        <v/>
      </c>
      <c r="F431" s="59"/>
      <c r="G431" s="59"/>
      <c r="H431" s="61" t="str">
        <f aca="false">IF(G431&lt;&gt;"",VLOOKUP(G431,'Cnae  mcc  id'!$A:$M,9,0),"")</f>
        <v/>
      </c>
      <c r="I431" s="62"/>
      <c r="J431" s="63" t="str">
        <f aca="false">IF(I431&lt;&gt;"",VLOOKUP(I431,'Legal Nature'!$E$2:$G$84,3,0),"")</f>
        <v/>
      </c>
      <c r="K431" s="64"/>
      <c r="L431" s="65"/>
      <c r="M431" s="66"/>
      <c r="N431" s="66"/>
      <c r="O431" s="79"/>
      <c r="P431" s="26"/>
      <c r="Q431" s="58"/>
      <c r="R431" s="58"/>
      <c r="S431" s="80"/>
      <c r="T431" s="68" t="str">
        <f aca="false">IF(LEFT(S431,1)="9","Celular",IF(S431="","","Fixo"))</f>
        <v/>
      </c>
      <c r="U431" s="58" t="str">
        <f aca="false">IF( T431&lt;&gt;"",VLOOKUP(T431,Selects!$M$4:$N$1000,2,0),"")</f>
        <v/>
      </c>
      <c r="V431" s="26"/>
      <c r="W431" s="58"/>
      <c r="X431" s="58"/>
      <c r="Y431" s="58"/>
      <c r="Z431" s="58"/>
      <c r="AA431" s="69"/>
      <c r="AB431" s="58"/>
      <c r="AC431" s="58"/>
      <c r="AD431" s="70" t="str">
        <f aca="false">IF(AC431&lt;&gt;"",VLOOKUP(AC431,Selects!$B$4:$C$100,2,0),"")</f>
        <v/>
      </c>
      <c r="AE431" s="26"/>
      <c r="AF431" s="58"/>
      <c r="AG431" s="59"/>
      <c r="AH431" s="65"/>
      <c r="AI431" s="66"/>
      <c r="AJ431" s="66"/>
      <c r="AK431" s="58"/>
      <c r="AL431" s="58"/>
      <c r="AM431" s="68" t="str">
        <f aca="false">IF(LEFT(AL431,1)="9","Celular",IF(AL431="","","Fixo"))</f>
        <v/>
      </c>
      <c r="AN431" s="58" t="str">
        <f aca="false">IF( AM431&lt;&gt;"",VLOOKUP(AM431,Selects!$M$4:$N$1000,2,0),"")</f>
        <v/>
      </c>
      <c r="AO431" s="58"/>
      <c r="AP431" s="59"/>
      <c r="AQ431" s="65"/>
      <c r="AR431" s="58"/>
      <c r="AS431" s="58"/>
      <c r="AT431" s="26"/>
      <c r="AU431" s="58"/>
      <c r="AV431" s="58"/>
      <c r="AW431" s="58"/>
      <c r="AX431" s="58"/>
      <c r="AY431" s="71"/>
      <c r="AZ431" s="58"/>
      <c r="BA431" s="58"/>
      <c r="BB431" s="72" t="str">
        <f aca="false">IF(BA431&lt;&gt;"",VLOOKUP(BA431,Selects!$B$4:$C$100,2,0),"")</f>
        <v/>
      </c>
      <c r="BC431" s="26"/>
      <c r="BD431" s="26"/>
      <c r="BE431" s="73"/>
      <c r="BF431" s="74"/>
      <c r="BG431" s="75" t="str">
        <f aca="false">IF(LEN(BF431)=11,"PF",IF(LEN(BF431)=14,"PJ",""))</f>
        <v/>
      </c>
      <c r="BH431" s="66"/>
      <c r="BI431" s="58" t="str">
        <f aca="false">IF(BH431&lt;&gt;"",VLOOKUP(BH431,Selects!$G:$H,2,0),"")</f>
        <v/>
      </c>
      <c r="BJ431" s="58"/>
      <c r="BK431" s="58"/>
      <c r="BL431" s="59"/>
      <c r="BM431" s="58"/>
      <c r="BN431" s="58"/>
      <c r="BO431" s="58" t="str">
        <f aca="false">IF(BN431&lt;&gt;"",VLOOKUP(BN431,Selects!$J$4:$K$1000,2,0),"")</f>
        <v/>
      </c>
      <c r="BP431" s="76"/>
      <c r="BQ431" s="59"/>
      <c r="BR431" s="77"/>
      <c r="BS431" s="59"/>
      <c r="BT431" s="77"/>
      <c r="BU431" s="58"/>
      <c r="BV431" s="58"/>
      <c r="BW431" s="58"/>
      <c r="BX431" s="58"/>
      <c r="BY431" s="58"/>
      <c r="BZ431" s="58"/>
      <c r="CA431" s="58"/>
      <c r="CB431" s="72" t="str">
        <f aca="false">IF(AC431&lt;&gt;"",VLOOKUP(AC431,Selects!$B:$E,4,0),"")</f>
        <v/>
      </c>
      <c r="CC431" s="58"/>
      <c r="CD431" s="58"/>
      <c r="CE431" s="58"/>
    </row>
    <row r="432" customFormat="false" ht="15.75" hidden="false" customHeight="true" outlineLevel="0" collapsed="false">
      <c r="A432" s="17"/>
      <c r="B432" s="58"/>
      <c r="C432" s="58"/>
      <c r="D432" s="59"/>
      <c r="E432" s="60" t="str">
        <f aca="false">IF(LEN(D432)=11,"PF",IF(LEN(D432)=14,"PJ",""))</f>
        <v/>
      </c>
      <c r="F432" s="59"/>
      <c r="G432" s="59"/>
      <c r="H432" s="61" t="str">
        <f aca="false">IF(G432&lt;&gt;"",VLOOKUP(G432,'Cnae  mcc  id'!$A:$M,9,0),"")</f>
        <v/>
      </c>
      <c r="I432" s="62"/>
      <c r="J432" s="63" t="str">
        <f aca="false">IF(I432&lt;&gt;"",VLOOKUP(I432,'Legal Nature'!$E$2:$G$84,3,0),"")</f>
        <v/>
      </c>
      <c r="K432" s="64"/>
      <c r="L432" s="65"/>
      <c r="M432" s="66"/>
      <c r="N432" s="66"/>
      <c r="O432" s="79"/>
      <c r="P432" s="26"/>
      <c r="Q432" s="58"/>
      <c r="R432" s="58"/>
      <c r="S432" s="80"/>
      <c r="T432" s="68" t="str">
        <f aca="false">IF(LEFT(S432,1)="9","Celular",IF(S432="","","Fixo"))</f>
        <v/>
      </c>
      <c r="U432" s="58" t="str">
        <f aca="false">IF( T432&lt;&gt;"",VLOOKUP(T432,Selects!$M$4:$N$1000,2,0),"")</f>
        <v/>
      </c>
      <c r="V432" s="26"/>
      <c r="W432" s="58"/>
      <c r="X432" s="58"/>
      <c r="Y432" s="58"/>
      <c r="Z432" s="58"/>
      <c r="AA432" s="69"/>
      <c r="AB432" s="58"/>
      <c r="AC432" s="58"/>
      <c r="AD432" s="70" t="str">
        <f aca="false">IF(AC432&lt;&gt;"",VLOOKUP(AC432,Selects!$B$4:$C$100,2,0),"")</f>
        <v/>
      </c>
      <c r="AE432" s="26"/>
      <c r="AF432" s="58"/>
      <c r="AG432" s="59"/>
      <c r="AH432" s="65"/>
      <c r="AI432" s="66"/>
      <c r="AJ432" s="66"/>
      <c r="AK432" s="58"/>
      <c r="AL432" s="58"/>
      <c r="AM432" s="68" t="str">
        <f aca="false">IF(LEFT(AL432,1)="9","Celular",IF(AL432="","","Fixo"))</f>
        <v/>
      </c>
      <c r="AN432" s="58" t="str">
        <f aca="false">IF( AM432&lt;&gt;"",VLOOKUP(AM432,Selects!$M$4:$N$1000,2,0),"")</f>
        <v/>
      </c>
      <c r="AO432" s="58"/>
      <c r="AP432" s="59"/>
      <c r="AQ432" s="65"/>
      <c r="AR432" s="58"/>
      <c r="AS432" s="58"/>
      <c r="AT432" s="26"/>
      <c r="AU432" s="58"/>
      <c r="AV432" s="58"/>
      <c r="AW432" s="58"/>
      <c r="AX432" s="58"/>
      <c r="AY432" s="71"/>
      <c r="AZ432" s="58"/>
      <c r="BA432" s="58"/>
      <c r="BB432" s="72" t="str">
        <f aca="false">IF(BA432&lt;&gt;"",VLOOKUP(BA432,Selects!$B$4:$C$100,2,0),"")</f>
        <v/>
      </c>
      <c r="BC432" s="26"/>
      <c r="BD432" s="26"/>
      <c r="BE432" s="73"/>
      <c r="BF432" s="74"/>
      <c r="BG432" s="75" t="str">
        <f aca="false">IF(LEN(BF432)=11,"PF",IF(LEN(BF432)=14,"PJ",""))</f>
        <v/>
      </c>
      <c r="BH432" s="66"/>
      <c r="BI432" s="58" t="str">
        <f aca="false">IF(BH432&lt;&gt;"",VLOOKUP(BH432,Selects!$G:$H,2,0),"")</f>
        <v/>
      </c>
      <c r="BJ432" s="58"/>
      <c r="BK432" s="58"/>
      <c r="BL432" s="59"/>
      <c r="BM432" s="58"/>
      <c r="BN432" s="58"/>
      <c r="BO432" s="58" t="str">
        <f aca="false">IF(BN432&lt;&gt;"",VLOOKUP(BN432,Selects!$J$4:$K$1000,2,0),"")</f>
        <v/>
      </c>
      <c r="BP432" s="76"/>
      <c r="BQ432" s="59"/>
      <c r="BR432" s="77"/>
      <c r="BS432" s="59"/>
      <c r="BT432" s="77"/>
      <c r="BU432" s="58"/>
      <c r="BV432" s="58"/>
      <c r="BW432" s="58"/>
      <c r="BX432" s="58"/>
      <c r="BY432" s="58"/>
      <c r="BZ432" s="58"/>
      <c r="CA432" s="58"/>
      <c r="CB432" s="72" t="str">
        <f aca="false">IF(AC432&lt;&gt;"",VLOOKUP(AC432,Selects!$B:$E,4,0),"")</f>
        <v/>
      </c>
      <c r="CC432" s="58"/>
      <c r="CD432" s="58"/>
      <c r="CE432" s="58"/>
    </row>
    <row r="433" customFormat="false" ht="15.75" hidden="false" customHeight="true" outlineLevel="0" collapsed="false">
      <c r="A433" s="17"/>
      <c r="B433" s="58"/>
      <c r="C433" s="58"/>
      <c r="D433" s="59"/>
      <c r="E433" s="60" t="str">
        <f aca="false">IF(LEN(D433)=11,"PF",IF(LEN(D433)=14,"PJ",""))</f>
        <v/>
      </c>
      <c r="F433" s="59"/>
      <c r="G433" s="59"/>
      <c r="H433" s="61" t="str">
        <f aca="false">IF(G433&lt;&gt;"",VLOOKUP(G433,'Cnae  mcc  id'!$A:$M,9,0),"")</f>
        <v/>
      </c>
      <c r="I433" s="62"/>
      <c r="J433" s="63" t="str">
        <f aca="false">IF(I433&lt;&gt;"",VLOOKUP(I433,'Legal Nature'!$E$2:$G$84,3,0),"")</f>
        <v/>
      </c>
      <c r="K433" s="64"/>
      <c r="L433" s="65"/>
      <c r="M433" s="66"/>
      <c r="N433" s="66"/>
      <c r="O433" s="79"/>
      <c r="P433" s="26"/>
      <c r="Q433" s="58"/>
      <c r="R433" s="58"/>
      <c r="S433" s="80"/>
      <c r="T433" s="68" t="str">
        <f aca="false">IF(LEFT(S433,1)="9","Celular",IF(S433="","","Fixo"))</f>
        <v/>
      </c>
      <c r="U433" s="58" t="str">
        <f aca="false">IF( T433&lt;&gt;"",VLOOKUP(T433,Selects!$M$4:$N$1000,2,0),"")</f>
        <v/>
      </c>
      <c r="V433" s="26"/>
      <c r="W433" s="58"/>
      <c r="X433" s="58"/>
      <c r="Y433" s="58"/>
      <c r="Z433" s="58"/>
      <c r="AA433" s="69"/>
      <c r="AB433" s="58"/>
      <c r="AC433" s="58"/>
      <c r="AD433" s="70" t="str">
        <f aca="false">IF(AC433&lt;&gt;"",VLOOKUP(AC433,Selects!$B$4:$C$100,2,0),"")</f>
        <v/>
      </c>
      <c r="AE433" s="26"/>
      <c r="AF433" s="58"/>
      <c r="AG433" s="59"/>
      <c r="AH433" s="65"/>
      <c r="AI433" s="66"/>
      <c r="AJ433" s="66"/>
      <c r="AK433" s="58"/>
      <c r="AL433" s="58"/>
      <c r="AM433" s="68" t="str">
        <f aca="false">IF(LEFT(AL433,1)="9","Celular",IF(AL433="","","Fixo"))</f>
        <v/>
      </c>
      <c r="AN433" s="58" t="str">
        <f aca="false">IF( AM433&lt;&gt;"",VLOOKUP(AM433,Selects!$M$4:$N$1000,2,0),"")</f>
        <v/>
      </c>
      <c r="AO433" s="58"/>
      <c r="AP433" s="59"/>
      <c r="AQ433" s="65"/>
      <c r="AR433" s="58"/>
      <c r="AS433" s="58"/>
      <c r="AT433" s="26"/>
      <c r="AU433" s="58"/>
      <c r="AV433" s="58"/>
      <c r="AW433" s="58"/>
      <c r="AX433" s="58"/>
      <c r="AY433" s="71"/>
      <c r="AZ433" s="58"/>
      <c r="BA433" s="58"/>
      <c r="BB433" s="72" t="str">
        <f aca="false">IF(BA433&lt;&gt;"",VLOOKUP(BA433,Selects!$B$4:$C$100,2,0),"")</f>
        <v/>
      </c>
      <c r="BC433" s="26"/>
      <c r="BD433" s="26"/>
      <c r="BE433" s="73"/>
      <c r="BF433" s="74"/>
      <c r="BG433" s="75" t="str">
        <f aca="false">IF(LEN(BF433)=11,"PF",IF(LEN(BF433)=14,"PJ",""))</f>
        <v/>
      </c>
      <c r="BH433" s="66"/>
      <c r="BI433" s="58" t="str">
        <f aca="false">IF(BH433&lt;&gt;"",VLOOKUP(BH433,Selects!$G:$H,2,0),"")</f>
        <v/>
      </c>
      <c r="BJ433" s="58"/>
      <c r="BK433" s="58"/>
      <c r="BL433" s="59"/>
      <c r="BM433" s="58"/>
      <c r="BN433" s="58"/>
      <c r="BO433" s="58" t="str">
        <f aca="false">IF(BN433&lt;&gt;"",VLOOKUP(BN433,Selects!$J$4:$K$1000,2,0),"")</f>
        <v/>
      </c>
      <c r="BP433" s="76"/>
      <c r="BQ433" s="59"/>
      <c r="BR433" s="77"/>
      <c r="BS433" s="59"/>
      <c r="BT433" s="77"/>
      <c r="BU433" s="58"/>
      <c r="BV433" s="58"/>
      <c r="BW433" s="58"/>
      <c r="BX433" s="58"/>
      <c r="BY433" s="58"/>
      <c r="BZ433" s="58"/>
      <c r="CA433" s="58"/>
      <c r="CB433" s="72" t="str">
        <f aca="false">IF(AC433&lt;&gt;"",VLOOKUP(AC433,Selects!$B:$E,4,0),"")</f>
        <v/>
      </c>
      <c r="CC433" s="58"/>
      <c r="CD433" s="58"/>
      <c r="CE433" s="58"/>
    </row>
    <row r="434" customFormat="false" ht="15.75" hidden="false" customHeight="true" outlineLevel="0" collapsed="false">
      <c r="A434" s="17"/>
      <c r="B434" s="58"/>
      <c r="C434" s="58"/>
      <c r="D434" s="59"/>
      <c r="E434" s="60" t="str">
        <f aca="false">IF(LEN(D434)=11,"PF",IF(LEN(D434)=14,"PJ",""))</f>
        <v/>
      </c>
      <c r="F434" s="59"/>
      <c r="G434" s="59"/>
      <c r="H434" s="61" t="str">
        <f aca="false">IF(G434&lt;&gt;"",VLOOKUP(G434,'Cnae  mcc  id'!$A:$M,9,0),"")</f>
        <v/>
      </c>
      <c r="I434" s="62"/>
      <c r="J434" s="63" t="str">
        <f aca="false">IF(I434&lt;&gt;"",VLOOKUP(I434,'Legal Nature'!$E$2:$G$84,3,0),"")</f>
        <v/>
      </c>
      <c r="K434" s="64"/>
      <c r="L434" s="65"/>
      <c r="M434" s="66"/>
      <c r="N434" s="66"/>
      <c r="O434" s="79"/>
      <c r="P434" s="26"/>
      <c r="Q434" s="58"/>
      <c r="R434" s="58"/>
      <c r="S434" s="80"/>
      <c r="T434" s="68" t="str">
        <f aca="false">IF(LEFT(S434,1)="9","Celular",IF(S434="","","Fixo"))</f>
        <v/>
      </c>
      <c r="U434" s="58" t="str">
        <f aca="false">IF( T434&lt;&gt;"",VLOOKUP(T434,Selects!$M$4:$N$1000,2,0),"")</f>
        <v/>
      </c>
      <c r="V434" s="26"/>
      <c r="W434" s="58"/>
      <c r="X434" s="58"/>
      <c r="Y434" s="58"/>
      <c r="Z434" s="58"/>
      <c r="AA434" s="69"/>
      <c r="AB434" s="58"/>
      <c r="AC434" s="58"/>
      <c r="AD434" s="70" t="str">
        <f aca="false">IF(AC434&lt;&gt;"",VLOOKUP(AC434,Selects!$B$4:$C$100,2,0),"")</f>
        <v/>
      </c>
      <c r="AE434" s="26"/>
      <c r="AF434" s="58"/>
      <c r="AG434" s="59"/>
      <c r="AH434" s="65"/>
      <c r="AI434" s="66"/>
      <c r="AJ434" s="66"/>
      <c r="AK434" s="58"/>
      <c r="AL434" s="58"/>
      <c r="AM434" s="68" t="str">
        <f aca="false">IF(LEFT(AL434,1)="9","Celular",IF(AL434="","","Fixo"))</f>
        <v/>
      </c>
      <c r="AN434" s="58" t="str">
        <f aca="false">IF( AM434&lt;&gt;"",VLOOKUP(AM434,Selects!$M$4:$N$1000,2,0),"")</f>
        <v/>
      </c>
      <c r="AO434" s="58"/>
      <c r="AP434" s="59"/>
      <c r="AQ434" s="65"/>
      <c r="AR434" s="58"/>
      <c r="AS434" s="58"/>
      <c r="AT434" s="26"/>
      <c r="AU434" s="58"/>
      <c r="AV434" s="58"/>
      <c r="AW434" s="58"/>
      <c r="AX434" s="58"/>
      <c r="AY434" s="71"/>
      <c r="AZ434" s="58"/>
      <c r="BA434" s="58"/>
      <c r="BB434" s="72" t="str">
        <f aca="false">IF(BA434&lt;&gt;"",VLOOKUP(BA434,Selects!$B$4:$C$100,2,0),"")</f>
        <v/>
      </c>
      <c r="BC434" s="26"/>
      <c r="BD434" s="26"/>
      <c r="BE434" s="73"/>
      <c r="BF434" s="74"/>
      <c r="BG434" s="75" t="str">
        <f aca="false">IF(LEN(BF434)=11,"PF",IF(LEN(BF434)=14,"PJ",""))</f>
        <v/>
      </c>
      <c r="BH434" s="66"/>
      <c r="BI434" s="58" t="str">
        <f aca="false">IF(BH434&lt;&gt;"",VLOOKUP(BH434,Selects!$G:$H,2,0),"")</f>
        <v/>
      </c>
      <c r="BJ434" s="58"/>
      <c r="BK434" s="58"/>
      <c r="BL434" s="59"/>
      <c r="BM434" s="58"/>
      <c r="BN434" s="58"/>
      <c r="BO434" s="58" t="str">
        <f aca="false">IF(BN434&lt;&gt;"",VLOOKUP(BN434,Selects!$J$4:$K$1000,2,0),"")</f>
        <v/>
      </c>
      <c r="BP434" s="76"/>
      <c r="BQ434" s="59"/>
      <c r="BR434" s="77"/>
      <c r="BS434" s="59"/>
      <c r="BT434" s="77"/>
      <c r="BU434" s="58"/>
      <c r="BV434" s="58"/>
      <c r="BW434" s="58"/>
      <c r="BX434" s="58"/>
      <c r="BY434" s="58"/>
      <c r="BZ434" s="58"/>
      <c r="CA434" s="58"/>
      <c r="CB434" s="72" t="str">
        <f aca="false">IF(AC434&lt;&gt;"",VLOOKUP(AC434,Selects!$B:$E,4,0),"")</f>
        <v/>
      </c>
      <c r="CC434" s="58"/>
      <c r="CD434" s="58"/>
      <c r="CE434" s="58"/>
    </row>
    <row r="435" customFormat="false" ht="15.75" hidden="false" customHeight="true" outlineLevel="0" collapsed="false">
      <c r="A435" s="17"/>
      <c r="B435" s="58"/>
      <c r="C435" s="58"/>
      <c r="D435" s="59"/>
      <c r="E435" s="60" t="str">
        <f aca="false">IF(LEN(D435)=11,"PF",IF(LEN(D435)=14,"PJ",""))</f>
        <v/>
      </c>
      <c r="F435" s="59"/>
      <c r="G435" s="59"/>
      <c r="H435" s="61" t="str">
        <f aca="false">IF(G435&lt;&gt;"",VLOOKUP(G435,'Cnae  mcc  id'!$A:$M,9,0),"")</f>
        <v/>
      </c>
      <c r="I435" s="62"/>
      <c r="J435" s="63" t="str">
        <f aca="false">IF(I435&lt;&gt;"",VLOOKUP(I435,'Legal Nature'!$E$2:$G$84,3,0),"")</f>
        <v/>
      </c>
      <c r="K435" s="64"/>
      <c r="L435" s="65"/>
      <c r="M435" s="66"/>
      <c r="N435" s="66"/>
      <c r="O435" s="79"/>
      <c r="P435" s="26"/>
      <c r="Q435" s="58"/>
      <c r="R435" s="58"/>
      <c r="S435" s="80"/>
      <c r="T435" s="68" t="str">
        <f aca="false">IF(LEFT(S435,1)="9","Celular",IF(S435="","","Fixo"))</f>
        <v/>
      </c>
      <c r="U435" s="58" t="str">
        <f aca="false">IF( T435&lt;&gt;"",VLOOKUP(T435,Selects!$M$4:$N$1000,2,0),"")</f>
        <v/>
      </c>
      <c r="V435" s="26"/>
      <c r="W435" s="58"/>
      <c r="X435" s="58"/>
      <c r="Y435" s="58"/>
      <c r="Z435" s="58"/>
      <c r="AA435" s="69"/>
      <c r="AB435" s="58"/>
      <c r="AC435" s="58"/>
      <c r="AD435" s="70" t="str">
        <f aca="false">IF(AC435&lt;&gt;"",VLOOKUP(AC435,Selects!$B$4:$C$100,2,0),"")</f>
        <v/>
      </c>
      <c r="AE435" s="26"/>
      <c r="AF435" s="58"/>
      <c r="AG435" s="59"/>
      <c r="AH435" s="65"/>
      <c r="AI435" s="66"/>
      <c r="AJ435" s="66"/>
      <c r="AK435" s="58"/>
      <c r="AL435" s="58"/>
      <c r="AM435" s="68" t="str">
        <f aca="false">IF(LEFT(AL435,1)="9","Celular",IF(AL435="","","Fixo"))</f>
        <v/>
      </c>
      <c r="AN435" s="58" t="str">
        <f aca="false">IF( AM435&lt;&gt;"",VLOOKUP(AM435,Selects!$M$4:$N$1000,2,0),"")</f>
        <v/>
      </c>
      <c r="AO435" s="58"/>
      <c r="AP435" s="59"/>
      <c r="AQ435" s="65"/>
      <c r="AR435" s="58"/>
      <c r="AS435" s="58"/>
      <c r="AT435" s="26"/>
      <c r="AU435" s="58"/>
      <c r="AV435" s="58"/>
      <c r="AW435" s="58"/>
      <c r="AX435" s="58"/>
      <c r="AY435" s="71"/>
      <c r="AZ435" s="58"/>
      <c r="BA435" s="58"/>
      <c r="BB435" s="72" t="str">
        <f aca="false">IF(BA435&lt;&gt;"",VLOOKUP(BA435,Selects!$B$4:$C$100,2,0),"")</f>
        <v/>
      </c>
      <c r="BC435" s="26"/>
      <c r="BD435" s="26"/>
      <c r="BE435" s="73"/>
      <c r="BF435" s="74"/>
      <c r="BG435" s="75" t="str">
        <f aca="false">IF(LEN(BF435)=11,"PF",IF(LEN(BF435)=14,"PJ",""))</f>
        <v/>
      </c>
      <c r="BH435" s="66"/>
      <c r="BI435" s="58" t="str">
        <f aca="false">IF(BH435&lt;&gt;"",VLOOKUP(BH435,Selects!$G:$H,2,0),"")</f>
        <v/>
      </c>
      <c r="BJ435" s="58"/>
      <c r="BK435" s="58"/>
      <c r="BL435" s="59"/>
      <c r="BM435" s="58"/>
      <c r="BN435" s="58"/>
      <c r="BO435" s="58" t="str">
        <f aca="false">IF(BN435&lt;&gt;"",VLOOKUP(BN435,Selects!$J$4:$K$1000,2,0),"")</f>
        <v/>
      </c>
      <c r="BP435" s="76"/>
      <c r="BQ435" s="59"/>
      <c r="BR435" s="77"/>
      <c r="BS435" s="59"/>
      <c r="BT435" s="77"/>
      <c r="BU435" s="58"/>
      <c r="BV435" s="58"/>
      <c r="BW435" s="58"/>
      <c r="BX435" s="58"/>
      <c r="BY435" s="58"/>
      <c r="BZ435" s="58"/>
      <c r="CA435" s="58"/>
      <c r="CB435" s="72" t="str">
        <f aca="false">IF(AC435&lt;&gt;"",VLOOKUP(AC435,Selects!$B:$E,4,0),"")</f>
        <v/>
      </c>
      <c r="CC435" s="58"/>
      <c r="CD435" s="58"/>
      <c r="CE435" s="58"/>
    </row>
    <row r="436" customFormat="false" ht="15.75" hidden="false" customHeight="true" outlineLevel="0" collapsed="false">
      <c r="A436" s="17"/>
      <c r="B436" s="58"/>
      <c r="C436" s="58"/>
      <c r="D436" s="59"/>
      <c r="E436" s="60" t="str">
        <f aca="false">IF(LEN(D436)=11,"PF",IF(LEN(D436)=14,"PJ",""))</f>
        <v/>
      </c>
      <c r="F436" s="59"/>
      <c r="G436" s="59"/>
      <c r="H436" s="61" t="str">
        <f aca="false">IF(G436&lt;&gt;"",VLOOKUP(G436,'Cnae  mcc  id'!$A:$M,9,0),"")</f>
        <v/>
      </c>
      <c r="I436" s="62"/>
      <c r="J436" s="63" t="str">
        <f aca="false">IF(I436&lt;&gt;"",VLOOKUP(I436,'Legal Nature'!$E$2:$G$84,3,0),"")</f>
        <v/>
      </c>
      <c r="K436" s="64"/>
      <c r="L436" s="65"/>
      <c r="M436" s="66"/>
      <c r="N436" s="66"/>
      <c r="O436" s="79"/>
      <c r="P436" s="26"/>
      <c r="Q436" s="58"/>
      <c r="R436" s="58"/>
      <c r="S436" s="80"/>
      <c r="T436" s="68" t="str">
        <f aca="false">IF(LEFT(S436,1)="9","Celular",IF(S436="","","Fixo"))</f>
        <v/>
      </c>
      <c r="U436" s="58" t="str">
        <f aca="false">IF( T436&lt;&gt;"",VLOOKUP(T436,Selects!$M$4:$N$1000,2,0),"")</f>
        <v/>
      </c>
      <c r="V436" s="26"/>
      <c r="W436" s="58"/>
      <c r="X436" s="58"/>
      <c r="Y436" s="58"/>
      <c r="Z436" s="58"/>
      <c r="AA436" s="69"/>
      <c r="AB436" s="58"/>
      <c r="AC436" s="58"/>
      <c r="AD436" s="70" t="str">
        <f aca="false">IF(AC436&lt;&gt;"",VLOOKUP(AC436,Selects!$B$4:$C$100,2,0),"")</f>
        <v/>
      </c>
      <c r="AE436" s="26"/>
      <c r="AF436" s="58"/>
      <c r="AG436" s="59"/>
      <c r="AH436" s="65"/>
      <c r="AI436" s="66"/>
      <c r="AJ436" s="66"/>
      <c r="AK436" s="58"/>
      <c r="AL436" s="58"/>
      <c r="AM436" s="68" t="str">
        <f aca="false">IF(LEFT(AL436,1)="9","Celular",IF(AL436="","","Fixo"))</f>
        <v/>
      </c>
      <c r="AN436" s="58" t="str">
        <f aca="false">IF( AM436&lt;&gt;"",VLOOKUP(AM436,Selects!$M$4:$N$1000,2,0),"")</f>
        <v/>
      </c>
      <c r="AO436" s="58"/>
      <c r="AP436" s="59"/>
      <c r="AQ436" s="65"/>
      <c r="AR436" s="58"/>
      <c r="AS436" s="58"/>
      <c r="AT436" s="26"/>
      <c r="AU436" s="58"/>
      <c r="AV436" s="58"/>
      <c r="AW436" s="58"/>
      <c r="AX436" s="58"/>
      <c r="AY436" s="71"/>
      <c r="AZ436" s="58"/>
      <c r="BA436" s="58"/>
      <c r="BB436" s="72" t="str">
        <f aca="false">IF(BA436&lt;&gt;"",VLOOKUP(BA436,Selects!$B$4:$C$100,2,0),"")</f>
        <v/>
      </c>
      <c r="BC436" s="26"/>
      <c r="BD436" s="26"/>
      <c r="BE436" s="73"/>
      <c r="BF436" s="74"/>
      <c r="BG436" s="75" t="str">
        <f aca="false">IF(LEN(BF436)=11,"PF",IF(LEN(BF436)=14,"PJ",""))</f>
        <v/>
      </c>
      <c r="BH436" s="66"/>
      <c r="BI436" s="58" t="str">
        <f aca="false">IF(BH436&lt;&gt;"",VLOOKUP(BH436,Selects!$G:$H,2,0),"")</f>
        <v/>
      </c>
      <c r="BJ436" s="58"/>
      <c r="BK436" s="58"/>
      <c r="BL436" s="59"/>
      <c r="BM436" s="58"/>
      <c r="BN436" s="58"/>
      <c r="BO436" s="58" t="str">
        <f aca="false">IF(BN436&lt;&gt;"",VLOOKUP(BN436,Selects!$J$4:$K$1000,2,0),"")</f>
        <v/>
      </c>
      <c r="BP436" s="76"/>
      <c r="BQ436" s="59"/>
      <c r="BR436" s="77"/>
      <c r="BS436" s="59"/>
      <c r="BT436" s="77"/>
      <c r="BU436" s="58"/>
      <c r="BV436" s="58"/>
      <c r="BW436" s="58"/>
      <c r="BX436" s="58"/>
      <c r="BY436" s="58"/>
      <c r="BZ436" s="58"/>
      <c r="CA436" s="58"/>
      <c r="CB436" s="72" t="str">
        <f aca="false">IF(AC436&lt;&gt;"",VLOOKUP(AC436,Selects!$B:$E,4,0),"")</f>
        <v/>
      </c>
      <c r="CC436" s="58"/>
      <c r="CD436" s="58"/>
      <c r="CE436" s="58"/>
    </row>
    <row r="437" customFormat="false" ht="15.75" hidden="false" customHeight="true" outlineLevel="0" collapsed="false">
      <c r="A437" s="17"/>
      <c r="B437" s="58"/>
      <c r="C437" s="58"/>
      <c r="D437" s="59"/>
      <c r="E437" s="60" t="str">
        <f aca="false">IF(LEN(D437)=11,"PF",IF(LEN(D437)=14,"PJ",""))</f>
        <v/>
      </c>
      <c r="F437" s="59"/>
      <c r="G437" s="59"/>
      <c r="H437" s="61" t="str">
        <f aca="false">IF(G437&lt;&gt;"",VLOOKUP(G437,'Cnae  mcc  id'!$A:$M,9,0),"")</f>
        <v/>
      </c>
      <c r="I437" s="62"/>
      <c r="J437" s="63" t="str">
        <f aca="false">IF(I437&lt;&gt;"",VLOOKUP(I437,'Legal Nature'!$E$2:$G$84,3,0),"")</f>
        <v/>
      </c>
      <c r="K437" s="64"/>
      <c r="L437" s="65"/>
      <c r="M437" s="66"/>
      <c r="N437" s="66"/>
      <c r="O437" s="79"/>
      <c r="P437" s="26"/>
      <c r="Q437" s="58"/>
      <c r="R437" s="58"/>
      <c r="S437" s="80"/>
      <c r="T437" s="68" t="str">
        <f aca="false">IF(LEFT(S437,1)="9","Celular",IF(S437="","","Fixo"))</f>
        <v/>
      </c>
      <c r="U437" s="58" t="str">
        <f aca="false">IF( T437&lt;&gt;"",VLOOKUP(T437,Selects!$M$4:$N$1000,2,0),"")</f>
        <v/>
      </c>
      <c r="V437" s="26"/>
      <c r="W437" s="58"/>
      <c r="X437" s="58"/>
      <c r="Y437" s="58"/>
      <c r="Z437" s="58"/>
      <c r="AA437" s="69"/>
      <c r="AB437" s="58"/>
      <c r="AC437" s="58"/>
      <c r="AD437" s="70" t="str">
        <f aca="false">IF(AC437&lt;&gt;"",VLOOKUP(AC437,Selects!$B$4:$C$100,2,0),"")</f>
        <v/>
      </c>
      <c r="AE437" s="26"/>
      <c r="AF437" s="58"/>
      <c r="AG437" s="59"/>
      <c r="AH437" s="65"/>
      <c r="AI437" s="66"/>
      <c r="AJ437" s="66"/>
      <c r="AK437" s="58"/>
      <c r="AL437" s="58"/>
      <c r="AM437" s="68" t="str">
        <f aca="false">IF(LEFT(AL437,1)="9","Celular",IF(AL437="","","Fixo"))</f>
        <v/>
      </c>
      <c r="AN437" s="58" t="str">
        <f aca="false">IF( AM437&lt;&gt;"",VLOOKUP(AM437,Selects!$M$4:$N$1000,2,0),"")</f>
        <v/>
      </c>
      <c r="AO437" s="58"/>
      <c r="AP437" s="59"/>
      <c r="AQ437" s="65"/>
      <c r="AR437" s="58"/>
      <c r="AS437" s="58"/>
      <c r="AT437" s="26"/>
      <c r="AU437" s="58"/>
      <c r="AV437" s="58"/>
      <c r="AW437" s="58"/>
      <c r="AX437" s="58"/>
      <c r="AY437" s="71"/>
      <c r="AZ437" s="58"/>
      <c r="BA437" s="58"/>
      <c r="BB437" s="72" t="str">
        <f aca="false">IF(BA437&lt;&gt;"",VLOOKUP(BA437,Selects!$B$4:$C$100,2,0),"")</f>
        <v/>
      </c>
      <c r="BC437" s="26"/>
      <c r="BD437" s="26"/>
      <c r="BE437" s="73"/>
      <c r="BF437" s="74"/>
      <c r="BG437" s="75" t="str">
        <f aca="false">IF(LEN(BF437)=11,"PF",IF(LEN(BF437)=14,"PJ",""))</f>
        <v/>
      </c>
      <c r="BH437" s="66"/>
      <c r="BI437" s="58" t="str">
        <f aca="false">IF(BH437&lt;&gt;"",VLOOKUP(BH437,Selects!$G:$H,2,0),"")</f>
        <v/>
      </c>
      <c r="BJ437" s="58"/>
      <c r="BK437" s="58"/>
      <c r="BL437" s="59"/>
      <c r="BM437" s="58"/>
      <c r="BN437" s="58"/>
      <c r="BO437" s="58" t="str">
        <f aca="false">IF(BN437&lt;&gt;"",VLOOKUP(BN437,Selects!$J$4:$K$1000,2,0),"")</f>
        <v/>
      </c>
      <c r="BP437" s="76"/>
      <c r="BQ437" s="59"/>
      <c r="BR437" s="77"/>
      <c r="BS437" s="59"/>
      <c r="BT437" s="77"/>
      <c r="BU437" s="58"/>
      <c r="BV437" s="58"/>
      <c r="BW437" s="58"/>
      <c r="BX437" s="58"/>
      <c r="BY437" s="58"/>
      <c r="BZ437" s="58"/>
      <c r="CA437" s="58"/>
      <c r="CB437" s="72" t="str">
        <f aca="false">IF(AC437&lt;&gt;"",VLOOKUP(AC437,Selects!$B:$E,4,0),"")</f>
        <v/>
      </c>
      <c r="CC437" s="58"/>
      <c r="CD437" s="58"/>
      <c r="CE437" s="58"/>
    </row>
    <row r="438" customFormat="false" ht="15.75" hidden="false" customHeight="true" outlineLevel="0" collapsed="false">
      <c r="A438" s="17"/>
      <c r="B438" s="58"/>
      <c r="C438" s="58"/>
      <c r="D438" s="59"/>
      <c r="E438" s="60" t="str">
        <f aca="false">IF(LEN(D438)=11,"PF",IF(LEN(D438)=14,"PJ",""))</f>
        <v/>
      </c>
      <c r="F438" s="59"/>
      <c r="G438" s="59"/>
      <c r="H438" s="61" t="str">
        <f aca="false">IF(G438&lt;&gt;"",VLOOKUP(G438,'Cnae  mcc  id'!$A:$M,9,0),"")</f>
        <v/>
      </c>
      <c r="I438" s="62"/>
      <c r="J438" s="63" t="str">
        <f aca="false">IF(I438&lt;&gt;"",VLOOKUP(I438,'Legal Nature'!$E$2:$G$84,3,0),"")</f>
        <v/>
      </c>
      <c r="K438" s="64"/>
      <c r="L438" s="65"/>
      <c r="M438" s="66"/>
      <c r="N438" s="66"/>
      <c r="O438" s="79"/>
      <c r="P438" s="26"/>
      <c r="Q438" s="58"/>
      <c r="R438" s="58"/>
      <c r="S438" s="80"/>
      <c r="T438" s="68" t="str">
        <f aca="false">IF(LEFT(S438,1)="9","Celular",IF(S438="","","Fixo"))</f>
        <v/>
      </c>
      <c r="U438" s="58" t="str">
        <f aca="false">IF( T438&lt;&gt;"",VLOOKUP(T438,Selects!$M$4:$N$1000,2,0),"")</f>
        <v/>
      </c>
      <c r="V438" s="26"/>
      <c r="W438" s="58"/>
      <c r="X438" s="58"/>
      <c r="Y438" s="58"/>
      <c r="Z438" s="58"/>
      <c r="AA438" s="69"/>
      <c r="AB438" s="58"/>
      <c r="AC438" s="58"/>
      <c r="AD438" s="70" t="str">
        <f aca="false">IF(AC438&lt;&gt;"",VLOOKUP(AC438,Selects!$B$4:$C$100,2,0),"")</f>
        <v/>
      </c>
      <c r="AE438" s="26"/>
      <c r="AF438" s="58"/>
      <c r="AG438" s="59"/>
      <c r="AH438" s="65"/>
      <c r="AI438" s="66"/>
      <c r="AJ438" s="66"/>
      <c r="AK438" s="58"/>
      <c r="AL438" s="58"/>
      <c r="AM438" s="68" t="str">
        <f aca="false">IF(LEFT(AL438,1)="9","Celular",IF(AL438="","","Fixo"))</f>
        <v/>
      </c>
      <c r="AN438" s="58" t="str">
        <f aca="false">IF( AM438&lt;&gt;"",VLOOKUP(AM438,Selects!$M$4:$N$1000,2,0),"")</f>
        <v/>
      </c>
      <c r="AO438" s="58"/>
      <c r="AP438" s="59"/>
      <c r="AQ438" s="65"/>
      <c r="AR438" s="58"/>
      <c r="AS438" s="58"/>
      <c r="AT438" s="26"/>
      <c r="AU438" s="58"/>
      <c r="AV438" s="58"/>
      <c r="AW438" s="58"/>
      <c r="AX438" s="58"/>
      <c r="AY438" s="71"/>
      <c r="AZ438" s="58"/>
      <c r="BA438" s="58"/>
      <c r="BB438" s="72" t="str">
        <f aca="false">IF(BA438&lt;&gt;"",VLOOKUP(BA438,Selects!$B$4:$C$100,2,0),"")</f>
        <v/>
      </c>
      <c r="BC438" s="26"/>
      <c r="BD438" s="26"/>
      <c r="BE438" s="73"/>
      <c r="BF438" s="74"/>
      <c r="BG438" s="75" t="str">
        <f aca="false">IF(LEN(BF438)=11,"PF",IF(LEN(BF438)=14,"PJ",""))</f>
        <v/>
      </c>
      <c r="BH438" s="66"/>
      <c r="BI438" s="58" t="str">
        <f aca="false">IF(BH438&lt;&gt;"",VLOOKUP(BH438,Selects!$G:$H,2,0),"")</f>
        <v/>
      </c>
      <c r="BJ438" s="58"/>
      <c r="BK438" s="58"/>
      <c r="BL438" s="59"/>
      <c r="BM438" s="58"/>
      <c r="BN438" s="58"/>
      <c r="BO438" s="58" t="str">
        <f aca="false">IF(BN438&lt;&gt;"",VLOOKUP(BN438,Selects!$J$4:$K$1000,2,0),"")</f>
        <v/>
      </c>
      <c r="BP438" s="76"/>
      <c r="BQ438" s="59"/>
      <c r="BR438" s="77"/>
      <c r="BS438" s="59"/>
      <c r="BT438" s="77"/>
      <c r="BU438" s="58"/>
      <c r="BV438" s="58"/>
      <c r="BW438" s="58"/>
      <c r="BX438" s="58"/>
      <c r="BY438" s="58"/>
      <c r="BZ438" s="58"/>
      <c r="CA438" s="58"/>
      <c r="CB438" s="72" t="str">
        <f aca="false">IF(AC438&lt;&gt;"",VLOOKUP(AC438,Selects!$B:$E,4,0),"")</f>
        <v/>
      </c>
      <c r="CC438" s="58"/>
      <c r="CD438" s="58"/>
      <c r="CE438" s="58"/>
    </row>
    <row r="439" customFormat="false" ht="15.75" hidden="false" customHeight="true" outlineLevel="0" collapsed="false">
      <c r="A439" s="17"/>
      <c r="B439" s="58"/>
      <c r="C439" s="58"/>
      <c r="D439" s="59"/>
      <c r="E439" s="60" t="str">
        <f aca="false">IF(LEN(D439)=11,"PF",IF(LEN(D439)=14,"PJ",""))</f>
        <v/>
      </c>
      <c r="F439" s="59"/>
      <c r="G439" s="59"/>
      <c r="H439" s="61" t="str">
        <f aca="false">IF(G439&lt;&gt;"",VLOOKUP(G439,'Cnae  mcc  id'!$A:$M,9,0),"")</f>
        <v/>
      </c>
      <c r="I439" s="62"/>
      <c r="J439" s="63" t="str">
        <f aca="false">IF(I439&lt;&gt;"",VLOOKUP(I439,'Legal Nature'!$E$2:$G$84,3,0),"")</f>
        <v/>
      </c>
      <c r="K439" s="64"/>
      <c r="L439" s="65"/>
      <c r="M439" s="66"/>
      <c r="N439" s="66"/>
      <c r="O439" s="79"/>
      <c r="P439" s="26"/>
      <c r="Q439" s="58"/>
      <c r="R439" s="58"/>
      <c r="S439" s="80"/>
      <c r="T439" s="68" t="str">
        <f aca="false">IF(LEFT(S439,1)="9","Celular",IF(S439="","","Fixo"))</f>
        <v/>
      </c>
      <c r="U439" s="58" t="str">
        <f aca="false">IF( T439&lt;&gt;"",VLOOKUP(T439,Selects!$M$4:$N$1000,2,0),"")</f>
        <v/>
      </c>
      <c r="V439" s="26"/>
      <c r="W439" s="58"/>
      <c r="X439" s="58"/>
      <c r="Y439" s="58"/>
      <c r="Z439" s="58"/>
      <c r="AA439" s="69"/>
      <c r="AB439" s="58"/>
      <c r="AC439" s="58"/>
      <c r="AD439" s="70" t="str">
        <f aca="false">IF(AC439&lt;&gt;"",VLOOKUP(AC439,Selects!$B$4:$C$100,2,0),"")</f>
        <v/>
      </c>
      <c r="AE439" s="26"/>
      <c r="AF439" s="58"/>
      <c r="AG439" s="59"/>
      <c r="AH439" s="65"/>
      <c r="AI439" s="66"/>
      <c r="AJ439" s="66"/>
      <c r="AK439" s="58"/>
      <c r="AL439" s="58"/>
      <c r="AM439" s="68" t="str">
        <f aca="false">IF(LEFT(AL439,1)="9","Celular",IF(AL439="","","Fixo"))</f>
        <v/>
      </c>
      <c r="AN439" s="58" t="str">
        <f aca="false">IF( AM439&lt;&gt;"",VLOOKUP(AM439,Selects!$M$4:$N$1000,2,0),"")</f>
        <v/>
      </c>
      <c r="AO439" s="58"/>
      <c r="AP439" s="59"/>
      <c r="AQ439" s="65"/>
      <c r="AR439" s="58"/>
      <c r="AS439" s="58"/>
      <c r="AT439" s="26"/>
      <c r="AU439" s="58"/>
      <c r="AV439" s="58"/>
      <c r="AW439" s="58"/>
      <c r="AX439" s="58"/>
      <c r="AY439" s="71"/>
      <c r="AZ439" s="58"/>
      <c r="BA439" s="58"/>
      <c r="BB439" s="72" t="str">
        <f aca="false">IF(BA439&lt;&gt;"",VLOOKUP(BA439,Selects!$B$4:$C$100,2,0),"")</f>
        <v/>
      </c>
      <c r="BC439" s="26"/>
      <c r="BD439" s="26"/>
      <c r="BE439" s="73"/>
      <c r="BF439" s="74"/>
      <c r="BG439" s="75" t="str">
        <f aca="false">IF(LEN(BF439)=11,"PF",IF(LEN(BF439)=14,"PJ",""))</f>
        <v/>
      </c>
      <c r="BH439" s="66"/>
      <c r="BI439" s="58" t="str">
        <f aca="false">IF(BH439&lt;&gt;"",VLOOKUP(BH439,Selects!$G:$H,2,0),"")</f>
        <v/>
      </c>
      <c r="BJ439" s="58"/>
      <c r="BK439" s="58"/>
      <c r="BL439" s="59"/>
      <c r="BM439" s="58"/>
      <c r="BN439" s="58"/>
      <c r="BO439" s="58" t="str">
        <f aca="false">IF(BN439&lt;&gt;"",VLOOKUP(BN439,Selects!$J$4:$K$1000,2,0),"")</f>
        <v/>
      </c>
      <c r="BP439" s="76"/>
      <c r="BQ439" s="59"/>
      <c r="BR439" s="77"/>
      <c r="BS439" s="59"/>
      <c r="BT439" s="77"/>
      <c r="BU439" s="58"/>
      <c r="BV439" s="58"/>
      <c r="BW439" s="58"/>
      <c r="BX439" s="58"/>
      <c r="BY439" s="58"/>
      <c r="BZ439" s="58"/>
      <c r="CA439" s="58"/>
      <c r="CB439" s="72" t="str">
        <f aca="false">IF(AC439&lt;&gt;"",VLOOKUP(AC439,Selects!$B:$E,4,0),"")</f>
        <v/>
      </c>
      <c r="CC439" s="58"/>
      <c r="CD439" s="58"/>
      <c r="CE439" s="58"/>
    </row>
    <row r="440" customFormat="false" ht="15.75" hidden="false" customHeight="true" outlineLevel="0" collapsed="false">
      <c r="A440" s="17"/>
      <c r="B440" s="58"/>
      <c r="C440" s="58"/>
      <c r="D440" s="59"/>
      <c r="E440" s="60" t="str">
        <f aca="false">IF(LEN(D440)=11,"PF",IF(LEN(D440)=14,"PJ",""))</f>
        <v/>
      </c>
      <c r="F440" s="59"/>
      <c r="G440" s="59"/>
      <c r="H440" s="61" t="str">
        <f aca="false">IF(G440&lt;&gt;"",VLOOKUP(G440,'Cnae  mcc  id'!$A:$M,9,0),"")</f>
        <v/>
      </c>
      <c r="I440" s="62"/>
      <c r="J440" s="63" t="str">
        <f aca="false">IF(I440&lt;&gt;"",VLOOKUP(I440,'Legal Nature'!$E$2:$G$84,3,0),"")</f>
        <v/>
      </c>
      <c r="K440" s="64"/>
      <c r="L440" s="65"/>
      <c r="M440" s="66"/>
      <c r="N440" s="66"/>
      <c r="O440" s="79"/>
      <c r="P440" s="26"/>
      <c r="Q440" s="58"/>
      <c r="R440" s="58"/>
      <c r="S440" s="80"/>
      <c r="T440" s="68" t="str">
        <f aca="false">IF(LEFT(S440,1)="9","Celular",IF(S440="","","Fixo"))</f>
        <v/>
      </c>
      <c r="U440" s="58" t="str">
        <f aca="false">IF( T440&lt;&gt;"",VLOOKUP(T440,Selects!$M$4:$N$1000,2,0),"")</f>
        <v/>
      </c>
      <c r="V440" s="26"/>
      <c r="W440" s="58"/>
      <c r="X440" s="58"/>
      <c r="Y440" s="58"/>
      <c r="Z440" s="58"/>
      <c r="AA440" s="69"/>
      <c r="AB440" s="58"/>
      <c r="AC440" s="58"/>
      <c r="AD440" s="70" t="str">
        <f aca="false">IF(AC440&lt;&gt;"",VLOOKUP(AC440,Selects!$B$4:$C$100,2,0),"")</f>
        <v/>
      </c>
      <c r="AE440" s="26"/>
      <c r="AF440" s="58"/>
      <c r="AG440" s="59"/>
      <c r="AH440" s="65"/>
      <c r="AI440" s="66"/>
      <c r="AJ440" s="66"/>
      <c r="AK440" s="58"/>
      <c r="AL440" s="58"/>
      <c r="AM440" s="68" t="str">
        <f aca="false">IF(LEFT(AL440,1)="9","Celular",IF(AL440="","","Fixo"))</f>
        <v/>
      </c>
      <c r="AN440" s="58" t="str">
        <f aca="false">IF( AM440&lt;&gt;"",VLOOKUP(AM440,Selects!$M$4:$N$1000,2,0),"")</f>
        <v/>
      </c>
      <c r="AO440" s="58"/>
      <c r="AP440" s="59"/>
      <c r="AQ440" s="65"/>
      <c r="AR440" s="58"/>
      <c r="AS440" s="58"/>
      <c r="AT440" s="26"/>
      <c r="AU440" s="58"/>
      <c r="AV440" s="58"/>
      <c r="AW440" s="58"/>
      <c r="AX440" s="58"/>
      <c r="AY440" s="71"/>
      <c r="AZ440" s="58"/>
      <c r="BA440" s="58"/>
      <c r="BB440" s="72" t="str">
        <f aca="false">IF(BA440&lt;&gt;"",VLOOKUP(BA440,Selects!$B$4:$C$100,2,0),"")</f>
        <v/>
      </c>
      <c r="BC440" s="26"/>
      <c r="BD440" s="26"/>
      <c r="BE440" s="73"/>
      <c r="BF440" s="74"/>
      <c r="BG440" s="75" t="str">
        <f aca="false">IF(LEN(BF440)=11,"PF",IF(LEN(BF440)=14,"PJ",""))</f>
        <v/>
      </c>
      <c r="BH440" s="66"/>
      <c r="BI440" s="58" t="str">
        <f aca="false">IF(BH440&lt;&gt;"",VLOOKUP(BH440,Selects!$G:$H,2,0),"")</f>
        <v/>
      </c>
      <c r="BJ440" s="58"/>
      <c r="BK440" s="58"/>
      <c r="BL440" s="59"/>
      <c r="BM440" s="58"/>
      <c r="BN440" s="58"/>
      <c r="BO440" s="58" t="str">
        <f aca="false">IF(BN440&lt;&gt;"",VLOOKUP(BN440,Selects!$J$4:$K$1000,2,0),"")</f>
        <v/>
      </c>
      <c r="BP440" s="76"/>
      <c r="BQ440" s="59"/>
      <c r="BR440" s="77"/>
      <c r="BS440" s="59"/>
      <c r="BT440" s="77"/>
      <c r="BU440" s="58"/>
      <c r="BV440" s="58"/>
      <c r="BW440" s="58"/>
      <c r="BX440" s="58"/>
      <c r="BY440" s="58"/>
      <c r="BZ440" s="58"/>
      <c r="CA440" s="58"/>
      <c r="CB440" s="72" t="str">
        <f aca="false">IF(AC440&lt;&gt;"",VLOOKUP(AC440,Selects!$B:$E,4,0),"")</f>
        <v/>
      </c>
      <c r="CC440" s="58"/>
      <c r="CD440" s="58"/>
      <c r="CE440" s="58"/>
    </row>
    <row r="441" customFormat="false" ht="15.75" hidden="false" customHeight="true" outlineLevel="0" collapsed="false">
      <c r="A441" s="17"/>
      <c r="B441" s="58"/>
      <c r="C441" s="58"/>
      <c r="D441" s="59"/>
      <c r="E441" s="60" t="str">
        <f aca="false">IF(LEN(D441)=11,"PF",IF(LEN(D441)=14,"PJ",""))</f>
        <v/>
      </c>
      <c r="F441" s="59"/>
      <c r="G441" s="59"/>
      <c r="H441" s="61" t="str">
        <f aca="false">IF(G441&lt;&gt;"",VLOOKUP(G441,'Cnae  mcc  id'!$A:$M,9,0),"")</f>
        <v/>
      </c>
      <c r="I441" s="62"/>
      <c r="J441" s="63" t="str">
        <f aca="false">IF(I441&lt;&gt;"",VLOOKUP(I441,'Legal Nature'!$E$2:$G$84,3,0),"")</f>
        <v/>
      </c>
      <c r="K441" s="64"/>
      <c r="L441" s="65"/>
      <c r="M441" s="66"/>
      <c r="N441" s="66"/>
      <c r="O441" s="79"/>
      <c r="P441" s="26"/>
      <c r="Q441" s="58"/>
      <c r="R441" s="58"/>
      <c r="S441" s="80"/>
      <c r="T441" s="68" t="str">
        <f aca="false">IF(LEFT(S441,1)="9","Celular",IF(S441="","","Fixo"))</f>
        <v/>
      </c>
      <c r="U441" s="58" t="str">
        <f aca="false">IF( T441&lt;&gt;"",VLOOKUP(T441,Selects!$M$4:$N$1000,2,0),"")</f>
        <v/>
      </c>
      <c r="V441" s="26"/>
      <c r="W441" s="58"/>
      <c r="X441" s="58"/>
      <c r="Y441" s="58"/>
      <c r="Z441" s="58"/>
      <c r="AA441" s="69"/>
      <c r="AB441" s="58"/>
      <c r="AC441" s="58"/>
      <c r="AD441" s="70" t="str">
        <f aca="false">IF(AC441&lt;&gt;"",VLOOKUP(AC441,Selects!$B$4:$C$100,2,0),"")</f>
        <v/>
      </c>
      <c r="AE441" s="26"/>
      <c r="AF441" s="58"/>
      <c r="AG441" s="59"/>
      <c r="AH441" s="65"/>
      <c r="AI441" s="66"/>
      <c r="AJ441" s="66"/>
      <c r="AK441" s="58"/>
      <c r="AL441" s="58"/>
      <c r="AM441" s="68" t="str">
        <f aca="false">IF(LEFT(AL441,1)="9","Celular",IF(AL441="","","Fixo"))</f>
        <v/>
      </c>
      <c r="AN441" s="58" t="str">
        <f aca="false">IF( AM441&lt;&gt;"",VLOOKUP(AM441,Selects!$M$4:$N$1000,2,0),"")</f>
        <v/>
      </c>
      <c r="AO441" s="58"/>
      <c r="AP441" s="59"/>
      <c r="AQ441" s="65"/>
      <c r="AR441" s="58"/>
      <c r="AS441" s="58"/>
      <c r="AT441" s="26"/>
      <c r="AU441" s="58"/>
      <c r="AV441" s="58"/>
      <c r="AW441" s="58"/>
      <c r="AX441" s="58"/>
      <c r="AY441" s="71"/>
      <c r="AZ441" s="58"/>
      <c r="BA441" s="58"/>
      <c r="BB441" s="72" t="str">
        <f aca="false">IF(BA441&lt;&gt;"",VLOOKUP(BA441,Selects!$B$4:$C$100,2,0),"")</f>
        <v/>
      </c>
      <c r="BC441" s="26"/>
      <c r="BD441" s="26"/>
      <c r="BE441" s="73"/>
      <c r="BF441" s="74"/>
      <c r="BG441" s="75" t="str">
        <f aca="false">IF(LEN(BF441)=11,"PF",IF(LEN(BF441)=14,"PJ",""))</f>
        <v/>
      </c>
      <c r="BH441" s="66"/>
      <c r="BI441" s="58" t="str">
        <f aca="false">IF(BH441&lt;&gt;"",VLOOKUP(BH441,Selects!$G:$H,2,0),"")</f>
        <v/>
      </c>
      <c r="BJ441" s="58"/>
      <c r="BK441" s="58"/>
      <c r="BL441" s="59"/>
      <c r="BM441" s="58"/>
      <c r="BN441" s="58"/>
      <c r="BO441" s="58" t="str">
        <f aca="false">IF(BN441&lt;&gt;"",VLOOKUP(BN441,Selects!$J$4:$K$1000,2,0),"")</f>
        <v/>
      </c>
      <c r="BP441" s="76"/>
      <c r="BQ441" s="59"/>
      <c r="BR441" s="77"/>
      <c r="BS441" s="59"/>
      <c r="BT441" s="77"/>
      <c r="BU441" s="58"/>
      <c r="BV441" s="58"/>
      <c r="BW441" s="58"/>
      <c r="BX441" s="58"/>
      <c r="BY441" s="58"/>
      <c r="BZ441" s="58"/>
      <c r="CA441" s="58"/>
      <c r="CB441" s="72" t="str">
        <f aca="false">IF(AC441&lt;&gt;"",VLOOKUP(AC441,Selects!$B:$E,4,0),"")</f>
        <v/>
      </c>
      <c r="CC441" s="58"/>
      <c r="CD441" s="58"/>
      <c r="CE441" s="58"/>
    </row>
    <row r="442" customFormat="false" ht="15.75" hidden="false" customHeight="true" outlineLevel="0" collapsed="false">
      <c r="A442" s="17"/>
      <c r="B442" s="58"/>
      <c r="C442" s="58"/>
      <c r="D442" s="59"/>
      <c r="E442" s="60" t="str">
        <f aca="false">IF(LEN(D442)=11,"PF",IF(LEN(D442)=14,"PJ",""))</f>
        <v/>
      </c>
      <c r="F442" s="59"/>
      <c r="G442" s="59"/>
      <c r="H442" s="61" t="str">
        <f aca="false">IF(G442&lt;&gt;"",VLOOKUP(G442,'Cnae  mcc  id'!$A:$M,9,0),"")</f>
        <v/>
      </c>
      <c r="I442" s="62"/>
      <c r="J442" s="63" t="str">
        <f aca="false">IF(I442&lt;&gt;"",VLOOKUP(I442,'Legal Nature'!$E$2:$G$84,3,0),"")</f>
        <v/>
      </c>
      <c r="K442" s="64"/>
      <c r="L442" s="65"/>
      <c r="M442" s="66"/>
      <c r="N442" s="66"/>
      <c r="O442" s="79"/>
      <c r="P442" s="26"/>
      <c r="Q442" s="58"/>
      <c r="R442" s="58"/>
      <c r="S442" s="80"/>
      <c r="T442" s="68" t="str">
        <f aca="false">IF(LEFT(S442,1)="9","Celular",IF(S442="","","Fixo"))</f>
        <v/>
      </c>
      <c r="U442" s="58" t="str">
        <f aca="false">IF( T442&lt;&gt;"",VLOOKUP(T442,Selects!$M$4:$N$1000,2,0),"")</f>
        <v/>
      </c>
      <c r="V442" s="26"/>
      <c r="W442" s="58"/>
      <c r="X442" s="58"/>
      <c r="Y442" s="58"/>
      <c r="Z442" s="58"/>
      <c r="AA442" s="69"/>
      <c r="AB442" s="58"/>
      <c r="AC442" s="58"/>
      <c r="AD442" s="70" t="str">
        <f aca="false">IF(AC442&lt;&gt;"",VLOOKUP(AC442,Selects!$B$4:$C$100,2,0),"")</f>
        <v/>
      </c>
      <c r="AE442" s="26"/>
      <c r="AF442" s="58"/>
      <c r="AG442" s="59"/>
      <c r="AH442" s="65"/>
      <c r="AI442" s="66"/>
      <c r="AJ442" s="66"/>
      <c r="AK442" s="58"/>
      <c r="AL442" s="58"/>
      <c r="AM442" s="68" t="str">
        <f aca="false">IF(LEFT(AL442,1)="9","Celular",IF(AL442="","","Fixo"))</f>
        <v/>
      </c>
      <c r="AN442" s="58" t="str">
        <f aca="false">IF( AM442&lt;&gt;"",VLOOKUP(AM442,Selects!$M$4:$N$1000,2,0),"")</f>
        <v/>
      </c>
      <c r="AO442" s="58"/>
      <c r="AP442" s="59"/>
      <c r="AQ442" s="65"/>
      <c r="AR442" s="58"/>
      <c r="AS442" s="58"/>
      <c r="AT442" s="26"/>
      <c r="AU442" s="58"/>
      <c r="AV442" s="58"/>
      <c r="AW442" s="58"/>
      <c r="AX442" s="58"/>
      <c r="AY442" s="71"/>
      <c r="AZ442" s="58"/>
      <c r="BA442" s="58"/>
      <c r="BB442" s="72" t="str">
        <f aca="false">IF(BA442&lt;&gt;"",VLOOKUP(BA442,Selects!$B$4:$C$100,2,0),"")</f>
        <v/>
      </c>
      <c r="BC442" s="26"/>
      <c r="BD442" s="26"/>
      <c r="BE442" s="73"/>
      <c r="BF442" s="74"/>
      <c r="BG442" s="75" t="str">
        <f aca="false">IF(LEN(BF442)=11,"PF",IF(LEN(BF442)=14,"PJ",""))</f>
        <v/>
      </c>
      <c r="BH442" s="66"/>
      <c r="BI442" s="58" t="str">
        <f aca="false">IF(BH442&lt;&gt;"",VLOOKUP(BH442,Selects!$G:$H,2,0),"")</f>
        <v/>
      </c>
      <c r="BJ442" s="58"/>
      <c r="BK442" s="58"/>
      <c r="BL442" s="59"/>
      <c r="BM442" s="58"/>
      <c r="BN442" s="58"/>
      <c r="BO442" s="58" t="str">
        <f aca="false">IF(BN442&lt;&gt;"",VLOOKUP(BN442,Selects!$J$4:$K$1000,2,0),"")</f>
        <v/>
      </c>
      <c r="BP442" s="76"/>
      <c r="BQ442" s="59"/>
      <c r="BR442" s="77"/>
      <c r="BS442" s="59"/>
      <c r="BT442" s="77"/>
      <c r="BU442" s="58"/>
      <c r="BV442" s="58"/>
      <c r="BW442" s="58"/>
      <c r="BX442" s="58"/>
      <c r="BY442" s="58"/>
      <c r="BZ442" s="58"/>
      <c r="CA442" s="58"/>
      <c r="CB442" s="72" t="str">
        <f aca="false">IF(AC442&lt;&gt;"",VLOOKUP(AC442,Selects!$B:$E,4,0),"")</f>
        <v/>
      </c>
      <c r="CC442" s="58"/>
      <c r="CD442" s="58"/>
      <c r="CE442" s="58"/>
    </row>
    <row r="443" customFormat="false" ht="15.75" hidden="false" customHeight="true" outlineLevel="0" collapsed="false">
      <c r="A443" s="17"/>
      <c r="B443" s="58"/>
      <c r="C443" s="58"/>
      <c r="D443" s="59"/>
      <c r="E443" s="60" t="str">
        <f aca="false">IF(LEN(D443)=11,"PF",IF(LEN(D443)=14,"PJ",""))</f>
        <v/>
      </c>
      <c r="F443" s="59"/>
      <c r="G443" s="59"/>
      <c r="H443" s="61" t="str">
        <f aca="false">IF(G443&lt;&gt;"",VLOOKUP(G443,'Cnae  mcc  id'!$A:$M,9,0),"")</f>
        <v/>
      </c>
      <c r="I443" s="62"/>
      <c r="J443" s="63" t="str">
        <f aca="false">IF(I443&lt;&gt;"",VLOOKUP(I443,'Legal Nature'!$E$2:$G$84,3,0),"")</f>
        <v/>
      </c>
      <c r="K443" s="64"/>
      <c r="L443" s="65"/>
      <c r="M443" s="66"/>
      <c r="N443" s="66"/>
      <c r="O443" s="79"/>
      <c r="P443" s="26"/>
      <c r="Q443" s="58"/>
      <c r="R443" s="58"/>
      <c r="S443" s="80"/>
      <c r="T443" s="68" t="str">
        <f aca="false">IF(LEFT(S443,1)="9","Celular",IF(S443="","","Fixo"))</f>
        <v/>
      </c>
      <c r="U443" s="58" t="str">
        <f aca="false">IF( T443&lt;&gt;"",VLOOKUP(T443,Selects!$M$4:$N$1000,2,0),"")</f>
        <v/>
      </c>
      <c r="V443" s="26"/>
      <c r="W443" s="58"/>
      <c r="X443" s="58"/>
      <c r="Y443" s="58"/>
      <c r="Z443" s="58"/>
      <c r="AA443" s="69"/>
      <c r="AB443" s="58"/>
      <c r="AC443" s="58"/>
      <c r="AD443" s="70" t="str">
        <f aca="false">IF(AC443&lt;&gt;"",VLOOKUP(AC443,Selects!$B$4:$C$100,2,0),"")</f>
        <v/>
      </c>
      <c r="AE443" s="26"/>
      <c r="AF443" s="58"/>
      <c r="AG443" s="59"/>
      <c r="AH443" s="65"/>
      <c r="AI443" s="66"/>
      <c r="AJ443" s="66"/>
      <c r="AK443" s="58"/>
      <c r="AL443" s="58"/>
      <c r="AM443" s="68" t="str">
        <f aca="false">IF(LEFT(AL443,1)="9","Celular",IF(AL443="","","Fixo"))</f>
        <v/>
      </c>
      <c r="AN443" s="58" t="str">
        <f aca="false">IF( AM443&lt;&gt;"",VLOOKUP(AM443,Selects!$M$4:$N$1000,2,0),"")</f>
        <v/>
      </c>
      <c r="AO443" s="58"/>
      <c r="AP443" s="59"/>
      <c r="AQ443" s="65"/>
      <c r="AR443" s="58"/>
      <c r="AS443" s="58"/>
      <c r="AT443" s="26"/>
      <c r="AU443" s="58"/>
      <c r="AV443" s="58"/>
      <c r="AW443" s="58"/>
      <c r="AX443" s="58"/>
      <c r="AY443" s="71"/>
      <c r="AZ443" s="58"/>
      <c r="BA443" s="58"/>
      <c r="BB443" s="72" t="str">
        <f aca="false">IF(BA443&lt;&gt;"",VLOOKUP(BA443,Selects!$B$4:$C$100,2,0),"")</f>
        <v/>
      </c>
      <c r="BC443" s="26"/>
      <c r="BD443" s="26"/>
      <c r="BE443" s="73"/>
      <c r="BF443" s="74"/>
      <c r="BG443" s="75" t="str">
        <f aca="false">IF(LEN(BF443)=11,"PF",IF(LEN(BF443)=14,"PJ",""))</f>
        <v/>
      </c>
      <c r="BH443" s="66"/>
      <c r="BI443" s="58" t="str">
        <f aca="false">IF(BH443&lt;&gt;"",VLOOKUP(BH443,Selects!$G:$H,2,0),"")</f>
        <v/>
      </c>
      <c r="BJ443" s="58"/>
      <c r="BK443" s="58"/>
      <c r="BL443" s="59"/>
      <c r="BM443" s="58"/>
      <c r="BN443" s="58"/>
      <c r="BO443" s="58" t="str">
        <f aca="false">IF(BN443&lt;&gt;"",VLOOKUP(BN443,Selects!$J$4:$K$1000,2,0),"")</f>
        <v/>
      </c>
      <c r="BP443" s="76"/>
      <c r="BQ443" s="59"/>
      <c r="BR443" s="77"/>
      <c r="BS443" s="59"/>
      <c r="BT443" s="77"/>
      <c r="BU443" s="58"/>
      <c r="BV443" s="58"/>
      <c r="BW443" s="58"/>
      <c r="BX443" s="58"/>
      <c r="BY443" s="58"/>
      <c r="BZ443" s="58"/>
      <c r="CA443" s="58"/>
      <c r="CB443" s="72" t="str">
        <f aca="false">IF(AC443&lt;&gt;"",VLOOKUP(AC443,Selects!$B:$E,4,0),"")</f>
        <v/>
      </c>
      <c r="CC443" s="58"/>
      <c r="CD443" s="58"/>
      <c r="CE443" s="58"/>
    </row>
    <row r="444" customFormat="false" ht="15.75" hidden="false" customHeight="true" outlineLevel="0" collapsed="false">
      <c r="A444" s="17"/>
      <c r="B444" s="58"/>
      <c r="C444" s="58"/>
      <c r="D444" s="59"/>
      <c r="E444" s="60" t="str">
        <f aca="false">IF(LEN(D444)=11,"PF",IF(LEN(D444)=14,"PJ",""))</f>
        <v/>
      </c>
      <c r="F444" s="59"/>
      <c r="G444" s="59"/>
      <c r="H444" s="61" t="str">
        <f aca="false">IF(G444&lt;&gt;"",VLOOKUP(G444,'Cnae  mcc  id'!$A:$M,9,0),"")</f>
        <v/>
      </c>
      <c r="I444" s="62"/>
      <c r="J444" s="63" t="str">
        <f aca="false">IF(I444&lt;&gt;"",VLOOKUP(I444,'Legal Nature'!$E$2:$G$84,3,0),"")</f>
        <v/>
      </c>
      <c r="K444" s="64"/>
      <c r="L444" s="65"/>
      <c r="M444" s="66"/>
      <c r="N444" s="66"/>
      <c r="O444" s="79"/>
      <c r="P444" s="26"/>
      <c r="Q444" s="58"/>
      <c r="R444" s="58"/>
      <c r="S444" s="80"/>
      <c r="T444" s="68" t="str">
        <f aca="false">IF(LEFT(S444,1)="9","Celular",IF(S444="","","Fixo"))</f>
        <v/>
      </c>
      <c r="U444" s="58" t="str">
        <f aca="false">IF( T444&lt;&gt;"",VLOOKUP(T444,Selects!$M$4:$N$1000,2,0),"")</f>
        <v/>
      </c>
      <c r="V444" s="26"/>
      <c r="W444" s="58"/>
      <c r="X444" s="58"/>
      <c r="Y444" s="58"/>
      <c r="Z444" s="58"/>
      <c r="AA444" s="69"/>
      <c r="AB444" s="58"/>
      <c r="AC444" s="58"/>
      <c r="AD444" s="70" t="str">
        <f aca="false">IF(AC444&lt;&gt;"",VLOOKUP(AC444,Selects!$B$4:$C$100,2,0),"")</f>
        <v/>
      </c>
      <c r="AE444" s="26"/>
      <c r="AF444" s="58"/>
      <c r="AG444" s="59"/>
      <c r="AH444" s="65"/>
      <c r="AI444" s="66"/>
      <c r="AJ444" s="66"/>
      <c r="AK444" s="58"/>
      <c r="AL444" s="58"/>
      <c r="AM444" s="68" t="str">
        <f aca="false">IF(LEFT(AL444,1)="9","Celular",IF(AL444="","","Fixo"))</f>
        <v/>
      </c>
      <c r="AN444" s="58" t="str">
        <f aca="false">IF( AM444&lt;&gt;"",VLOOKUP(AM444,Selects!$M$4:$N$1000,2,0),"")</f>
        <v/>
      </c>
      <c r="AO444" s="58"/>
      <c r="AP444" s="59"/>
      <c r="AQ444" s="65"/>
      <c r="AR444" s="58"/>
      <c r="AS444" s="58"/>
      <c r="AT444" s="26"/>
      <c r="AU444" s="58"/>
      <c r="AV444" s="58"/>
      <c r="AW444" s="58"/>
      <c r="AX444" s="58"/>
      <c r="AY444" s="71"/>
      <c r="AZ444" s="58"/>
      <c r="BA444" s="58"/>
      <c r="BB444" s="72" t="str">
        <f aca="false">IF(BA444&lt;&gt;"",VLOOKUP(BA444,Selects!$B$4:$C$100,2,0),"")</f>
        <v/>
      </c>
      <c r="BC444" s="26"/>
      <c r="BD444" s="26"/>
      <c r="BE444" s="73"/>
      <c r="BF444" s="74"/>
      <c r="BG444" s="75" t="str">
        <f aca="false">IF(LEN(BF444)=11,"PF",IF(LEN(BF444)=14,"PJ",""))</f>
        <v/>
      </c>
      <c r="BH444" s="66"/>
      <c r="BI444" s="58" t="str">
        <f aca="false">IF(BH444&lt;&gt;"",VLOOKUP(BH444,Selects!$G:$H,2,0),"")</f>
        <v/>
      </c>
      <c r="BJ444" s="58"/>
      <c r="BK444" s="58"/>
      <c r="BL444" s="59"/>
      <c r="BM444" s="58"/>
      <c r="BN444" s="58"/>
      <c r="BO444" s="58" t="str">
        <f aca="false">IF(BN444&lt;&gt;"",VLOOKUP(BN444,Selects!$J$4:$K$1000,2,0),"")</f>
        <v/>
      </c>
      <c r="BP444" s="76"/>
      <c r="BQ444" s="59"/>
      <c r="BR444" s="77"/>
      <c r="BS444" s="59"/>
      <c r="BT444" s="77"/>
      <c r="BU444" s="58"/>
      <c r="BV444" s="58"/>
      <c r="BW444" s="58"/>
      <c r="BX444" s="58"/>
      <c r="BY444" s="58"/>
      <c r="BZ444" s="58"/>
      <c r="CA444" s="58"/>
      <c r="CB444" s="72" t="str">
        <f aca="false">IF(AC444&lt;&gt;"",VLOOKUP(AC444,Selects!$B:$E,4,0),"")</f>
        <v/>
      </c>
      <c r="CC444" s="58"/>
      <c r="CD444" s="58"/>
      <c r="CE444" s="58"/>
    </row>
    <row r="445" customFormat="false" ht="15.75" hidden="false" customHeight="true" outlineLevel="0" collapsed="false">
      <c r="A445" s="17"/>
      <c r="B445" s="58"/>
      <c r="C445" s="58"/>
      <c r="D445" s="59"/>
      <c r="E445" s="60" t="str">
        <f aca="false">IF(LEN(D445)=11,"PF",IF(LEN(D445)=14,"PJ",""))</f>
        <v/>
      </c>
      <c r="F445" s="59"/>
      <c r="G445" s="59"/>
      <c r="H445" s="61" t="str">
        <f aca="false">IF(G445&lt;&gt;"",VLOOKUP(G445,'Cnae  mcc  id'!$A:$M,9,0),"")</f>
        <v/>
      </c>
      <c r="I445" s="62"/>
      <c r="J445" s="63" t="str">
        <f aca="false">IF(I445&lt;&gt;"",VLOOKUP(I445,'Legal Nature'!$E$2:$G$84,3,0),"")</f>
        <v/>
      </c>
      <c r="K445" s="64"/>
      <c r="L445" s="65"/>
      <c r="M445" s="66"/>
      <c r="N445" s="66"/>
      <c r="O445" s="79"/>
      <c r="P445" s="26"/>
      <c r="Q445" s="58"/>
      <c r="R445" s="58"/>
      <c r="S445" s="80"/>
      <c r="T445" s="68" t="str">
        <f aca="false">IF(LEFT(S445,1)="9","Celular",IF(S445="","","Fixo"))</f>
        <v/>
      </c>
      <c r="U445" s="58" t="str">
        <f aca="false">IF( T445&lt;&gt;"",VLOOKUP(T445,Selects!$M$4:$N$1000,2,0),"")</f>
        <v/>
      </c>
      <c r="V445" s="26"/>
      <c r="W445" s="58"/>
      <c r="X445" s="58"/>
      <c r="Y445" s="58"/>
      <c r="Z445" s="58"/>
      <c r="AA445" s="69"/>
      <c r="AB445" s="58"/>
      <c r="AC445" s="58"/>
      <c r="AD445" s="70" t="str">
        <f aca="false">IF(AC445&lt;&gt;"",VLOOKUP(AC445,Selects!$B$4:$C$100,2,0),"")</f>
        <v/>
      </c>
      <c r="AE445" s="26"/>
      <c r="AF445" s="58"/>
      <c r="AG445" s="59"/>
      <c r="AH445" s="65"/>
      <c r="AI445" s="66"/>
      <c r="AJ445" s="66"/>
      <c r="AK445" s="58"/>
      <c r="AL445" s="58"/>
      <c r="AM445" s="68" t="str">
        <f aca="false">IF(LEFT(AL445,1)="9","Celular",IF(AL445="","","Fixo"))</f>
        <v/>
      </c>
      <c r="AN445" s="58" t="str">
        <f aca="false">IF( AM445&lt;&gt;"",VLOOKUP(AM445,Selects!$M$4:$N$1000,2,0),"")</f>
        <v/>
      </c>
      <c r="AO445" s="58"/>
      <c r="AP445" s="59"/>
      <c r="AQ445" s="65"/>
      <c r="AR445" s="58"/>
      <c r="AS445" s="58"/>
      <c r="AT445" s="26"/>
      <c r="AU445" s="58"/>
      <c r="AV445" s="58"/>
      <c r="AW445" s="58"/>
      <c r="AX445" s="58"/>
      <c r="AY445" s="71"/>
      <c r="AZ445" s="58"/>
      <c r="BA445" s="58"/>
      <c r="BB445" s="72" t="str">
        <f aca="false">IF(BA445&lt;&gt;"",VLOOKUP(BA445,Selects!$B$4:$C$100,2,0),"")</f>
        <v/>
      </c>
      <c r="BC445" s="26"/>
      <c r="BD445" s="26"/>
      <c r="BE445" s="73"/>
      <c r="BF445" s="74"/>
      <c r="BG445" s="75" t="str">
        <f aca="false">IF(LEN(BF445)=11,"PF",IF(LEN(BF445)=14,"PJ",""))</f>
        <v/>
      </c>
      <c r="BH445" s="66"/>
      <c r="BI445" s="58" t="str">
        <f aca="false">IF(BH445&lt;&gt;"",VLOOKUP(BH445,Selects!$G:$H,2,0),"")</f>
        <v/>
      </c>
      <c r="BJ445" s="58"/>
      <c r="BK445" s="58"/>
      <c r="BL445" s="59"/>
      <c r="BM445" s="58"/>
      <c r="BN445" s="58"/>
      <c r="BO445" s="58" t="str">
        <f aca="false">IF(BN445&lt;&gt;"",VLOOKUP(BN445,Selects!$J$4:$K$1000,2,0),"")</f>
        <v/>
      </c>
      <c r="BP445" s="76"/>
      <c r="BQ445" s="59"/>
      <c r="BR445" s="77"/>
      <c r="BS445" s="59"/>
      <c r="BT445" s="77"/>
      <c r="BU445" s="58"/>
      <c r="BV445" s="58"/>
      <c r="BW445" s="58"/>
      <c r="BX445" s="58"/>
      <c r="BY445" s="58"/>
      <c r="BZ445" s="58"/>
      <c r="CA445" s="58"/>
      <c r="CB445" s="72" t="str">
        <f aca="false">IF(AC445&lt;&gt;"",VLOOKUP(AC445,Selects!$B:$E,4,0),"")</f>
        <v/>
      </c>
      <c r="CC445" s="58"/>
      <c r="CD445" s="58"/>
      <c r="CE445" s="58"/>
    </row>
    <row r="446" customFormat="false" ht="15.75" hidden="false" customHeight="true" outlineLevel="0" collapsed="false">
      <c r="A446" s="17"/>
      <c r="B446" s="58"/>
      <c r="C446" s="58"/>
      <c r="D446" s="59"/>
      <c r="E446" s="60" t="str">
        <f aca="false">IF(LEN(D446)=11,"PF",IF(LEN(D446)=14,"PJ",""))</f>
        <v/>
      </c>
      <c r="F446" s="59"/>
      <c r="G446" s="59"/>
      <c r="H446" s="61" t="str">
        <f aca="false">IF(G446&lt;&gt;"",VLOOKUP(G446,'Cnae  mcc  id'!$A:$M,9,0),"")</f>
        <v/>
      </c>
      <c r="I446" s="62"/>
      <c r="J446" s="63" t="str">
        <f aca="false">IF(I446&lt;&gt;"",VLOOKUP(I446,'Legal Nature'!$E$2:$G$84,3,0),"")</f>
        <v/>
      </c>
      <c r="K446" s="64"/>
      <c r="L446" s="65"/>
      <c r="M446" s="66"/>
      <c r="N446" s="66"/>
      <c r="O446" s="79"/>
      <c r="P446" s="26"/>
      <c r="Q446" s="58"/>
      <c r="R446" s="58"/>
      <c r="S446" s="80"/>
      <c r="T446" s="68" t="str">
        <f aca="false">IF(LEFT(S446,1)="9","Celular",IF(S446="","","Fixo"))</f>
        <v/>
      </c>
      <c r="U446" s="58" t="str">
        <f aca="false">IF( T446&lt;&gt;"",VLOOKUP(T446,Selects!$M$4:$N$1000,2,0),"")</f>
        <v/>
      </c>
      <c r="V446" s="26"/>
      <c r="W446" s="58"/>
      <c r="X446" s="58"/>
      <c r="Y446" s="58"/>
      <c r="Z446" s="58"/>
      <c r="AA446" s="69"/>
      <c r="AB446" s="58"/>
      <c r="AC446" s="58"/>
      <c r="AD446" s="70" t="str">
        <f aca="false">IF(AC446&lt;&gt;"",VLOOKUP(AC446,Selects!$B$4:$C$100,2,0),"")</f>
        <v/>
      </c>
      <c r="AE446" s="26"/>
      <c r="AF446" s="58"/>
      <c r="AG446" s="59"/>
      <c r="AH446" s="65"/>
      <c r="AI446" s="66"/>
      <c r="AJ446" s="66"/>
      <c r="AK446" s="58"/>
      <c r="AL446" s="58"/>
      <c r="AM446" s="68" t="str">
        <f aca="false">IF(LEFT(AL446,1)="9","Celular",IF(AL446="","","Fixo"))</f>
        <v/>
      </c>
      <c r="AN446" s="58" t="str">
        <f aca="false">IF( AM446&lt;&gt;"",VLOOKUP(AM446,Selects!$M$4:$N$1000,2,0),"")</f>
        <v/>
      </c>
      <c r="AO446" s="58"/>
      <c r="AP446" s="59"/>
      <c r="AQ446" s="65"/>
      <c r="AR446" s="58"/>
      <c r="AS446" s="58"/>
      <c r="AT446" s="26"/>
      <c r="AU446" s="58"/>
      <c r="AV446" s="58"/>
      <c r="AW446" s="58"/>
      <c r="AX446" s="58"/>
      <c r="AY446" s="71"/>
      <c r="AZ446" s="58"/>
      <c r="BA446" s="58"/>
      <c r="BB446" s="72" t="str">
        <f aca="false">IF(BA446&lt;&gt;"",VLOOKUP(BA446,Selects!$B$4:$C$100,2,0),"")</f>
        <v/>
      </c>
      <c r="BC446" s="26"/>
      <c r="BD446" s="26"/>
      <c r="BE446" s="73"/>
      <c r="BF446" s="74"/>
      <c r="BG446" s="75" t="str">
        <f aca="false">IF(LEN(BF446)=11,"PF",IF(LEN(BF446)=14,"PJ",""))</f>
        <v/>
      </c>
      <c r="BH446" s="66"/>
      <c r="BI446" s="58" t="str">
        <f aca="false">IF(BH446&lt;&gt;"",VLOOKUP(BH446,Selects!$G:$H,2,0),"")</f>
        <v/>
      </c>
      <c r="BJ446" s="58"/>
      <c r="BK446" s="58"/>
      <c r="BL446" s="59"/>
      <c r="BM446" s="58"/>
      <c r="BN446" s="58"/>
      <c r="BO446" s="58" t="str">
        <f aca="false">IF(BN446&lt;&gt;"",VLOOKUP(BN446,Selects!$J$4:$K$1000,2,0),"")</f>
        <v/>
      </c>
      <c r="BP446" s="76"/>
      <c r="BQ446" s="59"/>
      <c r="BR446" s="77"/>
      <c r="BS446" s="59"/>
      <c r="BT446" s="77"/>
      <c r="BU446" s="58"/>
      <c r="BV446" s="58"/>
      <c r="BW446" s="58"/>
      <c r="BX446" s="58"/>
      <c r="BY446" s="58"/>
      <c r="BZ446" s="58"/>
      <c r="CA446" s="58"/>
      <c r="CB446" s="72" t="str">
        <f aca="false">IF(AC446&lt;&gt;"",VLOOKUP(AC446,Selects!$B:$E,4,0),"")</f>
        <v/>
      </c>
      <c r="CC446" s="58"/>
      <c r="CD446" s="58"/>
      <c r="CE446" s="58"/>
    </row>
    <row r="447" customFormat="false" ht="15.75" hidden="false" customHeight="true" outlineLevel="0" collapsed="false">
      <c r="A447" s="17"/>
      <c r="B447" s="58"/>
      <c r="C447" s="58"/>
      <c r="D447" s="59"/>
      <c r="E447" s="60" t="str">
        <f aca="false">IF(LEN(D447)=11,"PF",IF(LEN(D447)=14,"PJ",""))</f>
        <v/>
      </c>
      <c r="F447" s="59"/>
      <c r="G447" s="59"/>
      <c r="H447" s="61" t="str">
        <f aca="false">IF(G447&lt;&gt;"",VLOOKUP(G447,'Cnae  mcc  id'!$A:$M,9,0),"")</f>
        <v/>
      </c>
      <c r="I447" s="62"/>
      <c r="J447" s="63" t="str">
        <f aca="false">IF(I447&lt;&gt;"",VLOOKUP(I447,'Legal Nature'!$E$2:$G$84,3,0),"")</f>
        <v/>
      </c>
      <c r="K447" s="64"/>
      <c r="L447" s="65"/>
      <c r="M447" s="66"/>
      <c r="N447" s="66"/>
      <c r="O447" s="79"/>
      <c r="P447" s="26"/>
      <c r="Q447" s="58"/>
      <c r="R447" s="58"/>
      <c r="S447" s="80"/>
      <c r="T447" s="68" t="str">
        <f aca="false">IF(LEFT(S447,1)="9","Celular",IF(S447="","","Fixo"))</f>
        <v/>
      </c>
      <c r="U447" s="58" t="str">
        <f aca="false">IF( T447&lt;&gt;"",VLOOKUP(T447,Selects!$M$4:$N$1000,2,0),"")</f>
        <v/>
      </c>
      <c r="V447" s="26"/>
      <c r="W447" s="58"/>
      <c r="X447" s="58"/>
      <c r="Y447" s="58"/>
      <c r="Z447" s="58"/>
      <c r="AA447" s="69"/>
      <c r="AB447" s="58"/>
      <c r="AC447" s="58"/>
      <c r="AD447" s="70" t="str">
        <f aca="false">IF(AC447&lt;&gt;"",VLOOKUP(AC447,Selects!$B$4:$C$100,2,0),"")</f>
        <v/>
      </c>
      <c r="AE447" s="26"/>
      <c r="AF447" s="58"/>
      <c r="AG447" s="59"/>
      <c r="AH447" s="65"/>
      <c r="AI447" s="66"/>
      <c r="AJ447" s="66"/>
      <c r="AK447" s="58"/>
      <c r="AL447" s="58"/>
      <c r="AM447" s="68" t="str">
        <f aca="false">IF(LEFT(AL447,1)="9","Celular",IF(AL447="","","Fixo"))</f>
        <v/>
      </c>
      <c r="AN447" s="58" t="str">
        <f aca="false">IF( AM447&lt;&gt;"",VLOOKUP(AM447,Selects!$M$4:$N$1000,2,0),"")</f>
        <v/>
      </c>
      <c r="AO447" s="58"/>
      <c r="AP447" s="59"/>
      <c r="AQ447" s="65"/>
      <c r="AR447" s="58"/>
      <c r="AS447" s="58"/>
      <c r="AT447" s="26"/>
      <c r="AU447" s="58"/>
      <c r="AV447" s="58"/>
      <c r="AW447" s="58"/>
      <c r="AX447" s="58"/>
      <c r="AY447" s="71"/>
      <c r="AZ447" s="58"/>
      <c r="BA447" s="58"/>
      <c r="BB447" s="72" t="str">
        <f aca="false">IF(BA447&lt;&gt;"",VLOOKUP(BA447,Selects!$B$4:$C$100,2,0),"")</f>
        <v/>
      </c>
      <c r="BC447" s="26"/>
      <c r="BD447" s="26"/>
      <c r="BE447" s="73"/>
      <c r="BF447" s="74"/>
      <c r="BG447" s="75" t="str">
        <f aca="false">IF(LEN(BF447)=11,"PF",IF(LEN(BF447)=14,"PJ",""))</f>
        <v/>
      </c>
      <c r="BH447" s="66"/>
      <c r="BI447" s="58" t="str">
        <f aca="false">IF(BH447&lt;&gt;"",VLOOKUP(BH447,Selects!$G:$H,2,0),"")</f>
        <v/>
      </c>
      <c r="BJ447" s="58"/>
      <c r="BK447" s="58"/>
      <c r="BL447" s="59"/>
      <c r="BM447" s="58"/>
      <c r="BN447" s="58"/>
      <c r="BO447" s="58" t="str">
        <f aca="false">IF(BN447&lt;&gt;"",VLOOKUP(BN447,Selects!$J$4:$K$1000,2,0),"")</f>
        <v/>
      </c>
      <c r="BP447" s="76"/>
      <c r="BQ447" s="59"/>
      <c r="BR447" s="77"/>
      <c r="BS447" s="59"/>
      <c r="BT447" s="77"/>
      <c r="BU447" s="58"/>
      <c r="BV447" s="58"/>
      <c r="BW447" s="58"/>
      <c r="BX447" s="58"/>
      <c r="BY447" s="58"/>
      <c r="BZ447" s="58"/>
      <c r="CA447" s="58"/>
      <c r="CB447" s="72" t="str">
        <f aca="false">IF(AC447&lt;&gt;"",VLOOKUP(AC447,Selects!$B:$E,4,0),"")</f>
        <v/>
      </c>
      <c r="CC447" s="58"/>
      <c r="CD447" s="58"/>
      <c r="CE447" s="58"/>
    </row>
    <row r="448" customFormat="false" ht="15.75" hidden="false" customHeight="true" outlineLevel="0" collapsed="false">
      <c r="A448" s="17"/>
      <c r="B448" s="58"/>
      <c r="C448" s="58"/>
      <c r="D448" s="59"/>
      <c r="E448" s="60" t="str">
        <f aca="false">IF(LEN(D448)=11,"PF",IF(LEN(D448)=14,"PJ",""))</f>
        <v/>
      </c>
      <c r="F448" s="59"/>
      <c r="G448" s="59"/>
      <c r="H448" s="61" t="str">
        <f aca="false">IF(G448&lt;&gt;"",VLOOKUP(G448,'Cnae  mcc  id'!$A:$M,9,0),"")</f>
        <v/>
      </c>
      <c r="I448" s="62"/>
      <c r="J448" s="63" t="str">
        <f aca="false">IF(I448&lt;&gt;"",VLOOKUP(I448,'Legal Nature'!$E$2:$G$84,3,0),"")</f>
        <v/>
      </c>
      <c r="K448" s="64"/>
      <c r="L448" s="65"/>
      <c r="M448" s="66"/>
      <c r="N448" s="66"/>
      <c r="O448" s="79"/>
      <c r="P448" s="26"/>
      <c r="Q448" s="58"/>
      <c r="R448" s="58"/>
      <c r="S448" s="80"/>
      <c r="T448" s="68" t="str">
        <f aca="false">IF(LEFT(S448,1)="9","Celular",IF(S448="","","Fixo"))</f>
        <v/>
      </c>
      <c r="U448" s="58" t="str">
        <f aca="false">IF( T448&lt;&gt;"",VLOOKUP(T448,Selects!$M$4:$N$1000,2,0),"")</f>
        <v/>
      </c>
      <c r="V448" s="26"/>
      <c r="W448" s="58"/>
      <c r="X448" s="58"/>
      <c r="Y448" s="58"/>
      <c r="Z448" s="58"/>
      <c r="AA448" s="69"/>
      <c r="AB448" s="58"/>
      <c r="AC448" s="58"/>
      <c r="AD448" s="70" t="str">
        <f aca="false">IF(AC448&lt;&gt;"",VLOOKUP(AC448,Selects!$B$4:$C$100,2,0),"")</f>
        <v/>
      </c>
      <c r="AE448" s="26"/>
      <c r="AF448" s="58"/>
      <c r="AG448" s="59"/>
      <c r="AH448" s="65"/>
      <c r="AI448" s="66"/>
      <c r="AJ448" s="66"/>
      <c r="AK448" s="58"/>
      <c r="AL448" s="58"/>
      <c r="AM448" s="68" t="str">
        <f aca="false">IF(LEFT(AL448,1)="9","Celular",IF(AL448="","","Fixo"))</f>
        <v/>
      </c>
      <c r="AN448" s="58" t="str">
        <f aca="false">IF( AM448&lt;&gt;"",VLOOKUP(AM448,Selects!$M$4:$N$1000,2,0),"")</f>
        <v/>
      </c>
      <c r="AO448" s="58"/>
      <c r="AP448" s="59"/>
      <c r="AQ448" s="65"/>
      <c r="AR448" s="58"/>
      <c r="AS448" s="58"/>
      <c r="AT448" s="26"/>
      <c r="AU448" s="58"/>
      <c r="AV448" s="58"/>
      <c r="AW448" s="58"/>
      <c r="AX448" s="58"/>
      <c r="AY448" s="71"/>
      <c r="AZ448" s="58"/>
      <c r="BA448" s="58"/>
      <c r="BB448" s="72" t="str">
        <f aca="false">IF(BA448&lt;&gt;"",VLOOKUP(BA448,Selects!$B$4:$C$100,2,0),"")</f>
        <v/>
      </c>
      <c r="BC448" s="26"/>
      <c r="BD448" s="26"/>
      <c r="BE448" s="73"/>
      <c r="BF448" s="74"/>
      <c r="BG448" s="75" t="str">
        <f aca="false">IF(LEN(BF448)=11,"PF",IF(LEN(BF448)=14,"PJ",""))</f>
        <v/>
      </c>
      <c r="BH448" s="66"/>
      <c r="BI448" s="58" t="str">
        <f aca="false">IF(BH448&lt;&gt;"",VLOOKUP(BH448,Selects!$G:$H,2,0),"")</f>
        <v/>
      </c>
      <c r="BJ448" s="58"/>
      <c r="BK448" s="58"/>
      <c r="BL448" s="59"/>
      <c r="BM448" s="58"/>
      <c r="BN448" s="58"/>
      <c r="BO448" s="58" t="str">
        <f aca="false">IF(BN448&lt;&gt;"",VLOOKUP(BN448,Selects!$J$4:$K$1000,2,0),"")</f>
        <v/>
      </c>
      <c r="BP448" s="76"/>
      <c r="BQ448" s="59"/>
      <c r="BR448" s="77"/>
      <c r="BS448" s="59"/>
      <c r="BT448" s="77"/>
      <c r="BU448" s="58"/>
      <c r="BV448" s="58"/>
      <c r="BW448" s="58"/>
      <c r="BX448" s="58"/>
      <c r="BY448" s="58"/>
      <c r="BZ448" s="58"/>
      <c r="CA448" s="58"/>
      <c r="CB448" s="72" t="str">
        <f aca="false">IF(AC448&lt;&gt;"",VLOOKUP(AC448,Selects!$B:$E,4,0),"")</f>
        <v/>
      </c>
      <c r="CC448" s="58"/>
      <c r="CD448" s="58"/>
      <c r="CE448" s="58"/>
    </row>
    <row r="449" customFormat="false" ht="15.75" hidden="false" customHeight="true" outlineLevel="0" collapsed="false">
      <c r="A449" s="17"/>
      <c r="B449" s="58"/>
      <c r="C449" s="58"/>
      <c r="D449" s="59"/>
      <c r="E449" s="60" t="str">
        <f aca="false">IF(LEN(D449)=11,"PF",IF(LEN(D449)=14,"PJ",""))</f>
        <v/>
      </c>
      <c r="F449" s="59"/>
      <c r="G449" s="59"/>
      <c r="H449" s="61" t="str">
        <f aca="false">IF(G449&lt;&gt;"",VLOOKUP(G449,'Cnae  mcc  id'!$A:$M,9,0),"")</f>
        <v/>
      </c>
      <c r="I449" s="62"/>
      <c r="J449" s="63" t="str">
        <f aca="false">IF(I449&lt;&gt;"",VLOOKUP(I449,'Legal Nature'!$E$2:$G$84,3,0),"")</f>
        <v/>
      </c>
      <c r="K449" s="64"/>
      <c r="L449" s="65"/>
      <c r="M449" s="66"/>
      <c r="N449" s="66"/>
      <c r="O449" s="79"/>
      <c r="P449" s="26"/>
      <c r="Q449" s="58"/>
      <c r="R449" s="58"/>
      <c r="S449" s="80"/>
      <c r="T449" s="68" t="str">
        <f aca="false">IF(LEFT(S449,1)="9","Celular",IF(S449="","","Fixo"))</f>
        <v/>
      </c>
      <c r="U449" s="58" t="str">
        <f aca="false">IF( T449&lt;&gt;"",VLOOKUP(T449,Selects!$M$4:$N$1000,2,0),"")</f>
        <v/>
      </c>
      <c r="V449" s="26"/>
      <c r="W449" s="58"/>
      <c r="X449" s="58"/>
      <c r="Y449" s="58"/>
      <c r="Z449" s="58"/>
      <c r="AA449" s="69"/>
      <c r="AB449" s="58"/>
      <c r="AC449" s="58"/>
      <c r="AD449" s="70" t="str">
        <f aca="false">IF(AC449&lt;&gt;"",VLOOKUP(AC449,Selects!$B$4:$C$100,2,0),"")</f>
        <v/>
      </c>
      <c r="AE449" s="26"/>
      <c r="AF449" s="58"/>
      <c r="AG449" s="59"/>
      <c r="AH449" s="65"/>
      <c r="AI449" s="66"/>
      <c r="AJ449" s="66"/>
      <c r="AK449" s="58"/>
      <c r="AL449" s="58"/>
      <c r="AM449" s="68" t="str">
        <f aca="false">IF(LEFT(AL449,1)="9","Celular",IF(AL449="","","Fixo"))</f>
        <v/>
      </c>
      <c r="AN449" s="58" t="str">
        <f aca="false">IF( AM449&lt;&gt;"",VLOOKUP(AM449,Selects!$M$4:$N$1000,2,0),"")</f>
        <v/>
      </c>
      <c r="AO449" s="58"/>
      <c r="AP449" s="59"/>
      <c r="AQ449" s="65"/>
      <c r="AR449" s="58"/>
      <c r="AS449" s="58"/>
      <c r="AT449" s="26"/>
      <c r="AU449" s="58"/>
      <c r="AV449" s="58"/>
      <c r="AW449" s="58"/>
      <c r="AX449" s="58"/>
      <c r="AY449" s="71"/>
      <c r="AZ449" s="58"/>
      <c r="BA449" s="58"/>
      <c r="BB449" s="72" t="str">
        <f aca="false">IF(BA449&lt;&gt;"",VLOOKUP(BA449,Selects!$B$4:$C$100,2,0),"")</f>
        <v/>
      </c>
      <c r="BC449" s="26"/>
      <c r="BD449" s="26"/>
      <c r="BE449" s="73"/>
      <c r="BF449" s="74"/>
      <c r="BG449" s="75" t="str">
        <f aca="false">IF(LEN(BF449)=11,"PF",IF(LEN(BF449)=14,"PJ",""))</f>
        <v/>
      </c>
      <c r="BH449" s="66"/>
      <c r="BI449" s="58" t="str">
        <f aca="false">IF(BH449&lt;&gt;"",VLOOKUP(BH449,Selects!$G:$H,2,0),"")</f>
        <v/>
      </c>
      <c r="BJ449" s="58"/>
      <c r="BK449" s="58"/>
      <c r="BL449" s="59"/>
      <c r="BM449" s="58"/>
      <c r="BN449" s="58"/>
      <c r="BO449" s="58" t="str">
        <f aca="false">IF(BN449&lt;&gt;"",VLOOKUP(BN449,Selects!$J$4:$K$1000,2,0),"")</f>
        <v/>
      </c>
      <c r="BP449" s="76"/>
      <c r="BQ449" s="59"/>
      <c r="BR449" s="77"/>
      <c r="BS449" s="59"/>
      <c r="BT449" s="77"/>
      <c r="BU449" s="58"/>
      <c r="BV449" s="58"/>
      <c r="BW449" s="58"/>
      <c r="BX449" s="58"/>
      <c r="BY449" s="58"/>
      <c r="BZ449" s="58"/>
      <c r="CA449" s="58"/>
      <c r="CB449" s="72" t="str">
        <f aca="false">IF(AC449&lt;&gt;"",VLOOKUP(AC449,Selects!$B:$E,4,0),"")</f>
        <v/>
      </c>
      <c r="CC449" s="58"/>
      <c r="CD449" s="58"/>
      <c r="CE449" s="58"/>
    </row>
    <row r="450" customFormat="false" ht="15.75" hidden="false" customHeight="true" outlineLevel="0" collapsed="false">
      <c r="A450" s="17"/>
      <c r="B450" s="58"/>
      <c r="C450" s="58"/>
      <c r="D450" s="59"/>
      <c r="E450" s="60" t="str">
        <f aca="false">IF(LEN(D450)=11,"PF",IF(LEN(D450)=14,"PJ",""))</f>
        <v/>
      </c>
      <c r="F450" s="59"/>
      <c r="G450" s="59"/>
      <c r="H450" s="61" t="str">
        <f aca="false">IF(G450&lt;&gt;"",VLOOKUP(G450,'Cnae  mcc  id'!$A:$M,9,0),"")</f>
        <v/>
      </c>
      <c r="I450" s="62"/>
      <c r="J450" s="63" t="str">
        <f aca="false">IF(I450&lt;&gt;"",VLOOKUP(I450,'Legal Nature'!$E$2:$G$84,3,0),"")</f>
        <v/>
      </c>
      <c r="K450" s="64"/>
      <c r="L450" s="65"/>
      <c r="M450" s="66"/>
      <c r="N450" s="66"/>
      <c r="O450" s="79"/>
      <c r="P450" s="26"/>
      <c r="Q450" s="58"/>
      <c r="R450" s="58"/>
      <c r="S450" s="80"/>
      <c r="T450" s="68" t="str">
        <f aca="false">IF(LEFT(S450,1)="9","Celular",IF(S450="","","Fixo"))</f>
        <v/>
      </c>
      <c r="U450" s="58" t="str">
        <f aca="false">IF( T450&lt;&gt;"",VLOOKUP(T450,Selects!$M$4:$N$1000,2,0),"")</f>
        <v/>
      </c>
      <c r="V450" s="26"/>
      <c r="W450" s="58"/>
      <c r="X450" s="58"/>
      <c r="Y450" s="58"/>
      <c r="Z450" s="58"/>
      <c r="AA450" s="69"/>
      <c r="AB450" s="58"/>
      <c r="AC450" s="58"/>
      <c r="AD450" s="70" t="str">
        <f aca="false">IF(AC450&lt;&gt;"",VLOOKUP(AC450,Selects!$B$4:$C$100,2,0),"")</f>
        <v/>
      </c>
      <c r="AE450" s="26"/>
      <c r="AF450" s="58"/>
      <c r="AG450" s="59"/>
      <c r="AH450" s="65"/>
      <c r="AI450" s="66"/>
      <c r="AJ450" s="66"/>
      <c r="AK450" s="58"/>
      <c r="AL450" s="58"/>
      <c r="AM450" s="68" t="str">
        <f aca="false">IF(LEFT(AL450,1)="9","Celular",IF(AL450="","","Fixo"))</f>
        <v/>
      </c>
      <c r="AN450" s="58" t="str">
        <f aca="false">IF( AM450&lt;&gt;"",VLOOKUP(AM450,Selects!$M$4:$N$1000,2,0),"")</f>
        <v/>
      </c>
      <c r="AO450" s="58"/>
      <c r="AP450" s="59"/>
      <c r="AQ450" s="65"/>
      <c r="AR450" s="58"/>
      <c r="AS450" s="58"/>
      <c r="AT450" s="26"/>
      <c r="AU450" s="58"/>
      <c r="AV450" s="58"/>
      <c r="AW450" s="58"/>
      <c r="AX450" s="58"/>
      <c r="AY450" s="71"/>
      <c r="AZ450" s="58"/>
      <c r="BA450" s="58"/>
      <c r="BB450" s="72" t="str">
        <f aca="false">IF(BA450&lt;&gt;"",VLOOKUP(BA450,Selects!$B$4:$C$100,2,0),"")</f>
        <v/>
      </c>
      <c r="BC450" s="26"/>
      <c r="BD450" s="26"/>
      <c r="BE450" s="73"/>
      <c r="BF450" s="74"/>
      <c r="BG450" s="75" t="str">
        <f aca="false">IF(LEN(BF450)=11,"PF",IF(LEN(BF450)=14,"PJ",""))</f>
        <v/>
      </c>
      <c r="BH450" s="66"/>
      <c r="BI450" s="58" t="str">
        <f aca="false">IF(BH450&lt;&gt;"",VLOOKUP(BH450,Selects!$G:$H,2,0),"")</f>
        <v/>
      </c>
      <c r="BJ450" s="58"/>
      <c r="BK450" s="58"/>
      <c r="BL450" s="59"/>
      <c r="BM450" s="58"/>
      <c r="BN450" s="58"/>
      <c r="BO450" s="58" t="str">
        <f aca="false">IF(BN450&lt;&gt;"",VLOOKUP(BN450,Selects!$J$4:$K$1000,2,0),"")</f>
        <v/>
      </c>
      <c r="BP450" s="76"/>
      <c r="BQ450" s="59"/>
      <c r="BR450" s="77"/>
      <c r="BS450" s="59"/>
      <c r="BT450" s="77"/>
      <c r="BU450" s="58"/>
      <c r="BV450" s="58"/>
      <c r="BW450" s="58"/>
      <c r="BX450" s="58"/>
      <c r="BY450" s="58"/>
      <c r="BZ450" s="58"/>
      <c r="CA450" s="58"/>
      <c r="CB450" s="72" t="str">
        <f aca="false">IF(AC450&lt;&gt;"",VLOOKUP(AC450,Selects!$B:$E,4,0),"")</f>
        <v/>
      </c>
      <c r="CC450" s="58"/>
      <c r="CD450" s="58"/>
      <c r="CE450" s="58"/>
    </row>
    <row r="451" customFormat="false" ht="15.75" hidden="false" customHeight="true" outlineLevel="0" collapsed="false">
      <c r="A451" s="17"/>
      <c r="B451" s="58"/>
      <c r="C451" s="58"/>
      <c r="D451" s="59"/>
      <c r="E451" s="60" t="str">
        <f aca="false">IF(LEN(D451)=11,"PF",IF(LEN(D451)=14,"PJ",""))</f>
        <v/>
      </c>
      <c r="F451" s="59"/>
      <c r="G451" s="59"/>
      <c r="H451" s="61" t="str">
        <f aca="false">IF(G451&lt;&gt;"",VLOOKUP(G451,'Cnae  mcc  id'!$A:$M,9,0),"")</f>
        <v/>
      </c>
      <c r="I451" s="62"/>
      <c r="J451" s="63" t="str">
        <f aca="false">IF(I451&lt;&gt;"",VLOOKUP(I451,'Legal Nature'!$E$2:$G$84,3,0),"")</f>
        <v/>
      </c>
      <c r="K451" s="64"/>
      <c r="L451" s="65"/>
      <c r="M451" s="66"/>
      <c r="N451" s="66"/>
      <c r="O451" s="79"/>
      <c r="P451" s="26"/>
      <c r="Q451" s="58"/>
      <c r="R451" s="58"/>
      <c r="S451" s="80"/>
      <c r="T451" s="68" t="str">
        <f aca="false">IF(LEFT(S451,1)="9","Celular",IF(S451="","","Fixo"))</f>
        <v/>
      </c>
      <c r="U451" s="58" t="str">
        <f aca="false">IF( T451&lt;&gt;"",VLOOKUP(T451,Selects!$M$4:$N$1000,2,0),"")</f>
        <v/>
      </c>
      <c r="V451" s="26"/>
      <c r="W451" s="58"/>
      <c r="X451" s="58"/>
      <c r="Y451" s="58"/>
      <c r="Z451" s="58"/>
      <c r="AA451" s="69"/>
      <c r="AB451" s="58"/>
      <c r="AC451" s="58"/>
      <c r="AD451" s="70" t="str">
        <f aca="false">IF(AC451&lt;&gt;"",VLOOKUP(AC451,Selects!$B$4:$C$100,2,0),"")</f>
        <v/>
      </c>
      <c r="AE451" s="26"/>
      <c r="AF451" s="58"/>
      <c r="AG451" s="59"/>
      <c r="AH451" s="65"/>
      <c r="AI451" s="66"/>
      <c r="AJ451" s="66"/>
      <c r="AK451" s="58"/>
      <c r="AL451" s="58"/>
      <c r="AM451" s="68" t="str">
        <f aca="false">IF(LEFT(AL451,1)="9","Celular",IF(AL451="","","Fixo"))</f>
        <v/>
      </c>
      <c r="AN451" s="58" t="str">
        <f aca="false">IF( AM451&lt;&gt;"",VLOOKUP(AM451,Selects!$M$4:$N$1000,2,0),"")</f>
        <v/>
      </c>
      <c r="AO451" s="58"/>
      <c r="AP451" s="59"/>
      <c r="AQ451" s="65"/>
      <c r="AR451" s="58"/>
      <c r="AS451" s="58"/>
      <c r="AT451" s="26"/>
      <c r="AU451" s="58"/>
      <c r="AV451" s="58"/>
      <c r="AW451" s="58"/>
      <c r="AX451" s="58"/>
      <c r="AY451" s="71"/>
      <c r="AZ451" s="58"/>
      <c r="BA451" s="58"/>
      <c r="BB451" s="72" t="str">
        <f aca="false">IF(BA451&lt;&gt;"",VLOOKUP(BA451,Selects!$B$4:$C$100,2,0),"")</f>
        <v/>
      </c>
      <c r="BC451" s="26"/>
      <c r="BD451" s="26"/>
      <c r="BE451" s="73"/>
      <c r="BF451" s="74"/>
      <c r="BG451" s="75" t="str">
        <f aca="false">IF(LEN(BF451)=11,"PF",IF(LEN(BF451)=14,"PJ",""))</f>
        <v/>
      </c>
      <c r="BH451" s="66"/>
      <c r="BI451" s="58" t="str">
        <f aca="false">IF(BH451&lt;&gt;"",VLOOKUP(BH451,Selects!$G:$H,2,0),"")</f>
        <v/>
      </c>
      <c r="BJ451" s="58"/>
      <c r="BK451" s="58"/>
      <c r="BL451" s="59"/>
      <c r="BM451" s="58"/>
      <c r="BN451" s="58"/>
      <c r="BO451" s="58" t="str">
        <f aca="false">IF(BN451&lt;&gt;"",VLOOKUP(BN451,Selects!$J$4:$K$1000,2,0),"")</f>
        <v/>
      </c>
      <c r="BP451" s="76"/>
      <c r="BQ451" s="59"/>
      <c r="BR451" s="77"/>
      <c r="BS451" s="59"/>
      <c r="BT451" s="77"/>
      <c r="BU451" s="58"/>
      <c r="BV451" s="58"/>
      <c r="BW451" s="58"/>
      <c r="BX451" s="58"/>
      <c r="BY451" s="58"/>
      <c r="BZ451" s="58"/>
      <c r="CA451" s="58"/>
      <c r="CB451" s="72" t="str">
        <f aca="false">IF(AC451&lt;&gt;"",VLOOKUP(AC451,Selects!$B:$E,4,0),"")</f>
        <v/>
      </c>
      <c r="CC451" s="58"/>
      <c r="CD451" s="58"/>
      <c r="CE451" s="58"/>
    </row>
    <row r="452" customFormat="false" ht="15.75" hidden="false" customHeight="true" outlineLevel="0" collapsed="false">
      <c r="A452" s="17"/>
      <c r="B452" s="58"/>
      <c r="C452" s="58"/>
      <c r="D452" s="59"/>
      <c r="E452" s="60" t="str">
        <f aca="false">IF(LEN(D452)=11,"PF",IF(LEN(D452)=14,"PJ",""))</f>
        <v/>
      </c>
      <c r="F452" s="59"/>
      <c r="G452" s="59"/>
      <c r="H452" s="61" t="str">
        <f aca="false">IF(G452&lt;&gt;"",VLOOKUP(G452,'Cnae  mcc  id'!$A:$M,9,0),"")</f>
        <v/>
      </c>
      <c r="I452" s="62"/>
      <c r="J452" s="63" t="str">
        <f aca="false">IF(I452&lt;&gt;"",VLOOKUP(I452,'Legal Nature'!$E$2:$G$84,3,0),"")</f>
        <v/>
      </c>
      <c r="K452" s="64"/>
      <c r="L452" s="65"/>
      <c r="M452" s="66"/>
      <c r="N452" s="66"/>
      <c r="O452" s="79"/>
      <c r="P452" s="26"/>
      <c r="Q452" s="58"/>
      <c r="R452" s="58"/>
      <c r="S452" s="80"/>
      <c r="T452" s="68" t="str">
        <f aca="false">IF(LEFT(S452,1)="9","Celular",IF(S452="","","Fixo"))</f>
        <v/>
      </c>
      <c r="U452" s="58" t="str">
        <f aca="false">IF( T452&lt;&gt;"",VLOOKUP(T452,Selects!$M$4:$N$1000,2,0),"")</f>
        <v/>
      </c>
      <c r="V452" s="26"/>
      <c r="W452" s="58"/>
      <c r="X452" s="58"/>
      <c r="Y452" s="58"/>
      <c r="Z452" s="58"/>
      <c r="AA452" s="69"/>
      <c r="AB452" s="58"/>
      <c r="AC452" s="58"/>
      <c r="AD452" s="70" t="str">
        <f aca="false">IF(AC452&lt;&gt;"",VLOOKUP(AC452,Selects!$B$4:$C$100,2,0),"")</f>
        <v/>
      </c>
      <c r="AE452" s="26"/>
      <c r="AF452" s="58"/>
      <c r="AG452" s="59"/>
      <c r="AH452" s="65"/>
      <c r="AI452" s="66"/>
      <c r="AJ452" s="66"/>
      <c r="AK452" s="58"/>
      <c r="AL452" s="58"/>
      <c r="AM452" s="68" t="str">
        <f aca="false">IF(LEFT(AL452,1)="9","Celular",IF(AL452="","","Fixo"))</f>
        <v/>
      </c>
      <c r="AN452" s="58" t="str">
        <f aca="false">IF( AM452&lt;&gt;"",VLOOKUP(AM452,Selects!$M$4:$N$1000,2,0),"")</f>
        <v/>
      </c>
      <c r="AO452" s="58"/>
      <c r="AP452" s="59"/>
      <c r="AQ452" s="65"/>
      <c r="AR452" s="58"/>
      <c r="AS452" s="58"/>
      <c r="AT452" s="26"/>
      <c r="AU452" s="58"/>
      <c r="AV452" s="58"/>
      <c r="AW452" s="58"/>
      <c r="AX452" s="58"/>
      <c r="AY452" s="71"/>
      <c r="AZ452" s="58"/>
      <c r="BA452" s="58"/>
      <c r="BB452" s="72" t="str">
        <f aca="false">IF(BA452&lt;&gt;"",VLOOKUP(BA452,Selects!$B$4:$C$100,2,0),"")</f>
        <v/>
      </c>
      <c r="BC452" s="26"/>
      <c r="BD452" s="26"/>
      <c r="BE452" s="73"/>
      <c r="BF452" s="74"/>
      <c r="BG452" s="75" t="str">
        <f aca="false">IF(LEN(BF452)=11,"PF",IF(LEN(BF452)=14,"PJ",""))</f>
        <v/>
      </c>
      <c r="BH452" s="66"/>
      <c r="BI452" s="58" t="str">
        <f aca="false">IF(BH452&lt;&gt;"",VLOOKUP(BH452,Selects!$G:$H,2,0),"")</f>
        <v/>
      </c>
      <c r="BJ452" s="58"/>
      <c r="BK452" s="58"/>
      <c r="BL452" s="59"/>
      <c r="BM452" s="58"/>
      <c r="BN452" s="58"/>
      <c r="BO452" s="58" t="str">
        <f aca="false">IF(BN452&lt;&gt;"",VLOOKUP(BN452,Selects!$J$4:$K$1000,2,0),"")</f>
        <v/>
      </c>
      <c r="BP452" s="76"/>
      <c r="BQ452" s="59"/>
      <c r="BR452" s="77"/>
      <c r="BS452" s="59"/>
      <c r="BT452" s="77"/>
      <c r="BU452" s="58"/>
      <c r="BV452" s="58"/>
      <c r="BW452" s="58"/>
      <c r="BX452" s="58"/>
      <c r="BY452" s="58"/>
      <c r="BZ452" s="58"/>
      <c r="CA452" s="58"/>
      <c r="CB452" s="72" t="str">
        <f aca="false">IF(AC452&lt;&gt;"",VLOOKUP(AC452,Selects!$B:$E,4,0),"")</f>
        <v/>
      </c>
      <c r="CC452" s="58"/>
      <c r="CD452" s="58"/>
      <c r="CE452" s="58"/>
    </row>
    <row r="453" customFormat="false" ht="15.75" hidden="false" customHeight="true" outlineLevel="0" collapsed="false">
      <c r="A453" s="17"/>
      <c r="B453" s="58"/>
      <c r="C453" s="58"/>
      <c r="D453" s="59"/>
      <c r="E453" s="60" t="str">
        <f aca="false">IF(LEN(D453)=11,"PF",IF(LEN(D453)=14,"PJ",""))</f>
        <v/>
      </c>
      <c r="F453" s="59"/>
      <c r="G453" s="59"/>
      <c r="H453" s="61" t="str">
        <f aca="false">IF(G453&lt;&gt;"",VLOOKUP(G453,'Cnae  mcc  id'!$A:$M,9,0),"")</f>
        <v/>
      </c>
      <c r="I453" s="62"/>
      <c r="J453" s="63" t="str">
        <f aca="false">IF(I453&lt;&gt;"",VLOOKUP(I453,'Legal Nature'!$E$2:$G$84,3,0),"")</f>
        <v/>
      </c>
      <c r="K453" s="64"/>
      <c r="L453" s="65"/>
      <c r="M453" s="66"/>
      <c r="N453" s="66"/>
      <c r="O453" s="79"/>
      <c r="P453" s="26"/>
      <c r="Q453" s="58"/>
      <c r="R453" s="58"/>
      <c r="S453" s="80"/>
      <c r="T453" s="68" t="str">
        <f aca="false">IF(LEFT(S453,1)="9","Celular",IF(S453="","","Fixo"))</f>
        <v/>
      </c>
      <c r="U453" s="58" t="str">
        <f aca="false">IF( T453&lt;&gt;"",VLOOKUP(T453,Selects!$M$4:$N$1000,2,0),"")</f>
        <v/>
      </c>
      <c r="V453" s="26"/>
      <c r="W453" s="58"/>
      <c r="X453" s="58"/>
      <c r="Y453" s="58"/>
      <c r="Z453" s="58"/>
      <c r="AA453" s="69"/>
      <c r="AB453" s="58"/>
      <c r="AC453" s="58"/>
      <c r="AD453" s="70" t="str">
        <f aca="false">IF(AC453&lt;&gt;"",VLOOKUP(AC453,Selects!$B$4:$C$100,2,0),"")</f>
        <v/>
      </c>
      <c r="AE453" s="26"/>
      <c r="AF453" s="58"/>
      <c r="AG453" s="59"/>
      <c r="AH453" s="65"/>
      <c r="AI453" s="66"/>
      <c r="AJ453" s="66"/>
      <c r="AK453" s="58"/>
      <c r="AL453" s="58"/>
      <c r="AM453" s="68" t="str">
        <f aca="false">IF(LEFT(AL453,1)="9","Celular",IF(AL453="","","Fixo"))</f>
        <v/>
      </c>
      <c r="AN453" s="58" t="str">
        <f aca="false">IF( AM453&lt;&gt;"",VLOOKUP(AM453,Selects!$M$4:$N$1000,2,0),"")</f>
        <v/>
      </c>
      <c r="AO453" s="58"/>
      <c r="AP453" s="59"/>
      <c r="AQ453" s="65"/>
      <c r="AR453" s="58"/>
      <c r="AS453" s="58"/>
      <c r="AT453" s="26"/>
      <c r="AU453" s="58"/>
      <c r="AV453" s="58"/>
      <c r="AW453" s="58"/>
      <c r="AX453" s="58"/>
      <c r="AY453" s="71"/>
      <c r="AZ453" s="58"/>
      <c r="BA453" s="58"/>
      <c r="BB453" s="72" t="str">
        <f aca="false">IF(BA453&lt;&gt;"",VLOOKUP(BA453,Selects!$B$4:$C$100,2,0),"")</f>
        <v/>
      </c>
      <c r="BC453" s="26"/>
      <c r="BD453" s="26"/>
      <c r="BE453" s="73"/>
      <c r="BF453" s="74"/>
      <c r="BG453" s="75" t="str">
        <f aca="false">IF(LEN(BF453)=11,"PF",IF(LEN(BF453)=14,"PJ",""))</f>
        <v/>
      </c>
      <c r="BH453" s="66"/>
      <c r="BI453" s="58" t="str">
        <f aca="false">IF(BH453&lt;&gt;"",VLOOKUP(BH453,Selects!$G:$H,2,0),"")</f>
        <v/>
      </c>
      <c r="BJ453" s="58"/>
      <c r="BK453" s="58"/>
      <c r="BL453" s="59"/>
      <c r="BM453" s="58"/>
      <c r="BN453" s="58"/>
      <c r="BO453" s="58" t="str">
        <f aca="false">IF(BN453&lt;&gt;"",VLOOKUP(BN453,Selects!$J$4:$K$1000,2,0),"")</f>
        <v/>
      </c>
      <c r="BP453" s="76"/>
      <c r="BQ453" s="59"/>
      <c r="BR453" s="77"/>
      <c r="BS453" s="59"/>
      <c r="BT453" s="77"/>
      <c r="BU453" s="58"/>
      <c r="BV453" s="58"/>
      <c r="BW453" s="58"/>
      <c r="BX453" s="58"/>
      <c r="BY453" s="58"/>
      <c r="BZ453" s="58"/>
      <c r="CA453" s="58"/>
      <c r="CB453" s="72" t="str">
        <f aca="false">IF(AC453&lt;&gt;"",VLOOKUP(AC453,Selects!$B:$E,4,0),"")</f>
        <v/>
      </c>
      <c r="CC453" s="58"/>
      <c r="CD453" s="58"/>
      <c r="CE453" s="58"/>
    </row>
    <row r="454" customFormat="false" ht="15.75" hidden="false" customHeight="true" outlineLevel="0" collapsed="false">
      <c r="A454" s="17"/>
      <c r="B454" s="58"/>
      <c r="C454" s="58"/>
      <c r="D454" s="59"/>
      <c r="E454" s="60" t="str">
        <f aca="false">IF(LEN(D454)=11,"PF",IF(LEN(D454)=14,"PJ",""))</f>
        <v/>
      </c>
      <c r="F454" s="59"/>
      <c r="G454" s="59"/>
      <c r="H454" s="61" t="str">
        <f aca="false">IF(G454&lt;&gt;"",VLOOKUP(G454,'Cnae  mcc  id'!$A:$M,9,0),"")</f>
        <v/>
      </c>
      <c r="I454" s="62"/>
      <c r="J454" s="63" t="str">
        <f aca="false">IF(I454&lt;&gt;"",VLOOKUP(I454,'Legal Nature'!$E$2:$G$84,3,0),"")</f>
        <v/>
      </c>
      <c r="K454" s="64"/>
      <c r="L454" s="65"/>
      <c r="M454" s="66"/>
      <c r="N454" s="66"/>
      <c r="O454" s="79"/>
      <c r="P454" s="26"/>
      <c r="Q454" s="58"/>
      <c r="R454" s="58"/>
      <c r="S454" s="80"/>
      <c r="T454" s="68" t="str">
        <f aca="false">IF(LEFT(S454,1)="9","Celular",IF(S454="","","Fixo"))</f>
        <v/>
      </c>
      <c r="U454" s="58" t="str">
        <f aca="false">IF( T454&lt;&gt;"",VLOOKUP(T454,Selects!$M$4:$N$1000,2,0),"")</f>
        <v/>
      </c>
      <c r="V454" s="26"/>
      <c r="W454" s="58"/>
      <c r="X454" s="58"/>
      <c r="Y454" s="58"/>
      <c r="Z454" s="58"/>
      <c r="AA454" s="69"/>
      <c r="AB454" s="58"/>
      <c r="AC454" s="58"/>
      <c r="AD454" s="70" t="str">
        <f aca="false">IF(AC454&lt;&gt;"",VLOOKUP(AC454,Selects!$B$4:$C$100,2,0),"")</f>
        <v/>
      </c>
      <c r="AE454" s="26"/>
      <c r="AF454" s="58"/>
      <c r="AG454" s="59"/>
      <c r="AH454" s="65"/>
      <c r="AI454" s="66"/>
      <c r="AJ454" s="66"/>
      <c r="AK454" s="58"/>
      <c r="AL454" s="58"/>
      <c r="AM454" s="68" t="str">
        <f aca="false">IF(LEFT(AL454,1)="9","Celular",IF(AL454="","","Fixo"))</f>
        <v/>
      </c>
      <c r="AN454" s="58" t="str">
        <f aca="false">IF( AM454&lt;&gt;"",VLOOKUP(AM454,Selects!$M$4:$N$1000,2,0),"")</f>
        <v/>
      </c>
      <c r="AO454" s="58"/>
      <c r="AP454" s="59"/>
      <c r="AQ454" s="65"/>
      <c r="AR454" s="58"/>
      <c r="AS454" s="58"/>
      <c r="AT454" s="26"/>
      <c r="AU454" s="58"/>
      <c r="AV454" s="58"/>
      <c r="AW454" s="58"/>
      <c r="AX454" s="58"/>
      <c r="AY454" s="71"/>
      <c r="AZ454" s="58"/>
      <c r="BA454" s="58"/>
      <c r="BB454" s="72" t="str">
        <f aca="false">IF(BA454&lt;&gt;"",VLOOKUP(BA454,Selects!$B$4:$C$100,2,0),"")</f>
        <v/>
      </c>
      <c r="BC454" s="26"/>
      <c r="BD454" s="26"/>
      <c r="BE454" s="73"/>
      <c r="BF454" s="74"/>
      <c r="BG454" s="75" t="str">
        <f aca="false">IF(LEN(BF454)=11,"PF",IF(LEN(BF454)=14,"PJ",""))</f>
        <v/>
      </c>
      <c r="BH454" s="66"/>
      <c r="BI454" s="58" t="str">
        <f aca="false">IF(BH454&lt;&gt;"",VLOOKUP(BH454,Selects!$G:$H,2,0),"")</f>
        <v/>
      </c>
      <c r="BJ454" s="58"/>
      <c r="BK454" s="58"/>
      <c r="BL454" s="59"/>
      <c r="BM454" s="58"/>
      <c r="BN454" s="58"/>
      <c r="BO454" s="58" t="str">
        <f aca="false">IF(BN454&lt;&gt;"",VLOOKUP(BN454,Selects!$J$4:$K$1000,2,0),"")</f>
        <v/>
      </c>
      <c r="BP454" s="76"/>
      <c r="BQ454" s="59"/>
      <c r="BR454" s="77"/>
      <c r="BS454" s="59"/>
      <c r="BT454" s="77"/>
      <c r="BU454" s="58"/>
      <c r="BV454" s="58"/>
      <c r="BW454" s="58"/>
      <c r="BX454" s="58"/>
      <c r="BY454" s="58"/>
      <c r="BZ454" s="58"/>
      <c r="CA454" s="58"/>
      <c r="CB454" s="72" t="str">
        <f aca="false">IF(AC454&lt;&gt;"",VLOOKUP(AC454,Selects!$B:$E,4,0),"")</f>
        <v/>
      </c>
      <c r="CC454" s="58"/>
      <c r="CD454" s="58"/>
      <c r="CE454" s="58"/>
    </row>
    <row r="455" customFormat="false" ht="15.75" hidden="false" customHeight="true" outlineLevel="0" collapsed="false">
      <c r="A455" s="17"/>
      <c r="B455" s="58"/>
      <c r="C455" s="58"/>
      <c r="D455" s="59"/>
      <c r="E455" s="60" t="str">
        <f aca="false">IF(LEN(D455)=11,"PF",IF(LEN(D455)=14,"PJ",""))</f>
        <v/>
      </c>
      <c r="F455" s="59"/>
      <c r="G455" s="59"/>
      <c r="H455" s="61" t="str">
        <f aca="false">IF(G455&lt;&gt;"",VLOOKUP(G455,'Cnae  mcc  id'!$A:$M,9,0),"")</f>
        <v/>
      </c>
      <c r="I455" s="62"/>
      <c r="J455" s="63" t="str">
        <f aca="false">IF(I455&lt;&gt;"",VLOOKUP(I455,'Legal Nature'!$E$2:$G$84,3,0),"")</f>
        <v/>
      </c>
      <c r="K455" s="64"/>
      <c r="L455" s="65"/>
      <c r="M455" s="66"/>
      <c r="N455" s="66"/>
      <c r="O455" s="79"/>
      <c r="P455" s="26"/>
      <c r="Q455" s="58"/>
      <c r="R455" s="58"/>
      <c r="S455" s="80"/>
      <c r="T455" s="68" t="str">
        <f aca="false">IF(LEFT(S455,1)="9","Celular",IF(S455="","","Fixo"))</f>
        <v/>
      </c>
      <c r="U455" s="58" t="str">
        <f aca="false">IF( T455&lt;&gt;"",VLOOKUP(T455,Selects!$M$4:$N$1000,2,0),"")</f>
        <v/>
      </c>
      <c r="V455" s="26"/>
      <c r="W455" s="58"/>
      <c r="X455" s="58"/>
      <c r="Y455" s="58"/>
      <c r="Z455" s="58"/>
      <c r="AA455" s="69"/>
      <c r="AB455" s="58"/>
      <c r="AC455" s="58"/>
      <c r="AD455" s="70" t="str">
        <f aca="false">IF(AC455&lt;&gt;"",VLOOKUP(AC455,Selects!$B$4:$C$100,2,0),"")</f>
        <v/>
      </c>
      <c r="AE455" s="26"/>
      <c r="AF455" s="58"/>
      <c r="AG455" s="59"/>
      <c r="AH455" s="65"/>
      <c r="AI455" s="66"/>
      <c r="AJ455" s="66"/>
      <c r="AK455" s="58"/>
      <c r="AL455" s="58"/>
      <c r="AM455" s="68" t="str">
        <f aca="false">IF(LEFT(AL455,1)="9","Celular",IF(AL455="","","Fixo"))</f>
        <v/>
      </c>
      <c r="AN455" s="58" t="str">
        <f aca="false">IF( AM455&lt;&gt;"",VLOOKUP(AM455,Selects!$M$4:$N$1000,2,0),"")</f>
        <v/>
      </c>
      <c r="AO455" s="58"/>
      <c r="AP455" s="59"/>
      <c r="AQ455" s="65"/>
      <c r="AR455" s="58"/>
      <c r="AS455" s="58"/>
      <c r="AT455" s="26"/>
      <c r="AU455" s="58"/>
      <c r="AV455" s="58"/>
      <c r="AW455" s="58"/>
      <c r="AX455" s="58"/>
      <c r="AY455" s="71"/>
      <c r="AZ455" s="58"/>
      <c r="BA455" s="58"/>
      <c r="BB455" s="72" t="str">
        <f aca="false">IF(BA455&lt;&gt;"",VLOOKUP(BA455,Selects!$B$4:$C$100,2,0),"")</f>
        <v/>
      </c>
      <c r="BC455" s="26"/>
      <c r="BD455" s="26"/>
      <c r="BE455" s="73"/>
      <c r="BF455" s="74"/>
      <c r="BG455" s="75" t="str">
        <f aca="false">IF(LEN(BF455)=11,"PF",IF(LEN(BF455)=14,"PJ",""))</f>
        <v/>
      </c>
      <c r="BH455" s="66"/>
      <c r="BI455" s="58" t="str">
        <f aca="false">IF(BH455&lt;&gt;"",VLOOKUP(BH455,Selects!$G:$H,2,0),"")</f>
        <v/>
      </c>
      <c r="BJ455" s="58"/>
      <c r="BK455" s="58"/>
      <c r="BL455" s="59"/>
      <c r="BM455" s="58"/>
      <c r="BN455" s="58"/>
      <c r="BO455" s="58" t="str">
        <f aca="false">IF(BN455&lt;&gt;"",VLOOKUP(BN455,Selects!$J$4:$K$1000,2,0),"")</f>
        <v/>
      </c>
      <c r="BP455" s="76"/>
      <c r="BQ455" s="59"/>
      <c r="BR455" s="77"/>
      <c r="BS455" s="59"/>
      <c r="BT455" s="77"/>
      <c r="BU455" s="58"/>
      <c r="BV455" s="58"/>
      <c r="BW455" s="58"/>
      <c r="BX455" s="58"/>
      <c r="BY455" s="58"/>
      <c r="BZ455" s="58"/>
      <c r="CA455" s="58"/>
      <c r="CB455" s="72" t="str">
        <f aca="false">IF(AC455&lt;&gt;"",VLOOKUP(AC455,Selects!$B:$E,4,0),"")</f>
        <v/>
      </c>
      <c r="CC455" s="58"/>
      <c r="CD455" s="58"/>
      <c r="CE455" s="58"/>
    </row>
    <row r="456" customFormat="false" ht="15.75" hidden="false" customHeight="true" outlineLevel="0" collapsed="false">
      <c r="A456" s="17"/>
      <c r="B456" s="58"/>
      <c r="C456" s="58"/>
      <c r="D456" s="59"/>
      <c r="E456" s="60" t="str">
        <f aca="false">IF(LEN(D456)=11,"PF",IF(LEN(D456)=14,"PJ",""))</f>
        <v/>
      </c>
      <c r="F456" s="59"/>
      <c r="G456" s="59"/>
      <c r="H456" s="61" t="str">
        <f aca="false">IF(G456&lt;&gt;"",VLOOKUP(G456,'Cnae  mcc  id'!$A:$M,9,0),"")</f>
        <v/>
      </c>
      <c r="I456" s="62"/>
      <c r="J456" s="63" t="str">
        <f aca="false">IF(I456&lt;&gt;"",VLOOKUP(I456,'Legal Nature'!$E$2:$G$84,3,0),"")</f>
        <v/>
      </c>
      <c r="K456" s="64"/>
      <c r="L456" s="65"/>
      <c r="M456" s="66"/>
      <c r="N456" s="66"/>
      <c r="O456" s="79"/>
      <c r="P456" s="26"/>
      <c r="Q456" s="58"/>
      <c r="R456" s="58"/>
      <c r="S456" s="80"/>
      <c r="T456" s="68" t="str">
        <f aca="false">IF(LEFT(S456,1)="9","Celular",IF(S456="","","Fixo"))</f>
        <v/>
      </c>
      <c r="U456" s="58" t="str">
        <f aca="false">IF( T456&lt;&gt;"",VLOOKUP(T456,Selects!$M$4:$N$1000,2,0),"")</f>
        <v/>
      </c>
      <c r="V456" s="26"/>
      <c r="W456" s="58"/>
      <c r="X456" s="58"/>
      <c r="Y456" s="58"/>
      <c r="Z456" s="58"/>
      <c r="AA456" s="69"/>
      <c r="AB456" s="58"/>
      <c r="AC456" s="58"/>
      <c r="AD456" s="70" t="str">
        <f aca="false">IF(AC456&lt;&gt;"",VLOOKUP(AC456,Selects!$B$4:$C$100,2,0),"")</f>
        <v/>
      </c>
      <c r="AE456" s="26"/>
      <c r="AF456" s="58"/>
      <c r="AG456" s="59"/>
      <c r="AH456" s="65"/>
      <c r="AI456" s="66"/>
      <c r="AJ456" s="66"/>
      <c r="AK456" s="58"/>
      <c r="AL456" s="58"/>
      <c r="AM456" s="68" t="str">
        <f aca="false">IF(LEFT(AL456,1)="9","Celular",IF(AL456="","","Fixo"))</f>
        <v/>
      </c>
      <c r="AN456" s="58" t="str">
        <f aca="false">IF( AM456&lt;&gt;"",VLOOKUP(AM456,Selects!$M$4:$N$1000,2,0),"")</f>
        <v/>
      </c>
      <c r="AO456" s="58"/>
      <c r="AP456" s="59"/>
      <c r="AQ456" s="65"/>
      <c r="AR456" s="58"/>
      <c r="AS456" s="58"/>
      <c r="AT456" s="26"/>
      <c r="AU456" s="58"/>
      <c r="AV456" s="58"/>
      <c r="AW456" s="58"/>
      <c r="AX456" s="58"/>
      <c r="AY456" s="71"/>
      <c r="AZ456" s="58"/>
      <c r="BA456" s="58"/>
      <c r="BB456" s="72" t="str">
        <f aca="false">IF(BA456&lt;&gt;"",VLOOKUP(BA456,Selects!$B$4:$C$100,2,0),"")</f>
        <v/>
      </c>
      <c r="BC456" s="26"/>
      <c r="BD456" s="26"/>
      <c r="BE456" s="73"/>
      <c r="BF456" s="74"/>
      <c r="BG456" s="75" t="str">
        <f aca="false">IF(LEN(BF456)=11,"PF",IF(LEN(BF456)=14,"PJ",""))</f>
        <v/>
      </c>
      <c r="BH456" s="66"/>
      <c r="BI456" s="58" t="str">
        <f aca="false">IF(BH456&lt;&gt;"",VLOOKUP(BH456,Selects!$G:$H,2,0),"")</f>
        <v/>
      </c>
      <c r="BJ456" s="58"/>
      <c r="BK456" s="58"/>
      <c r="BL456" s="59"/>
      <c r="BM456" s="58"/>
      <c r="BN456" s="58"/>
      <c r="BO456" s="58" t="str">
        <f aca="false">IF(BN456&lt;&gt;"",VLOOKUP(BN456,Selects!$J$4:$K$1000,2,0),"")</f>
        <v/>
      </c>
      <c r="BP456" s="76"/>
      <c r="BQ456" s="59"/>
      <c r="BR456" s="77"/>
      <c r="BS456" s="59"/>
      <c r="BT456" s="77"/>
      <c r="BU456" s="58"/>
      <c r="BV456" s="58"/>
      <c r="BW456" s="58"/>
      <c r="BX456" s="58"/>
      <c r="BY456" s="58"/>
      <c r="BZ456" s="58"/>
      <c r="CA456" s="58"/>
      <c r="CB456" s="72" t="str">
        <f aca="false">IF(AC456&lt;&gt;"",VLOOKUP(AC456,Selects!$B:$E,4,0),"")</f>
        <v/>
      </c>
      <c r="CC456" s="58"/>
      <c r="CD456" s="58"/>
      <c r="CE456" s="58"/>
    </row>
    <row r="457" customFormat="false" ht="15.75" hidden="false" customHeight="true" outlineLevel="0" collapsed="false">
      <c r="A457" s="17"/>
      <c r="B457" s="58"/>
      <c r="C457" s="58"/>
      <c r="D457" s="59"/>
      <c r="E457" s="60" t="str">
        <f aca="false">IF(LEN(D457)=11,"PF",IF(LEN(D457)=14,"PJ",""))</f>
        <v/>
      </c>
      <c r="F457" s="59"/>
      <c r="G457" s="59"/>
      <c r="H457" s="61" t="str">
        <f aca="false">IF(G457&lt;&gt;"",VLOOKUP(G457,'Cnae  mcc  id'!$A:$M,9,0),"")</f>
        <v/>
      </c>
      <c r="I457" s="62"/>
      <c r="J457" s="63" t="str">
        <f aca="false">IF(I457&lt;&gt;"",VLOOKUP(I457,'Legal Nature'!$E$2:$G$84,3,0),"")</f>
        <v/>
      </c>
      <c r="K457" s="64"/>
      <c r="L457" s="65"/>
      <c r="M457" s="66"/>
      <c r="N457" s="66"/>
      <c r="O457" s="79"/>
      <c r="P457" s="26"/>
      <c r="Q457" s="58"/>
      <c r="R457" s="58"/>
      <c r="S457" s="80"/>
      <c r="T457" s="68" t="str">
        <f aca="false">IF(LEFT(S457,1)="9","Celular",IF(S457="","","Fixo"))</f>
        <v/>
      </c>
      <c r="U457" s="58" t="str">
        <f aca="false">IF( T457&lt;&gt;"",VLOOKUP(T457,Selects!$M$4:$N$1000,2,0),"")</f>
        <v/>
      </c>
      <c r="V457" s="26"/>
      <c r="W457" s="58"/>
      <c r="X457" s="58"/>
      <c r="Y457" s="58"/>
      <c r="Z457" s="58"/>
      <c r="AA457" s="69"/>
      <c r="AB457" s="58"/>
      <c r="AC457" s="58"/>
      <c r="AD457" s="70" t="str">
        <f aca="false">IF(AC457&lt;&gt;"",VLOOKUP(AC457,Selects!$B$4:$C$100,2,0),"")</f>
        <v/>
      </c>
      <c r="AE457" s="26"/>
      <c r="AF457" s="58"/>
      <c r="AG457" s="59"/>
      <c r="AH457" s="65"/>
      <c r="AI457" s="66"/>
      <c r="AJ457" s="66"/>
      <c r="AK457" s="58"/>
      <c r="AL457" s="58"/>
      <c r="AM457" s="68" t="str">
        <f aca="false">IF(LEFT(AL457,1)="9","Celular",IF(AL457="","","Fixo"))</f>
        <v/>
      </c>
      <c r="AN457" s="58" t="str">
        <f aca="false">IF( AM457&lt;&gt;"",VLOOKUP(AM457,Selects!$M$4:$N$1000,2,0),"")</f>
        <v/>
      </c>
      <c r="AO457" s="58"/>
      <c r="AP457" s="59"/>
      <c r="AQ457" s="65"/>
      <c r="AR457" s="58"/>
      <c r="AS457" s="58"/>
      <c r="AT457" s="26"/>
      <c r="AU457" s="58"/>
      <c r="AV457" s="58"/>
      <c r="AW457" s="58"/>
      <c r="AX457" s="58"/>
      <c r="AY457" s="71"/>
      <c r="AZ457" s="58"/>
      <c r="BA457" s="58"/>
      <c r="BB457" s="72" t="str">
        <f aca="false">IF(BA457&lt;&gt;"",VLOOKUP(BA457,Selects!$B$4:$C$100,2,0),"")</f>
        <v/>
      </c>
      <c r="BC457" s="26"/>
      <c r="BD457" s="26"/>
      <c r="BE457" s="73"/>
      <c r="BF457" s="74"/>
      <c r="BG457" s="75" t="str">
        <f aca="false">IF(LEN(BF457)=11,"PF",IF(LEN(BF457)=14,"PJ",""))</f>
        <v/>
      </c>
      <c r="BH457" s="66"/>
      <c r="BI457" s="58" t="str">
        <f aca="false">IF(BH457&lt;&gt;"",VLOOKUP(BH457,Selects!$G:$H,2,0),"")</f>
        <v/>
      </c>
      <c r="BJ457" s="58"/>
      <c r="BK457" s="58"/>
      <c r="BL457" s="59"/>
      <c r="BM457" s="58"/>
      <c r="BN457" s="58"/>
      <c r="BO457" s="58" t="str">
        <f aca="false">IF(BN457&lt;&gt;"",VLOOKUP(BN457,Selects!$J$4:$K$1000,2,0),"")</f>
        <v/>
      </c>
      <c r="BP457" s="76"/>
      <c r="BQ457" s="59"/>
      <c r="BR457" s="77"/>
      <c r="BS457" s="59"/>
      <c r="BT457" s="77"/>
      <c r="BU457" s="58"/>
      <c r="BV457" s="58"/>
      <c r="BW457" s="58"/>
      <c r="BX457" s="58"/>
      <c r="BY457" s="58"/>
      <c r="BZ457" s="58"/>
      <c r="CA457" s="58"/>
      <c r="CB457" s="72" t="str">
        <f aca="false">IF(AC457&lt;&gt;"",VLOOKUP(AC457,Selects!$B:$E,4,0),"")</f>
        <v/>
      </c>
      <c r="CC457" s="58"/>
      <c r="CD457" s="58"/>
      <c r="CE457" s="58"/>
    </row>
    <row r="458" customFormat="false" ht="15.75" hidden="false" customHeight="true" outlineLevel="0" collapsed="false">
      <c r="A458" s="17"/>
      <c r="B458" s="58"/>
      <c r="C458" s="58"/>
      <c r="D458" s="59"/>
      <c r="E458" s="60" t="str">
        <f aca="false">IF(LEN(D458)=11,"PF",IF(LEN(D458)=14,"PJ",""))</f>
        <v/>
      </c>
      <c r="F458" s="59"/>
      <c r="G458" s="59"/>
      <c r="H458" s="61" t="str">
        <f aca="false">IF(G458&lt;&gt;"",VLOOKUP(G458,'Cnae  mcc  id'!$A:$M,9,0),"")</f>
        <v/>
      </c>
      <c r="I458" s="62"/>
      <c r="J458" s="63" t="str">
        <f aca="false">IF(I458&lt;&gt;"",VLOOKUP(I458,'Legal Nature'!$E$2:$G$84,3,0),"")</f>
        <v/>
      </c>
      <c r="K458" s="64"/>
      <c r="L458" s="65"/>
      <c r="M458" s="66"/>
      <c r="N458" s="66"/>
      <c r="O458" s="79"/>
      <c r="P458" s="26"/>
      <c r="Q458" s="58"/>
      <c r="R458" s="58"/>
      <c r="S458" s="80"/>
      <c r="T458" s="68" t="str">
        <f aca="false">IF(LEFT(S458,1)="9","Celular",IF(S458="","","Fixo"))</f>
        <v/>
      </c>
      <c r="U458" s="58" t="str">
        <f aca="false">IF( T458&lt;&gt;"",VLOOKUP(T458,Selects!$M$4:$N$1000,2,0),"")</f>
        <v/>
      </c>
      <c r="V458" s="26"/>
      <c r="W458" s="58"/>
      <c r="X458" s="58"/>
      <c r="Y458" s="58"/>
      <c r="Z458" s="58"/>
      <c r="AA458" s="69"/>
      <c r="AB458" s="58"/>
      <c r="AC458" s="58"/>
      <c r="AD458" s="70" t="str">
        <f aca="false">IF(AC458&lt;&gt;"",VLOOKUP(AC458,Selects!$B$4:$C$100,2,0),"")</f>
        <v/>
      </c>
      <c r="AE458" s="26"/>
      <c r="AF458" s="58"/>
      <c r="AG458" s="59"/>
      <c r="AH458" s="65"/>
      <c r="AI458" s="66"/>
      <c r="AJ458" s="66"/>
      <c r="AK458" s="58"/>
      <c r="AL458" s="58"/>
      <c r="AM458" s="68" t="str">
        <f aca="false">IF(LEFT(AL458,1)="9","Celular",IF(AL458="","","Fixo"))</f>
        <v/>
      </c>
      <c r="AN458" s="58" t="str">
        <f aca="false">IF( AM458&lt;&gt;"",VLOOKUP(AM458,Selects!$M$4:$N$1000,2,0),"")</f>
        <v/>
      </c>
      <c r="AO458" s="58"/>
      <c r="AP458" s="59"/>
      <c r="AQ458" s="65"/>
      <c r="AR458" s="58"/>
      <c r="AS458" s="58"/>
      <c r="AT458" s="26"/>
      <c r="AU458" s="58"/>
      <c r="AV458" s="58"/>
      <c r="AW458" s="58"/>
      <c r="AX458" s="58"/>
      <c r="AY458" s="71"/>
      <c r="AZ458" s="58"/>
      <c r="BA458" s="58"/>
      <c r="BB458" s="72" t="str">
        <f aca="false">IF(BA458&lt;&gt;"",VLOOKUP(BA458,Selects!$B$4:$C$100,2,0),"")</f>
        <v/>
      </c>
      <c r="BC458" s="26"/>
      <c r="BD458" s="26"/>
      <c r="BE458" s="73"/>
      <c r="BF458" s="74"/>
      <c r="BG458" s="75" t="str">
        <f aca="false">IF(LEN(BF458)=11,"PF",IF(LEN(BF458)=14,"PJ",""))</f>
        <v/>
      </c>
      <c r="BH458" s="66"/>
      <c r="BI458" s="58" t="str">
        <f aca="false">IF(BH458&lt;&gt;"",VLOOKUP(BH458,Selects!$G:$H,2,0),"")</f>
        <v/>
      </c>
      <c r="BJ458" s="58"/>
      <c r="BK458" s="58"/>
      <c r="BL458" s="59"/>
      <c r="BM458" s="58"/>
      <c r="BN458" s="58"/>
      <c r="BO458" s="58" t="str">
        <f aca="false">IF(BN458&lt;&gt;"",VLOOKUP(BN458,Selects!$J$4:$K$1000,2,0),"")</f>
        <v/>
      </c>
      <c r="BP458" s="76"/>
      <c r="BQ458" s="59"/>
      <c r="BR458" s="77"/>
      <c r="BS458" s="59"/>
      <c r="BT458" s="77"/>
      <c r="BU458" s="58"/>
      <c r="BV458" s="58"/>
      <c r="BW458" s="58"/>
      <c r="BX458" s="58"/>
      <c r="BY458" s="58"/>
      <c r="BZ458" s="58"/>
      <c r="CA458" s="58"/>
      <c r="CB458" s="72" t="str">
        <f aca="false">IF(AC458&lt;&gt;"",VLOOKUP(AC458,Selects!$B:$E,4,0),"")</f>
        <v/>
      </c>
      <c r="CC458" s="58"/>
      <c r="CD458" s="58"/>
      <c r="CE458" s="58"/>
    </row>
    <row r="459" customFormat="false" ht="15.75" hidden="false" customHeight="true" outlineLevel="0" collapsed="false">
      <c r="A459" s="17"/>
      <c r="B459" s="58"/>
      <c r="C459" s="58"/>
      <c r="D459" s="59"/>
      <c r="E459" s="60" t="str">
        <f aca="false">IF(LEN(D459)=11,"PF",IF(LEN(D459)=14,"PJ",""))</f>
        <v/>
      </c>
      <c r="F459" s="59"/>
      <c r="G459" s="59"/>
      <c r="H459" s="61" t="str">
        <f aca="false">IF(G459&lt;&gt;"",VLOOKUP(G459,'Cnae  mcc  id'!$A:$M,9,0),"")</f>
        <v/>
      </c>
      <c r="I459" s="62"/>
      <c r="J459" s="63" t="str">
        <f aca="false">IF(I459&lt;&gt;"",VLOOKUP(I459,'Legal Nature'!$E$2:$G$84,3,0),"")</f>
        <v/>
      </c>
      <c r="K459" s="64"/>
      <c r="L459" s="65"/>
      <c r="M459" s="66"/>
      <c r="N459" s="66"/>
      <c r="O459" s="79"/>
      <c r="P459" s="26"/>
      <c r="Q459" s="58"/>
      <c r="R459" s="58"/>
      <c r="S459" s="80"/>
      <c r="T459" s="68" t="str">
        <f aca="false">IF(LEFT(S459,1)="9","Celular",IF(S459="","","Fixo"))</f>
        <v/>
      </c>
      <c r="U459" s="58" t="str">
        <f aca="false">IF( T459&lt;&gt;"",VLOOKUP(T459,Selects!$M$4:$N$1000,2,0),"")</f>
        <v/>
      </c>
      <c r="V459" s="26"/>
      <c r="W459" s="58"/>
      <c r="X459" s="58"/>
      <c r="Y459" s="58"/>
      <c r="Z459" s="58"/>
      <c r="AA459" s="69"/>
      <c r="AB459" s="58"/>
      <c r="AC459" s="58"/>
      <c r="AD459" s="70" t="str">
        <f aca="false">IF(AC459&lt;&gt;"",VLOOKUP(AC459,Selects!$B$4:$C$100,2,0),"")</f>
        <v/>
      </c>
      <c r="AE459" s="26"/>
      <c r="AF459" s="58"/>
      <c r="AG459" s="59"/>
      <c r="AH459" s="65"/>
      <c r="AI459" s="66"/>
      <c r="AJ459" s="66"/>
      <c r="AK459" s="58"/>
      <c r="AL459" s="58"/>
      <c r="AM459" s="68" t="str">
        <f aca="false">IF(LEFT(AL459,1)="9","Celular",IF(AL459="","","Fixo"))</f>
        <v/>
      </c>
      <c r="AN459" s="58" t="str">
        <f aca="false">IF( AM459&lt;&gt;"",VLOOKUP(AM459,Selects!$M$4:$N$1000,2,0),"")</f>
        <v/>
      </c>
      <c r="AO459" s="58"/>
      <c r="AP459" s="59"/>
      <c r="AQ459" s="65"/>
      <c r="AR459" s="58"/>
      <c r="AS459" s="58"/>
      <c r="AT459" s="26"/>
      <c r="AU459" s="58"/>
      <c r="AV459" s="58"/>
      <c r="AW459" s="58"/>
      <c r="AX459" s="58"/>
      <c r="AY459" s="71"/>
      <c r="AZ459" s="58"/>
      <c r="BA459" s="58"/>
      <c r="BB459" s="72" t="str">
        <f aca="false">IF(BA459&lt;&gt;"",VLOOKUP(BA459,Selects!$B$4:$C$100,2,0),"")</f>
        <v/>
      </c>
      <c r="BC459" s="26"/>
      <c r="BD459" s="26"/>
      <c r="BE459" s="73"/>
      <c r="BF459" s="74"/>
      <c r="BG459" s="75" t="str">
        <f aca="false">IF(LEN(BF459)=11,"PF",IF(LEN(BF459)=14,"PJ",""))</f>
        <v/>
      </c>
      <c r="BH459" s="66"/>
      <c r="BI459" s="58" t="str">
        <f aca="false">IF(BH459&lt;&gt;"",VLOOKUP(BH459,Selects!$G:$H,2,0),"")</f>
        <v/>
      </c>
      <c r="BJ459" s="58"/>
      <c r="BK459" s="58"/>
      <c r="BL459" s="59"/>
      <c r="BM459" s="58"/>
      <c r="BN459" s="58"/>
      <c r="BO459" s="58" t="str">
        <f aca="false">IF(BN459&lt;&gt;"",VLOOKUP(BN459,Selects!$J$4:$K$1000,2,0),"")</f>
        <v/>
      </c>
      <c r="BP459" s="76"/>
      <c r="BQ459" s="59"/>
      <c r="BR459" s="77"/>
      <c r="BS459" s="59"/>
      <c r="BT459" s="77"/>
      <c r="BU459" s="58"/>
      <c r="BV459" s="58"/>
      <c r="BW459" s="58"/>
      <c r="BX459" s="58"/>
      <c r="BY459" s="58"/>
      <c r="BZ459" s="58"/>
      <c r="CA459" s="58"/>
      <c r="CB459" s="72" t="str">
        <f aca="false">IF(AC459&lt;&gt;"",VLOOKUP(AC459,Selects!$B:$E,4,0),"")</f>
        <v/>
      </c>
      <c r="CC459" s="58"/>
      <c r="CD459" s="58"/>
      <c r="CE459" s="58"/>
    </row>
    <row r="460" customFormat="false" ht="15.75" hidden="false" customHeight="true" outlineLevel="0" collapsed="false">
      <c r="A460" s="17"/>
      <c r="B460" s="58"/>
      <c r="C460" s="58"/>
      <c r="D460" s="59"/>
      <c r="E460" s="60" t="str">
        <f aca="false">IF(LEN(D460)=11,"PF",IF(LEN(D460)=14,"PJ",""))</f>
        <v/>
      </c>
      <c r="F460" s="59"/>
      <c r="G460" s="59"/>
      <c r="H460" s="61" t="str">
        <f aca="false">IF(G460&lt;&gt;"",VLOOKUP(G460,'Cnae  mcc  id'!$A:$M,9,0),"")</f>
        <v/>
      </c>
      <c r="I460" s="62"/>
      <c r="J460" s="63" t="str">
        <f aca="false">IF(I460&lt;&gt;"",VLOOKUP(I460,'Legal Nature'!$E$2:$G$84,3,0),"")</f>
        <v/>
      </c>
      <c r="K460" s="64"/>
      <c r="L460" s="65"/>
      <c r="M460" s="66"/>
      <c r="N460" s="66"/>
      <c r="O460" s="79"/>
      <c r="P460" s="26"/>
      <c r="Q460" s="58"/>
      <c r="R460" s="58"/>
      <c r="S460" s="80"/>
      <c r="T460" s="68" t="str">
        <f aca="false">IF(LEFT(S460,1)="9","Celular",IF(S460="","","Fixo"))</f>
        <v/>
      </c>
      <c r="U460" s="58" t="str">
        <f aca="false">IF( T460&lt;&gt;"",VLOOKUP(T460,Selects!$M$4:$N$1000,2,0),"")</f>
        <v/>
      </c>
      <c r="V460" s="26"/>
      <c r="W460" s="58"/>
      <c r="X460" s="58"/>
      <c r="Y460" s="58"/>
      <c r="Z460" s="58"/>
      <c r="AA460" s="69"/>
      <c r="AB460" s="58"/>
      <c r="AC460" s="58"/>
      <c r="AD460" s="70" t="str">
        <f aca="false">IF(AC460&lt;&gt;"",VLOOKUP(AC460,Selects!$B$4:$C$100,2,0),"")</f>
        <v/>
      </c>
      <c r="AE460" s="26"/>
      <c r="AF460" s="58"/>
      <c r="AG460" s="59"/>
      <c r="AH460" s="65"/>
      <c r="AI460" s="66"/>
      <c r="AJ460" s="66"/>
      <c r="AK460" s="58"/>
      <c r="AL460" s="58"/>
      <c r="AM460" s="68" t="str">
        <f aca="false">IF(LEFT(AL460,1)="9","Celular",IF(AL460="","","Fixo"))</f>
        <v/>
      </c>
      <c r="AN460" s="58" t="str">
        <f aca="false">IF( AM460&lt;&gt;"",VLOOKUP(AM460,Selects!$M$4:$N$1000,2,0),"")</f>
        <v/>
      </c>
      <c r="AO460" s="58"/>
      <c r="AP460" s="59"/>
      <c r="AQ460" s="65"/>
      <c r="AR460" s="58"/>
      <c r="AS460" s="58"/>
      <c r="AT460" s="26"/>
      <c r="AU460" s="58"/>
      <c r="AV460" s="58"/>
      <c r="AW460" s="58"/>
      <c r="AX460" s="58"/>
      <c r="AY460" s="71"/>
      <c r="AZ460" s="58"/>
      <c r="BA460" s="58"/>
      <c r="BB460" s="72" t="str">
        <f aca="false">IF(BA460&lt;&gt;"",VLOOKUP(BA460,Selects!$B$4:$C$100,2,0),"")</f>
        <v/>
      </c>
      <c r="BC460" s="26"/>
      <c r="BD460" s="26"/>
      <c r="BE460" s="73"/>
      <c r="BF460" s="74"/>
      <c r="BG460" s="75" t="str">
        <f aca="false">IF(LEN(BF460)=11,"PF",IF(LEN(BF460)=14,"PJ",""))</f>
        <v/>
      </c>
      <c r="BH460" s="66"/>
      <c r="BI460" s="58" t="str">
        <f aca="false">IF(BH460&lt;&gt;"",VLOOKUP(BH460,Selects!$G:$H,2,0),"")</f>
        <v/>
      </c>
      <c r="BJ460" s="58"/>
      <c r="BK460" s="58"/>
      <c r="BL460" s="59"/>
      <c r="BM460" s="58"/>
      <c r="BN460" s="58"/>
      <c r="BO460" s="58" t="str">
        <f aca="false">IF(BN460&lt;&gt;"",VLOOKUP(BN460,Selects!$J$4:$K$1000,2,0),"")</f>
        <v/>
      </c>
      <c r="BP460" s="76"/>
      <c r="BQ460" s="59"/>
      <c r="BR460" s="77"/>
      <c r="BS460" s="59"/>
      <c r="BT460" s="77"/>
      <c r="BU460" s="58"/>
      <c r="BV460" s="58"/>
      <c r="BW460" s="58"/>
      <c r="BX460" s="58"/>
      <c r="BY460" s="58"/>
      <c r="BZ460" s="58"/>
      <c r="CA460" s="58"/>
      <c r="CB460" s="72" t="str">
        <f aca="false">IF(AC460&lt;&gt;"",VLOOKUP(AC460,Selects!$B:$E,4,0),"")</f>
        <v/>
      </c>
      <c r="CC460" s="58"/>
      <c r="CD460" s="58"/>
      <c r="CE460" s="58"/>
    </row>
    <row r="461" customFormat="false" ht="15.75" hidden="false" customHeight="true" outlineLevel="0" collapsed="false">
      <c r="A461" s="17"/>
      <c r="B461" s="58"/>
      <c r="C461" s="58"/>
      <c r="D461" s="59"/>
      <c r="E461" s="60" t="str">
        <f aca="false">IF(LEN(D461)=11,"PF",IF(LEN(D461)=14,"PJ",""))</f>
        <v/>
      </c>
      <c r="F461" s="59"/>
      <c r="G461" s="59"/>
      <c r="H461" s="61" t="str">
        <f aca="false">IF(G461&lt;&gt;"",VLOOKUP(G461,'Cnae  mcc  id'!$A:$M,9,0),"")</f>
        <v/>
      </c>
      <c r="I461" s="62"/>
      <c r="J461" s="63" t="str">
        <f aca="false">IF(I461&lt;&gt;"",VLOOKUP(I461,'Legal Nature'!$E$2:$G$84,3,0),"")</f>
        <v/>
      </c>
      <c r="K461" s="64"/>
      <c r="L461" s="65"/>
      <c r="M461" s="66"/>
      <c r="N461" s="66"/>
      <c r="O461" s="79"/>
      <c r="P461" s="26"/>
      <c r="Q461" s="58"/>
      <c r="R461" s="58"/>
      <c r="S461" s="80"/>
      <c r="T461" s="68" t="str">
        <f aca="false">IF(LEFT(S461,1)="9","Celular",IF(S461="","","Fixo"))</f>
        <v/>
      </c>
      <c r="U461" s="58" t="str">
        <f aca="false">IF( T461&lt;&gt;"",VLOOKUP(T461,Selects!$M$4:$N$1000,2,0),"")</f>
        <v/>
      </c>
      <c r="V461" s="26"/>
      <c r="W461" s="58"/>
      <c r="X461" s="58"/>
      <c r="Y461" s="58"/>
      <c r="Z461" s="58"/>
      <c r="AA461" s="69"/>
      <c r="AB461" s="58"/>
      <c r="AC461" s="58"/>
      <c r="AD461" s="70" t="str">
        <f aca="false">IF(AC461&lt;&gt;"",VLOOKUP(AC461,Selects!$B$4:$C$100,2,0),"")</f>
        <v/>
      </c>
      <c r="AE461" s="26"/>
      <c r="AF461" s="58"/>
      <c r="AG461" s="59"/>
      <c r="AH461" s="65"/>
      <c r="AI461" s="66"/>
      <c r="AJ461" s="66"/>
      <c r="AK461" s="58"/>
      <c r="AL461" s="58"/>
      <c r="AM461" s="68" t="str">
        <f aca="false">IF(LEFT(AL461,1)="9","Celular",IF(AL461="","","Fixo"))</f>
        <v/>
      </c>
      <c r="AN461" s="58" t="str">
        <f aca="false">IF( AM461&lt;&gt;"",VLOOKUP(AM461,Selects!$M$4:$N$1000,2,0),"")</f>
        <v/>
      </c>
      <c r="AO461" s="58"/>
      <c r="AP461" s="59"/>
      <c r="AQ461" s="65"/>
      <c r="AR461" s="58"/>
      <c r="AS461" s="58"/>
      <c r="AT461" s="26"/>
      <c r="AU461" s="58"/>
      <c r="AV461" s="58"/>
      <c r="AW461" s="58"/>
      <c r="AX461" s="58"/>
      <c r="AY461" s="71"/>
      <c r="AZ461" s="58"/>
      <c r="BA461" s="58"/>
      <c r="BB461" s="72" t="str">
        <f aca="false">IF(BA461&lt;&gt;"",VLOOKUP(BA461,Selects!$B$4:$C$100,2,0),"")</f>
        <v/>
      </c>
      <c r="BC461" s="26"/>
      <c r="BD461" s="26"/>
      <c r="BE461" s="73"/>
      <c r="BF461" s="74"/>
      <c r="BG461" s="75" t="str">
        <f aca="false">IF(LEN(BF461)=11,"PF",IF(LEN(BF461)=14,"PJ",""))</f>
        <v/>
      </c>
      <c r="BH461" s="66"/>
      <c r="BI461" s="58" t="str">
        <f aca="false">IF(BH461&lt;&gt;"",VLOOKUP(BH461,Selects!$G:$H,2,0),"")</f>
        <v/>
      </c>
      <c r="BJ461" s="58"/>
      <c r="BK461" s="58"/>
      <c r="BL461" s="59"/>
      <c r="BM461" s="58"/>
      <c r="BN461" s="58"/>
      <c r="BO461" s="58" t="str">
        <f aca="false">IF(BN461&lt;&gt;"",VLOOKUP(BN461,Selects!$J$4:$K$1000,2,0),"")</f>
        <v/>
      </c>
      <c r="BP461" s="76"/>
      <c r="BQ461" s="59"/>
      <c r="BR461" s="77"/>
      <c r="BS461" s="59"/>
      <c r="BT461" s="77"/>
      <c r="BU461" s="58"/>
      <c r="BV461" s="58"/>
      <c r="BW461" s="58"/>
      <c r="BX461" s="58"/>
      <c r="BY461" s="58"/>
      <c r="BZ461" s="58"/>
      <c r="CA461" s="58"/>
      <c r="CB461" s="72" t="str">
        <f aca="false">IF(AC461&lt;&gt;"",VLOOKUP(AC461,Selects!$B:$E,4,0),"")</f>
        <v/>
      </c>
      <c r="CC461" s="58"/>
      <c r="CD461" s="58"/>
      <c r="CE461" s="58"/>
    </row>
    <row r="462" customFormat="false" ht="15.75" hidden="false" customHeight="true" outlineLevel="0" collapsed="false">
      <c r="A462" s="17"/>
      <c r="B462" s="58"/>
      <c r="C462" s="58"/>
      <c r="D462" s="59"/>
      <c r="E462" s="60" t="str">
        <f aca="false">IF(LEN(D462)=11,"PF",IF(LEN(D462)=14,"PJ",""))</f>
        <v/>
      </c>
      <c r="F462" s="59"/>
      <c r="G462" s="59"/>
      <c r="H462" s="61" t="str">
        <f aca="false">IF(G462&lt;&gt;"",VLOOKUP(G462,'Cnae  mcc  id'!$A:$M,9,0),"")</f>
        <v/>
      </c>
      <c r="I462" s="62"/>
      <c r="J462" s="63" t="str">
        <f aca="false">IF(I462&lt;&gt;"",VLOOKUP(I462,'Legal Nature'!$E$2:$G$84,3,0),"")</f>
        <v/>
      </c>
      <c r="K462" s="64"/>
      <c r="L462" s="65"/>
      <c r="M462" s="66"/>
      <c r="N462" s="66"/>
      <c r="O462" s="79"/>
      <c r="P462" s="26"/>
      <c r="Q462" s="58"/>
      <c r="R462" s="58"/>
      <c r="S462" s="80"/>
      <c r="T462" s="68" t="str">
        <f aca="false">IF(LEFT(S462,1)="9","Celular",IF(S462="","","Fixo"))</f>
        <v/>
      </c>
      <c r="U462" s="58" t="str">
        <f aca="false">IF( T462&lt;&gt;"",VLOOKUP(T462,Selects!$M$4:$N$1000,2,0),"")</f>
        <v/>
      </c>
      <c r="V462" s="26"/>
      <c r="W462" s="58"/>
      <c r="X462" s="58"/>
      <c r="Y462" s="58"/>
      <c r="Z462" s="58"/>
      <c r="AA462" s="69"/>
      <c r="AB462" s="58"/>
      <c r="AC462" s="58"/>
      <c r="AD462" s="70" t="str">
        <f aca="false">IF(AC462&lt;&gt;"",VLOOKUP(AC462,Selects!$B$4:$C$100,2,0),"")</f>
        <v/>
      </c>
      <c r="AE462" s="26"/>
      <c r="AF462" s="58"/>
      <c r="AG462" s="59"/>
      <c r="AH462" s="65"/>
      <c r="AI462" s="66"/>
      <c r="AJ462" s="66"/>
      <c r="AK462" s="58"/>
      <c r="AL462" s="58"/>
      <c r="AM462" s="68" t="str">
        <f aca="false">IF(LEFT(AL462,1)="9","Celular",IF(AL462="","","Fixo"))</f>
        <v/>
      </c>
      <c r="AN462" s="58" t="str">
        <f aca="false">IF( AM462&lt;&gt;"",VLOOKUP(AM462,Selects!$M$4:$N$1000,2,0),"")</f>
        <v/>
      </c>
      <c r="AO462" s="58"/>
      <c r="AP462" s="59"/>
      <c r="AQ462" s="65"/>
      <c r="AR462" s="58"/>
      <c r="AS462" s="58"/>
      <c r="AT462" s="26"/>
      <c r="AU462" s="58"/>
      <c r="AV462" s="58"/>
      <c r="AW462" s="58"/>
      <c r="AX462" s="58"/>
      <c r="AY462" s="71"/>
      <c r="AZ462" s="58"/>
      <c r="BA462" s="58"/>
      <c r="BB462" s="72" t="str">
        <f aca="false">IF(BA462&lt;&gt;"",VLOOKUP(BA462,Selects!$B$4:$C$100,2,0),"")</f>
        <v/>
      </c>
      <c r="BC462" s="26"/>
      <c r="BD462" s="26"/>
      <c r="BE462" s="73"/>
      <c r="BF462" s="74"/>
      <c r="BG462" s="75" t="str">
        <f aca="false">IF(LEN(BF462)=11,"PF",IF(LEN(BF462)=14,"PJ",""))</f>
        <v/>
      </c>
      <c r="BH462" s="66"/>
      <c r="BI462" s="58" t="str">
        <f aca="false">IF(BH462&lt;&gt;"",VLOOKUP(BH462,Selects!$G:$H,2,0),"")</f>
        <v/>
      </c>
      <c r="BJ462" s="58"/>
      <c r="BK462" s="58"/>
      <c r="BL462" s="59"/>
      <c r="BM462" s="58"/>
      <c r="BN462" s="58"/>
      <c r="BO462" s="58" t="str">
        <f aca="false">IF(BN462&lt;&gt;"",VLOOKUP(BN462,Selects!$J$4:$K$1000,2,0),"")</f>
        <v/>
      </c>
      <c r="BP462" s="76"/>
      <c r="BQ462" s="59"/>
      <c r="BR462" s="77"/>
      <c r="BS462" s="59"/>
      <c r="BT462" s="77"/>
      <c r="BU462" s="58"/>
      <c r="BV462" s="58"/>
      <c r="BW462" s="58"/>
      <c r="BX462" s="58"/>
      <c r="BY462" s="58"/>
      <c r="BZ462" s="58"/>
      <c r="CA462" s="58"/>
      <c r="CB462" s="72" t="str">
        <f aca="false">IF(AC462&lt;&gt;"",VLOOKUP(AC462,Selects!$B:$E,4,0),"")</f>
        <v/>
      </c>
      <c r="CC462" s="58"/>
      <c r="CD462" s="58"/>
      <c r="CE462" s="58"/>
    </row>
    <row r="463" customFormat="false" ht="15.75" hidden="false" customHeight="true" outlineLevel="0" collapsed="false">
      <c r="A463" s="17"/>
      <c r="B463" s="58"/>
      <c r="C463" s="58"/>
      <c r="D463" s="59"/>
      <c r="E463" s="60" t="str">
        <f aca="false">IF(LEN(D463)=11,"PF",IF(LEN(D463)=14,"PJ",""))</f>
        <v/>
      </c>
      <c r="F463" s="59"/>
      <c r="G463" s="59"/>
      <c r="H463" s="61" t="str">
        <f aca="false">IF(G463&lt;&gt;"",VLOOKUP(G463,'Cnae  mcc  id'!$A:$M,9,0),"")</f>
        <v/>
      </c>
      <c r="I463" s="62"/>
      <c r="J463" s="63" t="str">
        <f aca="false">IF(I463&lt;&gt;"",VLOOKUP(I463,'Legal Nature'!$E$2:$G$84,3,0),"")</f>
        <v/>
      </c>
      <c r="K463" s="64"/>
      <c r="L463" s="65"/>
      <c r="M463" s="66"/>
      <c r="N463" s="66"/>
      <c r="O463" s="79"/>
      <c r="P463" s="26"/>
      <c r="Q463" s="58"/>
      <c r="R463" s="58"/>
      <c r="S463" s="80"/>
      <c r="T463" s="68" t="str">
        <f aca="false">IF(LEFT(S463,1)="9","Celular",IF(S463="","","Fixo"))</f>
        <v/>
      </c>
      <c r="U463" s="58" t="str">
        <f aca="false">IF( T463&lt;&gt;"",VLOOKUP(T463,Selects!$M$4:$N$1000,2,0),"")</f>
        <v/>
      </c>
      <c r="V463" s="26"/>
      <c r="W463" s="58"/>
      <c r="X463" s="58"/>
      <c r="Y463" s="58"/>
      <c r="Z463" s="58"/>
      <c r="AA463" s="69"/>
      <c r="AB463" s="58"/>
      <c r="AC463" s="58"/>
      <c r="AD463" s="70" t="str">
        <f aca="false">IF(AC463&lt;&gt;"",VLOOKUP(AC463,Selects!$B$4:$C$100,2,0),"")</f>
        <v/>
      </c>
      <c r="AE463" s="26"/>
      <c r="AF463" s="58"/>
      <c r="AG463" s="59"/>
      <c r="AH463" s="65"/>
      <c r="AI463" s="66"/>
      <c r="AJ463" s="66"/>
      <c r="AK463" s="58"/>
      <c r="AL463" s="58"/>
      <c r="AM463" s="68" t="str">
        <f aca="false">IF(LEFT(AL463,1)="9","Celular",IF(AL463="","","Fixo"))</f>
        <v/>
      </c>
      <c r="AN463" s="58" t="str">
        <f aca="false">IF( AM463&lt;&gt;"",VLOOKUP(AM463,Selects!$M$4:$N$1000,2,0),"")</f>
        <v/>
      </c>
      <c r="AO463" s="58"/>
      <c r="AP463" s="59"/>
      <c r="AQ463" s="65"/>
      <c r="AR463" s="58"/>
      <c r="AS463" s="58"/>
      <c r="AT463" s="26"/>
      <c r="AU463" s="58"/>
      <c r="AV463" s="58"/>
      <c r="AW463" s="58"/>
      <c r="AX463" s="58"/>
      <c r="AY463" s="71"/>
      <c r="AZ463" s="58"/>
      <c r="BA463" s="58"/>
      <c r="BB463" s="72" t="str">
        <f aca="false">IF(BA463&lt;&gt;"",VLOOKUP(BA463,Selects!$B$4:$C$100,2,0),"")</f>
        <v/>
      </c>
      <c r="BC463" s="26"/>
      <c r="BD463" s="26"/>
      <c r="BE463" s="73"/>
      <c r="BF463" s="74"/>
      <c r="BG463" s="75" t="str">
        <f aca="false">IF(LEN(BF463)=11,"PF",IF(LEN(BF463)=14,"PJ",""))</f>
        <v/>
      </c>
      <c r="BH463" s="66"/>
      <c r="BI463" s="58" t="str">
        <f aca="false">IF(BH463&lt;&gt;"",VLOOKUP(BH463,Selects!$G:$H,2,0),"")</f>
        <v/>
      </c>
      <c r="BJ463" s="58"/>
      <c r="BK463" s="58"/>
      <c r="BL463" s="59"/>
      <c r="BM463" s="58"/>
      <c r="BN463" s="58"/>
      <c r="BO463" s="58" t="str">
        <f aca="false">IF(BN463&lt;&gt;"",VLOOKUP(BN463,Selects!$J$4:$K$1000,2,0),"")</f>
        <v/>
      </c>
      <c r="BP463" s="76"/>
      <c r="BQ463" s="59"/>
      <c r="BR463" s="77"/>
      <c r="BS463" s="59"/>
      <c r="BT463" s="77"/>
      <c r="BU463" s="58"/>
      <c r="BV463" s="58"/>
      <c r="BW463" s="58"/>
      <c r="BX463" s="58"/>
      <c r="BY463" s="58"/>
      <c r="BZ463" s="58"/>
      <c r="CA463" s="58"/>
      <c r="CB463" s="72" t="str">
        <f aca="false">IF(AC463&lt;&gt;"",VLOOKUP(AC463,Selects!$B:$E,4,0),"")</f>
        <v/>
      </c>
      <c r="CC463" s="58"/>
      <c r="CD463" s="58"/>
      <c r="CE463" s="58"/>
    </row>
    <row r="464" customFormat="false" ht="15.75" hidden="false" customHeight="true" outlineLevel="0" collapsed="false">
      <c r="A464" s="17"/>
      <c r="B464" s="58"/>
      <c r="C464" s="58"/>
      <c r="D464" s="59"/>
      <c r="E464" s="60" t="str">
        <f aca="false">IF(LEN(D464)=11,"PF",IF(LEN(D464)=14,"PJ",""))</f>
        <v/>
      </c>
      <c r="F464" s="59"/>
      <c r="G464" s="59"/>
      <c r="H464" s="61" t="str">
        <f aca="false">IF(G464&lt;&gt;"",VLOOKUP(G464,'Cnae  mcc  id'!$A:$M,9,0),"")</f>
        <v/>
      </c>
      <c r="I464" s="62"/>
      <c r="J464" s="63" t="str">
        <f aca="false">IF(I464&lt;&gt;"",VLOOKUP(I464,'Legal Nature'!$E$2:$G$84,3,0),"")</f>
        <v/>
      </c>
      <c r="K464" s="64"/>
      <c r="L464" s="65"/>
      <c r="M464" s="66"/>
      <c r="N464" s="66"/>
      <c r="O464" s="79"/>
      <c r="P464" s="26"/>
      <c r="Q464" s="58"/>
      <c r="R464" s="58"/>
      <c r="S464" s="80"/>
      <c r="T464" s="68" t="str">
        <f aca="false">IF(LEFT(S464,1)="9","Celular",IF(S464="","","Fixo"))</f>
        <v/>
      </c>
      <c r="U464" s="58" t="str">
        <f aca="false">IF( T464&lt;&gt;"",VLOOKUP(T464,Selects!$M$4:$N$1000,2,0),"")</f>
        <v/>
      </c>
      <c r="V464" s="26"/>
      <c r="W464" s="58"/>
      <c r="X464" s="58"/>
      <c r="Y464" s="58"/>
      <c r="Z464" s="58"/>
      <c r="AA464" s="69"/>
      <c r="AB464" s="58"/>
      <c r="AC464" s="58"/>
      <c r="AD464" s="70" t="str">
        <f aca="false">IF(AC464&lt;&gt;"",VLOOKUP(AC464,Selects!$B$4:$C$100,2,0),"")</f>
        <v/>
      </c>
      <c r="AE464" s="26"/>
      <c r="AF464" s="58"/>
      <c r="AG464" s="59"/>
      <c r="AH464" s="65"/>
      <c r="AI464" s="66"/>
      <c r="AJ464" s="66"/>
      <c r="AK464" s="58"/>
      <c r="AL464" s="58"/>
      <c r="AM464" s="68" t="str">
        <f aca="false">IF(LEFT(AL464,1)="9","Celular",IF(AL464="","","Fixo"))</f>
        <v/>
      </c>
      <c r="AN464" s="58" t="str">
        <f aca="false">IF( AM464&lt;&gt;"",VLOOKUP(AM464,Selects!$M$4:$N$1000,2,0),"")</f>
        <v/>
      </c>
      <c r="AO464" s="58"/>
      <c r="AP464" s="59"/>
      <c r="AQ464" s="65"/>
      <c r="AR464" s="58"/>
      <c r="AS464" s="58"/>
      <c r="AT464" s="26"/>
      <c r="AU464" s="58"/>
      <c r="AV464" s="58"/>
      <c r="AW464" s="58"/>
      <c r="AX464" s="58"/>
      <c r="AY464" s="71"/>
      <c r="AZ464" s="58"/>
      <c r="BA464" s="58"/>
      <c r="BB464" s="72" t="str">
        <f aca="false">IF(BA464&lt;&gt;"",VLOOKUP(BA464,Selects!$B$4:$C$100,2,0),"")</f>
        <v/>
      </c>
      <c r="BC464" s="26"/>
      <c r="BD464" s="26"/>
      <c r="BE464" s="73"/>
      <c r="BF464" s="74"/>
      <c r="BG464" s="75" t="str">
        <f aca="false">IF(LEN(BF464)=11,"PF",IF(LEN(BF464)=14,"PJ",""))</f>
        <v/>
      </c>
      <c r="BH464" s="66"/>
      <c r="BI464" s="58" t="str">
        <f aca="false">IF(BH464&lt;&gt;"",VLOOKUP(BH464,Selects!$G:$H,2,0),"")</f>
        <v/>
      </c>
      <c r="BJ464" s="58"/>
      <c r="BK464" s="58"/>
      <c r="BL464" s="59"/>
      <c r="BM464" s="58"/>
      <c r="BN464" s="58"/>
      <c r="BO464" s="58" t="str">
        <f aca="false">IF(BN464&lt;&gt;"",VLOOKUP(BN464,Selects!$J$4:$K$1000,2,0),"")</f>
        <v/>
      </c>
      <c r="BP464" s="76"/>
      <c r="BQ464" s="59"/>
      <c r="BR464" s="77"/>
      <c r="BS464" s="59"/>
      <c r="BT464" s="77"/>
      <c r="BU464" s="58"/>
      <c r="BV464" s="58"/>
      <c r="BW464" s="58"/>
      <c r="BX464" s="58"/>
      <c r="BY464" s="58"/>
      <c r="BZ464" s="58"/>
      <c r="CA464" s="58"/>
      <c r="CB464" s="72" t="str">
        <f aca="false">IF(AC464&lt;&gt;"",VLOOKUP(AC464,Selects!$B:$E,4,0),"")</f>
        <v/>
      </c>
      <c r="CC464" s="58"/>
      <c r="CD464" s="58"/>
      <c r="CE464" s="58"/>
    </row>
    <row r="465" customFormat="false" ht="15.75" hidden="false" customHeight="true" outlineLevel="0" collapsed="false">
      <c r="A465" s="17"/>
      <c r="B465" s="58"/>
      <c r="C465" s="58"/>
      <c r="D465" s="59"/>
      <c r="E465" s="60" t="str">
        <f aca="false">IF(LEN(D465)=11,"PF",IF(LEN(D465)=14,"PJ",""))</f>
        <v/>
      </c>
      <c r="F465" s="59"/>
      <c r="G465" s="59"/>
      <c r="H465" s="61" t="str">
        <f aca="false">IF(G465&lt;&gt;"",VLOOKUP(G465,'Cnae  mcc  id'!$A:$M,9,0),"")</f>
        <v/>
      </c>
      <c r="I465" s="62"/>
      <c r="J465" s="63" t="str">
        <f aca="false">IF(I465&lt;&gt;"",VLOOKUP(I465,'Legal Nature'!$E$2:$G$84,3,0),"")</f>
        <v/>
      </c>
      <c r="K465" s="64"/>
      <c r="L465" s="65"/>
      <c r="M465" s="66"/>
      <c r="N465" s="66"/>
      <c r="O465" s="79"/>
      <c r="P465" s="26"/>
      <c r="Q465" s="58"/>
      <c r="R465" s="58"/>
      <c r="S465" s="80"/>
      <c r="T465" s="68" t="str">
        <f aca="false">IF(LEFT(S465,1)="9","Celular",IF(S465="","","Fixo"))</f>
        <v/>
      </c>
      <c r="U465" s="58" t="str">
        <f aca="false">IF( T465&lt;&gt;"",VLOOKUP(T465,Selects!$M$4:$N$1000,2,0),"")</f>
        <v/>
      </c>
      <c r="V465" s="26"/>
      <c r="W465" s="58"/>
      <c r="X465" s="58"/>
      <c r="Y465" s="58"/>
      <c r="Z465" s="58"/>
      <c r="AA465" s="69"/>
      <c r="AB465" s="58"/>
      <c r="AC465" s="58"/>
      <c r="AD465" s="70" t="str">
        <f aca="false">IF(AC465&lt;&gt;"",VLOOKUP(AC465,Selects!$B$4:$C$100,2,0),"")</f>
        <v/>
      </c>
      <c r="AE465" s="26"/>
      <c r="AF465" s="58"/>
      <c r="AG465" s="59"/>
      <c r="AH465" s="65"/>
      <c r="AI465" s="66"/>
      <c r="AJ465" s="66"/>
      <c r="AK465" s="58"/>
      <c r="AL465" s="58"/>
      <c r="AM465" s="68" t="str">
        <f aca="false">IF(LEFT(AL465,1)="9","Celular",IF(AL465="","","Fixo"))</f>
        <v/>
      </c>
      <c r="AN465" s="58" t="str">
        <f aca="false">IF( AM465&lt;&gt;"",VLOOKUP(AM465,Selects!$M$4:$N$1000,2,0),"")</f>
        <v/>
      </c>
      <c r="AO465" s="58"/>
      <c r="AP465" s="59"/>
      <c r="AQ465" s="65"/>
      <c r="AR465" s="58"/>
      <c r="AS465" s="58"/>
      <c r="AT465" s="26"/>
      <c r="AU465" s="58"/>
      <c r="AV465" s="58"/>
      <c r="AW465" s="58"/>
      <c r="AX465" s="58"/>
      <c r="AY465" s="71"/>
      <c r="AZ465" s="58"/>
      <c r="BA465" s="58"/>
      <c r="BB465" s="72" t="str">
        <f aca="false">IF(BA465&lt;&gt;"",VLOOKUP(BA465,Selects!$B$4:$C$100,2,0),"")</f>
        <v/>
      </c>
      <c r="BC465" s="26"/>
      <c r="BD465" s="26"/>
      <c r="BE465" s="73"/>
      <c r="BF465" s="74"/>
      <c r="BG465" s="75" t="str">
        <f aca="false">IF(LEN(BF465)=11,"PF",IF(LEN(BF465)=14,"PJ",""))</f>
        <v/>
      </c>
      <c r="BH465" s="66"/>
      <c r="BI465" s="58" t="str">
        <f aca="false">IF(BH465&lt;&gt;"",VLOOKUP(BH465,Selects!$G:$H,2,0),"")</f>
        <v/>
      </c>
      <c r="BJ465" s="58"/>
      <c r="BK465" s="58"/>
      <c r="BL465" s="59"/>
      <c r="BM465" s="58"/>
      <c r="BN465" s="58"/>
      <c r="BO465" s="58" t="str">
        <f aca="false">IF(BN465&lt;&gt;"",VLOOKUP(BN465,Selects!$J$4:$K$1000,2,0),"")</f>
        <v/>
      </c>
      <c r="BP465" s="76"/>
      <c r="BQ465" s="59"/>
      <c r="BR465" s="77"/>
      <c r="BS465" s="59"/>
      <c r="BT465" s="77"/>
      <c r="BU465" s="58"/>
      <c r="BV465" s="58"/>
      <c r="BW465" s="58"/>
      <c r="BX465" s="58"/>
      <c r="BY465" s="58"/>
      <c r="BZ465" s="58"/>
      <c r="CA465" s="58"/>
      <c r="CB465" s="72" t="str">
        <f aca="false">IF(AC465&lt;&gt;"",VLOOKUP(AC465,Selects!$B:$E,4,0),"")</f>
        <v/>
      </c>
      <c r="CC465" s="58"/>
      <c r="CD465" s="58"/>
      <c r="CE465" s="58"/>
    </row>
    <row r="466" customFormat="false" ht="15.75" hidden="false" customHeight="true" outlineLevel="0" collapsed="false">
      <c r="A466" s="17"/>
      <c r="B466" s="58"/>
      <c r="C466" s="58"/>
      <c r="D466" s="59"/>
      <c r="E466" s="60" t="str">
        <f aca="false">IF(LEN(D466)=11,"PF",IF(LEN(D466)=14,"PJ",""))</f>
        <v/>
      </c>
      <c r="F466" s="59"/>
      <c r="G466" s="59"/>
      <c r="H466" s="61" t="str">
        <f aca="false">IF(G466&lt;&gt;"",VLOOKUP(G466,'Cnae  mcc  id'!$A:$M,9,0),"")</f>
        <v/>
      </c>
      <c r="I466" s="62"/>
      <c r="J466" s="63" t="str">
        <f aca="false">IF(I466&lt;&gt;"",VLOOKUP(I466,'Legal Nature'!$E$2:$G$84,3,0),"")</f>
        <v/>
      </c>
      <c r="K466" s="64"/>
      <c r="L466" s="65"/>
      <c r="M466" s="66"/>
      <c r="N466" s="66"/>
      <c r="O466" s="79"/>
      <c r="P466" s="26"/>
      <c r="Q466" s="58"/>
      <c r="R466" s="58"/>
      <c r="S466" s="80"/>
      <c r="T466" s="68" t="str">
        <f aca="false">IF(LEFT(S466,1)="9","Celular",IF(S466="","","Fixo"))</f>
        <v/>
      </c>
      <c r="U466" s="58" t="str">
        <f aca="false">IF( T466&lt;&gt;"",VLOOKUP(T466,Selects!$M$4:$N$1000,2,0),"")</f>
        <v/>
      </c>
      <c r="V466" s="26"/>
      <c r="W466" s="58"/>
      <c r="X466" s="58"/>
      <c r="Y466" s="58"/>
      <c r="Z466" s="58"/>
      <c r="AA466" s="69"/>
      <c r="AB466" s="58"/>
      <c r="AC466" s="58"/>
      <c r="AD466" s="70" t="str">
        <f aca="false">IF(AC466&lt;&gt;"",VLOOKUP(AC466,Selects!$B$4:$C$100,2,0),"")</f>
        <v/>
      </c>
      <c r="AE466" s="26"/>
      <c r="AF466" s="58"/>
      <c r="AG466" s="59"/>
      <c r="AH466" s="65"/>
      <c r="AI466" s="66"/>
      <c r="AJ466" s="66"/>
      <c r="AK466" s="58"/>
      <c r="AL466" s="58"/>
      <c r="AM466" s="68" t="str">
        <f aca="false">IF(LEFT(AL466,1)="9","Celular",IF(AL466="","","Fixo"))</f>
        <v/>
      </c>
      <c r="AN466" s="58" t="str">
        <f aca="false">IF( AM466&lt;&gt;"",VLOOKUP(AM466,Selects!$M$4:$N$1000,2,0),"")</f>
        <v/>
      </c>
      <c r="AO466" s="58"/>
      <c r="AP466" s="59"/>
      <c r="AQ466" s="65"/>
      <c r="AR466" s="58"/>
      <c r="AS466" s="58"/>
      <c r="AT466" s="26"/>
      <c r="AU466" s="58"/>
      <c r="AV466" s="58"/>
      <c r="AW466" s="58"/>
      <c r="AX466" s="58"/>
      <c r="AY466" s="71"/>
      <c r="AZ466" s="58"/>
      <c r="BA466" s="58"/>
      <c r="BB466" s="72" t="str">
        <f aca="false">IF(BA466&lt;&gt;"",VLOOKUP(BA466,Selects!$B$4:$C$100,2,0),"")</f>
        <v/>
      </c>
      <c r="BC466" s="26"/>
      <c r="BD466" s="26"/>
      <c r="BE466" s="73"/>
      <c r="BF466" s="74"/>
      <c r="BG466" s="75" t="str">
        <f aca="false">IF(LEN(BF466)=11,"PF",IF(LEN(BF466)=14,"PJ",""))</f>
        <v/>
      </c>
      <c r="BH466" s="66"/>
      <c r="BI466" s="58" t="str">
        <f aca="false">IF(BH466&lt;&gt;"",VLOOKUP(BH466,Selects!$G:$H,2,0),"")</f>
        <v/>
      </c>
      <c r="BJ466" s="58"/>
      <c r="BK466" s="58"/>
      <c r="BL466" s="59"/>
      <c r="BM466" s="58"/>
      <c r="BN466" s="58"/>
      <c r="BO466" s="58" t="str">
        <f aca="false">IF(BN466&lt;&gt;"",VLOOKUP(BN466,Selects!$J$4:$K$1000,2,0),"")</f>
        <v/>
      </c>
      <c r="BP466" s="76"/>
      <c r="BQ466" s="59"/>
      <c r="BR466" s="77"/>
      <c r="BS466" s="59"/>
      <c r="BT466" s="77"/>
      <c r="BU466" s="58"/>
      <c r="BV466" s="58"/>
      <c r="BW466" s="58"/>
      <c r="BX466" s="58"/>
      <c r="BY466" s="58"/>
      <c r="BZ466" s="58"/>
      <c r="CA466" s="58"/>
      <c r="CB466" s="72" t="str">
        <f aca="false">IF(AC466&lt;&gt;"",VLOOKUP(AC466,Selects!$B:$E,4,0),"")</f>
        <v/>
      </c>
      <c r="CC466" s="58"/>
      <c r="CD466" s="58"/>
      <c r="CE466" s="58"/>
    </row>
    <row r="467" customFormat="false" ht="15.75" hidden="false" customHeight="true" outlineLevel="0" collapsed="false">
      <c r="A467" s="17"/>
      <c r="B467" s="58"/>
      <c r="C467" s="58"/>
      <c r="D467" s="59"/>
      <c r="E467" s="60" t="str">
        <f aca="false">IF(LEN(D467)=11,"PF",IF(LEN(D467)=14,"PJ",""))</f>
        <v/>
      </c>
      <c r="F467" s="59"/>
      <c r="G467" s="59"/>
      <c r="H467" s="61" t="str">
        <f aca="false">IF(G467&lt;&gt;"",VLOOKUP(G467,'Cnae  mcc  id'!$A:$M,9,0),"")</f>
        <v/>
      </c>
      <c r="I467" s="62"/>
      <c r="J467" s="63" t="str">
        <f aca="false">IF(I467&lt;&gt;"",VLOOKUP(I467,'Legal Nature'!$E$2:$G$84,3,0),"")</f>
        <v/>
      </c>
      <c r="K467" s="64"/>
      <c r="L467" s="65"/>
      <c r="M467" s="66"/>
      <c r="N467" s="66"/>
      <c r="O467" s="79"/>
      <c r="P467" s="26"/>
      <c r="Q467" s="58"/>
      <c r="R467" s="58"/>
      <c r="S467" s="80"/>
      <c r="T467" s="68" t="str">
        <f aca="false">IF(LEFT(S467,1)="9","Celular",IF(S467="","","Fixo"))</f>
        <v/>
      </c>
      <c r="U467" s="58" t="str">
        <f aca="false">IF( T467&lt;&gt;"",VLOOKUP(T467,Selects!$M$4:$N$1000,2,0),"")</f>
        <v/>
      </c>
      <c r="V467" s="26"/>
      <c r="W467" s="58"/>
      <c r="X467" s="58"/>
      <c r="Y467" s="58"/>
      <c r="Z467" s="58"/>
      <c r="AA467" s="69"/>
      <c r="AB467" s="58"/>
      <c r="AC467" s="58"/>
      <c r="AD467" s="70" t="str">
        <f aca="false">IF(AC467&lt;&gt;"",VLOOKUP(AC467,Selects!$B$4:$C$100,2,0),"")</f>
        <v/>
      </c>
      <c r="AE467" s="26"/>
      <c r="AF467" s="58"/>
      <c r="AG467" s="59"/>
      <c r="AH467" s="65"/>
      <c r="AI467" s="66"/>
      <c r="AJ467" s="66"/>
      <c r="AK467" s="58"/>
      <c r="AL467" s="58"/>
      <c r="AM467" s="68" t="str">
        <f aca="false">IF(LEFT(AL467,1)="9","Celular",IF(AL467="","","Fixo"))</f>
        <v/>
      </c>
      <c r="AN467" s="58" t="str">
        <f aca="false">IF( AM467&lt;&gt;"",VLOOKUP(AM467,Selects!$M$4:$N$1000,2,0),"")</f>
        <v/>
      </c>
      <c r="AO467" s="58"/>
      <c r="AP467" s="59"/>
      <c r="AQ467" s="65"/>
      <c r="AR467" s="58"/>
      <c r="AS467" s="58"/>
      <c r="AT467" s="26"/>
      <c r="AU467" s="58"/>
      <c r="AV467" s="58"/>
      <c r="AW467" s="58"/>
      <c r="AX467" s="58"/>
      <c r="AY467" s="71"/>
      <c r="AZ467" s="58"/>
      <c r="BA467" s="58"/>
      <c r="BB467" s="72" t="str">
        <f aca="false">IF(BA467&lt;&gt;"",VLOOKUP(BA467,Selects!$B$4:$C$100,2,0),"")</f>
        <v/>
      </c>
      <c r="BC467" s="26"/>
      <c r="BD467" s="26"/>
      <c r="BE467" s="73"/>
      <c r="BF467" s="74"/>
      <c r="BG467" s="75" t="str">
        <f aca="false">IF(LEN(BF467)=11,"PF",IF(LEN(BF467)=14,"PJ",""))</f>
        <v/>
      </c>
      <c r="BH467" s="66"/>
      <c r="BI467" s="58" t="str">
        <f aca="false">IF(BH467&lt;&gt;"",VLOOKUP(BH467,Selects!$G:$H,2,0),"")</f>
        <v/>
      </c>
      <c r="BJ467" s="58"/>
      <c r="BK467" s="58"/>
      <c r="BL467" s="59"/>
      <c r="BM467" s="58"/>
      <c r="BN467" s="58"/>
      <c r="BO467" s="58" t="str">
        <f aca="false">IF(BN467&lt;&gt;"",VLOOKUP(BN467,Selects!$J$4:$K$1000,2,0),"")</f>
        <v/>
      </c>
      <c r="BP467" s="76"/>
      <c r="BQ467" s="59"/>
      <c r="BR467" s="77"/>
      <c r="BS467" s="59"/>
      <c r="BT467" s="77"/>
      <c r="BU467" s="58"/>
      <c r="BV467" s="58"/>
      <c r="BW467" s="58"/>
      <c r="BX467" s="58"/>
      <c r="BY467" s="58"/>
      <c r="BZ467" s="58"/>
      <c r="CA467" s="58"/>
      <c r="CB467" s="72" t="str">
        <f aca="false">IF(AC467&lt;&gt;"",VLOOKUP(AC467,Selects!$B:$E,4,0),"")</f>
        <v/>
      </c>
      <c r="CC467" s="58"/>
      <c r="CD467" s="58"/>
      <c r="CE467" s="58"/>
    </row>
    <row r="468" customFormat="false" ht="15.75" hidden="false" customHeight="true" outlineLevel="0" collapsed="false">
      <c r="A468" s="17"/>
      <c r="B468" s="58"/>
      <c r="C468" s="58"/>
      <c r="D468" s="59"/>
      <c r="E468" s="60" t="str">
        <f aca="false">IF(LEN(D468)=11,"PF",IF(LEN(D468)=14,"PJ",""))</f>
        <v/>
      </c>
      <c r="F468" s="59"/>
      <c r="G468" s="59"/>
      <c r="H468" s="61" t="str">
        <f aca="false">IF(G468&lt;&gt;"",VLOOKUP(G468,'Cnae  mcc  id'!$A:$M,9,0),"")</f>
        <v/>
      </c>
      <c r="I468" s="62"/>
      <c r="J468" s="63" t="str">
        <f aca="false">IF(I468&lt;&gt;"",VLOOKUP(I468,'Legal Nature'!$E$2:$G$84,3,0),"")</f>
        <v/>
      </c>
      <c r="K468" s="64"/>
      <c r="L468" s="65"/>
      <c r="M468" s="66"/>
      <c r="N468" s="66"/>
      <c r="O468" s="79"/>
      <c r="P468" s="26"/>
      <c r="Q468" s="58"/>
      <c r="R468" s="58"/>
      <c r="S468" s="80"/>
      <c r="T468" s="68" t="str">
        <f aca="false">IF(LEFT(S468,1)="9","Celular",IF(S468="","","Fixo"))</f>
        <v/>
      </c>
      <c r="U468" s="58" t="str">
        <f aca="false">IF( T468&lt;&gt;"",VLOOKUP(T468,Selects!$M$4:$N$1000,2,0),"")</f>
        <v/>
      </c>
      <c r="V468" s="26"/>
      <c r="W468" s="58"/>
      <c r="X468" s="58"/>
      <c r="Y468" s="58"/>
      <c r="Z468" s="58"/>
      <c r="AA468" s="69"/>
      <c r="AB468" s="58"/>
      <c r="AC468" s="58"/>
      <c r="AD468" s="70" t="str">
        <f aca="false">IF(AC468&lt;&gt;"",VLOOKUP(AC468,Selects!$B$4:$C$100,2,0),"")</f>
        <v/>
      </c>
      <c r="AE468" s="26"/>
      <c r="AF468" s="58"/>
      <c r="AG468" s="59"/>
      <c r="AH468" s="65"/>
      <c r="AI468" s="66"/>
      <c r="AJ468" s="66"/>
      <c r="AK468" s="58"/>
      <c r="AL468" s="58"/>
      <c r="AM468" s="68" t="str">
        <f aca="false">IF(LEFT(AL468,1)="9","Celular",IF(AL468="","","Fixo"))</f>
        <v/>
      </c>
      <c r="AN468" s="58" t="str">
        <f aca="false">IF( AM468&lt;&gt;"",VLOOKUP(AM468,Selects!$M$4:$N$1000,2,0),"")</f>
        <v/>
      </c>
      <c r="AO468" s="58"/>
      <c r="AP468" s="59"/>
      <c r="AQ468" s="65"/>
      <c r="AR468" s="58"/>
      <c r="AS468" s="58"/>
      <c r="AT468" s="26"/>
      <c r="AU468" s="58"/>
      <c r="AV468" s="58"/>
      <c r="AW468" s="58"/>
      <c r="AX468" s="58"/>
      <c r="AY468" s="71"/>
      <c r="AZ468" s="58"/>
      <c r="BA468" s="58"/>
      <c r="BB468" s="72" t="str">
        <f aca="false">IF(BA468&lt;&gt;"",VLOOKUP(BA468,Selects!$B$4:$C$100,2,0),"")</f>
        <v/>
      </c>
      <c r="BC468" s="26"/>
      <c r="BD468" s="26"/>
      <c r="BE468" s="73"/>
      <c r="BF468" s="74"/>
      <c r="BG468" s="75" t="str">
        <f aca="false">IF(LEN(BF468)=11,"PF",IF(LEN(BF468)=14,"PJ",""))</f>
        <v/>
      </c>
      <c r="BH468" s="66"/>
      <c r="BI468" s="58" t="str">
        <f aca="false">IF(BH468&lt;&gt;"",VLOOKUP(BH468,Selects!$G:$H,2,0),"")</f>
        <v/>
      </c>
      <c r="BJ468" s="58"/>
      <c r="BK468" s="58"/>
      <c r="BL468" s="59"/>
      <c r="BM468" s="58"/>
      <c r="BN468" s="58"/>
      <c r="BO468" s="58" t="str">
        <f aca="false">IF(BN468&lt;&gt;"",VLOOKUP(BN468,Selects!$J$4:$K$1000,2,0),"")</f>
        <v/>
      </c>
      <c r="BP468" s="76"/>
      <c r="BQ468" s="59"/>
      <c r="BR468" s="77"/>
      <c r="BS468" s="59"/>
      <c r="BT468" s="77"/>
      <c r="BU468" s="58"/>
      <c r="BV468" s="58"/>
      <c r="BW468" s="58"/>
      <c r="BX468" s="58"/>
      <c r="BY468" s="58"/>
      <c r="BZ468" s="58"/>
      <c r="CA468" s="58"/>
      <c r="CB468" s="72" t="str">
        <f aca="false">IF(AC468&lt;&gt;"",VLOOKUP(AC468,Selects!$B:$E,4,0),"")</f>
        <v/>
      </c>
      <c r="CC468" s="58"/>
      <c r="CD468" s="58"/>
      <c r="CE468" s="58"/>
    </row>
    <row r="469" customFormat="false" ht="15.75" hidden="false" customHeight="true" outlineLevel="0" collapsed="false">
      <c r="A469" s="17"/>
      <c r="B469" s="58"/>
      <c r="C469" s="58"/>
      <c r="D469" s="59"/>
      <c r="E469" s="60" t="str">
        <f aca="false">IF(LEN(D469)=11,"PF",IF(LEN(D469)=14,"PJ",""))</f>
        <v/>
      </c>
      <c r="F469" s="59"/>
      <c r="G469" s="59"/>
      <c r="H469" s="61" t="str">
        <f aca="false">IF(G469&lt;&gt;"",VLOOKUP(G469,'Cnae  mcc  id'!$A:$M,9,0),"")</f>
        <v/>
      </c>
      <c r="I469" s="62"/>
      <c r="J469" s="63" t="str">
        <f aca="false">IF(I469&lt;&gt;"",VLOOKUP(I469,'Legal Nature'!$E$2:$G$84,3,0),"")</f>
        <v/>
      </c>
      <c r="K469" s="64"/>
      <c r="L469" s="65"/>
      <c r="M469" s="66"/>
      <c r="N469" s="66"/>
      <c r="O469" s="79"/>
      <c r="P469" s="26"/>
      <c r="Q469" s="58"/>
      <c r="R469" s="58"/>
      <c r="S469" s="80"/>
      <c r="T469" s="68" t="str">
        <f aca="false">IF(LEFT(S469,1)="9","Celular",IF(S469="","","Fixo"))</f>
        <v/>
      </c>
      <c r="U469" s="58" t="str">
        <f aca="false">IF( T469&lt;&gt;"",VLOOKUP(T469,Selects!$M$4:$N$1000,2,0),"")</f>
        <v/>
      </c>
      <c r="V469" s="26"/>
      <c r="W469" s="58"/>
      <c r="X469" s="58"/>
      <c r="Y469" s="58"/>
      <c r="Z469" s="58"/>
      <c r="AA469" s="69"/>
      <c r="AB469" s="58"/>
      <c r="AC469" s="58"/>
      <c r="AD469" s="70" t="str">
        <f aca="false">IF(AC469&lt;&gt;"",VLOOKUP(AC469,Selects!$B$4:$C$100,2,0),"")</f>
        <v/>
      </c>
      <c r="AE469" s="26"/>
      <c r="AF469" s="58"/>
      <c r="AG469" s="59"/>
      <c r="AH469" s="65"/>
      <c r="AI469" s="66"/>
      <c r="AJ469" s="66"/>
      <c r="AK469" s="58"/>
      <c r="AL469" s="58"/>
      <c r="AM469" s="68" t="str">
        <f aca="false">IF(LEFT(AL469,1)="9","Celular",IF(AL469="","","Fixo"))</f>
        <v/>
      </c>
      <c r="AN469" s="58" t="str">
        <f aca="false">IF( AM469&lt;&gt;"",VLOOKUP(AM469,Selects!$M$4:$N$1000,2,0),"")</f>
        <v/>
      </c>
      <c r="AO469" s="58"/>
      <c r="AP469" s="59"/>
      <c r="AQ469" s="65"/>
      <c r="AR469" s="58"/>
      <c r="AS469" s="58"/>
      <c r="AT469" s="26"/>
      <c r="AU469" s="58"/>
      <c r="AV469" s="58"/>
      <c r="AW469" s="58"/>
      <c r="AX469" s="58"/>
      <c r="AY469" s="71"/>
      <c r="AZ469" s="58"/>
      <c r="BA469" s="58"/>
      <c r="BB469" s="72" t="str">
        <f aca="false">IF(BA469&lt;&gt;"",VLOOKUP(BA469,Selects!$B$4:$C$100,2,0),"")</f>
        <v/>
      </c>
      <c r="BC469" s="26"/>
      <c r="BD469" s="26"/>
      <c r="BE469" s="73"/>
      <c r="BF469" s="74"/>
      <c r="BG469" s="75" t="str">
        <f aca="false">IF(LEN(BF469)=11,"PF",IF(LEN(BF469)=14,"PJ",""))</f>
        <v/>
      </c>
      <c r="BH469" s="66"/>
      <c r="BI469" s="58" t="str">
        <f aca="false">IF(BH469&lt;&gt;"",VLOOKUP(BH469,Selects!$G:$H,2,0),"")</f>
        <v/>
      </c>
      <c r="BJ469" s="58"/>
      <c r="BK469" s="58"/>
      <c r="BL469" s="59"/>
      <c r="BM469" s="58"/>
      <c r="BN469" s="58"/>
      <c r="BO469" s="58" t="str">
        <f aca="false">IF(BN469&lt;&gt;"",VLOOKUP(BN469,Selects!$J$4:$K$1000,2,0),"")</f>
        <v/>
      </c>
      <c r="BP469" s="76"/>
      <c r="BQ469" s="59"/>
      <c r="BR469" s="77"/>
      <c r="BS469" s="59"/>
      <c r="BT469" s="77"/>
      <c r="BU469" s="58"/>
      <c r="BV469" s="58"/>
      <c r="BW469" s="58"/>
      <c r="BX469" s="58"/>
      <c r="BY469" s="58"/>
      <c r="BZ469" s="58"/>
      <c r="CA469" s="58"/>
      <c r="CB469" s="72" t="str">
        <f aca="false">IF(AC469&lt;&gt;"",VLOOKUP(AC469,Selects!$B:$E,4,0),"")</f>
        <v/>
      </c>
      <c r="CC469" s="58"/>
      <c r="CD469" s="58"/>
      <c r="CE469" s="58"/>
    </row>
    <row r="470" customFormat="false" ht="15.75" hidden="false" customHeight="true" outlineLevel="0" collapsed="false">
      <c r="A470" s="17"/>
      <c r="B470" s="58"/>
      <c r="C470" s="58"/>
      <c r="D470" s="59"/>
      <c r="E470" s="60" t="str">
        <f aca="false">IF(LEN(D470)=11,"PF",IF(LEN(D470)=14,"PJ",""))</f>
        <v/>
      </c>
      <c r="F470" s="59"/>
      <c r="G470" s="59"/>
      <c r="H470" s="61" t="str">
        <f aca="false">IF(G470&lt;&gt;"",VLOOKUP(G470,'Cnae  mcc  id'!$A:$M,9,0),"")</f>
        <v/>
      </c>
      <c r="I470" s="62"/>
      <c r="J470" s="63" t="str">
        <f aca="false">IF(I470&lt;&gt;"",VLOOKUP(I470,'Legal Nature'!$E$2:$G$84,3,0),"")</f>
        <v/>
      </c>
      <c r="K470" s="64"/>
      <c r="L470" s="65"/>
      <c r="M470" s="66"/>
      <c r="N470" s="66"/>
      <c r="O470" s="79"/>
      <c r="P470" s="26"/>
      <c r="Q470" s="58"/>
      <c r="R470" s="58"/>
      <c r="S470" s="80"/>
      <c r="T470" s="68" t="str">
        <f aca="false">IF(LEFT(S470,1)="9","Celular",IF(S470="","","Fixo"))</f>
        <v/>
      </c>
      <c r="U470" s="58" t="str">
        <f aca="false">IF( T470&lt;&gt;"",VLOOKUP(T470,Selects!$M$4:$N$1000,2,0),"")</f>
        <v/>
      </c>
      <c r="V470" s="26"/>
      <c r="W470" s="58"/>
      <c r="X470" s="58"/>
      <c r="Y470" s="58"/>
      <c r="Z470" s="58"/>
      <c r="AA470" s="69"/>
      <c r="AB470" s="58"/>
      <c r="AC470" s="58"/>
      <c r="AD470" s="70" t="str">
        <f aca="false">IF(AC470&lt;&gt;"",VLOOKUP(AC470,Selects!$B$4:$C$100,2,0),"")</f>
        <v/>
      </c>
      <c r="AE470" s="26"/>
      <c r="AF470" s="58"/>
      <c r="AG470" s="59"/>
      <c r="AH470" s="65"/>
      <c r="AI470" s="66"/>
      <c r="AJ470" s="66"/>
      <c r="AK470" s="58"/>
      <c r="AL470" s="58"/>
      <c r="AM470" s="68" t="str">
        <f aca="false">IF(LEFT(AL470,1)="9","Celular",IF(AL470="","","Fixo"))</f>
        <v/>
      </c>
      <c r="AN470" s="58" t="str">
        <f aca="false">IF( AM470&lt;&gt;"",VLOOKUP(AM470,Selects!$M$4:$N$1000,2,0),"")</f>
        <v/>
      </c>
      <c r="AO470" s="58"/>
      <c r="AP470" s="59"/>
      <c r="AQ470" s="65"/>
      <c r="AR470" s="58"/>
      <c r="AS470" s="58"/>
      <c r="AT470" s="26"/>
      <c r="AU470" s="58"/>
      <c r="AV470" s="58"/>
      <c r="AW470" s="58"/>
      <c r="AX470" s="58"/>
      <c r="AY470" s="71"/>
      <c r="AZ470" s="58"/>
      <c r="BA470" s="58"/>
      <c r="BB470" s="72" t="str">
        <f aca="false">IF(BA470&lt;&gt;"",VLOOKUP(BA470,Selects!$B$4:$C$100,2,0),"")</f>
        <v/>
      </c>
      <c r="BC470" s="26"/>
      <c r="BD470" s="26"/>
      <c r="BE470" s="73"/>
      <c r="BF470" s="74"/>
      <c r="BG470" s="75" t="str">
        <f aca="false">IF(LEN(BF470)=11,"PF",IF(LEN(BF470)=14,"PJ",""))</f>
        <v/>
      </c>
      <c r="BH470" s="66"/>
      <c r="BI470" s="58" t="str">
        <f aca="false">IF(BH470&lt;&gt;"",VLOOKUP(BH470,Selects!$G:$H,2,0),"")</f>
        <v/>
      </c>
      <c r="BJ470" s="58"/>
      <c r="BK470" s="58"/>
      <c r="BL470" s="59"/>
      <c r="BM470" s="58"/>
      <c r="BN470" s="58"/>
      <c r="BO470" s="58" t="str">
        <f aca="false">IF(BN470&lt;&gt;"",VLOOKUP(BN470,Selects!$J$4:$K$1000,2,0),"")</f>
        <v/>
      </c>
      <c r="BP470" s="76"/>
      <c r="BQ470" s="59"/>
      <c r="BR470" s="77"/>
      <c r="BS470" s="59"/>
      <c r="BT470" s="77"/>
      <c r="BU470" s="58"/>
      <c r="BV470" s="58"/>
      <c r="BW470" s="58"/>
      <c r="BX470" s="58"/>
      <c r="BY470" s="58"/>
      <c r="BZ470" s="58"/>
      <c r="CA470" s="58"/>
      <c r="CB470" s="72" t="str">
        <f aca="false">IF(AC470&lt;&gt;"",VLOOKUP(AC470,Selects!$B:$E,4,0),"")</f>
        <v/>
      </c>
      <c r="CC470" s="58"/>
      <c r="CD470" s="58"/>
      <c r="CE470" s="58"/>
    </row>
    <row r="471" customFormat="false" ht="15.75" hidden="false" customHeight="true" outlineLevel="0" collapsed="false">
      <c r="A471" s="17"/>
      <c r="B471" s="58"/>
      <c r="C471" s="58"/>
      <c r="D471" s="59"/>
      <c r="E471" s="60" t="str">
        <f aca="false">IF(LEN(D471)=11,"PF",IF(LEN(D471)=14,"PJ",""))</f>
        <v/>
      </c>
      <c r="F471" s="59"/>
      <c r="G471" s="59"/>
      <c r="H471" s="61" t="str">
        <f aca="false">IF(G471&lt;&gt;"",VLOOKUP(G471,'Cnae  mcc  id'!$A:$M,9,0),"")</f>
        <v/>
      </c>
      <c r="I471" s="62"/>
      <c r="J471" s="63" t="str">
        <f aca="false">IF(I471&lt;&gt;"",VLOOKUP(I471,'Legal Nature'!$E$2:$G$84,3,0),"")</f>
        <v/>
      </c>
      <c r="K471" s="64"/>
      <c r="L471" s="65"/>
      <c r="M471" s="66"/>
      <c r="N471" s="66"/>
      <c r="O471" s="79"/>
      <c r="P471" s="26"/>
      <c r="Q471" s="58"/>
      <c r="R471" s="58"/>
      <c r="S471" s="80"/>
      <c r="T471" s="68" t="str">
        <f aca="false">IF(LEFT(S471,1)="9","Celular",IF(S471="","","Fixo"))</f>
        <v/>
      </c>
      <c r="U471" s="58" t="str">
        <f aca="false">IF( T471&lt;&gt;"",VLOOKUP(T471,Selects!$M$4:$N$1000,2,0),"")</f>
        <v/>
      </c>
      <c r="V471" s="26"/>
      <c r="W471" s="58"/>
      <c r="X471" s="58"/>
      <c r="Y471" s="58"/>
      <c r="Z471" s="58"/>
      <c r="AA471" s="69"/>
      <c r="AB471" s="58"/>
      <c r="AC471" s="58"/>
      <c r="AD471" s="70" t="str">
        <f aca="false">IF(AC471&lt;&gt;"",VLOOKUP(AC471,Selects!$B$4:$C$100,2,0),"")</f>
        <v/>
      </c>
      <c r="AE471" s="26"/>
      <c r="AF471" s="58"/>
      <c r="AG471" s="59"/>
      <c r="AH471" s="65"/>
      <c r="AI471" s="66"/>
      <c r="AJ471" s="66"/>
      <c r="AK471" s="58"/>
      <c r="AL471" s="58"/>
      <c r="AM471" s="68" t="str">
        <f aca="false">IF(LEFT(AL471,1)="9","Celular",IF(AL471="","","Fixo"))</f>
        <v/>
      </c>
      <c r="AN471" s="58" t="str">
        <f aca="false">IF( AM471&lt;&gt;"",VLOOKUP(AM471,Selects!$M$4:$N$1000,2,0),"")</f>
        <v/>
      </c>
      <c r="AO471" s="58"/>
      <c r="AP471" s="59"/>
      <c r="AQ471" s="65"/>
      <c r="AR471" s="58"/>
      <c r="AS471" s="58"/>
      <c r="AT471" s="26"/>
      <c r="AU471" s="58"/>
      <c r="AV471" s="58"/>
      <c r="AW471" s="58"/>
      <c r="AX471" s="58"/>
      <c r="AY471" s="71"/>
      <c r="AZ471" s="58"/>
      <c r="BA471" s="58"/>
      <c r="BB471" s="72" t="str">
        <f aca="false">IF(BA471&lt;&gt;"",VLOOKUP(BA471,Selects!$B$4:$C$100,2,0),"")</f>
        <v/>
      </c>
      <c r="BC471" s="26"/>
      <c r="BD471" s="26"/>
      <c r="BE471" s="73"/>
      <c r="BF471" s="74"/>
      <c r="BG471" s="75" t="str">
        <f aca="false">IF(LEN(BF471)=11,"PF",IF(LEN(BF471)=14,"PJ",""))</f>
        <v/>
      </c>
      <c r="BH471" s="66"/>
      <c r="BI471" s="58" t="str">
        <f aca="false">IF(BH471&lt;&gt;"",VLOOKUP(BH471,Selects!$G:$H,2,0),"")</f>
        <v/>
      </c>
      <c r="BJ471" s="58"/>
      <c r="BK471" s="58"/>
      <c r="BL471" s="59"/>
      <c r="BM471" s="58"/>
      <c r="BN471" s="58"/>
      <c r="BO471" s="58" t="str">
        <f aca="false">IF(BN471&lt;&gt;"",VLOOKUP(BN471,Selects!$J$4:$K$1000,2,0),"")</f>
        <v/>
      </c>
      <c r="BP471" s="76"/>
      <c r="BQ471" s="59"/>
      <c r="BR471" s="77"/>
      <c r="BS471" s="59"/>
      <c r="BT471" s="77"/>
      <c r="BU471" s="58"/>
      <c r="BV471" s="58"/>
      <c r="BW471" s="58"/>
      <c r="BX471" s="58"/>
      <c r="BY471" s="58"/>
      <c r="BZ471" s="58"/>
      <c r="CA471" s="58"/>
      <c r="CB471" s="72" t="str">
        <f aca="false">IF(AC471&lt;&gt;"",VLOOKUP(AC471,Selects!$B:$E,4,0),"")</f>
        <v/>
      </c>
      <c r="CC471" s="58"/>
      <c r="CD471" s="58"/>
      <c r="CE471" s="58"/>
    </row>
    <row r="472" customFormat="false" ht="15.75" hidden="false" customHeight="true" outlineLevel="0" collapsed="false">
      <c r="A472" s="17"/>
      <c r="B472" s="58"/>
      <c r="C472" s="58"/>
      <c r="D472" s="59"/>
      <c r="E472" s="60" t="str">
        <f aca="false">IF(LEN(D472)=11,"PF",IF(LEN(D472)=14,"PJ",""))</f>
        <v/>
      </c>
      <c r="F472" s="59"/>
      <c r="G472" s="59"/>
      <c r="H472" s="61" t="str">
        <f aca="false">IF(G472&lt;&gt;"",VLOOKUP(G472,'Cnae  mcc  id'!$A:$M,9,0),"")</f>
        <v/>
      </c>
      <c r="I472" s="62"/>
      <c r="J472" s="63" t="str">
        <f aca="false">IF(I472&lt;&gt;"",VLOOKUP(I472,'Legal Nature'!$E$2:$G$84,3,0),"")</f>
        <v/>
      </c>
      <c r="K472" s="64"/>
      <c r="L472" s="65"/>
      <c r="M472" s="66"/>
      <c r="N472" s="66"/>
      <c r="O472" s="79"/>
      <c r="P472" s="26"/>
      <c r="Q472" s="58"/>
      <c r="R472" s="58"/>
      <c r="S472" s="80"/>
      <c r="T472" s="68" t="str">
        <f aca="false">IF(LEFT(S472,1)="9","Celular",IF(S472="","","Fixo"))</f>
        <v/>
      </c>
      <c r="U472" s="58" t="str">
        <f aca="false">IF( T472&lt;&gt;"",VLOOKUP(T472,Selects!$M$4:$N$1000,2,0),"")</f>
        <v/>
      </c>
      <c r="V472" s="26"/>
      <c r="W472" s="58"/>
      <c r="X472" s="58"/>
      <c r="Y472" s="58"/>
      <c r="Z472" s="58"/>
      <c r="AA472" s="69"/>
      <c r="AB472" s="58"/>
      <c r="AC472" s="58"/>
      <c r="AD472" s="70" t="str">
        <f aca="false">IF(AC472&lt;&gt;"",VLOOKUP(AC472,Selects!$B$4:$C$100,2,0),"")</f>
        <v/>
      </c>
      <c r="AE472" s="26"/>
      <c r="AF472" s="58"/>
      <c r="AG472" s="59"/>
      <c r="AH472" s="65"/>
      <c r="AI472" s="66"/>
      <c r="AJ472" s="66"/>
      <c r="AK472" s="58"/>
      <c r="AL472" s="58"/>
      <c r="AM472" s="68" t="str">
        <f aca="false">IF(LEFT(AL472,1)="9","Celular",IF(AL472="","","Fixo"))</f>
        <v/>
      </c>
      <c r="AN472" s="58" t="str">
        <f aca="false">IF( AM472&lt;&gt;"",VLOOKUP(AM472,Selects!$M$4:$N$1000,2,0),"")</f>
        <v/>
      </c>
      <c r="AO472" s="58"/>
      <c r="AP472" s="59"/>
      <c r="AQ472" s="65"/>
      <c r="AR472" s="58"/>
      <c r="AS472" s="58"/>
      <c r="AT472" s="26"/>
      <c r="AU472" s="58"/>
      <c r="AV472" s="58"/>
      <c r="AW472" s="58"/>
      <c r="AX472" s="58"/>
      <c r="AY472" s="71"/>
      <c r="AZ472" s="58"/>
      <c r="BA472" s="58"/>
      <c r="BB472" s="72" t="str">
        <f aca="false">IF(BA472&lt;&gt;"",VLOOKUP(BA472,Selects!$B$4:$C$100,2,0),"")</f>
        <v/>
      </c>
      <c r="BC472" s="26"/>
      <c r="BD472" s="26"/>
      <c r="BE472" s="73"/>
      <c r="BF472" s="74"/>
      <c r="BG472" s="75" t="str">
        <f aca="false">IF(LEN(BF472)=11,"PF",IF(LEN(BF472)=14,"PJ",""))</f>
        <v/>
      </c>
      <c r="BH472" s="66"/>
      <c r="BI472" s="58" t="str">
        <f aca="false">IF(BH472&lt;&gt;"",VLOOKUP(BH472,Selects!$G:$H,2,0),"")</f>
        <v/>
      </c>
      <c r="BJ472" s="58"/>
      <c r="BK472" s="58"/>
      <c r="BL472" s="59"/>
      <c r="BM472" s="58"/>
      <c r="BN472" s="58"/>
      <c r="BO472" s="58" t="str">
        <f aca="false">IF(BN472&lt;&gt;"",VLOOKUP(BN472,Selects!$J$4:$K$1000,2,0),"")</f>
        <v/>
      </c>
      <c r="BP472" s="76"/>
      <c r="BQ472" s="59"/>
      <c r="BR472" s="77"/>
      <c r="BS472" s="59"/>
      <c r="BT472" s="77"/>
      <c r="BU472" s="58"/>
      <c r="BV472" s="58"/>
      <c r="BW472" s="58"/>
      <c r="BX472" s="58"/>
      <c r="BY472" s="58"/>
      <c r="BZ472" s="58"/>
      <c r="CA472" s="58"/>
      <c r="CB472" s="72" t="str">
        <f aca="false">IF(AC472&lt;&gt;"",VLOOKUP(AC472,Selects!$B:$E,4,0),"")</f>
        <v/>
      </c>
      <c r="CC472" s="58"/>
      <c r="CD472" s="58"/>
      <c r="CE472" s="58"/>
    </row>
    <row r="473" customFormat="false" ht="15.75" hidden="false" customHeight="true" outlineLevel="0" collapsed="false">
      <c r="A473" s="17"/>
      <c r="B473" s="58"/>
      <c r="C473" s="58"/>
      <c r="D473" s="59"/>
      <c r="E473" s="60" t="str">
        <f aca="false">IF(LEN(D473)=11,"PF",IF(LEN(D473)=14,"PJ",""))</f>
        <v/>
      </c>
      <c r="F473" s="59"/>
      <c r="G473" s="59"/>
      <c r="H473" s="61" t="str">
        <f aca="false">IF(G473&lt;&gt;"",VLOOKUP(G473,'Cnae  mcc  id'!$A:$M,9,0),"")</f>
        <v/>
      </c>
      <c r="I473" s="62"/>
      <c r="J473" s="63" t="str">
        <f aca="false">IF(I473&lt;&gt;"",VLOOKUP(I473,'Legal Nature'!$E$2:$G$84,3,0),"")</f>
        <v/>
      </c>
      <c r="K473" s="64"/>
      <c r="L473" s="65"/>
      <c r="M473" s="66"/>
      <c r="N473" s="66"/>
      <c r="O473" s="79"/>
      <c r="P473" s="26"/>
      <c r="Q473" s="58"/>
      <c r="R473" s="58"/>
      <c r="S473" s="80"/>
      <c r="T473" s="68" t="str">
        <f aca="false">IF(LEFT(S473,1)="9","Celular",IF(S473="","","Fixo"))</f>
        <v/>
      </c>
      <c r="U473" s="58" t="str">
        <f aca="false">IF( T473&lt;&gt;"",VLOOKUP(T473,Selects!$M$4:$N$1000,2,0),"")</f>
        <v/>
      </c>
      <c r="V473" s="26"/>
      <c r="W473" s="58"/>
      <c r="X473" s="58"/>
      <c r="Y473" s="58"/>
      <c r="Z473" s="58"/>
      <c r="AA473" s="69"/>
      <c r="AB473" s="58"/>
      <c r="AC473" s="58"/>
      <c r="AD473" s="70" t="str">
        <f aca="false">IF(AC473&lt;&gt;"",VLOOKUP(AC473,Selects!$B$4:$C$100,2,0),"")</f>
        <v/>
      </c>
      <c r="AE473" s="26"/>
      <c r="AF473" s="58"/>
      <c r="AG473" s="59"/>
      <c r="AH473" s="65"/>
      <c r="AI473" s="66"/>
      <c r="AJ473" s="66"/>
      <c r="AK473" s="58"/>
      <c r="AL473" s="58"/>
      <c r="AM473" s="68" t="str">
        <f aca="false">IF(LEFT(AL473,1)="9","Celular",IF(AL473="","","Fixo"))</f>
        <v/>
      </c>
      <c r="AN473" s="58" t="str">
        <f aca="false">IF( AM473&lt;&gt;"",VLOOKUP(AM473,Selects!$M$4:$N$1000,2,0),"")</f>
        <v/>
      </c>
      <c r="AO473" s="58"/>
      <c r="AP473" s="59"/>
      <c r="AQ473" s="65"/>
      <c r="AR473" s="58"/>
      <c r="AS473" s="58"/>
      <c r="AT473" s="26"/>
      <c r="AU473" s="58"/>
      <c r="AV473" s="58"/>
      <c r="AW473" s="58"/>
      <c r="AX473" s="58"/>
      <c r="AY473" s="71"/>
      <c r="AZ473" s="58"/>
      <c r="BA473" s="58"/>
      <c r="BB473" s="72" t="str">
        <f aca="false">IF(BA473&lt;&gt;"",VLOOKUP(BA473,Selects!$B$4:$C$100,2,0),"")</f>
        <v/>
      </c>
      <c r="BC473" s="26"/>
      <c r="BD473" s="26"/>
      <c r="BE473" s="73"/>
      <c r="BF473" s="74"/>
      <c r="BG473" s="75" t="str">
        <f aca="false">IF(LEN(BF473)=11,"PF",IF(LEN(BF473)=14,"PJ",""))</f>
        <v/>
      </c>
      <c r="BH473" s="66"/>
      <c r="BI473" s="58" t="str">
        <f aca="false">IF(BH473&lt;&gt;"",VLOOKUP(BH473,Selects!$G:$H,2,0),"")</f>
        <v/>
      </c>
      <c r="BJ473" s="58"/>
      <c r="BK473" s="58"/>
      <c r="BL473" s="59"/>
      <c r="BM473" s="58"/>
      <c r="BN473" s="58"/>
      <c r="BO473" s="58" t="str">
        <f aca="false">IF(BN473&lt;&gt;"",VLOOKUP(BN473,Selects!$J$4:$K$1000,2,0),"")</f>
        <v/>
      </c>
      <c r="BP473" s="76"/>
      <c r="BQ473" s="59"/>
      <c r="BR473" s="77"/>
      <c r="BS473" s="59"/>
      <c r="BT473" s="77"/>
      <c r="BU473" s="58"/>
      <c r="BV473" s="58"/>
      <c r="BW473" s="58"/>
      <c r="BX473" s="58"/>
      <c r="BY473" s="58"/>
      <c r="BZ473" s="58"/>
      <c r="CA473" s="58"/>
      <c r="CB473" s="72" t="str">
        <f aca="false">IF(AC473&lt;&gt;"",VLOOKUP(AC473,Selects!$B:$E,4,0),"")</f>
        <v/>
      </c>
      <c r="CC473" s="58"/>
      <c r="CD473" s="58"/>
      <c r="CE473" s="58"/>
    </row>
    <row r="474" customFormat="false" ht="15.75" hidden="false" customHeight="true" outlineLevel="0" collapsed="false">
      <c r="A474" s="17"/>
      <c r="B474" s="58"/>
      <c r="C474" s="58"/>
      <c r="D474" s="59"/>
      <c r="E474" s="60" t="str">
        <f aca="false">IF(LEN(D474)=11,"PF",IF(LEN(D474)=14,"PJ",""))</f>
        <v/>
      </c>
      <c r="F474" s="59"/>
      <c r="G474" s="59"/>
      <c r="H474" s="61" t="str">
        <f aca="false">IF(G474&lt;&gt;"",VLOOKUP(G474,'Cnae  mcc  id'!$A:$M,9,0),"")</f>
        <v/>
      </c>
      <c r="I474" s="62"/>
      <c r="J474" s="63" t="str">
        <f aca="false">IF(I474&lt;&gt;"",VLOOKUP(I474,'Legal Nature'!$E$2:$G$84,3,0),"")</f>
        <v/>
      </c>
      <c r="K474" s="64"/>
      <c r="L474" s="65"/>
      <c r="M474" s="66"/>
      <c r="N474" s="66"/>
      <c r="O474" s="79"/>
      <c r="P474" s="26"/>
      <c r="Q474" s="58"/>
      <c r="R474" s="58"/>
      <c r="S474" s="80"/>
      <c r="T474" s="68" t="str">
        <f aca="false">IF(LEFT(S474,1)="9","Celular",IF(S474="","","Fixo"))</f>
        <v/>
      </c>
      <c r="U474" s="58" t="str">
        <f aca="false">IF( T474&lt;&gt;"",VLOOKUP(T474,Selects!$M$4:$N$1000,2,0),"")</f>
        <v/>
      </c>
      <c r="V474" s="26"/>
      <c r="W474" s="58"/>
      <c r="X474" s="58"/>
      <c r="Y474" s="58"/>
      <c r="Z474" s="58"/>
      <c r="AA474" s="69"/>
      <c r="AB474" s="58"/>
      <c r="AC474" s="58"/>
      <c r="AD474" s="70" t="str">
        <f aca="false">IF(AC474&lt;&gt;"",VLOOKUP(AC474,Selects!$B$4:$C$100,2,0),"")</f>
        <v/>
      </c>
      <c r="AE474" s="26"/>
      <c r="AF474" s="58"/>
      <c r="AG474" s="59"/>
      <c r="AH474" s="65"/>
      <c r="AI474" s="66"/>
      <c r="AJ474" s="66"/>
      <c r="AK474" s="58"/>
      <c r="AL474" s="58"/>
      <c r="AM474" s="68" t="str">
        <f aca="false">IF(LEFT(AL474,1)="9","Celular",IF(AL474="","","Fixo"))</f>
        <v/>
      </c>
      <c r="AN474" s="58" t="str">
        <f aca="false">IF( AM474&lt;&gt;"",VLOOKUP(AM474,Selects!$M$4:$N$1000,2,0),"")</f>
        <v/>
      </c>
      <c r="AO474" s="58"/>
      <c r="AP474" s="59"/>
      <c r="AQ474" s="65"/>
      <c r="AR474" s="58"/>
      <c r="AS474" s="58"/>
      <c r="AT474" s="26"/>
      <c r="AU474" s="58"/>
      <c r="AV474" s="58"/>
      <c r="AW474" s="58"/>
      <c r="AX474" s="58"/>
      <c r="AY474" s="71"/>
      <c r="AZ474" s="58"/>
      <c r="BA474" s="58"/>
      <c r="BB474" s="72" t="str">
        <f aca="false">IF(BA474&lt;&gt;"",VLOOKUP(BA474,Selects!$B$4:$C$100,2,0),"")</f>
        <v/>
      </c>
      <c r="BC474" s="26"/>
      <c r="BD474" s="26"/>
      <c r="BE474" s="73"/>
      <c r="BF474" s="74"/>
      <c r="BG474" s="75" t="str">
        <f aca="false">IF(LEN(BF474)=11,"PF",IF(LEN(BF474)=14,"PJ",""))</f>
        <v/>
      </c>
      <c r="BH474" s="66"/>
      <c r="BI474" s="58" t="str">
        <f aca="false">IF(BH474&lt;&gt;"",VLOOKUP(BH474,Selects!$G:$H,2,0),"")</f>
        <v/>
      </c>
      <c r="BJ474" s="58"/>
      <c r="BK474" s="58"/>
      <c r="BL474" s="59"/>
      <c r="BM474" s="58"/>
      <c r="BN474" s="58"/>
      <c r="BO474" s="58" t="str">
        <f aca="false">IF(BN474&lt;&gt;"",VLOOKUP(BN474,Selects!$J$4:$K$1000,2,0),"")</f>
        <v/>
      </c>
      <c r="BP474" s="76"/>
      <c r="BQ474" s="59"/>
      <c r="BR474" s="77"/>
      <c r="BS474" s="59"/>
      <c r="BT474" s="77"/>
      <c r="BU474" s="58"/>
      <c r="BV474" s="58"/>
      <c r="BW474" s="58"/>
      <c r="BX474" s="58"/>
      <c r="BY474" s="58"/>
      <c r="BZ474" s="58"/>
      <c r="CA474" s="58"/>
      <c r="CB474" s="72" t="str">
        <f aca="false">IF(AC474&lt;&gt;"",VLOOKUP(AC474,Selects!$B:$E,4,0),"")</f>
        <v/>
      </c>
      <c r="CC474" s="58"/>
      <c r="CD474" s="58"/>
      <c r="CE474" s="58"/>
    </row>
    <row r="475" customFormat="false" ht="15.75" hidden="false" customHeight="true" outlineLevel="0" collapsed="false">
      <c r="A475" s="17"/>
      <c r="B475" s="58"/>
      <c r="C475" s="58"/>
      <c r="D475" s="59"/>
      <c r="E475" s="60" t="str">
        <f aca="false">IF(LEN(D475)=11,"PF",IF(LEN(D475)=14,"PJ",""))</f>
        <v/>
      </c>
      <c r="F475" s="59"/>
      <c r="G475" s="59"/>
      <c r="H475" s="61" t="str">
        <f aca="false">IF(G475&lt;&gt;"",VLOOKUP(G475,'Cnae  mcc  id'!$A:$M,9,0),"")</f>
        <v/>
      </c>
      <c r="I475" s="62"/>
      <c r="J475" s="63" t="str">
        <f aca="false">IF(I475&lt;&gt;"",VLOOKUP(I475,'Legal Nature'!$E$2:$G$84,3,0),"")</f>
        <v/>
      </c>
      <c r="K475" s="64"/>
      <c r="L475" s="65"/>
      <c r="M475" s="66"/>
      <c r="N475" s="66"/>
      <c r="O475" s="79"/>
      <c r="P475" s="26"/>
      <c r="Q475" s="58"/>
      <c r="R475" s="58"/>
      <c r="S475" s="80"/>
      <c r="T475" s="68" t="str">
        <f aca="false">IF(LEFT(S475,1)="9","Celular",IF(S475="","","Fixo"))</f>
        <v/>
      </c>
      <c r="U475" s="58" t="str">
        <f aca="false">IF( T475&lt;&gt;"",VLOOKUP(T475,Selects!$M$4:$N$1000,2,0),"")</f>
        <v/>
      </c>
      <c r="V475" s="26"/>
      <c r="W475" s="58"/>
      <c r="X475" s="58"/>
      <c r="Y475" s="58"/>
      <c r="Z475" s="58"/>
      <c r="AA475" s="69"/>
      <c r="AB475" s="58"/>
      <c r="AC475" s="58"/>
      <c r="AD475" s="70" t="str">
        <f aca="false">IF(AC475&lt;&gt;"",VLOOKUP(AC475,Selects!$B$4:$C$100,2,0),"")</f>
        <v/>
      </c>
      <c r="AE475" s="26"/>
      <c r="AF475" s="58"/>
      <c r="AG475" s="59"/>
      <c r="AH475" s="65"/>
      <c r="AI475" s="66"/>
      <c r="AJ475" s="66"/>
      <c r="AK475" s="58"/>
      <c r="AL475" s="58"/>
      <c r="AM475" s="68" t="str">
        <f aca="false">IF(LEFT(AL475,1)="9","Celular",IF(AL475="","","Fixo"))</f>
        <v/>
      </c>
      <c r="AN475" s="58" t="str">
        <f aca="false">IF( AM475&lt;&gt;"",VLOOKUP(AM475,Selects!$M$4:$N$1000,2,0),"")</f>
        <v/>
      </c>
      <c r="AO475" s="58"/>
      <c r="AP475" s="59"/>
      <c r="AQ475" s="65"/>
      <c r="AR475" s="58"/>
      <c r="AS475" s="58"/>
      <c r="AT475" s="26"/>
      <c r="AU475" s="58"/>
      <c r="AV475" s="58"/>
      <c r="AW475" s="58"/>
      <c r="AX475" s="58"/>
      <c r="AY475" s="71"/>
      <c r="AZ475" s="58"/>
      <c r="BA475" s="58"/>
      <c r="BB475" s="72" t="str">
        <f aca="false">IF(BA475&lt;&gt;"",VLOOKUP(BA475,Selects!$B$4:$C$100,2,0),"")</f>
        <v/>
      </c>
      <c r="BC475" s="26"/>
      <c r="BD475" s="26"/>
      <c r="BE475" s="73"/>
      <c r="BF475" s="74"/>
      <c r="BG475" s="75" t="str">
        <f aca="false">IF(LEN(BF475)=11,"PF",IF(LEN(BF475)=14,"PJ",""))</f>
        <v/>
      </c>
      <c r="BH475" s="66"/>
      <c r="BI475" s="58" t="str">
        <f aca="false">IF(BH475&lt;&gt;"",VLOOKUP(BH475,Selects!$G:$H,2,0),"")</f>
        <v/>
      </c>
      <c r="BJ475" s="58"/>
      <c r="BK475" s="58"/>
      <c r="BL475" s="59"/>
      <c r="BM475" s="58"/>
      <c r="BN475" s="58"/>
      <c r="BO475" s="58" t="str">
        <f aca="false">IF(BN475&lt;&gt;"",VLOOKUP(BN475,Selects!$J$4:$K$1000,2,0),"")</f>
        <v/>
      </c>
      <c r="BP475" s="76"/>
      <c r="BQ475" s="59"/>
      <c r="BR475" s="77"/>
      <c r="BS475" s="59"/>
      <c r="BT475" s="77"/>
      <c r="BU475" s="58"/>
      <c r="BV475" s="58"/>
      <c r="BW475" s="58"/>
      <c r="BX475" s="58"/>
      <c r="BY475" s="58"/>
      <c r="BZ475" s="58"/>
      <c r="CA475" s="58"/>
      <c r="CB475" s="72" t="str">
        <f aca="false">IF(AC475&lt;&gt;"",VLOOKUP(AC475,Selects!$B:$E,4,0),"")</f>
        <v/>
      </c>
      <c r="CC475" s="58"/>
      <c r="CD475" s="58"/>
      <c r="CE475" s="58"/>
    </row>
    <row r="476" customFormat="false" ht="15.75" hidden="false" customHeight="true" outlineLevel="0" collapsed="false">
      <c r="A476" s="17"/>
      <c r="B476" s="58"/>
      <c r="C476" s="58"/>
      <c r="D476" s="59"/>
      <c r="E476" s="60" t="str">
        <f aca="false">IF(LEN(D476)=11,"PF",IF(LEN(D476)=14,"PJ",""))</f>
        <v/>
      </c>
      <c r="F476" s="59"/>
      <c r="G476" s="59"/>
      <c r="H476" s="61" t="str">
        <f aca="false">IF(G476&lt;&gt;"",VLOOKUP(G476,'Cnae  mcc  id'!$A:$M,9,0),"")</f>
        <v/>
      </c>
      <c r="I476" s="62"/>
      <c r="J476" s="63" t="str">
        <f aca="false">IF(I476&lt;&gt;"",VLOOKUP(I476,'Legal Nature'!$E$2:$G$84,3,0),"")</f>
        <v/>
      </c>
      <c r="K476" s="64"/>
      <c r="L476" s="65"/>
      <c r="M476" s="66"/>
      <c r="N476" s="66"/>
      <c r="O476" s="79"/>
      <c r="P476" s="26"/>
      <c r="Q476" s="58"/>
      <c r="R476" s="58"/>
      <c r="S476" s="80"/>
      <c r="T476" s="68" t="str">
        <f aca="false">IF(LEFT(S476,1)="9","Celular",IF(S476="","","Fixo"))</f>
        <v/>
      </c>
      <c r="U476" s="58" t="str">
        <f aca="false">IF( T476&lt;&gt;"",VLOOKUP(T476,Selects!$M$4:$N$1000,2,0),"")</f>
        <v/>
      </c>
      <c r="V476" s="26"/>
      <c r="W476" s="58"/>
      <c r="X476" s="58"/>
      <c r="Y476" s="58"/>
      <c r="Z476" s="58"/>
      <c r="AA476" s="69"/>
      <c r="AB476" s="58"/>
      <c r="AC476" s="58"/>
      <c r="AD476" s="70" t="str">
        <f aca="false">IF(AC476&lt;&gt;"",VLOOKUP(AC476,Selects!$B$4:$C$100,2,0),"")</f>
        <v/>
      </c>
      <c r="AE476" s="26"/>
      <c r="AF476" s="58"/>
      <c r="AG476" s="59"/>
      <c r="AH476" s="65"/>
      <c r="AI476" s="66"/>
      <c r="AJ476" s="66"/>
      <c r="AK476" s="58"/>
      <c r="AL476" s="58"/>
      <c r="AM476" s="68" t="str">
        <f aca="false">IF(LEFT(AL476,1)="9","Celular",IF(AL476="","","Fixo"))</f>
        <v/>
      </c>
      <c r="AN476" s="58" t="str">
        <f aca="false">IF( AM476&lt;&gt;"",VLOOKUP(AM476,Selects!$M$4:$N$1000,2,0),"")</f>
        <v/>
      </c>
      <c r="AO476" s="58"/>
      <c r="AP476" s="59"/>
      <c r="AQ476" s="65"/>
      <c r="AR476" s="58"/>
      <c r="AS476" s="58"/>
      <c r="AT476" s="26"/>
      <c r="AU476" s="58"/>
      <c r="AV476" s="58"/>
      <c r="AW476" s="58"/>
      <c r="AX476" s="58"/>
      <c r="AY476" s="71"/>
      <c r="AZ476" s="58"/>
      <c r="BA476" s="58"/>
      <c r="BB476" s="72" t="str">
        <f aca="false">IF(BA476&lt;&gt;"",VLOOKUP(BA476,Selects!$B$4:$C$100,2,0),"")</f>
        <v/>
      </c>
      <c r="BC476" s="26"/>
      <c r="BD476" s="26"/>
      <c r="BE476" s="73"/>
      <c r="BF476" s="74"/>
      <c r="BG476" s="75" t="str">
        <f aca="false">IF(LEN(BF476)=11,"PF",IF(LEN(BF476)=14,"PJ",""))</f>
        <v/>
      </c>
      <c r="BH476" s="66"/>
      <c r="BI476" s="58" t="str">
        <f aca="false">IF(BH476&lt;&gt;"",VLOOKUP(BH476,Selects!$G:$H,2,0),"")</f>
        <v/>
      </c>
      <c r="BJ476" s="58"/>
      <c r="BK476" s="58"/>
      <c r="BL476" s="59"/>
      <c r="BM476" s="58"/>
      <c r="BN476" s="58"/>
      <c r="BO476" s="58" t="str">
        <f aca="false">IF(BN476&lt;&gt;"",VLOOKUP(BN476,Selects!$J$4:$K$1000,2,0),"")</f>
        <v/>
      </c>
      <c r="BP476" s="76"/>
      <c r="BQ476" s="59"/>
      <c r="BR476" s="77"/>
      <c r="BS476" s="59"/>
      <c r="BT476" s="77"/>
      <c r="BU476" s="58"/>
      <c r="BV476" s="58"/>
      <c r="BW476" s="58"/>
      <c r="BX476" s="58"/>
      <c r="BY476" s="58"/>
      <c r="BZ476" s="58"/>
      <c r="CA476" s="58"/>
      <c r="CB476" s="72" t="str">
        <f aca="false">IF(AC476&lt;&gt;"",VLOOKUP(AC476,Selects!$B:$E,4,0),"")</f>
        <v/>
      </c>
      <c r="CC476" s="58"/>
      <c r="CD476" s="58"/>
      <c r="CE476" s="58"/>
    </row>
    <row r="477" customFormat="false" ht="15.75" hidden="false" customHeight="true" outlineLevel="0" collapsed="false">
      <c r="A477" s="17"/>
      <c r="B477" s="58"/>
      <c r="C477" s="58"/>
      <c r="D477" s="59"/>
      <c r="E477" s="60" t="str">
        <f aca="false">IF(LEN(D477)=11,"PF",IF(LEN(D477)=14,"PJ",""))</f>
        <v/>
      </c>
      <c r="F477" s="59"/>
      <c r="G477" s="59"/>
      <c r="H477" s="61" t="str">
        <f aca="false">IF(G477&lt;&gt;"",VLOOKUP(G477,'Cnae  mcc  id'!$A:$M,9,0),"")</f>
        <v/>
      </c>
      <c r="I477" s="62"/>
      <c r="J477" s="63" t="str">
        <f aca="false">IF(I477&lt;&gt;"",VLOOKUP(I477,'Legal Nature'!$E$2:$G$84,3,0),"")</f>
        <v/>
      </c>
      <c r="K477" s="64"/>
      <c r="L477" s="65"/>
      <c r="M477" s="66"/>
      <c r="N477" s="66"/>
      <c r="O477" s="79"/>
      <c r="P477" s="26"/>
      <c r="Q477" s="58"/>
      <c r="R477" s="58"/>
      <c r="S477" s="80"/>
      <c r="T477" s="68" t="str">
        <f aca="false">IF(LEFT(S477,1)="9","Celular",IF(S477="","","Fixo"))</f>
        <v/>
      </c>
      <c r="U477" s="58" t="str">
        <f aca="false">IF( T477&lt;&gt;"",VLOOKUP(T477,Selects!$M$4:$N$1000,2,0),"")</f>
        <v/>
      </c>
      <c r="V477" s="26"/>
      <c r="W477" s="58"/>
      <c r="X477" s="58"/>
      <c r="Y477" s="58"/>
      <c r="Z477" s="58"/>
      <c r="AA477" s="69"/>
      <c r="AB477" s="58"/>
      <c r="AC477" s="58"/>
      <c r="AD477" s="70" t="str">
        <f aca="false">IF(AC477&lt;&gt;"",VLOOKUP(AC477,Selects!$B$4:$C$100,2,0),"")</f>
        <v/>
      </c>
      <c r="AE477" s="26"/>
      <c r="AF477" s="58"/>
      <c r="AG477" s="59"/>
      <c r="AH477" s="65"/>
      <c r="AI477" s="66"/>
      <c r="AJ477" s="66"/>
      <c r="AK477" s="58"/>
      <c r="AL477" s="58"/>
      <c r="AM477" s="68" t="str">
        <f aca="false">IF(LEFT(AL477,1)="9","Celular",IF(AL477="","","Fixo"))</f>
        <v/>
      </c>
      <c r="AN477" s="58" t="str">
        <f aca="false">IF( AM477&lt;&gt;"",VLOOKUP(AM477,Selects!$M$4:$N$1000,2,0),"")</f>
        <v/>
      </c>
      <c r="AO477" s="58"/>
      <c r="AP477" s="59"/>
      <c r="AQ477" s="65"/>
      <c r="AR477" s="58"/>
      <c r="AS477" s="58"/>
      <c r="AT477" s="26"/>
      <c r="AU477" s="58"/>
      <c r="AV477" s="58"/>
      <c r="AW477" s="58"/>
      <c r="AX477" s="58"/>
      <c r="AY477" s="71"/>
      <c r="AZ477" s="58"/>
      <c r="BA477" s="58"/>
      <c r="BB477" s="72" t="str">
        <f aca="false">IF(BA477&lt;&gt;"",VLOOKUP(BA477,Selects!$B$4:$C$100,2,0),"")</f>
        <v/>
      </c>
      <c r="BC477" s="26"/>
      <c r="BD477" s="26"/>
      <c r="BE477" s="73"/>
      <c r="BF477" s="74"/>
      <c r="BG477" s="75" t="str">
        <f aca="false">IF(LEN(BF477)=11,"PF",IF(LEN(BF477)=14,"PJ",""))</f>
        <v/>
      </c>
      <c r="BH477" s="66"/>
      <c r="BI477" s="58" t="str">
        <f aca="false">IF(BH477&lt;&gt;"",VLOOKUP(BH477,Selects!$G:$H,2,0),"")</f>
        <v/>
      </c>
      <c r="BJ477" s="58"/>
      <c r="BK477" s="58"/>
      <c r="BL477" s="59"/>
      <c r="BM477" s="58"/>
      <c r="BN477" s="58"/>
      <c r="BO477" s="58" t="str">
        <f aca="false">IF(BN477&lt;&gt;"",VLOOKUP(BN477,Selects!$J$4:$K$1000,2,0),"")</f>
        <v/>
      </c>
      <c r="BP477" s="76"/>
      <c r="BQ477" s="59"/>
      <c r="BR477" s="77"/>
      <c r="BS477" s="59"/>
      <c r="BT477" s="77"/>
      <c r="BU477" s="58"/>
      <c r="BV477" s="58"/>
      <c r="BW477" s="58"/>
      <c r="BX477" s="58"/>
      <c r="BY477" s="58"/>
      <c r="BZ477" s="58"/>
      <c r="CA477" s="58"/>
      <c r="CB477" s="72" t="str">
        <f aca="false">IF(AC477&lt;&gt;"",VLOOKUP(AC477,Selects!$B:$E,4,0),"")</f>
        <v/>
      </c>
      <c r="CC477" s="58"/>
      <c r="CD477" s="58"/>
      <c r="CE477" s="58"/>
    </row>
    <row r="478" customFormat="false" ht="15.75" hidden="false" customHeight="true" outlineLevel="0" collapsed="false">
      <c r="A478" s="17"/>
      <c r="B478" s="58"/>
      <c r="C478" s="58"/>
      <c r="D478" s="59"/>
      <c r="E478" s="60" t="str">
        <f aca="false">IF(LEN(D478)=11,"PF",IF(LEN(D478)=14,"PJ",""))</f>
        <v/>
      </c>
      <c r="F478" s="59"/>
      <c r="G478" s="59"/>
      <c r="H478" s="61" t="str">
        <f aca="false">IF(G478&lt;&gt;"",VLOOKUP(G478,'Cnae  mcc  id'!$A:$M,9,0),"")</f>
        <v/>
      </c>
      <c r="I478" s="62"/>
      <c r="J478" s="63" t="str">
        <f aca="false">IF(I478&lt;&gt;"",VLOOKUP(I478,'Legal Nature'!$E$2:$G$84,3,0),"")</f>
        <v/>
      </c>
      <c r="K478" s="64"/>
      <c r="L478" s="65"/>
      <c r="M478" s="66"/>
      <c r="N478" s="66"/>
      <c r="O478" s="79"/>
      <c r="P478" s="26"/>
      <c r="Q478" s="58"/>
      <c r="R478" s="58"/>
      <c r="S478" s="80"/>
      <c r="T478" s="68" t="str">
        <f aca="false">IF(LEFT(S478,1)="9","Celular",IF(S478="","","Fixo"))</f>
        <v/>
      </c>
      <c r="U478" s="58" t="str">
        <f aca="false">IF( T478&lt;&gt;"",VLOOKUP(T478,Selects!$M$4:$N$1000,2,0),"")</f>
        <v/>
      </c>
      <c r="V478" s="26"/>
      <c r="W478" s="58"/>
      <c r="X478" s="58"/>
      <c r="Y478" s="58"/>
      <c r="Z478" s="58"/>
      <c r="AA478" s="69"/>
      <c r="AB478" s="58"/>
      <c r="AC478" s="58"/>
      <c r="AD478" s="70" t="str">
        <f aca="false">IF(AC478&lt;&gt;"",VLOOKUP(AC478,Selects!$B$4:$C$100,2,0),"")</f>
        <v/>
      </c>
      <c r="AE478" s="26"/>
      <c r="AF478" s="58"/>
      <c r="AG478" s="59"/>
      <c r="AH478" s="65"/>
      <c r="AI478" s="66"/>
      <c r="AJ478" s="66"/>
      <c r="AK478" s="58"/>
      <c r="AL478" s="58"/>
      <c r="AM478" s="68" t="str">
        <f aca="false">IF(LEFT(AL478,1)="9","Celular",IF(AL478="","","Fixo"))</f>
        <v/>
      </c>
      <c r="AN478" s="58" t="str">
        <f aca="false">IF( AM478&lt;&gt;"",VLOOKUP(AM478,Selects!$M$4:$N$1000,2,0),"")</f>
        <v/>
      </c>
      <c r="AO478" s="58"/>
      <c r="AP478" s="59"/>
      <c r="AQ478" s="65"/>
      <c r="AR478" s="58"/>
      <c r="AS478" s="58"/>
      <c r="AT478" s="26"/>
      <c r="AU478" s="58"/>
      <c r="AV478" s="58"/>
      <c r="AW478" s="58"/>
      <c r="AX478" s="58"/>
      <c r="AY478" s="71"/>
      <c r="AZ478" s="58"/>
      <c r="BA478" s="58"/>
      <c r="BB478" s="72" t="str">
        <f aca="false">IF(BA478&lt;&gt;"",VLOOKUP(BA478,Selects!$B$4:$C$100,2,0),"")</f>
        <v/>
      </c>
      <c r="BC478" s="26"/>
      <c r="BD478" s="26"/>
      <c r="BE478" s="73"/>
      <c r="BF478" s="74"/>
      <c r="BG478" s="75" t="str">
        <f aca="false">IF(LEN(BF478)=11,"PF",IF(LEN(BF478)=14,"PJ",""))</f>
        <v/>
      </c>
      <c r="BH478" s="66"/>
      <c r="BI478" s="58" t="str">
        <f aca="false">IF(BH478&lt;&gt;"",VLOOKUP(BH478,Selects!$G:$H,2,0),"")</f>
        <v/>
      </c>
      <c r="BJ478" s="58"/>
      <c r="BK478" s="58"/>
      <c r="BL478" s="59"/>
      <c r="BM478" s="58"/>
      <c r="BN478" s="58"/>
      <c r="BO478" s="58" t="str">
        <f aca="false">IF(BN478&lt;&gt;"",VLOOKUP(BN478,Selects!$J$4:$K$1000,2,0),"")</f>
        <v/>
      </c>
      <c r="BP478" s="76"/>
      <c r="BQ478" s="59"/>
      <c r="BR478" s="77"/>
      <c r="BS478" s="59"/>
      <c r="BT478" s="77"/>
      <c r="BU478" s="58"/>
      <c r="BV478" s="58"/>
      <c r="BW478" s="58"/>
      <c r="BX478" s="58"/>
      <c r="BY478" s="58"/>
      <c r="BZ478" s="58"/>
      <c r="CA478" s="58"/>
      <c r="CB478" s="72" t="str">
        <f aca="false">IF(AC478&lt;&gt;"",VLOOKUP(AC478,Selects!$B:$E,4,0),"")</f>
        <v/>
      </c>
      <c r="CC478" s="58"/>
      <c r="CD478" s="58"/>
      <c r="CE478" s="58"/>
    </row>
    <row r="479" customFormat="false" ht="15.75" hidden="false" customHeight="true" outlineLevel="0" collapsed="false">
      <c r="A479" s="17"/>
      <c r="B479" s="58"/>
      <c r="C479" s="58"/>
      <c r="D479" s="59"/>
      <c r="E479" s="60" t="str">
        <f aca="false">IF(LEN(D479)=11,"PF",IF(LEN(D479)=14,"PJ",""))</f>
        <v/>
      </c>
      <c r="F479" s="59"/>
      <c r="G479" s="59"/>
      <c r="H479" s="61" t="str">
        <f aca="false">IF(G479&lt;&gt;"",VLOOKUP(G479,'Cnae  mcc  id'!$A:$M,9,0),"")</f>
        <v/>
      </c>
      <c r="I479" s="62"/>
      <c r="J479" s="63" t="str">
        <f aca="false">IF(I479&lt;&gt;"",VLOOKUP(I479,'Legal Nature'!$E$2:$G$84,3,0),"")</f>
        <v/>
      </c>
      <c r="K479" s="64"/>
      <c r="L479" s="65"/>
      <c r="M479" s="66"/>
      <c r="N479" s="66"/>
      <c r="O479" s="79"/>
      <c r="P479" s="26"/>
      <c r="Q479" s="58"/>
      <c r="R479" s="58"/>
      <c r="S479" s="80"/>
      <c r="T479" s="68" t="str">
        <f aca="false">IF(LEFT(S479,1)="9","Celular",IF(S479="","","Fixo"))</f>
        <v/>
      </c>
      <c r="U479" s="58" t="str">
        <f aca="false">IF( T479&lt;&gt;"",VLOOKUP(T479,Selects!$M$4:$N$1000,2,0),"")</f>
        <v/>
      </c>
      <c r="V479" s="26"/>
      <c r="W479" s="58"/>
      <c r="X479" s="58"/>
      <c r="Y479" s="58"/>
      <c r="Z479" s="58"/>
      <c r="AA479" s="69"/>
      <c r="AB479" s="58"/>
      <c r="AC479" s="58"/>
      <c r="AD479" s="70" t="str">
        <f aca="false">IF(AC479&lt;&gt;"",VLOOKUP(AC479,Selects!$B$4:$C$100,2,0),"")</f>
        <v/>
      </c>
      <c r="AE479" s="26"/>
      <c r="AF479" s="58"/>
      <c r="AG479" s="59"/>
      <c r="AH479" s="65"/>
      <c r="AI479" s="66"/>
      <c r="AJ479" s="66"/>
      <c r="AK479" s="58"/>
      <c r="AL479" s="58"/>
      <c r="AM479" s="68" t="str">
        <f aca="false">IF(LEFT(AL479,1)="9","Celular",IF(AL479="","","Fixo"))</f>
        <v/>
      </c>
      <c r="AN479" s="58" t="str">
        <f aca="false">IF( AM479&lt;&gt;"",VLOOKUP(AM479,Selects!$M$4:$N$1000,2,0),"")</f>
        <v/>
      </c>
      <c r="AO479" s="58"/>
      <c r="AP479" s="59"/>
      <c r="AQ479" s="65"/>
      <c r="AR479" s="58"/>
      <c r="AS479" s="58"/>
      <c r="AT479" s="26"/>
      <c r="AU479" s="58"/>
      <c r="AV479" s="58"/>
      <c r="AW479" s="58"/>
      <c r="AX479" s="58"/>
      <c r="AY479" s="71"/>
      <c r="AZ479" s="58"/>
      <c r="BA479" s="58"/>
      <c r="BB479" s="72" t="str">
        <f aca="false">IF(BA479&lt;&gt;"",VLOOKUP(BA479,Selects!$B$4:$C$100,2,0),"")</f>
        <v/>
      </c>
      <c r="BC479" s="26"/>
      <c r="BD479" s="26"/>
      <c r="BE479" s="73"/>
      <c r="BF479" s="74"/>
      <c r="BG479" s="75" t="str">
        <f aca="false">IF(LEN(BF479)=11,"PF",IF(LEN(BF479)=14,"PJ",""))</f>
        <v/>
      </c>
      <c r="BH479" s="66"/>
      <c r="BI479" s="58" t="str">
        <f aca="false">IF(BH479&lt;&gt;"",VLOOKUP(BH479,Selects!$G:$H,2,0),"")</f>
        <v/>
      </c>
      <c r="BJ479" s="58"/>
      <c r="BK479" s="58"/>
      <c r="BL479" s="59"/>
      <c r="BM479" s="58"/>
      <c r="BN479" s="58"/>
      <c r="BO479" s="58" t="str">
        <f aca="false">IF(BN479&lt;&gt;"",VLOOKUP(BN479,Selects!$J$4:$K$1000,2,0),"")</f>
        <v/>
      </c>
      <c r="BP479" s="76"/>
      <c r="BQ479" s="59"/>
      <c r="BR479" s="77"/>
      <c r="BS479" s="59"/>
      <c r="BT479" s="77"/>
      <c r="BU479" s="58"/>
      <c r="BV479" s="58"/>
      <c r="BW479" s="58"/>
      <c r="BX479" s="58"/>
      <c r="BY479" s="58"/>
      <c r="BZ479" s="58"/>
      <c r="CA479" s="58"/>
      <c r="CB479" s="72" t="str">
        <f aca="false">IF(AC479&lt;&gt;"",VLOOKUP(AC479,Selects!$B:$E,4,0),"")</f>
        <v/>
      </c>
      <c r="CC479" s="58"/>
      <c r="CD479" s="58"/>
      <c r="CE479" s="58"/>
    </row>
    <row r="480" customFormat="false" ht="15.75" hidden="false" customHeight="true" outlineLevel="0" collapsed="false">
      <c r="A480" s="17"/>
      <c r="B480" s="58"/>
      <c r="C480" s="58"/>
      <c r="D480" s="59"/>
      <c r="E480" s="60" t="str">
        <f aca="false">IF(LEN(D480)=11,"PF",IF(LEN(D480)=14,"PJ",""))</f>
        <v/>
      </c>
      <c r="F480" s="59"/>
      <c r="G480" s="59"/>
      <c r="H480" s="61" t="str">
        <f aca="false">IF(G480&lt;&gt;"",VLOOKUP(G480,'Cnae  mcc  id'!$A:$M,9,0),"")</f>
        <v/>
      </c>
      <c r="I480" s="62"/>
      <c r="J480" s="63" t="str">
        <f aca="false">IF(I480&lt;&gt;"",VLOOKUP(I480,'Legal Nature'!$E$2:$G$84,3,0),"")</f>
        <v/>
      </c>
      <c r="K480" s="64"/>
      <c r="L480" s="65"/>
      <c r="M480" s="66"/>
      <c r="N480" s="66"/>
      <c r="O480" s="79"/>
      <c r="P480" s="26"/>
      <c r="Q480" s="58"/>
      <c r="R480" s="58"/>
      <c r="S480" s="80"/>
      <c r="T480" s="68" t="str">
        <f aca="false">IF(LEFT(S480,1)="9","Celular",IF(S480="","","Fixo"))</f>
        <v/>
      </c>
      <c r="U480" s="58" t="str">
        <f aca="false">IF( T480&lt;&gt;"",VLOOKUP(T480,Selects!$M$4:$N$1000,2,0),"")</f>
        <v/>
      </c>
      <c r="V480" s="26"/>
      <c r="W480" s="58"/>
      <c r="X480" s="58"/>
      <c r="Y480" s="58"/>
      <c r="Z480" s="58"/>
      <c r="AA480" s="69"/>
      <c r="AB480" s="58"/>
      <c r="AC480" s="58"/>
      <c r="AD480" s="70" t="str">
        <f aca="false">IF(AC480&lt;&gt;"",VLOOKUP(AC480,Selects!$B$4:$C$100,2,0),"")</f>
        <v/>
      </c>
      <c r="AE480" s="26"/>
      <c r="AF480" s="58"/>
      <c r="AG480" s="59"/>
      <c r="AH480" s="65"/>
      <c r="AI480" s="66"/>
      <c r="AJ480" s="66"/>
      <c r="AK480" s="58"/>
      <c r="AL480" s="58"/>
      <c r="AM480" s="68" t="str">
        <f aca="false">IF(LEFT(AL480,1)="9","Celular",IF(AL480="","","Fixo"))</f>
        <v/>
      </c>
      <c r="AN480" s="58" t="str">
        <f aca="false">IF( AM480&lt;&gt;"",VLOOKUP(AM480,Selects!$M$4:$N$1000,2,0),"")</f>
        <v/>
      </c>
      <c r="AO480" s="58"/>
      <c r="AP480" s="59"/>
      <c r="AQ480" s="65"/>
      <c r="AR480" s="58"/>
      <c r="AS480" s="58"/>
      <c r="AT480" s="26"/>
      <c r="AU480" s="58"/>
      <c r="AV480" s="58"/>
      <c r="AW480" s="58"/>
      <c r="AX480" s="58"/>
      <c r="AY480" s="71"/>
      <c r="AZ480" s="58"/>
      <c r="BA480" s="58"/>
      <c r="BB480" s="72" t="str">
        <f aca="false">IF(BA480&lt;&gt;"",VLOOKUP(BA480,Selects!$B$4:$C$100,2,0),"")</f>
        <v/>
      </c>
      <c r="BC480" s="26"/>
      <c r="BD480" s="26"/>
      <c r="BE480" s="73"/>
      <c r="BF480" s="74"/>
      <c r="BG480" s="75" t="str">
        <f aca="false">IF(LEN(BF480)=11,"PF",IF(LEN(BF480)=14,"PJ",""))</f>
        <v/>
      </c>
      <c r="BH480" s="66"/>
      <c r="BI480" s="58" t="str">
        <f aca="false">IF(BH480&lt;&gt;"",VLOOKUP(BH480,Selects!$G:$H,2,0),"")</f>
        <v/>
      </c>
      <c r="BJ480" s="58"/>
      <c r="BK480" s="58"/>
      <c r="BL480" s="59"/>
      <c r="BM480" s="58"/>
      <c r="BN480" s="58"/>
      <c r="BO480" s="58" t="str">
        <f aca="false">IF(BN480&lt;&gt;"",VLOOKUP(BN480,Selects!$J$4:$K$1000,2,0),"")</f>
        <v/>
      </c>
      <c r="BP480" s="76"/>
      <c r="BQ480" s="59"/>
      <c r="BR480" s="77"/>
      <c r="BS480" s="59"/>
      <c r="BT480" s="77"/>
      <c r="BU480" s="58"/>
      <c r="BV480" s="58"/>
      <c r="BW480" s="58"/>
      <c r="BX480" s="58"/>
      <c r="BY480" s="58"/>
      <c r="BZ480" s="58"/>
      <c r="CA480" s="58"/>
      <c r="CB480" s="72" t="str">
        <f aca="false">IF(AC480&lt;&gt;"",VLOOKUP(AC480,Selects!$B:$E,4,0),"")</f>
        <v/>
      </c>
      <c r="CC480" s="58"/>
      <c r="CD480" s="58"/>
      <c r="CE480" s="58"/>
    </row>
    <row r="481" customFormat="false" ht="15.75" hidden="false" customHeight="true" outlineLevel="0" collapsed="false">
      <c r="A481" s="17"/>
      <c r="B481" s="58"/>
      <c r="C481" s="58"/>
      <c r="D481" s="59"/>
      <c r="E481" s="60" t="str">
        <f aca="false">IF(LEN(D481)=11,"PF",IF(LEN(D481)=14,"PJ",""))</f>
        <v/>
      </c>
      <c r="F481" s="59"/>
      <c r="G481" s="59"/>
      <c r="H481" s="61" t="str">
        <f aca="false">IF(G481&lt;&gt;"",VLOOKUP(G481,'Cnae  mcc  id'!$A:$M,9,0),"")</f>
        <v/>
      </c>
      <c r="I481" s="62"/>
      <c r="J481" s="63" t="str">
        <f aca="false">IF(I481&lt;&gt;"",VLOOKUP(I481,'Legal Nature'!$E$2:$G$84,3,0),"")</f>
        <v/>
      </c>
      <c r="K481" s="64"/>
      <c r="L481" s="65"/>
      <c r="M481" s="66"/>
      <c r="N481" s="66"/>
      <c r="O481" s="79"/>
      <c r="P481" s="26"/>
      <c r="Q481" s="58"/>
      <c r="R481" s="58"/>
      <c r="S481" s="80"/>
      <c r="T481" s="68" t="str">
        <f aca="false">IF(LEFT(S481,1)="9","Celular",IF(S481="","","Fixo"))</f>
        <v/>
      </c>
      <c r="U481" s="58" t="str">
        <f aca="false">IF( T481&lt;&gt;"",VLOOKUP(T481,Selects!$M$4:$N$1000,2,0),"")</f>
        <v/>
      </c>
      <c r="V481" s="26"/>
      <c r="W481" s="58"/>
      <c r="X481" s="58"/>
      <c r="Y481" s="58"/>
      <c r="Z481" s="58"/>
      <c r="AA481" s="69"/>
      <c r="AB481" s="58"/>
      <c r="AC481" s="58"/>
      <c r="AD481" s="70" t="str">
        <f aca="false">IF(AC481&lt;&gt;"",VLOOKUP(AC481,Selects!$B$4:$C$100,2,0),"")</f>
        <v/>
      </c>
      <c r="AE481" s="26"/>
      <c r="AF481" s="58"/>
      <c r="AG481" s="59"/>
      <c r="AH481" s="65"/>
      <c r="AI481" s="66"/>
      <c r="AJ481" s="66"/>
      <c r="AK481" s="58"/>
      <c r="AL481" s="58"/>
      <c r="AM481" s="68" t="str">
        <f aca="false">IF(LEFT(AL481,1)="9","Celular",IF(AL481="","","Fixo"))</f>
        <v/>
      </c>
      <c r="AN481" s="58" t="str">
        <f aca="false">IF( AM481&lt;&gt;"",VLOOKUP(AM481,Selects!$M$4:$N$1000,2,0),"")</f>
        <v/>
      </c>
      <c r="AO481" s="58"/>
      <c r="AP481" s="59"/>
      <c r="AQ481" s="65"/>
      <c r="AR481" s="58"/>
      <c r="AS481" s="58"/>
      <c r="AT481" s="26"/>
      <c r="AU481" s="58"/>
      <c r="AV481" s="58"/>
      <c r="AW481" s="58"/>
      <c r="AX481" s="58"/>
      <c r="AY481" s="71"/>
      <c r="AZ481" s="58"/>
      <c r="BA481" s="58"/>
      <c r="BB481" s="72" t="str">
        <f aca="false">IF(BA481&lt;&gt;"",VLOOKUP(BA481,Selects!$B$4:$C$100,2,0),"")</f>
        <v/>
      </c>
      <c r="BC481" s="26"/>
      <c r="BD481" s="26"/>
      <c r="BE481" s="73"/>
      <c r="BF481" s="74"/>
      <c r="BG481" s="75" t="str">
        <f aca="false">IF(LEN(BF481)=11,"PF",IF(LEN(BF481)=14,"PJ",""))</f>
        <v/>
      </c>
      <c r="BH481" s="66"/>
      <c r="BI481" s="58" t="str">
        <f aca="false">IF(BH481&lt;&gt;"",VLOOKUP(BH481,Selects!$G:$H,2,0),"")</f>
        <v/>
      </c>
      <c r="BJ481" s="58"/>
      <c r="BK481" s="58"/>
      <c r="BL481" s="59"/>
      <c r="BM481" s="58"/>
      <c r="BN481" s="58"/>
      <c r="BO481" s="58" t="str">
        <f aca="false">IF(BN481&lt;&gt;"",VLOOKUP(BN481,Selects!$J$4:$K$1000,2,0),"")</f>
        <v/>
      </c>
      <c r="BP481" s="76"/>
      <c r="BQ481" s="59"/>
      <c r="BR481" s="77"/>
      <c r="BS481" s="59"/>
      <c r="BT481" s="77"/>
      <c r="BU481" s="58"/>
      <c r="BV481" s="58"/>
      <c r="BW481" s="58"/>
      <c r="BX481" s="58"/>
      <c r="BY481" s="58"/>
      <c r="BZ481" s="58"/>
      <c r="CA481" s="58"/>
      <c r="CB481" s="72" t="str">
        <f aca="false">IF(AC481&lt;&gt;"",VLOOKUP(AC481,Selects!$B:$E,4,0),"")</f>
        <v/>
      </c>
      <c r="CC481" s="58"/>
      <c r="CD481" s="58"/>
      <c r="CE481" s="58"/>
    </row>
    <row r="482" customFormat="false" ht="15.75" hidden="false" customHeight="true" outlineLevel="0" collapsed="false">
      <c r="A482" s="17"/>
      <c r="B482" s="58"/>
      <c r="C482" s="58"/>
      <c r="D482" s="59"/>
      <c r="E482" s="60" t="str">
        <f aca="false">IF(LEN(D482)=11,"PF",IF(LEN(D482)=14,"PJ",""))</f>
        <v/>
      </c>
      <c r="F482" s="59"/>
      <c r="G482" s="59"/>
      <c r="H482" s="61" t="str">
        <f aca="false">IF(G482&lt;&gt;"",VLOOKUP(G482,'Cnae  mcc  id'!$A:$M,9,0),"")</f>
        <v/>
      </c>
      <c r="I482" s="62"/>
      <c r="J482" s="63" t="str">
        <f aca="false">IF(I482&lt;&gt;"",VLOOKUP(I482,'Legal Nature'!$E$2:$G$84,3,0),"")</f>
        <v/>
      </c>
      <c r="K482" s="64"/>
      <c r="L482" s="65"/>
      <c r="M482" s="66"/>
      <c r="N482" s="66"/>
      <c r="O482" s="79"/>
      <c r="P482" s="26"/>
      <c r="Q482" s="58"/>
      <c r="R482" s="58"/>
      <c r="S482" s="80"/>
      <c r="T482" s="68" t="str">
        <f aca="false">IF(LEFT(S482,1)="9","Celular",IF(S482="","","Fixo"))</f>
        <v/>
      </c>
      <c r="U482" s="58" t="str">
        <f aca="false">IF( T482&lt;&gt;"",VLOOKUP(T482,Selects!$M$4:$N$1000,2,0),"")</f>
        <v/>
      </c>
      <c r="V482" s="26"/>
      <c r="W482" s="58"/>
      <c r="X482" s="58"/>
      <c r="Y482" s="58"/>
      <c r="Z482" s="58"/>
      <c r="AA482" s="69"/>
      <c r="AB482" s="58"/>
      <c r="AC482" s="58"/>
      <c r="AD482" s="70" t="str">
        <f aca="false">IF(AC482&lt;&gt;"",VLOOKUP(AC482,Selects!$B$4:$C$100,2,0),"")</f>
        <v/>
      </c>
      <c r="AE482" s="26"/>
      <c r="AF482" s="58"/>
      <c r="AG482" s="59"/>
      <c r="AH482" s="65"/>
      <c r="AI482" s="66"/>
      <c r="AJ482" s="66"/>
      <c r="AK482" s="58"/>
      <c r="AL482" s="58"/>
      <c r="AM482" s="68" t="str">
        <f aca="false">IF(LEFT(AL482,1)="9","Celular",IF(AL482="","","Fixo"))</f>
        <v/>
      </c>
      <c r="AN482" s="58" t="str">
        <f aca="false">IF( AM482&lt;&gt;"",VLOOKUP(AM482,Selects!$M$4:$N$1000,2,0),"")</f>
        <v/>
      </c>
      <c r="AO482" s="58"/>
      <c r="AP482" s="59"/>
      <c r="AQ482" s="65"/>
      <c r="AR482" s="58"/>
      <c r="AS482" s="58"/>
      <c r="AT482" s="26"/>
      <c r="AU482" s="58"/>
      <c r="AV482" s="58"/>
      <c r="AW482" s="58"/>
      <c r="AX482" s="58"/>
      <c r="AY482" s="71"/>
      <c r="AZ482" s="58"/>
      <c r="BA482" s="58"/>
      <c r="BB482" s="72" t="str">
        <f aca="false">IF(BA482&lt;&gt;"",VLOOKUP(BA482,Selects!$B$4:$C$100,2,0),"")</f>
        <v/>
      </c>
      <c r="BC482" s="26"/>
      <c r="BD482" s="26"/>
      <c r="BE482" s="73"/>
      <c r="BF482" s="74"/>
      <c r="BG482" s="75" t="str">
        <f aca="false">IF(LEN(BF482)=11,"PF",IF(LEN(BF482)=14,"PJ",""))</f>
        <v/>
      </c>
      <c r="BH482" s="66"/>
      <c r="BI482" s="58" t="str">
        <f aca="false">IF(BH482&lt;&gt;"",VLOOKUP(BH482,Selects!$G:$H,2,0),"")</f>
        <v/>
      </c>
      <c r="BJ482" s="58"/>
      <c r="BK482" s="58"/>
      <c r="BL482" s="59"/>
      <c r="BM482" s="58"/>
      <c r="BN482" s="58"/>
      <c r="BO482" s="58" t="str">
        <f aca="false">IF(BN482&lt;&gt;"",VLOOKUP(BN482,Selects!$J$4:$K$1000,2,0),"")</f>
        <v/>
      </c>
      <c r="BP482" s="76"/>
      <c r="BQ482" s="59"/>
      <c r="BR482" s="77"/>
      <c r="BS482" s="59"/>
      <c r="BT482" s="77"/>
      <c r="BU482" s="58"/>
      <c r="BV482" s="58"/>
      <c r="BW482" s="58"/>
      <c r="BX482" s="58"/>
      <c r="BY482" s="58"/>
      <c r="BZ482" s="58"/>
      <c r="CA482" s="58"/>
      <c r="CB482" s="72" t="str">
        <f aca="false">IF(AC482&lt;&gt;"",VLOOKUP(AC482,Selects!$B:$E,4,0),"")</f>
        <v/>
      </c>
      <c r="CC482" s="58"/>
      <c r="CD482" s="58"/>
      <c r="CE482" s="58"/>
    </row>
    <row r="483" customFormat="false" ht="15.75" hidden="false" customHeight="true" outlineLevel="0" collapsed="false">
      <c r="A483" s="17"/>
      <c r="B483" s="58"/>
      <c r="C483" s="58"/>
      <c r="D483" s="59"/>
      <c r="E483" s="60" t="str">
        <f aca="false">IF(LEN(D483)=11,"PF",IF(LEN(D483)=14,"PJ",""))</f>
        <v/>
      </c>
      <c r="F483" s="59"/>
      <c r="G483" s="59"/>
      <c r="H483" s="61" t="str">
        <f aca="false">IF(G483&lt;&gt;"",VLOOKUP(G483,'Cnae  mcc  id'!$A:$M,9,0),"")</f>
        <v/>
      </c>
      <c r="I483" s="62"/>
      <c r="J483" s="63" t="str">
        <f aca="false">IF(I483&lt;&gt;"",VLOOKUP(I483,'Legal Nature'!$E$2:$G$84,3,0),"")</f>
        <v/>
      </c>
      <c r="K483" s="64"/>
      <c r="L483" s="65"/>
      <c r="M483" s="66"/>
      <c r="N483" s="66"/>
      <c r="O483" s="79"/>
      <c r="P483" s="26"/>
      <c r="Q483" s="58"/>
      <c r="R483" s="58"/>
      <c r="S483" s="80"/>
      <c r="T483" s="68" t="str">
        <f aca="false">IF(LEFT(S483,1)="9","Celular",IF(S483="","","Fixo"))</f>
        <v/>
      </c>
      <c r="U483" s="58" t="str">
        <f aca="false">IF( T483&lt;&gt;"",VLOOKUP(T483,Selects!$M$4:$N$1000,2,0),"")</f>
        <v/>
      </c>
      <c r="V483" s="26"/>
      <c r="W483" s="58"/>
      <c r="X483" s="58"/>
      <c r="Y483" s="58"/>
      <c r="Z483" s="58"/>
      <c r="AA483" s="69"/>
      <c r="AB483" s="58"/>
      <c r="AC483" s="58"/>
      <c r="AD483" s="70" t="str">
        <f aca="false">IF(AC483&lt;&gt;"",VLOOKUP(AC483,Selects!$B$4:$C$100,2,0),"")</f>
        <v/>
      </c>
      <c r="AE483" s="26"/>
      <c r="AF483" s="58"/>
      <c r="AG483" s="59"/>
      <c r="AH483" s="65"/>
      <c r="AI483" s="66"/>
      <c r="AJ483" s="66"/>
      <c r="AK483" s="58"/>
      <c r="AL483" s="58"/>
      <c r="AM483" s="68" t="str">
        <f aca="false">IF(LEFT(AL483,1)="9","Celular",IF(AL483="","","Fixo"))</f>
        <v/>
      </c>
      <c r="AN483" s="58" t="str">
        <f aca="false">IF( AM483&lt;&gt;"",VLOOKUP(AM483,Selects!$M$4:$N$1000,2,0),"")</f>
        <v/>
      </c>
      <c r="AO483" s="58"/>
      <c r="AP483" s="59"/>
      <c r="AQ483" s="65"/>
      <c r="AR483" s="58"/>
      <c r="AS483" s="58"/>
      <c r="AT483" s="26"/>
      <c r="AU483" s="58"/>
      <c r="AV483" s="58"/>
      <c r="AW483" s="58"/>
      <c r="AX483" s="58"/>
      <c r="AY483" s="71"/>
      <c r="AZ483" s="58"/>
      <c r="BA483" s="58"/>
      <c r="BB483" s="72" t="str">
        <f aca="false">IF(BA483&lt;&gt;"",VLOOKUP(BA483,Selects!$B$4:$C$100,2,0),"")</f>
        <v/>
      </c>
      <c r="BC483" s="26"/>
      <c r="BD483" s="26"/>
      <c r="BE483" s="73"/>
      <c r="BF483" s="74"/>
      <c r="BG483" s="75" t="str">
        <f aca="false">IF(LEN(BF483)=11,"PF",IF(LEN(BF483)=14,"PJ",""))</f>
        <v/>
      </c>
      <c r="BH483" s="66"/>
      <c r="BI483" s="58" t="str">
        <f aca="false">IF(BH483&lt;&gt;"",VLOOKUP(BH483,Selects!$G:$H,2,0),"")</f>
        <v/>
      </c>
      <c r="BJ483" s="58"/>
      <c r="BK483" s="58"/>
      <c r="BL483" s="59"/>
      <c r="BM483" s="58"/>
      <c r="BN483" s="58"/>
      <c r="BO483" s="58" t="str">
        <f aca="false">IF(BN483&lt;&gt;"",VLOOKUP(BN483,Selects!$J$4:$K$1000,2,0),"")</f>
        <v/>
      </c>
      <c r="BP483" s="76"/>
      <c r="BQ483" s="59"/>
      <c r="BR483" s="77"/>
      <c r="BS483" s="59"/>
      <c r="BT483" s="77"/>
      <c r="BU483" s="58"/>
      <c r="BV483" s="58"/>
      <c r="BW483" s="58"/>
      <c r="BX483" s="58"/>
      <c r="BY483" s="58"/>
      <c r="BZ483" s="58"/>
      <c r="CA483" s="58"/>
      <c r="CB483" s="72" t="str">
        <f aca="false">IF(AC483&lt;&gt;"",VLOOKUP(AC483,Selects!$B:$E,4,0),"")</f>
        <v/>
      </c>
      <c r="CC483" s="58"/>
      <c r="CD483" s="58"/>
      <c r="CE483" s="58"/>
    </row>
    <row r="484" customFormat="false" ht="15.75" hidden="false" customHeight="true" outlineLevel="0" collapsed="false">
      <c r="A484" s="17"/>
      <c r="B484" s="58"/>
      <c r="C484" s="58"/>
      <c r="D484" s="59"/>
      <c r="E484" s="60" t="str">
        <f aca="false">IF(LEN(D484)=11,"PF",IF(LEN(D484)=14,"PJ",""))</f>
        <v/>
      </c>
      <c r="F484" s="59"/>
      <c r="G484" s="59"/>
      <c r="H484" s="61" t="str">
        <f aca="false">IF(G484&lt;&gt;"",VLOOKUP(G484,'Cnae  mcc  id'!$A:$M,9,0),"")</f>
        <v/>
      </c>
      <c r="I484" s="62"/>
      <c r="J484" s="63" t="str">
        <f aca="false">IF(I484&lt;&gt;"",VLOOKUP(I484,'Legal Nature'!$E$2:$G$84,3,0),"")</f>
        <v/>
      </c>
      <c r="K484" s="64"/>
      <c r="L484" s="65"/>
      <c r="M484" s="66"/>
      <c r="N484" s="66"/>
      <c r="O484" s="79"/>
      <c r="P484" s="26"/>
      <c r="Q484" s="58"/>
      <c r="R484" s="58"/>
      <c r="S484" s="80"/>
      <c r="T484" s="68" t="str">
        <f aca="false">IF(LEFT(S484,1)="9","Celular",IF(S484="","","Fixo"))</f>
        <v/>
      </c>
      <c r="U484" s="58" t="str">
        <f aca="false">IF( T484&lt;&gt;"",VLOOKUP(T484,Selects!$M$4:$N$1000,2,0),"")</f>
        <v/>
      </c>
      <c r="V484" s="26"/>
      <c r="W484" s="58"/>
      <c r="X484" s="58"/>
      <c r="Y484" s="58"/>
      <c r="Z484" s="58"/>
      <c r="AA484" s="69"/>
      <c r="AB484" s="58"/>
      <c r="AC484" s="58"/>
      <c r="AD484" s="70" t="str">
        <f aca="false">IF(AC484&lt;&gt;"",VLOOKUP(AC484,Selects!$B$4:$C$100,2,0),"")</f>
        <v/>
      </c>
      <c r="AE484" s="26"/>
      <c r="AF484" s="58"/>
      <c r="AG484" s="59"/>
      <c r="AH484" s="65"/>
      <c r="AI484" s="66"/>
      <c r="AJ484" s="66"/>
      <c r="AK484" s="58"/>
      <c r="AL484" s="58"/>
      <c r="AM484" s="68" t="str">
        <f aca="false">IF(LEFT(AL484,1)="9","Celular",IF(AL484="","","Fixo"))</f>
        <v/>
      </c>
      <c r="AN484" s="58" t="str">
        <f aca="false">IF( AM484&lt;&gt;"",VLOOKUP(AM484,Selects!$M$4:$N$1000,2,0),"")</f>
        <v/>
      </c>
      <c r="AO484" s="58"/>
      <c r="AP484" s="59"/>
      <c r="AQ484" s="65"/>
      <c r="AR484" s="58"/>
      <c r="AS484" s="58"/>
      <c r="AT484" s="26"/>
      <c r="AU484" s="58"/>
      <c r="AV484" s="58"/>
      <c r="AW484" s="58"/>
      <c r="AX484" s="58"/>
      <c r="AY484" s="71"/>
      <c r="AZ484" s="58"/>
      <c r="BA484" s="58"/>
      <c r="BB484" s="72" t="str">
        <f aca="false">IF(BA484&lt;&gt;"",VLOOKUP(BA484,Selects!$B$4:$C$100,2,0),"")</f>
        <v/>
      </c>
      <c r="BC484" s="26"/>
      <c r="BD484" s="26"/>
      <c r="BE484" s="73"/>
      <c r="BF484" s="74"/>
      <c r="BG484" s="75" t="str">
        <f aca="false">IF(LEN(BF484)=11,"PF",IF(LEN(BF484)=14,"PJ",""))</f>
        <v/>
      </c>
      <c r="BH484" s="66"/>
      <c r="BI484" s="58" t="str">
        <f aca="false">IF(BH484&lt;&gt;"",VLOOKUP(BH484,Selects!$G:$H,2,0),"")</f>
        <v/>
      </c>
      <c r="BJ484" s="58"/>
      <c r="BK484" s="58"/>
      <c r="BL484" s="59"/>
      <c r="BM484" s="58"/>
      <c r="BN484" s="58"/>
      <c r="BO484" s="58" t="str">
        <f aca="false">IF(BN484&lt;&gt;"",VLOOKUP(BN484,Selects!$J$4:$K$1000,2,0),"")</f>
        <v/>
      </c>
      <c r="BP484" s="76"/>
      <c r="BQ484" s="59"/>
      <c r="BR484" s="77"/>
      <c r="BS484" s="59"/>
      <c r="BT484" s="77"/>
      <c r="BU484" s="58"/>
      <c r="BV484" s="58"/>
      <c r="BW484" s="58"/>
      <c r="BX484" s="58"/>
      <c r="BY484" s="58"/>
      <c r="BZ484" s="58"/>
      <c r="CA484" s="58"/>
      <c r="CB484" s="72" t="str">
        <f aca="false">IF(AC484&lt;&gt;"",VLOOKUP(AC484,Selects!$B:$E,4,0),"")</f>
        <v/>
      </c>
      <c r="CC484" s="58"/>
      <c r="CD484" s="58"/>
      <c r="CE484" s="58"/>
    </row>
    <row r="485" customFormat="false" ht="15.75" hidden="false" customHeight="true" outlineLevel="0" collapsed="false">
      <c r="A485" s="17"/>
      <c r="B485" s="58"/>
      <c r="C485" s="58"/>
      <c r="D485" s="59"/>
      <c r="E485" s="60" t="str">
        <f aca="false">IF(LEN(D485)=11,"PF",IF(LEN(D485)=14,"PJ",""))</f>
        <v/>
      </c>
      <c r="F485" s="59"/>
      <c r="G485" s="59"/>
      <c r="H485" s="61" t="str">
        <f aca="false">IF(G485&lt;&gt;"",VLOOKUP(G485,'Cnae  mcc  id'!$A:$M,9,0),"")</f>
        <v/>
      </c>
      <c r="I485" s="62"/>
      <c r="J485" s="63" t="str">
        <f aca="false">IF(I485&lt;&gt;"",VLOOKUP(I485,'Legal Nature'!$E$2:$G$84,3,0),"")</f>
        <v/>
      </c>
      <c r="K485" s="64"/>
      <c r="L485" s="65"/>
      <c r="M485" s="66"/>
      <c r="N485" s="66"/>
      <c r="O485" s="79"/>
      <c r="P485" s="26"/>
      <c r="Q485" s="58"/>
      <c r="R485" s="58"/>
      <c r="S485" s="80"/>
      <c r="T485" s="68" t="str">
        <f aca="false">IF(LEFT(S485,1)="9","Celular",IF(S485="","","Fixo"))</f>
        <v/>
      </c>
      <c r="U485" s="58" t="str">
        <f aca="false">IF( T485&lt;&gt;"",VLOOKUP(T485,Selects!$M$4:$N$1000,2,0),"")</f>
        <v/>
      </c>
      <c r="V485" s="26"/>
      <c r="W485" s="58"/>
      <c r="X485" s="58"/>
      <c r="Y485" s="58"/>
      <c r="Z485" s="58"/>
      <c r="AA485" s="69"/>
      <c r="AB485" s="58"/>
      <c r="AC485" s="58"/>
      <c r="AD485" s="70" t="str">
        <f aca="false">IF(AC485&lt;&gt;"",VLOOKUP(AC485,Selects!$B$4:$C$100,2,0),"")</f>
        <v/>
      </c>
      <c r="AE485" s="26"/>
      <c r="AF485" s="58"/>
      <c r="AG485" s="59"/>
      <c r="AH485" s="65"/>
      <c r="AI485" s="66"/>
      <c r="AJ485" s="66"/>
      <c r="AK485" s="58"/>
      <c r="AL485" s="58"/>
      <c r="AM485" s="68" t="str">
        <f aca="false">IF(LEFT(AL485,1)="9","Celular",IF(AL485="","","Fixo"))</f>
        <v/>
      </c>
      <c r="AN485" s="58" t="str">
        <f aca="false">IF( AM485&lt;&gt;"",VLOOKUP(AM485,Selects!$M$4:$N$1000,2,0),"")</f>
        <v/>
      </c>
      <c r="AO485" s="58"/>
      <c r="AP485" s="59"/>
      <c r="AQ485" s="65"/>
      <c r="AR485" s="58"/>
      <c r="AS485" s="58"/>
      <c r="AT485" s="26"/>
      <c r="AU485" s="58"/>
      <c r="AV485" s="58"/>
      <c r="AW485" s="58"/>
      <c r="AX485" s="58"/>
      <c r="AY485" s="71"/>
      <c r="AZ485" s="58"/>
      <c r="BA485" s="58"/>
      <c r="BB485" s="72" t="str">
        <f aca="false">IF(BA485&lt;&gt;"",VLOOKUP(BA485,Selects!$B$4:$C$100,2,0),"")</f>
        <v/>
      </c>
      <c r="BC485" s="26"/>
      <c r="BD485" s="26"/>
      <c r="BE485" s="73"/>
      <c r="BF485" s="74"/>
      <c r="BG485" s="75" t="str">
        <f aca="false">IF(LEN(BF485)=11,"PF",IF(LEN(BF485)=14,"PJ",""))</f>
        <v/>
      </c>
      <c r="BH485" s="66"/>
      <c r="BI485" s="58" t="str">
        <f aca="false">IF(BH485&lt;&gt;"",VLOOKUP(BH485,Selects!$G:$H,2,0),"")</f>
        <v/>
      </c>
      <c r="BJ485" s="58"/>
      <c r="BK485" s="58"/>
      <c r="BL485" s="59"/>
      <c r="BM485" s="58"/>
      <c r="BN485" s="58"/>
      <c r="BO485" s="58" t="str">
        <f aca="false">IF(BN485&lt;&gt;"",VLOOKUP(BN485,Selects!$J$4:$K$1000,2,0),"")</f>
        <v/>
      </c>
      <c r="BP485" s="76"/>
      <c r="BQ485" s="59"/>
      <c r="BR485" s="77"/>
      <c r="BS485" s="59"/>
      <c r="BT485" s="77"/>
      <c r="BU485" s="58"/>
      <c r="BV485" s="58"/>
      <c r="BW485" s="58"/>
      <c r="BX485" s="58"/>
      <c r="BY485" s="58"/>
      <c r="BZ485" s="58"/>
      <c r="CA485" s="58"/>
      <c r="CB485" s="72" t="str">
        <f aca="false">IF(AC485&lt;&gt;"",VLOOKUP(AC485,Selects!$B:$E,4,0),"")</f>
        <v/>
      </c>
      <c r="CC485" s="58"/>
      <c r="CD485" s="58"/>
      <c r="CE485" s="58"/>
    </row>
    <row r="486" customFormat="false" ht="15.75" hidden="false" customHeight="true" outlineLevel="0" collapsed="false">
      <c r="A486" s="17"/>
      <c r="B486" s="58"/>
      <c r="C486" s="58"/>
      <c r="D486" s="59"/>
      <c r="E486" s="60" t="str">
        <f aca="false">IF(LEN(D486)=11,"PF",IF(LEN(D486)=14,"PJ",""))</f>
        <v/>
      </c>
      <c r="F486" s="59"/>
      <c r="G486" s="59"/>
      <c r="H486" s="61" t="str">
        <f aca="false">IF(G486&lt;&gt;"",VLOOKUP(G486,'Cnae  mcc  id'!$A:$M,9,0),"")</f>
        <v/>
      </c>
      <c r="I486" s="62"/>
      <c r="J486" s="63" t="str">
        <f aca="false">IF(I486&lt;&gt;"",VLOOKUP(I486,'Legal Nature'!$E$2:$G$84,3,0),"")</f>
        <v/>
      </c>
      <c r="K486" s="64"/>
      <c r="L486" s="65"/>
      <c r="M486" s="66"/>
      <c r="N486" s="66"/>
      <c r="O486" s="79"/>
      <c r="P486" s="26"/>
      <c r="Q486" s="58"/>
      <c r="R486" s="58"/>
      <c r="S486" s="80"/>
      <c r="T486" s="68" t="str">
        <f aca="false">IF(LEFT(S486,1)="9","Celular",IF(S486="","","Fixo"))</f>
        <v/>
      </c>
      <c r="U486" s="58" t="str">
        <f aca="false">IF( T486&lt;&gt;"",VLOOKUP(T486,Selects!$M$4:$N$1000,2,0),"")</f>
        <v/>
      </c>
      <c r="V486" s="26"/>
      <c r="W486" s="58"/>
      <c r="X486" s="58"/>
      <c r="Y486" s="58"/>
      <c r="Z486" s="58"/>
      <c r="AA486" s="69"/>
      <c r="AB486" s="58"/>
      <c r="AC486" s="58"/>
      <c r="AD486" s="70" t="str">
        <f aca="false">IF(AC486&lt;&gt;"",VLOOKUP(AC486,Selects!$B$4:$C$100,2,0),"")</f>
        <v/>
      </c>
      <c r="AE486" s="26"/>
      <c r="AF486" s="58"/>
      <c r="AG486" s="59"/>
      <c r="AH486" s="65"/>
      <c r="AI486" s="66"/>
      <c r="AJ486" s="66"/>
      <c r="AK486" s="58"/>
      <c r="AL486" s="58"/>
      <c r="AM486" s="68" t="str">
        <f aca="false">IF(LEFT(AL486,1)="9","Celular",IF(AL486="","","Fixo"))</f>
        <v/>
      </c>
      <c r="AN486" s="58" t="str">
        <f aca="false">IF( AM486&lt;&gt;"",VLOOKUP(AM486,Selects!$M$4:$N$1000,2,0),"")</f>
        <v/>
      </c>
      <c r="AO486" s="58"/>
      <c r="AP486" s="59"/>
      <c r="AQ486" s="65"/>
      <c r="AR486" s="58"/>
      <c r="AS486" s="58"/>
      <c r="AT486" s="26"/>
      <c r="AU486" s="58"/>
      <c r="AV486" s="58"/>
      <c r="AW486" s="58"/>
      <c r="AX486" s="58"/>
      <c r="AY486" s="71"/>
      <c r="AZ486" s="58"/>
      <c r="BA486" s="58"/>
      <c r="BB486" s="72" t="str">
        <f aca="false">IF(BA486&lt;&gt;"",VLOOKUP(BA486,Selects!$B$4:$C$100,2,0),"")</f>
        <v/>
      </c>
      <c r="BC486" s="26"/>
      <c r="BD486" s="26"/>
      <c r="BE486" s="73"/>
      <c r="BF486" s="74"/>
      <c r="BG486" s="75" t="str">
        <f aca="false">IF(LEN(BF486)=11,"PF",IF(LEN(BF486)=14,"PJ",""))</f>
        <v/>
      </c>
      <c r="BH486" s="66"/>
      <c r="BI486" s="58" t="str">
        <f aca="false">IF(BH486&lt;&gt;"",VLOOKUP(BH486,Selects!$G:$H,2,0),"")</f>
        <v/>
      </c>
      <c r="BJ486" s="58"/>
      <c r="BK486" s="58"/>
      <c r="BL486" s="59"/>
      <c r="BM486" s="58"/>
      <c r="BN486" s="58"/>
      <c r="BO486" s="58" t="str">
        <f aca="false">IF(BN486&lt;&gt;"",VLOOKUP(BN486,Selects!$J$4:$K$1000,2,0),"")</f>
        <v/>
      </c>
      <c r="BP486" s="76"/>
      <c r="BQ486" s="59"/>
      <c r="BR486" s="77"/>
      <c r="BS486" s="59"/>
      <c r="BT486" s="77"/>
      <c r="BU486" s="58"/>
      <c r="BV486" s="58"/>
      <c r="BW486" s="58"/>
      <c r="BX486" s="58"/>
      <c r="BY486" s="58"/>
      <c r="BZ486" s="58"/>
      <c r="CA486" s="58"/>
      <c r="CB486" s="72" t="str">
        <f aca="false">IF(AC486&lt;&gt;"",VLOOKUP(AC486,Selects!$B:$E,4,0),"")</f>
        <v/>
      </c>
      <c r="CC486" s="58"/>
      <c r="CD486" s="58"/>
      <c r="CE486" s="58"/>
    </row>
    <row r="487" customFormat="false" ht="15.75" hidden="false" customHeight="true" outlineLevel="0" collapsed="false">
      <c r="A487" s="17"/>
      <c r="B487" s="58"/>
      <c r="C487" s="58"/>
      <c r="D487" s="59"/>
      <c r="E487" s="60" t="str">
        <f aca="false">IF(LEN(D487)=11,"PF",IF(LEN(D487)=14,"PJ",""))</f>
        <v/>
      </c>
      <c r="F487" s="59"/>
      <c r="G487" s="59"/>
      <c r="H487" s="61" t="str">
        <f aca="false">IF(G487&lt;&gt;"",VLOOKUP(G487,'Cnae  mcc  id'!$A:$M,9,0),"")</f>
        <v/>
      </c>
      <c r="I487" s="62"/>
      <c r="J487" s="63" t="str">
        <f aca="false">IF(I487&lt;&gt;"",VLOOKUP(I487,'Legal Nature'!$E$2:$G$84,3,0),"")</f>
        <v/>
      </c>
      <c r="K487" s="64"/>
      <c r="L487" s="65"/>
      <c r="M487" s="66"/>
      <c r="N487" s="66"/>
      <c r="O487" s="79"/>
      <c r="P487" s="26"/>
      <c r="Q487" s="58"/>
      <c r="R487" s="58"/>
      <c r="S487" s="80"/>
      <c r="T487" s="68" t="str">
        <f aca="false">IF(LEFT(S487,1)="9","Celular",IF(S487="","","Fixo"))</f>
        <v/>
      </c>
      <c r="U487" s="58" t="str">
        <f aca="false">IF( T487&lt;&gt;"",VLOOKUP(T487,Selects!$M$4:$N$1000,2,0),"")</f>
        <v/>
      </c>
      <c r="V487" s="26"/>
      <c r="W487" s="58"/>
      <c r="X487" s="58"/>
      <c r="Y487" s="58"/>
      <c r="Z487" s="58"/>
      <c r="AA487" s="69"/>
      <c r="AB487" s="58"/>
      <c r="AC487" s="58"/>
      <c r="AD487" s="70" t="str">
        <f aca="false">IF(AC487&lt;&gt;"",VLOOKUP(AC487,Selects!$B$4:$C$100,2,0),"")</f>
        <v/>
      </c>
      <c r="AE487" s="26"/>
      <c r="AF487" s="58"/>
      <c r="AG487" s="59"/>
      <c r="AH487" s="65"/>
      <c r="AI487" s="66"/>
      <c r="AJ487" s="66"/>
      <c r="AK487" s="58"/>
      <c r="AL487" s="58"/>
      <c r="AM487" s="68" t="str">
        <f aca="false">IF(LEFT(AL487,1)="9","Celular",IF(AL487="","","Fixo"))</f>
        <v/>
      </c>
      <c r="AN487" s="58" t="str">
        <f aca="false">IF( AM487&lt;&gt;"",VLOOKUP(AM487,Selects!$M$4:$N$1000,2,0),"")</f>
        <v/>
      </c>
      <c r="AO487" s="58"/>
      <c r="AP487" s="59"/>
      <c r="AQ487" s="65"/>
      <c r="AR487" s="58"/>
      <c r="AS487" s="58"/>
      <c r="AT487" s="26"/>
      <c r="AU487" s="58"/>
      <c r="AV487" s="58"/>
      <c r="AW487" s="58"/>
      <c r="AX487" s="58"/>
      <c r="AY487" s="71"/>
      <c r="AZ487" s="58"/>
      <c r="BA487" s="58"/>
      <c r="BB487" s="72" t="str">
        <f aca="false">IF(BA487&lt;&gt;"",VLOOKUP(BA487,Selects!$B$4:$C$100,2,0),"")</f>
        <v/>
      </c>
      <c r="BC487" s="26"/>
      <c r="BD487" s="26"/>
      <c r="BE487" s="73"/>
      <c r="BF487" s="74"/>
      <c r="BG487" s="75" t="str">
        <f aca="false">IF(LEN(BF487)=11,"PF",IF(LEN(BF487)=14,"PJ",""))</f>
        <v/>
      </c>
      <c r="BH487" s="66"/>
      <c r="BI487" s="58" t="str">
        <f aca="false">IF(BH487&lt;&gt;"",VLOOKUP(BH487,Selects!$G:$H,2,0),"")</f>
        <v/>
      </c>
      <c r="BJ487" s="58"/>
      <c r="BK487" s="58"/>
      <c r="BL487" s="59"/>
      <c r="BM487" s="58"/>
      <c r="BN487" s="58"/>
      <c r="BO487" s="58" t="str">
        <f aca="false">IF(BN487&lt;&gt;"",VLOOKUP(BN487,Selects!$J$4:$K$1000,2,0),"")</f>
        <v/>
      </c>
      <c r="BP487" s="76"/>
      <c r="BQ487" s="59"/>
      <c r="BR487" s="77"/>
      <c r="BS487" s="59"/>
      <c r="BT487" s="77"/>
      <c r="BU487" s="58"/>
      <c r="BV487" s="58"/>
      <c r="BW487" s="58"/>
      <c r="BX487" s="58"/>
      <c r="BY487" s="58"/>
      <c r="BZ487" s="58"/>
      <c r="CA487" s="58"/>
      <c r="CB487" s="72" t="str">
        <f aca="false">IF(AC487&lt;&gt;"",VLOOKUP(AC487,Selects!$B:$E,4,0),"")</f>
        <v/>
      </c>
      <c r="CC487" s="58"/>
      <c r="CD487" s="58"/>
      <c r="CE487" s="58"/>
    </row>
    <row r="488" customFormat="false" ht="15.75" hidden="false" customHeight="true" outlineLevel="0" collapsed="false">
      <c r="A488" s="17"/>
      <c r="B488" s="58"/>
      <c r="C488" s="58"/>
      <c r="D488" s="59"/>
      <c r="E488" s="60" t="str">
        <f aca="false">IF(LEN(D488)=11,"PF",IF(LEN(D488)=14,"PJ",""))</f>
        <v/>
      </c>
      <c r="F488" s="59"/>
      <c r="G488" s="59"/>
      <c r="H488" s="61" t="str">
        <f aca="false">IF(G488&lt;&gt;"",VLOOKUP(G488,'Cnae  mcc  id'!$A:$M,9,0),"")</f>
        <v/>
      </c>
      <c r="I488" s="62"/>
      <c r="J488" s="63" t="str">
        <f aca="false">IF(I488&lt;&gt;"",VLOOKUP(I488,'Legal Nature'!$E$2:$G$84,3,0),"")</f>
        <v/>
      </c>
      <c r="K488" s="64"/>
      <c r="L488" s="65"/>
      <c r="M488" s="66"/>
      <c r="N488" s="66"/>
      <c r="O488" s="79"/>
      <c r="P488" s="26"/>
      <c r="Q488" s="58"/>
      <c r="R488" s="58"/>
      <c r="S488" s="80"/>
      <c r="T488" s="68" t="str">
        <f aca="false">IF(LEFT(S488,1)="9","Celular",IF(S488="","","Fixo"))</f>
        <v/>
      </c>
      <c r="U488" s="58" t="str">
        <f aca="false">IF( T488&lt;&gt;"",VLOOKUP(T488,Selects!$M$4:$N$1000,2,0),"")</f>
        <v/>
      </c>
      <c r="V488" s="26"/>
      <c r="W488" s="58"/>
      <c r="X488" s="58"/>
      <c r="Y488" s="58"/>
      <c r="Z488" s="58"/>
      <c r="AA488" s="69"/>
      <c r="AB488" s="58"/>
      <c r="AC488" s="58"/>
      <c r="AD488" s="70" t="str">
        <f aca="false">IF(AC488&lt;&gt;"",VLOOKUP(AC488,Selects!$B$4:$C$100,2,0),"")</f>
        <v/>
      </c>
      <c r="AE488" s="26"/>
      <c r="AF488" s="58"/>
      <c r="AG488" s="59"/>
      <c r="AH488" s="65"/>
      <c r="AI488" s="66"/>
      <c r="AJ488" s="66"/>
      <c r="AK488" s="58"/>
      <c r="AL488" s="58"/>
      <c r="AM488" s="68" t="str">
        <f aca="false">IF(LEFT(AL488,1)="9","Celular",IF(AL488="","","Fixo"))</f>
        <v/>
      </c>
      <c r="AN488" s="58" t="str">
        <f aca="false">IF( AM488&lt;&gt;"",VLOOKUP(AM488,Selects!$M$4:$N$1000,2,0),"")</f>
        <v/>
      </c>
      <c r="AO488" s="58"/>
      <c r="AP488" s="59"/>
      <c r="AQ488" s="65"/>
      <c r="AR488" s="58"/>
      <c r="AS488" s="58"/>
      <c r="AT488" s="26"/>
      <c r="AU488" s="58"/>
      <c r="AV488" s="58"/>
      <c r="AW488" s="58"/>
      <c r="AX488" s="58"/>
      <c r="AY488" s="71"/>
      <c r="AZ488" s="58"/>
      <c r="BA488" s="58"/>
      <c r="BB488" s="72" t="str">
        <f aca="false">IF(BA488&lt;&gt;"",VLOOKUP(BA488,Selects!$B$4:$C$100,2,0),"")</f>
        <v/>
      </c>
      <c r="BC488" s="26"/>
      <c r="BD488" s="26"/>
      <c r="BE488" s="73"/>
      <c r="BF488" s="74"/>
      <c r="BG488" s="75" t="str">
        <f aca="false">IF(LEN(BF488)=11,"PF",IF(LEN(BF488)=14,"PJ",""))</f>
        <v/>
      </c>
      <c r="BH488" s="66"/>
      <c r="BI488" s="58" t="str">
        <f aca="false">IF(BH488&lt;&gt;"",VLOOKUP(BH488,Selects!$G:$H,2,0),"")</f>
        <v/>
      </c>
      <c r="BJ488" s="58"/>
      <c r="BK488" s="58"/>
      <c r="BL488" s="59"/>
      <c r="BM488" s="58"/>
      <c r="BN488" s="58"/>
      <c r="BO488" s="58" t="str">
        <f aca="false">IF(BN488&lt;&gt;"",VLOOKUP(BN488,Selects!$J$4:$K$1000,2,0),"")</f>
        <v/>
      </c>
      <c r="BP488" s="76"/>
      <c r="BQ488" s="59"/>
      <c r="BR488" s="77"/>
      <c r="BS488" s="59"/>
      <c r="BT488" s="77"/>
      <c r="BU488" s="58"/>
      <c r="BV488" s="58"/>
      <c r="BW488" s="58"/>
      <c r="BX488" s="58"/>
      <c r="BY488" s="58"/>
      <c r="BZ488" s="58"/>
      <c r="CA488" s="58"/>
      <c r="CB488" s="72" t="str">
        <f aca="false">IF(AC488&lt;&gt;"",VLOOKUP(AC488,Selects!$B:$E,4,0),"")</f>
        <v/>
      </c>
      <c r="CC488" s="58"/>
      <c r="CD488" s="58"/>
      <c r="CE488" s="58"/>
    </row>
    <row r="489" customFormat="false" ht="15.75" hidden="false" customHeight="true" outlineLevel="0" collapsed="false">
      <c r="A489" s="17"/>
      <c r="B489" s="58"/>
      <c r="C489" s="58"/>
      <c r="D489" s="59"/>
      <c r="E489" s="60" t="str">
        <f aca="false">IF(LEN(D489)=11,"PF",IF(LEN(D489)=14,"PJ",""))</f>
        <v/>
      </c>
      <c r="F489" s="59"/>
      <c r="G489" s="59"/>
      <c r="H489" s="61" t="str">
        <f aca="false">IF(G489&lt;&gt;"",VLOOKUP(G489,'Cnae  mcc  id'!$A:$M,9,0),"")</f>
        <v/>
      </c>
      <c r="I489" s="62"/>
      <c r="J489" s="63" t="str">
        <f aca="false">IF(I489&lt;&gt;"",VLOOKUP(I489,'Legal Nature'!$E$2:$G$84,3,0),"")</f>
        <v/>
      </c>
      <c r="K489" s="64"/>
      <c r="L489" s="65"/>
      <c r="M489" s="66"/>
      <c r="N489" s="66"/>
      <c r="O489" s="79"/>
      <c r="P489" s="26"/>
      <c r="Q489" s="58"/>
      <c r="R489" s="58"/>
      <c r="S489" s="80"/>
      <c r="T489" s="68" t="str">
        <f aca="false">IF(LEFT(S489,1)="9","Celular",IF(S489="","","Fixo"))</f>
        <v/>
      </c>
      <c r="U489" s="58" t="str">
        <f aca="false">IF( T489&lt;&gt;"",VLOOKUP(T489,Selects!$M$4:$N$1000,2,0),"")</f>
        <v/>
      </c>
      <c r="V489" s="26"/>
      <c r="W489" s="58"/>
      <c r="X489" s="58"/>
      <c r="Y489" s="58"/>
      <c r="Z489" s="58"/>
      <c r="AA489" s="69"/>
      <c r="AB489" s="58"/>
      <c r="AC489" s="58"/>
      <c r="AD489" s="70" t="str">
        <f aca="false">IF(AC489&lt;&gt;"",VLOOKUP(AC489,Selects!$B$4:$C$100,2,0),"")</f>
        <v/>
      </c>
      <c r="AE489" s="26"/>
      <c r="AF489" s="58"/>
      <c r="AG489" s="59"/>
      <c r="AH489" s="65"/>
      <c r="AI489" s="66"/>
      <c r="AJ489" s="66"/>
      <c r="AK489" s="58"/>
      <c r="AL489" s="58"/>
      <c r="AM489" s="68" t="str">
        <f aca="false">IF(LEFT(AL489,1)="9","Celular",IF(AL489="","","Fixo"))</f>
        <v/>
      </c>
      <c r="AN489" s="58" t="str">
        <f aca="false">IF( AM489&lt;&gt;"",VLOOKUP(AM489,Selects!$M$4:$N$1000,2,0),"")</f>
        <v/>
      </c>
      <c r="AO489" s="58"/>
      <c r="AP489" s="59"/>
      <c r="AQ489" s="65"/>
      <c r="AR489" s="58"/>
      <c r="AS489" s="58"/>
      <c r="AT489" s="26"/>
      <c r="AU489" s="58"/>
      <c r="AV489" s="58"/>
      <c r="AW489" s="58"/>
      <c r="AX489" s="58"/>
      <c r="AY489" s="71"/>
      <c r="AZ489" s="58"/>
      <c r="BA489" s="58"/>
      <c r="BB489" s="72" t="str">
        <f aca="false">IF(BA489&lt;&gt;"",VLOOKUP(BA489,Selects!$B$4:$C$100,2,0),"")</f>
        <v/>
      </c>
      <c r="BC489" s="26"/>
      <c r="BD489" s="26"/>
      <c r="BE489" s="73"/>
      <c r="BF489" s="74"/>
      <c r="BG489" s="75" t="str">
        <f aca="false">IF(LEN(BF489)=11,"PF",IF(LEN(BF489)=14,"PJ",""))</f>
        <v/>
      </c>
      <c r="BH489" s="66"/>
      <c r="BI489" s="58" t="str">
        <f aca="false">IF(BH489&lt;&gt;"",VLOOKUP(BH489,Selects!$G:$H,2,0),"")</f>
        <v/>
      </c>
      <c r="BJ489" s="58"/>
      <c r="BK489" s="58"/>
      <c r="BL489" s="59"/>
      <c r="BM489" s="58"/>
      <c r="BN489" s="58"/>
      <c r="BO489" s="58" t="str">
        <f aca="false">IF(BN489&lt;&gt;"",VLOOKUP(BN489,Selects!$J$4:$K$1000,2,0),"")</f>
        <v/>
      </c>
      <c r="BP489" s="76"/>
      <c r="BQ489" s="59"/>
      <c r="BR489" s="77"/>
      <c r="BS489" s="59"/>
      <c r="BT489" s="77"/>
      <c r="BU489" s="58"/>
      <c r="BV489" s="58"/>
      <c r="BW489" s="58"/>
      <c r="BX489" s="58"/>
      <c r="BY489" s="58"/>
      <c r="BZ489" s="58"/>
      <c r="CA489" s="58"/>
      <c r="CB489" s="72" t="str">
        <f aca="false">IF(AC489&lt;&gt;"",VLOOKUP(AC489,Selects!$B:$E,4,0),"")</f>
        <v/>
      </c>
      <c r="CC489" s="58"/>
      <c r="CD489" s="58"/>
      <c r="CE489" s="58"/>
    </row>
    <row r="490" customFormat="false" ht="15.75" hidden="false" customHeight="true" outlineLevel="0" collapsed="false">
      <c r="A490" s="17"/>
      <c r="B490" s="58"/>
      <c r="C490" s="58"/>
      <c r="D490" s="59"/>
      <c r="E490" s="60" t="str">
        <f aca="false">IF(LEN(D490)=11,"PF",IF(LEN(D490)=14,"PJ",""))</f>
        <v/>
      </c>
      <c r="F490" s="59"/>
      <c r="G490" s="59"/>
      <c r="H490" s="61" t="str">
        <f aca="false">IF(G490&lt;&gt;"",VLOOKUP(G490,'Cnae  mcc  id'!$A:$M,9,0),"")</f>
        <v/>
      </c>
      <c r="I490" s="62"/>
      <c r="J490" s="63" t="str">
        <f aca="false">IF(I490&lt;&gt;"",VLOOKUP(I490,'Legal Nature'!$E$2:$G$84,3,0),"")</f>
        <v/>
      </c>
      <c r="K490" s="64"/>
      <c r="L490" s="65"/>
      <c r="M490" s="66"/>
      <c r="N490" s="66"/>
      <c r="O490" s="79"/>
      <c r="P490" s="26"/>
      <c r="Q490" s="58"/>
      <c r="R490" s="58"/>
      <c r="S490" s="80"/>
      <c r="T490" s="68" t="str">
        <f aca="false">IF(LEFT(S490,1)="9","Celular",IF(S490="","","Fixo"))</f>
        <v/>
      </c>
      <c r="U490" s="58" t="str">
        <f aca="false">IF( T490&lt;&gt;"",VLOOKUP(T490,Selects!$M$4:$N$1000,2,0),"")</f>
        <v/>
      </c>
      <c r="V490" s="26"/>
      <c r="W490" s="58"/>
      <c r="X490" s="58"/>
      <c r="Y490" s="58"/>
      <c r="Z490" s="58"/>
      <c r="AA490" s="69"/>
      <c r="AB490" s="58"/>
      <c r="AC490" s="58"/>
      <c r="AD490" s="70" t="str">
        <f aca="false">IF(AC490&lt;&gt;"",VLOOKUP(AC490,Selects!$B$4:$C$100,2,0),"")</f>
        <v/>
      </c>
      <c r="AE490" s="26"/>
      <c r="AF490" s="58"/>
      <c r="AG490" s="59"/>
      <c r="AH490" s="65"/>
      <c r="AI490" s="66"/>
      <c r="AJ490" s="66"/>
      <c r="AK490" s="58"/>
      <c r="AL490" s="58"/>
      <c r="AM490" s="68" t="str">
        <f aca="false">IF(LEFT(AL490,1)="9","Celular",IF(AL490="","","Fixo"))</f>
        <v/>
      </c>
      <c r="AN490" s="58" t="str">
        <f aca="false">IF( AM490&lt;&gt;"",VLOOKUP(AM490,Selects!$M$4:$N$1000,2,0),"")</f>
        <v/>
      </c>
      <c r="AO490" s="58"/>
      <c r="AP490" s="59"/>
      <c r="AQ490" s="65"/>
      <c r="AR490" s="58"/>
      <c r="AS490" s="58"/>
      <c r="AT490" s="26"/>
      <c r="AU490" s="58"/>
      <c r="AV490" s="58"/>
      <c r="AW490" s="58"/>
      <c r="AX490" s="58"/>
      <c r="AY490" s="71"/>
      <c r="AZ490" s="58"/>
      <c r="BA490" s="58"/>
      <c r="BB490" s="72" t="str">
        <f aca="false">IF(BA490&lt;&gt;"",VLOOKUP(BA490,Selects!$B$4:$C$100,2,0),"")</f>
        <v/>
      </c>
      <c r="BC490" s="26"/>
      <c r="BD490" s="26"/>
      <c r="BE490" s="73"/>
      <c r="BF490" s="74"/>
      <c r="BG490" s="75" t="str">
        <f aca="false">IF(LEN(BF490)=11,"PF",IF(LEN(BF490)=14,"PJ",""))</f>
        <v/>
      </c>
      <c r="BH490" s="66"/>
      <c r="BI490" s="58" t="str">
        <f aca="false">IF(BH490&lt;&gt;"",VLOOKUP(BH490,Selects!$G:$H,2,0),"")</f>
        <v/>
      </c>
      <c r="BJ490" s="58"/>
      <c r="BK490" s="58"/>
      <c r="BL490" s="59"/>
      <c r="BM490" s="58"/>
      <c r="BN490" s="58"/>
      <c r="BO490" s="58" t="str">
        <f aca="false">IF(BN490&lt;&gt;"",VLOOKUP(BN490,Selects!$J$4:$K$1000,2,0),"")</f>
        <v/>
      </c>
      <c r="BP490" s="76"/>
      <c r="BQ490" s="59"/>
      <c r="BR490" s="77"/>
      <c r="BS490" s="59"/>
      <c r="BT490" s="77"/>
      <c r="BU490" s="58"/>
      <c r="BV490" s="58"/>
      <c r="BW490" s="58"/>
      <c r="BX490" s="58"/>
      <c r="BY490" s="58"/>
      <c r="BZ490" s="58"/>
      <c r="CA490" s="58"/>
      <c r="CB490" s="72" t="str">
        <f aca="false">IF(AC490&lt;&gt;"",VLOOKUP(AC490,Selects!$B:$E,4,0),"")</f>
        <v/>
      </c>
      <c r="CC490" s="58"/>
      <c r="CD490" s="58"/>
      <c r="CE490" s="58"/>
    </row>
    <row r="491" customFormat="false" ht="15.75" hidden="false" customHeight="true" outlineLevel="0" collapsed="false">
      <c r="A491" s="17"/>
      <c r="B491" s="58"/>
      <c r="C491" s="58"/>
      <c r="D491" s="59"/>
      <c r="E491" s="60" t="str">
        <f aca="false">IF(LEN(D491)=11,"PF",IF(LEN(D491)=14,"PJ",""))</f>
        <v/>
      </c>
      <c r="F491" s="59"/>
      <c r="G491" s="59"/>
      <c r="H491" s="61" t="str">
        <f aca="false">IF(G491&lt;&gt;"",VLOOKUP(G491,'Cnae  mcc  id'!$A:$M,9,0),"")</f>
        <v/>
      </c>
      <c r="I491" s="62"/>
      <c r="J491" s="63" t="str">
        <f aca="false">IF(I491&lt;&gt;"",VLOOKUP(I491,'Legal Nature'!$E$2:$G$84,3,0),"")</f>
        <v/>
      </c>
      <c r="K491" s="64"/>
      <c r="L491" s="65"/>
      <c r="M491" s="66"/>
      <c r="N491" s="66"/>
      <c r="O491" s="79"/>
      <c r="P491" s="26"/>
      <c r="Q491" s="58"/>
      <c r="R491" s="58"/>
      <c r="S491" s="80"/>
      <c r="T491" s="68" t="str">
        <f aca="false">IF(LEFT(S491,1)="9","Celular",IF(S491="","","Fixo"))</f>
        <v/>
      </c>
      <c r="U491" s="58" t="str">
        <f aca="false">IF( T491&lt;&gt;"",VLOOKUP(T491,Selects!$M$4:$N$1000,2,0),"")</f>
        <v/>
      </c>
      <c r="V491" s="26"/>
      <c r="W491" s="58"/>
      <c r="X491" s="58"/>
      <c r="Y491" s="58"/>
      <c r="Z491" s="58"/>
      <c r="AA491" s="69"/>
      <c r="AB491" s="58"/>
      <c r="AC491" s="58"/>
      <c r="AD491" s="70" t="str">
        <f aca="false">IF(AC491&lt;&gt;"",VLOOKUP(AC491,Selects!$B$4:$C$100,2,0),"")</f>
        <v/>
      </c>
      <c r="AE491" s="26"/>
      <c r="AF491" s="58"/>
      <c r="AG491" s="59"/>
      <c r="AH491" s="65"/>
      <c r="AI491" s="66"/>
      <c r="AJ491" s="66"/>
      <c r="AK491" s="58"/>
      <c r="AL491" s="58"/>
      <c r="AM491" s="68" t="str">
        <f aca="false">IF(LEFT(AL491,1)="9","Celular",IF(AL491="","","Fixo"))</f>
        <v/>
      </c>
      <c r="AN491" s="58" t="str">
        <f aca="false">IF( AM491&lt;&gt;"",VLOOKUP(AM491,Selects!$M$4:$N$1000,2,0),"")</f>
        <v/>
      </c>
      <c r="AO491" s="58"/>
      <c r="AP491" s="59"/>
      <c r="AQ491" s="65"/>
      <c r="AR491" s="58"/>
      <c r="AS491" s="58"/>
      <c r="AT491" s="26"/>
      <c r="AU491" s="58"/>
      <c r="AV491" s="58"/>
      <c r="AW491" s="58"/>
      <c r="AX491" s="58"/>
      <c r="AY491" s="71"/>
      <c r="AZ491" s="58"/>
      <c r="BA491" s="58"/>
      <c r="BB491" s="72" t="str">
        <f aca="false">IF(BA491&lt;&gt;"",VLOOKUP(BA491,Selects!$B$4:$C$100,2,0),"")</f>
        <v/>
      </c>
      <c r="BC491" s="26"/>
      <c r="BD491" s="26"/>
      <c r="BE491" s="73"/>
      <c r="BF491" s="74"/>
      <c r="BG491" s="75" t="str">
        <f aca="false">IF(LEN(BF491)=11,"PF",IF(LEN(BF491)=14,"PJ",""))</f>
        <v/>
      </c>
      <c r="BH491" s="66"/>
      <c r="BI491" s="58" t="str">
        <f aca="false">IF(BH491&lt;&gt;"",VLOOKUP(BH491,Selects!$G:$H,2,0),"")</f>
        <v/>
      </c>
      <c r="BJ491" s="58"/>
      <c r="BK491" s="58"/>
      <c r="BL491" s="59"/>
      <c r="BM491" s="58"/>
      <c r="BN491" s="58"/>
      <c r="BO491" s="58" t="str">
        <f aca="false">IF(BN491&lt;&gt;"",VLOOKUP(BN491,Selects!$J$4:$K$1000,2,0),"")</f>
        <v/>
      </c>
      <c r="BP491" s="76"/>
      <c r="BQ491" s="59"/>
      <c r="BR491" s="77"/>
      <c r="BS491" s="59"/>
      <c r="BT491" s="77"/>
      <c r="BU491" s="58"/>
      <c r="BV491" s="58"/>
      <c r="BW491" s="58"/>
      <c r="BX491" s="58"/>
      <c r="BY491" s="58"/>
      <c r="BZ491" s="58"/>
      <c r="CA491" s="58"/>
      <c r="CB491" s="72" t="str">
        <f aca="false">IF(AC491&lt;&gt;"",VLOOKUP(AC491,Selects!$B:$E,4,0),"")</f>
        <v/>
      </c>
      <c r="CC491" s="58"/>
      <c r="CD491" s="58"/>
      <c r="CE491" s="58"/>
    </row>
    <row r="492" customFormat="false" ht="15.75" hidden="false" customHeight="true" outlineLevel="0" collapsed="false">
      <c r="A492" s="17"/>
      <c r="B492" s="58"/>
      <c r="C492" s="58"/>
      <c r="D492" s="59"/>
      <c r="E492" s="60" t="str">
        <f aca="false">IF(LEN(D492)=11,"PF",IF(LEN(D492)=14,"PJ",""))</f>
        <v/>
      </c>
      <c r="F492" s="59"/>
      <c r="G492" s="59"/>
      <c r="H492" s="61" t="str">
        <f aca="false">IF(G492&lt;&gt;"",VLOOKUP(G492,'Cnae  mcc  id'!$A:$M,9,0),"")</f>
        <v/>
      </c>
      <c r="I492" s="62"/>
      <c r="J492" s="63" t="str">
        <f aca="false">IF(I492&lt;&gt;"",VLOOKUP(I492,'Legal Nature'!$E$2:$G$84,3,0),"")</f>
        <v/>
      </c>
      <c r="K492" s="64"/>
      <c r="L492" s="65"/>
      <c r="M492" s="66"/>
      <c r="N492" s="66"/>
      <c r="O492" s="79"/>
      <c r="P492" s="26"/>
      <c r="Q492" s="58"/>
      <c r="R492" s="58"/>
      <c r="S492" s="80"/>
      <c r="T492" s="68" t="str">
        <f aca="false">IF(LEFT(S492,1)="9","Celular",IF(S492="","","Fixo"))</f>
        <v/>
      </c>
      <c r="U492" s="58" t="str">
        <f aca="false">IF( T492&lt;&gt;"",VLOOKUP(T492,Selects!$M$4:$N$1000,2,0),"")</f>
        <v/>
      </c>
      <c r="V492" s="26"/>
      <c r="W492" s="58"/>
      <c r="X492" s="58"/>
      <c r="Y492" s="58"/>
      <c r="Z492" s="58"/>
      <c r="AA492" s="69"/>
      <c r="AB492" s="58"/>
      <c r="AC492" s="58"/>
      <c r="AD492" s="70" t="str">
        <f aca="false">IF(AC492&lt;&gt;"",VLOOKUP(AC492,Selects!$B$4:$C$100,2,0),"")</f>
        <v/>
      </c>
      <c r="AE492" s="26"/>
      <c r="AF492" s="58"/>
      <c r="AG492" s="59"/>
      <c r="AH492" s="65"/>
      <c r="AI492" s="66"/>
      <c r="AJ492" s="66"/>
      <c r="AK492" s="58"/>
      <c r="AL492" s="58"/>
      <c r="AM492" s="68" t="str">
        <f aca="false">IF(LEFT(AL492,1)="9","Celular",IF(AL492="","","Fixo"))</f>
        <v/>
      </c>
      <c r="AN492" s="58" t="str">
        <f aca="false">IF( AM492&lt;&gt;"",VLOOKUP(AM492,Selects!$M$4:$N$1000,2,0),"")</f>
        <v/>
      </c>
      <c r="AO492" s="58"/>
      <c r="AP492" s="59"/>
      <c r="AQ492" s="65"/>
      <c r="AR492" s="58"/>
      <c r="AS492" s="58"/>
      <c r="AT492" s="26"/>
      <c r="AU492" s="58"/>
      <c r="AV492" s="58"/>
      <c r="AW492" s="58"/>
      <c r="AX492" s="58"/>
      <c r="AY492" s="71"/>
      <c r="AZ492" s="58"/>
      <c r="BA492" s="58"/>
      <c r="BB492" s="72" t="str">
        <f aca="false">IF(BA492&lt;&gt;"",VLOOKUP(BA492,Selects!$B$4:$C$100,2,0),"")</f>
        <v/>
      </c>
      <c r="BC492" s="26"/>
      <c r="BD492" s="26"/>
      <c r="BE492" s="73"/>
      <c r="BF492" s="74"/>
      <c r="BG492" s="75" t="str">
        <f aca="false">IF(LEN(BF492)=11,"PF",IF(LEN(BF492)=14,"PJ",""))</f>
        <v/>
      </c>
      <c r="BH492" s="66"/>
      <c r="BI492" s="58" t="str">
        <f aca="false">IF(BH492&lt;&gt;"",VLOOKUP(BH492,Selects!$G:$H,2,0),"")</f>
        <v/>
      </c>
      <c r="BJ492" s="58"/>
      <c r="BK492" s="58"/>
      <c r="BL492" s="59"/>
      <c r="BM492" s="58"/>
      <c r="BN492" s="58"/>
      <c r="BO492" s="58" t="str">
        <f aca="false">IF(BN492&lt;&gt;"",VLOOKUP(BN492,Selects!$J$4:$K$1000,2,0),"")</f>
        <v/>
      </c>
      <c r="BP492" s="76"/>
      <c r="BQ492" s="59"/>
      <c r="BR492" s="77"/>
      <c r="BS492" s="59"/>
      <c r="BT492" s="77"/>
      <c r="BU492" s="58"/>
      <c r="BV492" s="58"/>
      <c r="BW492" s="58"/>
      <c r="BX492" s="58"/>
      <c r="BY492" s="58"/>
      <c r="BZ492" s="58"/>
      <c r="CA492" s="58"/>
      <c r="CB492" s="72" t="str">
        <f aca="false">IF(AC492&lt;&gt;"",VLOOKUP(AC492,Selects!$B:$E,4,0),"")</f>
        <v/>
      </c>
      <c r="CC492" s="58"/>
      <c r="CD492" s="58"/>
      <c r="CE492" s="58"/>
    </row>
    <row r="493" customFormat="false" ht="15.75" hidden="false" customHeight="true" outlineLevel="0" collapsed="false">
      <c r="A493" s="17"/>
      <c r="B493" s="58"/>
      <c r="C493" s="58"/>
      <c r="D493" s="59"/>
      <c r="E493" s="60" t="str">
        <f aca="false">IF(LEN(D493)=11,"PF",IF(LEN(D493)=14,"PJ",""))</f>
        <v/>
      </c>
      <c r="F493" s="59"/>
      <c r="G493" s="59"/>
      <c r="H493" s="61" t="str">
        <f aca="false">IF(G493&lt;&gt;"",VLOOKUP(G493,'Cnae  mcc  id'!$A:$M,9,0),"")</f>
        <v/>
      </c>
      <c r="I493" s="62"/>
      <c r="J493" s="63" t="str">
        <f aca="false">IF(I493&lt;&gt;"",VLOOKUP(I493,'Legal Nature'!$E$2:$G$84,3,0),"")</f>
        <v/>
      </c>
      <c r="K493" s="64"/>
      <c r="L493" s="65"/>
      <c r="M493" s="66"/>
      <c r="N493" s="66"/>
      <c r="O493" s="79"/>
      <c r="P493" s="26"/>
      <c r="Q493" s="58"/>
      <c r="R493" s="58"/>
      <c r="S493" s="80"/>
      <c r="T493" s="68" t="str">
        <f aca="false">IF(LEFT(S493,1)="9","Celular",IF(S493="","","Fixo"))</f>
        <v/>
      </c>
      <c r="U493" s="58" t="str">
        <f aca="false">IF( T493&lt;&gt;"",VLOOKUP(T493,Selects!$M$4:$N$1000,2,0),"")</f>
        <v/>
      </c>
      <c r="V493" s="26"/>
      <c r="W493" s="58"/>
      <c r="X493" s="58"/>
      <c r="Y493" s="58"/>
      <c r="Z493" s="58"/>
      <c r="AA493" s="69"/>
      <c r="AB493" s="58"/>
      <c r="AC493" s="58"/>
      <c r="AD493" s="70" t="str">
        <f aca="false">IF(AC493&lt;&gt;"",VLOOKUP(AC493,Selects!$B$4:$C$100,2,0),"")</f>
        <v/>
      </c>
      <c r="AE493" s="26"/>
      <c r="AF493" s="58"/>
      <c r="AG493" s="59"/>
      <c r="AH493" s="65"/>
      <c r="AI493" s="66"/>
      <c r="AJ493" s="66"/>
      <c r="AK493" s="58"/>
      <c r="AL493" s="58"/>
      <c r="AM493" s="68" t="str">
        <f aca="false">IF(LEFT(AL493,1)="9","Celular",IF(AL493="","","Fixo"))</f>
        <v/>
      </c>
      <c r="AN493" s="58" t="str">
        <f aca="false">IF( AM493&lt;&gt;"",VLOOKUP(AM493,Selects!$M$4:$N$1000,2,0),"")</f>
        <v/>
      </c>
      <c r="AO493" s="58"/>
      <c r="AP493" s="59"/>
      <c r="AQ493" s="65"/>
      <c r="AR493" s="58"/>
      <c r="AS493" s="58"/>
      <c r="AT493" s="26"/>
      <c r="AU493" s="58"/>
      <c r="AV493" s="58"/>
      <c r="AW493" s="58"/>
      <c r="AX493" s="58"/>
      <c r="AY493" s="71"/>
      <c r="AZ493" s="58"/>
      <c r="BA493" s="58"/>
      <c r="BB493" s="72" t="str">
        <f aca="false">IF(BA493&lt;&gt;"",VLOOKUP(BA493,Selects!$B$4:$C$100,2,0),"")</f>
        <v/>
      </c>
      <c r="BC493" s="26"/>
      <c r="BD493" s="26"/>
      <c r="BE493" s="73"/>
      <c r="BF493" s="74"/>
      <c r="BG493" s="75" t="str">
        <f aca="false">IF(LEN(BF493)=11,"PF",IF(LEN(BF493)=14,"PJ",""))</f>
        <v/>
      </c>
      <c r="BH493" s="66"/>
      <c r="BI493" s="58" t="str">
        <f aca="false">IF(BH493&lt;&gt;"",VLOOKUP(BH493,Selects!$G:$H,2,0),"")</f>
        <v/>
      </c>
      <c r="BJ493" s="58"/>
      <c r="BK493" s="58"/>
      <c r="BL493" s="59"/>
      <c r="BM493" s="58"/>
      <c r="BN493" s="58"/>
      <c r="BO493" s="58" t="str">
        <f aca="false">IF(BN493&lt;&gt;"",VLOOKUP(BN493,Selects!$J$4:$K$1000,2,0),"")</f>
        <v/>
      </c>
      <c r="BP493" s="76"/>
      <c r="BQ493" s="59"/>
      <c r="BR493" s="77"/>
      <c r="BS493" s="59"/>
      <c r="BT493" s="77"/>
      <c r="BU493" s="58"/>
      <c r="BV493" s="58"/>
      <c r="BW493" s="58"/>
      <c r="BX493" s="58"/>
      <c r="BY493" s="58"/>
      <c r="BZ493" s="58"/>
      <c r="CA493" s="58"/>
      <c r="CB493" s="72" t="str">
        <f aca="false">IF(AC493&lt;&gt;"",VLOOKUP(AC493,Selects!$B:$E,4,0),"")</f>
        <v/>
      </c>
      <c r="CC493" s="58"/>
      <c r="CD493" s="58"/>
      <c r="CE493" s="58"/>
    </row>
    <row r="494" customFormat="false" ht="15.75" hidden="false" customHeight="true" outlineLevel="0" collapsed="false">
      <c r="A494" s="17"/>
      <c r="B494" s="58"/>
      <c r="C494" s="58"/>
      <c r="D494" s="59"/>
      <c r="E494" s="60" t="str">
        <f aca="false">IF(LEN(D494)=11,"PF",IF(LEN(D494)=14,"PJ",""))</f>
        <v/>
      </c>
      <c r="F494" s="59"/>
      <c r="G494" s="59"/>
      <c r="H494" s="61" t="str">
        <f aca="false">IF(G494&lt;&gt;"",VLOOKUP(G494,'Cnae  mcc  id'!$A:$M,9,0),"")</f>
        <v/>
      </c>
      <c r="I494" s="62"/>
      <c r="J494" s="63" t="str">
        <f aca="false">IF(I494&lt;&gt;"",VLOOKUP(I494,'Legal Nature'!$E$2:$G$84,3,0),"")</f>
        <v/>
      </c>
      <c r="K494" s="64"/>
      <c r="L494" s="65"/>
      <c r="M494" s="66"/>
      <c r="N494" s="66"/>
      <c r="O494" s="79"/>
      <c r="P494" s="26"/>
      <c r="Q494" s="58"/>
      <c r="R494" s="58"/>
      <c r="S494" s="80"/>
      <c r="T494" s="68" t="str">
        <f aca="false">IF(LEFT(S494,1)="9","Celular",IF(S494="","","Fixo"))</f>
        <v/>
      </c>
      <c r="U494" s="58" t="str">
        <f aca="false">IF( T494&lt;&gt;"",VLOOKUP(T494,Selects!$M$4:$N$1000,2,0),"")</f>
        <v/>
      </c>
      <c r="V494" s="26"/>
      <c r="W494" s="58"/>
      <c r="X494" s="58"/>
      <c r="Y494" s="58"/>
      <c r="Z494" s="58"/>
      <c r="AA494" s="69"/>
      <c r="AB494" s="58"/>
      <c r="AC494" s="58"/>
      <c r="AD494" s="70" t="str">
        <f aca="false">IF(AC494&lt;&gt;"",VLOOKUP(AC494,Selects!$B$4:$C$100,2,0),"")</f>
        <v/>
      </c>
      <c r="AE494" s="26"/>
      <c r="AF494" s="58"/>
      <c r="AG494" s="59"/>
      <c r="AH494" s="65"/>
      <c r="AI494" s="66"/>
      <c r="AJ494" s="66"/>
      <c r="AK494" s="58"/>
      <c r="AL494" s="58"/>
      <c r="AM494" s="68" t="str">
        <f aca="false">IF(LEFT(AL494,1)="9","Celular",IF(AL494="","","Fixo"))</f>
        <v/>
      </c>
      <c r="AN494" s="58" t="str">
        <f aca="false">IF( AM494&lt;&gt;"",VLOOKUP(AM494,Selects!$M$4:$N$1000,2,0),"")</f>
        <v/>
      </c>
      <c r="AO494" s="58"/>
      <c r="AP494" s="59"/>
      <c r="AQ494" s="65"/>
      <c r="AR494" s="58"/>
      <c r="AS494" s="58"/>
      <c r="AT494" s="26"/>
      <c r="AU494" s="58"/>
      <c r="AV494" s="58"/>
      <c r="AW494" s="58"/>
      <c r="AX494" s="58"/>
      <c r="AY494" s="71"/>
      <c r="AZ494" s="58"/>
      <c r="BA494" s="58"/>
      <c r="BB494" s="72" t="str">
        <f aca="false">IF(BA494&lt;&gt;"",VLOOKUP(BA494,Selects!$B$4:$C$100,2,0),"")</f>
        <v/>
      </c>
      <c r="BC494" s="26"/>
      <c r="BD494" s="26"/>
      <c r="BE494" s="73"/>
      <c r="BF494" s="74"/>
      <c r="BG494" s="75" t="str">
        <f aca="false">IF(LEN(BF494)=11,"PF",IF(LEN(BF494)=14,"PJ",""))</f>
        <v/>
      </c>
      <c r="BH494" s="66"/>
      <c r="BI494" s="58" t="str">
        <f aca="false">IF(BH494&lt;&gt;"",VLOOKUP(BH494,Selects!$G:$H,2,0),"")</f>
        <v/>
      </c>
      <c r="BJ494" s="58"/>
      <c r="BK494" s="58"/>
      <c r="BL494" s="59"/>
      <c r="BM494" s="58"/>
      <c r="BN494" s="58"/>
      <c r="BO494" s="58" t="str">
        <f aca="false">IF(BN494&lt;&gt;"",VLOOKUP(BN494,Selects!$J$4:$K$1000,2,0),"")</f>
        <v/>
      </c>
      <c r="BP494" s="76"/>
      <c r="BQ494" s="59"/>
      <c r="BR494" s="77"/>
      <c r="BS494" s="59"/>
      <c r="BT494" s="77"/>
      <c r="BU494" s="58"/>
      <c r="BV494" s="58"/>
      <c r="BW494" s="58"/>
      <c r="BX494" s="58"/>
      <c r="BY494" s="58"/>
      <c r="BZ494" s="58"/>
      <c r="CA494" s="58"/>
      <c r="CB494" s="72" t="str">
        <f aca="false">IF(AC494&lt;&gt;"",VLOOKUP(AC494,Selects!$B:$E,4,0),"")</f>
        <v/>
      </c>
      <c r="CC494" s="58"/>
      <c r="CD494" s="58"/>
      <c r="CE494" s="58"/>
    </row>
    <row r="495" customFormat="false" ht="15.75" hidden="false" customHeight="true" outlineLevel="0" collapsed="false">
      <c r="A495" s="17"/>
      <c r="B495" s="58"/>
      <c r="C495" s="58"/>
      <c r="D495" s="59"/>
      <c r="E495" s="60" t="str">
        <f aca="false">IF(LEN(D495)=11,"PF",IF(LEN(D495)=14,"PJ",""))</f>
        <v/>
      </c>
      <c r="F495" s="59"/>
      <c r="G495" s="59"/>
      <c r="H495" s="61" t="str">
        <f aca="false">IF(G495&lt;&gt;"",VLOOKUP(G495,'Cnae  mcc  id'!$A:$M,9,0),"")</f>
        <v/>
      </c>
      <c r="I495" s="62"/>
      <c r="J495" s="63" t="str">
        <f aca="false">IF(I495&lt;&gt;"",VLOOKUP(I495,'Legal Nature'!$E$2:$G$84,3,0),"")</f>
        <v/>
      </c>
      <c r="K495" s="64"/>
      <c r="L495" s="65"/>
      <c r="M495" s="66"/>
      <c r="N495" s="66"/>
      <c r="O495" s="79"/>
      <c r="P495" s="26"/>
      <c r="Q495" s="58"/>
      <c r="R495" s="58"/>
      <c r="S495" s="80"/>
      <c r="T495" s="68" t="str">
        <f aca="false">IF(LEFT(S495,1)="9","Celular",IF(S495="","","Fixo"))</f>
        <v/>
      </c>
      <c r="U495" s="58" t="str">
        <f aca="false">IF( T495&lt;&gt;"",VLOOKUP(T495,Selects!$M$4:$N$1000,2,0),"")</f>
        <v/>
      </c>
      <c r="V495" s="26"/>
      <c r="W495" s="58"/>
      <c r="X495" s="58"/>
      <c r="Y495" s="58"/>
      <c r="Z495" s="58"/>
      <c r="AA495" s="69"/>
      <c r="AB495" s="58"/>
      <c r="AC495" s="58"/>
      <c r="AD495" s="70" t="str">
        <f aca="false">IF(AC495&lt;&gt;"",VLOOKUP(AC495,Selects!$B$4:$C$100,2,0),"")</f>
        <v/>
      </c>
      <c r="AE495" s="26"/>
      <c r="AF495" s="58"/>
      <c r="AG495" s="59"/>
      <c r="AH495" s="65"/>
      <c r="AI495" s="66"/>
      <c r="AJ495" s="66"/>
      <c r="AK495" s="58"/>
      <c r="AL495" s="58"/>
      <c r="AM495" s="68" t="str">
        <f aca="false">IF(LEFT(AL495,1)="9","Celular",IF(AL495="","","Fixo"))</f>
        <v/>
      </c>
      <c r="AN495" s="58" t="str">
        <f aca="false">IF( AM495&lt;&gt;"",VLOOKUP(AM495,Selects!$M$4:$N$1000,2,0),"")</f>
        <v/>
      </c>
      <c r="AO495" s="58"/>
      <c r="AP495" s="59"/>
      <c r="AQ495" s="65"/>
      <c r="AR495" s="58"/>
      <c r="AS495" s="58"/>
      <c r="AT495" s="26"/>
      <c r="AU495" s="58"/>
      <c r="AV495" s="58"/>
      <c r="AW495" s="58"/>
      <c r="AX495" s="58"/>
      <c r="AY495" s="71"/>
      <c r="AZ495" s="58"/>
      <c r="BA495" s="58"/>
      <c r="BB495" s="72" t="str">
        <f aca="false">IF(BA495&lt;&gt;"",VLOOKUP(BA495,Selects!$B$4:$C$100,2,0),"")</f>
        <v/>
      </c>
      <c r="BC495" s="26"/>
      <c r="BD495" s="26"/>
      <c r="BE495" s="73"/>
      <c r="BF495" s="74"/>
      <c r="BG495" s="75" t="str">
        <f aca="false">IF(LEN(BF495)=11,"PF",IF(LEN(BF495)=14,"PJ",""))</f>
        <v/>
      </c>
      <c r="BH495" s="66"/>
      <c r="BI495" s="58" t="str">
        <f aca="false">IF(BH495&lt;&gt;"",VLOOKUP(BH495,Selects!$G:$H,2,0),"")</f>
        <v/>
      </c>
      <c r="BJ495" s="58"/>
      <c r="BK495" s="58"/>
      <c r="BL495" s="59"/>
      <c r="BM495" s="58"/>
      <c r="BN495" s="58"/>
      <c r="BO495" s="58" t="str">
        <f aca="false">IF(BN495&lt;&gt;"",VLOOKUP(BN495,Selects!$J$4:$K$1000,2,0),"")</f>
        <v/>
      </c>
      <c r="BP495" s="76"/>
      <c r="BQ495" s="59"/>
      <c r="BR495" s="77"/>
      <c r="BS495" s="59"/>
      <c r="BT495" s="77"/>
      <c r="BU495" s="58"/>
      <c r="BV495" s="58"/>
      <c r="BW495" s="58"/>
      <c r="BX495" s="58"/>
      <c r="BY495" s="58"/>
      <c r="BZ495" s="58"/>
      <c r="CA495" s="58"/>
      <c r="CB495" s="72" t="str">
        <f aca="false">IF(AC495&lt;&gt;"",VLOOKUP(AC495,Selects!$B:$E,4,0),"")</f>
        <v/>
      </c>
      <c r="CC495" s="58"/>
      <c r="CD495" s="58"/>
      <c r="CE495" s="58"/>
    </row>
    <row r="496" customFormat="false" ht="15.75" hidden="false" customHeight="true" outlineLevel="0" collapsed="false">
      <c r="A496" s="17"/>
      <c r="B496" s="58"/>
      <c r="C496" s="58"/>
      <c r="D496" s="59"/>
      <c r="E496" s="60" t="str">
        <f aca="false">IF(LEN(D496)=11,"PF",IF(LEN(D496)=14,"PJ",""))</f>
        <v/>
      </c>
      <c r="F496" s="59"/>
      <c r="G496" s="59"/>
      <c r="H496" s="61" t="str">
        <f aca="false">IF(G496&lt;&gt;"",VLOOKUP(G496,'Cnae  mcc  id'!$A:$M,9,0),"")</f>
        <v/>
      </c>
      <c r="I496" s="62"/>
      <c r="J496" s="63" t="str">
        <f aca="false">IF(I496&lt;&gt;"",VLOOKUP(I496,'Legal Nature'!$E$2:$G$84,3,0),"")</f>
        <v/>
      </c>
      <c r="K496" s="64"/>
      <c r="L496" s="65"/>
      <c r="M496" s="66"/>
      <c r="N496" s="66"/>
      <c r="O496" s="79"/>
      <c r="P496" s="26"/>
      <c r="Q496" s="58"/>
      <c r="R496" s="58"/>
      <c r="S496" s="80"/>
      <c r="T496" s="68" t="str">
        <f aca="false">IF(LEFT(S496,1)="9","Celular",IF(S496="","","Fixo"))</f>
        <v/>
      </c>
      <c r="U496" s="58" t="str">
        <f aca="false">IF( T496&lt;&gt;"",VLOOKUP(T496,Selects!$M$4:$N$1000,2,0),"")</f>
        <v/>
      </c>
      <c r="V496" s="26"/>
      <c r="W496" s="58"/>
      <c r="X496" s="58"/>
      <c r="Y496" s="58"/>
      <c r="Z496" s="58"/>
      <c r="AA496" s="69"/>
      <c r="AB496" s="58"/>
      <c r="AC496" s="58"/>
      <c r="AD496" s="70" t="str">
        <f aca="false">IF(AC496&lt;&gt;"",VLOOKUP(AC496,Selects!$B$4:$C$100,2,0),"")</f>
        <v/>
      </c>
      <c r="AE496" s="26"/>
      <c r="AF496" s="58"/>
      <c r="AG496" s="59"/>
      <c r="AH496" s="65"/>
      <c r="AI496" s="66"/>
      <c r="AJ496" s="66"/>
      <c r="AK496" s="58"/>
      <c r="AL496" s="58"/>
      <c r="AM496" s="68" t="str">
        <f aca="false">IF(LEFT(AL496,1)="9","Celular",IF(AL496="","","Fixo"))</f>
        <v/>
      </c>
      <c r="AN496" s="58" t="str">
        <f aca="false">IF( AM496&lt;&gt;"",VLOOKUP(AM496,Selects!$M$4:$N$1000,2,0),"")</f>
        <v/>
      </c>
      <c r="AO496" s="58"/>
      <c r="AP496" s="59"/>
      <c r="AQ496" s="65"/>
      <c r="AR496" s="58"/>
      <c r="AS496" s="58"/>
      <c r="AT496" s="26"/>
      <c r="AU496" s="58"/>
      <c r="AV496" s="58"/>
      <c r="AW496" s="58"/>
      <c r="AX496" s="58"/>
      <c r="AY496" s="71"/>
      <c r="AZ496" s="58"/>
      <c r="BA496" s="58"/>
      <c r="BB496" s="72" t="str">
        <f aca="false">IF(BA496&lt;&gt;"",VLOOKUP(BA496,Selects!$B$4:$C$100,2,0),"")</f>
        <v/>
      </c>
      <c r="BC496" s="26"/>
      <c r="BD496" s="26"/>
      <c r="BE496" s="73"/>
      <c r="BF496" s="74"/>
      <c r="BG496" s="75" t="str">
        <f aca="false">IF(LEN(BF496)=11,"PF",IF(LEN(BF496)=14,"PJ",""))</f>
        <v/>
      </c>
      <c r="BH496" s="66"/>
      <c r="BI496" s="58" t="str">
        <f aca="false">IF(BH496&lt;&gt;"",VLOOKUP(BH496,Selects!$G:$H,2,0),"")</f>
        <v/>
      </c>
      <c r="BJ496" s="58"/>
      <c r="BK496" s="58"/>
      <c r="BL496" s="59"/>
      <c r="BM496" s="58"/>
      <c r="BN496" s="58"/>
      <c r="BO496" s="58" t="str">
        <f aca="false">IF(BN496&lt;&gt;"",VLOOKUP(BN496,Selects!$J$4:$K$1000,2,0),"")</f>
        <v/>
      </c>
      <c r="BP496" s="76"/>
      <c r="BQ496" s="59"/>
      <c r="BR496" s="77"/>
      <c r="BS496" s="59"/>
      <c r="BT496" s="77"/>
      <c r="BU496" s="58"/>
      <c r="BV496" s="58"/>
      <c r="BW496" s="58"/>
      <c r="BX496" s="58"/>
      <c r="BY496" s="58"/>
      <c r="BZ496" s="58"/>
      <c r="CA496" s="58"/>
      <c r="CB496" s="72" t="str">
        <f aca="false">IF(AC496&lt;&gt;"",VLOOKUP(AC496,Selects!$B:$E,4,0),"")</f>
        <v/>
      </c>
      <c r="CC496" s="58"/>
      <c r="CD496" s="58"/>
      <c r="CE496" s="58"/>
    </row>
    <row r="497" customFormat="false" ht="15.75" hidden="false" customHeight="true" outlineLevel="0" collapsed="false">
      <c r="A497" s="17"/>
      <c r="B497" s="58"/>
      <c r="C497" s="58"/>
      <c r="D497" s="59"/>
      <c r="E497" s="60" t="str">
        <f aca="false">IF(LEN(D497)=11,"PF",IF(LEN(D497)=14,"PJ",""))</f>
        <v/>
      </c>
      <c r="F497" s="59"/>
      <c r="G497" s="59"/>
      <c r="H497" s="61" t="str">
        <f aca="false">IF(G497&lt;&gt;"",VLOOKUP(G497,'Cnae  mcc  id'!$A:$M,9,0),"")</f>
        <v/>
      </c>
      <c r="I497" s="62"/>
      <c r="J497" s="63" t="str">
        <f aca="false">IF(I497&lt;&gt;"",VLOOKUP(I497,'Legal Nature'!$E$2:$G$84,3,0),"")</f>
        <v/>
      </c>
      <c r="K497" s="64"/>
      <c r="L497" s="65"/>
      <c r="M497" s="66"/>
      <c r="N497" s="66"/>
      <c r="O497" s="79"/>
      <c r="P497" s="26"/>
      <c r="Q497" s="58"/>
      <c r="R497" s="58"/>
      <c r="S497" s="80"/>
      <c r="T497" s="68" t="str">
        <f aca="false">IF(LEFT(S497,1)="9","Celular",IF(S497="","","Fixo"))</f>
        <v/>
      </c>
      <c r="U497" s="58" t="str">
        <f aca="false">IF( T497&lt;&gt;"",VLOOKUP(T497,Selects!$M$4:$N$1000,2,0),"")</f>
        <v/>
      </c>
      <c r="V497" s="26"/>
      <c r="W497" s="58"/>
      <c r="X497" s="58"/>
      <c r="Y497" s="58"/>
      <c r="Z497" s="58"/>
      <c r="AA497" s="69"/>
      <c r="AB497" s="58"/>
      <c r="AC497" s="58"/>
      <c r="AD497" s="70" t="str">
        <f aca="false">IF(AC497&lt;&gt;"",VLOOKUP(AC497,Selects!$B$4:$C$100,2,0),"")</f>
        <v/>
      </c>
      <c r="AE497" s="26"/>
      <c r="AF497" s="58"/>
      <c r="AG497" s="59"/>
      <c r="AH497" s="65"/>
      <c r="AI497" s="66"/>
      <c r="AJ497" s="66"/>
      <c r="AK497" s="58"/>
      <c r="AL497" s="58"/>
      <c r="AM497" s="68" t="str">
        <f aca="false">IF(LEFT(AL497,1)="9","Celular",IF(AL497="","","Fixo"))</f>
        <v/>
      </c>
      <c r="AN497" s="58" t="str">
        <f aca="false">IF( AM497&lt;&gt;"",VLOOKUP(AM497,Selects!$M$4:$N$1000,2,0),"")</f>
        <v/>
      </c>
      <c r="AO497" s="58"/>
      <c r="AP497" s="59"/>
      <c r="AQ497" s="65"/>
      <c r="AR497" s="58"/>
      <c r="AS497" s="58"/>
      <c r="AT497" s="26"/>
      <c r="AU497" s="58"/>
      <c r="AV497" s="58"/>
      <c r="AW497" s="58"/>
      <c r="AX497" s="58"/>
      <c r="AY497" s="71"/>
      <c r="AZ497" s="58"/>
      <c r="BA497" s="58"/>
      <c r="BB497" s="72" t="str">
        <f aca="false">IF(BA497&lt;&gt;"",VLOOKUP(BA497,Selects!$B$4:$C$100,2,0),"")</f>
        <v/>
      </c>
      <c r="BC497" s="26"/>
      <c r="BD497" s="26"/>
      <c r="BE497" s="73"/>
      <c r="BF497" s="74"/>
      <c r="BG497" s="75" t="str">
        <f aca="false">IF(LEN(BF497)=11,"PF",IF(LEN(BF497)=14,"PJ",""))</f>
        <v/>
      </c>
      <c r="BH497" s="66"/>
      <c r="BI497" s="58" t="str">
        <f aca="false">IF(BH497&lt;&gt;"",VLOOKUP(BH497,Selects!$G:$H,2,0),"")</f>
        <v/>
      </c>
      <c r="BJ497" s="58"/>
      <c r="BK497" s="58"/>
      <c r="BL497" s="59"/>
      <c r="BM497" s="58"/>
      <c r="BN497" s="58"/>
      <c r="BO497" s="58" t="str">
        <f aca="false">IF(BN497&lt;&gt;"",VLOOKUP(BN497,Selects!$J$4:$K$1000,2,0),"")</f>
        <v/>
      </c>
      <c r="BP497" s="76"/>
      <c r="BQ497" s="59"/>
      <c r="BR497" s="77"/>
      <c r="BS497" s="59"/>
      <c r="BT497" s="77"/>
      <c r="BU497" s="58"/>
      <c r="BV497" s="58"/>
      <c r="BW497" s="58"/>
      <c r="BX497" s="58"/>
      <c r="BY497" s="58"/>
      <c r="BZ497" s="58"/>
      <c r="CA497" s="58"/>
      <c r="CB497" s="72" t="str">
        <f aca="false">IF(AC497&lt;&gt;"",VLOOKUP(AC497,Selects!$B:$E,4,0),"")</f>
        <v/>
      </c>
      <c r="CC497" s="58"/>
      <c r="CD497" s="58"/>
      <c r="CE497" s="58"/>
    </row>
    <row r="498" customFormat="false" ht="15.75" hidden="false" customHeight="true" outlineLevel="0" collapsed="false">
      <c r="A498" s="17"/>
      <c r="B498" s="58"/>
      <c r="C498" s="58"/>
      <c r="D498" s="59"/>
      <c r="E498" s="60" t="str">
        <f aca="false">IF(LEN(D498)=11,"PF",IF(LEN(D498)=14,"PJ",""))</f>
        <v/>
      </c>
      <c r="F498" s="59"/>
      <c r="G498" s="59"/>
      <c r="H498" s="61" t="str">
        <f aca="false">IF(G498&lt;&gt;"",VLOOKUP(G498,'Cnae  mcc  id'!$A:$M,9,0),"")</f>
        <v/>
      </c>
      <c r="I498" s="62"/>
      <c r="J498" s="63" t="str">
        <f aca="false">IF(I498&lt;&gt;"",VLOOKUP(I498,'Legal Nature'!$E$2:$G$84,3,0),"")</f>
        <v/>
      </c>
      <c r="K498" s="64"/>
      <c r="L498" s="65"/>
      <c r="M498" s="66"/>
      <c r="N498" s="66"/>
      <c r="O498" s="79"/>
      <c r="P498" s="26"/>
      <c r="Q498" s="58"/>
      <c r="R498" s="58"/>
      <c r="S498" s="80"/>
      <c r="T498" s="68" t="str">
        <f aca="false">IF(LEFT(S498,1)="9","Celular",IF(S498="","","Fixo"))</f>
        <v/>
      </c>
      <c r="U498" s="58" t="str">
        <f aca="false">IF( T498&lt;&gt;"",VLOOKUP(T498,Selects!$M$4:$N$1000,2,0),"")</f>
        <v/>
      </c>
      <c r="V498" s="26"/>
      <c r="W498" s="58"/>
      <c r="X498" s="58"/>
      <c r="Y498" s="58"/>
      <c r="Z498" s="58"/>
      <c r="AA498" s="69"/>
      <c r="AB498" s="58"/>
      <c r="AC498" s="58"/>
      <c r="AD498" s="70" t="str">
        <f aca="false">IF(AC498&lt;&gt;"",VLOOKUP(AC498,Selects!$B$4:$C$100,2,0),"")</f>
        <v/>
      </c>
      <c r="AE498" s="26"/>
      <c r="AF498" s="58"/>
      <c r="AG498" s="59"/>
      <c r="AH498" s="65"/>
      <c r="AI498" s="66"/>
      <c r="AJ498" s="66"/>
      <c r="AK498" s="58"/>
      <c r="AL498" s="58"/>
      <c r="AM498" s="68" t="str">
        <f aca="false">IF(LEFT(AL498,1)="9","Celular",IF(AL498="","","Fixo"))</f>
        <v/>
      </c>
      <c r="AN498" s="58" t="str">
        <f aca="false">IF( AM498&lt;&gt;"",VLOOKUP(AM498,Selects!$M$4:$N$1000,2,0),"")</f>
        <v/>
      </c>
      <c r="AO498" s="58"/>
      <c r="AP498" s="59"/>
      <c r="AQ498" s="65"/>
      <c r="AR498" s="58"/>
      <c r="AS498" s="58"/>
      <c r="AT498" s="26"/>
      <c r="AU498" s="58"/>
      <c r="AV498" s="58"/>
      <c r="AW498" s="58"/>
      <c r="AX498" s="58"/>
      <c r="AY498" s="71"/>
      <c r="AZ498" s="58"/>
      <c r="BA498" s="58"/>
      <c r="BB498" s="72" t="str">
        <f aca="false">IF(BA498&lt;&gt;"",VLOOKUP(BA498,Selects!$B$4:$C$100,2,0),"")</f>
        <v/>
      </c>
      <c r="BC498" s="26"/>
      <c r="BD498" s="26"/>
      <c r="BE498" s="73"/>
      <c r="BF498" s="74"/>
      <c r="BG498" s="75" t="str">
        <f aca="false">IF(LEN(BF498)=11,"PF",IF(LEN(BF498)=14,"PJ",""))</f>
        <v/>
      </c>
      <c r="BH498" s="66"/>
      <c r="BI498" s="58" t="str">
        <f aca="false">IF(BH498&lt;&gt;"",VLOOKUP(BH498,Selects!$G:$H,2,0),"")</f>
        <v/>
      </c>
      <c r="BJ498" s="58"/>
      <c r="BK498" s="58"/>
      <c r="BL498" s="59"/>
      <c r="BM498" s="58"/>
      <c r="BN498" s="58"/>
      <c r="BO498" s="58" t="str">
        <f aca="false">IF(BN498&lt;&gt;"",VLOOKUP(BN498,Selects!$J$4:$K$1000,2,0),"")</f>
        <v/>
      </c>
      <c r="BP498" s="76"/>
      <c r="BQ498" s="59"/>
      <c r="BR498" s="77"/>
      <c r="BS498" s="59"/>
      <c r="BT498" s="77"/>
      <c r="BU498" s="58"/>
      <c r="BV498" s="58"/>
      <c r="BW498" s="58"/>
      <c r="BX498" s="58"/>
      <c r="BY498" s="58"/>
      <c r="BZ498" s="58"/>
      <c r="CA498" s="58"/>
      <c r="CB498" s="72" t="str">
        <f aca="false">IF(AC498&lt;&gt;"",VLOOKUP(AC498,Selects!$B:$E,4,0),"")</f>
        <v/>
      </c>
      <c r="CC498" s="58"/>
      <c r="CD498" s="58"/>
      <c r="CE498" s="58"/>
    </row>
    <row r="499" customFormat="false" ht="15.75" hidden="false" customHeight="true" outlineLevel="0" collapsed="false">
      <c r="A499" s="17"/>
      <c r="B499" s="58"/>
      <c r="C499" s="58"/>
      <c r="D499" s="59"/>
      <c r="E499" s="60" t="str">
        <f aca="false">IF(LEN(D499)=11,"PF",IF(LEN(D499)=14,"PJ",""))</f>
        <v/>
      </c>
      <c r="F499" s="59"/>
      <c r="G499" s="59"/>
      <c r="H499" s="61" t="str">
        <f aca="false">IF(G499&lt;&gt;"",VLOOKUP(G499,'Cnae  mcc  id'!$A:$M,9,0),"")</f>
        <v/>
      </c>
      <c r="I499" s="62"/>
      <c r="J499" s="63" t="str">
        <f aca="false">IF(I499&lt;&gt;"",VLOOKUP(I499,'Legal Nature'!$E$2:$G$84,3,0),"")</f>
        <v/>
      </c>
      <c r="K499" s="64"/>
      <c r="L499" s="65"/>
      <c r="M499" s="66"/>
      <c r="N499" s="66"/>
      <c r="O499" s="79"/>
      <c r="P499" s="26"/>
      <c r="Q499" s="58"/>
      <c r="R499" s="58"/>
      <c r="S499" s="80"/>
      <c r="T499" s="68" t="str">
        <f aca="false">IF(LEFT(S499,1)="9","Celular",IF(S499="","","Fixo"))</f>
        <v/>
      </c>
      <c r="U499" s="58" t="str">
        <f aca="false">IF( T499&lt;&gt;"",VLOOKUP(T499,Selects!$M$4:$N$1000,2,0),"")</f>
        <v/>
      </c>
      <c r="V499" s="26"/>
      <c r="W499" s="58"/>
      <c r="X499" s="58"/>
      <c r="Y499" s="58"/>
      <c r="Z499" s="58"/>
      <c r="AA499" s="69"/>
      <c r="AB499" s="58"/>
      <c r="AC499" s="58"/>
      <c r="AD499" s="70" t="str">
        <f aca="false">IF(AC499&lt;&gt;"",VLOOKUP(AC499,Selects!$B$4:$C$100,2,0),"")</f>
        <v/>
      </c>
      <c r="AE499" s="26"/>
      <c r="AF499" s="58"/>
      <c r="AG499" s="59"/>
      <c r="AH499" s="65"/>
      <c r="AI499" s="66"/>
      <c r="AJ499" s="66"/>
      <c r="AK499" s="58"/>
      <c r="AL499" s="58"/>
      <c r="AM499" s="68" t="str">
        <f aca="false">IF(LEFT(AL499,1)="9","Celular",IF(AL499="","","Fixo"))</f>
        <v/>
      </c>
      <c r="AN499" s="58" t="str">
        <f aca="false">IF( AM499&lt;&gt;"",VLOOKUP(AM499,Selects!$M$4:$N$1000,2,0),"")</f>
        <v/>
      </c>
      <c r="AO499" s="58"/>
      <c r="AP499" s="59"/>
      <c r="AQ499" s="65"/>
      <c r="AR499" s="58"/>
      <c r="AS499" s="58"/>
      <c r="AT499" s="26"/>
      <c r="AU499" s="58"/>
      <c r="AV499" s="58"/>
      <c r="AW499" s="58"/>
      <c r="AX499" s="58"/>
      <c r="AY499" s="71"/>
      <c r="AZ499" s="58"/>
      <c r="BA499" s="58"/>
      <c r="BB499" s="72" t="str">
        <f aca="false">IF(BA499&lt;&gt;"",VLOOKUP(BA499,Selects!$B$4:$C$100,2,0),"")</f>
        <v/>
      </c>
      <c r="BC499" s="26"/>
      <c r="BD499" s="26"/>
      <c r="BE499" s="73"/>
      <c r="BF499" s="74"/>
      <c r="BG499" s="75" t="str">
        <f aca="false">IF(LEN(BF499)=11,"PF",IF(LEN(BF499)=14,"PJ",""))</f>
        <v/>
      </c>
      <c r="BH499" s="66"/>
      <c r="BI499" s="58" t="str">
        <f aca="false">IF(BH499&lt;&gt;"",VLOOKUP(BH499,Selects!$G:$H,2,0),"")</f>
        <v/>
      </c>
      <c r="BJ499" s="58"/>
      <c r="BK499" s="58"/>
      <c r="BL499" s="59"/>
      <c r="BM499" s="58"/>
      <c r="BN499" s="58"/>
      <c r="BO499" s="58" t="str">
        <f aca="false">IF(BN499&lt;&gt;"",VLOOKUP(BN499,Selects!$J$4:$K$1000,2,0),"")</f>
        <v/>
      </c>
      <c r="BP499" s="76"/>
      <c r="BQ499" s="59"/>
      <c r="BR499" s="77"/>
      <c r="BS499" s="59"/>
      <c r="BT499" s="77"/>
      <c r="BU499" s="58"/>
      <c r="BV499" s="58"/>
      <c r="BW499" s="58"/>
      <c r="BX499" s="58"/>
      <c r="BY499" s="58"/>
      <c r="BZ499" s="58"/>
      <c r="CA499" s="58"/>
      <c r="CB499" s="72" t="str">
        <f aca="false">IF(AC499&lt;&gt;"",VLOOKUP(AC499,Selects!$B:$E,4,0),"")</f>
        <v/>
      </c>
      <c r="CC499" s="58"/>
      <c r="CD499" s="58"/>
      <c r="CE499" s="58"/>
    </row>
    <row r="500" customFormat="false" ht="15.75" hidden="false" customHeight="true" outlineLevel="0" collapsed="false">
      <c r="A500" s="17"/>
      <c r="B500" s="58"/>
      <c r="C500" s="58"/>
      <c r="D500" s="59"/>
      <c r="E500" s="60" t="str">
        <f aca="false">IF(LEN(D500)=11,"PF",IF(LEN(D500)=14,"PJ",""))</f>
        <v/>
      </c>
      <c r="F500" s="59"/>
      <c r="G500" s="59"/>
      <c r="H500" s="61" t="str">
        <f aca="false">IF(G500&lt;&gt;"",VLOOKUP(G500,'Cnae  mcc  id'!$A:$M,9,0),"")</f>
        <v/>
      </c>
      <c r="I500" s="62"/>
      <c r="J500" s="63" t="str">
        <f aca="false">IF(I500&lt;&gt;"",VLOOKUP(I500,'Legal Nature'!$E$2:$G$84,3,0),"")</f>
        <v/>
      </c>
      <c r="K500" s="64"/>
      <c r="L500" s="65"/>
      <c r="M500" s="66"/>
      <c r="N500" s="66"/>
      <c r="O500" s="79"/>
      <c r="P500" s="26"/>
      <c r="Q500" s="58"/>
      <c r="R500" s="58"/>
      <c r="S500" s="80"/>
      <c r="T500" s="68" t="str">
        <f aca="false">IF(LEFT(S500,1)="9","Celular",IF(S500="","","Fixo"))</f>
        <v/>
      </c>
      <c r="U500" s="58" t="str">
        <f aca="false">IF( T500&lt;&gt;"",VLOOKUP(T500,Selects!$M$4:$N$1000,2,0),"")</f>
        <v/>
      </c>
      <c r="V500" s="26"/>
      <c r="W500" s="58"/>
      <c r="X500" s="58"/>
      <c r="Y500" s="58"/>
      <c r="Z500" s="58"/>
      <c r="AA500" s="69"/>
      <c r="AB500" s="58"/>
      <c r="AC500" s="58"/>
      <c r="AD500" s="70" t="str">
        <f aca="false">IF(AC500&lt;&gt;"",VLOOKUP(AC500,Selects!$B$4:$C$100,2,0),"")</f>
        <v/>
      </c>
      <c r="AE500" s="26"/>
      <c r="AF500" s="58"/>
      <c r="AG500" s="59"/>
      <c r="AH500" s="65"/>
      <c r="AI500" s="66"/>
      <c r="AJ500" s="66"/>
      <c r="AK500" s="58"/>
      <c r="AL500" s="58"/>
      <c r="AM500" s="68" t="str">
        <f aca="false">IF(LEFT(AL500,1)="9","Celular",IF(AL500="","","Fixo"))</f>
        <v/>
      </c>
      <c r="AN500" s="58" t="str">
        <f aca="false">IF( AM500&lt;&gt;"",VLOOKUP(AM500,Selects!$M$4:$N$1000,2,0),"")</f>
        <v/>
      </c>
      <c r="AO500" s="58"/>
      <c r="AP500" s="59"/>
      <c r="AQ500" s="65"/>
      <c r="AR500" s="58"/>
      <c r="AS500" s="58"/>
      <c r="AT500" s="26"/>
      <c r="AU500" s="58"/>
      <c r="AV500" s="58"/>
      <c r="AW500" s="58"/>
      <c r="AX500" s="58"/>
      <c r="AY500" s="71"/>
      <c r="AZ500" s="58"/>
      <c r="BA500" s="58"/>
      <c r="BB500" s="72" t="str">
        <f aca="false">IF(BA500&lt;&gt;"",VLOOKUP(BA500,Selects!$B$4:$C$100,2,0),"")</f>
        <v/>
      </c>
      <c r="BC500" s="26"/>
      <c r="BD500" s="26"/>
      <c r="BE500" s="73"/>
      <c r="BF500" s="74"/>
      <c r="BG500" s="75" t="str">
        <f aca="false">IF(LEN(BF500)=11,"PF",IF(LEN(BF500)=14,"PJ",""))</f>
        <v/>
      </c>
      <c r="BH500" s="66"/>
      <c r="BI500" s="58" t="str">
        <f aca="false">IF(BH500&lt;&gt;"",VLOOKUP(BH500,Selects!$G:$H,2,0),"")</f>
        <v/>
      </c>
      <c r="BJ500" s="58"/>
      <c r="BK500" s="58"/>
      <c r="BL500" s="59"/>
      <c r="BM500" s="58"/>
      <c r="BN500" s="58"/>
      <c r="BO500" s="58" t="str">
        <f aca="false">IF(BN500&lt;&gt;"",VLOOKUP(BN500,Selects!$J$4:$K$1000,2,0),"")</f>
        <v/>
      </c>
      <c r="BP500" s="76"/>
      <c r="BQ500" s="59"/>
      <c r="BR500" s="77"/>
      <c r="BS500" s="59"/>
      <c r="BT500" s="77"/>
      <c r="BU500" s="58"/>
      <c r="BV500" s="58"/>
      <c r="BW500" s="58"/>
      <c r="BX500" s="58"/>
      <c r="BY500" s="58"/>
      <c r="BZ500" s="58"/>
      <c r="CA500" s="58"/>
      <c r="CB500" s="72" t="str">
        <f aca="false">IF(AC500&lt;&gt;"",VLOOKUP(AC500,Selects!$B:$E,4,0),"")</f>
        <v/>
      </c>
      <c r="CC500" s="58"/>
      <c r="CD500" s="58"/>
      <c r="CE500" s="58"/>
    </row>
    <row r="501" customFormat="false" ht="15.75" hidden="false" customHeight="true" outlineLevel="0" collapsed="false">
      <c r="A501" s="17"/>
      <c r="B501" s="58"/>
      <c r="C501" s="58"/>
      <c r="D501" s="59"/>
      <c r="E501" s="60" t="str">
        <f aca="false">IF(LEN(D501)=11,"PF",IF(LEN(D501)=14,"PJ",""))</f>
        <v/>
      </c>
      <c r="F501" s="59"/>
      <c r="G501" s="59"/>
      <c r="H501" s="61" t="str">
        <f aca="false">IF(G501&lt;&gt;"",VLOOKUP(G501,'Cnae  mcc  id'!$A:$M,9,0),"")</f>
        <v/>
      </c>
      <c r="I501" s="62"/>
      <c r="J501" s="63" t="str">
        <f aca="false">IF(I501&lt;&gt;"",VLOOKUP(I501,'Legal Nature'!$E$2:$G$84,3,0),"")</f>
        <v/>
      </c>
      <c r="K501" s="64"/>
      <c r="L501" s="65"/>
      <c r="M501" s="66"/>
      <c r="N501" s="66"/>
      <c r="O501" s="79"/>
      <c r="P501" s="26"/>
      <c r="Q501" s="58"/>
      <c r="R501" s="58"/>
      <c r="S501" s="80"/>
      <c r="T501" s="68" t="str">
        <f aca="false">IF(LEFT(S501,1)="9","Celular",IF(S501="","","Fixo"))</f>
        <v/>
      </c>
      <c r="U501" s="58" t="str">
        <f aca="false">IF( T501&lt;&gt;"",VLOOKUP(T501,Selects!$M$4:$N$1000,2,0),"")</f>
        <v/>
      </c>
      <c r="V501" s="26"/>
      <c r="W501" s="58"/>
      <c r="X501" s="58"/>
      <c r="Y501" s="58"/>
      <c r="Z501" s="58"/>
      <c r="AA501" s="69"/>
      <c r="AB501" s="58"/>
      <c r="AC501" s="58"/>
      <c r="AD501" s="70" t="str">
        <f aca="false">IF(AC501&lt;&gt;"",VLOOKUP(AC501,Selects!$B$4:$C$100,2,0),"")</f>
        <v/>
      </c>
      <c r="AE501" s="26"/>
      <c r="AF501" s="58"/>
      <c r="AG501" s="59"/>
      <c r="AH501" s="65"/>
      <c r="AI501" s="66"/>
      <c r="AJ501" s="66"/>
      <c r="AK501" s="58"/>
      <c r="AL501" s="58"/>
      <c r="AM501" s="68" t="str">
        <f aca="false">IF(LEFT(AL501,1)="9","Celular",IF(AL501="","","Fixo"))</f>
        <v/>
      </c>
      <c r="AN501" s="58" t="str">
        <f aca="false">IF( AM501&lt;&gt;"",VLOOKUP(AM501,Selects!$M$4:$N$1000,2,0),"")</f>
        <v/>
      </c>
      <c r="AO501" s="58"/>
      <c r="AP501" s="59"/>
      <c r="AQ501" s="65"/>
      <c r="AR501" s="58"/>
      <c r="AS501" s="58"/>
      <c r="AT501" s="26"/>
      <c r="AU501" s="58"/>
      <c r="AV501" s="58"/>
      <c r="AW501" s="58"/>
      <c r="AX501" s="58"/>
      <c r="AY501" s="71"/>
      <c r="AZ501" s="58"/>
      <c r="BA501" s="58"/>
      <c r="BB501" s="72" t="str">
        <f aca="false">IF(BA501&lt;&gt;"",VLOOKUP(BA501,Selects!$B$4:$C$100,2,0),"")</f>
        <v/>
      </c>
      <c r="BC501" s="26"/>
      <c r="BD501" s="26"/>
      <c r="BE501" s="73"/>
      <c r="BF501" s="74"/>
      <c r="BG501" s="75" t="str">
        <f aca="false">IF(LEN(BF501)=11,"PF",IF(LEN(BF501)=14,"PJ",""))</f>
        <v/>
      </c>
      <c r="BH501" s="66"/>
      <c r="BI501" s="58" t="str">
        <f aca="false">IF(BH501&lt;&gt;"",VLOOKUP(BH501,Selects!$G:$H,2,0),"")</f>
        <v/>
      </c>
      <c r="BJ501" s="58"/>
      <c r="BK501" s="58"/>
      <c r="BL501" s="59"/>
      <c r="BM501" s="58"/>
      <c r="BN501" s="58"/>
      <c r="BO501" s="58" t="str">
        <f aca="false">IF(BN501&lt;&gt;"",VLOOKUP(BN501,Selects!$J$4:$K$1000,2,0),"")</f>
        <v/>
      </c>
      <c r="BP501" s="76"/>
      <c r="BQ501" s="59"/>
      <c r="BR501" s="77"/>
      <c r="BS501" s="59"/>
      <c r="BT501" s="77"/>
      <c r="BU501" s="58"/>
      <c r="BV501" s="58"/>
      <c r="BW501" s="58"/>
      <c r="BX501" s="58"/>
      <c r="BY501" s="58"/>
      <c r="BZ501" s="58"/>
      <c r="CA501" s="58"/>
      <c r="CB501" s="72" t="str">
        <f aca="false">IF(AC501&lt;&gt;"",VLOOKUP(AC501,Selects!$B:$E,4,0),"")</f>
        <v/>
      </c>
      <c r="CC501" s="58"/>
      <c r="CD501" s="58"/>
      <c r="CE501" s="58"/>
    </row>
    <row r="502" customFormat="false" ht="15.75" hidden="false" customHeight="true" outlineLevel="0" collapsed="false">
      <c r="A502" s="17"/>
      <c r="B502" s="58"/>
      <c r="C502" s="58"/>
      <c r="D502" s="59"/>
      <c r="E502" s="60" t="str">
        <f aca="false">IF(LEN(D502)=11,"PF",IF(LEN(D502)=14,"PJ",""))</f>
        <v/>
      </c>
      <c r="F502" s="59"/>
      <c r="G502" s="59"/>
      <c r="H502" s="61" t="str">
        <f aca="false">IF(G502&lt;&gt;"",VLOOKUP(G502,'Cnae  mcc  id'!$A:$M,9,0),"")</f>
        <v/>
      </c>
      <c r="I502" s="62"/>
      <c r="J502" s="63" t="str">
        <f aca="false">IF(I502&lt;&gt;"",VLOOKUP(I502,'Legal Nature'!$E$2:$G$84,3,0),"")</f>
        <v/>
      </c>
      <c r="K502" s="64"/>
      <c r="L502" s="65"/>
      <c r="M502" s="66"/>
      <c r="N502" s="66"/>
      <c r="O502" s="79"/>
      <c r="P502" s="26"/>
      <c r="Q502" s="58"/>
      <c r="R502" s="58"/>
      <c r="S502" s="80"/>
      <c r="T502" s="68" t="str">
        <f aca="false">IF(LEFT(S502,1)="9","Celular",IF(S502="","","Fixo"))</f>
        <v/>
      </c>
      <c r="U502" s="58" t="str">
        <f aca="false">IF( T502&lt;&gt;"",VLOOKUP(T502,Selects!$M$4:$N$1000,2,0),"")</f>
        <v/>
      </c>
      <c r="V502" s="26"/>
      <c r="W502" s="58"/>
      <c r="X502" s="58"/>
      <c r="Y502" s="58"/>
      <c r="Z502" s="58"/>
      <c r="AA502" s="69"/>
      <c r="AB502" s="58"/>
      <c r="AC502" s="58"/>
      <c r="AD502" s="70" t="str">
        <f aca="false">IF(AC502&lt;&gt;"",VLOOKUP(AC502,Selects!$B$4:$C$100,2,0),"")</f>
        <v/>
      </c>
      <c r="AE502" s="26"/>
      <c r="AF502" s="58"/>
      <c r="AG502" s="59"/>
      <c r="AH502" s="65"/>
      <c r="AI502" s="66"/>
      <c r="AJ502" s="66"/>
      <c r="AK502" s="58"/>
      <c r="AL502" s="58"/>
      <c r="AM502" s="68" t="str">
        <f aca="false">IF(LEFT(AL502,1)="9","Celular",IF(AL502="","","Fixo"))</f>
        <v/>
      </c>
      <c r="AN502" s="58" t="str">
        <f aca="false">IF( AM502&lt;&gt;"",VLOOKUP(AM502,Selects!$M$4:$N$1000,2,0),"")</f>
        <v/>
      </c>
      <c r="AO502" s="58"/>
      <c r="AP502" s="59"/>
      <c r="AQ502" s="65"/>
      <c r="AR502" s="58"/>
      <c r="AS502" s="58"/>
      <c r="AT502" s="26"/>
      <c r="AU502" s="58"/>
      <c r="AV502" s="58"/>
      <c r="AW502" s="58"/>
      <c r="AX502" s="58"/>
      <c r="AY502" s="71"/>
      <c r="AZ502" s="58"/>
      <c r="BA502" s="58"/>
      <c r="BB502" s="72" t="str">
        <f aca="false">IF(BA502&lt;&gt;"",VLOOKUP(BA502,Selects!$B$4:$C$100,2,0),"")</f>
        <v/>
      </c>
      <c r="BC502" s="26"/>
      <c r="BD502" s="26"/>
      <c r="BE502" s="73"/>
      <c r="BF502" s="74"/>
      <c r="BG502" s="75" t="str">
        <f aca="false">IF(LEN(BF502)=11,"PF",IF(LEN(BF502)=14,"PJ",""))</f>
        <v/>
      </c>
      <c r="BH502" s="66"/>
      <c r="BI502" s="58" t="str">
        <f aca="false">IF(BH502&lt;&gt;"",VLOOKUP(BH502,Selects!$G:$H,2,0),"")</f>
        <v/>
      </c>
      <c r="BJ502" s="58"/>
      <c r="BK502" s="58"/>
      <c r="BL502" s="59"/>
      <c r="BM502" s="58"/>
      <c r="BN502" s="58"/>
      <c r="BO502" s="58" t="str">
        <f aca="false">IF(BN502&lt;&gt;"",VLOOKUP(BN502,Selects!$J$4:$K$1000,2,0),"")</f>
        <v/>
      </c>
      <c r="BP502" s="76"/>
      <c r="BQ502" s="59"/>
      <c r="BR502" s="77"/>
      <c r="BS502" s="59"/>
      <c r="BT502" s="77"/>
      <c r="BU502" s="58"/>
      <c r="BV502" s="58"/>
      <c r="BW502" s="58"/>
      <c r="BX502" s="58"/>
      <c r="BY502" s="58"/>
      <c r="BZ502" s="58"/>
      <c r="CA502" s="58"/>
      <c r="CB502" s="72" t="str">
        <f aca="false">IF(AC502&lt;&gt;"",VLOOKUP(AC502,Selects!$B:$E,4,0),"")</f>
        <v/>
      </c>
      <c r="CC502" s="58"/>
      <c r="CD502" s="58"/>
      <c r="CE502" s="58"/>
    </row>
    <row r="503" customFormat="false" ht="15.75" hidden="false" customHeight="true" outlineLevel="0" collapsed="false">
      <c r="A503" s="17"/>
      <c r="B503" s="58"/>
      <c r="C503" s="58"/>
      <c r="D503" s="59"/>
      <c r="E503" s="60" t="str">
        <f aca="false">IF(LEN(D503)=11,"PF",IF(LEN(D503)=14,"PJ",""))</f>
        <v/>
      </c>
      <c r="F503" s="59"/>
      <c r="G503" s="59"/>
      <c r="H503" s="61" t="str">
        <f aca="false">IF(G503&lt;&gt;"",VLOOKUP(G503,'Cnae  mcc  id'!$A:$M,9,0),"")</f>
        <v/>
      </c>
      <c r="I503" s="62"/>
      <c r="J503" s="63" t="str">
        <f aca="false">IF(I503&lt;&gt;"",VLOOKUP(I503,'Legal Nature'!$E$2:$G$84,3,0),"")</f>
        <v/>
      </c>
      <c r="K503" s="64"/>
      <c r="L503" s="65"/>
      <c r="M503" s="66"/>
      <c r="N503" s="66"/>
      <c r="O503" s="79"/>
      <c r="P503" s="26"/>
      <c r="Q503" s="58"/>
      <c r="R503" s="58"/>
      <c r="S503" s="80"/>
      <c r="T503" s="68" t="str">
        <f aca="false">IF(LEFT(S503,1)="9","Celular",IF(S503="","","Fixo"))</f>
        <v/>
      </c>
      <c r="U503" s="58" t="str">
        <f aca="false">IF( T503&lt;&gt;"",VLOOKUP(T503,Selects!$M$4:$N$1000,2,0),"")</f>
        <v/>
      </c>
      <c r="V503" s="26"/>
      <c r="W503" s="58"/>
      <c r="X503" s="58"/>
      <c r="Y503" s="58"/>
      <c r="Z503" s="58"/>
      <c r="AA503" s="69"/>
      <c r="AB503" s="58"/>
      <c r="AC503" s="58"/>
      <c r="AD503" s="70" t="str">
        <f aca="false">IF(AC503&lt;&gt;"",VLOOKUP(AC503,Selects!$B$4:$C$100,2,0),"")</f>
        <v/>
      </c>
      <c r="AE503" s="26"/>
      <c r="AF503" s="58"/>
      <c r="AG503" s="59"/>
      <c r="AH503" s="65"/>
      <c r="AI503" s="66"/>
      <c r="AJ503" s="66"/>
      <c r="AK503" s="58"/>
      <c r="AL503" s="58"/>
      <c r="AM503" s="68" t="str">
        <f aca="false">IF(LEFT(AL503,1)="9","Celular",IF(AL503="","","Fixo"))</f>
        <v/>
      </c>
      <c r="AN503" s="58" t="str">
        <f aca="false">IF( AM503&lt;&gt;"",VLOOKUP(AM503,Selects!$M$4:$N$1000,2,0),"")</f>
        <v/>
      </c>
      <c r="AO503" s="58"/>
      <c r="AP503" s="59"/>
      <c r="AQ503" s="65"/>
      <c r="AR503" s="58"/>
      <c r="AS503" s="58"/>
      <c r="AT503" s="26"/>
      <c r="AU503" s="58"/>
      <c r="AV503" s="58"/>
      <c r="AW503" s="58"/>
      <c r="AX503" s="58"/>
      <c r="AY503" s="71"/>
      <c r="AZ503" s="58"/>
      <c r="BA503" s="58"/>
      <c r="BB503" s="72" t="str">
        <f aca="false">IF(BA503&lt;&gt;"",VLOOKUP(BA503,Selects!$B$4:$C$100,2,0),"")</f>
        <v/>
      </c>
      <c r="BC503" s="26"/>
      <c r="BD503" s="26"/>
      <c r="BE503" s="73"/>
      <c r="BF503" s="74"/>
      <c r="BG503" s="75" t="str">
        <f aca="false">IF(LEN(BF503)=11,"PF",IF(LEN(BF503)=14,"PJ",""))</f>
        <v/>
      </c>
      <c r="BH503" s="66"/>
      <c r="BI503" s="58" t="str">
        <f aca="false">IF(BH503&lt;&gt;"",VLOOKUP(BH503,Selects!$G:$H,2,0),"")</f>
        <v/>
      </c>
      <c r="BJ503" s="58"/>
      <c r="BK503" s="58"/>
      <c r="BL503" s="59"/>
      <c r="BM503" s="58"/>
      <c r="BN503" s="58"/>
      <c r="BO503" s="58" t="str">
        <f aca="false">IF(BN503&lt;&gt;"",VLOOKUP(BN503,Selects!$J$4:$K$1000,2,0),"")</f>
        <v/>
      </c>
      <c r="BP503" s="76"/>
      <c r="BQ503" s="59"/>
      <c r="BR503" s="77"/>
      <c r="BS503" s="59"/>
      <c r="BT503" s="77"/>
      <c r="BU503" s="58"/>
      <c r="BV503" s="58"/>
      <c r="BW503" s="58"/>
      <c r="BX503" s="58"/>
      <c r="BY503" s="58"/>
      <c r="BZ503" s="58"/>
      <c r="CA503" s="58"/>
      <c r="CB503" s="72" t="str">
        <f aca="false">IF(AC503&lt;&gt;"",VLOOKUP(AC503,Selects!$B:$E,4,0),"")</f>
        <v/>
      </c>
      <c r="CC503" s="58"/>
      <c r="CD503" s="58"/>
      <c r="CE503" s="58"/>
    </row>
    <row r="504" customFormat="false" ht="15.75" hidden="false" customHeight="true" outlineLevel="0" collapsed="false">
      <c r="A504" s="17"/>
      <c r="B504" s="58"/>
      <c r="C504" s="58"/>
      <c r="D504" s="59"/>
      <c r="E504" s="60" t="str">
        <f aca="false">IF(LEN(D504)=11,"PF",IF(LEN(D504)=14,"PJ",""))</f>
        <v/>
      </c>
      <c r="F504" s="59"/>
      <c r="G504" s="59"/>
      <c r="H504" s="61" t="str">
        <f aca="false">IF(G504&lt;&gt;"",VLOOKUP(G504,'Cnae  mcc  id'!$A:$M,9,0),"")</f>
        <v/>
      </c>
      <c r="I504" s="62"/>
      <c r="J504" s="63" t="str">
        <f aca="false">IF(I504&lt;&gt;"",VLOOKUP(I504,'Legal Nature'!$E$2:$G$84,3,0),"")</f>
        <v/>
      </c>
      <c r="K504" s="64"/>
      <c r="L504" s="65"/>
      <c r="M504" s="66"/>
      <c r="N504" s="66"/>
      <c r="O504" s="79"/>
      <c r="P504" s="26"/>
      <c r="Q504" s="58"/>
      <c r="R504" s="58"/>
      <c r="S504" s="80"/>
      <c r="T504" s="68" t="str">
        <f aca="false">IF(LEFT(S504,1)="9","Celular",IF(S504="","","Fixo"))</f>
        <v/>
      </c>
      <c r="U504" s="58" t="str">
        <f aca="false">IF( T504&lt;&gt;"",VLOOKUP(T504,Selects!$M$4:$N$1000,2,0),"")</f>
        <v/>
      </c>
      <c r="V504" s="26"/>
      <c r="W504" s="58"/>
      <c r="X504" s="58"/>
      <c r="Y504" s="58"/>
      <c r="Z504" s="58"/>
      <c r="AA504" s="69"/>
      <c r="AB504" s="58"/>
      <c r="AC504" s="58"/>
      <c r="AD504" s="70" t="str">
        <f aca="false">IF(AC504&lt;&gt;"",VLOOKUP(AC504,Selects!$B$4:$C$100,2,0),"")</f>
        <v/>
      </c>
      <c r="AE504" s="26"/>
      <c r="AF504" s="58"/>
      <c r="AG504" s="59"/>
      <c r="AH504" s="65"/>
      <c r="AI504" s="66"/>
      <c r="AJ504" s="66"/>
      <c r="AK504" s="58"/>
      <c r="AL504" s="58"/>
      <c r="AM504" s="68" t="str">
        <f aca="false">IF(LEFT(AL504,1)="9","Celular",IF(AL504="","","Fixo"))</f>
        <v/>
      </c>
      <c r="AN504" s="58" t="str">
        <f aca="false">IF( AM504&lt;&gt;"",VLOOKUP(AM504,Selects!$M$4:$N$1000,2,0),"")</f>
        <v/>
      </c>
      <c r="AO504" s="58"/>
      <c r="AP504" s="59"/>
      <c r="AQ504" s="65"/>
      <c r="AR504" s="58"/>
      <c r="AS504" s="58"/>
      <c r="AT504" s="26"/>
      <c r="AU504" s="58"/>
      <c r="AV504" s="58"/>
      <c r="AW504" s="58"/>
      <c r="AX504" s="58"/>
      <c r="AY504" s="71"/>
      <c r="AZ504" s="58"/>
      <c r="BA504" s="58"/>
      <c r="BB504" s="72" t="str">
        <f aca="false">IF(BA504&lt;&gt;"",VLOOKUP(BA504,Selects!$B$4:$C$100,2,0),"")</f>
        <v/>
      </c>
      <c r="BC504" s="26"/>
      <c r="BD504" s="26"/>
      <c r="BE504" s="73"/>
      <c r="BF504" s="74"/>
      <c r="BG504" s="75" t="str">
        <f aca="false">IF(LEN(BF504)=11,"PF",IF(LEN(BF504)=14,"PJ",""))</f>
        <v/>
      </c>
      <c r="BH504" s="66"/>
      <c r="BI504" s="58" t="str">
        <f aca="false">IF(BH504&lt;&gt;"",VLOOKUP(BH504,Selects!$G:$H,2,0),"")</f>
        <v/>
      </c>
      <c r="BJ504" s="58"/>
      <c r="BK504" s="58"/>
      <c r="BL504" s="59"/>
      <c r="BM504" s="58"/>
      <c r="BN504" s="58"/>
      <c r="BO504" s="58" t="str">
        <f aca="false">IF(BN504&lt;&gt;"",VLOOKUP(BN504,Selects!$J$4:$K$1000,2,0),"")</f>
        <v/>
      </c>
      <c r="BP504" s="76"/>
      <c r="BQ504" s="59"/>
      <c r="BR504" s="77"/>
      <c r="BS504" s="59"/>
      <c r="BT504" s="77"/>
      <c r="BU504" s="58"/>
      <c r="BV504" s="58"/>
      <c r="BW504" s="58"/>
      <c r="BX504" s="58"/>
      <c r="BY504" s="58"/>
      <c r="BZ504" s="58"/>
      <c r="CA504" s="58"/>
      <c r="CB504" s="72" t="str">
        <f aca="false">IF(AC504&lt;&gt;"",VLOOKUP(AC504,Selects!$B:$E,4,0),"")</f>
        <v/>
      </c>
      <c r="CC504" s="58"/>
      <c r="CD504" s="58"/>
      <c r="CE504" s="58"/>
    </row>
    <row r="505" customFormat="false" ht="15.75" hidden="false" customHeight="true" outlineLevel="0" collapsed="false">
      <c r="A505" s="17"/>
      <c r="B505" s="58"/>
      <c r="C505" s="58"/>
      <c r="D505" s="59"/>
      <c r="E505" s="60" t="str">
        <f aca="false">IF(LEN(D505)=11,"PF",IF(LEN(D505)=14,"PJ",""))</f>
        <v/>
      </c>
      <c r="F505" s="59"/>
      <c r="G505" s="59"/>
      <c r="H505" s="61" t="str">
        <f aca="false">IF(G505&lt;&gt;"",VLOOKUP(G505,'Cnae  mcc  id'!$A:$M,9,0),"")</f>
        <v/>
      </c>
      <c r="I505" s="62"/>
      <c r="J505" s="63" t="str">
        <f aca="false">IF(I505&lt;&gt;"",VLOOKUP(I505,'Legal Nature'!$E$2:$G$84,3,0),"")</f>
        <v/>
      </c>
      <c r="K505" s="64"/>
      <c r="L505" s="65"/>
      <c r="M505" s="66"/>
      <c r="N505" s="66"/>
      <c r="O505" s="79"/>
      <c r="P505" s="26"/>
      <c r="Q505" s="58"/>
      <c r="R505" s="58"/>
      <c r="S505" s="80"/>
      <c r="T505" s="68" t="str">
        <f aca="false">IF(LEFT(S505,1)="9","Celular",IF(S505="","","Fixo"))</f>
        <v/>
      </c>
      <c r="U505" s="58" t="str">
        <f aca="false">IF( T505&lt;&gt;"",VLOOKUP(T505,Selects!$M$4:$N$1000,2,0),"")</f>
        <v/>
      </c>
      <c r="V505" s="26"/>
      <c r="W505" s="58"/>
      <c r="X505" s="58"/>
      <c r="Y505" s="58"/>
      <c r="Z505" s="58"/>
      <c r="AA505" s="69"/>
      <c r="AB505" s="58"/>
      <c r="AC505" s="58"/>
      <c r="AD505" s="70" t="str">
        <f aca="false">IF(AC505&lt;&gt;"",VLOOKUP(AC505,Selects!$B$4:$C$100,2,0),"")</f>
        <v/>
      </c>
      <c r="AE505" s="26"/>
      <c r="AF505" s="58"/>
      <c r="AG505" s="59"/>
      <c r="AH505" s="65"/>
      <c r="AI505" s="66"/>
      <c r="AJ505" s="66"/>
      <c r="AK505" s="58"/>
      <c r="AL505" s="58"/>
      <c r="AM505" s="68" t="str">
        <f aca="false">IF(LEFT(AL505,1)="9","Celular",IF(AL505="","","Fixo"))</f>
        <v/>
      </c>
      <c r="AN505" s="58" t="str">
        <f aca="false">IF( AM505&lt;&gt;"",VLOOKUP(AM505,Selects!$M$4:$N$1000,2,0),"")</f>
        <v/>
      </c>
      <c r="AO505" s="58"/>
      <c r="AP505" s="59"/>
      <c r="AQ505" s="65"/>
      <c r="AR505" s="58"/>
      <c r="AS505" s="58"/>
      <c r="AT505" s="26"/>
      <c r="AU505" s="58"/>
      <c r="AV505" s="58"/>
      <c r="AW505" s="58"/>
      <c r="AX505" s="58"/>
      <c r="AY505" s="71"/>
      <c r="AZ505" s="58"/>
      <c r="BA505" s="58"/>
      <c r="BB505" s="72" t="str">
        <f aca="false">IF(BA505&lt;&gt;"",VLOOKUP(BA505,Selects!$B$4:$C$100,2,0),"")</f>
        <v/>
      </c>
      <c r="BC505" s="26"/>
      <c r="BD505" s="26"/>
      <c r="BE505" s="73"/>
      <c r="BF505" s="74"/>
      <c r="BG505" s="75" t="str">
        <f aca="false">IF(LEN(BF505)=11,"PF",IF(LEN(BF505)=14,"PJ",""))</f>
        <v/>
      </c>
      <c r="BH505" s="66"/>
      <c r="BI505" s="58" t="str">
        <f aca="false">IF(BH505&lt;&gt;"",VLOOKUP(BH505,Selects!$G:$H,2,0),"")</f>
        <v/>
      </c>
      <c r="BJ505" s="58"/>
      <c r="BK505" s="58"/>
      <c r="BL505" s="59"/>
      <c r="BM505" s="58"/>
      <c r="BN505" s="58"/>
      <c r="BO505" s="58" t="str">
        <f aca="false">IF(BN505&lt;&gt;"",VLOOKUP(BN505,Selects!$J$4:$K$1000,2,0),"")</f>
        <v/>
      </c>
      <c r="BP505" s="76"/>
      <c r="BQ505" s="59"/>
      <c r="BR505" s="77"/>
      <c r="BS505" s="59"/>
      <c r="BT505" s="77"/>
      <c r="BU505" s="58"/>
      <c r="BV505" s="58"/>
      <c r="BW505" s="58"/>
      <c r="BX505" s="58"/>
      <c r="BY505" s="58"/>
      <c r="BZ505" s="58"/>
      <c r="CA505" s="58"/>
      <c r="CB505" s="72" t="str">
        <f aca="false">IF(AC505&lt;&gt;"",VLOOKUP(AC505,Selects!$B:$E,4,0),"")</f>
        <v/>
      </c>
      <c r="CC505" s="58"/>
      <c r="CD505" s="58"/>
      <c r="CE505" s="58"/>
    </row>
    <row r="506" customFormat="false" ht="15.75" hidden="false" customHeight="true" outlineLevel="0" collapsed="false">
      <c r="A506" s="17"/>
      <c r="B506" s="58"/>
      <c r="C506" s="58"/>
      <c r="D506" s="59"/>
      <c r="E506" s="60" t="str">
        <f aca="false">IF(LEN(D506)=11,"PF",IF(LEN(D506)=14,"PJ",""))</f>
        <v/>
      </c>
      <c r="F506" s="59"/>
      <c r="G506" s="59"/>
      <c r="H506" s="61" t="str">
        <f aca="false">IF(G506&lt;&gt;"",VLOOKUP(G506,'Cnae  mcc  id'!$A:$M,9,0),"")</f>
        <v/>
      </c>
      <c r="I506" s="62"/>
      <c r="J506" s="63" t="str">
        <f aca="false">IF(I506&lt;&gt;"",VLOOKUP(I506,'Legal Nature'!$E$2:$G$84,3,0),"")</f>
        <v/>
      </c>
      <c r="K506" s="64"/>
      <c r="L506" s="65"/>
      <c r="M506" s="66"/>
      <c r="N506" s="66"/>
      <c r="O506" s="79"/>
      <c r="P506" s="26"/>
      <c r="Q506" s="58"/>
      <c r="R506" s="58"/>
      <c r="S506" s="80"/>
      <c r="T506" s="68" t="str">
        <f aca="false">IF(LEFT(S506,1)="9","Celular",IF(S506="","","Fixo"))</f>
        <v/>
      </c>
      <c r="U506" s="58" t="str">
        <f aca="false">IF( T506&lt;&gt;"",VLOOKUP(T506,Selects!$M$4:$N$1000,2,0),"")</f>
        <v/>
      </c>
      <c r="V506" s="26"/>
      <c r="W506" s="58"/>
      <c r="X506" s="58"/>
      <c r="Y506" s="58"/>
      <c r="Z506" s="58"/>
      <c r="AA506" s="69"/>
      <c r="AB506" s="58"/>
      <c r="AC506" s="58"/>
      <c r="AD506" s="70" t="str">
        <f aca="false">IF(AC506&lt;&gt;"",VLOOKUP(AC506,Selects!$B$4:$C$100,2,0),"")</f>
        <v/>
      </c>
      <c r="AE506" s="26"/>
      <c r="AF506" s="58"/>
      <c r="AG506" s="59"/>
      <c r="AH506" s="65"/>
      <c r="AI506" s="66"/>
      <c r="AJ506" s="66"/>
      <c r="AK506" s="58"/>
      <c r="AL506" s="58"/>
      <c r="AM506" s="68" t="str">
        <f aca="false">IF(LEFT(AL506,1)="9","Celular",IF(AL506="","","Fixo"))</f>
        <v/>
      </c>
      <c r="AN506" s="58" t="str">
        <f aca="false">IF( AM506&lt;&gt;"",VLOOKUP(AM506,Selects!$M$4:$N$1000,2,0),"")</f>
        <v/>
      </c>
      <c r="AO506" s="58"/>
      <c r="AP506" s="59"/>
      <c r="AQ506" s="65"/>
      <c r="AR506" s="58"/>
      <c r="AS506" s="58"/>
      <c r="AT506" s="26"/>
      <c r="AU506" s="58"/>
      <c r="AV506" s="58"/>
      <c r="AW506" s="58"/>
      <c r="AX506" s="58"/>
      <c r="AY506" s="71"/>
      <c r="AZ506" s="58"/>
      <c r="BA506" s="58"/>
      <c r="BB506" s="72" t="str">
        <f aca="false">IF(BA506&lt;&gt;"",VLOOKUP(BA506,Selects!$B$4:$C$100,2,0),"")</f>
        <v/>
      </c>
      <c r="BC506" s="26"/>
      <c r="BD506" s="26"/>
      <c r="BE506" s="73"/>
      <c r="BF506" s="74"/>
      <c r="BG506" s="75" t="str">
        <f aca="false">IF(LEN(BF506)=11,"PF",IF(LEN(BF506)=14,"PJ",""))</f>
        <v/>
      </c>
      <c r="BH506" s="66"/>
      <c r="BI506" s="58" t="str">
        <f aca="false">IF(BH506&lt;&gt;"",VLOOKUP(BH506,Selects!$G:$H,2,0),"")</f>
        <v/>
      </c>
      <c r="BJ506" s="58"/>
      <c r="BK506" s="58"/>
      <c r="BL506" s="59"/>
      <c r="BM506" s="58"/>
      <c r="BN506" s="58"/>
      <c r="BO506" s="58" t="str">
        <f aca="false">IF(BN506&lt;&gt;"",VLOOKUP(BN506,Selects!$J$4:$K$1000,2,0),"")</f>
        <v/>
      </c>
      <c r="BP506" s="76"/>
      <c r="BQ506" s="59"/>
      <c r="BR506" s="77"/>
      <c r="BS506" s="59"/>
      <c r="BT506" s="77"/>
      <c r="BU506" s="58"/>
      <c r="BV506" s="58"/>
      <c r="BW506" s="58"/>
      <c r="BX506" s="58"/>
      <c r="BY506" s="58"/>
      <c r="BZ506" s="58"/>
      <c r="CA506" s="58"/>
      <c r="CB506" s="72" t="str">
        <f aca="false">IF(AC506&lt;&gt;"",VLOOKUP(AC506,Selects!$B:$E,4,0),"")</f>
        <v/>
      </c>
      <c r="CC506" s="58"/>
      <c r="CD506" s="58"/>
      <c r="CE506" s="58"/>
    </row>
    <row r="507" customFormat="false" ht="15.75" hidden="false" customHeight="true" outlineLevel="0" collapsed="false">
      <c r="A507" s="17"/>
      <c r="B507" s="58"/>
      <c r="C507" s="58"/>
      <c r="D507" s="59"/>
      <c r="E507" s="60" t="str">
        <f aca="false">IF(LEN(D507)=11,"PF",IF(LEN(D507)=14,"PJ",""))</f>
        <v/>
      </c>
      <c r="F507" s="59"/>
      <c r="G507" s="59"/>
      <c r="H507" s="61" t="str">
        <f aca="false">IF(G507&lt;&gt;"",VLOOKUP(G507,'Cnae  mcc  id'!$A:$M,9,0),"")</f>
        <v/>
      </c>
      <c r="I507" s="62"/>
      <c r="J507" s="63" t="str">
        <f aca="false">IF(I507&lt;&gt;"",VLOOKUP(I507,'Legal Nature'!$E$2:$G$84,3,0),"")</f>
        <v/>
      </c>
      <c r="K507" s="64"/>
      <c r="L507" s="65"/>
      <c r="M507" s="66"/>
      <c r="N507" s="66"/>
      <c r="O507" s="79"/>
      <c r="P507" s="26"/>
      <c r="Q507" s="58"/>
      <c r="R507" s="58"/>
      <c r="S507" s="80"/>
      <c r="T507" s="68" t="str">
        <f aca="false">IF(LEFT(S507,1)="9","Celular",IF(S507="","","Fixo"))</f>
        <v/>
      </c>
      <c r="U507" s="58" t="str">
        <f aca="false">IF( T507&lt;&gt;"",VLOOKUP(T507,Selects!$M$4:$N$1000,2,0),"")</f>
        <v/>
      </c>
      <c r="V507" s="26"/>
      <c r="W507" s="58"/>
      <c r="X507" s="58"/>
      <c r="Y507" s="58"/>
      <c r="Z507" s="58"/>
      <c r="AA507" s="69"/>
      <c r="AB507" s="58"/>
      <c r="AC507" s="58"/>
      <c r="AD507" s="70" t="str">
        <f aca="false">IF(AC507&lt;&gt;"",VLOOKUP(AC507,Selects!$B$4:$C$100,2,0),"")</f>
        <v/>
      </c>
      <c r="AE507" s="26"/>
      <c r="AF507" s="58"/>
      <c r="AG507" s="59"/>
      <c r="AH507" s="65"/>
      <c r="AI507" s="66"/>
      <c r="AJ507" s="66"/>
      <c r="AK507" s="58"/>
      <c r="AL507" s="58"/>
      <c r="AM507" s="68" t="str">
        <f aca="false">IF(LEFT(AL507,1)="9","Celular",IF(AL507="","","Fixo"))</f>
        <v/>
      </c>
      <c r="AN507" s="58" t="str">
        <f aca="false">IF( AM507&lt;&gt;"",VLOOKUP(AM507,Selects!$M$4:$N$1000,2,0),"")</f>
        <v/>
      </c>
      <c r="AO507" s="58"/>
      <c r="AP507" s="59"/>
      <c r="AQ507" s="65"/>
      <c r="AR507" s="58"/>
      <c r="AS507" s="58"/>
      <c r="AT507" s="26"/>
      <c r="AU507" s="58"/>
      <c r="AV507" s="58"/>
      <c r="AW507" s="58"/>
      <c r="AX507" s="58"/>
      <c r="AY507" s="71"/>
      <c r="AZ507" s="58"/>
      <c r="BA507" s="58"/>
      <c r="BB507" s="72" t="str">
        <f aca="false">IF(BA507&lt;&gt;"",VLOOKUP(BA507,Selects!$B$4:$C$100,2,0),"")</f>
        <v/>
      </c>
      <c r="BC507" s="26"/>
      <c r="BD507" s="26"/>
      <c r="BE507" s="73"/>
      <c r="BF507" s="74"/>
      <c r="BG507" s="75" t="str">
        <f aca="false">IF(LEN(BF507)=11,"PF",IF(LEN(BF507)=14,"PJ",""))</f>
        <v/>
      </c>
      <c r="BH507" s="66"/>
      <c r="BI507" s="58" t="str">
        <f aca="false">IF(BH507&lt;&gt;"",VLOOKUP(BH507,Selects!$G:$H,2,0),"")</f>
        <v/>
      </c>
      <c r="BJ507" s="58"/>
      <c r="BK507" s="58"/>
      <c r="BL507" s="59"/>
      <c r="BM507" s="58"/>
      <c r="BN507" s="58"/>
      <c r="BO507" s="58" t="str">
        <f aca="false">IF(BN507&lt;&gt;"",VLOOKUP(BN507,Selects!$J$4:$K$1000,2,0),"")</f>
        <v/>
      </c>
      <c r="BP507" s="76"/>
      <c r="BQ507" s="59"/>
      <c r="BR507" s="77"/>
      <c r="BS507" s="59"/>
      <c r="BT507" s="77"/>
      <c r="BU507" s="58"/>
      <c r="BV507" s="58"/>
      <c r="BW507" s="58"/>
      <c r="BX507" s="58"/>
      <c r="BY507" s="58"/>
      <c r="BZ507" s="58"/>
      <c r="CA507" s="58"/>
      <c r="CB507" s="72" t="str">
        <f aca="false">IF(AC507&lt;&gt;"",VLOOKUP(AC507,Selects!$B:$E,4,0),"")</f>
        <v/>
      </c>
      <c r="CC507" s="58"/>
      <c r="CD507" s="58"/>
      <c r="CE507" s="58"/>
    </row>
    <row r="508" customFormat="false" ht="15.75" hidden="false" customHeight="true" outlineLevel="0" collapsed="false">
      <c r="A508" s="17"/>
      <c r="B508" s="58"/>
      <c r="C508" s="58"/>
      <c r="D508" s="59"/>
      <c r="E508" s="60" t="str">
        <f aca="false">IF(LEN(D508)=11,"PF",IF(LEN(D508)=14,"PJ",""))</f>
        <v/>
      </c>
      <c r="F508" s="59"/>
      <c r="G508" s="59"/>
      <c r="H508" s="61" t="str">
        <f aca="false">IF(G508&lt;&gt;"",VLOOKUP(G508,'Cnae  mcc  id'!$A:$M,9,0),"")</f>
        <v/>
      </c>
      <c r="I508" s="62"/>
      <c r="J508" s="63" t="str">
        <f aca="false">IF(I508&lt;&gt;"",VLOOKUP(I508,'Legal Nature'!$E$2:$G$84,3,0),"")</f>
        <v/>
      </c>
      <c r="K508" s="64"/>
      <c r="L508" s="65"/>
      <c r="M508" s="66"/>
      <c r="N508" s="66"/>
      <c r="O508" s="79"/>
      <c r="P508" s="26"/>
      <c r="Q508" s="58"/>
      <c r="R508" s="58"/>
      <c r="S508" s="80"/>
      <c r="T508" s="68" t="str">
        <f aca="false">IF(LEFT(S508,1)="9","Celular",IF(S508="","","Fixo"))</f>
        <v/>
      </c>
      <c r="U508" s="58" t="str">
        <f aca="false">IF( T508&lt;&gt;"",VLOOKUP(T508,Selects!$M$4:$N$1000,2,0),"")</f>
        <v/>
      </c>
      <c r="V508" s="26"/>
      <c r="W508" s="58"/>
      <c r="X508" s="58"/>
      <c r="Y508" s="58"/>
      <c r="Z508" s="58"/>
      <c r="AA508" s="69"/>
      <c r="AB508" s="58"/>
      <c r="AC508" s="58"/>
      <c r="AD508" s="70" t="str">
        <f aca="false">IF(AC508&lt;&gt;"",VLOOKUP(AC508,Selects!$B$4:$C$100,2,0),"")</f>
        <v/>
      </c>
      <c r="AE508" s="26"/>
      <c r="AF508" s="58"/>
      <c r="AG508" s="59"/>
      <c r="AH508" s="65"/>
      <c r="AI508" s="66"/>
      <c r="AJ508" s="66"/>
      <c r="AK508" s="58"/>
      <c r="AL508" s="58"/>
      <c r="AM508" s="68" t="str">
        <f aca="false">IF(LEFT(AL508,1)="9","Celular",IF(AL508="","","Fixo"))</f>
        <v/>
      </c>
      <c r="AN508" s="58" t="str">
        <f aca="false">IF( AM508&lt;&gt;"",VLOOKUP(AM508,Selects!$M$4:$N$1000,2,0),"")</f>
        <v/>
      </c>
      <c r="AO508" s="58"/>
      <c r="AP508" s="59"/>
      <c r="AQ508" s="65"/>
      <c r="AR508" s="58"/>
      <c r="AS508" s="58"/>
      <c r="AT508" s="26"/>
      <c r="AU508" s="58"/>
      <c r="AV508" s="58"/>
      <c r="AW508" s="58"/>
      <c r="AX508" s="58"/>
      <c r="AY508" s="71"/>
      <c r="AZ508" s="58"/>
      <c r="BA508" s="58"/>
      <c r="BB508" s="72" t="str">
        <f aca="false">IF(BA508&lt;&gt;"",VLOOKUP(BA508,Selects!$B$4:$C$100,2,0),"")</f>
        <v/>
      </c>
      <c r="BC508" s="26"/>
      <c r="BD508" s="26"/>
      <c r="BE508" s="73"/>
      <c r="BF508" s="74"/>
      <c r="BG508" s="75" t="str">
        <f aca="false">IF(LEN(BF508)=11,"PF",IF(LEN(BF508)=14,"PJ",""))</f>
        <v/>
      </c>
      <c r="BH508" s="66"/>
      <c r="BI508" s="58" t="str">
        <f aca="false">IF(BH508&lt;&gt;"",VLOOKUP(BH508,Selects!$G:$H,2,0),"")</f>
        <v/>
      </c>
      <c r="BJ508" s="58"/>
      <c r="BK508" s="58"/>
      <c r="BL508" s="59"/>
      <c r="BM508" s="58"/>
      <c r="BN508" s="58"/>
      <c r="BO508" s="58" t="str">
        <f aca="false">IF(BN508&lt;&gt;"",VLOOKUP(BN508,Selects!$J$4:$K$1000,2,0),"")</f>
        <v/>
      </c>
      <c r="BP508" s="76"/>
      <c r="BQ508" s="59"/>
      <c r="BR508" s="77"/>
      <c r="BS508" s="59"/>
      <c r="BT508" s="77"/>
      <c r="BU508" s="58"/>
      <c r="BV508" s="58"/>
      <c r="BW508" s="58"/>
      <c r="BX508" s="58"/>
      <c r="BY508" s="58"/>
      <c r="BZ508" s="58"/>
      <c r="CA508" s="58"/>
      <c r="CB508" s="72" t="str">
        <f aca="false">IF(AC508&lt;&gt;"",VLOOKUP(AC508,Selects!$B:$E,4,0),"")</f>
        <v/>
      </c>
      <c r="CC508" s="58"/>
      <c r="CD508" s="58"/>
      <c r="CE508" s="58"/>
    </row>
    <row r="509" customFormat="false" ht="15.75" hidden="false" customHeight="true" outlineLevel="0" collapsed="false">
      <c r="A509" s="17"/>
      <c r="B509" s="58"/>
      <c r="C509" s="58"/>
      <c r="D509" s="59"/>
      <c r="E509" s="60" t="str">
        <f aca="false">IF(LEN(D509)=11,"PF",IF(LEN(D509)=14,"PJ",""))</f>
        <v/>
      </c>
      <c r="F509" s="59"/>
      <c r="G509" s="59"/>
      <c r="H509" s="61" t="str">
        <f aca="false">IF(G509&lt;&gt;"",VLOOKUP(G509,'Cnae  mcc  id'!$A:$M,9,0),"")</f>
        <v/>
      </c>
      <c r="I509" s="62"/>
      <c r="J509" s="63" t="str">
        <f aca="false">IF(I509&lt;&gt;"",VLOOKUP(I509,'Legal Nature'!$E$2:$G$84,3,0),"")</f>
        <v/>
      </c>
      <c r="K509" s="64"/>
      <c r="L509" s="65"/>
      <c r="M509" s="66"/>
      <c r="N509" s="66"/>
      <c r="O509" s="79"/>
      <c r="P509" s="26"/>
      <c r="Q509" s="58"/>
      <c r="R509" s="58"/>
      <c r="S509" s="80"/>
      <c r="T509" s="68" t="str">
        <f aca="false">IF(LEFT(S509,1)="9","Celular",IF(S509="","","Fixo"))</f>
        <v/>
      </c>
      <c r="U509" s="58" t="str">
        <f aca="false">IF( T509&lt;&gt;"",VLOOKUP(T509,Selects!$M$4:$N$1000,2,0),"")</f>
        <v/>
      </c>
      <c r="V509" s="26"/>
      <c r="W509" s="58"/>
      <c r="X509" s="58"/>
      <c r="Y509" s="58"/>
      <c r="Z509" s="58"/>
      <c r="AA509" s="69"/>
      <c r="AB509" s="58"/>
      <c r="AC509" s="58"/>
      <c r="AD509" s="70" t="str">
        <f aca="false">IF(AC509&lt;&gt;"",VLOOKUP(AC509,Selects!$B$4:$C$100,2,0),"")</f>
        <v/>
      </c>
      <c r="AE509" s="26"/>
      <c r="AF509" s="58"/>
      <c r="AG509" s="59"/>
      <c r="AH509" s="65"/>
      <c r="AI509" s="66"/>
      <c r="AJ509" s="66"/>
      <c r="AK509" s="58"/>
      <c r="AL509" s="58"/>
      <c r="AM509" s="68" t="str">
        <f aca="false">IF(LEFT(AL509,1)="9","Celular",IF(AL509="","","Fixo"))</f>
        <v/>
      </c>
      <c r="AN509" s="58" t="str">
        <f aca="false">IF( AM509&lt;&gt;"",VLOOKUP(AM509,Selects!$M$4:$N$1000,2,0),"")</f>
        <v/>
      </c>
      <c r="AO509" s="58"/>
      <c r="AP509" s="59"/>
      <c r="AQ509" s="65"/>
      <c r="AR509" s="58"/>
      <c r="AS509" s="58"/>
      <c r="AT509" s="26"/>
      <c r="AU509" s="58"/>
      <c r="AV509" s="58"/>
      <c r="AW509" s="58"/>
      <c r="AX509" s="58"/>
      <c r="AY509" s="71"/>
      <c r="AZ509" s="58"/>
      <c r="BA509" s="58"/>
      <c r="BB509" s="72" t="str">
        <f aca="false">IF(BA509&lt;&gt;"",VLOOKUP(BA509,Selects!$B$4:$C$100,2,0),"")</f>
        <v/>
      </c>
      <c r="BC509" s="26"/>
      <c r="BD509" s="26"/>
      <c r="BE509" s="73"/>
      <c r="BF509" s="74"/>
      <c r="BG509" s="75" t="str">
        <f aca="false">IF(LEN(BF509)=11,"PF",IF(LEN(BF509)=14,"PJ",""))</f>
        <v/>
      </c>
      <c r="BH509" s="66"/>
      <c r="BI509" s="58" t="str">
        <f aca="false">IF(BH509&lt;&gt;"",VLOOKUP(BH509,Selects!$G:$H,2,0),"")</f>
        <v/>
      </c>
      <c r="BJ509" s="58"/>
      <c r="BK509" s="58"/>
      <c r="BL509" s="59"/>
      <c r="BM509" s="58"/>
      <c r="BN509" s="58"/>
      <c r="BO509" s="58" t="str">
        <f aca="false">IF(BN509&lt;&gt;"",VLOOKUP(BN509,Selects!$J$4:$K$1000,2,0),"")</f>
        <v/>
      </c>
      <c r="BP509" s="76"/>
      <c r="BQ509" s="59"/>
      <c r="BR509" s="77"/>
      <c r="BS509" s="59"/>
      <c r="BT509" s="77"/>
      <c r="BU509" s="58"/>
      <c r="BV509" s="58"/>
      <c r="BW509" s="58"/>
      <c r="BX509" s="58"/>
      <c r="BY509" s="58"/>
      <c r="BZ509" s="58"/>
      <c r="CA509" s="58"/>
      <c r="CB509" s="72" t="str">
        <f aca="false">IF(AC509&lt;&gt;"",VLOOKUP(AC509,Selects!$B:$E,4,0),"")</f>
        <v/>
      </c>
      <c r="CC509" s="58"/>
      <c r="CD509" s="58"/>
      <c r="CE509" s="58"/>
    </row>
    <row r="510" customFormat="false" ht="15.75" hidden="false" customHeight="true" outlineLevel="0" collapsed="false">
      <c r="A510" s="17"/>
      <c r="B510" s="58"/>
      <c r="C510" s="58"/>
      <c r="D510" s="59"/>
      <c r="E510" s="60" t="str">
        <f aca="false">IF(LEN(D510)=11,"PF",IF(LEN(D510)=14,"PJ",""))</f>
        <v/>
      </c>
      <c r="F510" s="59"/>
      <c r="G510" s="59"/>
      <c r="H510" s="61" t="str">
        <f aca="false">IF(G510&lt;&gt;"",VLOOKUP(G510,'Cnae  mcc  id'!$A:$M,9,0),"")</f>
        <v/>
      </c>
      <c r="I510" s="62"/>
      <c r="J510" s="63" t="str">
        <f aca="false">IF(I510&lt;&gt;"",VLOOKUP(I510,'Legal Nature'!$E$2:$G$84,3,0),"")</f>
        <v/>
      </c>
      <c r="K510" s="64"/>
      <c r="L510" s="65"/>
      <c r="M510" s="66"/>
      <c r="N510" s="66"/>
      <c r="O510" s="79"/>
      <c r="P510" s="26"/>
      <c r="Q510" s="58"/>
      <c r="R510" s="58"/>
      <c r="S510" s="80"/>
      <c r="T510" s="68" t="str">
        <f aca="false">IF(LEFT(S510,1)="9","Celular",IF(S510="","","Fixo"))</f>
        <v/>
      </c>
      <c r="U510" s="58" t="str">
        <f aca="false">IF( T510&lt;&gt;"",VLOOKUP(T510,Selects!$M$4:$N$1000,2,0),"")</f>
        <v/>
      </c>
      <c r="V510" s="26"/>
      <c r="W510" s="58"/>
      <c r="X510" s="58"/>
      <c r="Y510" s="58"/>
      <c r="Z510" s="58"/>
      <c r="AA510" s="69"/>
      <c r="AB510" s="58"/>
      <c r="AC510" s="58"/>
      <c r="AD510" s="70" t="str">
        <f aca="false">IF(AC510&lt;&gt;"",VLOOKUP(AC510,Selects!$B$4:$C$100,2,0),"")</f>
        <v/>
      </c>
      <c r="AE510" s="26"/>
      <c r="AF510" s="58"/>
      <c r="AG510" s="59"/>
      <c r="AH510" s="65"/>
      <c r="AI510" s="66"/>
      <c r="AJ510" s="66"/>
      <c r="AK510" s="58"/>
      <c r="AL510" s="58"/>
      <c r="AM510" s="68" t="str">
        <f aca="false">IF(LEFT(AL510,1)="9","Celular",IF(AL510="","","Fixo"))</f>
        <v/>
      </c>
      <c r="AN510" s="58" t="str">
        <f aca="false">IF( AM510&lt;&gt;"",VLOOKUP(AM510,Selects!$M$4:$N$1000,2,0),"")</f>
        <v/>
      </c>
      <c r="AO510" s="58"/>
      <c r="AP510" s="59"/>
      <c r="AQ510" s="65"/>
      <c r="AR510" s="58"/>
      <c r="AS510" s="58"/>
      <c r="AT510" s="26"/>
      <c r="AU510" s="58"/>
      <c r="AV510" s="58"/>
      <c r="AW510" s="58"/>
      <c r="AX510" s="58"/>
      <c r="AY510" s="71"/>
      <c r="AZ510" s="58"/>
      <c r="BA510" s="58"/>
      <c r="BB510" s="72" t="str">
        <f aca="false">IF(BA510&lt;&gt;"",VLOOKUP(BA510,Selects!$B$4:$C$100,2,0),"")</f>
        <v/>
      </c>
      <c r="BC510" s="26"/>
      <c r="BD510" s="26"/>
      <c r="BE510" s="73"/>
      <c r="BF510" s="74"/>
      <c r="BG510" s="75" t="str">
        <f aca="false">IF(LEN(BF510)=11,"PF",IF(LEN(BF510)=14,"PJ",""))</f>
        <v/>
      </c>
      <c r="BH510" s="66"/>
      <c r="BI510" s="58" t="str">
        <f aca="false">IF(BH510&lt;&gt;"",VLOOKUP(BH510,Selects!$G:$H,2,0),"")</f>
        <v/>
      </c>
      <c r="BJ510" s="58"/>
      <c r="BK510" s="58"/>
      <c r="BL510" s="59"/>
      <c r="BM510" s="58"/>
      <c r="BN510" s="58"/>
      <c r="BO510" s="58" t="str">
        <f aca="false">IF(BN510&lt;&gt;"",VLOOKUP(BN510,Selects!$J$4:$K$1000,2,0),"")</f>
        <v/>
      </c>
      <c r="BP510" s="76"/>
      <c r="BQ510" s="59"/>
      <c r="BR510" s="77"/>
      <c r="BS510" s="59"/>
      <c r="BT510" s="77"/>
      <c r="BU510" s="58"/>
      <c r="BV510" s="58"/>
      <c r="BW510" s="58"/>
      <c r="BX510" s="58"/>
      <c r="BY510" s="58"/>
      <c r="BZ510" s="58"/>
      <c r="CA510" s="58"/>
      <c r="CB510" s="72" t="str">
        <f aca="false">IF(AC510&lt;&gt;"",VLOOKUP(AC510,Selects!$B:$E,4,0),"")</f>
        <v/>
      </c>
      <c r="CC510" s="58"/>
      <c r="CD510" s="58"/>
      <c r="CE510" s="58"/>
    </row>
    <row r="511" customFormat="false" ht="15.75" hidden="false" customHeight="true" outlineLevel="0" collapsed="false">
      <c r="A511" s="17"/>
      <c r="B511" s="58"/>
      <c r="C511" s="58"/>
      <c r="D511" s="59"/>
      <c r="E511" s="60" t="str">
        <f aca="false">IF(LEN(D511)=11,"PF",IF(LEN(D511)=14,"PJ",""))</f>
        <v/>
      </c>
      <c r="F511" s="59"/>
      <c r="G511" s="59"/>
      <c r="H511" s="61" t="str">
        <f aca="false">IF(G511&lt;&gt;"",VLOOKUP(G511,'Cnae  mcc  id'!$A:$M,9,0),"")</f>
        <v/>
      </c>
      <c r="I511" s="62"/>
      <c r="J511" s="63" t="str">
        <f aca="false">IF(I511&lt;&gt;"",VLOOKUP(I511,'Legal Nature'!$E$2:$G$84,3,0),"")</f>
        <v/>
      </c>
      <c r="K511" s="64"/>
      <c r="L511" s="65"/>
      <c r="M511" s="66"/>
      <c r="N511" s="66"/>
      <c r="O511" s="79"/>
      <c r="P511" s="26"/>
      <c r="Q511" s="58"/>
      <c r="R511" s="58"/>
      <c r="S511" s="80"/>
      <c r="T511" s="68" t="str">
        <f aca="false">IF(LEFT(S511,1)="9","Celular",IF(S511="","","Fixo"))</f>
        <v/>
      </c>
      <c r="U511" s="58" t="str">
        <f aca="false">IF( T511&lt;&gt;"",VLOOKUP(T511,Selects!$M$4:$N$1000,2,0),"")</f>
        <v/>
      </c>
      <c r="V511" s="26"/>
      <c r="W511" s="58"/>
      <c r="X511" s="58"/>
      <c r="Y511" s="58"/>
      <c r="Z511" s="58"/>
      <c r="AA511" s="69"/>
      <c r="AB511" s="58"/>
      <c r="AC511" s="58"/>
      <c r="AD511" s="70" t="str">
        <f aca="false">IF(AC511&lt;&gt;"",VLOOKUP(AC511,Selects!$B$4:$C$100,2,0),"")</f>
        <v/>
      </c>
      <c r="AE511" s="26"/>
      <c r="AF511" s="58"/>
      <c r="AG511" s="59"/>
      <c r="AH511" s="65"/>
      <c r="AI511" s="66"/>
      <c r="AJ511" s="66"/>
      <c r="AK511" s="58"/>
      <c r="AL511" s="58"/>
      <c r="AM511" s="68" t="str">
        <f aca="false">IF(LEFT(AL511,1)="9","Celular",IF(AL511="","","Fixo"))</f>
        <v/>
      </c>
      <c r="AN511" s="58" t="str">
        <f aca="false">IF( AM511&lt;&gt;"",VLOOKUP(AM511,Selects!$M$4:$N$1000,2,0),"")</f>
        <v/>
      </c>
      <c r="AO511" s="58"/>
      <c r="AP511" s="59"/>
      <c r="AQ511" s="65"/>
      <c r="AR511" s="58"/>
      <c r="AS511" s="58"/>
      <c r="AT511" s="26"/>
      <c r="AU511" s="58"/>
      <c r="AV511" s="58"/>
      <c r="AW511" s="58"/>
      <c r="AX511" s="58"/>
      <c r="AY511" s="71"/>
      <c r="AZ511" s="58"/>
      <c r="BA511" s="58"/>
      <c r="BB511" s="72" t="str">
        <f aca="false">IF(BA511&lt;&gt;"",VLOOKUP(BA511,Selects!$B$4:$C$100,2,0),"")</f>
        <v/>
      </c>
      <c r="BC511" s="26"/>
      <c r="BD511" s="26"/>
      <c r="BE511" s="73"/>
      <c r="BF511" s="74"/>
      <c r="BG511" s="75" t="str">
        <f aca="false">IF(LEN(BF511)=11,"PF",IF(LEN(BF511)=14,"PJ",""))</f>
        <v/>
      </c>
      <c r="BH511" s="66"/>
      <c r="BI511" s="58" t="str">
        <f aca="false">IF(BH511&lt;&gt;"",VLOOKUP(BH511,Selects!$G:$H,2,0),"")</f>
        <v/>
      </c>
      <c r="BJ511" s="58"/>
      <c r="BK511" s="58"/>
      <c r="BL511" s="59"/>
      <c r="BM511" s="58"/>
      <c r="BN511" s="58"/>
      <c r="BO511" s="58" t="str">
        <f aca="false">IF(BN511&lt;&gt;"",VLOOKUP(BN511,Selects!$J$4:$K$1000,2,0),"")</f>
        <v/>
      </c>
      <c r="BP511" s="76"/>
      <c r="BQ511" s="59"/>
      <c r="BR511" s="77"/>
      <c r="BS511" s="59"/>
      <c r="BT511" s="77"/>
      <c r="BU511" s="58"/>
      <c r="BV511" s="58"/>
      <c r="BW511" s="58"/>
      <c r="BX511" s="58"/>
      <c r="BY511" s="58"/>
      <c r="BZ511" s="58"/>
      <c r="CA511" s="58"/>
      <c r="CB511" s="72" t="str">
        <f aca="false">IF(AC511&lt;&gt;"",VLOOKUP(AC511,Selects!$B:$E,4,0),"")</f>
        <v/>
      </c>
      <c r="CC511" s="58"/>
      <c r="CD511" s="58"/>
      <c r="CE511" s="58"/>
    </row>
    <row r="512" customFormat="false" ht="15.75" hidden="false" customHeight="true" outlineLevel="0" collapsed="false">
      <c r="A512" s="17"/>
      <c r="B512" s="58"/>
      <c r="C512" s="58"/>
      <c r="D512" s="59"/>
      <c r="E512" s="60" t="str">
        <f aca="false">IF(LEN(D512)=11,"PF",IF(LEN(D512)=14,"PJ",""))</f>
        <v/>
      </c>
      <c r="F512" s="59"/>
      <c r="G512" s="59"/>
      <c r="H512" s="61" t="str">
        <f aca="false">IF(G512&lt;&gt;"",VLOOKUP(G512,'Cnae  mcc  id'!$A:$M,9,0),"")</f>
        <v/>
      </c>
      <c r="I512" s="62"/>
      <c r="J512" s="63" t="str">
        <f aca="false">IF(I512&lt;&gt;"",VLOOKUP(I512,'Legal Nature'!$E$2:$G$84,3,0),"")</f>
        <v/>
      </c>
      <c r="K512" s="64"/>
      <c r="L512" s="65"/>
      <c r="M512" s="66"/>
      <c r="N512" s="66"/>
      <c r="O512" s="79"/>
      <c r="P512" s="26"/>
      <c r="Q512" s="58"/>
      <c r="R512" s="58"/>
      <c r="S512" s="80"/>
      <c r="T512" s="68" t="str">
        <f aca="false">IF(LEFT(S512,1)="9","Celular",IF(S512="","","Fixo"))</f>
        <v/>
      </c>
      <c r="U512" s="58" t="str">
        <f aca="false">IF( T512&lt;&gt;"",VLOOKUP(T512,Selects!$M$4:$N$1000,2,0),"")</f>
        <v/>
      </c>
      <c r="V512" s="26"/>
      <c r="W512" s="58"/>
      <c r="X512" s="58"/>
      <c r="Y512" s="58"/>
      <c r="Z512" s="58"/>
      <c r="AA512" s="69"/>
      <c r="AB512" s="58"/>
      <c r="AC512" s="58"/>
      <c r="AD512" s="70" t="str">
        <f aca="false">IF(AC512&lt;&gt;"",VLOOKUP(AC512,Selects!$B$4:$C$100,2,0),"")</f>
        <v/>
      </c>
      <c r="AE512" s="26"/>
      <c r="AF512" s="58"/>
      <c r="AG512" s="59"/>
      <c r="AH512" s="65"/>
      <c r="AI512" s="66"/>
      <c r="AJ512" s="66"/>
      <c r="AK512" s="58"/>
      <c r="AL512" s="58"/>
      <c r="AM512" s="68" t="str">
        <f aca="false">IF(LEFT(AL512,1)="9","Celular",IF(AL512="","","Fixo"))</f>
        <v/>
      </c>
      <c r="AN512" s="58" t="str">
        <f aca="false">IF( AM512&lt;&gt;"",VLOOKUP(AM512,Selects!$M$4:$N$1000,2,0),"")</f>
        <v/>
      </c>
      <c r="AO512" s="58"/>
      <c r="AP512" s="59"/>
      <c r="AQ512" s="65"/>
      <c r="AR512" s="58"/>
      <c r="AS512" s="58"/>
      <c r="AT512" s="26"/>
      <c r="AU512" s="58"/>
      <c r="AV512" s="58"/>
      <c r="AW512" s="58"/>
      <c r="AX512" s="58"/>
      <c r="AY512" s="71"/>
      <c r="AZ512" s="58"/>
      <c r="BA512" s="58"/>
      <c r="BB512" s="72" t="str">
        <f aca="false">IF(BA512&lt;&gt;"",VLOOKUP(BA512,Selects!$B$4:$C$100,2,0),"")</f>
        <v/>
      </c>
      <c r="BC512" s="26"/>
      <c r="BD512" s="26"/>
      <c r="BE512" s="73"/>
      <c r="BF512" s="74"/>
      <c r="BG512" s="75" t="str">
        <f aca="false">IF(LEN(BF512)=11,"PF",IF(LEN(BF512)=14,"PJ",""))</f>
        <v/>
      </c>
      <c r="BH512" s="66"/>
      <c r="BI512" s="58" t="str">
        <f aca="false">IF(BH512&lt;&gt;"",VLOOKUP(BH512,Selects!$G:$H,2,0),"")</f>
        <v/>
      </c>
      <c r="BJ512" s="58"/>
      <c r="BK512" s="58"/>
      <c r="BL512" s="59"/>
      <c r="BM512" s="58"/>
      <c r="BN512" s="58"/>
      <c r="BO512" s="58" t="str">
        <f aca="false">IF(BN512&lt;&gt;"",VLOOKUP(BN512,Selects!$J$4:$K$1000,2,0),"")</f>
        <v/>
      </c>
      <c r="BP512" s="76"/>
      <c r="BQ512" s="59"/>
      <c r="BR512" s="77"/>
      <c r="BS512" s="59"/>
      <c r="BT512" s="77"/>
      <c r="BU512" s="58"/>
      <c r="BV512" s="58"/>
      <c r="BW512" s="58"/>
      <c r="BX512" s="58"/>
      <c r="BY512" s="58"/>
      <c r="BZ512" s="58"/>
      <c r="CA512" s="58"/>
      <c r="CB512" s="72" t="str">
        <f aca="false">IF(AC512&lt;&gt;"",VLOOKUP(AC512,Selects!$B:$E,4,0),"")</f>
        <v/>
      </c>
      <c r="CC512" s="58"/>
      <c r="CD512" s="58"/>
      <c r="CE512" s="58"/>
    </row>
    <row r="513" customFormat="false" ht="15.75" hidden="false" customHeight="true" outlineLevel="0" collapsed="false">
      <c r="A513" s="17"/>
      <c r="B513" s="58"/>
      <c r="C513" s="58"/>
      <c r="D513" s="59"/>
      <c r="E513" s="60" t="str">
        <f aca="false">IF(LEN(D513)=11,"PF",IF(LEN(D513)=14,"PJ",""))</f>
        <v/>
      </c>
      <c r="F513" s="59"/>
      <c r="G513" s="59"/>
      <c r="H513" s="61" t="str">
        <f aca="false">IF(G513&lt;&gt;"",VLOOKUP(G513,'Cnae  mcc  id'!$A:$M,9,0),"")</f>
        <v/>
      </c>
      <c r="I513" s="62"/>
      <c r="J513" s="63" t="str">
        <f aca="false">IF(I513&lt;&gt;"",VLOOKUP(I513,'Legal Nature'!$E$2:$G$84,3,0),"")</f>
        <v/>
      </c>
      <c r="K513" s="64"/>
      <c r="L513" s="65"/>
      <c r="M513" s="66"/>
      <c r="N513" s="66"/>
      <c r="O513" s="79"/>
      <c r="P513" s="26"/>
      <c r="Q513" s="58"/>
      <c r="R513" s="58"/>
      <c r="S513" s="80"/>
      <c r="T513" s="68" t="str">
        <f aca="false">IF(LEFT(S513,1)="9","Celular",IF(S513="","","Fixo"))</f>
        <v/>
      </c>
      <c r="U513" s="58" t="str">
        <f aca="false">IF( T513&lt;&gt;"",VLOOKUP(T513,Selects!$M$4:$N$1000,2,0),"")</f>
        <v/>
      </c>
      <c r="V513" s="26"/>
      <c r="W513" s="58"/>
      <c r="X513" s="58"/>
      <c r="Y513" s="58"/>
      <c r="Z513" s="58"/>
      <c r="AA513" s="69"/>
      <c r="AB513" s="58"/>
      <c r="AC513" s="58"/>
      <c r="AD513" s="70" t="str">
        <f aca="false">IF(AC513&lt;&gt;"",VLOOKUP(AC513,Selects!$B$4:$C$100,2,0),"")</f>
        <v/>
      </c>
      <c r="AE513" s="26"/>
      <c r="AF513" s="58"/>
      <c r="AG513" s="59"/>
      <c r="AH513" s="65"/>
      <c r="AI513" s="66"/>
      <c r="AJ513" s="66"/>
      <c r="AK513" s="58"/>
      <c r="AL513" s="58"/>
      <c r="AM513" s="68" t="str">
        <f aca="false">IF(LEFT(AL513,1)="9","Celular",IF(AL513="","","Fixo"))</f>
        <v/>
      </c>
      <c r="AN513" s="58" t="str">
        <f aca="false">IF( AM513&lt;&gt;"",VLOOKUP(AM513,Selects!$M$4:$N$1000,2,0),"")</f>
        <v/>
      </c>
      <c r="AO513" s="58"/>
      <c r="AP513" s="59"/>
      <c r="AQ513" s="65"/>
      <c r="AR513" s="58"/>
      <c r="AS513" s="58"/>
      <c r="AT513" s="26"/>
      <c r="AU513" s="58"/>
      <c r="AV513" s="58"/>
      <c r="AW513" s="58"/>
      <c r="AX513" s="58"/>
      <c r="AY513" s="71"/>
      <c r="AZ513" s="58"/>
      <c r="BA513" s="58"/>
      <c r="BB513" s="72" t="str">
        <f aca="false">IF(BA513&lt;&gt;"",VLOOKUP(BA513,Selects!$B$4:$C$100,2,0),"")</f>
        <v/>
      </c>
      <c r="BC513" s="26"/>
      <c r="BD513" s="26"/>
      <c r="BE513" s="73"/>
      <c r="BF513" s="74"/>
      <c r="BG513" s="75" t="str">
        <f aca="false">IF(LEN(BF513)=11,"PF",IF(LEN(BF513)=14,"PJ",""))</f>
        <v/>
      </c>
      <c r="BH513" s="66"/>
      <c r="BI513" s="58" t="str">
        <f aca="false">IF(BH513&lt;&gt;"",VLOOKUP(BH513,Selects!$G:$H,2,0),"")</f>
        <v/>
      </c>
      <c r="BJ513" s="58"/>
      <c r="BK513" s="58"/>
      <c r="BL513" s="59"/>
      <c r="BM513" s="58"/>
      <c r="BN513" s="58"/>
      <c r="BO513" s="58" t="str">
        <f aca="false">IF(BN513&lt;&gt;"",VLOOKUP(BN513,Selects!$J$4:$K$1000,2,0),"")</f>
        <v/>
      </c>
      <c r="BP513" s="76"/>
      <c r="BQ513" s="59"/>
      <c r="BR513" s="77"/>
      <c r="BS513" s="59"/>
      <c r="BT513" s="77"/>
      <c r="BU513" s="58"/>
      <c r="BV513" s="58"/>
      <c r="BW513" s="58"/>
      <c r="BX513" s="58"/>
      <c r="BY513" s="58"/>
      <c r="BZ513" s="58"/>
      <c r="CA513" s="58"/>
      <c r="CB513" s="72" t="str">
        <f aca="false">IF(AC513&lt;&gt;"",VLOOKUP(AC513,Selects!$B:$E,4,0),"")</f>
        <v/>
      </c>
      <c r="CC513" s="58"/>
      <c r="CD513" s="58"/>
      <c r="CE513" s="58"/>
    </row>
    <row r="514" customFormat="false" ht="15.75" hidden="false" customHeight="true" outlineLevel="0" collapsed="false">
      <c r="A514" s="17"/>
      <c r="B514" s="58"/>
      <c r="C514" s="58"/>
      <c r="D514" s="59"/>
      <c r="E514" s="60" t="str">
        <f aca="false">IF(LEN(D514)=11,"PF",IF(LEN(D514)=14,"PJ",""))</f>
        <v/>
      </c>
      <c r="F514" s="59"/>
      <c r="G514" s="59"/>
      <c r="H514" s="61" t="str">
        <f aca="false">IF(G514&lt;&gt;"",VLOOKUP(G514,'Cnae  mcc  id'!$A:$M,9,0),"")</f>
        <v/>
      </c>
      <c r="I514" s="62"/>
      <c r="J514" s="63" t="str">
        <f aca="false">IF(I514&lt;&gt;"",VLOOKUP(I514,'Legal Nature'!$E$2:$G$84,3,0),"")</f>
        <v/>
      </c>
      <c r="K514" s="64"/>
      <c r="L514" s="65"/>
      <c r="M514" s="66"/>
      <c r="N514" s="66"/>
      <c r="O514" s="79"/>
      <c r="P514" s="26"/>
      <c r="Q514" s="58"/>
      <c r="R514" s="58"/>
      <c r="S514" s="80"/>
      <c r="T514" s="68" t="str">
        <f aca="false">IF(LEFT(S514,1)="9","Celular",IF(S514="","","Fixo"))</f>
        <v/>
      </c>
      <c r="U514" s="58" t="str">
        <f aca="false">IF( T514&lt;&gt;"",VLOOKUP(T514,Selects!$M$4:$N$1000,2,0),"")</f>
        <v/>
      </c>
      <c r="V514" s="26"/>
      <c r="W514" s="58"/>
      <c r="X514" s="58"/>
      <c r="Y514" s="58"/>
      <c r="Z514" s="58"/>
      <c r="AA514" s="69"/>
      <c r="AB514" s="58"/>
      <c r="AC514" s="58"/>
      <c r="AD514" s="70" t="str">
        <f aca="false">IF(AC514&lt;&gt;"",VLOOKUP(AC514,Selects!$B$4:$C$100,2,0),"")</f>
        <v/>
      </c>
      <c r="AE514" s="26"/>
      <c r="AF514" s="58"/>
      <c r="AG514" s="59"/>
      <c r="AH514" s="65"/>
      <c r="AI514" s="66"/>
      <c r="AJ514" s="66"/>
      <c r="AK514" s="58"/>
      <c r="AL514" s="58"/>
      <c r="AM514" s="68" t="str">
        <f aca="false">IF(LEFT(AL514,1)="9","Celular",IF(AL514="","","Fixo"))</f>
        <v/>
      </c>
      <c r="AN514" s="58" t="str">
        <f aca="false">IF( AM514&lt;&gt;"",VLOOKUP(AM514,Selects!$M$4:$N$1000,2,0),"")</f>
        <v/>
      </c>
      <c r="AO514" s="58"/>
      <c r="AP514" s="59"/>
      <c r="AQ514" s="65"/>
      <c r="AR514" s="58"/>
      <c r="AS514" s="58"/>
      <c r="AT514" s="26"/>
      <c r="AU514" s="58"/>
      <c r="AV514" s="58"/>
      <c r="AW514" s="58"/>
      <c r="AX514" s="58"/>
      <c r="AY514" s="71"/>
      <c r="AZ514" s="58"/>
      <c r="BA514" s="58"/>
      <c r="BB514" s="72" t="str">
        <f aca="false">IF(BA514&lt;&gt;"",VLOOKUP(BA514,Selects!$B$4:$C$100,2,0),"")</f>
        <v/>
      </c>
      <c r="BC514" s="26"/>
      <c r="BD514" s="26"/>
      <c r="BE514" s="73"/>
      <c r="BF514" s="74"/>
      <c r="BG514" s="75" t="str">
        <f aca="false">IF(LEN(BF514)=11,"PF",IF(LEN(BF514)=14,"PJ",""))</f>
        <v/>
      </c>
      <c r="BH514" s="66"/>
      <c r="BI514" s="58" t="str">
        <f aca="false">IF(BH514&lt;&gt;"",VLOOKUP(BH514,Selects!$G:$H,2,0),"")</f>
        <v/>
      </c>
      <c r="BJ514" s="58"/>
      <c r="BK514" s="58"/>
      <c r="BL514" s="59"/>
      <c r="BM514" s="58"/>
      <c r="BN514" s="58"/>
      <c r="BO514" s="58" t="str">
        <f aca="false">IF(BN514&lt;&gt;"",VLOOKUP(BN514,Selects!$J$4:$K$1000,2,0),"")</f>
        <v/>
      </c>
      <c r="BP514" s="76"/>
      <c r="BQ514" s="59"/>
      <c r="BR514" s="77"/>
      <c r="BS514" s="59"/>
      <c r="BT514" s="77"/>
      <c r="BU514" s="58"/>
      <c r="BV514" s="58"/>
      <c r="BW514" s="58"/>
      <c r="BX514" s="58"/>
      <c r="BY514" s="58"/>
      <c r="BZ514" s="58"/>
      <c r="CA514" s="58"/>
      <c r="CB514" s="72" t="str">
        <f aca="false">IF(AC514&lt;&gt;"",VLOOKUP(AC514,Selects!$B:$E,4,0),"")</f>
        <v/>
      </c>
      <c r="CC514" s="58"/>
      <c r="CD514" s="58"/>
      <c r="CE514" s="58"/>
    </row>
    <row r="515" customFormat="false" ht="15.75" hidden="false" customHeight="true" outlineLevel="0" collapsed="false">
      <c r="A515" s="17"/>
      <c r="B515" s="58"/>
      <c r="C515" s="58"/>
      <c r="D515" s="59"/>
      <c r="E515" s="60" t="str">
        <f aca="false">IF(LEN(D515)=11,"PF",IF(LEN(D515)=14,"PJ",""))</f>
        <v/>
      </c>
      <c r="F515" s="59"/>
      <c r="G515" s="59"/>
      <c r="H515" s="61" t="str">
        <f aca="false">IF(G515&lt;&gt;"",VLOOKUP(G515,'Cnae  mcc  id'!$A:$M,9,0),"")</f>
        <v/>
      </c>
      <c r="I515" s="62"/>
      <c r="J515" s="63" t="str">
        <f aca="false">IF(I515&lt;&gt;"",VLOOKUP(I515,'Legal Nature'!$E$2:$G$84,3,0),"")</f>
        <v/>
      </c>
      <c r="K515" s="64"/>
      <c r="L515" s="65"/>
      <c r="M515" s="66"/>
      <c r="N515" s="66"/>
      <c r="O515" s="79"/>
      <c r="P515" s="26"/>
      <c r="Q515" s="58"/>
      <c r="R515" s="58"/>
      <c r="S515" s="80"/>
      <c r="T515" s="68" t="str">
        <f aca="false">IF(LEFT(S515,1)="9","Celular",IF(S515="","","Fixo"))</f>
        <v/>
      </c>
      <c r="U515" s="58" t="str">
        <f aca="false">IF( T515&lt;&gt;"",VLOOKUP(T515,Selects!$M$4:$N$1000,2,0),"")</f>
        <v/>
      </c>
      <c r="V515" s="26"/>
      <c r="W515" s="58"/>
      <c r="X515" s="58"/>
      <c r="Y515" s="58"/>
      <c r="Z515" s="58"/>
      <c r="AA515" s="69"/>
      <c r="AB515" s="58"/>
      <c r="AC515" s="58"/>
      <c r="AD515" s="70" t="str">
        <f aca="false">IF(AC515&lt;&gt;"",VLOOKUP(AC515,Selects!$B$4:$C$100,2,0),"")</f>
        <v/>
      </c>
      <c r="AE515" s="26"/>
      <c r="AF515" s="58"/>
      <c r="AG515" s="59"/>
      <c r="AH515" s="65"/>
      <c r="AI515" s="66"/>
      <c r="AJ515" s="66"/>
      <c r="AK515" s="58"/>
      <c r="AL515" s="58"/>
      <c r="AM515" s="68" t="str">
        <f aca="false">IF(LEFT(AL515,1)="9","Celular",IF(AL515="","","Fixo"))</f>
        <v/>
      </c>
      <c r="AN515" s="58" t="str">
        <f aca="false">IF( AM515&lt;&gt;"",VLOOKUP(AM515,Selects!$M$4:$N$1000,2,0),"")</f>
        <v/>
      </c>
      <c r="AO515" s="58"/>
      <c r="AP515" s="59"/>
      <c r="AQ515" s="65"/>
      <c r="AR515" s="58"/>
      <c r="AS515" s="58"/>
      <c r="AT515" s="26"/>
      <c r="AU515" s="58"/>
      <c r="AV515" s="58"/>
      <c r="AW515" s="58"/>
      <c r="AX515" s="58"/>
      <c r="AY515" s="71"/>
      <c r="AZ515" s="58"/>
      <c r="BA515" s="58"/>
      <c r="BB515" s="72" t="str">
        <f aca="false">IF(BA515&lt;&gt;"",VLOOKUP(BA515,Selects!$B$4:$C$100,2,0),"")</f>
        <v/>
      </c>
      <c r="BC515" s="26"/>
      <c r="BD515" s="26"/>
      <c r="BE515" s="73"/>
      <c r="BF515" s="74"/>
      <c r="BG515" s="75" t="str">
        <f aca="false">IF(LEN(BF515)=11,"PF",IF(LEN(BF515)=14,"PJ",""))</f>
        <v/>
      </c>
      <c r="BH515" s="66"/>
      <c r="BI515" s="58" t="str">
        <f aca="false">IF(BH515&lt;&gt;"",VLOOKUP(BH515,Selects!$G:$H,2,0),"")</f>
        <v/>
      </c>
      <c r="BJ515" s="58"/>
      <c r="BK515" s="58"/>
      <c r="BL515" s="59"/>
      <c r="BM515" s="58"/>
      <c r="BN515" s="58"/>
      <c r="BO515" s="58" t="str">
        <f aca="false">IF(BN515&lt;&gt;"",VLOOKUP(BN515,Selects!$J$4:$K$1000,2,0),"")</f>
        <v/>
      </c>
      <c r="BP515" s="76"/>
      <c r="BQ515" s="59"/>
      <c r="BR515" s="77"/>
      <c r="BS515" s="59"/>
      <c r="BT515" s="77"/>
      <c r="BU515" s="58"/>
      <c r="BV515" s="58"/>
      <c r="BW515" s="58"/>
      <c r="BX515" s="58"/>
      <c r="BY515" s="58"/>
      <c r="BZ515" s="58"/>
      <c r="CA515" s="58"/>
      <c r="CB515" s="72" t="str">
        <f aca="false">IF(AC515&lt;&gt;"",VLOOKUP(AC515,Selects!$B:$E,4,0),"")</f>
        <v/>
      </c>
      <c r="CC515" s="58"/>
      <c r="CD515" s="58"/>
      <c r="CE515" s="58"/>
    </row>
    <row r="516" customFormat="false" ht="15.75" hidden="false" customHeight="true" outlineLevel="0" collapsed="false">
      <c r="A516" s="17"/>
      <c r="B516" s="58"/>
      <c r="C516" s="58"/>
      <c r="D516" s="59"/>
      <c r="E516" s="60" t="str">
        <f aca="false">IF(LEN(D516)=11,"PF",IF(LEN(D516)=14,"PJ",""))</f>
        <v/>
      </c>
      <c r="F516" s="59"/>
      <c r="G516" s="59"/>
      <c r="H516" s="61" t="str">
        <f aca="false">IF(G516&lt;&gt;"",VLOOKUP(G516,'Cnae  mcc  id'!$A:$M,9,0),"")</f>
        <v/>
      </c>
      <c r="I516" s="62"/>
      <c r="J516" s="63" t="str">
        <f aca="false">IF(I516&lt;&gt;"",VLOOKUP(I516,'Legal Nature'!$E$2:$G$84,3,0),"")</f>
        <v/>
      </c>
      <c r="K516" s="64"/>
      <c r="L516" s="65"/>
      <c r="M516" s="66"/>
      <c r="N516" s="66"/>
      <c r="O516" s="79"/>
      <c r="P516" s="26"/>
      <c r="Q516" s="58"/>
      <c r="R516" s="58"/>
      <c r="S516" s="80"/>
      <c r="T516" s="68" t="str">
        <f aca="false">IF(LEFT(S516,1)="9","Celular",IF(S516="","","Fixo"))</f>
        <v/>
      </c>
      <c r="U516" s="58" t="str">
        <f aca="false">IF( T516&lt;&gt;"",VLOOKUP(T516,Selects!$M$4:$N$1000,2,0),"")</f>
        <v/>
      </c>
      <c r="V516" s="26"/>
      <c r="W516" s="58"/>
      <c r="X516" s="58"/>
      <c r="Y516" s="58"/>
      <c r="Z516" s="58"/>
      <c r="AA516" s="69"/>
      <c r="AB516" s="58"/>
      <c r="AC516" s="58"/>
      <c r="AD516" s="70" t="str">
        <f aca="false">IF(AC516&lt;&gt;"",VLOOKUP(AC516,Selects!$B$4:$C$100,2,0),"")</f>
        <v/>
      </c>
      <c r="AE516" s="26"/>
      <c r="AF516" s="58"/>
      <c r="AG516" s="59"/>
      <c r="AH516" s="65"/>
      <c r="AI516" s="66"/>
      <c r="AJ516" s="66"/>
      <c r="AK516" s="58"/>
      <c r="AL516" s="58"/>
      <c r="AM516" s="68" t="str">
        <f aca="false">IF(LEFT(AL516,1)="9","Celular",IF(AL516="","","Fixo"))</f>
        <v/>
      </c>
      <c r="AN516" s="58" t="str">
        <f aca="false">IF( AM516&lt;&gt;"",VLOOKUP(AM516,Selects!$M$4:$N$1000,2,0),"")</f>
        <v/>
      </c>
      <c r="AO516" s="58"/>
      <c r="AP516" s="59"/>
      <c r="AQ516" s="65"/>
      <c r="AR516" s="58"/>
      <c r="AS516" s="58"/>
      <c r="AT516" s="26"/>
      <c r="AU516" s="58"/>
      <c r="AV516" s="58"/>
      <c r="AW516" s="58"/>
      <c r="AX516" s="58"/>
      <c r="AY516" s="71"/>
      <c r="AZ516" s="58"/>
      <c r="BA516" s="58"/>
      <c r="BB516" s="72" t="str">
        <f aca="false">IF(BA516&lt;&gt;"",VLOOKUP(BA516,Selects!$B$4:$C$100,2,0),"")</f>
        <v/>
      </c>
      <c r="BC516" s="26"/>
      <c r="BD516" s="26"/>
      <c r="BE516" s="73"/>
      <c r="BF516" s="74"/>
      <c r="BG516" s="75" t="str">
        <f aca="false">IF(LEN(BF516)=11,"PF",IF(LEN(BF516)=14,"PJ",""))</f>
        <v/>
      </c>
      <c r="BH516" s="66"/>
      <c r="BI516" s="58" t="str">
        <f aca="false">IF(BH516&lt;&gt;"",VLOOKUP(BH516,Selects!$G:$H,2,0),"")</f>
        <v/>
      </c>
      <c r="BJ516" s="58"/>
      <c r="BK516" s="58"/>
      <c r="BL516" s="59"/>
      <c r="BM516" s="58"/>
      <c r="BN516" s="58"/>
      <c r="BO516" s="58" t="str">
        <f aca="false">IF(BN516&lt;&gt;"",VLOOKUP(BN516,Selects!$J$4:$K$1000,2,0),"")</f>
        <v/>
      </c>
      <c r="BP516" s="76"/>
      <c r="BQ516" s="59"/>
      <c r="BR516" s="77"/>
      <c r="BS516" s="59"/>
      <c r="BT516" s="77"/>
      <c r="BU516" s="58"/>
      <c r="BV516" s="58"/>
      <c r="BW516" s="58"/>
      <c r="BX516" s="58"/>
      <c r="BY516" s="58"/>
      <c r="BZ516" s="58"/>
      <c r="CA516" s="58"/>
      <c r="CB516" s="72" t="str">
        <f aca="false">IF(AC516&lt;&gt;"",VLOOKUP(AC516,Selects!$B:$E,4,0),"")</f>
        <v/>
      </c>
      <c r="CC516" s="58"/>
      <c r="CD516" s="58"/>
      <c r="CE516" s="58"/>
    </row>
    <row r="517" customFormat="false" ht="15.75" hidden="false" customHeight="true" outlineLevel="0" collapsed="false">
      <c r="A517" s="17"/>
      <c r="B517" s="58"/>
      <c r="C517" s="58"/>
      <c r="D517" s="59"/>
      <c r="E517" s="60" t="str">
        <f aca="false">IF(LEN(D517)=11,"PF",IF(LEN(D517)=14,"PJ",""))</f>
        <v/>
      </c>
      <c r="F517" s="59"/>
      <c r="G517" s="59"/>
      <c r="H517" s="61" t="str">
        <f aca="false">IF(G517&lt;&gt;"",VLOOKUP(G517,'Cnae  mcc  id'!$A:$M,9,0),"")</f>
        <v/>
      </c>
      <c r="I517" s="62"/>
      <c r="J517" s="63" t="str">
        <f aca="false">IF(I517&lt;&gt;"",VLOOKUP(I517,'Legal Nature'!$E$2:$G$84,3,0),"")</f>
        <v/>
      </c>
      <c r="K517" s="64"/>
      <c r="L517" s="65"/>
      <c r="M517" s="66"/>
      <c r="N517" s="66"/>
      <c r="O517" s="79"/>
      <c r="P517" s="26"/>
      <c r="Q517" s="58"/>
      <c r="R517" s="58"/>
      <c r="S517" s="80"/>
      <c r="T517" s="68" t="str">
        <f aca="false">IF(LEFT(S517,1)="9","Celular",IF(S517="","","Fixo"))</f>
        <v/>
      </c>
      <c r="U517" s="58" t="str">
        <f aca="false">IF( T517&lt;&gt;"",VLOOKUP(T517,Selects!$M$4:$N$1000,2,0),"")</f>
        <v/>
      </c>
      <c r="V517" s="26"/>
      <c r="W517" s="58"/>
      <c r="X517" s="58"/>
      <c r="Y517" s="58"/>
      <c r="Z517" s="58"/>
      <c r="AA517" s="69"/>
      <c r="AB517" s="58"/>
      <c r="AC517" s="58"/>
      <c r="AD517" s="70" t="str">
        <f aca="false">IF(AC517&lt;&gt;"",VLOOKUP(AC517,Selects!$B$4:$C$100,2,0),"")</f>
        <v/>
      </c>
      <c r="AE517" s="26"/>
      <c r="AF517" s="58"/>
      <c r="AG517" s="59"/>
      <c r="AH517" s="65"/>
      <c r="AI517" s="66"/>
      <c r="AJ517" s="66"/>
      <c r="AK517" s="58"/>
      <c r="AL517" s="58"/>
      <c r="AM517" s="68" t="str">
        <f aca="false">IF(LEFT(AL517,1)="9","Celular",IF(AL517="","","Fixo"))</f>
        <v/>
      </c>
      <c r="AN517" s="58" t="str">
        <f aca="false">IF( AM517&lt;&gt;"",VLOOKUP(AM517,Selects!$M$4:$N$1000,2,0),"")</f>
        <v/>
      </c>
      <c r="AO517" s="58"/>
      <c r="AP517" s="59"/>
      <c r="AQ517" s="65"/>
      <c r="AR517" s="58"/>
      <c r="AS517" s="58"/>
      <c r="AT517" s="26"/>
      <c r="AU517" s="58"/>
      <c r="AV517" s="58"/>
      <c r="AW517" s="58"/>
      <c r="AX517" s="58"/>
      <c r="AY517" s="71"/>
      <c r="AZ517" s="58"/>
      <c r="BA517" s="58"/>
      <c r="BB517" s="72" t="str">
        <f aca="false">IF(BA517&lt;&gt;"",VLOOKUP(BA517,Selects!$B$4:$C$100,2,0),"")</f>
        <v/>
      </c>
      <c r="BC517" s="26"/>
      <c r="BD517" s="26"/>
      <c r="BE517" s="73"/>
      <c r="BF517" s="74"/>
      <c r="BG517" s="75" t="str">
        <f aca="false">IF(LEN(BF517)=11,"PF",IF(LEN(BF517)=14,"PJ",""))</f>
        <v/>
      </c>
      <c r="BH517" s="66"/>
      <c r="BI517" s="58" t="str">
        <f aca="false">IF(BH517&lt;&gt;"",VLOOKUP(BH517,Selects!$G:$H,2,0),"")</f>
        <v/>
      </c>
      <c r="BJ517" s="58"/>
      <c r="BK517" s="58"/>
      <c r="BL517" s="59"/>
      <c r="BM517" s="58"/>
      <c r="BN517" s="58"/>
      <c r="BO517" s="58" t="str">
        <f aca="false">IF(BN517&lt;&gt;"",VLOOKUP(BN517,Selects!$J$4:$K$1000,2,0),"")</f>
        <v/>
      </c>
      <c r="BP517" s="76"/>
      <c r="BQ517" s="59"/>
      <c r="BR517" s="77"/>
      <c r="BS517" s="59"/>
      <c r="BT517" s="77"/>
      <c r="BU517" s="58"/>
      <c r="BV517" s="58"/>
      <c r="BW517" s="58"/>
      <c r="BX517" s="58"/>
      <c r="BY517" s="58"/>
      <c r="BZ517" s="58"/>
      <c r="CA517" s="58"/>
      <c r="CB517" s="72" t="str">
        <f aca="false">IF(AC517&lt;&gt;"",VLOOKUP(AC517,Selects!$B:$E,4,0),"")</f>
        <v/>
      </c>
      <c r="CC517" s="58"/>
      <c r="CD517" s="58"/>
      <c r="CE517" s="58"/>
    </row>
    <row r="518" customFormat="false" ht="15.75" hidden="false" customHeight="true" outlineLevel="0" collapsed="false">
      <c r="A518" s="17"/>
      <c r="B518" s="58"/>
      <c r="C518" s="58"/>
      <c r="D518" s="59"/>
      <c r="E518" s="60" t="str">
        <f aca="false">IF(LEN(D518)=11,"PF",IF(LEN(D518)=14,"PJ",""))</f>
        <v/>
      </c>
      <c r="F518" s="59"/>
      <c r="G518" s="59"/>
      <c r="H518" s="61" t="str">
        <f aca="false">IF(G518&lt;&gt;"",VLOOKUP(G518,'Cnae  mcc  id'!$A:$M,9,0),"")</f>
        <v/>
      </c>
      <c r="I518" s="62"/>
      <c r="J518" s="63" t="str">
        <f aca="false">IF(I518&lt;&gt;"",VLOOKUP(I518,'Legal Nature'!$E$2:$G$84,3,0),"")</f>
        <v/>
      </c>
      <c r="K518" s="64"/>
      <c r="L518" s="65"/>
      <c r="M518" s="66"/>
      <c r="N518" s="66"/>
      <c r="O518" s="79"/>
      <c r="P518" s="26"/>
      <c r="Q518" s="58"/>
      <c r="R518" s="58"/>
      <c r="S518" s="80"/>
      <c r="T518" s="68" t="str">
        <f aca="false">IF(LEFT(S518,1)="9","Celular",IF(S518="","","Fixo"))</f>
        <v/>
      </c>
      <c r="U518" s="58" t="str">
        <f aca="false">IF( T518&lt;&gt;"",VLOOKUP(T518,Selects!$M$4:$N$1000,2,0),"")</f>
        <v/>
      </c>
      <c r="V518" s="26"/>
      <c r="W518" s="58"/>
      <c r="X518" s="58"/>
      <c r="Y518" s="58"/>
      <c r="Z518" s="58"/>
      <c r="AA518" s="69"/>
      <c r="AB518" s="58"/>
      <c r="AC518" s="58"/>
      <c r="AD518" s="70" t="str">
        <f aca="false">IF(AC518&lt;&gt;"",VLOOKUP(AC518,Selects!$B$4:$C$100,2,0),"")</f>
        <v/>
      </c>
      <c r="AE518" s="26"/>
      <c r="AF518" s="58"/>
      <c r="AG518" s="59"/>
      <c r="AH518" s="65"/>
      <c r="AI518" s="66"/>
      <c r="AJ518" s="66"/>
      <c r="AK518" s="58"/>
      <c r="AL518" s="58"/>
      <c r="AM518" s="68" t="str">
        <f aca="false">IF(LEFT(AL518,1)="9","Celular",IF(AL518="","","Fixo"))</f>
        <v/>
      </c>
      <c r="AN518" s="58" t="str">
        <f aca="false">IF( AM518&lt;&gt;"",VLOOKUP(AM518,Selects!$M$4:$N$1000,2,0),"")</f>
        <v/>
      </c>
      <c r="AO518" s="58"/>
      <c r="AP518" s="59"/>
      <c r="AQ518" s="65"/>
      <c r="AR518" s="58"/>
      <c r="AS518" s="58"/>
      <c r="AT518" s="26"/>
      <c r="AU518" s="58"/>
      <c r="AV518" s="58"/>
      <c r="AW518" s="58"/>
      <c r="AX518" s="58"/>
      <c r="AY518" s="71"/>
      <c r="AZ518" s="58"/>
      <c r="BA518" s="58"/>
      <c r="BB518" s="72" t="str">
        <f aca="false">IF(BA518&lt;&gt;"",VLOOKUP(BA518,Selects!$B$4:$C$100,2,0),"")</f>
        <v/>
      </c>
      <c r="BC518" s="26"/>
      <c r="BD518" s="26"/>
      <c r="BE518" s="73"/>
      <c r="BF518" s="74"/>
      <c r="BG518" s="75" t="str">
        <f aca="false">IF(LEN(BF518)=11,"PF",IF(LEN(BF518)=14,"PJ",""))</f>
        <v/>
      </c>
      <c r="BH518" s="66"/>
      <c r="BI518" s="58" t="str">
        <f aca="false">IF(BH518&lt;&gt;"",VLOOKUP(BH518,Selects!$G:$H,2,0),"")</f>
        <v/>
      </c>
      <c r="BJ518" s="58"/>
      <c r="BK518" s="58"/>
      <c r="BL518" s="59"/>
      <c r="BM518" s="58"/>
      <c r="BN518" s="58"/>
      <c r="BO518" s="58" t="str">
        <f aca="false">IF(BN518&lt;&gt;"",VLOOKUP(BN518,Selects!$J$4:$K$1000,2,0),"")</f>
        <v/>
      </c>
      <c r="BP518" s="76"/>
      <c r="BQ518" s="59"/>
      <c r="BR518" s="77"/>
      <c r="BS518" s="59"/>
      <c r="BT518" s="77"/>
      <c r="BU518" s="58"/>
      <c r="BV518" s="58"/>
      <c r="BW518" s="58"/>
      <c r="BX518" s="58"/>
      <c r="BY518" s="58"/>
      <c r="BZ518" s="58"/>
      <c r="CA518" s="58"/>
      <c r="CB518" s="72" t="str">
        <f aca="false">IF(AC518&lt;&gt;"",VLOOKUP(AC518,Selects!$B:$E,4,0),"")</f>
        <v/>
      </c>
      <c r="CC518" s="58"/>
      <c r="CD518" s="58"/>
      <c r="CE518" s="58"/>
    </row>
    <row r="519" customFormat="false" ht="15.75" hidden="false" customHeight="true" outlineLevel="0" collapsed="false">
      <c r="A519" s="17"/>
      <c r="B519" s="58"/>
      <c r="C519" s="58"/>
      <c r="D519" s="59"/>
      <c r="E519" s="60" t="str">
        <f aca="false">IF(LEN(D519)=11,"PF",IF(LEN(D519)=14,"PJ",""))</f>
        <v/>
      </c>
      <c r="F519" s="59"/>
      <c r="G519" s="59"/>
      <c r="H519" s="61" t="str">
        <f aca="false">IF(G519&lt;&gt;"",VLOOKUP(G519,'Cnae  mcc  id'!$A:$M,9,0),"")</f>
        <v/>
      </c>
      <c r="I519" s="62"/>
      <c r="J519" s="63" t="str">
        <f aca="false">IF(I519&lt;&gt;"",VLOOKUP(I519,'Legal Nature'!$E$2:$G$84,3,0),"")</f>
        <v/>
      </c>
      <c r="K519" s="64"/>
      <c r="L519" s="65"/>
      <c r="M519" s="66"/>
      <c r="N519" s="66"/>
      <c r="O519" s="79"/>
      <c r="P519" s="26"/>
      <c r="Q519" s="58"/>
      <c r="R519" s="58"/>
      <c r="S519" s="80"/>
      <c r="T519" s="68" t="str">
        <f aca="false">IF(LEFT(S519,1)="9","Celular",IF(S519="","","Fixo"))</f>
        <v/>
      </c>
      <c r="U519" s="58" t="str">
        <f aca="false">IF( T519&lt;&gt;"",VLOOKUP(T519,Selects!$M$4:$N$1000,2,0),"")</f>
        <v/>
      </c>
      <c r="V519" s="26"/>
      <c r="W519" s="58"/>
      <c r="X519" s="58"/>
      <c r="Y519" s="58"/>
      <c r="Z519" s="58"/>
      <c r="AA519" s="69"/>
      <c r="AB519" s="58"/>
      <c r="AC519" s="58"/>
      <c r="AD519" s="70" t="str">
        <f aca="false">IF(AC519&lt;&gt;"",VLOOKUP(AC519,Selects!$B$4:$C$100,2,0),"")</f>
        <v/>
      </c>
      <c r="AE519" s="26"/>
      <c r="AF519" s="58"/>
      <c r="AG519" s="59"/>
      <c r="AH519" s="65"/>
      <c r="AI519" s="66"/>
      <c r="AJ519" s="66"/>
      <c r="AK519" s="58"/>
      <c r="AL519" s="58"/>
      <c r="AM519" s="68" t="str">
        <f aca="false">IF(LEFT(AL519,1)="9","Celular",IF(AL519="","","Fixo"))</f>
        <v/>
      </c>
      <c r="AN519" s="58" t="str">
        <f aca="false">IF( AM519&lt;&gt;"",VLOOKUP(AM519,Selects!$M$4:$N$1000,2,0),"")</f>
        <v/>
      </c>
      <c r="AO519" s="58"/>
      <c r="AP519" s="59"/>
      <c r="AQ519" s="65"/>
      <c r="AR519" s="58"/>
      <c r="AS519" s="58"/>
      <c r="AT519" s="26"/>
      <c r="AU519" s="58"/>
      <c r="AV519" s="58"/>
      <c r="AW519" s="58"/>
      <c r="AX519" s="58"/>
      <c r="AY519" s="71"/>
      <c r="AZ519" s="58"/>
      <c r="BA519" s="58"/>
      <c r="BB519" s="72" t="str">
        <f aca="false">IF(BA519&lt;&gt;"",VLOOKUP(BA519,Selects!$B$4:$C$100,2,0),"")</f>
        <v/>
      </c>
      <c r="BC519" s="26"/>
      <c r="BD519" s="26"/>
      <c r="BE519" s="73"/>
      <c r="BF519" s="74"/>
      <c r="BG519" s="75" t="str">
        <f aca="false">IF(LEN(BF519)=11,"PF",IF(LEN(BF519)=14,"PJ",""))</f>
        <v/>
      </c>
      <c r="BH519" s="66"/>
      <c r="BI519" s="58" t="str">
        <f aca="false">IF(BH519&lt;&gt;"",VLOOKUP(BH519,Selects!$G:$H,2,0),"")</f>
        <v/>
      </c>
      <c r="BJ519" s="58"/>
      <c r="BK519" s="58"/>
      <c r="BL519" s="59"/>
      <c r="BM519" s="58"/>
      <c r="BN519" s="58"/>
      <c r="BO519" s="58" t="str">
        <f aca="false">IF(BN519&lt;&gt;"",VLOOKUP(BN519,Selects!$J$4:$K$1000,2,0),"")</f>
        <v/>
      </c>
      <c r="BP519" s="76"/>
      <c r="BQ519" s="59"/>
      <c r="BR519" s="77"/>
      <c r="BS519" s="59"/>
      <c r="BT519" s="77"/>
      <c r="BU519" s="58"/>
      <c r="BV519" s="58"/>
      <c r="BW519" s="58"/>
      <c r="BX519" s="58"/>
      <c r="BY519" s="58"/>
      <c r="BZ519" s="58"/>
      <c r="CA519" s="58"/>
      <c r="CB519" s="72" t="str">
        <f aca="false">IF(AC519&lt;&gt;"",VLOOKUP(AC519,Selects!$B:$E,4,0),"")</f>
        <v/>
      </c>
      <c r="CC519" s="58"/>
      <c r="CD519" s="58"/>
      <c r="CE519" s="58"/>
    </row>
    <row r="520" customFormat="false" ht="15.75" hidden="false" customHeight="true" outlineLevel="0" collapsed="false">
      <c r="A520" s="17"/>
      <c r="B520" s="58"/>
      <c r="C520" s="58"/>
      <c r="D520" s="59"/>
      <c r="E520" s="60" t="str">
        <f aca="false">IF(LEN(D520)=11,"PF",IF(LEN(D520)=14,"PJ",""))</f>
        <v/>
      </c>
      <c r="F520" s="59"/>
      <c r="G520" s="59"/>
      <c r="H520" s="61" t="str">
        <f aca="false">IF(G520&lt;&gt;"",VLOOKUP(G520,'Cnae  mcc  id'!$A:$M,9,0),"")</f>
        <v/>
      </c>
      <c r="I520" s="62"/>
      <c r="J520" s="63" t="str">
        <f aca="false">IF(I520&lt;&gt;"",VLOOKUP(I520,'Legal Nature'!$E$2:$G$84,3,0),"")</f>
        <v/>
      </c>
      <c r="K520" s="64"/>
      <c r="L520" s="65"/>
      <c r="M520" s="66"/>
      <c r="N520" s="66"/>
      <c r="O520" s="79"/>
      <c r="P520" s="26"/>
      <c r="Q520" s="58"/>
      <c r="R520" s="58"/>
      <c r="S520" s="80"/>
      <c r="T520" s="68" t="str">
        <f aca="false">IF(LEFT(S520,1)="9","Celular",IF(S520="","","Fixo"))</f>
        <v/>
      </c>
      <c r="U520" s="58" t="str">
        <f aca="false">IF( T520&lt;&gt;"",VLOOKUP(T520,Selects!$M$4:$N$1000,2,0),"")</f>
        <v/>
      </c>
      <c r="V520" s="26"/>
      <c r="W520" s="58"/>
      <c r="X520" s="58"/>
      <c r="Y520" s="58"/>
      <c r="Z520" s="58"/>
      <c r="AA520" s="69"/>
      <c r="AB520" s="58"/>
      <c r="AC520" s="58"/>
      <c r="AD520" s="70" t="str">
        <f aca="false">IF(AC520&lt;&gt;"",VLOOKUP(AC520,Selects!$B$4:$C$100,2,0),"")</f>
        <v/>
      </c>
      <c r="AE520" s="26"/>
      <c r="AF520" s="58"/>
      <c r="AG520" s="59"/>
      <c r="AH520" s="65"/>
      <c r="AI520" s="66"/>
      <c r="AJ520" s="66"/>
      <c r="AK520" s="58"/>
      <c r="AL520" s="58"/>
      <c r="AM520" s="68" t="str">
        <f aca="false">IF(LEFT(AL520,1)="9","Celular",IF(AL520="","","Fixo"))</f>
        <v/>
      </c>
      <c r="AN520" s="58" t="str">
        <f aca="false">IF( AM520&lt;&gt;"",VLOOKUP(AM520,Selects!$M$4:$N$1000,2,0),"")</f>
        <v/>
      </c>
      <c r="AO520" s="58"/>
      <c r="AP520" s="59"/>
      <c r="AQ520" s="65"/>
      <c r="AR520" s="58"/>
      <c r="AS520" s="58"/>
      <c r="AT520" s="26"/>
      <c r="AU520" s="58"/>
      <c r="AV520" s="58"/>
      <c r="AW520" s="58"/>
      <c r="AX520" s="58"/>
      <c r="AY520" s="71"/>
      <c r="AZ520" s="58"/>
      <c r="BA520" s="58"/>
      <c r="BB520" s="72" t="str">
        <f aca="false">IF(BA520&lt;&gt;"",VLOOKUP(BA520,Selects!$B$4:$C$100,2,0),"")</f>
        <v/>
      </c>
      <c r="BC520" s="26"/>
      <c r="BD520" s="26"/>
      <c r="BE520" s="73"/>
      <c r="BF520" s="74"/>
      <c r="BG520" s="75" t="str">
        <f aca="false">IF(LEN(BF520)=11,"PF",IF(LEN(BF520)=14,"PJ",""))</f>
        <v/>
      </c>
      <c r="BH520" s="66"/>
      <c r="BI520" s="58" t="str">
        <f aca="false">IF(BH520&lt;&gt;"",VLOOKUP(BH520,Selects!$G:$H,2,0),"")</f>
        <v/>
      </c>
      <c r="BJ520" s="58"/>
      <c r="BK520" s="58"/>
      <c r="BL520" s="59"/>
      <c r="BM520" s="58"/>
      <c r="BN520" s="58"/>
      <c r="BO520" s="58" t="str">
        <f aca="false">IF(BN520&lt;&gt;"",VLOOKUP(BN520,Selects!$J$4:$K$1000,2,0),"")</f>
        <v/>
      </c>
      <c r="BP520" s="76"/>
      <c r="BQ520" s="59"/>
      <c r="BR520" s="77"/>
      <c r="BS520" s="59"/>
      <c r="BT520" s="77"/>
      <c r="BU520" s="58"/>
      <c r="BV520" s="58"/>
      <c r="BW520" s="58"/>
      <c r="BX520" s="58"/>
      <c r="BY520" s="58"/>
      <c r="BZ520" s="58"/>
      <c r="CA520" s="58"/>
      <c r="CB520" s="72" t="str">
        <f aca="false">IF(AC520&lt;&gt;"",VLOOKUP(AC520,Selects!$B:$E,4,0),"")</f>
        <v/>
      </c>
      <c r="CC520" s="58"/>
      <c r="CD520" s="58"/>
      <c r="CE520" s="58"/>
    </row>
    <row r="521" customFormat="false" ht="15.75" hidden="false" customHeight="true" outlineLevel="0" collapsed="false">
      <c r="A521" s="17"/>
      <c r="B521" s="58"/>
      <c r="C521" s="58"/>
      <c r="D521" s="59"/>
      <c r="E521" s="60" t="str">
        <f aca="false">IF(LEN(D521)=11,"PF",IF(LEN(D521)=14,"PJ",""))</f>
        <v/>
      </c>
      <c r="F521" s="59"/>
      <c r="G521" s="59"/>
      <c r="H521" s="61" t="str">
        <f aca="false">IF(G521&lt;&gt;"",VLOOKUP(G521,'Cnae  mcc  id'!$A:$M,9,0),"")</f>
        <v/>
      </c>
      <c r="I521" s="62"/>
      <c r="J521" s="63" t="str">
        <f aca="false">IF(I521&lt;&gt;"",VLOOKUP(I521,'Legal Nature'!$E$2:$G$84,3,0),"")</f>
        <v/>
      </c>
      <c r="K521" s="64"/>
      <c r="L521" s="65"/>
      <c r="M521" s="66"/>
      <c r="N521" s="66"/>
      <c r="O521" s="79"/>
      <c r="P521" s="26"/>
      <c r="Q521" s="58"/>
      <c r="R521" s="58"/>
      <c r="S521" s="80"/>
      <c r="T521" s="68" t="str">
        <f aca="false">IF(LEFT(S521,1)="9","Celular",IF(S521="","","Fixo"))</f>
        <v/>
      </c>
      <c r="U521" s="58" t="str">
        <f aca="false">IF( T521&lt;&gt;"",VLOOKUP(T521,Selects!$M$4:$N$1000,2,0),"")</f>
        <v/>
      </c>
      <c r="V521" s="26"/>
      <c r="W521" s="58"/>
      <c r="X521" s="58"/>
      <c r="Y521" s="58"/>
      <c r="Z521" s="58"/>
      <c r="AA521" s="69"/>
      <c r="AB521" s="58"/>
      <c r="AC521" s="58"/>
      <c r="AD521" s="70" t="str">
        <f aca="false">IF(AC521&lt;&gt;"",VLOOKUP(AC521,Selects!$B$4:$C$100,2,0),"")</f>
        <v/>
      </c>
      <c r="AE521" s="26"/>
      <c r="AF521" s="58"/>
      <c r="AG521" s="59"/>
      <c r="AH521" s="65"/>
      <c r="AI521" s="66"/>
      <c r="AJ521" s="66"/>
      <c r="AK521" s="58"/>
      <c r="AL521" s="58"/>
      <c r="AM521" s="68" t="str">
        <f aca="false">IF(LEFT(AL521,1)="9","Celular",IF(AL521="","","Fixo"))</f>
        <v/>
      </c>
      <c r="AN521" s="58" t="str">
        <f aca="false">IF( AM521&lt;&gt;"",VLOOKUP(AM521,Selects!$M$4:$N$1000,2,0),"")</f>
        <v/>
      </c>
      <c r="AO521" s="58"/>
      <c r="AP521" s="59"/>
      <c r="AQ521" s="65"/>
      <c r="AR521" s="58"/>
      <c r="AS521" s="58"/>
      <c r="AT521" s="26"/>
      <c r="AU521" s="58"/>
      <c r="AV521" s="58"/>
      <c r="AW521" s="58"/>
      <c r="AX521" s="58"/>
      <c r="AY521" s="71"/>
      <c r="AZ521" s="58"/>
      <c r="BA521" s="58"/>
      <c r="BB521" s="72" t="str">
        <f aca="false">IF(BA521&lt;&gt;"",VLOOKUP(BA521,Selects!$B$4:$C$100,2,0),"")</f>
        <v/>
      </c>
      <c r="BC521" s="26"/>
      <c r="BD521" s="26"/>
      <c r="BE521" s="73"/>
      <c r="BF521" s="74"/>
      <c r="BG521" s="75" t="str">
        <f aca="false">IF(LEN(BF521)=11,"PF",IF(LEN(BF521)=14,"PJ",""))</f>
        <v/>
      </c>
      <c r="BH521" s="66"/>
      <c r="BI521" s="58" t="str">
        <f aca="false">IF(BH521&lt;&gt;"",VLOOKUP(BH521,Selects!$G:$H,2,0),"")</f>
        <v/>
      </c>
      <c r="BJ521" s="58"/>
      <c r="BK521" s="58"/>
      <c r="BL521" s="59"/>
      <c r="BM521" s="58"/>
      <c r="BN521" s="58"/>
      <c r="BO521" s="58" t="str">
        <f aca="false">IF(BN521&lt;&gt;"",VLOOKUP(BN521,Selects!$J$4:$K$1000,2,0),"")</f>
        <v/>
      </c>
      <c r="BP521" s="76"/>
      <c r="BQ521" s="59"/>
      <c r="BR521" s="77"/>
      <c r="BS521" s="59"/>
      <c r="BT521" s="77"/>
      <c r="BU521" s="58"/>
      <c r="BV521" s="58"/>
      <c r="BW521" s="58"/>
      <c r="BX521" s="58"/>
      <c r="BY521" s="58"/>
      <c r="BZ521" s="58"/>
      <c r="CA521" s="58"/>
      <c r="CB521" s="72" t="str">
        <f aca="false">IF(AC521&lt;&gt;"",VLOOKUP(AC521,Selects!$B:$E,4,0),"")</f>
        <v/>
      </c>
      <c r="CC521" s="58"/>
      <c r="CD521" s="58"/>
      <c r="CE521" s="58"/>
    </row>
    <row r="522" customFormat="false" ht="15.75" hidden="false" customHeight="true" outlineLevel="0" collapsed="false">
      <c r="A522" s="17"/>
      <c r="B522" s="58"/>
      <c r="C522" s="58"/>
      <c r="D522" s="59"/>
      <c r="E522" s="60" t="str">
        <f aca="false">IF(LEN(D522)=11,"PF",IF(LEN(D522)=14,"PJ",""))</f>
        <v/>
      </c>
      <c r="F522" s="59"/>
      <c r="G522" s="59"/>
      <c r="H522" s="61" t="str">
        <f aca="false">IF(G522&lt;&gt;"",VLOOKUP(G522,'Cnae  mcc  id'!$A:$M,9,0),"")</f>
        <v/>
      </c>
      <c r="I522" s="62"/>
      <c r="J522" s="63" t="str">
        <f aca="false">IF(I522&lt;&gt;"",VLOOKUP(I522,'Legal Nature'!$E$2:$G$84,3,0),"")</f>
        <v/>
      </c>
      <c r="K522" s="64"/>
      <c r="L522" s="65"/>
      <c r="M522" s="66"/>
      <c r="N522" s="66"/>
      <c r="O522" s="79"/>
      <c r="P522" s="26"/>
      <c r="Q522" s="58"/>
      <c r="R522" s="58"/>
      <c r="S522" s="80"/>
      <c r="T522" s="68" t="str">
        <f aca="false">IF(LEFT(S522,1)="9","Celular",IF(S522="","","Fixo"))</f>
        <v/>
      </c>
      <c r="U522" s="58" t="str">
        <f aca="false">IF( T522&lt;&gt;"",VLOOKUP(T522,Selects!$M$4:$N$1000,2,0),"")</f>
        <v/>
      </c>
      <c r="V522" s="26"/>
      <c r="W522" s="58"/>
      <c r="X522" s="58"/>
      <c r="Y522" s="58"/>
      <c r="Z522" s="58"/>
      <c r="AA522" s="69"/>
      <c r="AB522" s="58"/>
      <c r="AC522" s="58"/>
      <c r="AD522" s="70" t="str">
        <f aca="false">IF(AC522&lt;&gt;"",VLOOKUP(AC522,Selects!$B$4:$C$100,2,0),"")</f>
        <v/>
      </c>
      <c r="AE522" s="26"/>
      <c r="AF522" s="58"/>
      <c r="AG522" s="59"/>
      <c r="AH522" s="65"/>
      <c r="AI522" s="66"/>
      <c r="AJ522" s="66"/>
      <c r="AK522" s="58"/>
      <c r="AL522" s="58"/>
      <c r="AM522" s="68" t="str">
        <f aca="false">IF(LEFT(AL522,1)="9","Celular",IF(AL522="","","Fixo"))</f>
        <v/>
      </c>
      <c r="AN522" s="58" t="str">
        <f aca="false">IF( AM522&lt;&gt;"",VLOOKUP(AM522,Selects!$M$4:$N$1000,2,0),"")</f>
        <v/>
      </c>
      <c r="AO522" s="58"/>
      <c r="AP522" s="59"/>
      <c r="AQ522" s="65"/>
      <c r="AR522" s="58"/>
      <c r="AS522" s="58"/>
      <c r="AT522" s="26"/>
      <c r="AU522" s="58"/>
      <c r="AV522" s="58"/>
      <c r="AW522" s="58"/>
      <c r="AX522" s="58"/>
      <c r="AY522" s="71"/>
      <c r="AZ522" s="58"/>
      <c r="BA522" s="58"/>
      <c r="BB522" s="72" t="str">
        <f aca="false">IF(BA522&lt;&gt;"",VLOOKUP(BA522,Selects!$B$4:$C$100,2,0),"")</f>
        <v/>
      </c>
      <c r="BC522" s="26"/>
      <c r="BD522" s="26"/>
      <c r="BE522" s="73"/>
      <c r="BF522" s="74"/>
      <c r="BG522" s="75" t="str">
        <f aca="false">IF(LEN(BF522)=11,"PF",IF(LEN(BF522)=14,"PJ",""))</f>
        <v/>
      </c>
      <c r="BH522" s="66"/>
      <c r="BI522" s="58" t="str">
        <f aca="false">IF(BH522&lt;&gt;"",VLOOKUP(BH522,Selects!$G:$H,2,0),"")</f>
        <v/>
      </c>
      <c r="BJ522" s="58"/>
      <c r="BK522" s="58"/>
      <c r="BL522" s="59"/>
      <c r="BM522" s="58"/>
      <c r="BN522" s="58"/>
      <c r="BO522" s="58" t="str">
        <f aca="false">IF(BN522&lt;&gt;"",VLOOKUP(BN522,Selects!$J$4:$K$1000,2,0),"")</f>
        <v/>
      </c>
      <c r="BP522" s="76"/>
      <c r="BQ522" s="59"/>
      <c r="BR522" s="77"/>
      <c r="BS522" s="59"/>
      <c r="BT522" s="77"/>
      <c r="BU522" s="58"/>
      <c r="BV522" s="58"/>
      <c r="BW522" s="58"/>
      <c r="BX522" s="58"/>
      <c r="BY522" s="58"/>
      <c r="BZ522" s="58"/>
      <c r="CA522" s="58"/>
      <c r="CB522" s="72" t="str">
        <f aca="false">IF(AC522&lt;&gt;"",VLOOKUP(AC522,Selects!$B:$E,4,0),"")</f>
        <v/>
      </c>
      <c r="CC522" s="58"/>
      <c r="CD522" s="58"/>
      <c r="CE522" s="58"/>
    </row>
    <row r="523" customFormat="false" ht="15.75" hidden="false" customHeight="true" outlineLevel="0" collapsed="false">
      <c r="A523" s="17"/>
      <c r="B523" s="58"/>
      <c r="C523" s="58"/>
      <c r="D523" s="59"/>
      <c r="E523" s="60" t="str">
        <f aca="false">IF(LEN(D523)=11,"PF",IF(LEN(D523)=14,"PJ",""))</f>
        <v/>
      </c>
      <c r="F523" s="59"/>
      <c r="G523" s="59"/>
      <c r="H523" s="61" t="str">
        <f aca="false">IF(G523&lt;&gt;"",VLOOKUP(G523,'Cnae  mcc  id'!$A:$M,9,0),"")</f>
        <v/>
      </c>
      <c r="I523" s="62"/>
      <c r="J523" s="63" t="str">
        <f aca="false">IF(I523&lt;&gt;"",VLOOKUP(I523,'Legal Nature'!$E$2:$G$84,3,0),"")</f>
        <v/>
      </c>
      <c r="K523" s="64"/>
      <c r="L523" s="65"/>
      <c r="M523" s="66"/>
      <c r="N523" s="66"/>
      <c r="O523" s="79"/>
      <c r="P523" s="26"/>
      <c r="Q523" s="58"/>
      <c r="R523" s="58"/>
      <c r="S523" s="80"/>
      <c r="T523" s="68" t="str">
        <f aca="false">IF(LEFT(S523,1)="9","Celular",IF(S523="","","Fixo"))</f>
        <v/>
      </c>
      <c r="U523" s="58" t="str">
        <f aca="false">IF( T523&lt;&gt;"",VLOOKUP(T523,Selects!$M$4:$N$1000,2,0),"")</f>
        <v/>
      </c>
      <c r="V523" s="26"/>
      <c r="W523" s="58"/>
      <c r="X523" s="58"/>
      <c r="Y523" s="58"/>
      <c r="Z523" s="58"/>
      <c r="AA523" s="69"/>
      <c r="AB523" s="58"/>
      <c r="AC523" s="58"/>
      <c r="AD523" s="70" t="str">
        <f aca="false">IF(AC523&lt;&gt;"",VLOOKUP(AC523,Selects!$B$4:$C$100,2,0),"")</f>
        <v/>
      </c>
      <c r="AE523" s="26"/>
      <c r="AF523" s="58"/>
      <c r="AG523" s="59"/>
      <c r="AH523" s="65"/>
      <c r="AI523" s="66"/>
      <c r="AJ523" s="66"/>
      <c r="AK523" s="58"/>
      <c r="AL523" s="58"/>
      <c r="AM523" s="68" t="str">
        <f aca="false">IF(LEFT(AL523,1)="9","Celular",IF(AL523="","","Fixo"))</f>
        <v/>
      </c>
      <c r="AN523" s="58" t="str">
        <f aca="false">IF( AM523&lt;&gt;"",VLOOKUP(AM523,Selects!$M$4:$N$1000,2,0),"")</f>
        <v/>
      </c>
      <c r="AO523" s="58"/>
      <c r="AP523" s="59"/>
      <c r="AQ523" s="65"/>
      <c r="AR523" s="58"/>
      <c r="AS523" s="58"/>
      <c r="AT523" s="26"/>
      <c r="AU523" s="58"/>
      <c r="AV523" s="58"/>
      <c r="AW523" s="58"/>
      <c r="AX523" s="58"/>
      <c r="AY523" s="71"/>
      <c r="AZ523" s="58"/>
      <c r="BA523" s="58"/>
      <c r="BB523" s="72" t="str">
        <f aca="false">IF(BA523&lt;&gt;"",VLOOKUP(BA523,Selects!$B$4:$C$100,2,0),"")</f>
        <v/>
      </c>
      <c r="BC523" s="26"/>
      <c r="BD523" s="26"/>
      <c r="BE523" s="73"/>
      <c r="BF523" s="74"/>
      <c r="BG523" s="75" t="str">
        <f aca="false">IF(LEN(BF523)=11,"PF",IF(LEN(BF523)=14,"PJ",""))</f>
        <v/>
      </c>
      <c r="BH523" s="66"/>
      <c r="BI523" s="58" t="str">
        <f aca="false">IF(BH523&lt;&gt;"",VLOOKUP(BH523,Selects!$G:$H,2,0),"")</f>
        <v/>
      </c>
      <c r="BJ523" s="58"/>
      <c r="BK523" s="58"/>
      <c r="BL523" s="59"/>
      <c r="BM523" s="58"/>
      <c r="BN523" s="58"/>
      <c r="BO523" s="58" t="str">
        <f aca="false">IF(BN523&lt;&gt;"",VLOOKUP(BN523,Selects!$J$4:$K$1000,2,0),"")</f>
        <v/>
      </c>
      <c r="BP523" s="76"/>
      <c r="BQ523" s="59"/>
      <c r="BR523" s="77"/>
      <c r="BS523" s="59"/>
      <c r="BT523" s="77"/>
      <c r="BU523" s="58"/>
      <c r="BV523" s="58"/>
      <c r="BW523" s="58"/>
      <c r="BX523" s="58"/>
      <c r="BY523" s="58"/>
      <c r="BZ523" s="58"/>
      <c r="CA523" s="58"/>
      <c r="CB523" s="72" t="str">
        <f aca="false">IF(AC523&lt;&gt;"",VLOOKUP(AC523,Selects!$B:$E,4,0),"")</f>
        <v/>
      </c>
      <c r="CC523" s="58"/>
      <c r="CD523" s="58"/>
      <c r="CE523" s="58"/>
    </row>
    <row r="524" customFormat="false" ht="15.75" hidden="false" customHeight="true" outlineLevel="0" collapsed="false">
      <c r="A524" s="17"/>
      <c r="B524" s="58"/>
      <c r="C524" s="58"/>
      <c r="D524" s="59"/>
      <c r="E524" s="60" t="str">
        <f aca="false">IF(LEN(D524)=11,"PF",IF(LEN(D524)=14,"PJ",""))</f>
        <v/>
      </c>
      <c r="F524" s="59"/>
      <c r="G524" s="59"/>
      <c r="H524" s="61" t="str">
        <f aca="false">IF(G524&lt;&gt;"",VLOOKUP(G524,'Cnae  mcc  id'!$A:$M,9,0),"")</f>
        <v/>
      </c>
      <c r="I524" s="62"/>
      <c r="J524" s="63" t="str">
        <f aca="false">IF(I524&lt;&gt;"",VLOOKUP(I524,'Legal Nature'!$E$2:$G$84,3,0),"")</f>
        <v/>
      </c>
      <c r="K524" s="64"/>
      <c r="L524" s="65"/>
      <c r="M524" s="66"/>
      <c r="N524" s="66"/>
      <c r="O524" s="79"/>
      <c r="P524" s="26"/>
      <c r="Q524" s="58"/>
      <c r="R524" s="58"/>
      <c r="S524" s="80"/>
      <c r="T524" s="68" t="str">
        <f aca="false">IF(LEFT(S524,1)="9","Celular",IF(S524="","","Fixo"))</f>
        <v/>
      </c>
      <c r="U524" s="58" t="str">
        <f aca="false">IF( T524&lt;&gt;"",VLOOKUP(T524,Selects!$M$4:$N$1000,2,0),"")</f>
        <v/>
      </c>
      <c r="V524" s="26"/>
      <c r="W524" s="58"/>
      <c r="X524" s="58"/>
      <c r="Y524" s="58"/>
      <c r="Z524" s="58"/>
      <c r="AA524" s="69"/>
      <c r="AB524" s="58"/>
      <c r="AC524" s="58"/>
      <c r="AD524" s="70" t="str">
        <f aca="false">IF(AC524&lt;&gt;"",VLOOKUP(AC524,Selects!$B$4:$C$100,2,0),"")</f>
        <v/>
      </c>
      <c r="AE524" s="26"/>
      <c r="AF524" s="58"/>
      <c r="AG524" s="59"/>
      <c r="AH524" s="65"/>
      <c r="AI524" s="66"/>
      <c r="AJ524" s="66"/>
      <c r="AK524" s="58"/>
      <c r="AL524" s="58"/>
      <c r="AM524" s="68" t="str">
        <f aca="false">IF(LEFT(AL524,1)="9","Celular",IF(AL524="","","Fixo"))</f>
        <v/>
      </c>
      <c r="AN524" s="58" t="str">
        <f aca="false">IF( AM524&lt;&gt;"",VLOOKUP(AM524,Selects!$M$4:$N$1000,2,0),"")</f>
        <v/>
      </c>
      <c r="AO524" s="58"/>
      <c r="AP524" s="59"/>
      <c r="AQ524" s="65"/>
      <c r="AR524" s="58"/>
      <c r="AS524" s="58"/>
      <c r="AT524" s="26"/>
      <c r="AU524" s="58"/>
      <c r="AV524" s="58"/>
      <c r="AW524" s="58"/>
      <c r="AX524" s="58"/>
      <c r="AY524" s="71"/>
      <c r="AZ524" s="58"/>
      <c r="BA524" s="58"/>
      <c r="BB524" s="72" t="str">
        <f aca="false">IF(BA524&lt;&gt;"",VLOOKUP(BA524,Selects!$B$4:$C$100,2,0),"")</f>
        <v/>
      </c>
      <c r="BC524" s="26"/>
      <c r="BD524" s="26"/>
      <c r="BE524" s="73"/>
      <c r="BF524" s="74"/>
      <c r="BG524" s="75" t="str">
        <f aca="false">IF(LEN(BF524)=11,"PF",IF(LEN(BF524)=14,"PJ",""))</f>
        <v/>
      </c>
      <c r="BH524" s="66"/>
      <c r="BI524" s="58" t="str">
        <f aca="false">IF(BH524&lt;&gt;"",VLOOKUP(BH524,Selects!$G:$H,2,0),"")</f>
        <v/>
      </c>
      <c r="BJ524" s="58"/>
      <c r="BK524" s="58"/>
      <c r="BL524" s="59"/>
      <c r="BM524" s="58"/>
      <c r="BN524" s="58"/>
      <c r="BO524" s="58" t="str">
        <f aca="false">IF(BN524&lt;&gt;"",VLOOKUP(BN524,Selects!$J$4:$K$1000,2,0),"")</f>
        <v/>
      </c>
      <c r="BP524" s="76"/>
      <c r="BQ524" s="59"/>
      <c r="BR524" s="77"/>
      <c r="BS524" s="59"/>
      <c r="BT524" s="77"/>
      <c r="BU524" s="58"/>
      <c r="BV524" s="58"/>
      <c r="BW524" s="58"/>
      <c r="BX524" s="58"/>
      <c r="BY524" s="58"/>
      <c r="BZ524" s="58"/>
      <c r="CA524" s="58"/>
      <c r="CB524" s="72" t="str">
        <f aca="false">IF(AC524&lt;&gt;"",VLOOKUP(AC524,Selects!$B:$E,4,0),"")</f>
        <v/>
      </c>
      <c r="CC524" s="58"/>
      <c r="CD524" s="58"/>
      <c r="CE524" s="58"/>
    </row>
    <row r="525" customFormat="false" ht="15.75" hidden="false" customHeight="true" outlineLevel="0" collapsed="false">
      <c r="A525" s="17"/>
      <c r="B525" s="58"/>
      <c r="C525" s="58"/>
      <c r="D525" s="59"/>
      <c r="E525" s="60" t="str">
        <f aca="false">IF(LEN(D525)=11,"PF",IF(LEN(D525)=14,"PJ",""))</f>
        <v/>
      </c>
      <c r="F525" s="59"/>
      <c r="G525" s="59"/>
      <c r="H525" s="61" t="str">
        <f aca="false">IF(G525&lt;&gt;"",VLOOKUP(G525,'Cnae  mcc  id'!$A:$M,9,0),"")</f>
        <v/>
      </c>
      <c r="I525" s="62"/>
      <c r="J525" s="63" t="str">
        <f aca="false">IF(I525&lt;&gt;"",VLOOKUP(I525,'Legal Nature'!$E$2:$G$84,3,0),"")</f>
        <v/>
      </c>
      <c r="K525" s="64"/>
      <c r="L525" s="65"/>
      <c r="M525" s="66"/>
      <c r="N525" s="66"/>
      <c r="O525" s="79"/>
      <c r="P525" s="26"/>
      <c r="Q525" s="58"/>
      <c r="R525" s="58"/>
      <c r="S525" s="80"/>
      <c r="T525" s="68" t="str">
        <f aca="false">IF(LEFT(S525,1)="9","Celular",IF(S525="","","Fixo"))</f>
        <v/>
      </c>
      <c r="U525" s="58" t="str">
        <f aca="false">IF( T525&lt;&gt;"",VLOOKUP(T525,Selects!$M$4:$N$1000,2,0),"")</f>
        <v/>
      </c>
      <c r="V525" s="26"/>
      <c r="W525" s="58"/>
      <c r="X525" s="58"/>
      <c r="Y525" s="58"/>
      <c r="Z525" s="58"/>
      <c r="AA525" s="69"/>
      <c r="AB525" s="58"/>
      <c r="AC525" s="58"/>
      <c r="AD525" s="70" t="str">
        <f aca="false">IF(AC525&lt;&gt;"",VLOOKUP(AC525,Selects!$B$4:$C$100,2,0),"")</f>
        <v/>
      </c>
      <c r="AE525" s="26"/>
      <c r="AF525" s="58"/>
      <c r="AG525" s="59"/>
      <c r="AH525" s="65"/>
      <c r="AI525" s="66"/>
      <c r="AJ525" s="66"/>
      <c r="AK525" s="58"/>
      <c r="AL525" s="58"/>
      <c r="AM525" s="68" t="str">
        <f aca="false">IF(LEFT(AL525,1)="9","Celular",IF(AL525="","","Fixo"))</f>
        <v/>
      </c>
      <c r="AN525" s="58" t="str">
        <f aca="false">IF( AM525&lt;&gt;"",VLOOKUP(AM525,Selects!$M$4:$N$1000,2,0),"")</f>
        <v/>
      </c>
      <c r="AO525" s="58"/>
      <c r="AP525" s="59"/>
      <c r="AQ525" s="65"/>
      <c r="AR525" s="58"/>
      <c r="AS525" s="58"/>
      <c r="AT525" s="26"/>
      <c r="AU525" s="58"/>
      <c r="AV525" s="58"/>
      <c r="AW525" s="58"/>
      <c r="AX525" s="58"/>
      <c r="AY525" s="71"/>
      <c r="AZ525" s="58"/>
      <c r="BA525" s="58"/>
      <c r="BB525" s="72" t="str">
        <f aca="false">IF(BA525&lt;&gt;"",VLOOKUP(BA525,Selects!$B$4:$C$100,2,0),"")</f>
        <v/>
      </c>
      <c r="BC525" s="26"/>
      <c r="BD525" s="26"/>
      <c r="BE525" s="73"/>
      <c r="BF525" s="74"/>
      <c r="BG525" s="75" t="str">
        <f aca="false">IF(LEN(BF525)=11,"PF",IF(LEN(BF525)=14,"PJ",""))</f>
        <v/>
      </c>
      <c r="BH525" s="66"/>
      <c r="BI525" s="58" t="str">
        <f aca="false">IF(BH525&lt;&gt;"",VLOOKUP(BH525,Selects!$G:$H,2,0),"")</f>
        <v/>
      </c>
      <c r="BJ525" s="58"/>
      <c r="BK525" s="58"/>
      <c r="BL525" s="59"/>
      <c r="BM525" s="58"/>
      <c r="BN525" s="58"/>
      <c r="BO525" s="58" t="str">
        <f aca="false">IF(BN525&lt;&gt;"",VLOOKUP(BN525,Selects!$J$4:$K$1000,2,0),"")</f>
        <v/>
      </c>
      <c r="BP525" s="76"/>
      <c r="BQ525" s="59"/>
      <c r="BR525" s="77"/>
      <c r="BS525" s="59"/>
      <c r="BT525" s="77"/>
      <c r="BU525" s="58"/>
      <c r="BV525" s="58"/>
      <c r="BW525" s="58"/>
      <c r="BX525" s="58"/>
      <c r="BY525" s="58"/>
      <c r="BZ525" s="58"/>
      <c r="CA525" s="58"/>
      <c r="CB525" s="72" t="str">
        <f aca="false">IF(AC525&lt;&gt;"",VLOOKUP(AC525,Selects!$B:$E,4,0),"")</f>
        <v/>
      </c>
      <c r="CC525" s="58"/>
      <c r="CD525" s="58"/>
      <c r="CE525" s="58"/>
    </row>
    <row r="526" customFormat="false" ht="15.75" hidden="false" customHeight="true" outlineLevel="0" collapsed="false">
      <c r="A526" s="17"/>
      <c r="B526" s="58"/>
      <c r="C526" s="58"/>
      <c r="D526" s="59"/>
      <c r="E526" s="60" t="str">
        <f aca="false">IF(LEN(D526)=11,"PF",IF(LEN(D526)=14,"PJ",""))</f>
        <v/>
      </c>
      <c r="F526" s="59"/>
      <c r="G526" s="59"/>
      <c r="H526" s="61" t="str">
        <f aca="false">IF(G526&lt;&gt;"",VLOOKUP(G526,'Cnae  mcc  id'!$A:$M,9,0),"")</f>
        <v/>
      </c>
      <c r="I526" s="62"/>
      <c r="J526" s="63" t="str">
        <f aca="false">IF(I526&lt;&gt;"",VLOOKUP(I526,'Legal Nature'!$E$2:$G$84,3,0),"")</f>
        <v/>
      </c>
      <c r="K526" s="64"/>
      <c r="L526" s="65"/>
      <c r="M526" s="66"/>
      <c r="N526" s="66"/>
      <c r="O526" s="79"/>
      <c r="P526" s="26"/>
      <c r="Q526" s="58"/>
      <c r="R526" s="58"/>
      <c r="S526" s="80"/>
      <c r="T526" s="68" t="str">
        <f aca="false">IF(LEFT(S526,1)="9","Celular",IF(S526="","","Fixo"))</f>
        <v/>
      </c>
      <c r="U526" s="58" t="str">
        <f aca="false">IF( T526&lt;&gt;"",VLOOKUP(T526,Selects!$M$4:$N$1000,2,0),"")</f>
        <v/>
      </c>
      <c r="V526" s="26"/>
      <c r="W526" s="58"/>
      <c r="X526" s="58"/>
      <c r="Y526" s="58"/>
      <c r="Z526" s="58"/>
      <c r="AA526" s="69"/>
      <c r="AB526" s="58"/>
      <c r="AC526" s="58"/>
      <c r="AD526" s="70" t="str">
        <f aca="false">IF(AC526&lt;&gt;"",VLOOKUP(AC526,Selects!$B$4:$C$100,2,0),"")</f>
        <v/>
      </c>
      <c r="AE526" s="26"/>
      <c r="AF526" s="58"/>
      <c r="AG526" s="59"/>
      <c r="AH526" s="65"/>
      <c r="AI526" s="66"/>
      <c r="AJ526" s="66"/>
      <c r="AK526" s="58"/>
      <c r="AL526" s="58"/>
      <c r="AM526" s="68" t="str">
        <f aca="false">IF(LEFT(AL526,1)="9","Celular",IF(AL526="","","Fixo"))</f>
        <v/>
      </c>
      <c r="AN526" s="58" t="str">
        <f aca="false">IF( AM526&lt;&gt;"",VLOOKUP(AM526,Selects!$M$4:$N$1000,2,0),"")</f>
        <v/>
      </c>
      <c r="AO526" s="58"/>
      <c r="AP526" s="59"/>
      <c r="AQ526" s="65"/>
      <c r="AR526" s="58"/>
      <c r="AS526" s="58"/>
      <c r="AT526" s="26"/>
      <c r="AU526" s="58"/>
      <c r="AV526" s="58"/>
      <c r="AW526" s="58"/>
      <c r="AX526" s="58"/>
      <c r="AY526" s="71"/>
      <c r="AZ526" s="58"/>
      <c r="BA526" s="58"/>
      <c r="BB526" s="72" t="str">
        <f aca="false">IF(BA526&lt;&gt;"",VLOOKUP(BA526,Selects!$B$4:$C$100,2,0),"")</f>
        <v/>
      </c>
      <c r="BC526" s="26"/>
      <c r="BD526" s="26"/>
      <c r="BE526" s="73"/>
      <c r="BF526" s="74"/>
      <c r="BG526" s="75" t="str">
        <f aca="false">IF(LEN(BF526)=11,"PF",IF(LEN(BF526)=14,"PJ",""))</f>
        <v/>
      </c>
      <c r="BH526" s="66"/>
      <c r="BI526" s="58" t="str">
        <f aca="false">IF(BH526&lt;&gt;"",VLOOKUP(BH526,Selects!$G:$H,2,0),"")</f>
        <v/>
      </c>
      <c r="BJ526" s="58"/>
      <c r="BK526" s="58"/>
      <c r="BL526" s="59"/>
      <c r="BM526" s="58"/>
      <c r="BN526" s="58"/>
      <c r="BO526" s="58" t="str">
        <f aca="false">IF(BN526&lt;&gt;"",VLOOKUP(BN526,Selects!$J$4:$K$1000,2,0),"")</f>
        <v/>
      </c>
      <c r="BP526" s="76"/>
      <c r="BQ526" s="59"/>
      <c r="BR526" s="77"/>
      <c r="BS526" s="59"/>
      <c r="BT526" s="77"/>
      <c r="BU526" s="58"/>
      <c r="BV526" s="58"/>
      <c r="BW526" s="58"/>
      <c r="BX526" s="58"/>
      <c r="BY526" s="58"/>
      <c r="BZ526" s="58"/>
      <c r="CA526" s="58"/>
      <c r="CB526" s="72" t="str">
        <f aca="false">IF(AC526&lt;&gt;"",VLOOKUP(AC526,Selects!$B:$E,4,0),"")</f>
        <v/>
      </c>
      <c r="CC526" s="58"/>
      <c r="CD526" s="58"/>
      <c r="CE526" s="58"/>
    </row>
    <row r="527" customFormat="false" ht="15.75" hidden="false" customHeight="true" outlineLevel="0" collapsed="false">
      <c r="A527" s="17"/>
      <c r="B527" s="58"/>
      <c r="C527" s="58"/>
      <c r="D527" s="59"/>
      <c r="E527" s="60" t="str">
        <f aca="false">IF(LEN(D527)=11,"PF",IF(LEN(D527)=14,"PJ",""))</f>
        <v/>
      </c>
      <c r="F527" s="59"/>
      <c r="G527" s="59"/>
      <c r="H527" s="61" t="str">
        <f aca="false">IF(G527&lt;&gt;"",VLOOKUP(G527,'Cnae  mcc  id'!$A:$M,9,0),"")</f>
        <v/>
      </c>
      <c r="I527" s="62"/>
      <c r="J527" s="63" t="str">
        <f aca="false">IF(I527&lt;&gt;"",VLOOKUP(I527,'Legal Nature'!$E$2:$G$84,3,0),"")</f>
        <v/>
      </c>
      <c r="K527" s="64"/>
      <c r="L527" s="65"/>
      <c r="M527" s="66"/>
      <c r="N527" s="66"/>
      <c r="O527" s="79"/>
      <c r="P527" s="26"/>
      <c r="Q527" s="58"/>
      <c r="R527" s="58"/>
      <c r="S527" s="80"/>
      <c r="T527" s="68" t="str">
        <f aca="false">IF(LEFT(S527,1)="9","Celular",IF(S527="","","Fixo"))</f>
        <v/>
      </c>
      <c r="U527" s="58" t="str">
        <f aca="false">IF( T527&lt;&gt;"",VLOOKUP(T527,Selects!$M$4:$N$1000,2,0),"")</f>
        <v/>
      </c>
      <c r="V527" s="26"/>
      <c r="W527" s="58"/>
      <c r="X527" s="58"/>
      <c r="Y527" s="58"/>
      <c r="Z527" s="58"/>
      <c r="AA527" s="69"/>
      <c r="AB527" s="58"/>
      <c r="AC527" s="58"/>
      <c r="AD527" s="70" t="str">
        <f aca="false">IF(AC527&lt;&gt;"",VLOOKUP(AC527,Selects!$B$4:$C$100,2,0),"")</f>
        <v/>
      </c>
      <c r="AE527" s="26"/>
      <c r="AF527" s="58"/>
      <c r="AG527" s="59"/>
      <c r="AH527" s="65"/>
      <c r="AI527" s="66"/>
      <c r="AJ527" s="66"/>
      <c r="AK527" s="58"/>
      <c r="AL527" s="58"/>
      <c r="AM527" s="68" t="str">
        <f aca="false">IF(LEFT(AL527,1)="9","Celular",IF(AL527="","","Fixo"))</f>
        <v/>
      </c>
      <c r="AN527" s="58" t="str">
        <f aca="false">IF( AM527&lt;&gt;"",VLOOKUP(AM527,Selects!$M$4:$N$1000,2,0),"")</f>
        <v/>
      </c>
      <c r="AO527" s="58"/>
      <c r="AP527" s="59"/>
      <c r="AQ527" s="65"/>
      <c r="AR527" s="58"/>
      <c r="AS527" s="58"/>
      <c r="AT527" s="26"/>
      <c r="AU527" s="58"/>
      <c r="AV527" s="58"/>
      <c r="AW527" s="58"/>
      <c r="AX527" s="58"/>
      <c r="AY527" s="71"/>
      <c r="AZ527" s="58"/>
      <c r="BA527" s="58"/>
      <c r="BB527" s="72" t="str">
        <f aca="false">IF(BA527&lt;&gt;"",VLOOKUP(BA527,Selects!$B$4:$C$100,2,0),"")</f>
        <v/>
      </c>
      <c r="BC527" s="26"/>
      <c r="BD527" s="26"/>
      <c r="BE527" s="73"/>
      <c r="BF527" s="74"/>
      <c r="BG527" s="75" t="str">
        <f aca="false">IF(LEN(BF527)=11,"PF",IF(LEN(BF527)=14,"PJ",""))</f>
        <v/>
      </c>
      <c r="BH527" s="66"/>
      <c r="BI527" s="58" t="str">
        <f aca="false">IF(BH527&lt;&gt;"",VLOOKUP(BH527,Selects!$G:$H,2,0),"")</f>
        <v/>
      </c>
      <c r="BJ527" s="58"/>
      <c r="BK527" s="58"/>
      <c r="BL527" s="59"/>
      <c r="BM527" s="58"/>
      <c r="BN527" s="58"/>
      <c r="BO527" s="58" t="str">
        <f aca="false">IF(BN527&lt;&gt;"",VLOOKUP(BN527,Selects!$J$4:$K$1000,2,0),"")</f>
        <v/>
      </c>
      <c r="BP527" s="76"/>
      <c r="BQ527" s="59"/>
      <c r="BR527" s="77"/>
      <c r="BS527" s="59"/>
      <c r="BT527" s="77"/>
      <c r="BU527" s="58"/>
      <c r="BV527" s="58"/>
      <c r="BW527" s="58"/>
      <c r="BX527" s="58"/>
      <c r="BY527" s="58"/>
      <c r="BZ527" s="58"/>
      <c r="CA527" s="58"/>
      <c r="CB527" s="72" t="str">
        <f aca="false">IF(AC527&lt;&gt;"",VLOOKUP(AC527,Selects!$B:$E,4,0),"")</f>
        <v/>
      </c>
      <c r="CC527" s="58"/>
      <c r="CD527" s="58"/>
      <c r="CE527" s="58"/>
    </row>
    <row r="528" customFormat="false" ht="15.75" hidden="false" customHeight="true" outlineLevel="0" collapsed="false">
      <c r="A528" s="17"/>
      <c r="B528" s="58"/>
      <c r="C528" s="58"/>
      <c r="D528" s="59"/>
      <c r="E528" s="60" t="str">
        <f aca="false">IF(LEN(D528)=11,"PF",IF(LEN(D528)=14,"PJ",""))</f>
        <v/>
      </c>
      <c r="F528" s="59"/>
      <c r="G528" s="59"/>
      <c r="H528" s="61" t="str">
        <f aca="false">IF(G528&lt;&gt;"",VLOOKUP(G528,'Cnae  mcc  id'!$A:$M,9,0),"")</f>
        <v/>
      </c>
      <c r="I528" s="62"/>
      <c r="J528" s="63" t="str">
        <f aca="false">IF(I528&lt;&gt;"",VLOOKUP(I528,'Legal Nature'!$E$2:$G$84,3,0),"")</f>
        <v/>
      </c>
      <c r="K528" s="64"/>
      <c r="L528" s="65"/>
      <c r="M528" s="66"/>
      <c r="N528" s="66"/>
      <c r="O528" s="79"/>
      <c r="P528" s="26"/>
      <c r="Q528" s="58"/>
      <c r="R528" s="58"/>
      <c r="S528" s="80"/>
      <c r="T528" s="68" t="str">
        <f aca="false">IF(LEFT(S528,1)="9","Celular",IF(S528="","","Fixo"))</f>
        <v/>
      </c>
      <c r="U528" s="58" t="str">
        <f aca="false">IF( T528&lt;&gt;"",VLOOKUP(T528,Selects!$M$4:$N$1000,2,0),"")</f>
        <v/>
      </c>
      <c r="V528" s="26"/>
      <c r="W528" s="58"/>
      <c r="X528" s="58"/>
      <c r="Y528" s="58"/>
      <c r="Z528" s="58"/>
      <c r="AA528" s="69"/>
      <c r="AB528" s="58"/>
      <c r="AC528" s="58"/>
      <c r="AD528" s="70" t="str">
        <f aca="false">IF(AC528&lt;&gt;"",VLOOKUP(AC528,Selects!$B$4:$C$100,2,0),"")</f>
        <v/>
      </c>
      <c r="AE528" s="26"/>
      <c r="AF528" s="58"/>
      <c r="AG528" s="59"/>
      <c r="AH528" s="65"/>
      <c r="AI528" s="66"/>
      <c r="AJ528" s="66"/>
      <c r="AK528" s="58"/>
      <c r="AL528" s="58"/>
      <c r="AM528" s="68" t="str">
        <f aca="false">IF(LEFT(AL528,1)="9","Celular",IF(AL528="","","Fixo"))</f>
        <v/>
      </c>
      <c r="AN528" s="58" t="str">
        <f aca="false">IF( AM528&lt;&gt;"",VLOOKUP(AM528,Selects!$M$4:$N$1000,2,0),"")</f>
        <v/>
      </c>
      <c r="AO528" s="58"/>
      <c r="AP528" s="59"/>
      <c r="AQ528" s="65"/>
      <c r="AR528" s="58"/>
      <c r="AS528" s="58"/>
      <c r="AT528" s="26"/>
      <c r="AU528" s="58"/>
      <c r="AV528" s="58"/>
      <c r="AW528" s="58"/>
      <c r="AX528" s="58"/>
      <c r="AY528" s="71"/>
      <c r="AZ528" s="58"/>
      <c r="BA528" s="58"/>
      <c r="BB528" s="72" t="str">
        <f aca="false">IF(BA528&lt;&gt;"",VLOOKUP(BA528,Selects!$B$4:$C$100,2,0),"")</f>
        <v/>
      </c>
      <c r="BC528" s="26"/>
      <c r="BD528" s="26"/>
      <c r="BE528" s="73"/>
      <c r="BF528" s="74"/>
      <c r="BG528" s="75" t="str">
        <f aca="false">IF(LEN(BF528)=11,"PF",IF(LEN(BF528)=14,"PJ",""))</f>
        <v/>
      </c>
      <c r="BH528" s="66"/>
      <c r="BI528" s="58" t="str">
        <f aca="false">IF(BH528&lt;&gt;"",VLOOKUP(BH528,Selects!$G:$H,2,0),"")</f>
        <v/>
      </c>
      <c r="BJ528" s="58"/>
      <c r="BK528" s="58"/>
      <c r="BL528" s="59"/>
      <c r="BM528" s="58"/>
      <c r="BN528" s="58"/>
      <c r="BO528" s="58" t="str">
        <f aca="false">IF(BN528&lt;&gt;"",VLOOKUP(BN528,Selects!$J$4:$K$1000,2,0),"")</f>
        <v/>
      </c>
      <c r="BP528" s="76"/>
      <c r="BQ528" s="59"/>
      <c r="BR528" s="77"/>
      <c r="BS528" s="59"/>
      <c r="BT528" s="77"/>
      <c r="BU528" s="58"/>
      <c r="BV528" s="58"/>
      <c r="BW528" s="58"/>
      <c r="BX528" s="58"/>
      <c r="BY528" s="58"/>
      <c r="BZ528" s="58"/>
      <c r="CA528" s="58"/>
      <c r="CB528" s="72" t="str">
        <f aca="false">IF(AC528&lt;&gt;"",VLOOKUP(AC528,Selects!$B:$E,4,0),"")</f>
        <v/>
      </c>
      <c r="CC528" s="58"/>
      <c r="CD528" s="58"/>
      <c r="CE528" s="58"/>
    </row>
    <row r="529" customFormat="false" ht="15.75" hidden="false" customHeight="true" outlineLevel="0" collapsed="false">
      <c r="A529" s="17"/>
      <c r="B529" s="58"/>
      <c r="C529" s="58"/>
      <c r="D529" s="59"/>
      <c r="E529" s="60" t="str">
        <f aca="false">IF(LEN(D529)=11,"PF",IF(LEN(D529)=14,"PJ",""))</f>
        <v/>
      </c>
      <c r="F529" s="59"/>
      <c r="G529" s="59"/>
      <c r="H529" s="61" t="str">
        <f aca="false">IF(G529&lt;&gt;"",VLOOKUP(G529,'Cnae  mcc  id'!$A:$M,9,0),"")</f>
        <v/>
      </c>
      <c r="I529" s="62"/>
      <c r="J529" s="63" t="str">
        <f aca="false">IF(I529&lt;&gt;"",VLOOKUP(I529,'Legal Nature'!$E$2:$G$84,3,0),"")</f>
        <v/>
      </c>
      <c r="K529" s="64"/>
      <c r="L529" s="65"/>
      <c r="M529" s="66"/>
      <c r="N529" s="66"/>
      <c r="O529" s="79"/>
      <c r="P529" s="26"/>
      <c r="Q529" s="58"/>
      <c r="R529" s="58"/>
      <c r="S529" s="80"/>
      <c r="T529" s="68" t="str">
        <f aca="false">IF(LEFT(S529,1)="9","Celular",IF(S529="","","Fixo"))</f>
        <v/>
      </c>
      <c r="U529" s="58" t="str">
        <f aca="false">IF( T529&lt;&gt;"",VLOOKUP(T529,Selects!$M$4:$N$1000,2,0),"")</f>
        <v/>
      </c>
      <c r="V529" s="26"/>
      <c r="W529" s="58"/>
      <c r="X529" s="58"/>
      <c r="Y529" s="58"/>
      <c r="Z529" s="58"/>
      <c r="AA529" s="69"/>
      <c r="AB529" s="58"/>
      <c r="AC529" s="58"/>
      <c r="AD529" s="70" t="str">
        <f aca="false">IF(AC529&lt;&gt;"",VLOOKUP(AC529,Selects!$B$4:$C$100,2,0),"")</f>
        <v/>
      </c>
      <c r="AE529" s="26"/>
      <c r="AF529" s="58"/>
      <c r="AG529" s="59"/>
      <c r="AH529" s="65"/>
      <c r="AI529" s="66"/>
      <c r="AJ529" s="66"/>
      <c r="AK529" s="58"/>
      <c r="AL529" s="58"/>
      <c r="AM529" s="68" t="str">
        <f aca="false">IF(LEFT(AL529,1)="9","Celular",IF(AL529="","","Fixo"))</f>
        <v/>
      </c>
      <c r="AN529" s="58" t="str">
        <f aca="false">IF( AM529&lt;&gt;"",VLOOKUP(AM529,Selects!$M$4:$N$1000,2,0),"")</f>
        <v/>
      </c>
      <c r="AO529" s="58"/>
      <c r="AP529" s="59"/>
      <c r="AQ529" s="65"/>
      <c r="AR529" s="58"/>
      <c r="AS529" s="58"/>
      <c r="AT529" s="26"/>
      <c r="AU529" s="58"/>
      <c r="AV529" s="58"/>
      <c r="AW529" s="58"/>
      <c r="AX529" s="58"/>
      <c r="AY529" s="71"/>
      <c r="AZ529" s="58"/>
      <c r="BA529" s="58"/>
      <c r="BB529" s="72" t="str">
        <f aca="false">IF(BA529&lt;&gt;"",VLOOKUP(BA529,Selects!$B$4:$C$100,2,0),"")</f>
        <v/>
      </c>
      <c r="BC529" s="26"/>
      <c r="BD529" s="26"/>
      <c r="BE529" s="73"/>
      <c r="BF529" s="74"/>
      <c r="BG529" s="75" t="str">
        <f aca="false">IF(LEN(BF529)=11,"PF",IF(LEN(BF529)=14,"PJ",""))</f>
        <v/>
      </c>
      <c r="BH529" s="66"/>
      <c r="BI529" s="58" t="str">
        <f aca="false">IF(BH529&lt;&gt;"",VLOOKUP(BH529,Selects!$G:$H,2,0),"")</f>
        <v/>
      </c>
      <c r="BJ529" s="58"/>
      <c r="BK529" s="58"/>
      <c r="BL529" s="59"/>
      <c r="BM529" s="58"/>
      <c r="BN529" s="58"/>
      <c r="BO529" s="58" t="str">
        <f aca="false">IF(BN529&lt;&gt;"",VLOOKUP(BN529,Selects!$J$4:$K$1000,2,0),"")</f>
        <v/>
      </c>
      <c r="BP529" s="76"/>
      <c r="BQ529" s="59"/>
      <c r="BR529" s="77"/>
      <c r="BS529" s="59"/>
      <c r="BT529" s="77"/>
      <c r="BU529" s="58"/>
      <c r="BV529" s="58"/>
      <c r="BW529" s="58"/>
      <c r="BX529" s="58"/>
      <c r="BY529" s="58"/>
      <c r="BZ529" s="58"/>
      <c r="CA529" s="58"/>
      <c r="CB529" s="72" t="str">
        <f aca="false">IF(AC529&lt;&gt;"",VLOOKUP(AC529,Selects!$B:$E,4,0),"")</f>
        <v/>
      </c>
      <c r="CC529" s="58"/>
      <c r="CD529" s="58"/>
      <c r="CE529" s="58"/>
    </row>
    <row r="530" customFormat="false" ht="15.75" hidden="false" customHeight="true" outlineLevel="0" collapsed="false">
      <c r="A530" s="17"/>
      <c r="B530" s="58"/>
      <c r="C530" s="58"/>
      <c r="D530" s="59"/>
      <c r="E530" s="60" t="str">
        <f aca="false">IF(LEN(D530)=11,"PF",IF(LEN(D530)=14,"PJ",""))</f>
        <v/>
      </c>
      <c r="F530" s="59"/>
      <c r="G530" s="59"/>
      <c r="H530" s="61" t="str">
        <f aca="false">IF(G530&lt;&gt;"",VLOOKUP(G530,'Cnae  mcc  id'!$A:$M,9,0),"")</f>
        <v/>
      </c>
      <c r="I530" s="62"/>
      <c r="J530" s="63" t="str">
        <f aca="false">IF(I530&lt;&gt;"",VLOOKUP(I530,'Legal Nature'!$E$2:$G$84,3,0),"")</f>
        <v/>
      </c>
      <c r="K530" s="64"/>
      <c r="L530" s="65"/>
      <c r="M530" s="66"/>
      <c r="N530" s="66"/>
      <c r="O530" s="79"/>
      <c r="P530" s="26"/>
      <c r="Q530" s="58"/>
      <c r="R530" s="58"/>
      <c r="S530" s="80"/>
      <c r="T530" s="68" t="str">
        <f aca="false">IF(LEFT(S530,1)="9","Celular",IF(S530="","","Fixo"))</f>
        <v/>
      </c>
      <c r="U530" s="58" t="str">
        <f aca="false">IF( T530&lt;&gt;"",VLOOKUP(T530,Selects!$M$4:$N$1000,2,0),"")</f>
        <v/>
      </c>
      <c r="V530" s="26"/>
      <c r="W530" s="58"/>
      <c r="X530" s="58"/>
      <c r="Y530" s="58"/>
      <c r="Z530" s="58"/>
      <c r="AA530" s="69"/>
      <c r="AB530" s="58"/>
      <c r="AC530" s="58"/>
      <c r="AD530" s="70" t="str">
        <f aca="false">IF(AC530&lt;&gt;"",VLOOKUP(AC530,Selects!$B$4:$C$100,2,0),"")</f>
        <v/>
      </c>
      <c r="AE530" s="26"/>
      <c r="AF530" s="58"/>
      <c r="AG530" s="59"/>
      <c r="AH530" s="65"/>
      <c r="AI530" s="66"/>
      <c r="AJ530" s="66"/>
      <c r="AK530" s="58"/>
      <c r="AL530" s="58"/>
      <c r="AM530" s="68" t="str">
        <f aca="false">IF(LEFT(AL530,1)="9","Celular",IF(AL530="","","Fixo"))</f>
        <v/>
      </c>
      <c r="AN530" s="58" t="str">
        <f aca="false">IF( AM530&lt;&gt;"",VLOOKUP(AM530,Selects!$M$4:$N$1000,2,0),"")</f>
        <v/>
      </c>
      <c r="AO530" s="58"/>
      <c r="AP530" s="59"/>
      <c r="AQ530" s="65"/>
      <c r="AR530" s="58"/>
      <c r="AS530" s="58"/>
      <c r="AT530" s="26"/>
      <c r="AU530" s="58"/>
      <c r="AV530" s="58"/>
      <c r="AW530" s="58"/>
      <c r="AX530" s="58"/>
      <c r="AY530" s="71"/>
      <c r="AZ530" s="58"/>
      <c r="BA530" s="58"/>
      <c r="BB530" s="72" t="str">
        <f aca="false">IF(BA530&lt;&gt;"",VLOOKUP(BA530,Selects!$B$4:$C$100,2,0),"")</f>
        <v/>
      </c>
      <c r="BC530" s="26"/>
      <c r="BD530" s="26"/>
      <c r="BE530" s="73"/>
      <c r="BF530" s="74"/>
      <c r="BG530" s="75" t="str">
        <f aca="false">IF(LEN(BF530)=11,"PF",IF(LEN(BF530)=14,"PJ",""))</f>
        <v/>
      </c>
      <c r="BH530" s="66"/>
      <c r="BI530" s="58" t="str">
        <f aca="false">IF(BH530&lt;&gt;"",VLOOKUP(BH530,Selects!$G:$H,2,0),"")</f>
        <v/>
      </c>
      <c r="BJ530" s="58"/>
      <c r="BK530" s="58"/>
      <c r="BL530" s="59"/>
      <c r="BM530" s="58"/>
      <c r="BN530" s="58"/>
      <c r="BO530" s="58" t="str">
        <f aca="false">IF(BN530&lt;&gt;"",VLOOKUP(BN530,Selects!$J$4:$K$1000,2,0),"")</f>
        <v/>
      </c>
      <c r="BP530" s="76"/>
      <c r="BQ530" s="59"/>
      <c r="BR530" s="77"/>
      <c r="BS530" s="59"/>
      <c r="BT530" s="77"/>
      <c r="BU530" s="58"/>
      <c r="BV530" s="58"/>
      <c r="BW530" s="58"/>
      <c r="BX530" s="58"/>
      <c r="BY530" s="58"/>
      <c r="BZ530" s="58"/>
      <c r="CA530" s="58"/>
      <c r="CB530" s="72" t="str">
        <f aca="false">IF(AC530&lt;&gt;"",VLOOKUP(AC530,Selects!$B:$E,4,0),"")</f>
        <v/>
      </c>
      <c r="CC530" s="58"/>
      <c r="CD530" s="58"/>
      <c r="CE530" s="58"/>
    </row>
    <row r="531" customFormat="false" ht="15.75" hidden="false" customHeight="true" outlineLevel="0" collapsed="false">
      <c r="A531" s="17"/>
      <c r="B531" s="58"/>
      <c r="C531" s="58"/>
      <c r="D531" s="59"/>
      <c r="E531" s="60" t="str">
        <f aca="false">IF(LEN(D531)=11,"PF",IF(LEN(D531)=14,"PJ",""))</f>
        <v/>
      </c>
      <c r="F531" s="59"/>
      <c r="G531" s="59"/>
      <c r="H531" s="61" t="str">
        <f aca="false">IF(G531&lt;&gt;"",VLOOKUP(G531,'Cnae  mcc  id'!$A:$M,9,0),"")</f>
        <v/>
      </c>
      <c r="I531" s="62"/>
      <c r="J531" s="63" t="str">
        <f aca="false">IF(I531&lt;&gt;"",VLOOKUP(I531,'Legal Nature'!$E$2:$G$84,3,0),"")</f>
        <v/>
      </c>
      <c r="K531" s="64"/>
      <c r="L531" s="65"/>
      <c r="M531" s="66"/>
      <c r="N531" s="66"/>
      <c r="O531" s="79"/>
      <c r="P531" s="26"/>
      <c r="Q531" s="58"/>
      <c r="R531" s="58"/>
      <c r="S531" s="80"/>
      <c r="T531" s="68" t="str">
        <f aca="false">IF(LEFT(S531,1)="9","Celular",IF(S531="","","Fixo"))</f>
        <v/>
      </c>
      <c r="U531" s="58" t="str">
        <f aca="false">IF( T531&lt;&gt;"",VLOOKUP(T531,Selects!$M$4:$N$1000,2,0),"")</f>
        <v/>
      </c>
      <c r="V531" s="26"/>
      <c r="W531" s="58"/>
      <c r="X531" s="58"/>
      <c r="Y531" s="58"/>
      <c r="Z531" s="58"/>
      <c r="AA531" s="69"/>
      <c r="AB531" s="58"/>
      <c r="AC531" s="58"/>
      <c r="AD531" s="70" t="str">
        <f aca="false">IF(AC531&lt;&gt;"",VLOOKUP(AC531,Selects!$B$4:$C$100,2,0),"")</f>
        <v/>
      </c>
      <c r="AE531" s="26"/>
      <c r="AF531" s="58"/>
      <c r="AG531" s="59"/>
      <c r="AH531" s="65"/>
      <c r="AI531" s="66"/>
      <c r="AJ531" s="66"/>
      <c r="AK531" s="58"/>
      <c r="AL531" s="58"/>
      <c r="AM531" s="68" t="str">
        <f aca="false">IF(LEFT(AL531,1)="9","Celular",IF(AL531="","","Fixo"))</f>
        <v/>
      </c>
      <c r="AN531" s="58" t="str">
        <f aca="false">IF( AM531&lt;&gt;"",VLOOKUP(AM531,Selects!$M$4:$N$1000,2,0),"")</f>
        <v/>
      </c>
      <c r="AO531" s="58"/>
      <c r="AP531" s="59"/>
      <c r="AQ531" s="65"/>
      <c r="AR531" s="58"/>
      <c r="AS531" s="58"/>
      <c r="AT531" s="26"/>
      <c r="AU531" s="58"/>
      <c r="AV531" s="58"/>
      <c r="AW531" s="58"/>
      <c r="AX531" s="58"/>
      <c r="AY531" s="71"/>
      <c r="AZ531" s="58"/>
      <c r="BA531" s="58"/>
      <c r="BB531" s="72" t="str">
        <f aca="false">IF(BA531&lt;&gt;"",VLOOKUP(BA531,Selects!$B$4:$C$100,2,0),"")</f>
        <v/>
      </c>
      <c r="BC531" s="26"/>
      <c r="BD531" s="26"/>
      <c r="BE531" s="73"/>
      <c r="BF531" s="74"/>
      <c r="BG531" s="75" t="str">
        <f aca="false">IF(LEN(BF531)=11,"PF",IF(LEN(BF531)=14,"PJ",""))</f>
        <v/>
      </c>
      <c r="BH531" s="66"/>
      <c r="BI531" s="58" t="str">
        <f aca="false">IF(BH531&lt;&gt;"",VLOOKUP(BH531,Selects!$G:$H,2,0),"")</f>
        <v/>
      </c>
      <c r="BJ531" s="58"/>
      <c r="BK531" s="58"/>
      <c r="BL531" s="59"/>
      <c r="BM531" s="58"/>
      <c r="BN531" s="58"/>
      <c r="BO531" s="58" t="str">
        <f aca="false">IF(BN531&lt;&gt;"",VLOOKUP(BN531,Selects!$J$4:$K$1000,2,0),"")</f>
        <v/>
      </c>
      <c r="BP531" s="76"/>
      <c r="BQ531" s="59"/>
      <c r="BR531" s="77"/>
      <c r="BS531" s="59"/>
      <c r="BT531" s="77"/>
      <c r="BU531" s="58"/>
      <c r="BV531" s="58"/>
      <c r="BW531" s="58"/>
      <c r="BX531" s="58"/>
      <c r="BY531" s="58"/>
      <c r="BZ531" s="58"/>
      <c r="CA531" s="58"/>
      <c r="CB531" s="72" t="str">
        <f aca="false">IF(AC531&lt;&gt;"",VLOOKUP(AC531,Selects!$B:$E,4,0),"")</f>
        <v/>
      </c>
      <c r="CC531" s="58"/>
      <c r="CD531" s="58"/>
      <c r="CE531" s="58"/>
    </row>
    <row r="532" customFormat="false" ht="15.75" hidden="false" customHeight="true" outlineLevel="0" collapsed="false">
      <c r="A532" s="17"/>
      <c r="B532" s="58"/>
      <c r="C532" s="58"/>
      <c r="D532" s="59"/>
      <c r="E532" s="60" t="str">
        <f aca="false">IF(LEN(D532)=11,"PF",IF(LEN(D532)=14,"PJ",""))</f>
        <v/>
      </c>
      <c r="F532" s="59"/>
      <c r="G532" s="59"/>
      <c r="H532" s="61" t="str">
        <f aca="false">IF(G532&lt;&gt;"",VLOOKUP(G532,'Cnae  mcc  id'!$A:$M,9,0),"")</f>
        <v/>
      </c>
      <c r="I532" s="62"/>
      <c r="J532" s="63" t="str">
        <f aca="false">IF(I532&lt;&gt;"",VLOOKUP(I532,'Legal Nature'!$E$2:$G$84,3,0),"")</f>
        <v/>
      </c>
      <c r="K532" s="64"/>
      <c r="L532" s="65"/>
      <c r="M532" s="66"/>
      <c r="N532" s="66"/>
      <c r="O532" s="79"/>
      <c r="P532" s="26"/>
      <c r="Q532" s="58"/>
      <c r="R532" s="58"/>
      <c r="S532" s="80"/>
      <c r="T532" s="68" t="str">
        <f aca="false">IF(LEFT(S532,1)="9","Celular",IF(S532="","","Fixo"))</f>
        <v/>
      </c>
      <c r="U532" s="58" t="str">
        <f aca="false">IF( T532&lt;&gt;"",VLOOKUP(T532,Selects!$M$4:$N$1000,2,0),"")</f>
        <v/>
      </c>
      <c r="V532" s="26"/>
      <c r="W532" s="58"/>
      <c r="X532" s="58"/>
      <c r="Y532" s="58"/>
      <c r="Z532" s="58"/>
      <c r="AA532" s="69"/>
      <c r="AB532" s="58"/>
      <c r="AC532" s="58"/>
      <c r="AD532" s="70" t="str">
        <f aca="false">IF(AC532&lt;&gt;"",VLOOKUP(AC532,Selects!$B$4:$C$100,2,0),"")</f>
        <v/>
      </c>
      <c r="AE532" s="26"/>
      <c r="AF532" s="58"/>
      <c r="AG532" s="59"/>
      <c r="AH532" s="65"/>
      <c r="AI532" s="66"/>
      <c r="AJ532" s="66"/>
      <c r="AK532" s="58"/>
      <c r="AL532" s="58"/>
      <c r="AM532" s="68" t="str">
        <f aca="false">IF(LEFT(AL532,1)="9","Celular",IF(AL532="","","Fixo"))</f>
        <v/>
      </c>
      <c r="AN532" s="58" t="str">
        <f aca="false">IF( AM532&lt;&gt;"",VLOOKUP(AM532,Selects!$M$4:$N$1000,2,0),"")</f>
        <v/>
      </c>
      <c r="AO532" s="58"/>
      <c r="AP532" s="59"/>
      <c r="AQ532" s="65"/>
      <c r="AR532" s="58"/>
      <c r="AS532" s="58"/>
      <c r="AT532" s="26"/>
      <c r="AU532" s="58"/>
      <c r="AV532" s="58"/>
      <c r="AW532" s="58"/>
      <c r="AX532" s="58"/>
      <c r="AY532" s="71"/>
      <c r="AZ532" s="58"/>
      <c r="BA532" s="58"/>
      <c r="BB532" s="72" t="str">
        <f aca="false">IF(BA532&lt;&gt;"",VLOOKUP(BA532,Selects!$B$4:$C$100,2,0),"")</f>
        <v/>
      </c>
      <c r="BC532" s="26"/>
      <c r="BD532" s="26"/>
      <c r="BE532" s="73"/>
      <c r="BF532" s="74"/>
      <c r="BG532" s="75" t="str">
        <f aca="false">IF(LEN(BF532)=11,"PF",IF(LEN(BF532)=14,"PJ",""))</f>
        <v/>
      </c>
      <c r="BH532" s="66"/>
      <c r="BI532" s="58" t="str">
        <f aca="false">IF(BH532&lt;&gt;"",VLOOKUP(BH532,Selects!$G:$H,2,0),"")</f>
        <v/>
      </c>
      <c r="BJ532" s="58"/>
      <c r="BK532" s="58"/>
      <c r="BL532" s="59"/>
      <c r="BM532" s="58"/>
      <c r="BN532" s="58"/>
      <c r="BO532" s="58" t="str">
        <f aca="false">IF(BN532&lt;&gt;"",VLOOKUP(BN532,Selects!$J$4:$K$1000,2,0),"")</f>
        <v/>
      </c>
      <c r="BP532" s="76"/>
      <c r="BQ532" s="59"/>
      <c r="BR532" s="77"/>
      <c r="BS532" s="59"/>
      <c r="BT532" s="77"/>
      <c r="BU532" s="58"/>
      <c r="BV532" s="58"/>
      <c r="BW532" s="58"/>
      <c r="BX532" s="58"/>
      <c r="BY532" s="58"/>
      <c r="BZ532" s="58"/>
      <c r="CA532" s="58"/>
      <c r="CB532" s="72" t="str">
        <f aca="false">IF(AC532&lt;&gt;"",VLOOKUP(AC532,Selects!$B:$E,4,0),"")</f>
        <v/>
      </c>
      <c r="CC532" s="58"/>
      <c r="CD532" s="58"/>
      <c r="CE532" s="58"/>
    </row>
    <row r="533" customFormat="false" ht="15.75" hidden="false" customHeight="true" outlineLevel="0" collapsed="false">
      <c r="A533" s="17"/>
      <c r="B533" s="58"/>
      <c r="C533" s="58"/>
      <c r="D533" s="59"/>
      <c r="E533" s="60" t="str">
        <f aca="false">IF(LEN(D533)=11,"PF",IF(LEN(D533)=14,"PJ",""))</f>
        <v/>
      </c>
      <c r="F533" s="59"/>
      <c r="G533" s="59"/>
      <c r="H533" s="61" t="str">
        <f aca="false">IF(G533&lt;&gt;"",VLOOKUP(G533,'Cnae  mcc  id'!$A:$M,9,0),"")</f>
        <v/>
      </c>
      <c r="I533" s="62"/>
      <c r="J533" s="63" t="str">
        <f aca="false">IF(I533&lt;&gt;"",VLOOKUP(I533,'Legal Nature'!$E$2:$G$84,3,0),"")</f>
        <v/>
      </c>
      <c r="K533" s="64"/>
      <c r="L533" s="65"/>
      <c r="M533" s="66"/>
      <c r="N533" s="66"/>
      <c r="O533" s="79"/>
      <c r="P533" s="26"/>
      <c r="Q533" s="58"/>
      <c r="R533" s="58"/>
      <c r="S533" s="80"/>
      <c r="T533" s="68" t="str">
        <f aca="false">IF(LEFT(S533,1)="9","Celular",IF(S533="","","Fixo"))</f>
        <v/>
      </c>
      <c r="U533" s="58" t="str">
        <f aca="false">IF( T533&lt;&gt;"",VLOOKUP(T533,Selects!$M$4:$N$1000,2,0),"")</f>
        <v/>
      </c>
      <c r="V533" s="26"/>
      <c r="W533" s="58"/>
      <c r="X533" s="58"/>
      <c r="Y533" s="58"/>
      <c r="Z533" s="58"/>
      <c r="AA533" s="69"/>
      <c r="AB533" s="58"/>
      <c r="AC533" s="58"/>
      <c r="AD533" s="70" t="str">
        <f aca="false">IF(AC533&lt;&gt;"",VLOOKUP(AC533,Selects!$B$4:$C$100,2,0),"")</f>
        <v/>
      </c>
      <c r="AE533" s="26"/>
      <c r="AF533" s="58"/>
      <c r="AG533" s="59"/>
      <c r="AH533" s="65"/>
      <c r="AI533" s="66"/>
      <c r="AJ533" s="66"/>
      <c r="AK533" s="58"/>
      <c r="AL533" s="58"/>
      <c r="AM533" s="68" t="str">
        <f aca="false">IF(LEFT(AL533,1)="9","Celular",IF(AL533="","","Fixo"))</f>
        <v/>
      </c>
      <c r="AN533" s="58" t="str">
        <f aca="false">IF( AM533&lt;&gt;"",VLOOKUP(AM533,Selects!$M$4:$N$1000,2,0),"")</f>
        <v/>
      </c>
      <c r="AO533" s="58"/>
      <c r="AP533" s="59"/>
      <c r="AQ533" s="65"/>
      <c r="AR533" s="58"/>
      <c r="AS533" s="58"/>
      <c r="AT533" s="26"/>
      <c r="AU533" s="58"/>
      <c r="AV533" s="58"/>
      <c r="AW533" s="58"/>
      <c r="AX533" s="58"/>
      <c r="AY533" s="71"/>
      <c r="AZ533" s="58"/>
      <c r="BA533" s="58"/>
      <c r="BB533" s="72" t="str">
        <f aca="false">IF(BA533&lt;&gt;"",VLOOKUP(BA533,Selects!$B$4:$C$100,2,0),"")</f>
        <v/>
      </c>
      <c r="BC533" s="26"/>
      <c r="BD533" s="26"/>
      <c r="BE533" s="73"/>
      <c r="BF533" s="74"/>
      <c r="BG533" s="75" t="str">
        <f aca="false">IF(LEN(BF533)=11,"PF",IF(LEN(BF533)=14,"PJ",""))</f>
        <v/>
      </c>
      <c r="BH533" s="66"/>
      <c r="BI533" s="58" t="str">
        <f aca="false">IF(BH533&lt;&gt;"",VLOOKUP(BH533,Selects!$G:$H,2,0),"")</f>
        <v/>
      </c>
      <c r="BJ533" s="58"/>
      <c r="BK533" s="58"/>
      <c r="BL533" s="59"/>
      <c r="BM533" s="58"/>
      <c r="BN533" s="58"/>
      <c r="BO533" s="58" t="str">
        <f aca="false">IF(BN533&lt;&gt;"",VLOOKUP(BN533,Selects!$J$4:$K$1000,2,0),"")</f>
        <v/>
      </c>
      <c r="BP533" s="76"/>
      <c r="BQ533" s="59"/>
      <c r="BR533" s="77"/>
      <c r="BS533" s="59"/>
      <c r="BT533" s="77"/>
      <c r="BU533" s="58"/>
      <c r="BV533" s="58"/>
      <c r="BW533" s="58"/>
      <c r="BX533" s="58"/>
      <c r="BY533" s="58"/>
      <c r="BZ533" s="58"/>
      <c r="CA533" s="58"/>
      <c r="CB533" s="72" t="str">
        <f aca="false">IF(AC533&lt;&gt;"",VLOOKUP(AC533,Selects!$B:$E,4,0),"")</f>
        <v/>
      </c>
      <c r="CC533" s="58"/>
      <c r="CD533" s="58"/>
      <c r="CE533" s="58"/>
    </row>
    <row r="534" customFormat="false" ht="15.75" hidden="false" customHeight="true" outlineLevel="0" collapsed="false">
      <c r="A534" s="17"/>
      <c r="B534" s="58"/>
      <c r="C534" s="58"/>
      <c r="D534" s="59"/>
      <c r="E534" s="60" t="str">
        <f aca="false">IF(LEN(D534)=11,"PF",IF(LEN(D534)=14,"PJ",""))</f>
        <v/>
      </c>
      <c r="F534" s="59"/>
      <c r="G534" s="59"/>
      <c r="H534" s="61" t="str">
        <f aca="false">IF(G534&lt;&gt;"",VLOOKUP(G534,'Cnae  mcc  id'!$A:$M,9,0),"")</f>
        <v/>
      </c>
      <c r="I534" s="62"/>
      <c r="J534" s="63" t="str">
        <f aca="false">IF(I534&lt;&gt;"",VLOOKUP(I534,'Legal Nature'!$E$2:$G$84,3,0),"")</f>
        <v/>
      </c>
      <c r="K534" s="64"/>
      <c r="L534" s="65"/>
      <c r="M534" s="66"/>
      <c r="N534" s="66"/>
      <c r="O534" s="79"/>
      <c r="P534" s="26"/>
      <c r="Q534" s="58"/>
      <c r="R534" s="58"/>
      <c r="S534" s="80"/>
      <c r="T534" s="68" t="str">
        <f aca="false">IF(LEFT(S534,1)="9","Celular",IF(S534="","","Fixo"))</f>
        <v/>
      </c>
      <c r="U534" s="58" t="str">
        <f aca="false">IF( T534&lt;&gt;"",VLOOKUP(T534,Selects!$M$4:$N$1000,2,0),"")</f>
        <v/>
      </c>
      <c r="V534" s="26"/>
      <c r="W534" s="58"/>
      <c r="X534" s="58"/>
      <c r="Y534" s="58"/>
      <c r="Z534" s="58"/>
      <c r="AA534" s="69"/>
      <c r="AB534" s="58"/>
      <c r="AC534" s="58"/>
      <c r="AD534" s="70" t="str">
        <f aca="false">IF(AC534&lt;&gt;"",VLOOKUP(AC534,Selects!$B$4:$C$100,2,0),"")</f>
        <v/>
      </c>
      <c r="AE534" s="26"/>
      <c r="AF534" s="58"/>
      <c r="AG534" s="59"/>
      <c r="AH534" s="65"/>
      <c r="AI534" s="66"/>
      <c r="AJ534" s="66"/>
      <c r="AK534" s="58"/>
      <c r="AL534" s="58"/>
      <c r="AM534" s="68" t="str">
        <f aca="false">IF(LEFT(AL534,1)="9","Celular",IF(AL534="","","Fixo"))</f>
        <v/>
      </c>
      <c r="AN534" s="58" t="str">
        <f aca="false">IF( AM534&lt;&gt;"",VLOOKUP(AM534,Selects!$M$4:$N$1000,2,0),"")</f>
        <v/>
      </c>
      <c r="AO534" s="58"/>
      <c r="AP534" s="59"/>
      <c r="AQ534" s="65"/>
      <c r="AR534" s="58"/>
      <c r="AS534" s="58"/>
      <c r="AT534" s="26"/>
      <c r="AU534" s="58"/>
      <c r="AV534" s="58"/>
      <c r="AW534" s="58"/>
      <c r="AX534" s="58"/>
      <c r="AY534" s="71"/>
      <c r="AZ534" s="58"/>
      <c r="BA534" s="58"/>
      <c r="BB534" s="72" t="str">
        <f aca="false">IF(BA534&lt;&gt;"",VLOOKUP(BA534,Selects!$B$4:$C$100,2,0),"")</f>
        <v/>
      </c>
      <c r="BC534" s="26"/>
      <c r="BD534" s="26"/>
      <c r="BE534" s="73"/>
      <c r="BF534" s="74"/>
      <c r="BG534" s="75" t="str">
        <f aca="false">IF(LEN(BF534)=11,"PF",IF(LEN(BF534)=14,"PJ",""))</f>
        <v/>
      </c>
      <c r="BH534" s="66"/>
      <c r="BI534" s="58" t="str">
        <f aca="false">IF(BH534&lt;&gt;"",VLOOKUP(BH534,Selects!$G:$H,2,0),"")</f>
        <v/>
      </c>
      <c r="BJ534" s="58"/>
      <c r="BK534" s="58"/>
      <c r="BL534" s="59"/>
      <c r="BM534" s="58"/>
      <c r="BN534" s="58"/>
      <c r="BO534" s="58" t="str">
        <f aca="false">IF(BN534&lt;&gt;"",VLOOKUP(BN534,Selects!$J$4:$K$1000,2,0),"")</f>
        <v/>
      </c>
      <c r="BP534" s="76"/>
      <c r="BQ534" s="59"/>
      <c r="BR534" s="77"/>
      <c r="BS534" s="59"/>
      <c r="BT534" s="77"/>
      <c r="BU534" s="58"/>
      <c r="BV534" s="58"/>
      <c r="BW534" s="58"/>
      <c r="BX534" s="58"/>
      <c r="BY534" s="58"/>
      <c r="BZ534" s="58"/>
      <c r="CA534" s="58"/>
      <c r="CB534" s="72" t="str">
        <f aca="false">IF(AC534&lt;&gt;"",VLOOKUP(AC534,Selects!$B:$E,4,0),"")</f>
        <v/>
      </c>
      <c r="CC534" s="58"/>
      <c r="CD534" s="58"/>
      <c r="CE534" s="58"/>
    </row>
    <row r="535" customFormat="false" ht="15.75" hidden="false" customHeight="true" outlineLevel="0" collapsed="false">
      <c r="A535" s="17"/>
      <c r="B535" s="58"/>
      <c r="C535" s="58"/>
      <c r="D535" s="59"/>
      <c r="E535" s="60" t="str">
        <f aca="false">IF(LEN(D535)=11,"PF",IF(LEN(D535)=14,"PJ",""))</f>
        <v/>
      </c>
      <c r="F535" s="59"/>
      <c r="G535" s="59"/>
      <c r="H535" s="61" t="str">
        <f aca="false">IF(G535&lt;&gt;"",VLOOKUP(G535,'Cnae  mcc  id'!$A:$M,9,0),"")</f>
        <v/>
      </c>
      <c r="I535" s="62"/>
      <c r="J535" s="63" t="str">
        <f aca="false">IF(I535&lt;&gt;"",VLOOKUP(I535,'Legal Nature'!$E$2:$G$84,3,0),"")</f>
        <v/>
      </c>
      <c r="K535" s="64"/>
      <c r="L535" s="65"/>
      <c r="M535" s="66"/>
      <c r="N535" s="66"/>
      <c r="O535" s="79"/>
      <c r="P535" s="26"/>
      <c r="Q535" s="58"/>
      <c r="R535" s="58"/>
      <c r="S535" s="80"/>
      <c r="T535" s="68" t="str">
        <f aca="false">IF(LEFT(S535,1)="9","Celular",IF(S535="","","Fixo"))</f>
        <v/>
      </c>
      <c r="U535" s="58" t="str">
        <f aca="false">IF( T535&lt;&gt;"",VLOOKUP(T535,Selects!$M$4:$N$1000,2,0),"")</f>
        <v/>
      </c>
      <c r="V535" s="26"/>
      <c r="W535" s="58"/>
      <c r="X535" s="58"/>
      <c r="Y535" s="58"/>
      <c r="Z535" s="58"/>
      <c r="AA535" s="69"/>
      <c r="AB535" s="58"/>
      <c r="AC535" s="58"/>
      <c r="AD535" s="70" t="str">
        <f aca="false">IF(AC535&lt;&gt;"",VLOOKUP(AC535,Selects!$B$4:$C$100,2,0),"")</f>
        <v/>
      </c>
      <c r="AE535" s="26"/>
      <c r="AF535" s="58"/>
      <c r="AG535" s="59"/>
      <c r="AH535" s="65"/>
      <c r="AI535" s="66"/>
      <c r="AJ535" s="66"/>
      <c r="AK535" s="58"/>
      <c r="AL535" s="58"/>
      <c r="AM535" s="68" t="str">
        <f aca="false">IF(LEFT(AL535,1)="9","Celular",IF(AL535="","","Fixo"))</f>
        <v/>
      </c>
      <c r="AN535" s="58" t="str">
        <f aca="false">IF( AM535&lt;&gt;"",VLOOKUP(AM535,Selects!$M$4:$N$1000,2,0),"")</f>
        <v/>
      </c>
      <c r="AO535" s="58"/>
      <c r="AP535" s="59"/>
      <c r="AQ535" s="65"/>
      <c r="AR535" s="58"/>
      <c r="AS535" s="58"/>
      <c r="AT535" s="26"/>
      <c r="AU535" s="58"/>
      <c r="AV535" s="58"/>
      <c r="AW535" s="58"/>
      <c r="AX535" s="58"/>
      <c r="AY535" s="71"/>
      <c r="AZ535" s="58"/>
      <c r="BA535" s="58"/>
      <c r="BB535" s="72" t="str">
        <f aca="false">IF(BA535&lt;&gt;"",VLOOKUP(BA535,Selects!$B$4:$C$100,2,0),"")</f>
        <v/>
      </c>
      <c r="BC535" s="26"/>
      <c r="BD535" s="26"/>
      <c r="BE535" s="73"/>
      <c r="BF535" s="74"/>
      <c r="BG535" s="75" t="str">
        <f aca="false">IF(LEN(BF535)=11,"PF",IF(LEN(BF535)=14,"PJ",""))</f>
        <v/>
      </c>
      <c r="BH535" s="66"/>
      <c r="BI535" s="58" t="str">
        <f aca="false">IF(BH535&lt;&gt;"",VLOOKUP(BH535,Selects!$G:$H,2,0),"")</f>
        <v/>
      </c>
      <c r="BJ535" s="58"/>
      <c r="BK535" s="58"/>
      <c r="BL535" s="59"/>
      <c r="BM535" s="58"/>
      <c r="BN535" s="58"/>
      <c r="BO535" s="58" t="str">
        <f aca="false">IF(BN535&lt;&gt;"",VLOOKUP(BN535,Selects!$J$4:$K$1000,2,0),"")</f>
        <v/>
      </c>
      <c r="BP535" s="76"/>
      <c r="BQ535" s="59"/>
      <c r="BR535" s="77"/>
      <c r="BS535" s="59"/>
      <c r="BT535" s="77"/>
      <c r="BU535" s="58"/>
      <c r="BV535" s="58"/>
      <c r="BW535" s="58"/>
      <c r="BX535" s="58"/>
      <c r="BY535" s="58"/>
      <c r="BZ535" s="58"/>
      <c r="CA535" s="58"/>
      <c r="CB535" s="72" t="str">
        <f aca="false">IF(AC535&lt;&gt;"",VLOOKUP(AC535,Selects!$B:$E,4,0),"")</f>
        <v/>
      </c>
      <c r="CC535" s="58"/>
      <c r="CD535" s="58"/>
      <c r="CE535" s="58"/>
    </row>
    <row r="536" customFormat="false" ht="15.75" hidden="false" customHeight="true" outlineLevel="0" collapsed="false">
      <c r="A536" s="17"/>
      <c r="B536" s="58"/>
      <c r="C536" s="58"/>
      <c r="D536" s="59"/>
      <c r="E536" s="60" t="str">
        <f aca="false">IF(LEN(D536)=11,"PF",IF(LEN(D536)=14,"PJ",""))</f>
        <v/>
      </c>
      <c r="F536" s="59"/>
      <c r="G536" s="59"/>
      <c r="H536" s="61" t="str">
        <f aca="false">IF(G536&lt;&gt;"",VLOOKUP(G536,'Cnae  mcc  id'!$A:$M,9,0),"")</f>
        <v/>
      </c>
      <c r="I536" s="62"/>
      <c r="J536" s="63" t="str">
        <f aca="false">IF(I536&lt;&gt;"",VLOOKUP(I536,'Legal Nature'!$E$2:$G$84,3,0),"")</f>
        <v/>
      </c>
      <c r="K536" s="64"/>
      <c r="L536" s="65"/>
      <c r="M536" s="66"/>
      <c r="N536" s="66"/>
      <c r="O536" s="79"/>
      <c r="P536" s="26"/>
      <c r="Q536" s="58"/>
      <c r="R536" s="58"/>
      <c r="S536" s="80"/>
      <c r="T536" s="68" t="str">
        <f aca="false">IF(LEFT(S536,1)="9","Celular",IF(S536="","","Fixo"))</f>
        <v/>
      </c>
      <c r="U536" s="58" t="str">
        <f aca="false">IF( T536&lt;&gt;"",VLOOKUP(T536,Selects!$M$4:$N$1000,2,0),"")</f>
        <v/>
      </c>
      <c r="V536" s="26"/>
      <c r="W536" s="58"/>
      <c r="X536" s="58"/>
      <c r="Y536" s="58"/>
      <c r="Z536" s="58"/>
      <c r="AA536" s="69"/>
      <c r="AB536" s="58"/>
      <c r="AC536" s="58"/>
      <c r="AD536" s="70" t="str">
        <f aca="false">IF(AC536&lt;&gt;"",VLOOKUP(AC536,Selects!$B$4:$C$100,2,0),"")</f>
        <v/>
      </c>
      <c r="AE536" s="26"/>
      <c r="AF536" s="58"/>
      <c r="AG536" s="59"/>
      <c r="AH536" s="65"/>
      <c r="AI536" s="66"/>
      <c r="AJ536" s="66"/>
      <c r="AK536" s="58"/>
      <c r="AL536" s="58"/>
      <c r="AM536" s="68" t="str">
        <f aca="false">IF(LEFT(AL536,1)="9","Celular",IF(AL536="","","Fixo"))</f>
        <v/>
      </c>
      <c r="AN536" s="58" t="str">
        <f aca="false">IF( AM536&lt;&gt;"",VLOOKUP(AM536,Selects!$M$4:$N$1000,2,0),"")</f>
        <v/>
      </c>
      <c r="AO536" s="58"/>
      <c r="AP536" s="59"/>
      <c r="AQ536" s="65"/>
      <c r="AR536" s="58"/>
      <c r="AS536" s="58"/>
      <c r="AT536" s="26"/>
      <c r="AU536" s="58"/>
      <c r="AV536" s="58"/>
      <c r="AW536" s="58"/>
      <c r="AX536" s="58"/>
      <c r="AY536" s="71"/>
      <c r="AZ536" s="58"/>
      <c r="BA536" s="58"/>
      <c r="BB536" s="72" t="str">
        <f aca="false">IF(BA536&lt;&gt;"",VLOOKUP(BA536,Selects!$B$4:$C$100,2,0),"")</f>
        <v/>
      </c>
      <c r="BC536" s="26"/>
      <c r="BD536" s="26"/>
      <c r="BE536" s="73"/>
      <c r="BF536" s="74"/>
      <c r="BG536" s="75" t="str">
        <f aca="false">IF(LEN(BF536)=11,"PF",IF(LEN(BF536)=14,"PJ",""))</f>
        <v/>
      </c>
      <c r="BH536" s="66"/>
      <c r="BI536" s="58" t="str">
        <f aca="false">IF(BH536&lt;&gt;"",VLOOKUP(BH536,Selects!$G:$H,2,0),"")</f>
        <v/>
      </c>
      <c r="BJ536" s="58"/>
      <c r="BK536" s="58"/>
      <c r="BL536" s="59"/>
      <c r="BM536" s="58"/>
      <c r="BN536" s="58"/>
      <c r="BO536" s="58" t="str">
        <f aca="false">IF(BN536&lt;&gt;"",VLOOKUP(BN536,Selects!$J$4:$K$1000,2,0),"")</f>
        <v/>
      </c>
      <c r="BP536" s="76"/>
      <c r="BQ536" s="59"/>
      <c r="BR536" s="77"/>
      <c r="BS536" s="59"/>
      <c r="BT536" s="77"/>
      <c r="BU536" s="58"/>
      <c r="BV536" s="58"/>
      <c r="BW536" s="58"/>
      <c r="BX536" s="58"/>
      <c r="BY536" s="58"/>
      <c r="BZ536" s="58"/>
      <c r="CA536" s="58"/>
      <c r="CB536" s="72" t="str">
        <f aca="false">IF(AC536&lt;&gt;"",VLOOKUP(AC536,Selects!$B:$E,4,0),"")</f>
        <v/>
      </c>
      <c r="CC536" s="58"/>
      <c r="CD536" s="58"/>
      <c r="CE536" s="58"/>
    </row>
    <row r="537" customFormat="false" ht="15.75" hidden="false" customHeight="true" outlineLevel="0" collapsed="false">
      <c r="A537" s="17"/>
      <c r="B537" s="58"/>
      <c r="C537" s="58"/>
      <c r="D537" s="59"/>
      <c r="E537" s="60" t="str">
        <f aca="false">IF(LEN(D537)=11,"PF",IF(LEN(D537)=14,"PJ",""))</f>
        <v/>
      </c>
      <c r="F537" s="59"/>
      <c r="G537" s="59"/>
      <c r="H537" s="61" t="str">
        <f aca="false">IF(G537&lt;&gt;"",VLOOKUP(G537,'Cnae  mcc  id'!$A:$M,9,0),"")</f>
        <v/>
      </c>
      <c r="I537" s="62"/>
      <c r="J537" s="63" t="str">
        <f aca="false">IF(I537&lt;&gt;"",VLOOKUP(I537,'Legal Nature'!$E$2:$G$84,3,0),"")</f>
        <v/>
      </c>
      <c r="K537" s="64"/>
      <c r="L537" s="65"/>
      <c r="M537" s="66"/>
      <c r="N537" s="66"/>
      <c r="O537" s="79"/>
      <c r="P537" s="26"/>
      <c r="Q537" s="58"/>
      <c r="R537" s="58"/>
      <c r="S537" s="80"/>
      <c r="T537" s="68" t="str">
        <f aca="false">IF(LEFT(S537,1)="9","Celular",IF(S537="","","Fixo"))</f>
        <v/>
      </c>
      <c r="U537" s="58" t="str">
        <f aca="false">IF( T537&lt;&gt;"",VLOOKUP(T537,Selects!$M$4:$N$1000,2,0),"")</f>
        <v/>
      </c>
      <c r="V537" s="26"/>
      <c r="W537" s="58"/>
      <c r="X537" s="58"/>
      <c r="Y537" s="58"/>
      <c r="Z537" s="58"/>
      <c r="AA537" s="69"/>
      <c r="AB537" s="58"/>
      <c r="AC537" s="58"/>
      <c r="AD537" s="70" t="str">
        <f aca="false">IF(AC537&lt;&gt;"",VLOOKUP(AC537,Selects!$B$4:$C$100,2,0),"")</f>
        <v/>
      </c>
      <c r="AE537" s="26"/>
      <c r="AF537" s="58"/>
      <c r="AG537" s="59"/>
      <c r="AH537" s="65"/>
      <c r="AI537" s="66"/>
      <c r="AJ537" s="66"/>
      <c r="AK537" s="58"/>
      <c r="AL537" s="58"/>
      <c r="AM537" s="68" t="str">
        <f aca="false">IF(LEFT(AL537,1)="9","Celular",IF(AL537="","","Fixo"))</f>
        <v/>
      </c>
      <c r="AN537" s="58" t="str">
        <f aca="false">IF( AM537&lt;&gt;"",VLOOKUP(AM537,Selects!$M$4:$N$1000,2,0),"")</f>
        <v/>
      </c>
      <c r="AO537" s="58"/>
      <c r="AP537" s="59"/>
      <c r="AQ537" s="65"/>
      <c r="AR537" s="58"/>
      <c r="AS537" s="58"/>
      <c r="AT537" s="26"/>
      <c r="AU537" s="58"/>
      <c r="AV537" s="58"/>
      <c r="AW537" s="58"/>
      <c r="AX537" s="58"/>
      <c r="AY537" s="71"/>
      <c r="AZ537" s="58"/>
      <c r="BA537" s="58"/>
      <c r="BB537" s="72" t="str">
        <f aca="false">IF(BA537&lt;&gt;"",VLOOKUP(BA537,Selects!$B$4:$C$100,2,0),"")</f>
        <v/>
      </c>
      <c r="BC537" s="26"/>
      <c r="BD537" s="26"/>
      <c r="BE537" s="73"/>
      <c r="BF537" s="74"/>
      <c r="BG537" s="75" t="str">
        <f aca="false">IF(LEN(BF537)=11,"PF",IF(LEN(BF537)=14,"PJ",""))</f>
        <v/>
      </c>
      <c r="BH537" s="66"/>
      <c r="BI537" s="58" t="str">
        <f aca="false">IF(BH537&lt;&gt;"",VLOOKUP(BH537,Selects!$G:$H,2,0),"")</f>
        <v/>
      </c>
      <c r="BJ537" s="58"/>
      <c r="BK537" s="58"/>
      <c r="BL537" s="59"/>
      <c r="BM537" s="58"/>
      <c r="BN537" s="58"/>
      <c r="BO537" s="58" t="str">
        <f aca="false">IF(BN537&lt;&gt;"",VLOOKUP(BN537,Selects!$J$4:$K$1000,2,0),"")</f>
        <v/>
      </c>
      <c r="BP537" s="76"/>
      <c r="BQ537" s="59"/>
      <c r="BR537" s="77"/>
      <c r="BS537" s="59"/>
      <c r="BT537" s="77"/>
      <c r="BU537" s="58"/>
      <c r="BV537" s="58"/>
      <c r="BW537" s="58"/>
      <c r="BX537" s="58"/>
      <c r="BY537" s="58"/>
      <c r="BZ537" s="58"/>
      <c r="CA537" s="58"/>
      <c r="CB537" s="72" t="str">
        <f aca="false">IF(AC537&lt;&gt;"",VLOOKUP(AC537,Selects!$B:$E,4,0),"")</f>
        <v/>
      </c>
      <c r="CC537" s="58"/>
      <c r="CD537" s="58"/>
      <c r="CE537" s="58"/>
    </row>
    <row r="538" customFormat="false" ht="15.75" hidden="false" customHeight="true" outlineLevel="0" collapsed="false">
      <c r="A538" s="17"/>
      <c r="B538" s="58"/>
      <c r="C538" s="58"/>
      <c r="D538" s="59"/>
      <c r="E538" s="60" t="str">
        <f aca="false">IF(LEN(D538)=11,"PF",IF(LEN(D538)=14,"PJ",""))</f>
        <v/>
      </c>
      <c r="F538" s="59"/>
      <c r="G538" s="59"/>
      <c r="H538" s="61" t="str">
        <f aca="false">IF(G538&lt;&gt;"",VLOOKUP(G538,'Cnae  mcc  id'!$A:$M,9,0),"")</f>
        <v/>
      </c>
      <c r="I538" s="62"/>
      <c r="J538" s="63" t="str">
        <f aca="false">IF(I538&lt;&gt;"",VLOOKUP(I538,'Legal Nature'!$E$2:$G$84,3,0),"")</f>
        <v/>
      </c>
      <c r="K538" s="64"/>
      <c r="L538" s="65"/>
      <c r="M538" s="66"/>
      <c r="N538" s="66"/>
      <c r="O538" s="79"/>
      <c r="P538" s="26"/>
      <c r="Q538" s="58"/>
      <c r="R538" s="58"/>
      <c r="S538" s="80"/>
      <c r="T538" s="68" t="str">
        <f aca="false">IF(LEFT(S538,1)="9","Celular",IF(S538="","","Fixo"))</f>
        <v/>
      </c>
      <c r="U538" s="58" t="str">
        <f aca="false">IF( T538&lt;&gt;"",VLOOKUP(T538,Selects!$M$4:$N$1000,2,0),"")</f>
        <v/>
      </c>
      <c r="V538" s="26"/>
      <c r="W538" s="58"/>
      <c r="X538" s="58"/>
      <c r="Y538" s="58"/>
      <c r="Z538" s="58"/>
      <c r="AA538" s="69"/>
      <c r="AB538" s="58"/>
      <c r="AC538" s="58"/>
      <c r="AD538" s="70" t="str">
        <f aca="false">IF(AC538&lt;&gt;"",VLOOKUP(AC538,Selects!$B$4:$C$100,2,0),"")</f>
        <v/>
      </c>
      <c r="AE538" s="26"/>
      <c r="AF538" s="58"/>
      <c r="AG538" s="59"/>
      <c r="AH538" s="65"/>
      <c r="AI538" s="66"/>
      <c r="AJ538" s="66"/>
      <c r="AK538" s="58"/>
      <c r="AL538" s="58"/>
      <c r="AM538" s="68" t="str">
        <f aca="false">IF(LEFT(AL538,1)="9","Celular",IF(AL538="","","Fixo"))</f>
        <v/>
      </c>
      <c r="AN538" s="58" t="str">
        <f aca="false">IF( AM538&lt;&gt;"",VLOOKUP(AM538,Selects!$M$4:$N$1000,2,0),"")</f>
        <v/>
      </c>
      <c r="AO538" s="58"/>
      <c r="AP538" s="59"/>
      <c r="AQ538" s="65"/>
      <c r="AR538" s="58"/>
      <c r="AS538" s="58"/>
      <c r="AT538" s="26"/>
      <c r="AU538" s="58"/>
      <c r="AV538" s="58"/>
      <c r="AW538" s="58"/>
      <c r="AX538" s="58"/>
      <c r="AY538" s="71"/>
      <c r="AZ538" s="58"/>
      <c r="BA538" s="58"/>
      <c r="BB538" s="72" t="str">
        <f aca="false">IF(BA538&lt;&gt;"",VLOOKUP(BA538,Selects!$B$4:$C$100,2,0),"")</f>
        <v/>
      </c>
      <c r="BC538" s="26"/>
      <c r="BD538" s="26"/>
      <c r="BE538" s="73"/>
      <c r="BF538" s="74"/>
      <c r="BG538" s="75" t="str">
        <f aca="false">IF(LEN(BF538)=11,"PF",IF(LEN(BF538)=14,"PJ",""))</f>
        <v/>
      </c>
      <c r="BH538" s="66"/>
      <c r="BI538" s="58" t="str">
        <f aca="false">IF(BH538&lt;&gt;"",VLOOKUP(BH538,Selects!$G:$H,2,0),"")</f>
        <v/>
      </c>
      <c r="BJ538" s="58"/>
      <c r="BK538" s="58"/>
      <c r="BL538" s="59"/>
      <c r="BM538" s="58"/>
      <c r="BN538" s="58"/>
      <c r="BO538" s="58" t="str">
        <f aca="false">IF(BN538&lt;&gt;"",VLOOKUP(BN538,Selects!$J$4:$K$1000,2,0),"")</f>
        <v/>
      </c>
      <c r="BP538" s="76"/>
      <c r="BQ538" s="59"/>
      <c r="BR538" s="77"/>
      <c r="BS538" s="59"/>
      <c r="BT538" s="77"/>
      <c r="BU538" s="58"/>
      <c r="BV538" s="58"/>
      <c r="BW538" s="58"/>
      <c r="BX538" s="58"/>
      <c r="BY538" s="58"/>
      <c r="BZ538" s="58"/>
      <c r="CA538" s="58"/>
      <c r="CB538" s="72" t="str">
        <f aca="false">IF(AC538&lt;&gt;"",VLOOKUP(AC538,Selects!$B:$E,4,0),"")</f>
        <v/>
      </c>
      <c r="CC538" s="58"/>
      <c r="CD538" s="58"/>
      <c r="CE538" s="58"/>
    </row>
    <row r="539" customFormat="false" ht="15.75" hidden="false" customHeight="true" outlineLevel="0" collapsed="false">
      <c r="A539" s="17"/>
      <c r="B539" s="58"/>
      <c r="C539" s="58"/>
      <c r="D539" s="59"/>
      <c r="E539" s="60" t="str">
        <f aca="false">IF(LEN(D539)=11,"PF",IF(LEN(D539)=14,"PJ",""))</f>
        <v/>
      </c>
      <c r="F539" s="59"/>
      <c r="G539" s="59"/>
      <c r="H539" s="61" t="str">
        <f aca="false">IF(G539&lt;&gt;"",VLOOKUP(G539,'Cnae  mcc  id'!$A:$M,9,0),"")</f>
        <v/>
      </c>
      <c r="I539" s="62"/>
      <c r="J539" s="63" t="str">
        <f aca="false">IF(I539&lt;&gt;"",VLOOKUP(I539,'Legal Nature'!$E$2:$G$84,3,0),"")</f>
        <v/>
      </c>
      <c r="K539" s="64"/>
      <c r="L539" s="65"/>
      <c r="M539" s="66"/>
      <c r="N539" s="66"/>
      <c r="O539" s="79"/>
      <c r="P539" s="26"/>
      <c r="Q539" s="58"/>
      <c r="R539" s="58"/>
      <c r="S539" s="80"/>
      <c r="T539" s="68" t="str">
        <f aca="false">IF(LEFT(S539,1)="9","Celular",IF(S539="","","Fixo"))</f>
        <v/>
      </c>
      <c r="U539" s="58" t="str">
        <f aca="false">IF( T539&lt;&gt;"",VLOOKUP(T539,Selects!$M$4:$N$1000,2,0),"")</f>
        <v/>
      </c>
      <c r="V539" s="26"/>
      <c r="W539" s="58"/>
      <c r="X539" s="58"/>
      <c r="Y539" s="58"/>
      <c r="Z539" s="58"/>
      <c r="AA539" s="69"/>
      <c r="AB539" s="58"/>
      <c r="AC539" s="58"/>
      <c r="AD539" s="70" t="str">
        <f aca="false">IF(AC539&lt;&gt;"",VLOOKUP(AC539,Selects!$B$4:$C$100,2,0),"")</f>
        <v/>
      </c>
      <c r="AE539" s="26"/>
      <c r="AF539" s="58"/>
      <c r="AG539" s="59"/>
      <c r="AH539" s="65"/>
      <c r="AI539" s="66"/>
      <c r="AJ539" s="66"/>
      <c r="AK539" s="58"/>
      <c r="AL539" s="58"/>
      <c r="AM539" s="68" t="str">
        <f aca="false">IF(LEFT(AL539,1)="9","Celular",IF(AL539="","","Fixo"))</f>
        <v/>
      </c>
      <c r="AN539" s="58" t="str">
        <f aca="false">IF( AM539&lt;&gt;"",VLOOKUP(AM539,Selects!$M$4:$N$1000,2,0),"")</f>
        <v/>
      </c>
      <c r="AO539" s="58"/>
      <c r="AP539" s="59"/>
      <c r="AQ539" s="65"/>
      <c r="AR539" s="58"/>
      <c r="AS539" s="58"/>
      <c r="AT539" s="26"/>
      <c r="AU539" s="58"/>
      <c r="AV539" s="58"/>
      <c r="AW539" s="58"/>
      <c r="AX539" s="58"/>
      <c r="AY539" s="71"/>
      <c r="AZ539" s="58"/>
      <c r="BA539" s="58"/>
      <c r="BB539" s="72" t="str">
        <f aca="false">IF(BA539&lt;&gt;"",VLOOKUP(BA539,Selects!$B$4:$C$100,2,0),"")</f>
        <v/>
      </c>
      <c r="BC539" s="26"/>
      <c r="BD539" s="26"/>
      <c r="BE539" s="73"/>
      <c r="BF539" s="74"/>
      <c r="BG539" s="75" t="str">
        <f aca="false">IF(LEN(BF539)=11,"PF",IF(LEN(BF539)=14,"PJ",""))</f>
        <v/>
      </c>
      <c r="BH539" s="66"/>
      <c r="BI539" s="58" t="str">
        <f aca="false">IF(BH539&lt;&gt;"",VLOOKUP(BH539,Selects!$G:$H,2,0),"")</f>
        <v/>
      </c>
      <c r="BJ539" s="58"/>
      <c r="BK539" s="58"/>
      <c r="BL539" s="59"/>
      <c r="BM539" s="58"/>
      <c r="BN539" s="58"/>
      <c r="BO539" s="58" t="str">
        <f aca="false">IF(BN539&lt;&gt;"",VLOOKUP(BN539,Selects!$J$4:$K$1000,2,0),"")</f>
        <v/>
      </c>
      <c r="BP539" s="76"/>
      <c r="BQ539" s="59"/>
      <c r="BR539" s="77"/>
      <c r="BS539" s="59"/>
      <c r="BT539" s="77"/>
      <c r="BU539" s="58"/>
      <c r="BV539" s="58"/>
      <c r="BW539" s="58"/>
      <c r="BX539" s="58"/>
      <c r="BY539" s="58"/>
      <c r="BZ539" s="58"/>
      <c r="CA539" s="58"/>
      <c r="CB539" s="72" t="str">
        <f aca="false">IF(AC539&lt;&gt;"",VLOOKUP(AC539,Selects!$B:$E,4,0),"")</f>
        <v/>
      </c>
      <c r="CC539" s="58"/>
      <c r="CD539" s="58"/>
      <c r="CE539" s="58"/>
    </row>
    <row r="540" customFormat="false" ht="15.75" hidden="false" customHeight="true" outlineLevel="0" collapsed="false">
      <c r="A540" s="17"/>
      <c r="B540" s="58"/>
      <c r="C540" s="58"/>
      <c r="D540" s="59"/>
      <c r="E540" s="60" t="str">
        <f aca="false">IF(LEN(D540)=11,"PF",IF(LEN(D540)=14,"PJ",""))</f>
        <v/>
      </c>
      <c r="F540" s="59"/>
      <c r="G540" s="59"/>
      <c r="H540" s="61" t="str">
        <f aca="false">IF(G540&lt;&gt;"",VLOOKUP(G540,'Cnae  mcc  id'!$A:$M,9,0),"")</f>
        <v/>
      </c>
      <c r="I540" s="62"/>
      <c r="J540" s="63" t="str">
        <f aca="false">IF(I540&lt;&gt;"",VLOOKUP(I540,'Legal Nature'!$E$2:$G$84,3,0),"")</f>
        <v/>
      </c>
      <c r="K540" s="64"/>
      <c r="L540" s="65"/>
      <c r="M540" s="66"/>
      <c r="N540" s="66"/>
      <c r="O540" s="79"/>
      <c r="P540" s="26"/>
      <c r="Q540" s="58"/>
      <c r="R540" s="58"/>
      <c r="S540" s="80"/>
      <c r="T540" s="68" t="str">
        <f aca="false">IF(LEFT(S540,1)="9","Celular",IF(S540="","","Fixo"))</f>
        <v/>
      </c>
      <c r="U540" s="58" t="str">
        <f aca="false">IF( T540&lt;&gt;"",VLOOKUP(T540,Selects!$M$4:$N$1000,2,0),"")</f>
        <v/>
      </c>
      <c r="V540" s="26"/>
      <c r="W540" s="58"/>
      <c r="X540" s="58"/>
      <c r="Y540" s="58"/>
      <c r="Z540" s="58"/>
      <c r="AA540" s="69"/>
      <c r="AB540" s="58"/>
      <c r="AC540" s="58"/>
      <c r="AD540" s="70" t="str">
        <f aca="false">IF(AC540&lt;&gt;"",VLOOKUP(AC540,Selects!$B$4:$C$100,2,0),"")</f>
        <v/>
      </c>
      <c r="AE540" s="26"/>
      <c r="AF540" s="58"/>
      <c r="AG540" s="59"/>
      <c r="AH540" s="65"/>
      <c r="AI540" s="66"/>
      <c r="AJ540" s="66"/>
      <c r="AK540" s="58"/>
      <c r="AL540" s="58"/>
      <c r="AM540" s="68" t="str">
        <f aca="false">IF(LEFT(AL540,1)="9","Celular",IF(AL540="","","Fixo"))</f>
        <v/>
      </c>
      <c r="AN540" s="58" t="str">
        <f aca="false">IF( AM540&lt;&gt;"",VLOOKUP(AM540,Selects!$M$4:$N$1000,2,0),"")</f>
        <v/>
      </c>
      <c r="AO540" s="58"/>
      <c r="AP540" s="59"/>
      <c r="AQ540" s="65"/>
      <c r="AR540" s="58"/>
      <c r="AS540" s="58"/>
      <c r="AT540" s="26"/>
      <c r="AU540" s="58"/>
      <c r="AV540" s="58"/>
      <c r="AW540" s="58"/>
      <c r="AX540" s="58"/>
      <c r="AY540" s="71"/>
      <c r="AZ540" s="58"/>
      <c r="BA540" s="58"/>
      <c r="BB540" s="72" t="str">
        <f aca="false">IF(BA540&lt;&gt;"",VLOOKUP(BA540,Selects!$B$4:$C$100,2,0),"")</f>
        <v/>
      </c>
      <c r="BC540" s="26"/>
      <c r="BD540" s="26"/>
      <c r="BE540" s="73"/>
      <c r="BF540" s="74"/>
      <c r="BG540" s="75" t="str">
        <f aca="false">IF(LEN(BF540)=11,"PF",IF(LEN(BF540)=14,"PJ",""))</f>
        <v/>
      </c>
      <c r="BH540" s="66"/>
      <c r="BI540" s="58" t="str">
        <f aca="false">IF(BH540&lt;&gt;"",VLOOKUP(BH540,Selects!$G:$H,2,0),"")</f>
        <v/>
      </c>
      <c r="BJ540" s="58"/>
      <c r="BK540" s="58"/>
      <c r="BL540" s="59"/>
      <c r="BM540" s="58"/>
      <c r="BN540" s="58"/>
      <c r="BO540" s="58" t="str">
        <f aca="false">IF(BN540&lt;&gt;"",VLOOKUP(BN540,Selects!$J$4:$K$1000,2,0),"")</f>
        <v/>
      </c>
      <c r="BP540" s="76"/>
      <c r="BQ540" s="59"/>
      <c r="BR540" s="77"/>
      <c r="BS540" s="59"/>
      <c r="BT540" s="77"/>
      <c r="BU540" s="58"/>
      <c r="BV540" s="58"/>
      <c r="BW540" s="58"/>
      <c r="BX540" s="58"/>
      <c r="BY540" s="58"/>
      <c r="BZ540" s="58"/>
      <c r="CA540" s="58"/>
      <c r="CB540" s="72" t="str">
        <f aca="false">IF(AC540&lt;&gt;"",VLOOKUP(AC540,Selects!$B:$E,4,0),"")</f>
        <v/>
      </c>
      <c r="CC540" s="58"/>
      <c r="CD540" s="58"/>
      <c r="CE540" s="58"/>
    </row>
    <row r="541" customFormat="false" ht="15.75" hidden="false" customHeight="true" outlineLevel="0" collapsed="false">
      <c r="A541" s="17"/>
      <c r="B541" s="58"/>
      <c r="C541" s="58"/>
      <c r="D541" s="59"/>
      <c r="E541" s="60" t="str">
        <f aca="false">IF(LEN(D541)=11,"PF",IF(LEN(D541)=14,"PJ",""))</f>
        <v/>
      </c>
      <c r="F541" s="59"/>
      <c r="G541" s="59"/>
      <c r="H541" s="61" t="str">
        <f aca="false">IF(G541&lt;&gt;"",VLOOKUP(G541,'Cnae  mcc  id'!$A:$M,9,0),"")</f>
        <v/>
      </c>
      <c r="I541" s="62"/>
      <c r="J541" s="63" t="str">
        <f aca="false">IF(I541&lt;&gt;"",VLOOKUP(I541,'Legal Nature'!$E$2:$G$84,3,0),"")</f>
        <v/>
      </c>
      <c r="K541" s="64"/>
      <c r="L541" s="65"/>
      <c r="M541" s="66"/>
      <c r="N541" s="66"/>
      <c r="O541" s="79"/>
      <c r="P541" s="26"/>
      <c r="Q541" s="58"/>
      <c r="R541" s="58"/>
      <c r="S541" s="80"/>
      <c r="T541" s="68" t="str">
        <f aca="false">IF(LEFT(S541,1)="9","Celular",IF(S541="","","Fixo"))</f>
        <v/>
      </c>
      <c r="U541" s="58" t="str">
        <f aca="false">IF( T541&lt;&gt;"",VLOOKUP(T541,Selects!$M$4:$N$1000,2,0),"")</f>
        <v/>
      </c>
      <c r="V541" s="26"/>
      <c r="W541" s="58"/>
      <c r="X541" s="58"/>
      <c r="Y541" s="58"/>
      <c r="Z541" s="58"/>
      <c r="AA541" s="69"/>
      <c r="AB541" s="58"/>
      <c r="AC541" s="58"/>
      <c r="AD541" s="70" t="str">
        <f aca="false">IF(AC541&lt;&gt;"",VLOOKUP(AC541,Selects!$B$4:$C$100,2,0),"")</f>
        <v/>
      </c>
      <c r="AE541" s="26"/>
      <c r="AF541" s="58"/>
      <c r="AG541" s="59"/>
      <c r="AH541" s="65"/>
      <c r="AI541" s="66"/>
      <c r="AJ541" s="66"/>
      <c r="AK541" s="58"/>
      <c r="AL541" s="58"/>
      <c r="AM541" s="68" t="str">
        <f aca="false">IF(LEFT(AL541,1)="9","Celular",IF(AL541="","","Fixo"))</f>
        <v/>
      </c>
      <c r="AN541" s="58" t="str">
        <f aca="false">IF( AM541&lt;&gt;"",VLOOKUP(AM541,Selects!$M$4:$N$1000,2,0),"")</f>
        <v/>
      </c>
      <c r="AO541" s="58"/>
      <c r="AP541" s="59"/>
      <c r="AQ541" s="65"/>
      <c r="AR541" s="58"/>
      <c r="AS541" s="58"/>
      <c r="AT541" s="26"/>
      <c r="AU541" s="58"/>
      <c r="AV541" s="58"/>
      <c r="AW541" s="58"/>
      <c r="AX541" s="58"/>
      <c r="AY541" s="71"/>
      <c r="AZ541" s="58"/>
      <c r="BA541" s="58"/>
      <c r="BB541" s="72" t="str">
        <f aca="false">IF(BA541&lt;&gt;"",VLOOKUP(BA541,Selects!$B$4:$C$100,2,0),"")</f>
        <v/>
      </c>
      <c r="BC541" s="26"/>
      <c r="BD541" s="26"/>
      <c r="BE541" s="73"/>
      <c r="BF541" s="74"/>
      <c r="BG541" s="75" t="str">
        <f aca="false">IF(LEN(BF541)=11,"PF",IF(LEN(BF541)=14,"PJ",""))</f>
        <v/>
      </c>
      <c r="BH541" s="66"/>
      <c r="BI541" s="58" t="str">
        <f aca="false">IF(BH541&lt;&gt;"",VLOOKUP(BH541,Selects!$G:$H,2,0),"")</f>
        <v/>
      </c>
      <c r="BJ541" s="58"/>
      <c r="BK541" s="58"/>
      <c r="BL541" s="59"/>
      <c r="BM541" s="58"/>
      <c r="BN541" s="58"/>
      <c r="BO541" s="58" t="str">
        <f aca="false">IF(BN541&lt;&gt;"",VLOOKUP(BN541,Selects!$J$4:$K$1000,2,0),"")</f>
        <v/>
      </c>
      <c r="BP541" s="76"/>
      <c r="BQ541" s="59"/>
      <c r="BR541" s="77"/>
      <c r="BS541" s="59"/>
      <c r="BT541" s="77"/>
      <c r="BU541" s="58"/>
      <c r="BV541" s="58"/>
      <c r="BW541" s="58"/>
      <c r="BX541" s="58"/>
      <c r="BY541" s="58"/>
      <c r="BZ541" s="58"/>
      <c r="CA541" s="58"/>
      <c r="CB541" s="72" t="str">
        <f aca="false">IF(AC541&lt;&gt;"",VLOOKUP(AC541,Selects!$B:$E,4,0),"")</f>
        <v/>
      </c>
      <c r="CC541" s="58"/>
      <c r="CD541" s="58"/>
      <c r="CE541" s="58"/>
    </row>
    <row r="542" customFormat="false" ht="15.75" hidden="false" customHeight="true" outlineLevel="0" collapsed="false">
      <c r="A542" s="17"/>
      <c r="B542" s="58"/>
      <c r="C542" s="58"/>
      <c r="D542" s="59"/>
      <c r="E542" s="60" t="str">
        <f aca="false">IF(LEN(D542)=11,"PF",IF(LEN(D542)=14,"PJ",""))</f>
        <v/>
      </c>
      <c r="F542" s="59"/>
      <c r="G542" s="59"/>
      <c r="H542" s="61" t="str">
        <f aca="false">IF(G542&lt;&gt;"",VLOOKUP(G542,'Cnae  mcc  id'!$A:$M,9,0),"")</f>
        <v/>
      </c>
      <c r="I542" s="62"/>
      <c r="J542" s="63" t="str">
        <f aca="false">IF(I542&lt;&gt;"",VLOOKUP(I542,'Legal Nature'!$E$2:$G$84,3,0),"")</f>
        <v/>
      </c>
      <c r="K542" s="64"/>
      <c r="L542" s="65"/>
      <c r="M542" s="66"/>
      <c r="N542" s="66"/>
      <c r="O542" s="79"/>
      <c r="P542" s="26"/>
      <c r="Q542" s="58"/>
      <c r="R542" s="58"/>
      <c r="S542" s="80"/>
      <c r="T542" s="68" t="str">
        <f aca="false">IF(LEFT(S542,1)="9","Celular",IF(S542="","","Fixo"))</f>
        <v/>
      </c>
      <c r="U542" s="58" t="str">
        <f aca="false">IF( T542&lt;&gt;"",VLOOKUP(T542,Selects!$M$4:$N$1000,2,0),"")</f>
        <v/>
      </c>
      <c r="V542" s="26"/>
      <c r="W542" s="58"/>
      <c r="X542" s="58"/>
      <c r="Y542" s="58"/>
      <c r="Z542" s="58"/>
      <c r="AA542" s="69"/>
      <c r="AB542" s="58"/>
      <c r="AC542" s="58"/>
      <c r="AD542" s="70" t="str">
        <f aca="false">IF(AC542&lt;&gt;"",VLOOKUP(AC542,Selects!$B$4:$C$100,2,0),"")</f>
        <v/>
      </c>
      <c r="AE542" s="26"/>
      <c r="AF542" s="58"/>
      <c r="AG542" s="59"/>
      <c r="AH542" s="65"/>
      <c r="AI542" s="66"/>
      <c r="AJ542" s="66"/>
      <c r="AK542" s="58"/>
      <c r="AL542" s="58"/>
      <c r="AM542" s="68" t="str">
        <f aca="false">IF(LEFT(AL542,1)="9","Celular",IF(AL542="","","Fixo"))</f>
        <v/>
      </c>
      <c r="AN542" s="58" t="str">
        <f aca="false">IF( AM542&lt;&gt;"",VLOOKUP(AM542,Selects!$M$4:$N$1000,2,0),"")</f>
        <v/>
      </c>
      <c r="AO542" s="58"/>
      <c r="AP542" s="59"/>
      <c r="AQ542" s="65"/>
      <c r="AR542" s="58"/>
      <c r="AS542" s="58"/>
      <c r="AT542" s="26"/>
      <c r="AU542" s="58"/>
      <c r="AV542" s="58"/>
      <c r="AW542" s="58"/>
      <c r="AX542" s="58"/>
      <c r="AY542" s="71"/>
      <c r="AZ542" s="58"/>
      <c r="BA542" s="58"/>
      <c r="BB542" s="72" t="str">
        <f aca="false">IF(BA542&lt;&gt;"",VLOOKUP(BA542,Selects!$B$4:$C$100,2,0),"")</f>
        <v/>
      </c>
      <c r="BC542" s="26"/>
      <c r="BD542" s="26"/>
      <c r="BE542" s="73"/>
      <c r="BF542" s="74"/>
      <c r="BG542" s="75" t="str">
        <f aca="false">IF(LEN(BF542)=11,"PF",IF(LEN(BF542)=14,"PJ",""))</f>
        <v/>
      </c>
      <c r="BH542" s="66"/>
      <c r="BI542" s="58" t="str">
        <f aca="false">IF(BH542&lt;&gt;"",VLOOKUP(BH542,Selects!$G:$H,2,0),"")</f>
        <v/>
      </c>
      <c r="BJ542" s="58"/>
      <c r="BK542" s="58"/>
      <c r="BL542" s="59"/>
      <c r="BM542" s="58"/>
      <c r="BN542" s="58"/>
      <c r="BO542" s="58" t="str">
        <f aca="false">IF(BN542&lt;&gt;"",VLOOKUP(BN542,Selects!$J$4:$K$1000,2,0),"")</f>
        <v/>
      </c>
      <c r="BP542" s="76"/>
      <c r="BQ542" s="59"/>
      <c r="BR542" s="77"/>
      <c r="BS542" s="59"/>
      <c r="BT542" s="77"/>
      <c r="BU542" s="58"/>
      <c r="BV542" s="58"/>
      <c r="BW542" s="58"/>
      <c r="BX542" s="58"/>
      <c r="BY542" s="58"/>
      <c r="BZ542" s="58"/>
      <c r="CA542" s="58"/>
      <c r="CB542" s="72" t="str">
        <f aca="false">IF(AC542&lt;&gt;"",VLOOKUP(AC542,Selects!$B:$E,4,0),"")</f>
        <v/>
      </c>
      <c r="CC542" s="58"/>
      <c r="CD542" s="58"/>
      <c r="CE542" s="58"/>
    </row>
    <row r="543" customFormat="false" ht="15.75" hidden="false" customHeight="true" outlineLevel="0" collapsed="false">
      <c r="A543" s="17"/>
      <c r="B543" s="58"/>
      <c r="C543" s="58"/>
      <c r="D543" s="59"/>
      <c r="E543" s="60" t="str">
        <f aca="false">IF(LEN(D543)=11,"PF",IF(LEN(D543)=14,"PJ",""))</f>
        <v/>
      </c>
      <c r="F543" s="59"/>
      <c r="G543" s="59"/>
      <c r="H543" s="61" t="str">
        <f aca="false">IF(G543&lt;&gt;"",VLOOKUP(G543,'Cnae  mcc  id'!$A:$M,9,0),"")</f>
        <v/>
      </c>
      <c r="I543" s="62"/>
      <c r="J543" s="63" t="str">
        <f aca="false">IF(I543&lt;&gt;"",VLOOKUP(I543,'Legal Nature'!$E$2:$G$84,3,0),"")</f>
        <v/>
      </c>
      <c r="K543" s="64"/>
      <c r="L543" s="65"/>
      <c r="M543" s="66"/>
      <c r="N543" s="66"/>
      <c r="O543" s="79"/>
      <c r="P543" s="26"/>
      <c r="Q543" s="58"/>
      <c r="R543" s="58"/>
      <c r="S543" s="80"/>
      <c r="T543" s="68" t="str">
        <f aca="false">IF(LEFT(S543,1)="9","Celular",IF(S543="","","Fixo"))</f>
        <v/>
      </c>
      <c r="U543" s="58" t="str">
        <f aca="false">IF( T543&lt;&gt;"",VLOOKUP(T543,Selects!$M$4:$N$1000,2,0),"")</f>
        <v/>
      </c>
      <c r="V543" s="26"/>
      <c r="W543" s="58"/>
      <c r="X543" s="58"/>
      <c r="Y543" s="58"/>
      <c r="Z543" s="58"/>
      <c r="AA543" s="69"/>
      <c r="AB543" s="58"/>
      <c r="AC543" s="58"/>
      <c r="AD543" s="70" t="str">
        <f aca="false">IF(AC543&lt;&gt;"",VLOOKUP(AC543,Selects!$B$4:$C$100,2,0),"")</f>
        <v/>
      </c>
      <c r="AE543" s="26"/>
      <c r="AF543" s="58"/>
      <c r="AG543" s="59"/>
      <c r="AH543" s="65"/>
      <c r="AI543" s="66"/>
      <c r="AJ543" s="66"/>
      <c r="AK543" s="58"/>
      <c r="AL543" s="58"/>
      <c r="AM543" s="68" t="str">
        <f aca="false">IF(LEFT(AL543,1)="9","Celular",IF(AL543="","","Fixo"))</f>
        <v/>
      </c>
      <c r="AN543" s="58" t="str">
        <f aca="false">IF( AM543&lt;&gt;"",VLOOKUP(AM543,Selects!$M$4:$N$1000,2,0),"")</f>
        <v/>
      </c>
      <c r="AO543" s="58"/>
      <c r="AP543" s="59"/>
      <c r="AQ543" s="65"/>
      <c r="AR543" s="58"/>
      <c r="AS543" s="58"/>
      <c r="AT543" s="26"/>
      <c r="AU543" s="58"/>
      <c r="AV543" s="58"/>
      <c r="AW543" s="58"/>
      <c r="AX543" s="58"/>
      <c r="AY543" s="71"/>
      <c r="AZ543" s="58"/>
      <c r="BA543" s="58"/>
      <c r="BB543" s="72" t="str">
        <f aca="false">IF(BA543&lt;&gt;"",VLOOKUP(BA543,Selects!$B$4:$C$100,2,0),"")</f>
        <v/>
      </c>
      <c r="BC543" s="26"/>
      <c r="BD543" s="26"/>
      <c r="BE543" s="73"/>
      <c r="BF543" s="74"/>
      <c r="BG543" s="75" t="str">
        <f aca="false">IF(LEN(BF543)=11,"PF",IF(LEN(BF543)=14,"PJ",""))</f>
        <v/>
      </c>
      <c r="BH543" s="66"/>
      <c r="BI543" s="58" t="str">
        <f aca="false">IF(BH543&lt;&gt;"",VLOOKUP(BH543,Selects!$G:$H,2,0),"")</f>
        <v/>
      </c>
      <c r="BJ543" s="58"/>
      <c r="BK543" s="58"/>
      <c r="BL543" s="59"/>
      <c r="BM543" s="58"/>
      <c r="BN543" s="58"/>
      <c r="BO543" s="58" t="str">
        <f aca="false">IF(BN543&lt;&gt;"",VLOOKUP(BN543,Selects!$J$4:$K$1000,2,0),"")</f>
        <v/>
      </c>
      <c r="BP543" s="76"/>
      <c r="BQ543" s="59"/>
      <c r="BR543" s="77"/>
      <c r="BS543" s="59"/>
      <c r="BT543" s="77"/>
      <c r="BU543" s="58"/>
      <c r="BV543" s="58"/>
      <c r="BW543" s="58"/>
      <c r="BX543" s="58"/>
      <c r="BY543" s="58"/>
      <c r="BZ543" s="58"/>
      <c r="CA543" s="58"/>
      <c r="CB543" s="72" t="str">
        <f aca="false">IF(AC543&lt;&gt;"",VLOOKUP(AC543,Selects!$B:$E,4,0),"")</f>
        <v/>
      </c>
      <c r="CC543" s="58"/>
      <c r="CD543" s="58"/>
      <c r="CE543" s="58"/>
    </row>
    <row r="544" customFormat="false" ht="15.75" hidden="false" customHeight="true" outlineLevel="0" collapsed="false">
      <c r="A544" s="17"/>
      <c r="B544" s="58"/>
      <c r="C544" s="58"/>
      <c r="D544" s="59"/>
      <c r="E544" s="60" t="str">
        <f aca="false">IF(LEN(D544)=11,"PF",IF(LEN(D544)=14,"PJ",""))</f>
        <v/>
      </c>
      <c r="F544" s="59"/>
      <c r="G544" s="59"/>
      <c r="H544" s="61" t="str">
        <f aca="false">IF(G544&lt;&gt;"",VLOOKUP(G544,'Cnae  mcc  id'!$A:$M,9,0),"")</f>
        <v/>
      </c>
      <c r="I544" s="62"/>
      <c r="J544" s="63" t="str">
        <f aca="false">IF(I544&lt;&gt;"",VLOOKUP(I544,'Legal Nature'!$E$2:$G$84,3,0),"")</f>
        <v/>
      </c>
      <c r="K544" s="64"/>
      <c r="L544" s="65"/>
      <c r="M544" s="66"/>
      <c r="N544" s="66"/>
      <c r="O544" s="79"/>
      <c r="P544" s="26"/>
      <c r="Q544" s="58"/>
      <c r="R544" s="58"/>
      <c r="S544" s="80"/>
      <c r="T544" s="68" t="str">
        <f aca="false">IF(LEFT(S544,1)="9","Celular",IF(S544="","","Fixo"))</f>
        <v/>
      </c>
      <c r="U544" s="58" t="str">
        <f aca="false">IF( T544&lt;&gt;"",VLOOKUP(T544,Selects!$M$4:$N$1000,2,0),"")</f>
        <v/>
      </c>
      <c r="V544" s="26"/>
      <c r="W544" s="58"/>
      <c r="X544" s="58"/>
      <c r="Y544" s="58"/>
      <c r="Z544" s="58"/>
      <c r="AA544" s="69"/>
      <c r="AB544" s="58"/>
      <c r="AC544" s="58"/>
      <c r="AD544" s="70" t="str">
        <f aca="false">IF(AC544&lt;&gt;"",VLOOKUP(AC544,Selects!$B$4:$C$100,2,0),"")</f>
        <v/>
      </c>
      <c r="AE544" s="26"/>
      <c r="AF544" s="58"/>
      <c r="AG544" s="59"/>
      <c r="AH544" s="65"/>
      <c r="AI544" s="66"/>
      <c r="AJ544" s="66"/>
      <c r="AK544" s="58"/>
      <c r="AL544" s="58"/>
      <c r="AM544" s="68" t="str">
        <f aca="false">IF(LEFT(AL544,1)="9","Celular",IF(AL544="","","Fixo"))</f>
        <v/>
      </c>
      <c r="AN544" s="58" t="str">
        <f aca="false">IF( AM544&lt;&gt;"",VLOOKUP(AM544,Selects!$M$4:$N$1000,2,0),"")</f>
        <v/>
      </c>
      <c r="AO544" s="58"/>
      <c r="AP544" s="59"/>
      <c r="AQ544" s="65"/>
      <c r="AR544" s="58"/>
      <c r="AS544" s="58"/>
      <c r="AT544" s="26"/>
      <c r="AU544" s="58"/>
      <c r="AV544" s="58"/>
      <c r="AW544" s="58"/>
      <c r="AX544" s="58"/>
      <c r="AY544" s="71"/>
      <c r="AZ544" s="58"/>
      <c r="BA544" s="58"/>
      <c r="BB544" s="72" t="str">
        <f aca="false">IF(BA544&lt;&gt;"",VLOOKUP(BA544,Selects!$B$4:$C$100,2,0),"")</f>
        <v/>
      </c>
      <c r="BC544" s="26"/>
      <c r="BD544" s="26"/>
      <c r="BE544" s="73"/>
      <c r="BF544" s="74"/>
      <c r="BG544" s="75" t="str">
        <f aca="false">IF(LEN(BF544)=11,"PF",IF(LEN(BF544)=14,"PJ",""))</f>
        <v/>
      </c>
      <c r="BH544" s="66"/>
      <c r="BI544" s="58" t="str">
        <f aca="false">IF(BH544&lt;&gt;"",VLOOKUP(BH544,Selects!$G:$H,2,0),"")</f>
        <v/>
      </c>
      <c r="BJ544" s="58"/>
      <c r="BK544" s="58"/>
      <c r="BL544" s="59"/>
      <c r="BM544" s="58"/>
      <c r="BN544" s="58"/>
      <c r="BO544" s="58" t="str">
        <f aca="false">IF(BN544&lt;&gt;"",VLOOKUP(BN544,Selects!$J$4:$K$1000,2,0),"")</f>
        <v/>
      </c>
      <c r="BP544" s="76"/>
      <c r="BQ544" s="59"/>
      <c r="BR544" s="77"/>
      <c r="BS544" s="59"/>
      <c r="BT544" s="77"/>
      <c r="BU544" s="58"/>
      <c r="BV544" s="58"/>
      <c r="BW544" s="58"/>
      <c r="BX544" s="58"/>
      <c r="BY544" s="58"/>
      <c r="BZ544" s="58"/>
      <c r="CA544" s="58"/>
      <c r="CB544" s="72" t="str">
        <f aca="false">IF(AC544&lt;&gt;"",VLOOKUP(AC544,Selects!$B:$E,4,0),"")</f>
        <v/>
      </c>
      <c r="CC544" s="58"/>
      <c r="CD544" s="58"/>
      <c r="CE544" s="58"/>
    </row>
    <row r="545" customFormat="false" ht="15.75" hidden="false" customHeight="true" outlineLevel="0" collapsed="false">
      <c r="A545" s="17"/>
      <c r="B545" s="58"/>
      <c r="C545" s="58"/>
      <c r="D545" s="59"/>
      <c r="E545" s="60" t="str">
        <f aca="false">IF(LEN(D545)=11,"PF",IF(LEN(D545)=14,"PJ",""))</f>
        <v/>
      </c>
      <c r="F545" s="59"/>
      <c r="G545" s="59"/>
      <c r="H545" s="61" t="str">
        <f aca="false">IF(G545&lt;&gt;"",VLOOKUP(G545,'Cnae  mcc  id'!$A:$M,9,0),"")</f>
        <v/>
      </c>
      <c r="I545" s="62"/>
      <c r="J545" s="63" t="str">
        <f aca="false">IF(I545&lt;&gt;"",VLOOKUP(I545,'Legal Nature'!$E$2:$G$84,3,0),"")</f>
        <v/>
      </c>
      <c r="K545" s="64"/>
      <c r="L545" s="65"/>
      <c r="M545" s="66"/>
      <c r="N545" s="66"/>
      <c r="O545" s="79"/>
      <c r="P545" s="26"/>
      <c r="Q545" s="58"/>
      <c r="R545" s="58"/>
      <c r="S545" s="80"/>
      <c r="T545" s="68" t="str">
        <f aca="false">IF(LEFT(S545,1)="9","Celular",IF(S545="","","Fixo"))</f>
        <v/>
      </c>
      <c r="U545" s="58" t="str">
        <f aca="false">IF( T545&lt;&gt;"",VLOOKUP(T545,Selects!$M$4:$N$1000,2,0),"")</f>
        <v/>
      </c>
      <c r="V545" s="26"/>
      <c r="W545" s="58"/>
      <c r="X545" s="58"/>
      <c r="Y545" s="58"/>
      <c r="Z545" s="58"/>
      <c r="AA545" s="69"/>
      <c r="AB545" s="58"/>
      <c r="AC545" s="58"/>
      <c r="AD545" s="70" t="str">
        <f aca="false">IF(AC545&lt;&gt;"",VLOOKUP(AC545,Selects!$B$4:$C$100,2,0),"")</f>
        <v/>
      </c>
      <c r="AE545" s="26"/>
      <c r="AF545" s="58"/>
      <c r="AG545" s="59"/>
      <c r="AH545" s="65"/>
      <c r="AI545" s="66"/>
      <c r="AJ545" s="66"/>
      <c r="AK545" s="58"/>
      <c r="AL545" s="58"/>
      <c r="AM545" s="68" t="str">
        <f aca="false">IF(LEFT(AL545,1)="9","Celular",IF(AL545="","","Fixo"))</f>
        <v/>
      </c>
      <c r="AN545" s="58" t="str">
        <f aca="false">IF( AM545&lt;&gt;"",VLOOKUP(AM545,Selects!$M$4:$N$1000,2,0),"")</f>
        <v/>
      </c>
      <c r="AO545" s="58"/>
      <c r="AP545" s="59"/>
      <c r="AQ545" s="65"/>
      <c r="AR545" s="58"/>
      <c r="AS545" s="58"/>
      <c r="AT545" s="26"/>
      <c r="AU545" s="58"/>
      <c r="AV545" s="58"/>
      <c r="AW545" s="58"/>
      <c r="AX545" s="58"/>
      <c r="AY545" s="71"/>
      <c r="AZ545" s="58"/>
      <c r="BA545" s="58"/>
      <c r="BB545" s="72" t="str">
        <f aca="false">IF(BA545&lt;&gt;"",VLOOKUP(BA545,Selects!$B$4:$C$100,2,0),"")</f>
        <v/>
      </c>
      <c r="BC545" s="26"/>
      <c r="BD545" s="26"/>
      <c r="BE545" s="73"/>
      <c r="BF545" s="74"/>
      <c r="BG545" s="75" t="str">
        <f aca="false">IF(LEN(BF545)=11,"PF",IF(LEN(BF545)=14,"PJ",""))</f>
        <v/>
      </c>
      <c r="BH545" s="66"/>
      <c r="BI545" s="58" t="str">
        <f aca="false">IF(BH545&lt;&gt;"",VLOOKUP(BH545,Selects!$G:$H,2,0),"")</f>
        <v/>
      </c>
      <c r="BJ545" s="58"/>
      <c r="BK545" s="58"/>
      <c r="BL545" s="59"/>
      <c r="BM545" s="58"/>
      <c r="BN545" s="58"/>
      <c r="BO545" s="58" t="str">
        <f aca="false">IF(BN545&lt;&gt;"",VLOOKUP(BN545,Selects!$J$4:$K$1000,2,0),"")</f>
        <v/>
      </c>
      <c r="BP545" s="76"/>
      <c r="BQ545" s="59"/>
      <c r="BR545" s="77"/>
      <c r="BS545" s="59"/>
      <c r="BT545" s="77"/>
      <c r="BU545" s="58"/>
      <c r="BV545" s="58"/>
      <c r="BW545" s="58"/>
      <c r="BX545" s="58"/>
      <c r="BY545" s="58"/>
      <c r="BZ545" s="58"/>
      <c r="CA545" s="58"/>
      <c r="CB545" s="72" t="str">
        <f aca="false">IF(AC545&lt;&gt;"",VLOOKUP(AC545,Selects!$B:$E,4,0),"")</f>
        <v/>
      </c>
      <c r="CC545" s="58"/>
      <c r="CD545" s="58"/>
      <c r="CE545" s="58"/>
    </row>
    <row r="546" customFormat="false" ht="15.75" hidden="false" customHeight="true" outlineLevel="0" collapsed="false">
      <c r="A546" s="17"/>
      <c r="B546" s="58"/>
      <c r="C546" s="58"/>
      <c r="D546" s="59"/>
      <c r="E546" s="60" t="str">
        <f aca="false">IF(LEN(D546)=11,"PF",IF(LEN(D546)=14,"PJ",""))</f>
        <v/>
      </c>
      <c r="F546" s="59"/>
      <c r="G546" s="59"/>
      <c r="H546" s="61" t="str">
        <f aca="false">IF(G546&lt;&gt;"",VLOOKUP(G546,'Cnae  mcc  id'!$A:$M,9,0),"")</f>
        <v/>
      </c>
      <c r="I546" s="62"/>
      <c r="J546" s="63" t="str">
        <f aca="false">IF(I546&lt;&gt;"",VLOOKUP(I546,'Legal Nature'!$E$2:$G$84,3,0),"")</f>
        <v/>
      </c>
      <c r="K546" s="64"/>
      <c r="L546" s="65"/>
      <c r="M546" s="66"/>
      <c r="N546" s="66"/>
      <c r="O546" s="79"/>
      <c r="P546" s="26"/>
      <c r="Q546" s="58"/>
      <c r="R546" s="58"/>
      <c r="S546" s="80"/>
      <c r="T546" s="68" t="str">
        <f aca="false">IF(LEFT(S546,1)="9","Celular",IF(S546="","","Fixo"))</f>
        <v/>
      </c>
      <c r="U546" s="58" t="str">
        <f aca="false">IF( T546&lt;&gt;"",VLOOKUP(T546,Selects!$M$4:$N$1000,2,0),"")</f>
        <v/>
      </c>
      <c r="V546" s="26"/>
      <c r="W546" s="58"/>
      <c r="X546" s="58"/>
      <c r="Y546" s="58"/>
      <c r="Z546" s="58"/>
      <c r="AA546" s="69"/>
      <c r="AB546" s="58"/>
      <c r="AC546" s="58"/>
      <c r="AD546" s="70" t="str">
        <f aca="false">IF(AC546&lt;&gt;"",VLOOKUP(AC546,Selects!$B$4:$C$100,2,0),"")</f>
        <v/>
      </c>
      <c r="AE546" s="26"/>
      <c r="AF546" s="58"/>
      <c r="AG546" s="59"/>
      <c r="AH546" s="65"/>
      <c r="AI546" s="66"/>
      <c r="AJ546" s="66"/>
      <c r="AK546" s="58"/>
      <c r="AL546" s="58"/>
      <c r="AM546" s="68" t="str">
        <f aca="false">IF(LEFT(AL546,1)="9","Celular",IF(AL546="","","Fixo"))</f>
        <v/>
      </c>
      <c r="AN546" s="58" t="str">
        <f aca="false">IF( AM546&lt;&gt;"",VLOOKUP(AM546,Selects!$M$4:$N$1000,2,0),"")</f>
        <v/>
      </c>
      <c r="AO546" s="58"/>
      <c r="AP546" s="59"/>
      <c r="AQ546" s="65"/>
      <c r="AR546" s="58"/>
      <c r="AS546" s="58"/>
      <c r="AT546" s="26"/>
      <c r="AU546" s="58"/>
      <c r="AV546" s="58"/>
      <c r="AW546" s="58"/>
      <c r="AX546" s="58"/>
      <c r="AY546" s="71"/>
      <c r="AZ546" s="58"/>
      <c r="BA546" s="58"/>
      <c r="BB546" s="72" t="str">
        <f aca="false">IF(BA546&lt;&gt;"",VLOOKUP(BA546,Selects!$B$4:$C$100,2,0),"")</f>
        <v/>
      </c>
      <c r="BC546" s="26"/>
      <c r="BD546" s="26"/>
      <c r="BE546" s="73"/>
      <c r="BF546" s="74"/>
      <c r="BG546" s="75" t="str">
        <f aca="false">IF(LEN(BF546)=11,"PF",IF(LEN(BF546)=14,"PJ",""))</f>
        <v/>
      </c>
      <c r="BH546" s="66"/>
      <c r="BI546" s="58" t="str">
        <f aca="false">IF(BH546&lt;&gt;"",VLOOKUP(BH546,Selects!$G:$H,2,0),"")</f>
        <v/>
      </c>
      <c r="BJ546" s="58"/>
      <c r="BK546" s="58"/>
      <c r="BL546" s="59"/>
      <c r="BM546" s="58"/>
      <c r="BN546" s="58"/>
      <c r="BO546" s="58" t="str">
        <f aca="false">IF(BN546&lt;&gt;"",VLOOKUP(BN546,Selects!$J$4:$K$1000,2,0),"")</f>
        <v/>
      </c>
      <c r="BP546" s="76"/>
      <c r="BQ546" s="59"/>
      <c r="BR546" s="77"/>
      <c r="BS546" s="59"/>
      <c r="BT546" s="77"/>
      <c r="BU546" s="58"/>
      <c r="BV546" s="58"/>
      <c r="BW546" s="58"/>
      <c r="BX546" s="58"/>
      <c r="BY546" s="58"/>
      <c r="BZ546" s="58"/>
      <c r="CA546" s="58"/>
      <c r="CB546" s="72" t="str">
        <f aca="false">IF(AC546&lt;&gt;"",VLOOKUP(AC546,Selects!$B:$E,4,0),"")</f>
        <v/>
      </c>
      <c r="CC546" s="58"/>
      <c r="CD546" s="58"/>
      <c r="CE546" s="58"/>
    </row>
    <row r="547" customFormat="false" ht="15.75" hidden="false" customHeight="true" outlineLevel="0" collapsed="false">
      <c r="A547" s="17"/>
      <c r="B547" s="58"/>
      <c r="C547" s="58"/>
      <c r="D547" s="59"/>
      <c r="E547" s="60" t="str">
        <f aca="false">IF(LEN(D547)=11,"PF",IF(LEN(D547)=14,"PJ",""))</f>
        <v/>
      </c>
      <c r="F547" s="59"/>
      <c r="G547" s="59"/>
      <c r="H547" s="61" t="str">
        <f aca="false">IF(G547&lt;&gt;"",VLOOKUP(G547,'Cnae  mcc  id'!$A:$M,9,0),"")</f>
        <v/>
      </c>
      <c r="I547" s="62"/>
      <c r="J547" s="63" t="str">
        <f aca="false">IF(I547&lt;&gt;"",VLOOKUP(I547,'Legal Nature'!$E$2:$G$84,3,0),"")</f>
        <v/>
      </c>
      <c r="K547" s="64"/>
      <c r="L547" s="65"/>
      <c r="M547" s="66"/>
      <c r="N547" s="66"/>
      <c r="O547" s="79"/>
      <c r="P547" s="26"/>
      <c r="Q547" s="58"/>
      <c r="R547" s="58"/>
      <c r="S547" s="80"/>
      <c r="T547" s="68" t="str">
        <f aca="false">IF(LEFT(S547,1)="9","Celular",IF(S547="","","Fixo"))</f>
        <v/>
      </c>
      <c r="U547" s="58" t="str">
        <f aca="false">IF( T547&lt;&gt;"",VLOOKUP(T547,Selects!$M$4:$N$1000,2,0),"")</f>
        <v/>
      </c>
      <c r="V547" s="26"/>
      <c r="W547" s="58"/>
      <c r="X547" s="58"/>
      <c r="Y547" s="58"/>
      <c r="Z547" s="58"/>
      <c r="AA547" s="69"/>
      <c r="AB547" s="58"/>
      <c r="AC547" s="58"/>
      <c r="AD547" s="70" t="str">
        <f aca="false">IF(AC547&lt;&gt;"",VLOOKUP(AC547,Selects!$B$4:$C$100,2,0),"")</f>
        <v/>
      </c>
      <c r="AE547" s="26"/>
      <c r="AF547" s="58"/>
      <c r="AG547" s="59"/>
      <c r="AH547" s="65"/>
      <c r="AI547" s="66"/>
      <c r="AJ547" s="66"/>
      <c r="AK547" s="58"/>
      <c r="AL547" s="58"/>
      <c r="AM547" s="68" t="str">
        <f aca="false">IF(LEFT(AL547,1)="9","Celular",IF(AL547="","","Fixo"))</f>
        <v/>
      </c>
      <c r="AN547" s="58" t="str">
        <f aca="false">IF( AM547&lt;&gt;"",VLOOKUP(AM547,Selects!$M$4:$N$1000,2,0),"")</f>
        <v/>
      </c>
      <c r="AO547" s="58"/>
      <c r="AP547" s="59"/>
      <c r="AQ547" s="65"/>
      <c r="AR547" s="58"/>
      <c r="AS547" s="58"/>
      <c r="AT547" s="26"/>
      <c r="AU547" s="58"/>
      <c r="AV547" s="58"/>
      <c r="AW547" s="58"/>
      <c r="AX547" s="58"/>
      <c r="AY547" s="71"/>
      <c r="AZ547" s="58"/>
      <c r="BA547" s="58"/>
      <c r="BB547" s="72" t="str">
        <f aca="false">IF(BA547&lt;&gt;"",VLOOKUP(BA547,Selects!$B$4:$C$100,2,0),"")</f>
        <v/>
      </c>
      <c r="BC547" s="26"/>
      <c r="BD547" s="26"/>
      <c r="BE547" s="73"/>
      <c r="BF547" s="74"/>
      <c r="BG547" s="75" t="str">
        <f aca="false">IF(LEN(BF547)=11,"PF",IF(LEN(BF547)=14,"PJ",""))</f>
        <v/>
      </c>
      <c r="BH547" s="66"/>
      <c r="BI547" s="58" t="str">
        <f aca="false">IF(BH547&lt;&gt;"",VLOOKUP(BH547,Selects!$G:$H,2,0),"")</f>
        <v/>
      </c>
      <c r="BJ547" s="58"/>
      <c r="BK547" s="58"/>
      <c r="BL547" s="59"/>
      <c r="BM547" s="58"/>
      <c r="BN547" s="58"/>
      <c r="BO547" s="58" t="str">
        <f aca="false">IF(BN547&lt;&gt;"",VLOOKUP(BN547,Selects!$J$4:$K$1000,2,0),"")</f>
        <v/>
      </c>
      <c r="BP547" s="76"/>
      <c r="BQ547" s="59"/>
      <c r="BR547" s="77"/>
      <c r="BS547" s="59"/>
      <c r="BT547" s="77"/>
      <c r="BU547" s="58"/>
      <c r="BV547" s="58"/>
      <c r="BW547" s="58"/>
      <c r="BX547" s="58"/>
      <c r="BY547" s="58"/>
      <c r="BZ547" s="58"/>
      <c r="CA547" s="58"/>
      <c r="CB547" s="72" t="str">
        <f aca="false">IF(AC547&lt;&gt;"",VLOOKUP(AC547,Selects!$B:$E,4,0),"")</f>
        <v/>
      </c>
      <c r="CC547" s="58"/>
      <c r="CD547" s="58"/>
      <c r="CE547" s="58"/>
    </row>
    <row r="548" customFormat="false" ht="15.75" hidden="false" customHeight="true" outlineLevel="0" collapsed="false">
      <c r="A548" s="17"/>
      <c r="B548" s="58"/>
      <c r="C548" s="58"/>
      <c r="D548" s="59"/>
      <c r="E548" s="60" t="str">
        <f aca="false">IF(LEN(D548)=11,"PF",IF(LEN(D548)=14,"PJ",""))</f>
        <v/>
      </c>
      <c r="F548" s="59"/>
      <c r="G548" s="59"/>
      <c r="H548" s="61" t="str">
        <f aca="false">IF(G548&lt;&gt;"",VLOOKUP(G548,'Cnae  mcc  id'!$A:$M,9,0),"")</f>
        <v/>
      </c>
      <c r="I548" s="62"/>
      <c r="J548" s="63" t="str">
        <f aca="false">IF(I548&lt;&gt;"",VLOOKUP(I548,'Legal Nature'!$E$2:$G$84,3,0),"")</f>
        <v/>
      </c>
      <c r="K548" s="64"/>
      <c r="L548" s="65"/>
      <c r="M548" s="66"/>
      <c r="N548" s="66"/>
      <c r="O548" s="79"/>
      <c r="P548" s="26"/>
      <c r="Q548" s="58"/>
      <c r="R548" s="58"/>
      <c r="S548" s="80"/>
      <c r="T548" s="68" t="str">
        <f aca="false">IF(LEFT(S548,1)="9","Celular",IF(S548="","","Fixo"))</f>
        <v/>
      </c>
      <c r="U548" s="58" t="str">
        <f aca="false">IF( T548&lt;&gt;"",VLOOKUP(T548,Selects!$M$4:$N$1000,2,0),"")</f>
        <v/>
      </c>
      <c r="V548" s="26"/>
      <c r="W548" s="58"/>
      <c r="X548" s="58"/>
      <c r="Y548" s="58"/>
      <c r="Z548" s="58"/>
      <c r="AA548" s="69"/>
      <c r="AB548" s="58"/>
      <c r="AC548" s="58"/>
      <c r="AD548" s="70" t="str">
        <f aca="false">IF(AC548&lt;&gt;"",VLOOKUP(AC548,Selects!$B$4:$C$100,2,0),"")</f>
        <v/>
      </c>
      <c r="AE548" s="26"/>
      <c r="AF548" s="58"/>
      <c r="AG548" s="59"/>
      <c r="AH548" s="65"/>
      <c r="AI548" s="66"/>
      <c r="AJ548" s="66"/>
      <c r="AK548" s="58"/>
      <c r="AL548" s="58"/>
      <c r="AM548" s="68" t="str">
        <f aca="false">IF(LEFT(AL548,1)="9","Celular",IF(AL548="","","Fixo"))</f>
        <v/>
      </c>
      <c r="AN548" s="58" t="str">
        <f aca="false">IF( AM548&lt;&gt;"",VLOOKUP(AM548,Selects!$M$4:$N$1000,2,0),"")</f>
        <v/>
      </c>
      <c r="AO548" s="58"/>
      <c r="AP548" s="59"/>
      <c r="AQ548" s="65"/>
      <c r="AR548" s="58"/>
      <c r="AS548" s="58"/>
      <c r="AT548" s="26"/>
      <c r="AU548" s="58"/>
      <c r="AV548" s="58"/>
      <c r="AW548" s="58"/>
      <c r="AX548" s="58"/>
      <c r="AY548" s="71"/>
      <c r="AZ548" s="58"/>
      <c r="BA548" s="58"/>
      <c r="BB548" s="72" t="str">
        <f aca="false">IF(BA548&lt;&gt;"",VLOOKUP(BA548,Selects!$B$4:$C$100,2,0),"")</f>
        <v/>
      </c>
      <c r="BC548" s="26"/>
      <c r="BD548" s="26"/>
      <c r="BE548" s="73"/>
      <c r="BF548" s="74"/>
      <c r="BG548" s="75" t="str">
        <f aca="false">IF(LEN(BF548)=11,"PF",IF(LEN(BF548)=14,"PJ",""))</f>
        <v/>
      </c>
      <c r="BH548" s="66"/>
      <c r="BI548" s="58" t="str">
        <f aca="false">IF(BH548&lt;&gt;"",VLOOKUP(BH548,Selects!$G:$H,2,0),"")</f>
        <v/>
      </c>
      <c r="BJ548" s="58"/>
      <c r="BK548" s="58"/>
      <c r="BL548" s="59"/>
      <c r="BM548" s="58"/>
      <c r="BN548" s="58"/>
      <c r="BO548" s="58" t="str">
        <f aca="false">IF(BN548&lt;&gt;"",VLOOKUP(BN548,Selects!$J$4:$K$1000,2,0),"")</f>
        <v/>
      </c>
      <c r="BP548" s="76"/>
      <c r="BQ548" s="59"/>
      <c r="BR548" s="77"/>
      <c r="BS548" s="59"/>
      <c r="BT548" s="77"/>
      <c r="BU548" s="58"/>
      <c r="BV548" s="58"/>
      <c r="BW548" s="58"/>
      <c r="BX548" s="58"/>
      <c r="BY548" s="58"/>
      <c r="BZ548" s="58"/>
      <c r="CA548" s="58"/>
      <c r="CB548" s="72" t="str">
        <f aca="false">IF(AC548&lt;&gt;"",VLOOKUP(AC548,Selects!$B:$E,4,0),"")</f>
        <v/>
      </c>
      <c r="CC548" s="58"/>
      <c r="CD548" s="58"/>
      <c r="CE548" s="58"/>
    </row>
    <row r="549" customFormat="false" ht="15.75" hidden="false" customHeight="true" outlineLevel="0" collapsed="false">
      <c r="A549" s="17"/>
      <c r="B549" s="58"/>
      <c r="C549" s="58"/>
      <c r="D549" s="59"/>
      <c r="E549" s="60" t="str">
        <f aca="false">IF(LEN(D549)=11,"PF",IF(LEN(D549)=14,"PJ",""))</f>
        <v/>
      </c>
      <c r="F549" s="59"/>
      <c r="G549" s="59"/>
      <c r="H549" s="61" t="str">
        <f aca="false">IF(G549&lt;&gt;"",VLOOKUP(G549,'Cnae  mcc  id'!$A:$M,9,0),"")</f>
        <v/>
      </c>
      <c r="I549" s="62"/>
      <c r="J549" s="63" t="str">
        <f aca="false">IF(I549&lt;&gt;"",VLOOKUP(I549,'Legal Nature'!$E$2:$G$84,3,0),"")</f>
        <v/>
      </c>
      <c r="K549" s="64"/>
      <c r="L549" s="65"/>
      <c r="M549" s="66"/>
      <c r="N549" s="66"/>
      <c r="O549" s="79"/>
      <c r="P549" s="26"/>
      <c r="Q549" s="58"/>
      <c r="R549" s="58"/>
      <c r="S549" s="80"/>
      <c r="T549" s="68" t="str">
        <f aca="false">IF(LEFT(S549,1)="9","Celular",IF(S549="","","Fixo"))</f>
        <v/>
      </c>
      <c r="U549" s="58" t="str">
        <f aca="false">IF( T549&lt;&gt;"",VLOOKUP(T549,Selects!$M$4:$N$1000,2,0),"")</f>
        <v/>
      </c>
      <c r="V549" s="26"/>
      <c r="W549" s="58"/>
      <c r="X549" s="58"/>
      <c r="Y549" s="58"/>
      <c r="Z549" s="58"/>
      <c r="AA549" s="69"/>
      <c r="AB549" s="58"/>
      <c r="AC549" s="58"/>
      <c r="AD549" s="70" t="str">
        <f aca="false">IF(AC549&lt;&gt;"",VLOOKUP(AC549,Selects!$B$4:$C$100,2,0),"")</f>
        <v/>
      </c>
      <c r="AE549" s="26"/>
      <c r="AF549" s="58"/>
      <c r="AG549" s="59"/>
      <c r="AH549" s="65"/>
      <c r="AI549" s="66"/>
      <c r="AJ549" s="66"/>
      <c r="AK549" s="58"/>
      <c r="AL549" s="58"/>
      <c r="AM549" s="68" t="str">
        <f aca="false">IF(LEFT(AL549,1)="9","Celular",IF(AL549="","","Fixo"))</f>
        <v/>
      </c>
      <c r="AN549" s="58" t="str">
        <f aca="false">IF( AM549&lt;&gt;"",VLOOKUP(AM549,Selects!$M$4:$N$1000,2,0),"")</f>
        <v/>
      </c>
      <c r="AO549" s="58"/>
      <c r="AP549" s="59"/>
      <c r="AQ549" s="65"/>
      <c r="AR549" s="58"/>
      <c r="AS549" s="58"/>
      <c r="AT549" s="26"/>
      <c r="AU549" s="58"/>
      <c r="AV549" s="58"/>
      <c r="AW549" s="58"/>
      <c r="AX549" s="58"/>
      <c r="AY549" s="71"/>
      <c r="AZ549" s="58"/>
      <c r="BA549" s="58"/>
      <c r="BB549" s="72" t="str">
        <f aca="false">IF(BA549&lt;&gt;"",VLOOKUP(BA549,Selects!$B$4:$C$100,2,0),"")</f>
        <v/>
      </c>
      <c r="BC549" s="26"/>
      <c r="BD549" s="26"/>
      <c r="BE549" s="73"/>
      <c r="BF549" s="74"/>
      <c r="BG549" s="75" t="str">
        <f aca="false">IF(LEN(BF549)=11,"PF",IF(LEN(BF549)=14,"PJ",""))</f>
        <v/>
      </c>
      <c r="BH549" s="66"/>
      <c r="BI549" s="58" t="str">
        <f aca="false">IF(BH549&lt;&gt;"",VLOOKUP(BH549,Selects!$G:$H,2,0),"")</f>
        <v/>
      </c>
      <c r="BJ549" s="58"/>
      <c r="BK549" s="58"/>
      <c r="BL549" s="59"/>
      <c r="BM549" s="58"/>
      <c r="BN549" s="58"/>
      <c r="BO549" s="58" t="str">
        <f aca="false">IF(BN549&lt;&gt;"",VLOOKUP(BN549,Selects!$J$4:$K$1000,2,0),"")</f>
        <v/>
      </c>
      <c r="BP549" s="76"/>
      <c r="BQ549" s="59"/>
      <c r="BR549" s="77"/>
      <c r="BS549" s="59"/>
      <c r="BT549" s="77"/>
      <c r="BU549" s="58"/>
      <c r="BV549" s="58"/>
      <c r="BW549" s="58"/>
      <c r="BX549" s="58"/>
      <c r="BY549" s="58"/>
      <c r="BZ549" s="58"/>
      <c r="CA549" s="58"/>
      <c r="CB549" s="72" t="str">
        <f aca="false">IF(AC549&lt;&gt;"",VLOOKUP(AC549,Selects!$B:$E,4,0),"")</f>
        <v/>
      </c>
      <c r="CC549" s="58"/>
      <c r="CD549" s="58"/>
      <c r="CE549" s="58"/>
    </row>
    <row r="550" customFormat="false" ht="15.75" hidden="false" customHeight="true" outlineLevel="0" collapsed="false">
      <c r="A550" s="17"/>
      <c r="B550" s="58"/>
      <c r="C550" s="58"/>
      <c r="D550" s="59"/>
      <c r="E550" s="60" t="str">
        <f aca="false">IF(LEN(D550)=11,"PF",IF(LEN(D550)=14,"PJ",""))</f>
        <v/>
      </c>
      <c r="F550" s="59"/>
      <c r="G550" s="59"/>
      <c r="H550" s="61" t="str">
        <f aca="false">IF(G550&lt;&gt;"",VLOOKUP(G550,'Cnae  mcc  id'!$A:$M,9,0),"")</f>
        <v/>
      </c>
      <c r="I550" s="62"/>
      <c r="J550" s="63" t="str">
        <f aca="false">IF(I550&lt;&gt;"",VLOOKUP(I550,'Legal Nature'!$E$2:$G$84,3,0),"")</f>
        <v/>
      </c>
      <c r="K550" s="64"/>
      <c r="L550" s="65"/>
      <c r="M550" s="66"/>
      <c r="N550" s="66"/>
      <c r="O550" s="79"/>
      <c r="P550" s="26"/>
      <c r="Q550" s="58"/>
      <c r="R550" s="58"/>
      <c r="S550" s="80"/>
      <c r="T550" s="68" t="str">
        <f aca="false">IF(LEFT(S550,1)="9","Celular",IF(S550="","","Fixo"))</f>
        <v/>
      </c>
      <c r="U550" s="58" t="str">
        <f aca="false">IF( T550&lt;&gt;"",VLOOKUP(T550,Selects!$M$4:$N$1000,2,0),"")</f>
        <v/>
      </c>
      <c r="V550" s="26"/>
      <c r="W550" s="58"/>
      <c r="X550" s="58"/>
      <c r="Y550" s="58"/>
      <c r="Z550" s="58"/>
      <c r="AA550" s="69"/>
      <c r="AB550" s="58"/>
      <c r="AC550" s="58"/>
      <c r="AD550" s="70" t="str">
        <f aca="false">IF(AC550&lt;&gt;"",VLOOKUP(AC550,Selects!$B$4:$C$100,2,0),"")</f>
        <v/>
      </c>
      <c r="AE550" s="26"/>
      <c r="AF550" s="58"/>
      <c r="AG550" s="59"/>
      <c r="AH550" s="65"/>
      <c r="AI550" s="66"/>
      <c r="AJ550" s="66"/>
      <c r="AK550" s="58"/>
      <c r="AL550" s="58"/>
      <c r="AM550" s="68" t="str">
        <f aca="false">IF(LEFT(AL550,1)="9","Celular",IF(AL550="","","Fixo"))</f>
        <v/>
      </c>
      <c r="AN550" s="58" t="str">
        <f aca="false">IF( AM550&lt;&gt;"",VLOOKUP(AM550,Selects!$M$4:$N$1000,2,0),"")</f>
        <v/>
      </c>
      <c r="AO550" s="58"/>
      <c r="AP550" s="59"/>
      <c r="AQ550" s="65"/>
      <c r="AR550" s="58"/>
      <c r="AS550" s="58"/>
      <c r="AT550" s="26"/>
      <c r="AU550" s="58"/>
      <c r="AV550" s="58"/>
      <c r="AW550" s="58"/>
      <c r="AX550" s="58"/>
      <c r="AY550" s="71"/>
      <c r="AZ550" s="58"/>
      <c r="BA550" s="58"/>
      <c r="BB550" s="72" t="str">
        <f aca="false">IF(BA550&lt;&gt;"",VLOOKUP(BA550,Selects!$B$4:$C$100,2,0),"")</f>
        <v/>
      </c>
      <c r="BC550" s="26"/>
      <c r="BD550" s="26"/>
      <c r="BE550" s="73"/>
      <c r="BF550" s="74"/>
      <c r="BG550" s="75" t="str">
        <f aca="false">IF(LEN(BF550)=11,"PF",IF(LEN(BF550)=14,"PJ",""))</f>
        <v/>
      </c>
      <c r="BH550" s="66"/>
      <c r="BI550" s="58" t="str">
        <f aca="false">IF(BH550&lt;&gt;"",VLOOKUP(BH550,Selects!$G:$H,2,0),"")</f>
        <v/>
      </c>
      <c r="BJ550" s="58"/>
      <c r="BK550" s="58"/>
      <c r="BL550" s="59"/>
      <c r="BM550" s="58"/>
      <c r="BN550" s="58"/>
      <c r="BO550" s="58" t="str">
        <f aca="false">IF(BN550&lt;&gt;"",VLOOKUP(BN550,Selects!$J$4:$K$1000,2,0),"")</f>
        <v/>
      </c>
      <c r="BP550" s="76"/>
      <c r="BQ550" s="59"/>
      <c r="BR550" s="77"/>
      <c r="BS550" s="59"/>
      <c r="BT550" s="77"/>
      <c r="BU550" s="58"/>
      <c r="BV550" s="58"/>
      <c r="BW550" s="58"/>
      <c r="BX550" s="58"/>
      <c r="BY550" s="58"/>
      <c r="BZ550" s="58"/>
      <c r="CA550" s="58"/>
      <c r="CB550" s="72" t="str">
        <f aca="false">IF(AC550&lt;&gt;"",VLOOKUP(AC550,Selects!$B:$E,4,0),"")</f>
        <v/>
      </c>
      <c r="CC550" s="58"/>
      <c r="CD550" s="58"/>
      <c r="CE550" s="58"/>
    </row>
    <row r="551" customFormat="false" ht="15.75" hidden="false" customHeight="true" outlineLevel="0" collapsed="false">
      <c r="A551" s="17"/>
      <c r="B551" s="58"/>
      <c r="C551" s="58"/>
      <c r="D551" s="59"/>
      <c r="E551" s="60" t="str">
        <f aca="false">IF(LEN(D551)=11,"PF",IF(LEN(D551)=14,"PJ",""))</f>
        <v/>
      </c>
      <c r="F551" s="59"/>
      <c r="G551" s="59"/>
      <c r="H551" s="61" t="str">
        <f aca="false">IF(G551&lt;&gt;"",VLOOKUP(G551,'Cnae  mcc  id'!$A:$M,9,0),"")</f>
        <v/>
      </c>
      <c r="I551" s="62"/>
      <c r="J551" s="63" t="str">
        <f aca="false">IF(I551&lt;&gt;"",VLOOKUP(I551,'Legal Nature'!$E$2:$G$84,3,0),"")</f>
        <v/>
      </c>
      <c r="K551" s="64"/>
      <c r="L551" s="65"/>
      <c r="M551" s="66"/>
      <c r="N551" s="66"/>
      <c r="O551" s="79"/>
      <c r="P551" s="26"/>
      <c r="Q551" s="58"/>
      <c r="R551" s="58"/>
      <c r="S551" s="80"/>
      <c r="T551" s="68" t="str">
        <f aca="false">IF(LEFT(S551,1)="9","Celular",IF(S551="","","Fixo"))</f>
        <v/>
      </c>
      <c r="U551" s="58" t="str">
        <f aca="false">IF( T551&lt;&gt;"",VLOOKUP(T551,Selects!$M$4:$N$1000,2,0),"")</f>
        <v/>
      </c>
      <c r="V551" s="26"/>
      <c r="W551" s="58"/>
      <c r="X551" s="58"/>
      <c r="Y551" s="58"/>
      <c r="Z551" s="58"/>
      <c r="AA551" s="69"/>
      <c r="AB551" s="58"/>
      <c r="AC551" s="58"/>
      <c r="AD551" s="70" t="str">
        <f aca="false">IF(AC551&lt;&gt;"",VLOOKUP(AC551,Selects!$B$4:$C$100,2,0),"")</f>
        <v/>
      </c>
      <c r="AE551" s="26"/>
      <c r="AF551" s="58"/>
      <c r="AG551" s="59"/>
      <c r="AH551" s="65"/>
      <c r="AI551" s="66"/>
      <c r="AJ551" s="66"/>
      <c r="AK551" s="58"/>
      <c r="AL551" s="58"/>
      <c r="AM551" s="68" t="str">
        <f aca="false">IF(LEFT(AL551,1)="9","Celular",IF(AL551="","","Fixo"))</f>
        <v/>
      </c>
      <c r="AN551" s="58" t="str">
        <f aca="false">IF( AM551&lt;&gt;"",VLOOKUP(AM551,Selects!$M$4:$N$1000,2,0),"")</f>
        <v/>
      </c>
      <c r="AO551" s="58"/>
      <c r="AP551" s="59"/>
      <c r="AQ551" s="65"/>
      <c r="AR551" s="58"/>
      <c r="AS551" s="58"/>
      <c r="AT551" s="26"/>
      <c r="AU551" s="58"/>
      <c r="AV551" s="58"/>
      <c r="AW551" s="58"/>
      <c r="AX551" s="58"/>
      <c r="AY551" s="71"/>
      <c r="AZ551" s="58"/>
      <c r="BA551" s="58"/>
      <c r="BB551" s="72" t="str">
        <f aca="false">IF(BA551&lt;&gt;"",VLOOKUP(BA551,Selects!$B$4:$C$100,2,0),"")</f>
        <v/>
      </c>
      <c r="BC551" s="26"/>
      <c r="BD551" s="26"/>
      <c r="BE551" s="73"/>
      <c r="BF551" s="74"/>
      <c r="BG551" s="75" t="str">
        <f aca="false">IF(LEN(BF551)=11,"PF",IF(LEN(BF551)=14,"PJ",""))</f>
        <v/>
      </c>
      <c r="BH551" s="66"/>
      <c r="BI551" s="58" t="str">
        <f aca="false">IF(BH551&lt;&gt;"",VLOOKUP(BH551,Selects!$G:$H,2,0),"")</f>
        <v/>
      </c>
      <c r="BJ551" s="58"/>
      <c r="BK551" s="58"/>
      <c r="BL551" s="59"/>
      <c r="BM551" s="58"/>
      <c r="BN551" s="58"/>
      <c r="BO551" s="58" t="str">
        <f aca="false">IF(BN551&lt;&gt;"",VLOOKUP(BN551,Selects!$J$4:$K$1000,2,0),"")</f>
        <v/>
      </c>
      <c r="BP551" s="76"/>
      <c r="BQ551" s="59"/>
      <c r="BR551" s="77"/>
      <c r="BS551" s="59"/>
      <c r="BT551" s="77"/>
      <c r="BU551" s="58"/>
      <c r="BV551" s="58"/>
      <c r="BW551" s="58"/>
      <c r="BX551" s="58"/>
      <c r="BY551" s="58"/>
      <c r="BZ551" s="58"/>
      <c r="CA551" s="58"/>
      <c r="CB551" s="72" t="str">
        <f aca="false">IF(AC551&lt;&gt;"",VLOOKUP(AC551,Selects!$B:$E,4,0),"")</f>
        <v/>
      </c>
      <c r="CC551" s="58"/>
      <c r="CD551" s="58"/>
      <c r="CE551" s="58"/>
    </row>
    <row r="552" customFormat="false" ht="15.75" hidden="false" customHeight="true" outlineLevel="0" collapsed="false">
      <c r="A552" s="17"/>
      <c r="B552" s="58"/>
      <c r="C552" s="58"/>
      <c r="D552" s="59"/>
      <c r="E552" s="60" t="str">
        <f aca="false">IF(LEN(D552)=11,"PF",IF(LEN(D552)=14,"PJ",""))</f>
        <v/>
      </c>
      <c r="F552" s="59"/>
      <c r="G552" s="59"/>
      <c r="H552" s="61" t="str">
        <f aca="false">IF(G552&lt;&gt;"",VLOOKUP(G552,'Cnae  mcc  id'!$A:$M,9,0),"")</f>
        <v/>
      </c>
      <c r="I552" s="62"/>
      <c r="J552" s="63" t="str">
        <f aca="false">IF(I552&lt;&gt;"",VLOOKUP(I552,'Legal Nature'!$E$2:$G$84,3,0),"")</f>
        <v/>
      </c>
      <c r="K552" s="64"/>
      <c r="L552" s="65"/>
      <c r="M552" s="66"/>
      <c r="N552" s="66"/>
      <c r="O552" s="79"/>
      <c r="P552" s="26"/>
      <c r="Q552" s="58"/>
      <c r="R552" s="58"/>
      <c r="S552" s="80"/>
      <c r="T552" s="68" t="str">
        <f aca="false">IF(LEFT(S552,1)="9","Celular",IF(S552="","","Fixo"))</f>
        <v/>
      </c>
      <c r="U552" s="58" t="str">
        <f aca="false">IF( T552&lt;&gt;"",VLOOKUP(T552,Selects!$M$4:$N$1000,2,0),"")</f>
        <v/>
      </c>
      <c r="V552" s="26"/>
      <c r="W552" s="58"/>
      <c r="X552" s="58"/>
      <c r="Y552" s="58"/>
      <c r="Z552" s="58"/>
      <c r="AA552" s="69"/>
      <c r="AB552" s="58"/>
      <c r="AC552" s="58"/>
      <c r="AD552" s="70" t="str">
        <f aca="false">IF(AC552&lt;&gt;"",VLOOKUP(AC552,Selects!$B$4:$C$100,2,0),"")</f>
        <v/>
      </c>
      <c r="AE552" s="26"/>
      <c r="AF552" s="58"/>
      <c r="AG552" s="59"/>
      <c r="AH552" s="65"/>
      <c r="AI552" s="66"/>
      <c r="AJ552" s="66"/>
      <c r="AK552" s="58"/>
      <c r="AL552" s="58"/>
      <c r="AM552" s="68" t="str">
        <f aca="false">IF(LEFT(AL552,1)="9","Celular",IF(AL552="","","Fixo"))</f>
        <v/>
      </c>
      <c r="AN552" s="58" t="str">
        <f aca="false">IF( AM552&lt;&gt;"",VLOOKUP(AM552,Selects!$M$4:$N$1000,2,0),"")</f>
        <v/>
      </c>
      <c r="AO552" s="58"/>
      <c r="AP552" s="59"/>
      <c r="AQ552" s="65"/>
      <c r="AR552" s="58"/>
      <c r="AS552" s="58"/>
      <c r="AT552" s="26"/>
      <c r="AU552" s="58"/>
      <c r="AV552" s="58"/>
      <c r="AW552" s="58"/>
      <c r="AX552" s="58"/>
      <c r="AY552" s="71"/>
      <c r="AZ552" s="58"/>
      <c r="BA552" s="58"/>
      <c r="BB552" s="72" t="str">
        <f aca="false">IF(BA552&lt;&gt;"",VLOOKUP(BA552,Selects!$B$4:$C$100,2,0),"")</f>
        <v/>
      </c>
      <c r="BC552" s="26"/>
      <c r="BD552" s="26"/>
      <c r="BE552" s="73"/>
      <c r="BF552" s="74"/>
      <c r="BG552" s="75" t="str">
        <f aca="false">IF(LEN(BF552)=11,"PF",IF(LEN(BF552)=14,"PJ",""))</f>
        <v/>
      </c>
      <c r="BH552" s="66"/>
      <c r="BI552" s="58" t="str">
        <f aca="false">IF(BH552&lt;&gt;"",VLOOKUP(BH552,Selects!$G:$H,2,0),"")</f>
        <v/>
      </c>
      <c r="BJ552" s="58"/>
      <c r="BK552" s="58"/>
      <c r="BL552" s="59"/>
      <c r="BM552" s="58"/>
      <c r="BN552" s="58"/>
      <c r="BO552" s="58" t="str">
        <f aca="false">IF(BN552&lt;&gt;"",VLOOKUP(BN552,Selects!$J$4:$K$1000,2,0),"")</f>
        <v/>
      </c>
      <c r="BP552" s="76"/>
      <c r="BQ552" s="59"/>
      <c r="BR552" s="77"/>
      <c r="BS552" s="59"/>
      <c r="BT552" s="77"/>
      <c r="BU552" s="58"/>
      <c r="BV552" s="58"/>
      <c r="BW552" s="58"/>
      <c r="BX552" s="58"/>
      <c r="BY552" s="58"/>
      <c r="BZ552" s="58"/>
      <c r="CA552" s="58"/>
      <c r="CB552" s="72" t="str">
        <f aca="false">IF(AC552&lt;&gt;"",VLOOKUP(AC552,Selects!$B:$E,4,0),"")</f>
        <v/>
      </c>
      <c r="CC552" s="58"/>
      <c r="CD552" s="58"/>
      <c r="CE552" s="58"/>
    </row>
    <row r="553" customFormat="false" ht="15.75" hidden="false" customHeight="true" outlineLevel="0" collapsed="false">
      <c r="A553" s="17"/>
      <c r="B553" s="58"/>
      <c r="C553" s="58"/>
      <c r="D553" s="59"/>
      <c r="E553" s="60" t="str">
        <f aca="false">IF(LEN(D553)=11,"PF",IF(LEN(D553)=14,"PJ",""))</f>
        <v/>
      </c>
      <c r="F553" s="59"/>
      <c r="G553" s="59"/>
      <c r="H553" s="61" t="str">
        <f aca="false">IF(G553&lt;&gt;"",VLOOKUP(G553,'Cnae  mcc  id'!$A:$M,9,0),"")</f>
        <v/>
      </c>
      <c r="I553" s="62"/>
      <c r="J553" s="63" t="str">
        <f aca="false">IF(I553&lt;&gt;"",VLOOKUP(I553,'Legal Nature'!$E$2:$G$84,3,0),"")</f>
        <v/>
      </c>
      <c r="K553" s="64"/>
      <c r="L553" s="65"/>
      <c r="M553" s="66"/>
      <c r="N553" s="66"/>
      <c r="O553" s="79"/>
      <c r="P553" s="26"/>
      <c r="Q553" s="58"/>
      <c r="R553" s="58"/>
      <c r="S553" s="80"/>
      <c r="T553" s="68" t="str">
        <f aca="false">IF(LEFT(S553,1)="9","Celular",IF(S553="","","Fixo"))</f>
        <v/>
      </c>
      <c r="U553" s="58" t="str">
        <f aca="false">IF( T553&lt;&gt;"",VLOOKUP(T553,Selects!$M$4:$N$1000,2,0),"")</f>
        <v/>
      </c>
      <c r="V553" s="26"/>
      <c r="W553" s="58"/>
      <c r="X553" s="58"/>
      <c r="Y553" s="58"/>
      <c r="Z553" s="58"/>
      <c r="AA553" s="69"/>
      <c r="AB553" s="58"/>
      <c r="AC553" s="58"/>
      <c r="AD553" s="70" t="str">
        <f aca="false">IF(AC553&lt;&gt;"",VLOOKUP(AC553,Selects!$B$4:$C$100,2,0),"")</f>
        <v/>
      </c>
      <c r="AE553" s="26"/>
      <c r="AF553" s="58"/>
      <c r="AG553" s="59"/>
      <c r="AH553" s="65"/>
      <c r="AI553" s="66"/>
      <c r="AJ553" s="66"/>
      <c r="AK553" s="58"/>
      <c r="AL553" s="58"/>
      <c r="AM553" s="68" t="str">
        <f aca="false">IF(LEFT(AL553,1)="9","Celular",IF(AL553="","","Fixo"))</f>
        <v/>
      </c>
      <c r="AN553" s="58" t="str">
        <f aca="false">IF( AM553&lt;&gt;"",VLOOKUP(AM553,Selects!$M$4:$N$1000,2,0),"")</f>
        <v/>
      </c>
      <c r="AO553" s="58"/>
      <c r="AP553" s="59"/>
      <c r="AQ553" s="65"/>
      <c r="AR553" s="58"/>
      <c r="AS553" s="58"/>
      <c r="AT553" s="26"/>
      <c r="AU553" s="58"/>
      <c r="AV553" s="58"/>
      <c r="AW553" s="58"/>
      <c r="AX553" s="58"/>
      <c r="AY553" s="71"/>
      <c r="AZ553" s="58"/>
      <c r="BA553" s="58"/>
      <c r="BB553" s="72" t="str">
        <f aca="false">IF(BA553&lt;&gt;"",VLOOKUP(BA553,Selects!$B$4:$C$100,2,0),"")</f>
        <v/>
      </c>
      <c r="BC553" s="26"/>
      <c r="BD553" s="26"/>
      <c r="BE553" s="73"/>
      <c r="BF553" s="74"/>
      <c r="BG553" s="75" t="str">
        <f aca="false">IF(LEN(BF553)=11,"PF",IF(LEN(BF553)=14,"PJ",""))</f>
        <v/>
      </c>
      <c r="BH553" s="66"/>
      <c r="BI553" s="58" t="str">
        <f aca="false">IF(BH553&lt;&gt;"",VLOOKUP(BH553,Selects!$G:$H,2,0),"")</f>
        <v/>
      </c>
      <c r="BJ553" s="58"/>
      <c r="BK553" s="58"/>
      <c r="BL553" s="59"/>
      <c r="BM553" s="58"/>
      <c r="BN553" s="58"/>
      <c r="BO553" s="58" t="str">
        <f aca="false">IF(BN553&lt;&gt;"",VLOOKUP(BN553,Selects!$J$4:$K$1000,2,0),"")</f>
        <v/>
      </c>
      <c r="BP553" s="76"/>
      <c r="BQ553" s="59"/>
      <c r="BR553" s="77"/>
      <c r="BS553" s="59"/>
      <c r="BT553" s="77"/>
      <c r="BU553" s="58"/>
      <c r="BV553" s="58"/>
      <c r="BW553" s="58"/>
      <c r="BX553" s="58"/>
      <c r="BY553" s="58"/>
      <c r="BZ553" s="58"/>
      <c r="CA553" s="58"/>
      <c r="CB553" s="72" t="str">
        <f aca="false">IF(AC553&lt;&gt;"",VLOOKUP(AC553,Selects!$B:$E,4,0),"")</f>
        <v/>
      </c>
      <c r="CC553" s="58"/>
      <c r="CD553" s="58"/>
      <c r="CE553" s="58"/>
    </row>
    <row r="554" customFormat="false" ht="15.75" hidden="false" customHeight="true" outlineLevel="0" collapsed="false">
      <c r="A554" s="17"/>
      <c r="B554" s="58"/>
      <c r="C554" s="58"/>
      <c r="D554" s="59"/>
      <c r="E554" s="60" t="str">
        <f aca="false">IF(LEN(D554)=11,"PF",IF(LEN(D554)=14,"PJ",""))</f>
        <v/>
      </c>
      <c r="F554" s="59"/>
      <c r="G554" s="59"/>
      <c r="H554" s="61" t="str">
        <f aca="false">IF(G554&lt;&gt;"",VLOOKUP(G554,'Cnae  mcc  id'!$A:$M,9,0),"")</f>
        <v/>
      </c>
      <c r="I554" s="62"/>
      <c r="J554" s="63" t="str">
        <f aca="false">IF(I554&lt;&gt;"",VLOOKUP(I554,'Legal Nature'!$E$2:$G$84,3,0),"")</f>
        <v/>
      </c>
      <c r="K554" s="64"/>
      <c r="L554" s="65"/>
      <c r="M554" s="66"/>
      <c r="N554" s="66"/>
      <c r="O554" s="79"/>
      <c r="P554" s="26"/>
      <c r="Q554" s="58"/>
      <c r="R554" s="58"/>
      <c r="S554" s="80"/>
      <c r="T554" s="68" t="str">
        <f aca="false">IF(LEFT(S554,1)="9","Celular",IF(S554="","","Fixo"))</f>
        <v/>
      </c>
      <c r="U554" s="58" t="str">
        <f aca="false">IF( T554&lt;&gt;"",VLOOKUP(T554,Selects!$M$4:$N$1000,2,0),"")</f>
        <v/>
      </c>
      <c r="V554" s="26"/>
      <c r="W554" s="58"/>
      <c r="X554" s="58"/>
      <c r="Y554" s="58"/>
      <c r="Z554" s="58"/>
      <c r="AA554" s="69"/>
      <c r="AB554" s="58"/>
      <c r="AC554" s="58"/>
      <c r="AD554" s="70" t="str">
        <f aca="false">IF(AC554&lt;&gt;"",VLOOKUP(AC554,Selects!$B$4:$C$100,2,0),"")</f>
        <v/>
      </c>
      <c r="AE554" s="26"/>
      <c r="AF554" s="58"/>
      <c r="AG554" s="59"/>
      <c r="AH554" s="65"/>
      <c r="AI554" s="66"/>
      <c r="AJ554" s="66"/>
      <c r="AK554" s="58"/>
      <c r="AL554" s="58"/>
      <c r="AM554" s="68" t="str">
        <f aca="false">IF(LEFT(AL554,1)="9","Celular",IF(AL554="","","Fixo"))</f>
        <v/>
      </c>
      <c r="AN554" s="58" t="str">
        <f aca="false">IF( AM554&lt;&gt;"",VLOOKUP(AM554,Selects!$M$4:$N$1000,2,0),"")</f>
        <v/>
      </c>
      <c r="AO554" s="58"/>
      <c r="AP554" s="59"/>
      <c r="AQ554" s="65"/>
      <c r="AR554" s="58"/>
      <c r="AS554" s="58"/>
      <c r="AT554" s="26"/>
      <c r="AU554" s="58"/>
      <c r="AV554" s="58"/>
      <c r="AW554" s="58"/>
      <c r="AX554" s="58"/>
      <c r="AY554" s="71"/>
      <c r="AZ554" s="58"/>
      <c r="BA554" s="58"/>
      <c r="BB554" s="72" t="str">
        <f aca="false">IF(BA554&lt;&gt;"",VLOOKUP(BA554,Selects!$B$4:$C$100,2,0),"")</f>
        <v/>
      </c>
      <c r="BC554" s="26"/>
      <c r="BD554" s="26"/>
      <c r="BE554" s="73"/>
      <c r="BF554" s="74"/>
      <c r="BG554" s="75" t="str">
        <f aca="false">IF(LEN(BF554)=11,"PF",IF(LEN(BF554)=14,"PJ",""))</f>
        <v/>
      </c>
      <c r="BH554" s="66"/>
      <c r="BI554" s="58" t="str">
        <f aca="false">IF(BH554&lt;&gt;"",VLOOKUP(BH554,Selects!$G:$H,2,0),"")</f>
        <v/>
      </c>
      <c r="BJ554" s="58"/>
      <c r="BK554" s="58"/>
      <c r="BL554" s="59"/>
      <c r="BM554" s="58"/>
      <c r="BN554" s="58"/>
      <c r="BO554" s="58" t="str">
        <f aca="false">IF(BN554&lt;&gt;"",VLOOKUP(BN554,Selects!$J$4:$K$1000,2,0),"")</f>
        <v/>
      </c>
      <c r="BP554" s="76"/>
      <c r="BQ554" s="59"/>
      <c r="BR554" s="77"/>
      <c r="BS554" s="59"/>
      <c r="BT554" s="77"/>
      <c r="BU554" s="58"/>
      <c r="BV554" s="58"/>
      <c r="BW554" s="58"/>
      <c r="BX554" s="58"/>
      <c r="BY554" s="58"/>
      <c r="BZ554" s="58"/>
      <c r="CA554" s="58"/>
      <c r="CB554" s="72" t="str">
        <f aca="false">IF(AC554&lt;&gt;"",VLOOKUP(AC554,Selects!$B:$E,4,0),"")</f>
        <v/>
      </c>
      <c r="CC554" s="58"/>
      <c r="CD554" s="58"/>
      <c r="CE554" s="58"/>
    </row>
    <row r="555" customFormat="false" ht="15.75" hidden="false" customHeight="true" outlineLevel="0" collapsed="false">
      <c r="A555" s="17"/>
      <c r="B555" s="58"/>
      <c r="C555" s="58"/>
      <c r="D555" s="59"/>
      <c r="E555" s="60" t="str">
        <f aca="false">IF(LEN(D555)=11,"PF",IF(LEN(D555)=14,"PJ",""))</f>
        <v/>
      </c>
      <c r="F555" s="59"/>
      <c r="G555" s="59"/>
      <c r="H555" s="61" t="str">
        <f aca="false">IF(G555&lt;&gt;"",VLOOKUP(G555,'Cnae  mcc  id'!$A:$M,9,0),"")</f>
        <v/>
      </c>
      <c r="I555" s="62"/>
      <c r="J555" s="63" t="str">
        <f aca="false">IF(I555&lt;&gt;"",VLOOKUP(I555,'Legal Nature'!$E$2:$G$84,3,0),"")</f>
        <v/>
      </c>
      <c r="K555" s="64"/>
      <c r="L555" s="65"/>
      <c r="M555" s="66"/>
      <c r="N555" s="66"/>
      <c r="O555" s="79"/>
      <c r="P555" s="26"/>
      <c r="Q555" s="58"/>
      <c r="R555" s="58"/>
      <c r="S555" s="80"/>
      <c r="T555" s="68" t="str">
        <f aca="false">IF(LEFT(S555,1)="9","Celular",IF(S555="","","Fixo"))</f>
        <v/>
      </c>
      <c r="U555" s="58" t="str">
        <f aca="false">IF( T555&lt;&gt;"",VLOOKUP(T555,Selects!$M$4:$N$1000,2,0),"")</f>
        <v/>
      </c>
      <c r="V555" s="26"/>
      <c r="W555" s="58"/>
      <c r="X555" s="58"/>
      <c r="Y555" s="58"/>
      <c r="Z555" s="58"/>
      <c r="AA555" s="69"/>
      <c r="AB555" s="58"/>
      <c r="AC555" s="58"/>
      <c r="AD555" s="70" t="str">
        <f aca="false">IF(AC555&lt;&gt;"",VLOOKUP(AC555,Selects!$B$4:$C$100,2,0),"")</f>
        <v/>
      </c>
      <c r="AE555" s="26"/>
      <c r="AF555" s="58"/>
      <c r="AG555" s="59"/>
      <c r="AH555" s="65"/>
      <c r="AI555" s="66"/>
      <c r="AJ555" s="66"/>
      <c r="AK555" s="58"/>
      <c r="AL555" s="58"/>
      <c r="AM555" s="68" t="str">
        <f aca="false">IF(LEFT(AL555,1)="9","Celular",IF(AL555="","","Fixo"))</f>
        <v/>
      </c>
      <c r="AN555" s="58" t="str">
        <f aca="false">IF( AM555&lt;&gt;"",VLOOKUP(AM555,Selects!$M$4:$N$1000,2,0),"")</f>
        <v/>
      </c>
      <c r="AO555" s="58"/>
      <c r="AP555" s="59"/>
      <c r="AQ555" s="65"/>
      <c r="AR555" s="58"/>
      <c r="AS555" s="58"/>
      <c r="AT555" s="26"/>
      <c r="AU555" s="58"/>
      <c r="AV555" s="58"/>
      <c r="AW555" s="58"/>
      <c r="AX555" s="58"/>
      <c r="AY555" s="71"/>
      <c r="AZ555" s="58"/>
      <c r="BA555" s="58"/>
      <c r="BB555" s="72" t="str">
        <f aca="false">IF(BA555&lt;&gt;"",VLOOKUP(BA555,Selects!$B$4:$C$100,2,0),"")</f>
        <v/>
      </c>
      <c r="BC555" s="26"/>
      <c r="BD555" s="26"/>
      <c r="BE555" s="73"/>
      <c r="BF555" s="74"/>
      <c r="BG555" s="75" t="str">
        <f aca="false">IF(LEN(BF555)=11,"PF",IF(LEN(BF555)=14,"PJ",""))</f>
        <v/>
      </c>
      <c r="BH555" s="66"/>
      <c r="BI555" s="58" t="str">
        <f aca="false">IF(BH555&lt;&gt;"",VLOOKUP(BH555,Selects!$G:$H,2,0),"")</f>
        <v/>
      </c>
      <c r="BJ555" s="58"/>
      <c r="BK555" s="58"/>
      <c r="BL555" s="59"/>
      <c r="BM555" s="58"/>
      <c r="BN555" s="58"/>
      <c r="BO555" s="58" t="str">
        <f aca="false">IF(BN555&lt;&gt;"",VLOOKUP(BN555,Selects!$J$4:$K$1000,2,0),"")</f>
        <v/>
      </c>
      <c r="BP555" s="76"/>
      <c r="BQ555" s="59"/>
      <c r="BR555" s="77"/>
      <c r="BS555" s="59"/>
      <c r="BT555" s="77"/>
      <c r="BU555" s="58"/>
      <c r="BV555" s="58"/>
      <c r="BW555" s="58"/>
      <c r="BX555" s="58"/>
      <c r="BY555" s="58"/>
      <c r="BZ555" s="58"/>
      <c r="CA555" s="58"/>
      <c r="CB555" s="72" t="str">
        <f aca="false">IF(AC555&lt;&gt;"",VLOOKUP(AC555,Selects!$B:$E,4,0),"")</f>
        <v/>
      </c>
      <c r="CC555" s="58"/>
      <c r="CD555" s="58"/>
      <c r="CE555" s="58"/>
    </row>
    <row r="556" customFormat="false" ht="15.75" hidden="false" customHeight="true" outlineLevel="0" collapsed="false">
      <c r="A556" s="17"/>
      <c r="B556" s="58"/>
      <c r="C556" s="58"/>
      <c r="D556" s="59"/>
      <c r="E556" s="60" t="str">
        <f aca="false">IF(LEN(D556)=11,"PF",IF(LEN(D556)=14,"PJ",""))</f>
        <v/>
      </c>
      <c r="F556" s="59"/>
      <c r="G556" s="59"/>
      <c r="H556" s="61" t="str">
        <f aca="false">IF(G556&lt;&gt;"",VLOOKUP(G556,'Cnae  mcc  id'!$A:$M,9,0),"")</f>
        <v/>
      </c>
      <c r="I556" s="62"/>
      <c r="J556" s="63" t="str">
        <f aca="false">IF(I556&lt;&gt;"",VLOOKUP(I556,'Legal Nature'!$E$2:$G$84,3,0),"")</f>
        <v/>
      </c>
      <c r="K556" s="64"/>
      <c r="L556" s="65"/>
      <c r="M556" s="66"/>
      <c r="N556" s="66"/>
      <c r="O556" s="79"/>
      <c r="P556" s="26"/>
      <c r="Q556" s="58"/>
      <c r="R556" s="58"/>
      <c r="S556" s="80"/>
      <c r="T556" s="68" t="str">
        <f aca="false">IF(LEFT(S556,1)="9","Celular",IF(S556="","","Fixo"))</f>
        <v/>
      </c>
      <c r="U556" s="58" t="str">
        <f aca="false">IF( T556&lt;&gt;"",VLOOKUP(T556,Selects!$M$4:$N$1000,2,0),"")</f>
        <v/>
      </c>
      <c r="V556" s="26"/>
      <c r="W556" s="58"/>
      <c r="X556" s="58"/>
      <c r="Y556" s="58"/>
      <c r="Z556" s="58"/>
      <c r="AA556" s="69"/>
      <c r="AB556" s="58"/>
      <c r="AC556" s="58"/>
      <c r="AD556" s="70" t="str">
        <f aca="false">IF(AC556&lt;&gt;"",VLOOKUP(AC556,Selects!$B$4:$C$100,2,0),"")</f>
        <v/>
      </c>
      <c r="AE556" s="26"/>
      <c r="AF556" s="58"/>
      <c r="AG556" s="59"/>
      <c r="AH556" s="65"/>
      <c r="AI556" s="66"/>
      <c r="AJ556" s="66"/>
      <c r="AK556" s="58"/>
      <c r="AL556" s="58"/>
      <c r="AM556" s="68" t="str">
        <f aca="false">IF(LEFT(AL556,1)="9","Celular",IF(AL556="","","Fixo"))</f>
        <v/>
      </c>
      <c r="AN556" s="58" t="str">
        <f aca="false">IF( AM556&lt;&gt;"",VLOOKUP(AM556,Selects!$M$4:$N$1000,2,0),"")</f>
        <v/>
      </c>
      <c r="AO556" s="58"/>
      <c r="AP556" s="59"/>
      <c r="AQ556" s="65"/>
      <c r="AR556" s="58"/>
      <c r="AS556" s="58"/>
      <c r="AT556" s="26"/>
      <c r="AU556" s="58"/>
      <c r="AV556" s="58"/>
      <c r="AW556" s="58"/>
      <c r="AX556" s="58"/>
      <c r="AY556" s="71"/>
      <c r="AZ556" s="58"/>
      <c r="BA556" s="58"/>
      <c r="BB556" s="72" t="str">
        <f aca="false">IF(BA556&lt;&gt;"",VLOOKUP(BA556,Selects!$B$4:$C$100,2,0),"")</f>
        <v/>
      </c>
      <c r="BC556" s="26"/>
      <c r="BD556" s="26"/>
      <c r="BE556" s="73"/>
      <c r="BF556" s="74"/>
      <c r="BG556" s="75" t="str">
        <f aca="false">IF(LEN(BF556)=11,"PF",IF(LEN(BF556)=14,"PJ",""))</f>
        <v/>
      </c>
      <c r="BH556" s="66"/>
      <c r="BI556" s="58" t="str">
        <f aca="false">IF(BH556&lt;&gt;"",VLOOKUP(BH556,Selects!$G:$H,2,0),"")</f>
        <v/>
      </c>
      <c r="BJ556" s="58"/>
      <c r="BK556" s="58"/>
      <c r="BL556" s="59"/>
      <c r="BM556" s="58"/>
      <c r="BN556" s="58"/>
      <c r="BO556" s="58" t="str">
        <f aca="false">IF(BN556&lt;&gt;"",VLOOKUP(BN556,Selects!$J$4:$K$1000,2,0),"")</f>
        <v/>
      </c>
      <c r="BP556" s="76"/>
      <c r="BQ556" s="59"/>
      <c r="BR556" s="77"/>
      <c r="BS556" s="59"/>
      <c r="BT556" s="77"/>
      <c r="BU556" s="58"/>
      <c r="BV556" s="58"/>
      <c r="BW556" s="58"/>
      <c r="BX556" s="58"/>
      <c r="BY556" s="58"/>
      <c r="BZ556" s="58"/>
      <c r="CA556" s="58"/>
      <c r="CB556" s="72" t="str">
        <f aca="false">IF(AC556&lt;&gt;"",VLOOKUP(AC556,Selects!$B:$E,4,0),"")</f>
        <v/>
      </c>
      <c r="CC556" s="58"/>
      <c r="CD556" s="58"/>
      <c r="CE556" s="58"/>
    </row>
    <row r="557" customFormat="false" ht="15.75" hidden="false" customHeight="true" outlineLevel="0" collapsed="false">
      <c r="A557" s="17"/>
      <c r="B557" s="58"/>
      <c r="C557" s="58"/>
      <c r="D557" s="59"/>
      <c r="E557" s="60" t="str">
        <f aca="false">IF(LEN(D557)=11,"PF",IF(LEN(D557)=14,"PJ",""))</f>
        <v/>
      </c>
      <c r="F557" s="59"/>
      <c r="G557" s="59"/>
      <c r="H557" s="61" t="str">
        <f aca="false">IF(G557&lt;&gt;"",VLOOKUP(G557,'Cnae  mcc  id'!$A:$M,9,0),"")</f>
        <v/>
      </c>
      <c r="I557" s="62"/>
      <c r="J557" s="63" t="str">
        <f aca="false">IF(I557&lt;&gt;"",VLOOKUP(I557,'Legal Nature'!$E$2:$G$84,3,0),"")</f>
        <v/>
      </c>
      <c r="K557" s="64"/>
      <c r="L557" s="65"/>
      <c r="M557" s="66"/>
      <c r="N557" s="66"/>
      <c r="O557" s="79"/>
      <c r="P557" s="26"/>
      <c r="Q557" s="58"/>
      <c r="R557" s="58"/>
      <c r="S557" s="80"/>
      <c r="T557" s="68" t="str">
        <f aca="false">IF(LEFT(S557,1)="9","Celular",IF(S557="","","Fixo"))</f>
        <v/>
      </c>
      <c r="U557" s="58" t="str">
        <f aca="false">IF( T557&lt;&gt;"",VLOOKUP(T557,Selects!$M$4:$N$1000,2,0),"")</f>
        <v/>
      </c>
      <c r="V557" s="26"/>
      <c r="W557" s="58"/>
      <c r="X557" s="58"/>
      <c r="Y557" s="58"/>
      <c r="Z557" s="58"/>
      <c r="AA557" s="69"/>
      <c r="AB557" s="58"/>
      <c r="AC557" s="58"/>
      <c r="AD557" s="70" t="str">
        <f aca="false">IF(AC557&lt;&gt;"",VLOOKUP(AC557,Selects!$B$4:$C$100,2,0),"")</f>
        <v/>
      </c>
      <c r="AE557" s="26"/>
      <c r="AF557" s="58"/>
      <c r="AG557" s="59"/>
      <c r="AH557" s="65"/>
      <c r="AI557" s="66"/>
      <c r="AJ557" s="66"/>
      <c r="AK557" s="58"/>
      <c r="AL557" s="58"/>
      <c r="AM557" s="68" t="str">
        <f aca="false">IF(LEFT(AL557,1)="9","Celular",IF(AL557="","","Fixo"))</f>
        <v/>
      </c>
      <c r="AN557" s="58" t="str">
        <f aca="false">IF( AM557&lt;&gt;"",VLOOKUP(AM557,Selects!$M$4:$N$1000,2,0),"")</f>
        <v/>
      </c>
      <c r="AO557" s="58"/>
      <c r="AP557" s="59"/>
      <c r="AQ557" s="65"/>
      <c r="AR557" s="58"/>
      <c r="AS557" s="58"/>
      <c r="AT557" s="26"/>
      <c r="AU557" s="58"/>
      <c r="AV557" s="58"/>
      <c r="AW557" s="58"/>
      <c r="AX557" s="58"/>
      <c r="AY557" s="71"/>
      <c r="AZ557" s="58"/>
      <c r="BA557" s="58"/>
      <c r="BB557" s="72" t="str">
        <f aca="false">IF(BA557&lt;&gt;"",VLOOKUP(BA557,Selects!$B$4:$C$100,2,0),"")</f>
        <v/>
      </c>
      <c r="BC557" s="26"/>
      <c r="BD557" s="26"/>
      <c r="BE557" s="73"/>
      <c r="BF557" s="74"/>
      <c r="BG557" s="75" t="str">
        <f aca="false">IF(LEN(BF557)=11,"PF",IF(LEN(BF557)=14,"PJ",""))</f>
        <v/>
      </c>
      <c r="BH557" s="66"/>
      <c r="BI557" s="58" t="str">
        <f aca="false">IF(BH557&lt;&gt;"",VLOOKUP(BH557,Selects!$G:$H,2,0),"")</f>
        <v/>
      </c>
      <c r="BJ557" s="58"/>
      <c r="BK557" s="58"/>
      <c r="BL557" s="59"/>
      <c r="BM557" s="58"/>
      <c r="BN557" s="58"/>
      <c r="BO557" s="58" t="str">
        <f aca="false">IF(BN557&lt;&gt;"",VLOOKUP(BN557,Selects!$J$4:$K$1000,2,0),"")</f>
        <v/>
      </c>
      <c r="BP557" s="76"/>
      <c r="BQ557" s="59"/>
      <c r="BR557" s="77"/>
      <c r="BS557" s="59"/>
      <c r="BT557" s="77"/>
      <c r="BU557" s="58"/>
      <c r="BV557" s="58"/>
      <c r="BW557" s="58"/>
      <c r="BX557" s="58"/>
      <c r="BY557" s="58"/>
      <c r="BZ557" s="58"/>
      <c r="CA557" s="58"/>
      <c r="CB557" s="72" t="str">
        <f aca="false">IF(AC557&lt;&gt;"",VLOOKUP(AC557,Selects!$B:$E,4,0),"")</f>
        <v/>
      </c>
      <c r="CC557" s="58"/>
      <c r="CD557" s="58"/>
      <c r="CE557" s="58"/>
    </row>
    <row r="558" customFormat="false" ht="15.75" hidden="false" customHeight="true" outlineLevel="0" collapsed="false">
      <c r="A558" s="17"/>
      <c r="B558" s="58"/>
      <c r="C558" s="58"/>
      <c r="D558" s="59"/>
      <c r="E558" s="60" t="str">
        <f aca="false">IF(LEN(D558)=11,"PF",IF(LEN(D558)=14,"PJ",""))</f>
        <v/>
      </c>
      <c r="F558" s="59"/>
      <c r="G558" s="59"/>
      <c r="H558" s="61" t="str">
        <f aca="false">IF(G558&lt;&gt;"",VLOOKUP(G558,'Cnae  mcc  id'!$A:$M,9,0),"")</f>
        <v/>
      </c>
      <c r="I558" s="62"/>
      <c r="J558" s="63" t="str">
        <f aca="false">IF(I558&lt;&gt;"",VLOOKUP(I558,'Legal Nature'!$E$2:$G$84,3,0),"")</f>
        <v/>
      </c>
      <c r="K558" s="64"/>
      <c r="L558" s="65"/>
      <c r="M558" s="66"/>
      <c r="N558" s="66"/>
      <c r="O558" s="79"/>
      <c r="P558" s="26"/>
      <c r="Q558" s="58"/>
      <c r="R558" s="58"/>
      <c r="S558" s="80"/>
      <c r="T558" s="68" t="str">
        <f aca="false">IF(LEFT(S558,1)="9","Celular",IF(S558="","","Fixo"))</f>
        <v/>
      </c>
      <c r="U558" s="58" t="str">
        <f aca="false">IF( T558&lt;&gt;"",VLOOKUP(T558,Selects!$M$4:$N$1000,2,0),"")</f>
        <v/>
      </c>
      <c r="V558" s="26"/>
      <c r="W558" s="58"/>
      <c r="X558" s="58"/>
      <c r="Y558" s="58"/>
      <c r="Z558" s="58"/>
      <c r="AA558" s="69"/>
      <c r="AB558" s="58"/>
      <c r="AC558" s="58"/>
      <c r="AD558" s="70" t="str">
        <f aca="false">IF(AC558&lt;&gt;"",VLOOKUP(AC558,Selects!$B$4:$C$100,2,0),"")</f>
        <v/>
      </c>
      <c r="AE558" s="26"/>
      <c r="AF558" s="58"/>
      <c r="AG558" s="59"/>
      <c r="AH558" s="65"/>
      <c r="AI558" s="66"/>
      <c r="AJ558" s="66"/>
      <c r="AK558" s="58"/>
      <c r="AL558" s="58"/>
      <c r="AM558" s="68" t="str">
        <f aca="false">IF(LEFT(AL558,1)="9","Celular",IF(AL558="","","Fixo"))</f>
        <v/>
      </c>
      <c r="AN558" s="58" t="str">
        <f aca="false">IF( AM558&lt;&gt;"",VLOOKUP(AM558,Selects!$M$4:$N$1000,2,0),"")</f>
        <v/>
      </c>
      <c r="AO558" s="58"/>
      <c r="AP558" s="59"/>
      <c r="AQ558" s="65"/>
      <c r="AR558" s="58"/>
      <c r="AS558" s="58"/>
      <c r="AT558" s="26"/>
      <c r="AU558" s="58"/>
      <c r="AV558" s="58"/>
      <c r="AW558" s="58"/>
      <c r="AX558" s="58"/>
      <c r="AY558" s="71"/>
      <c r="AZ558" s="58"/>
      <c r="BA558" s="58"/>
      <c r="BB558" s="72" t="str">
        <f aca="false">IF(BA558&lt;&gt;"",VLOOKUP(BA558,Selects!$B$4:$C$100,2,0),"")</f>
        <v/>
      </c>
      <c r="BC558" s="26"/>
      <c r="BD558" s="26"/>
      <c r="BE558" s="73"/>
      <c r="BF558" s="74"/>
      <c r="BG558" s="75" t="str">
        <f aca="false">IF(LEN(BF558)=11,"PF",IF(LEN(BF558)=14,"PJ",""))</f>
        <v/>
      </c>
      <c r="BH558" s="66"/>
      <c r="BI558" s="58" t="str">
        <f aca="false">IF(BH558&lt;&gt;"",VLOOKUP(BH558,Selects!$G:$H,2,0),"")</f>
        <v/>
      </c>
      <c r="BJ558" s="58"/>
      <c r="BK558" s="58"/>
      <c r="BL558" s="59"/>
      <c r="BM558" s="58"/>
      <c r="BN558" s="58"/>
      <c r="BO558" s="58" t="str">
        <f aca="false">IF(BN558&lt;&gt;"",VLOOKUP(BN558,Selects!$J$4:$K$1000,2,0),"")</f>
        <v/>
      </c>
      <c r="BP558" s="76"/>
      <c r="BQ558" s="59"/>
      <c r="BR558" s="77"/>
      <c r="BS558" s="59"/>
      <c r="BT558" s="77"/>
      <c r="BU558" s="58"/>
      <c r="BV558" s="58"/>
      <c r="BW558" s="58"/>
      <c r="BX558" s="58"/>
      <c r="BY558" s="58"/>
      <c r="BZ558" s="58"/>
      <c r="CA558" s="58"/>
      <c r="CB558" s="72" t="str">
        <f aca="false">IF(AC558&lt;&gt;"",VLOOKUP(AC558,Selects!$B:$E,4,0),"")</f>
        <v/>
      </c>
      <c r="CC558" s="58"/>
      <c r="CD558" s="58"/>
      <c r="CE558" s="58"/>
    </row>
    <row r="559" customFormat="false" ht="15.75" hidden="false" customHeight="true" outlineLevel="0" collapsed="false">
      <c r="A559" s="17"/>
      <c r="B559" s="58"/>
      <c r="C559" s="58"/>
      <c r="D559" s="59"/>
      <c r="E559" s="60" t="str">
        <f aca="false">IF(LEN(D559)=11,"PF",IF(LEN(D559)=14,"PJ",""))</f>
        <v/>
      </c>
      <c r="F559" s="59"/>
      <c r="G559" s="59"/>
      <c r="H559" s="61" t="str">
        <f aca="false">IF(G559&lt;&gt;"",VLOOKUP(G559,'Cnae  mcc  id'!$A:$M,9,0),"")</f>
        <v/>
      </c>
      <c r="I559" s="62"/>
      <c r="J559" s="63" t="str">
        <f aca="false">IF(I559&lt;&gt;"",VLOOKUP(I559,'Legal Nature'!$E$2:$G$84,3,0),"")</f>
        <v/>
      </c>
      <c r="K559" s="64"/>
      <c r="L559" s="65"/>
      <c r="M559" s="66"/>
      <c r="N559" s="66"/>
      <c r="O559" s="79"/>
      <c r="P559" s="26"/>
      <c r="Q559" s="58"/>
      <c r="R559" s="58"/>
      <c r="S559" s="80"/>
      <c r="T559" s="68" t="str">
        <f aca="false">IF(LEFT(S559,1)="9","Celular",IF(S559="","","Fixo"))</f>
        <v/>
      </c>
      <c r="U559" s="58" t="str">
        <f aca="false">IF( T559&lt;&gt;"",VLOOKUP(T559,Selects!$M$4:$N$1000,2,0),"")</f>
        <v/>
      </c>
      <c r="V559" s="26"/>
      <c r="W559" s="58"/>
      <c r="X559" s="58"/>
      <c r="Y559" s="58"/>
      <c r="Z559" s="58"/>
      <c r="AA559" s="69"/>
      <c r="AB559" s="58"/>
      <c r="AC559" s="58"/>
      <c r="AD559" s="70" t="str">
        <f aca="false">IF(AC559&lt;&gt;"",VLOOKUP(AC559,Selects!$B$4:$C$100,2,0),"")</f>
        <v/>
      </c>
      <c r="AE559" s="26"/>
      <c r="AF559" s="58"/>
      <c r="AG559" s="59"/>
      <c r="AH559" s="65"/>
      <c r="AI559" s="66"/>
      <c r="AJ559" s="66"/>
      <c r="AK559" s="58"/>
      <c r="AL559" s="58"/>
      <c r="AM559" s="68" t="str">
        <f aca="false">IF(LEFT(AL559,1)="9","Celular",IF(AL559="","","Fixo"))</f>
        <v/>
      </c>
      <c r="AN559" s="58" t="str">
        <f aca="false">IF( AM559&lt;&gt;"",VLOOKUP(AM559,Selects!$M$4:$N$1000,2,0),"")</f>
        <v/>
      </c>
      <c r="AO559" s="58"/>
      <c r="AP559" s="59"/>
      <c r="AQ559" s="65"/>
      <c r="AR559" s="58"/>
      <c r="AS559" s="58"/>
      <c r="AT559" s="26"/>
      <c r="AU559" s="58"/>
      <c r="AV559" s="58"/>
      <c r="AW559" s="58"/>
      <c r="AX559" s="58"/>
      <c r="AY559" s="71"/>
      <c r="AZ559" s="58"/>
      <c r="BA559" s="58"/>
      <c r="BB559" s="72" t="str">
        <f aca="false">IF(BA559&lt;&gt;"",VLOOKUP(BA559,Selects!$B$4:$C$100,2,0),"")</f>
        <v/>
      </c>
      <c r="BC559" s="26"/>
      <c r="BD559" s="26"/>
      <c r="BE559" s="73"/>
      <c r="BF559" s="74"/>
      <c r="BG559" s="75" t="str">
        <f aca="false">IF(LEN(BF559)=11,"PF",IF(LEN(BF559)=14,"PJ",""))</f>
        <v/>
      </c>
      <c r="BH559" s="66"/>
      <c r="BI559" s="58" t="str">
        <f aca="false">IF(BH559&lt;&gt;"",VLOOKUP(BH559,Selects!$G:$H,2,0),"")</f>
        <v/>
      </c>
      <c r="BJ559" s="58"/>
      <c r="BK559" s="58"/>
      <c r="BL559" s="59"/>
      <c r="BM559" s="58"/>
      <c r="BN559" s="58"/>
      <c r="BO559" s="58" t="str">
        <f aca="false">IF(BN559&lt;&gt;"",VLOOKUP(BN559,Selects!$J$4:$K$1000,2,0),"")</f>
        <v/>
      </c>
      <c r="BP559" s="76"/>
      <c r="BQ559" s="59"/>
      <c r="BR559" s="77"/>
      <c r="BS559" s="59"/>
      <c r="BT559" s="77"/>
      <c r="BU559" s="58"/>
      <c r="BV559" s="58"/>
      <c r="BW559" s="58"/>
      <c r="BX559" s="58"/>
      <c r="BY559" s="58"/>
      <c r="BZ559" s="58"/>
      <c r="CA559" s="58"/>
      <c r="CB559" s="72" t="str">
        <f aca="false">IF(AC559&lt;&gt;"",VLOOKUP(AC559,Selects!$B:$E,4,0),"")</f>
        <v/>
      </c>
      <c r="CC559" s="58"/>
      <c r="CD559" s="58"/>
      <c r="CE559" s="58"/>
    </row>
    <row r="560" customFormat="false" ht="15.75" hidden="false" customHeight="true" outlineLevel="0" collapsed="false">
      <c r="A560" s="17"/>
      <c r="B560" s="58"/>
      <c r="C560" s="58"/>
      <c r="D560" s="59"/>
      <c r="E560" s="60" t="str">
        <f aca="false">IF(LEN(D560)=11,"PF",IF(LEN(D560)=14,"PJ",""))</f>
        <v/>
      </c>
      <c r="F560" s="59"/>
      <c r="G560" s="59"/>
      <c r="H560" s="61" t="str">
        <f aca="false">IF(G560&lt;&gt;"",VLOOKUP(G560,'Cnae  mcc  id'!$A:$M,9,0),"")</f>
        <v/>
      </c>
      <c r="I560" s="62"/>
      <c r="J560" s="63" t="str">
        <f aca="false">IF(I560&lt;&gt;"",VLOOKUP(I560,'Legal Nature'!$E$2:$G$84,3,0),"")</f>
        <v/>
      </c>
      <c r="K560" s="64"/>
      <c r="L560" s="65"/>
      <c r="M560" s="66"/>
      <c r="N560" s="66"/>
      <c r="O560" s="79"/>
      <c r="P560" s="26"/>
      <c r="Q560" s="58"/>
      <c r="R560" s="58"/>
      <c r="S560" s="80"/>
      <c r="T560" s="68" t="str">
        <f aca="false">IF(LEFT(S560,1)="9","Celular",IF(S560="","","Fixo"))</f>
        <v/>
      </c>
      <c r="U560" s="58" t="str">
        <f aca="false">IF( T560&lt;&gt;"",VLOOKUP(T560,Selects!$M$4:$N$1000,2,0),"")</f>
        <v/>
      </c>
      <c r="V560" s="26"/>
      <c r="W560" s="58"/>
      <c r="X560" s="58"/>
      <c r="Y560" s="58"/>
      <c r="Z560" s="58"/>
      <c r="AA560" s="69"/>
      <c r="AB560" s="58"/>
      <c r="AC560" s="58"/>
      <c r="AD560" s="70" t="str">
        <f aca="false">IF(AC560&lt;&gt;"",VLOOKUP(AC560,Selects!$B$4:$C$100,2,0),"")</f>
        <v/>
      </c>
      <c r="AE560" s="26"/>
      <c r="AF560" s="58"/>
      <c r="AG560" s="59"/>
      <c r="AH560" s="65"/>
      <c r="AI560" s="66"/>
      <c r="AJ560" s="66"/>
      <c r="AK560" s="58"/>
      <c r="AL560" s="58"/>
      <c r="AM560" s="68" t="str">
        <f aca="false">IF(LEFT(AL560,1)="9","Celular",IF(AL560="","","Fixo"))</f>
        <v/>
      </c>
      <c r="AN560" s="58" t="str">
        <f aca="false">IF( AM560&lt;&gt;"",VLOOKUP(AM560,Selects!$M$4:$N$1000,2,0),"")</f>
        <v/>
      </c>
      <c r="AO560" s="58"/>
      <c r="AP560" s="59"/>
      <c r="AQ560" s="65"/>
      <c r="AR560" s="58"/>
      <c r="AS560" s="58"/>
      <c r="AT560" s="26"/>
      <c r="AU560" s="58"/>
      <c r="AV560" s="58"/>
      <c r="AW560" s="58"/>
      <c r="AX560" s="58"/>
      <c r="AY560" s="71"/>
      <c r="AZ560" s="58"/>
      <c r="BA560" s="58"/>
      <c r="BB560" s="72" t="str">
        <f aca="false">IF(BA560&lt;&gt;"",VLOOKUP(BA560,Selects!$B$4:$C$100,2,0),"")</f>
        <v/>
      </c>
      <c r="BC560" s="26"/>
      <c r="BD560" s="26"/>
      <c r="BE560" s="73"/>
      <c r="BF560" s="74"/>
      <c r="BG560" s="75" t="str">
        <f aca="false">IF(LEN(BF560)=11,"PF",IF(LEN(BF560)=14,"PJ",""))</f>
        <v/>
      </c>
      <c r="BH560" s="66"/>
      <c r="BI560" s="58" t="str">
        <f aca="false">IF(BH560&lt;&gt;"",VLOOKUP(BH560,Selects!$G:$H,2,0),"")</f>
        <v/>
      </c>
      <c r="BJ560" s="58"/>
      <c r="BK560" s="58"/>
      <c r="BL560" s="59"/>
      <c r="BM560" s="58"/>
      <c r="BN560" s="58"/>
      <c r="BO560" s="58" t="str">
        <f aca="false">IF(BN560&lt;&gt;"",VLOOKUP(BN560,Selects!$J$4:$K$1000,2,0),"")</f>
        <v/>
      </c>
      <c r="BP560" s="76"/>
      <c r="BQ560" s="59"/>
      <c r="BR560" s="77"/>
      <c r="BS560" s="59"/>
      <c r="BT560" s="77"/>
      <c r="BU560" s="58"/>
      <c r="BV560" s="58"/>
      <c r="BW560" s="58"/>
      <c r="BX560" s="58"/>
      <c r="BY560" s="58"/>
      <c r="BZ560" s="58"/>
      <c r="CA560" s="58"/>
      <c r="CB560" s="72" t="str">
        <f aca="false">IF(AC560&lt;&gt;"",VLOOKUP(AC560,Selects!$B:$E,4,0),"")</f>
        <v/>
      </c>
      <c r="CC560" s="58"/>
      <c r="CD560" s="58"/>
      <c r="CE560" s="58"/>
    </row>
    <row r="561" customFormat="false" ht="15.75" hidden="false" customHeight="true" outlineLevel="0" collapsed="false">
      <c r="A561" s="17"/>
      <c r="B561" s="58"/>
      <c r="C561" s="58"/>
      <c r="D561" s="59"/>
      <c r="E561" s="60" t="str">
        <f aca="false">IF(LEN(D561)=11,"PF",IF(LEN(D561)=14,"PJ",""))</f>
        <v/>
      </c>
      <c r="F561" s="59"/>
      <c r="G561" s="59"/>
      <c r="H561" s="61" t="str">
        <f aca="false">IF(G561&lt;&gt;"",VLOOKUP(G561,'Cnae  mcc  id'!$A:$M,9,0),"")</f>
        <v/>
      </c>
      <c r="I561" s="62"/>
      <c r="J561" s="63" t="str">
        <f aca="false">IF(I561&lt;&gt;"",VLOOKUP(I561,'Legal Nature'!$E$2:$G$84,3,0),"")</f>
        <v/>
      </c>
      <c r="K561" s="64"/>
      <c r="L561" s="65"/>
      <c r="M561" s="66"/>
      <c r="N561" s="66"/>
      <c r="O561" s="79"/>
      <c r="P561" s="26"/>
      <c r="Q561" s="58"/>
      <c r="R561" s="58"/>
      <c r="S561" s="80"/>
      <c r="T561" s="68" t="str">
        <f aca="false">IF(LEFT(S561,1)="9","Celular",IF(S561="","","Fixo"))</f>
        <v/>
      </c>
      <c r="U561" s="58" t="str">
        <f aca="false">IF( T561&lt;&gt;"",VLOOKUP(T561,Selects!$M$4:$N$1000,2,0),"")</f>
        <v/>
      </c>
      <c r="V561" s="26"/>
      <c r="W561" s="58"/>
      <c r="X561" s="58"/>
      <c r="Y561" s="58"/>
      <c r="Z561" s="58"/>
      <c r="AA561" s="69"/>
      <c r="AB561" s="58"/>
      <c r="AC561" s="58"/>
      <c r="AD561" s="70" t="str">
        <f aca="false">IF(AC561&lt;&gt;"",VLOOKUP(AC561,Selects!$B$4:$C$100,2,0),"")</f>
        <v/>
      </c>
      <c r="AE561" s="26"/>
      <c r="AF561" s="58"/>
      <c r="AG561" s="59"/>
      <c r="AH561" s="65"/>
      <c r="AI561" s="66"/>
      <c r="AJ561" s="66"/>
      <c r="AK561" s="58"/>
      <c r="AL561" s="58"/>
      <c r="AM561" s="68" t="str">
        <f aca="false">IF(LEFT(AL561,1)="9","Celular",IF(AL561="","","Fixo"))</f>
        <v/>
      </c>
      <c r="AN561" s="58" t="str">
        <f aca="false">IF( AM561&lt;&gt;"",VLOOKUP(AM561,Selects!$M$4:$N$1000,2,0),"")</f>
        <v/>
      </c>
      <c r="AO561" s="58"/>
      <c r="AP561" s="59"/>
      <c r="AQ561" s="65"/>
      <c r="AR561" s="58"/>
      <c r="AS561" s="58"/>
      <c r="AT561" s="26"/>
      <c r="AU561" s="58"/>
      <c r="AV561" s="58"/>
      <c r="AW561" s="58"/>
      <c r="AX561" s="58"/>
      <c r="AY561" s="71"/>
      <c r="AZ561" s="58"/>
      <c r="BA561" s="58"/>
      <c r="BB561" s="72" t="str">
        <f aca="false">IF(BA561&lt;&gt;"",VLOOKUP(BA561,Selects!$B$4:$C$100,2,0),"")</f>
        <v/>
      </c>
      <c r="BC561" s="26"/>
      <c r="BD561" s="26"/>
      <c r="BE561" s="73"/>
      <c r="BF561" s="74"/>
      <c r="BG561" s="75" t="str">
        <f aca="false">IF(LEN(BF561)=11,"PF",IF(LEN(BF561)=14,"PJ",""))</f>
        <v/>
      </c>
      <c r="BH561" s="66"/>
      <c r="BI561" s="58" t="str">
        <f aca="false">IF(BH561&lt;&gt;"",VLOOKUP(BH561,Selects!$G:$H,2,0),"")</f>
        <v/>
      </c>
      <c r="BJ561" s="58"/>
      <c r="BK561" s="58"/>
      <c r="BL561" s="59"/>
      <c r="BM561" s="58"/>
      <c r="BN561" s="58"/>
      <c r="BO561" s="58" t="str">
        <f aca="false">IF(BN561&lt;&gt;"",VLOOKUP(BN561,Selects!$J$4:$K$1000,2,0),"")</f>
        <v/>
      </c>
      <c r="BP561" s="76"/>
      <c r="BQ561" s="59"/>
      <c r="BR561" s="77"/>
      <c r="BS561" s="59"/>
      <c r="BT561" s="77"/>
      <c r="BU561" s="58"/>
      <c r="BV561" s="58"/>
      <c r="BW561" s="58"/>
      <c r="BX561" s="58"/>
      <c r="BY561" s="58"/>
      <c r="BZ561" s="58"/>
      <c r="CA561" s="58"/>
      <c r="CB561" s="72" t="str">
        <f aca="false">IF(AC561&lt;&gt;"",VLOOKUP(AC561,Selects!$B:$E,4,0),"")</f>
        <v/>
      </c>
      <c r="CC561" s="58"/>
      <c r="CD561" s="58"/>
      <c r="CE561" s="58"/>
    </row>
    <row r="562" customFormat="false" ht="15.75" hidden="false" customHeight="true" outlineLevel="0" collapsed="false">
      <c r="A562" s="17"/>
      <c r="B562" s="58"/>
      <c r="C562" s="58"/>
      <c r="D562" s="59"/>
      <c r="E562" s="60" t="str">
        <f aca="false">IF(LEN(D562)=11,"PF",IF(LEN(D562)=14,"PJ",""))</f>
        <v/>
      </c>
      <c r="F562" s="59"/>
      <c r="G562" s="59"/>
      <c r="H562" s="61" t="str">
        <f aca="false">IF(G562&lt;&gt;"",VLOOKUP(G562,'Cnae  mcc  id'!$A:$M,9,0),"")</f>
        <v/>
      </c>
      <c r="I562" s="62"/>
      <c r="J562" s="63" t="str">
        <f aca="false">IF(I562&lt;&gt;"",VLOOKUP(I562,'Legal Nature'!$E$2:$G$84,3,0),"")</f>
        <v/>
      </c>
      <c r="K562" s="64"/>
      <c r="L562" s="65"/>
      <c r="M562" s="66"/>
      <c r="N562" s="66"/>
      <c r="O562" s="79"/>
      <c r="P562" s="26"/>
      <c r="Q562" s="58"/>
      <c r="R562" s="58"/>
      <c r="S562" s="80"/>
      <c r="T562" s="68" t="str">
        <f aca="false">IF(LEFT(S562,1)="9","Celular",IF(S562="","","Fixo"))</f>
        <v/>
      </c>
      <c r="U562" s="58" t="str">
        <f aca="false">IF( T562&lt;&gt;"",VLOOKUP(T562,Selects!$M$4:$N$1000,2,0),"")</f>
        <v/>
      </c>
      <c r="V562" s="26"/>
      <c r="W562" s="58"/>
      <c r="X562" s="58"/>
      <c r="Y562" s="58"/>
      <c r="Z562" s="58"/>
      <c r="AA562" s="69"/>
      <c r="AB562" s="58"/>
      <c r="AC562" s="58"/>
      <c r="AD562" s="70" t="str">
        <f aca="false">IF(AC562&lt;&gt;"",VLOOKUP(AC562,Selects!$B$4:$C$100,2,0),"")</f>
        <v/>
      </c>
      <c r="AE562" s="26"/>
      <c r="AF562" s="58"/>
      <c r="AG562" s="59"/>
      <c r="AH562" s="65"/>
      <c r="AI562" s="66"/>
      <c r="AJ562" s="66"/>
      <c r="AK562" s="58"/>
      <c r="AL562" s="58"/>
      <c r="AM562" s="68" t="str">
        <f aca="false">IF(LEFT(AL562,1)="9","Celular",IF(AL562="","","Fixo"))</f>
        <v/>
      </c>
      <c r="AN562" s="58" t="str">
        <f aca="false">IF( AM562&lt;&gt;"",VLOOKUP(AM562,Selects!$M$4:$N$1000,2,0),"")</f>
        <v/>
      </c>
      <c r="AO562" s="58"/>
      <c r="AP562" s="59"/>
      <c r="AQ562" s="65"/>
      <c r="AR562" s="58"/>
      <c r="AS562" s="58"/>
      <c r="AT562" s="26"/>
      <c r="AU562" s="58"/>
      <c r="AV562" s="58"/>
      <c r="AW562" s="58"/>
      <c r="AX562" s="58"/>
      <c r="AY562" s="71"/>
      <c r="AZ562" s="58"/>
      <c r="BA562" s="58"/>
      <c r="BB562" s="72" t="str">
        <f aca="false">IF(BA562&lt;&gt;"",VLOOKUP(BA562,Selects!$B$4:$C$100,2,0),"")</f>
        <v/>
      </c>
      <c r="BC562" s="26"/>
      <c r="BD562" s="26"/>
      <c r="BE562" s="73"/>
      <c r="BF562" s="74"/>
      <c r="BG562" s="75" t="str">
        <f aca="false">IF(LEN(BF562)=11,"PF",IF(LEN(BF562)=14,"PJ",""))</f>
        <v/>
      </c>
      <c r="BH562" s="66"/>
      <c r="BI562" s="58" t="str">
        <f aca="false">IF(BH562&lt;&gt;"",VLOOKUP(BH562,Selects!$G:$H,2,0),"")</f>
        <v/>
      </c>
      <c r="BJ562" s="58"/>
      <c r="BK562" s="58"/>
      <c r="BL562" s="59"/>
      <c r="BM562" s="58"/>
      <c r="BN562" s="58"/>
      <c r="BO562" s="58" t="str">
        <f aca="false">IF(BN562&lt;&gt;"",VLOOKUP(BN562,Selects!$J$4:$K$1000,2,0),"")</f>
        <v/>
      </c>
      <c r="BP562" s="76"/>
      <c r="BQ562" s="59"/>
      <c r="BR562" s="77"/>
      <c r="BS562" s="59"/>
      <c r="BT562" s="77"/>
      <c r="BU562" s="58"/>
      <c r="BV562" s="58"/>
      <c r="BW562" s="58"/>
      <c r="BX562" s="58"/>
      <c r="BY562" s="58"/>
      <c r="BZ562" s="58"/>
      <c r="CA562" s="58"/>
      <c r="CB562" s="72" t="str">
        <f aca="false">IF(AC562&lt;&gt;"",VLOOKUP(AC562,Selects!$B:$E,4,0),"")</f>
        <v/>
      </c>
      <c r="CC562" s="58"/>
      <c r="CD562" s="58"/>
      <c r="CE562" s="58"/>
    </row>
    <row r="563" customFormat="false" ht="15.75" hidden="false" customHeight="true" outlineLevel="0" collapsed="false">
      <c r="A563" s="17"/>
      <c r="B563" s="58"/>
      <c r="C563" s="58"/>
      <c r="D563" s="59"/>
      <c r="E563" s="60" t="str">
        <f aca="false">IF(LEN(D563)=11,"PF",IF(LEN(D563)=14,"PJ",""))</f>
        <v/>
      </c>
      <c r="F563" s="59"/>
      <c r="G563" s="59"/>
      <c r="H563" s="61" t="str">
        <f aca="false">IF(G563&lt;&gt;"",VLOOKUP(G563,'Cnae  mcc  id'!$A:$M,9,0),"")</f>
        <v/>
      </c>
      <c r="I563" s="62"/>
      <c r="J563" s="63" t="str">
        <f aca="false">IF(I563&lt;&gt;"",VLOOKUP(I563,'Legal Nature'!$E$2:$G$84,3,0),"")</f>
        <v/>
      </c>
      <c r="K563" s="64"/>
      <c r="L563" s="65"/>
      <c r="M563" s="66"/>
      <c r="N563" s="66"/>
      <c r="O563" s="79"/>
      <c r="P563" s="26"/>
      <c r="Q563" s="58"/>
      <c r="R563" s="58"/>
      <c r="S563" s="80"/>
      <c r="T563" s="68" t="str">
        <f aca="false">IF(LEFT(S563,1)="9","Celular",IF(S563="","","Fixo"))</f>
        <v/>
      </c>
      <c r="U563" s="58" t="str">
        <f aca="false">IF( T563&lt;&gt;"",VLOOKUP(T563,Selects!$M$4:$N$1000,2,0),"")</f>
        <v/>
      </c>
      <c r="V563" s="26"/>
      <c r="W563" s="58"/>
      <c r="X563" s="58"/>
      <c r="Y563" s="58"/>
      <c r="Z563" s="58"/>
      <c r="AA563" s="69"/>
      <c r="AB563" s="58"/>
      <c r="AC563" s="58"/>
      <c r="AD563" s="70" t="str">
        <f aca="false">IF(AC563&lt;&gt;"",VLOOKUP(AC563,Selects!$B$4:$C$100,2,0),"")</f>
        <v/>
      </c>
      <c r="AE563" s="26"/>
      <c r="AF563" s="58"/>
      <c r="AG563" s="59"/>
      <c r="AH563" s="65"/>
      <c r="AI563" s="66"/>
      <c r="AJ563" s="66"/>
      <c r="AK563" s="58"/>
      <c r="AL563" s="58"/>
      <c r="AM563" s="68" t="str">
        <f aca="false">IF(LEFT(AL563,1)="9","Celular",IF(AL563="","","Fixo"))</f>
        <v/>
      </c>
      <c r="AN563" s="58" t="str">
        <f aca="false">IF( AM563&lt;&gt;"",VLOOKUP(AM563,Selects!$M$4:$N$1000,2,0),"")</f>
        <v/>
      </c>
      <c r="AO563" s="58"/>
      <c r="AP563" s="59"/>
      <c r="AQ563" s="65"/>
      <c r="AR563" s="58"/>
      <c r="AS563" s="58"/>
      <c r="AT563" s="26"/>
      <c r="AU563" s="58"/>
      <c r="AV563" s="58"/>
      <c r="AW563" s="58"/>
      <c r="AX563" s="58"/>
      <c r="AY563" s="71"/>
      <c r="AZ563" s="58"/>
      <c r="BA563" s="58"/>
      <c r="BB563" s="72" t="str">
        <f aca="false">IF(BA563&lt;&gt;"",VLOOKUP(BA563,Selects!$B$4:$C$100,2,0),"")</f>
        <v/>
      </c>
      <c r="BC563" s="26"/>
      <c r="BD563" s="26"/>
      <c r="BE563" s="73"/>
      <c r="BF563" s="74"/>
      <c r="BG563" s="75" t="str">
        <f aca="false">IF(LEN(BF563)=11,"PF",IF(LEN(BF563)=14,"PJ",""))</f>
        <v/>
      </c>
      <c r="BH563" s="66"/>
      <c r="BI563" s="58" t="str">
        <f aca="false">IF(BH563&lt;&gt;"",VLOOKUP(BH563,Selects!$G:$H,2,0),"")</f>
        <v/>
      </c>
      <c r="BJ563" s="58"/>
      <c r="BK563" s="58"/>
      <c r="BL563" s="59"/>
      <c r="BM563" s="58"/>
      <c r="BN563" s="58"/>
      <c r="BO563" s="58" t="str">
        <f aca="false">IF(BN563&lt;&gt;"",VLOOKUP(BN563,Selects!$J$4:$K$1000,2,0),"")</f>
        <v/>
      </c>
      <c r="BP563" s="76"/>
      <c r="BQ563" s="59"/>
      <c r="BR563" s="77"/>
      <c r="BS563" s="59"/>
      <c r="BT563" s="77"/>
      <c r="BU563" s="58"/>
      <c r="BV563" s="58"/>
      <c r="BW563" s="58"/>
      <c r="BX563" s="58"/>
      <c r="BY563" s="58"/>
      <c r="BZ563" s="58"/>
      <c r="CA563" s="58"/>
      <c r="CB563" s="72" t="str">
        <f aca="false">IF(AC563&lt;&gt;"",VLOOKUP(AC563,Selects!$B:$E,4,0),"")</f>
        <v/>
      </c>
      <c r="CC563" s="58"/>
      <c r="CD563" s="58"/>
      <c r="CE563" s="58"/>
    </row>
    <row r="564" customFormat="false" ht="15.75" hidden="false" customHeight="true" outlineLevel="0" collapsed="false">
      <c r="A564" s="17"/>
      <c r="B564" s="58"/>
      <c r="C564" s="58"/>
      <c r="D564" s="59"/>
      <c r="E564" s="60" t="str">
        <f aca="false">IF(LEN(D564)=11,"PF",IF(LEN(D564)=14,"PJ",""))</f>
        <v/>
      </c>
      <c r="F564" s="59"/>
      <c r="G564" s="59"/>
      <c r="H564" s="61" t="str">
        <f aca="false">IF(G564&lt;&gt;"",VLOOKUP(G564,'Cnae  mcc  id'!$A:$M,9,0),"")</f>
        <v/>
      </c>
      <c r="I564" s="62"/>
      <c r="J564" s="63" t="str">
        <f aca="false">IF(I564&lt;&gt;"",VLOOKUP(I564,'Legal Nature'!$E$2:$G$84,3,0),"")</f>
        <v/>
      </c>
      <c r="K564" s="64"/>
      <c r="L564" s="65"/>
      <c r="M564" s="66"/>
      <c r="N564" s="66"/>
      <c r="O564" s="79"/>
      <c r="P564" s="26"/>
      <c r="Q564" s="58"/>
      <c r="R564" s="58"/>
      <c r="S564" s="80"/>
      <c r="T564" s="68" t="str">
        <f aca="false">IF(LEFT(S564,1)="9","Celular",IF(S564="","","Fixo"))</f>
        <v/>
      </c>
      <c r="U564" s="58" t="str">
        <f aca="false">IF( T564&lt;&gt;"",VLOOKUP(T564,Selects!$M$4:$N$1000,2,0),"")</f>
        <v/>
      </c>
      <c r="V564" s="26"/>
      <c r="W564" s="58"/>
      <c r="X564" s="58"/>
      <c r="Y564" s="58"/>
      <c r="Z564" s="58"/>
      <c r="AA564" s="69"/>
      <c r="AB564" s="58"/>
      <c r="AC564" s="58"/>
      <c r="AD564" s="70" t="str">
        <f aca="false">IF(AC564&lt;&gt;"",VLOOKUP(AC564,Selects!$B$4:$C$100,2,0),"")</f>
        <v/>
      </c>
      <c r="AE564" s="26"/>
      <c r="AF564" s="58"/>
      <c r="AG564" s="59"/>
      <c r="AH564" s="65"/>
      <c r="AI564" s="66"/>
      <c r="AJ564" s="66"/>
      <c r="AK564" s="58"/>
      <c r="AL564" s="58"/>
      <c r="AM564" s="68" t="str">
        <f aca="false">IF(LEFT(AL564,1)="9","Celular",IF(AL564="","","Fixo"))</f>
        <v/>
      </c>
      <c r="AN564" s="58" t="str">
        <f aca="false">IF( AM564&lt;&gt;"",VLOOKUP(AM564,Selects!$M$4:$N$1000,2,0),"")</f>
        <v/>
      </c>
      <c r="AO564" s="58"/>
      <c r="AP564" s="59"/>
      <c r="AQ564" s="65"/>
      <c r="AR564" s="58"/>
      <c r="AS564" s="58"/>
      <c r="AT564" s="26"/>
      <c r="AU564" s="58"/>
      <c r="AV564" s="58"/>
      <c r="AW564" s="58"/>
      <c r="AX564" s="58"/>
      <c r="AY564" s="71"/>
      <c r="AZ564" s="58"/>
      <c r="BA564" s="58"/>
      <c r="BB564" s="72" t="str">
        <f aca="false">IF(BA564&lt;&gt;"",VLOOKUP(BA564,Selects!$B$4:$C$100,2,0),"")</f>
        <v/>
      </c>
      <c r="BC564" s="26"/>
      <c r="BD564" s="26"/>
      <c r="BE564" s="73"/>
      <c r="BF564" s="74"/>
      <c r="BG564" s="75" t="str">
        <f aca="false">IF(LEN(BF564)=11,"PF",IF(LEN(BF564)=14,"PJ",""))</f>
        <v/>
      </c>
      <c r="BH564" s="66"/>
      <c r="BI564" s="58" t="str">
        <f aca="false">IF(BH564&lt;&gt;"",VLOOKUP(BH564,Selects!$G:$H,2,0),"")</f>
        <v/>
      </c>
      <c r="BJ564" s="58"/>
      <c r="BK564" s="58"/>
      <c r="BL564" s="59"/>
      <c r="BM564" s="58"/>
      <c r="BN564" s="58"/>
      <c r="BO564" s="58" t="str">
        <f aca="false">IF(BN564&lt;&gt;"",VLOOKUP(BN564,Selects!$J$4:$K$1000,2,0),"")</f>
        <v/>
      </c>
      <c r="BP564" s="76"/>
      <c r="BQ564" s="59"/>
      <c r="BR564" s="77"/>
      <c r="BS564" s="59"/>
      <c r="BT564" s="77"/>
      <c r="BU564" s="58"/>
      <c r="BV564" s="58"/>
      <c r="BW564" s="58"/>
      <c r="BX564" s="58"/>
      <c r="BY564" s="58"/>
      <c r="BZ564" s="58"/>
      <c r="CA564" s="58"/>
      <c r="CB564" s="72" t="str">
        <f aca="false">IF(AC564&lt;&gt;"",VLOOKUP(AC564,Selects!$B:$E,4,0),"")</f>
        <v/>
      </c>
      <c r="CC564" s="58"/>
      <c r="CD564" s="58"/>
      <c r="CE564" s="58"/>
    </row>
    <row r="565" customFormat="false" ht="15.75" hidden="false" customHeight="true" outlineLevel="0" collapsed="false">
      <c r="A565" s="17"/>
      <c r="B565" s="58"/>
      <c r="C565" s="58"/>
      <c r="D565" s="59"/>
      <c r="E565" s="60" t="str">
        <f aca="false">IF(LEN(D565)=11,"PF",IF(LEN(D565)=14,"PJ",""))</f>
        <v/>
      </c>
      <c r="F565" s="59"/>
      <c r="G565" s="59"/>
      <c r="H565" s="61" t="str">
        <f aca="false">IF(G565&lt;&gt;"",VLOOKUP(G565,'Cnae  mcc  id'!$A:$M,9,0),"")</f>
        <v/>
      </c>
      <c r="I565" s="62"/>
      <c r="J565" s="63" t="str">
        <f aca="false">IF(I565&lt;&gt;"",VLOOKUP(I565,'Legal Nature'!$E$2:$G$84,3,0),"")</f>
        <v/>
      </c>
      <c r="K565" s="64"/>
      <c r="L565" s="65"/>
      <c r="M565" s="66"/>
      <c r="N565" s="66"/>
      <c r="O565" s="79"/>
      <c r="P565" s="26"/>
      <c r="Q565" s="58"/>
      <c r="R565" s="58"/>
      <c r="S565" s="80"/>
      <c r="T565" s="68" t="str">
        <f aca="false">IF(LEFT(S565,1)="9","Celular",IF(S565="","","Fixo"))</f>
        <v/>
      </c>
      <c r="U565" s="58" t="str">
        <f aca="false">IF( T565&lt;&gt;"",VLOOKUP(T565,Selects!$M$4:$N$1000,2,0),"")</f>
        <v/>
      </c>
      <c r="V565" s="26"/>
      <c r="W565" s="58"/>
      <c r="X565" s="58"/>
      <c r="Y565" s="58"/>
      <c r="Z565" s="58"/>
      <c r="AA565" s="69"/>
      <c r="AB565" s="58"/>
      <c r="AC565" s="58"/>
      <c r="AD565" s="70" t="str">
        <f aca="false">IF(AC565&lt;&gt;"",VLOOKUP(AC565,Selects!$B$4:$C$100,2,0),"")</f>
        <v/>
      </c>
      <c r="AE565" s="26"/>
      <c r="AF565" s="58"/>
      <c r="AG565" s="59"/>
      <c r="AH565" s="65"/>
      <c r="AI565" s="66"/>
      <c r="AJ565" s="66"/>
      <c r="AK565" s="58"/>
      <c r="AL565" s="58"/>
      <c r="AM565" s="68" t="str">
        <f aca="false">IF(LEFT(AL565,1)="9","Celular",IF(AL565="","","Fixo"))</f>
        <v/>
      </c>
      <c r="AN565" s="58" t="str">
        <f aca="false">IF( AM565&lt;&gt;"",VLOOKUP(AM565,Selects!$M$4:$N$1000,2,0),"")</f>
        <v/>
      </c>
      <c r="AO565" s="58"/>
      <c r="AP565" s="59"/>
      <c r="AQ565" s="65"/>
      <c r="AR565" s="58"/>
      <c r="AS565" s="58"/>
      <c r="AT565" s="26"/>
      <c r="AU565" s="58"/>
      <c r="AV565" s="58"/>
      <c r="AW565" s="58"/>
      <c r="AX565" s="58"/>
      <c r="AY565" s="71"/>
      <c r="AZ565" s="58"/>
      <c r="BA565" s="58"/>
      <c r="BB565" s="72" t="str">
        <f aca="false">IF(BA565&lt;&gt;"",VLOOKUP(BA565,Selects!$B$4:$C$100,2,0),"")</f>
        <v/>
      </c>
      <c r="BC565" s="26"/>
      <c r="BD565" s="26"/>
      <c r="BE565" s="73"/>
      <c r="BF565" s="74"/>
      <c r="BG565" s="75" t="str">
        <f aca="false">IF(LEN(BF565)=11,"PF",IF(LEN(BF565)=14,"PJ",""))</f>
        <v/>
      </c>
      <c r="BH565" s="66"/>
      <c r="BI565" s="58" t="str">
        <f aca="false">IF(BH565&lt;&gt;"",VLOOKUP(BH565,Selects!$G:$H,2,0),"")</f>
        <v/>
      </c>
      <c r="BJ565" s="58"/>
      <c r="BK565" s="58"/>
      <c r="BL565" s="59"/>
      <c r="BM565" s="58"/>
      <c r="BN565" s="58"/>
      <c r="BO565" s="58" t="str">
        <f aca="false">IF(BN565&lt;&gt;"",VLOOKUP(BN565,Selects!$J$4:$K$1000,2,0),"")</f>
        <v/>
      </c>
      <c r="BP565" s="76"/>
      <c r="BQ565" s="59"/>
      <c r="BR565" s="77"/>
      <c r="BS565" s="59"/>
      <c r="BT565" s="77"/>
      <c r="BU565" s="58"/>
      <c r="BV565" s="58"/>
      <c r="BW565" s="58"/>
      <c r="BX565" s="58"/>
      <c r="BY565" s="58"/>
      <c r="BZ565" s="58"/>
      <c r="CA565" s="58"/>
      <c r="CB565" s="72" t="str">
        <f aca="false">IF(AC565&lt;&gt;"",VLOOKUP(AC565,Selects!$B:$E,4,0),"")</f>
        <v/>
      </c>
      <c r="CC565" s="58"/>
      <c r="CD565" s="58"/>
      <c r="CE565" s="58"/>
    </row>
    <row r="566" customFormat="false" ht="15.75" hidden="false" customHeight="true" outlineLevel="0" collapsed="false">
      <c r="A566" s="17"/>
      <c r="B566" s="58"/>
      <c r="C566" s="58"/>
      <c r="D566" s="59"/>
      <c r="E566" s="60" t="str">
        <f aca="false">IF(LEN(D566)=11,"PF",IF(LEN(D566)=14,"PJ",""))</f>
        <v/>
      </c>
      <c r="F566" s="59"/>
      <c r="G566" s="59"/>
      <c r="H566" s="61" t="str">
        <f aca="false">IF(G566&lt;&gt;"",VLOOKUP(G566,'Cnae  mcc  id'!$A:$M,9,0),"")</f>
        <v/>
      </c>
      <c r="I566" s="62"/>
      <c r="J566" s="63" t="str">
        <f aca="false">IF(I566&lt;&gt;"",VLOOKUP(I566,'Legal Nature'!$E$2:$G$84,3,0),"")</f>
        <v/>
      </c>
      <c r="K566" s="64"/>
      <c r="L566" s="65"/>
      <c r="M566" s="66"/>
      <c r="N566" s="66"/>
      <c r="O566" s="79"/>
      <c r="P566" s="26"/>
      <c r="Q566" s="58"/>
      <c r="R566" s="58"/>
      <c r="S566" s="80"/>
      <c r="T566" s="68" t="str">
        <f aca="false">IF(LEFT(S566,1)="9","Celular",IF(S566="","","Fixo"))</f>
        <v/>
      </c>
      <c r="U566" s="58" t="str">
        <f aca="false">IF( T566&lt;&gt;"",VLOOKUP(T566,Selects!$M$4:$N$1000,2,0),"")</f>
        <v/>
      </c>
      <c r="V566" s="26"/>
      <c r="W566" s="58"/>
      <c r="X566" s="58"/>
      <c r="Y566" s="58"/>
      <c r="Z566" s="58"/>
      <c r="AA566" s="69"/>
      <c r="AB566" s="58"/>
      <c r="AC566" s="58"/>
      <c r="AD566" s="70" t="str">
        <f aca="false">IF(AC566&lt;&gt;"",VLOOKUP(AC566,Selects!$B$4:$C$100,2,0),"")</f>
        <v/>
      </c>
      <c r="AE566" s="26"/>
      <c r="AF566" s="58"/>
      <c r="AG566" s="59"/>
      <c r="AH566" s="65"/>
      <c r="AI566" s="66"/>
      <c r="AJ566" s="66"/>
      <c r="AK566" s="58"/>
      <c r="AL566" s="58"/>
      <c r="AM566" s="68" t="str">
        <f aca="false">IF(LEFT(AL566,1)="9","Celular",IF(AL566="","","Fixo"))</f>
        <v/>
      </c>
      <c r="AN566" s="58" t="str">
        <f aca="false">IF( AM566&lt;&gt;"",VLOOKUP(AM566,Selects!$M$4:$N$1000,2,0),"")</f>
        <v/>
      </c>
      <c r="AO566" s="58"/>
      <c r="AP566" s="59"/>
      <c r="AQ566" s="65"/>
      <c r="AR566" s="58"/>
      <c r="AS566" s="58"/>
      <c r="AT566" s="26"/>
      <c r="AU566" s="58"/>
      <c r="AV566" s="58"/>
      <c r="AW566" s="58"/>
      <c r="AX566" s="58"/>
      <c r="AY566" s="71"/>
      <c r="AZ566" s="58"/>
      <c r="BA566" s="58"/>
      <c r="BB566" s="72" t="str">
        <f aca="false">IF(BA566&lt;&gt;"",VLOOKUP(BA566,Selects!$B$4:$C$100,2,0),"")</f>
        <v/>
      </c>
      <c r="BC566" s="26"/>
      <c r="BD566" s="26"/>
      <c r="BE566" s="73"/>
      <c r="BF566" s="74"/>
      <c r="BG566" s="75" t="str">
        <f aca="false">IF(LEN(BF566)=11,"PF",IF(LEN(BF566)=14,"PJ",""))</f>
        <v/>
      </c>
      <c r="BH566" s="66"/>
      <c r="BI566" s="58" t="str">
        <f aca="false">IF(BH566&lt;&gt;"",VLOOKUP(BH566,Selects!$G:$H,2,0),"")</f>
        <v/>
      </c>
      <c r="BJ566" s="58"/>
      <c r="BK566" s="58"/>
      <c r="BL566" s="59"/>
      <c r="BM566" s="58"/>
      <c r="BN566" s="58"/>
      <c r="BO566" s="58" t="str">
        <f aca="false">IF(BN566&lt;&gt;"",VLOOKUP(BN566,Selects!$J$4:$K$1000,2,0),"")</f>
        <v/>
      </c>
      <c r="BP566" s="76"/>
      <c r="BQ566" s="59"/>
      <c r="BR566" s="77"/>
      <c r="BS566" s="59"/>
      <c r="BT566" s="77"/>
      <c r="BU566" s="58"/>
      <c r="BV566" s="58"/>
      <c r="BW566" s="58"/>
      <c r="BX566" s="58"/>
      <c r="BY566" s="58"/>
      <c r="BZ566" s="58"/>
      <c r="CA566" s="58"/>
      <c r="CB566" s="72" t="str">
        <f aca="false">IF(AC566&lt;&gt;"",VLOOKUP(AC566,Selects!$B:$E,4,0),"")</f>
        <v/>
      </c>
      <c r="CC566" s="58"/>
      <c r="CD566" s="58"/>
      <c r="CE566" s="58"/>
    </row>
    <row r="567" customFormat="false" ht="15.75" hidden="false" customHeight="true" outlineLevel="0" collapsed="false">
      <c r="A567" s="17"/>
      <c r="B567" s="58"/>
      <c r="C567" s="58"/>
      <c r="D567" s="59"/>
      <c r="E567" s="60" t="str">
        <f aca="false">IF(LEN(D567)=11,"PF",IF(LEN(D567)=14,"PJ",""))</f>
        <v/>
      </c>
      <c r="F567" s="59"/>
      <c r="G567" s="59"/>
      <c r="H567" s="61" t="str">
        <f aca="false">IF(G567&lt;&gt;"",VLOOKUP(G567,'Cnae  mcc  id'!$A:$M,9,0),"")</f>
        <v/>
      </c>
      <c r="I567" s="62"/>
      <c r="J567" s="63" t="str">
        <f aca="false">IF(I567&lt;&gt;"",VLOOKUP(I567,'Legal Nature'!$E$2:$G$84,3,0),"")</f>
        <v/>
      </c>
      <c r="K567" s="64"/>
      <c r="L567" s="65"/>
      <c r="M567" s="66"/>
      <c r="N567" s="66"/>
      <c r="O567" s="79"/>
      <c r="P567" s="26"/>
      <c r="Q567" s="58"/>
      <c r="R567" s="58"/>
      <c r="S567" s="80"/>
      <c r="T567" s="68" t="str">
        <f aca="false">IF(LEFT(S567,1)="9","Celular",IF(S567="","","Fixo"))</f>
        <v/>
      </c>
      <c r="U567" s="58" t="str">
        <f aca="false">IF( T567&lt;&gt;"",VLOOKUP(T567,Selects!$M$4:$N$1000,2,0),"")</f>
        <v/>
      </c>
      <c r="V567" s="26"/>
      <c r="W567" s="58"/>
      <c r="X567" s="58"/>
      <c r="Y567" s="58"/>
      <c r="Z567" s="58"/>
      <c r="AA567" s="69"/>
      <c r="AB567" s="58"/>
      <c r="AC567" s="58"/>
      <c r="AD567" s="70" t="str">
        <f aca="false">IF(AC567&lt;&gt;"",VLOOKUP(AC567,Selects!$B$4:$C$100,2,0),"")</f>
        <v/>
      </c>
      <c r="AE567" s="26"/>
      <c r="AF567" s="58"/>
      <c r="AG567" s="59"/>
      <c r="AH567" s="65"/>
      <c r="AI567" s="66"/>
      <c r="AJ567" s="66"/>
      <c r="AK567" s="58"/>
      <c r="AL567" s="58"/>
      <c r="AM567" s="68" t="str">
        <f aca="false">IF(LEFT(AL567,1)="9","Celular",IF(AL567="","","Fixo"))</f>
        <v/>
      </c>
      <c r="AN567" s="58" t="str">
        <f aca="false">IF( AM567&lt;&gt;"",VLOOKUP(AM567,Selects!$M$4:$N$1000,2,0),"")</f>
        <v/>
      </c>
      <c r="AO567" s="58"/>
      <c r="AP567" s="59"/>
      <c r="AQ567" s="65"/>
      <c r="AR567" s="58"/>
      <c r="AS567" s="58"/>
      <c r="AT567" s="26"/>
      <c r="AU567" s="58"/>
      <c r="AV567" s="58"/>
      <c r="AW567" s="58"/>
      <c r="AX567" s="58"/>
      <c r="AY567" s="71"/>
      <c r="AZ567" s="58"/>
      <c r="BA567" s="58"/>
      <c r="BB567" s="72" t="str">
        <f aca="false">IF(BA567&lt;&gt;"",VLOOKUP(BA567,Selects!$B$4:$C$100,2,0),"")</f>
        <v/>
      </c>
      <c r="BC567" s="26"/>
      <c r="BD567" s="26"/>
      <c r="BE567" s="73"/>
      <c r="BF567" s="74"/>
      <c r="BG567" s="75" t="str">
        <f aca="false">IF(LEN(BF567)=11,"PF",IF(LEN(BF567)=14,"PJ",""))</f>
        <v/>
      </c>
      <c r="BH567" s="66"/>
      <c r="BI567" s="58" t="str">
        <f aca="false">IF(BH567&lt;&gt;"",VLOOKUP(BH567,Selects!$G:$H,2,0),"")</f>
        <v/>
      </c>
      <c r="BJ567" s="58"/>
      <c r="BK567" s="58"/>
      <c r="BL567" s="59"/>
      <c r="BM567" s="58"/>
      <c r="BN567" s="58"/>
      <c r="BO567" s="58" t="str">
        <f aca="false">IF(BN567&lt;&gt;"",VLOOKUP(BN567,Selects!$J$4:$K$1000,2,0),"")</f>
        <v/>
      </c>
      <c r="BP567" s="76"/>
      <c r="BQ567" s="59"/>
      <c r="BR567" s="77"/>
      <c r="BS567" s="59"/>
      <c r="BT567" s="77"/>
      <c r="BU567" s="58"/>
      <c r="BV567" s="58"/>
      <c r="BW567" s="58"/>
      <c r="BX567" s="58"/>
      <c r="BY567" s="58"/>
      <c r="BZ567" s="58"/>
      <c r="CA567" s="58"/>
      <c r="CB567" s="72" t="str">
        <f aca="false">IF(AC567&lt;&gt;"",VLOOKUP(AC567,Selects!$B:$E,4,0),"")</f>
        <v/>
      </c>
      <c r="CC567" s="58"/>
      <c r="CD567" s="58"/>
      <c r="CE567" s="58"/>
    </row>
    <row r="568" customFormat="false" ht="15.75" hidden="false" customHeight="true" outlineLevel="0" collapsed="false">
      <c r="A568" s="17"/>
      <c r="B568" s="58"/>
      <c r="C568" s="58"/>
      <c r="D568" s="59"/>
      <c r="E568" s="60" t="str">
        <f aca="false">IF(LEN(D568)=11,"PF",IF(LEN(D568)=14,"PJ",""))</f>
        <v/>
      </c>
      <c r="F568" s="59"/>
      <c r="G568" s="59"/>
      <c r="H568" s="61" t="str">
        <f aca="false">IF(G568&lt;&gt;"",VLOOKUP(G568,'Cnae  mcc  id'!$A:$M,9,0),"")</f>
        <v/>
      </c>
      <c r="I568" s="62"/>
      <c r="J568" s="63" t="str">
        <f aca="false">IF(I568&lt;&gt;"",VLOOKUP(I568,'Legal Nature'!$E$2:$G$84,3,0),"")</f>
        <v/>
      </c>
      <c r="K568" s="64"/>
      <c r="L568" s="65"/>
      <c r="M568" s="66"/>
      <c r="N568" s="66"/>
      <c r="O568" s="79"/>
      <c r="P568" s="26"/>
      <c r="Q568" s="58"/>
      <c r="R568" s="58"/>
      <c r="S568" s="80"/>
      <c r="T568" s="68" t="str">
        <f aca="false">IF(LEFT(S568,1)="9","Celular",IF(S568="","","Fixo"))</f>
        <v/>
      </c>
      <c r="U568" s="58" t="str">
        <f aca="false">IF( T568&lt;&gt;"",VLOOKUP(T568,Selects!$M$4:$N$1000,2,0),"")</f>
        <v/>
      </c>
      <c r="V568" s="26"/>
      <c r="W568" s="58"/>
      <c r="X568" s="58"/>
      <c r="Y568" s="58"/>
      <c r="Z568" s="58"/>
      <c r="AA568" s="69"/>
      <c r="AB568" s="58"/>
      <c r="AC568" s="58"/>
      <c r="AD568" s="70" t="str">
        <f aca="false">IF(AC568&lt;&gt;"",VLOOKUP(AC568,Selects!$B$4:$C$100,2,0),"")</f>
        <v/>
      </c>
      <c r="AE568" s="26"/>
      <c r="AF568" s="58"/>
      <c r="AG568" s="59"/>
      <c r="AH568" s="65"/>
      <c r="AI568" s="66"/>
      <c r="AJ568" s="66"/>
      <c r="AK568" s="58"/>
      <c r="AL568" s="58"/>
      <c r="AM568" s="68" t="str">
        <f aca="false">IF(LEFT(AL568,1)="9","Celular",IF(AL568="","","Fixo"))</f>
        <v/>
      </c>
      <c r="AN568" s="58" t="str">
        <f aca="false">IF( AM568&lt;&gt;"",VLOOKUP(AM568,Selects!$M$4:$N$1000,2,0),"")</f>
        <v/>
      </c>
      <c r="AO568" s="58"/>
      <c r="AP568" s="59"/>
      <c r="AQ568" s="65"/>
      <c r="AR568" s="58"/>
      <c r="AS568" s="58"/>
      <c r="AT568" s="26"/>
      <c r="AU568" s="58"/>
      <c r="AV568" s="58"/>
      <c r="AW568" s="58"/>
      <c r="AX568" s="58"/>
      <c r="AY568" s="71"/>
      <c r="AZ568" s="58"/>
      <c r="BA568" s="58"/>
      <c r="BB568" s="72" t="str">
        <f aca="false">IF(BA568&lt;&gt;"",VLOOKUP(BA568,Selects!$B$4:$C$100,2,0),"")</f>
        <v/>
      </c>
      <c r="BC568" s="26"/>
      <c r="BD568" s="26"/>
      <c r="BE568" s="73"/>
      <c r="BF568" s="74"/>
      <c r="BG568" s="75" t="str">
        <f aca="false">IF(LEN(BF568)=11,"PF",IF(LEN(BF568)=14,"PJ",""))</f>
        <v/>
      </c>
      <c r="BH568" s="66"/>
      <c r="BI568" s="58" t="str">
        <f aca="false">IF(BH568&lt;&gt;"",VLOOKUP(BH568,Selects!$G:$H,2,0),"")</f>
        <v/>
      </c>
      <c r="BJ568" s="58"/>
      <c r="BK568" s="58"/>
      <c r="BL568" s="59"/>
      <c r="BM568" s="58"/>
      <c r="BN568" s="58"/>
      <c r="BO568" s="58" t="str">
        <f aca="false">IF(BN568&lt;&gt;"",VLOOKUP(BN568,Selects!$J$4:$K$1000,2,0),"")</f>
        <v/>
      </c>
      <c r="BP568" s="76"/>
      <c r="BQ568" s="59"/>
      <c r="BR568" s="77"/>
      <c r="BS568" s="59"/>
      <c r="BT568" s="77"/>
      <c r="BU568" s="58"/>
      <c r="BV568" s="58"/>
      <c r="BW568" s="58"/>
      <c r="BX568" s="58"/>
      <c r="BY568" s="58"/>
      <c r="BZ568" s="58"/>
      <c r="CA568" s="58"/>
      <c r="CB568" s="72" t="str">
        <f aca="false">IF(AC568&lt;&gt;"",VLOOKUP(AC568,Selects!$B:$E,4,0),"")</f>
        <v/>
      </c>
      <c r="CC568" s="58"/>
      <c r="CD568" s="58"/>
      <c r="CE568" s="58"/>
    </row>
    <row r="569" customFormat="false" ht="15.75" hidden="false" customHeight="true" outlineLevel="0" collapsed="false">
      <c r="A569" s="17"/>
      <c r="B569" s="58"/>
      <c r="C569" s="58"/>
      <c r="D569" s="59"/>
      <c r="E569" s="60" t="str">
        <f aca="false">IF(LEN(D569)=11,"PF",IF(LEN(D569)=14,"PJ",""))</f>
        <v/>
      </c>
      <c r="F569" s="59"/>
      <c r="G569" s="59"/>
      <c r="H569" s="61" t="str">
        <f aca="false">IF(G569&lt;&gt;"",VLOOKUP(G569,'Cnae  mcc  id'!$A:$M,9,0),"")</f>
        <v/>
      </c>
      <c r="I569" s="62"/>
      <c r="J569" s="63" t="str">
        <f aca="false">IF(I569&lt;&gt;"",VLOOKUP(I569,'Legal Nature'!$E$2:$G$84,3,0),"")</f>
        <v/>
      </c>
      <c r="K569" s="64"/>
      <c r="L569" s="65"/>
      <c r="M569" s="66"/>
      <c r="N569" s="66"/>
      <c r="O569" s="79"/>
      <c r="P569" s="26"/>
      <c r="Q569" s="58"/>
      <c r="R569" s="58"/>
      <c r="S569" s="80"/>
      <c r="T569" s="68" t="str">
        <f aca="false">IF(LEFT(S569,1)="9","Celular",IF(S569="","","Fixo"))</f>
        <v/>
      </c>
      <c r="U569" s="58" t="str">
        <f aca="false">IF( T569&lt;&gt;"",VLOOKUP(T569,Selects!$M$4:$N$1000,2,0),"")</f>
        <v/>
      </c>
      <c r="V569" s="26"/>
      <c r="W569" s="58"/>
      <c r="X569" s="58"/>
      <c r="Y569" s="58"/>
      <c r="Z569" s="58"/>
      <c r="AA569" s="69"/>
      <c r="AB569" s="58"/>
      <c r="AC569" s="58"/>
      <c r="AD569" s="70" t="str">
        <f aca="false">IF(AC569&lt;&gt;"",VLOOKUP(AC569,Selects!$B$4:$C$100,2,0),"")</f>
        <v/>
      </c>
      <c r="AE569" s="26"/>
      <c r="AF569" s="58"/>
      <c r="AG569" s="59"/>
      <c r="AH569" s="65"/>
      <c r="AI569" s="66"/>
      <c r="AJ569" s="66"/>
      <c r="AK569" s="58"/>
      <c r="AL569" s="58"/>
      <c r="AM569" s="68" t="str">
        <f aca="false">IF(LEFT(AL569,1)="9","Celular",IF(AL569="","","Fixo"))</f>
        <v/>
      </c>
      <c r="AN569" s="58" t="str">
        <f aca="false">IF( AM569&lt;&gt;"",VLOOKUP(AM569,Selects!$M$4:$N$1000,2,0),"")</f>
        <v/>
      </c>
      <c r="AO569" s="58"/>
      <c r="AP569" s="59"/>
      <c r="AQ569" s="65"/>
      <c r="AR569" s="58"/>
      <c r="AS569" s="58"/>
      <c r="AT569" s="26"/>
      <c r="AU569" s="58"/>
      <c r="AV569" s="58"/>
      <c r="AW569" s="58"/>
      <c r="AX569" s="58"/>
      <c r="AY569" s="71"/>
      <c r="AZ569" s="58"/>
      <c r="BA569" s="58"/>
      <c r="BB569" s="72" t="str">
        <f aca="false">IF(BA569&lt;&gt;"",VLOOKUP(BA569,Selects!$B$4:$C$100,2,0),"")</f>
        <v/>
      </c>
      <c r="BC569" s="26"/>
      <c r="BD569" s="26"/>
      <c r="BE569" s="73"/>
      <c r="BF569" s="74"/>
      <c r="BG569" s="75" t="str">
        <f aca="false">IF(LEN(BF569)=11,"PF",IF(LEN(BF569)=14,"PJ",""))</f>
        <v/>
      </c>
      <c r="BH569" s="66"/>
      <c r="BI569" s="58" t="str">
        <f aca="false">IF(BH569&lt;&gt;"",VLOOKUP(BH569,Selects!$G:$H,2,0),"")</f>
        <v/>
      </c>
      <c r="BJ569" s="58"/>
      <c r="BK569" s="58"/>
      <c r="BL569" s="59"/>
      <c r="BM569" s="58"/>
      <c r="BN569" s="58"/>
      <c r="BO569" s="58" t="str">
        <f aca="false">IF(BN569&lt;&gt;"",VLOOKUP(BN569,Selects!$J$4:$K$1000,2,0),"")</f>
        <v/>
      </c>
      <c r="BP569" s="76"/>
      <c r="BQ569" s="59"/>
      <c r="BR569" s="77"/>
      <c r="BS569" s="59"/>
      <c r="BT569" s="77"/>
      <c r="BU569" s="58"/>
      <c r="BV569" s="58"/>
      <c r="BW569" s="58"/>
      <c r="BX569" s="58"/>
      <c r="BY569" s="58"/>
      <c r="BZ569" s="58"/>
      <c r="CA569" s="58"/>
      <c r="CB569" s="72" t="str">
        <f aca="false">IF(AC569&lt;&gt;"",VLOOKUP(AC569,Selects!$B:$E,4,0),"")</f>
        <v/>
      </c>
      <c r="CC569" s="58"/>
      <c r="CD569" s="58"/>
      <c r="CE569" s="58"/>
    </row>
    <row r="570" customFormat="false" ht="15.75" hidden="false" customHeight="true" outlineLevel="0" collapsed="false">
      <c r="A570" s="17"/>
      <c r="B570" s="58"/>
      <c r="C570" s="58"/>
      <c r="D570" s="59"/>
      <c r="E570" s="60" t="str">
        <f aca="false">IF(LEN(D570)=11,"PF",IF(LEN(D570)=14,"PJ",""))</f>
        <v/>
      </c>
      <c r="F570" s="59"/>
      <c r="G570" s="59"/>
      <c r="H570" s="61" t="str">
        <f aca="false">IF(G570&lt;&gt;"",VLOOKUP(G570,'Cnae  mcc  id'!$A:$M,9,0),"")</f>
        <v/>
      </c>
      <c r="I570" s="62"/>
      <c r="J570" s="63" t="str">
        <f aca="false">IF(I570&lt;&gt;"",VLOOKUP(I570,'Legal Nature'!$E$2:$G$84,3,0),"")</f>
        <v/>
      </c>
      <c r="K570" s="64"/>
      <c r="L570" s="65"/>
      <c r="M570" s="66"/>
      <c r="N570" s="66"/>
      <c r="O570" s="79"/>
      <c r="P570" s="26"/>
      <c r="Q570" s="58"/>
      <c r="R570" s="58"/>
      <c r="S570" s="80"/>
      <c r="T570" s="68" t="str">
        <f aca="false">IF(LEFT(S570,1)="9","Celular",IF(S570="","","Fixo"))</f>
        <v/>
      </c>
      <c r="U570" s="58" t="str">
        <f aca="false">IF( T570&lt;&gt;"",VLOOKUP(T570,Selects!$M$4:$N$1000,2,0),"")</f>
        <v/>
      </c>
      <c r="V570" s="26"/>
      <c r="W570" s="58"/>
      <c r="X570" s="58"/>
      <c r="Y570" s="58"/>
      <c r="Z570" s="58"/>
      <c r="AA570" s="69"/>
      <c r="AB570" s="58"/>
      <c r="AC570" s="58"/>
      <c r="AD570" s="70" t="str">
        <f aca="false">IF(AC570&lt;&gt;"",VLOOKUP(AC570,Selects!$B$4:$C$100,2,0),"")</f>
        <v/>
      </c>
      <c r="AE570" s="26"/>
      <c r="AF570" s="58"/>
      <c r="AG570" s="59"/>
      <c r="AH570" s="65"/>
      <c r="AI570" s="66"/>
      <c r="AJ570" s="66"/>
      <c r="AK570" s="58"/>
      <c r="AL570" s="58"/>
      <c r="AM570" s="68" t="str">
        <f aca="false">IF(LEFT(AL570,1)="9","Celular",IF(AL570="","","Fixo"))</f>
        <v/>
      </c>
      <c r="AN570" s="58" t="str">
        <f aca="false">IF( AM570&lt;&gt;"",VLOOKUP(AM570,Selects!$M$4:$N$1000,2,0),"")</f>
        <v/>
      </c>
      <c r="AO570" s="58"/>
      <c r="AP570" s="59"/>
      <c r="AQ570" s="65"/>
      <c r="AR570" s="58"/>
      <c r="AS570" s="58"/>
      <c r="AT570" s="26"/>
      <c r="AU570" s="58"/>
      <c r="AV570" s="58"/>
      <c r="AW570" s="58"/>
      <c r="AX570" s="58"/>
      <c r="AY570" s="71"/>
      <c r="AZ570" s="58"/>
      <c r="BA570" s="58"/>
      <c r="BB570" s="72" t="str">
        <f aca="false">IF(BA570&lt;&gt;"",VLOOKUP(BA570,Selects!$B$4:$C$100,2,0),"")</f>
        <v/>
      </c>
      <c r="BC570" s="26"/>
      <c r="BD570" s="26"/>
      <c r="BE570" s="73"/>
      <c r="BF570" s="74"/>
      <c r="BG570" s="75" t="str">
        <f aca="false">IF(LEN(BF570)=11,"PF",IF(LEN(BF570)=14,"PJ",""))</f>
        <v/>
      </c>
      <c r="BH570" s="66"/>
      <c r="BI570" s="58" t="str">
        <f aca="false">IF(BH570&lt;&gt;"",VLOOKUP(BH570,Selects!$G:$H,2,0),"")</f>
        <v/>
      </c>
      <c r="BJ570" s="58"/>
      <c r="BK570" s="58"/>
      <c r="BL570" s="59"/>
      <c r="BM570" s="58"/>
      <c r="BN570" s="58"/>
      <c r="BO570" s="58" t="str">
        <f aca="false">IF(BN570&lt;&gt;"",VLOOKUP(BN570,Selects!$J$4:$K$1000,2,0),"")</f>
        <v/>
      </c>
      <c r="BP570" s="76"/>
      <c r="BQ570" s="59"/>
      <c r="BR570" s="77"/>
      <c r="BS570" s="59"/>
      <c r="BT570" s="77"/>
      <c r="BU570" s="58"/>
      <c r="BV570" s="58"/>
      <c r="BW570" s="58"/>
      <c r="BX570" s="58"/>
      <c r="BY570" s="58"/>
      <c r="BZ570" s="58"/>
      <c r="CA570" s="58"/>
      <c r="CB570" s="72" t="str">
        <f aca="false">IF(AC570&lt;&gt;"",VLOOKUP(AC570,Selects!$B:$E,4,0),"")</f>
        <v/>
      </c>
      <c r="CC570" s="58"/>
      <c r="CD570" s="58"/>
      <c r="CE570" s="58"/>
    </row>
    <row r="571" customFormat="false" ht="15.75" hidden="false" customHeight="true" outlineLevel="0" collapsed="false">
      <c r="A571" s="17"/>
      <c r="B571" s="58"/>
      <c r="C571" s="58"/>
      <c r="D571" s="59"/>
      <c r="E571" s="60" t="str">
        <f aca="false">IF(LEN(D571)=11,"PF",IF(LEN(D571)=14,"PJ",""))</f>
        <v/>
      </c>
      <c r="F571" s="59"/>
      <c r="G571" s="59"/>
      <c r="H571" s="61" t="str">
        <f aca="false">IF(G571&lt;&gt;"",VLOOKUP(G571,'Cnae  mcc  id'!$A:$M,9,0),"")</f>
        <v/>
      </c>
      <c r="I571" s="62"/>
      <c r="J571" s="63" t="str">
        <f aca="false">IF(I571&lt;&gt;"",VLOOKUP(I571,'Legal Nature'!$E$2:$G$84,3,0),"")</f>
        <v/>
      </c>
      <c r="K571" s="64"/>
      <c r="L571" s="65"/>
      <c r="M571" s="66"/>
      <c r="N571" s="66"/>
      <c r="O571" s="79"/>
      <c r="P571" s="26"/>
      <c r="Q571" s="58"/>
      <c r="R571" s="58"/>
      <c r="S571" s="80"/>
      <c r="T571" s="68" t="str">
        <f aca="false">IF(LEFT(S571,1)="9","Celular",IF(S571="","","Fixo"))</f>
        <v/>
      </c>
      <c r="U571" s="58" t="str">
        <f aca="false">IF( T571&lt;&gt;"",VLOOKUP(T571,Selects!$M$4:$N$1000,2,0),"")</f>
        <v/>
      </c>
      <c r="V571" s="26"/>
      <c r="W571" s="58"/>
      <c r="X571" s="58"/>
      <c r="Y571" s="58"/>
      <c r="Z571" s="58"/>
      <c r="AA571" s="69"/>
      <c r="AB571" s="58"/>
      <c r="AC571" s="58"/>
      <c r="AD571" s="70" t="str">
        <f aca="false">IF(AC571&lt;&gt;"",VLOOKUP(AC571,Selects!$B$4:$C$100,2,0),"")</f>
        <v/>
      </c>
      <c r="AE571" s="26"/>
      <c r="AF571" s="58"/>
      <c r="AG571" s="59"/>
      <c r="AH571" s="65"/>
      <c r="AI571" s="66"/>
      <c r="AJ571" s="66"/>
      <c r="AK571" s="58"/>
      <c r="AL571" s="58"/>
      <c r="AM571" s="68" t="str">
        <f aca="false">IF(LEFT(AL571,1)="9","Celular",IF(AL571="","","Fixo"))</f>
        <v/>
      </c>
      <c r="AN571" s="58" t="str">
        <f aca="false">IF( AM571&lt;&gt;"",VLOOKUP(AM571,Selects!$M$4:$N$1000,2,0),"")</f>
        <v/>
      </c>
      <c r="AO571" s="58"/>
      <c r="AP571" s="59"/>
      <c r="AQ571" s="65"/>
      <c r="AR571" s="58"/>
      <c r="AS571" s="58"/>
      <c r="AT571" s="26"/>
      <c r="AU571" s="58"/>
      <c r="AV571" s="58"/>
      <c r="AW571" s="58"/>
      <c r="AX571" s="58"/>
      <c r="AY571" s="71"/>
      <c r="AZ571" s="58"/>
      <c r="BA571" s="58"/>
      <c r="BB571" s="72" t="str">
        <f aca="false">IF(BA571&lt;&gt;"",VLOOKUP(BA571,Selects!$B$4:$C$100,2,0),"")</f>
        <v/>
      </c>
      <c r="BC571" s="26"/>
      <c r="BD571" s="26"/>
      <c r="BE571" s="73"/>
      <c r="BF571" s="74"/>
      <c r="BG571" s="75" t="str">
        <f aca="false">IF(LEN(BF571)=11,"PF",IF(LEN(BF571)=14,"PJ",""))</f>
        <v/>
      </c>
      <c r="BH571" s="66"/>
      <c r="BI571" s="58" t="str">
        <f aca="false">IF(BH571&lt;&gt;"",VLOOKUP(BH571,Selects!$G:$H,2,0),"")</f>
        <v/>
      </c>
      <c r="BJ571" s="58"/>
      <c r="BK571" s="58"/>
      <c r="BL571" s="59"/>
      <c r="BM571" s="58"/>
      <c r="BN571" s="58"/>
      <c r="BO571" s="58" t="str">
        <f aca="false">IF(BN571&lt;&gt;"",VLOOKUP(BN571,Selects!$J$4:$K$1000,2,0),"")</f>
        <v/>
      </c>
      <c r="BP571" s="76"/>
      <c r="BQ571" s="59"/>
      <c r="BR571" s="77"/>
      <c r="BS571" s="59"/>
      <c r="BT571" s="77"/>
      <c r="BU571" s="58"/>
      <c r="BV571" s="58"/>
      <c r="BW571" s="58"/>
      <c r="BX571" s="58"/>
      <c r="BY571" s="58"/>
      <c r="BZ571" s="58"/>
      <c r="CA571" s="58"/>
      <c r="CB571" s="72" t="str">
        <f aca="false">IF(AC571&lt;&gt;"",VLOOKUP(AC571,Selects!$B:$E,4,0),"")</f>
        <v/>
      </c>
      <c r="CC571" s="58"/>
      <c r="CD571" s="58"/>
      <c r="CE571" s="58"/>
    </row>
    <row r="572" customFormat="false" ht="15.75" hidden="false" customHeight="true" outlineLevel="0" collapsed="false">
      <c r="A572" s="17"/>
      <c r="B572" s="58"/>
      <c r="C572" s="58"/>
      <c r="D572" s="59"/>
      <c r="E572" s="60" t="str">
        <f aca="false">IF(LEN(D572)=11,"PF",IF(LEN(D572)=14,"PJ",""))</f>
        <v/>
      </c>
      <c r="F572" s="59"/>
      <c r="G572" s="59"/>
      <c r="H572" s="61" t="str">
        <f aca="false">IF(G572&lt;&gt;"",VLOOKUP(G572,'Cnae  mcc  id'!$A:$M,9,0),"")</f>
        <v/>
      </c>
      <c r="I572" s="62"/>
      <c r="J572" s="63" t="str">
        <f aca="false">IF(I572&lt;&gt;"",VLOOKUP(I572,'Legal Nature'!$E$2:$G$84,3,0),"")</f>
        <v/>
      </c>
      <c r="K572" s="64"/>
      <c r="L572" s="65"/>
      <c r="M572" s="66"/>
      <c r="N572" s="66"/>
      <c r="O572" s="79"/>
      <c r="P572" s="26"/>
      <c r="Q572" s="58"/>
      <c r="R572" s="58"/>
      <c r="S572" s="80"/>
      <c r="T572" s="68" t="str">
        <f aca="false">IF(LEFT(S572,1)="9","Celular",IF(S572="","","Fixo"))</f>
        <v/>
      </c>
      <c r="U572" s="58" t="str">
        <f aca="false">IF( T572&lt;&gt;"",VLOOKUP(T572,Selects!$M$4:$N$1000,2,0),"")</f>
        <v/>
      </c>
      <c r="V572" s="26"/>
      <c r="W572" s="58"/>
      <c r="X572" s="58"/>
      <c r="Y572" s="58"/>
      <c r="Z572" s="58"/>
      <c r="AA572" s="69"/>
      <c r="AB572" s="58"/>
      <c r="AC572" s="58"/>
      <c r="AD572" s="70" t="str">
        <f aca="false">IF(AC572&lt;&gt;"",VLOOKUP(AC572,Selects!$B$4:$C$100,2,0),"")</f>
        <v/>
      </c>
      <c r="AE572" s="26"/>
      <c r="AF572" s="58"/>
      <c r="AG572" s="59"/>
      <c r="AH572" s="65"/>
      <c r="AI572" s="66"/>
      <c r="AJ572" s="66"/>
      <c r="AK572" s="58"/>
      <c r="AL572" s="58"/>
      <c r="AM572" s="68" t="str">
        <f aca="false">IF(LEFT(AL572,1)="9","Celular",IF(AL572="","","Fixo"))</f>
        <v/>
      </c>
      <c r="AN572" s="58" t="str">
        <f aca="false">IF( AM572&lt;&gt;"",VLOOKUP(AM572,Selects!$M$4:$N$1000,2,0),"")</f>
        <v/>
      </c>
      <c r="AO572" s="58"/>
      <c r="AP572" s="59"/>
      <c r="AQ572" s="65"/>
      <c r="AR572" s="58"/>
      <c r="AS572" s="58"/>
      <c r="AT572" s="26"/>
      <c r="AU572" s="58"/>
      <c r="AV572" s="58"/>
      <c r="AW572" s="58"/>
      <c r="AX572" s="58"/>
      <c r="AY572" s="71"/>
      <c r="AZ572" s="58"/>
      <c r="BA572" s="58"/>
      <c r="BB572" s="72" t="str">
        <f aca="false">IF(BA572&lt;&gt;"",VLOOKUP(BA572,Selects!$B$4:$C$100,2,0),"")</f>
        <v/>
      </c>
      <c r="BC572" s="26"/>
      <c r="BD572" s="26"/>
      <c r="BE572" s="73"/>
      <c r="BF572" s="74"/>
      <c r="BG572" s="75" t="str">
        <f aca="false">IF(LEN(BF572)=11,"PF",IF(LEN(BF572)=14,"PJ",""))</f>
        <v/>
      </c>
      <c r="BH572" s="66"/>
      <c r="BI572" s="58" t="str">
        <f aca="false">IF(BH572&lt;&gt;"",VLOOKUP(BH572,Selects!$G:$H,2,0),"")</f>
        <v/>
      </c>
      <c r="BJ572" s="58"/>
      <c r="BK572" s="58"/>
      <c r="BL572" s="59"/>
      <c r="BM572" s="58"/>
      <c r="BN572" s="58"/>
      <c r="BO572" s="58" t="str">
        <f aca="false">IF(BN572&lt;&gt;"",VLOOKUP(BN572,Selects!$J$4:$K$1000,2,0),"")</f>
        <v/>
      </c>
      <c r="BP572" s="76"/>
      <c r="BQ572" s="59"/>
      <c r="BR572" s="77"/>
      <c r="BS572" s="59"/>
      <c r="BT572" s="77"/>
      <c r="BU572" s="58"/>
      <c r="BV572" s="58"/>
      <c r="BW572" s="58"/>
      <c r="BX572" s="58"/>
      <c r="BY572" s="58"/>
      <c r="BZ572" s="58"/>
      <c r="CA572" s="58"/>
      <c r="CB572" s="72" t="str">
        <f aca="false">IF(AC572&lt;&gt;"",VLOOKUP(AC572,Selects!$B:$E,4,0),"")</f>
        <v/>
      </c>
      <c r="CC572" s="58"/>
      <c r="CD572" s="58"/>
      <c r="CE572" s="58"/>
    </row>
    <row r="573" customFormat="false" ht="15.75" hidden="false" customHeight="true" outlineLevel="0" collapsed="false">
      <c r="A573" s="17"/>
      <c r="B573" s="58"/>
      <c r="C573" s="58"/>
      <c r="D573" s="59"/>
      <c r="E573" s="60" t="str">
        <f aca="false">IF(LEN(D573)=11,"PF",IF(LEN(D573)=14,"PJ",""))</f>
        <v/>
      </c>
      <c r="F573" s="59"/>
      <c r="G573" s="59"/>
      <c r="H573" s="61" t="str">
        <f aca="false">IF(G573&lt;&gt;"",VLOOKUP(G573,'Cnae  mcc  id'!$A:$M,9,0),"")</f>
        <v/>
      </c>
      <c r="I573" s="62"/>
      <c r="J573" s="63" t="str">
        <f aca="false">IF(I573&lt;&gt;"",VLOOKUP(I573,'Legal Nature'!$E$2:$G$84,3,0),"")</f>
        <v/>
      </c>
      <c r="K573" s="64"/>
      <c r="L573" s="65"/>
      <c r="M573" s="66"/>
      <c r="N573" s="66"/>
      <c r="O573" s="79"/>
      <c r="P573" s="26"/>
      <c r="Q573" s="58"/>
      <c r="R573" s="58"/>
      <c r="S573" s="80"/>
      <c r="T573" s="68" t="str">
        <f aca="false">IF(LEFT(S573,1)="9","Celular",IF(S573="","","Fixo"))</f>
        <v/>
      </c>
      <c r="U573" s="58" t="str">
        <f aca="false">IF( T573&lt;&gt;"",VLOOKUP(T573,Selects!$M$4:$N$1000,2,0),"")</f>
        <v/>
      </c>
      <c r="V573" s="26"/>
      <c r="W573" s="58"/>
      <c r="X573" s="58"/>
      <c r="Y573" s="58"/>
      <c r="Z573" s="58"/>
      <c r="AA573" s="69"/>
      <c r="AB573" s="58"/>
      <c r="AC573" s="58"/>
      <c r="AD573" s="70" t="str">
        <f aca="false">IF(AC573&lt;&gt;"",VLOOKUP(AC573,Selects!$B$4:$C$100,2,0),"")</f>
        <v/>
      </c>
      <c r="AE573" s="26"/>
      <c r="AF573" s="58"/>
      <c r="AG573" s="59"/>
      <c r="AH573" s="65"/>
      <c r="AI573" s="66"/>
      <c r="AJ573" s="66"/>
      <c r="AK573" s="58"/>
      <c r="AL573" s="58"/>
      <c r="AM573" s="68" t="str">
        <f aca="false">IF(LEFT(AL573,1)="9","Celular",IF(AL573="","","Fixo"))</f>
        <v/>
      </c>
      <c r="AN573" s="58" t="str">
        <f aca="false">IF( AM573&lt;&gt;"",VLOOKUP(AM573,Selects!$M$4:$N$1000,2,0),"")</f>
        <v/>
      </c>
      <c r="AO573" s="58"/>
      <c r="AP573" s="59"/>
      <c r="AQ573" s="65"/>
      <c r="AR573" s="58"/>
      <c r="AS573" s="58"/>
      <c r="AT573" s="26"/>
      <c r="AU573" s="58"/>
      <c r="AV573" s="58"/>
      <c r="AW573" s="58"/>
      <c r="AX573" s="58"/>
      <c r="AY573" s="71"/>
      <c r="AZ573" s="58"/>
      <c r="BA573" s="58"/>
      <c r="BB573" s="72" t="str">
        <f aca="false">IF(BA573&lt;&gt;"",VLOOKUP(BA573,Selects!$B$4:$C$100,2,0),"")</f>
        <v/>
      </c>
      <c r="BC573" s="26"/>
      <c r="BD573" s="26"/>
      <c r="BE573" s="73"/>
      <c r="BF573" s="74"/>
      <c r="BG573" s="75" t="str">
        <f aca="false">IF(LEN(BF573)=11,"PF",IF(LEN(BF573)=14,"PJ",""))</f>
        <v/>
      </c>
      <c r="BH573" s="66"/>
      <c r="BI573" s="58" t="str">
        <f aca="false">IF(BH573&lt;&gt;"",VLOOKUP(BH573,Selects!$G:$H,2,0),"")</f>
        <v/>
      </c>
      <c r="BJ573" s="58"/>
      <c r="BK573" s="58"/>
      <c r="BL573" s="59"/>
      <c r="BM573" s="58"/>
      <c r="BN573" s="58"/>
      <c r="BO573" s="58" t="str">
        <f aca="false">IF(BN573&lt;&gt;"",VLOOKUP(BN573,Selects!$J$4:$K$1000,2,0),"")</f>
        <v/>
      </c>
      <c r="BP573" s="76"/>
      <c r="BQ573" s="59"/>
      <c r="BR573" s="77"/>
      <c r="BS573" s="59"/>
      <c r="BT573" s="77"/>
      <c r="BU573" s="58"/>
      <c r="BV573" s="58"/>
      <c r="BW573" s="58"/>
      <c r="BX573" s="58"/>
      <c r="BY573" s="58"/>
      <c r="BZ573" s="58"/>
      <c r="CA573" s="58"/>
      <c r="CB573" s="72" t="str">
        <f aca="false">IF(AC573&lt;&gt;"",VLOOKUP(AC573,Selects!$B:$E,4,0),"")</f>
        <v/>
      </c>
      <c r="CC573" s="58"/>
      <c r="CD573" s="58"/>
      <c r="CE573" s="58"/>
    </row>
    <row r="574" customFormat="false" ht="15.75" hidden="false" customHeight="true" outlineLevel="0" collapsed="false">
      <c r="A574" s="17"/>
      <c r="B574" s="58"/>
      <c r="C574" s="58"/>
      <c r="D574" s="59"/>
      <c r="E574" s="60" t="str">
        <f aca="false">IF(LEN(D574)=11,"PF",IF(LEN(D574)=14,"PJ",""))</f>
        <v/>
      </c>
      <c r="F574" s="59"/>
      <c r="G574" s="59"/>
      <c r="H574" s="61" t="str">
        <f aca="false">IF(G574&lt;&gt;"",VLOOKUP(G574,'Cnae  mcc  id'!$A:$M,9,0),"")</f>
        <v/>
      </c>
      <c r="I574" s="62"/>
      <c r="J574" s="63" t="str">
        <f aca="false">IF(I574&lt;&gt;"",VLOOKUP(I574,'Legal Nature'!$E$2:$G$84,3,0),"")</f>
        <v/>
      </c>
      <c r="K574" s="64"/>
      <c r="L574" s="65"/>
      <c r="M574" s="66"/>
      <c r="N574" s="66"/>
      <c r="O574" s="79"/>
      <c r="P574" s="26"/>
      <c r="Q574" s="58"/>
      <c r="R574" s="58"/>
      <c r="S574" s="80"/>
      <c r="T574" s="68" t="str">
        <f aca="false">IF(LEFT(S574,1)="9","Celular",IF(S574="","","Fixo"))</f>
        <v/>
      </c>
      <c r="U574" s="58" t="str">
        <f aca="false">IF( T574&lt;&gt;"",VLOOKUP(T574,Selects!$M$4:$N$1000,2,0),"")</f>
        <v/>
      </c>
      <c r="V574" s="26"/>
      <c r="W574" s="58"/>
      <c r="X574" s="58"/>
      <c r="Y574" s="58"/>
      <c r="Z574" s="58"/>
      <c r="AA574" s="69"/>
      <c r="AB574" s="58"/>
      <c r="AC574" s="58"/>
      <c r="AD574" s="70" t="str">
        <f aca="false">IF(AC574&lt;&gt;"",VLOOKUP(AC574,Selects!$B$4:$C$100,2,0),"")</f>
        <v/>
      </c>
      <c r="AE574" s="26"/>
      <c r="AF574" s="58"/>
      <c r="AG574" s="59"/>
      <c r="AH574" s="65"/>
      <c r="AI574" s="66"/>
      <c r="AJ574" s="66"/>
      <c r="AK574" s="58"/>
      <c r="AL574" s="58"/>
      <c r="AM574" s="68" t="str">
        <f aca="false">IF(LEFT(AL574,1)="9","Celular",IF(AL574="","","Fixo"))</f>
        <v/>
      </c>
      <c r="AN574" s="58" t="str">
        <f aca="false">IF( AM574&lt;&gt;"",VLOOKUP(AM574,Selects!$M$4:$N$1000,2,0),"")</f>
        <v/>
      </c>
      <c r="AO574" s="58"/>
      <c r="AP574" s="59"/>
      <c r="AQ574" s="65"/>
      <c r="AR574" s="58"/>
      <c r="AS574" s="58"/>
      <c r="AT574" s="26"/>
      <c r="AU574" s="58"/>
      <c r="AV574" s="58"/>
      <c r="AW574" s="58"/>
      <c r="AX574" s="58"/>
      <c r="AY574" s="71"/>
      <c r="AZ574" s="58"/>
      <c r="BA574" s="58"/>
      <c r="BB574" s="72" t="str">
        <f aca="false">IF(BA574&lt;&gt;"",VLOOKUP(BA574,Selects!$B$4:$C$100,2,0),"")</f>
        <v/>
      </c>
      <c r="BC574" s="26"/>
      <c r="BD574" s="26"/>
      <c r="BE574" s="73"/>
      <c r="BF574" s="74"/>
      <c r="BG574" s="75" t="str">
        <f aca="false">IF(LEN(BF574)=11,"PF",IF(LEN(BF574)=14,"PJ",""))</f>
        <v/>
      </c>
      <c r="BH574" s="66"/>
      <c r="BI574" s="58" t="str">
        <f aca="false">IF(BH574&lt;&gt;"",VLOOKUP(BH574,Selects!$G:$H,2,0),"")</f>
        <v/>
      </c>
      <c r="BJ574" s="58"/>
      <c r="BK574" s="58"/>
      <c r="BL574" s="59"/>
      <c r="BM574" s="58"/>
      <c r="BN574" s="58"/>
      <c r="BO574" s="58" t="str">
        <f aca="false">IF(BN574&lt;&gt;"",VLOOKUP(BN574,Selects!$J$4:$K$1000,2,0),"")</f>
        <v/>
      </c>
      <c r="BP574" s="76"/>
      <c r="BQ574" s="59"/>
      <c r="BR574" s="77"/>
      <c r="BS574" s="59"/>
      <c r="BT574" s="77"/>
      <c r="BU574" s="58"/>
      <c r="BV574" s="58"/>
      <c r="BW574" s="58"/>
      <c r="BX574" s="58"/>
      <c r="BY574" s="58"/>
      <c r="BZ574" s="58"/>
      <c r="CA574" s="58"/>
      <c r="CB574" s="72" t="str">
        <f aca="false">IF(AC574&lt;&gt;"",VLOOKUP(AC574,Selects!$B:$E,4,0),"")</f>
        <v/>
      </c>
      <c r="CC574" s="58"/>
      <c r="CD574" s="58"/>
      <c r="CE574" s="58"/>
    </row>
    <row r="575" customFormat="false" ht="15.75" hidden="false" customHeight="true" outlineLevel="0" collapsed="false">
      <c r="A575" s="17"/>
      <c r="B575" s="58"/>
      <c r="C575" s="58"/>
      <c r="D575" s="59"/>
      <c r="E575" s="60" t="str">
        <f aca="false">IF(LEN(D575)=11,"PF",IF(LEN(D575)=14,"PJ",""))</f>
        <v/>
      </c>
      <c r="F575" s="59"/>
      <c r="G575" s="59"/>
      <c r="H575" s="61" t="str">
        <f aca="false">IF(G575&lt;&gt;"",VLOOKUP(G575,'Cnae  mcc  id'!$A:$M,9,0),"")</f>
        <v/>
      </c>
      <c r="I575" s="62"/>
      <c r="J575" s="63" t="str">
        <f aca="false">IF(I575&lt;&gt;"",VLOOKUP(I575,'Legal Nature'!$E$2:$G$84,3,0),"")</f>
        <v/>
      </c>
      <c r="K575" s="64"/>
      <c r="L575" s="65"/>
      <c r="M575" s="66"/>
      <c r="N575" s="66"/>
      <c r="O575" s="79"/>
      <c r="P575" s="26"/>
      <c r="Q575" s="58"/>
      <c r="R575" s="58"/>
      <c r="S575" s="80"/>
      <c r="T575" s="68" t="str">
        <f aca="false">IF(LEFT(S575,1)="9","Celular",IF(S575="","","Fixo"))</f>
        <v/>
      </c>
      <c r="U575" s="58" t="str">
        <f aca="false">IF( T575&lt;&gt;"",VLOOKUP(T575,Selects!$M$4:$N$1000,2,0),"")</f>
        <v/>
      </c>
      <c r="V575" s="26"/>
      <c r="W575" s="58"/>
      <c r="X575" s="58"/>
      <c r="Y575" s="58"/>
      <c r="Z575" s="58"/>
      <c r="AA575" s="69"/>
      <c r="AB575" s="58"/>
      <c r="AC575" s="58"/>
      <c r="AD575" s="70" t="str">
        <f aca="false">IF(AC575&lt;&gt;"",VLOOKUP(AC575,Selects!$B$4:$C$100,2,0),"")</f>
        <v/>
      </c>
      <c r="AE575" s="26"/>
      <c r="AF575" s="58"/>
      <c r="AG575" s="59"/>
      <c r="AH575" s="65"/>
      <c r="AI575" s="66"/>
      <c r="AJ575" s="66"/>
      <c r="AK575" s="58"/>
      <c r="AL575" s="58"/>
      <c r="AM575" s="68" t="str">
        <f aca="false">IF(LEFT(AL575,1)="9","Celular",IF(AL575="","","Fixo"))</f>
        <v/>
      </c>
      <c r="AN575" s="58" t="str">
        <f aca="false">IF( AM575&lt;&gt;"",VLOOKUP(AM575,Selects!$M$4:$N$1000,2,0),"")</f>
        <v/>
      </c>
      <c r="AO575" s="58"/>
      <c r="AP575" s="59"/>
      <c r="AQ575" s="65"/>
      <c r="AR575" s="58"/>
      <c r="AS575" s="58"/>
      <c r="AT575" s="26"/>
      <c r="AU575" s="58"/>
      <c r="AV575" s="58"/>
      <c r="AW575" s="58"/>
      <c r="AX575" s="58"/>
      <c r="AY575" s="71"/>
      <c r="AZ575" s="58"/>
      <c r="BA575" s="58"/>
      <c r="BB575" s="72" t="str">
        <f aca="false">IF(BA575&lt;&gt;"",VLOOKUP(BA575,Selects!$B$4:$C$100,2,0),"")</f>
        <v/>
      </c>
      <c r="BC575" s="26"/>
      <c r="BD575" s="26"/>
      <c r="BE575" s="73"/>
      <c r="BF575" s="74"/>
      <c r="BG575" s="75" t="str">
        <f aca="false">IF(LEN(BF575)=11,"PF",IF(LEN(BF575)=14,"PJ",""))</f>
        <v/>
      </c>
      <c r="BH575" s="66"/>
      <c r="BI575" s="58" t="str">
        <f aca="false">IF(BH575&lt;&gt;"",VLOOKUP(BH575,Selects!$G:$H,2,0),"")</f>
        <v/>
      </c>
      <c r="BJ575" s="58"/>
      <c r="BK575" s="58"/>
      <c r="BL575" s="59"/>
      <c r="BM575" s="58"/>
      <c r="BN575" s="58"/>
      <c r="BO575" s="58" t="str">
        <f aca="false">IF(BN575&lt;&gt;"",VLOOKUP(BN575,Selects!$J$4:$K$1000,2,0),"")</f>
        <v/>
      </c>
      <c r="BP575" s="76"/>
      <c r="BQ575" s="59"/>
      <c r="BR575" s="77"/>
      <c r="BS575" s="59"/>
      <c r="BT575" s="77"/>
      <c r="BU575" s="58"/>
      <c r="BV575" s="58"/>
      <c r="BW575" s="58"/>
      <c r="BX575" s="58"/>
      <c r="BY575" s="58"/>
      <c r="BZ575" s="58"/>
      <c r="CA575" s="58"/>
      <c r="CB575" s="72" t="str">
        <f aca="false">IF(AC575&lt;&gt;"",VLOOKUP(AC575,Selects!$B:$E,4,0),"")</f>
        <v/>
      </c>
      <c r="CC575" s="58"/>
      <c r="CD575" s="58"/>
      <c r="CE575" s="58"/>
    </row>
    <row r="576" customFormat="false" ht="15.75" hidden="false" customHeight="true" outlineLevel="0" collapsed="false">
      <c r="A576" s="17"/>
      <c r="B576" s="58"/>
      <c r="C576" s="58"/>
      <c r="D576" s="59"/>
      <c r="E576" s="60" t="str">
        <f aca="false">IF(LEN(D576)=11,"PF",IF(LEN(D576)=14,"PJ",""))</f>
        <v/>
      </c>
      <c r="F576" s="59"/>
      <c r="G576" s="59"/>
      <c r="H576" s="61" t="str">
        <f aca="false">IF(G576&lt;&gt;"",VLOOKUP(G576,'Cnae  mcc  id'!$A:$M,9,0),"")</f>
        <v/>
      </c>
      <c r="I576" s="62"/>
      <c r="J576" s="63" t="str">
        <f aca="false">IF(I576&lt;&gt;"",VLOOKUP(I576,'Legal Nature'!$E$2:$G$84,3,0),"")</f>
        <v/>
      </c>
      <c r="K576" s="64"/>
      <c r="L576" s="65"/>
      <c r="M576" s="66"/>
      <c r="N576" s="66"/>
      <c r="O576" s="79"/>
      <c r="P576" s="26"/>
      <c r="Q576" s="58"/>
      <c r="R576" s="58"/>
      <c r="S576" s="80"/>
      <c r="T576" s="68" t="str">
        <f aca="false">IF(LEFT(S576,1)="9","Celular",IF(S576="","","Fixo"))</f>
        <v/>
      </c>
      <c r="U576" s="58" t="str">
        <f aca="false">IF( T576&lt;&gt;"",VLOOKUP(T576,Selects!$M$4:$N$1000,2,0),"")</f>
        <v/>
      </c>
      <c r="V576" s="26"/>
      <c r="W576" s="58"/>
      <c r="X576" s="58"/>
      <c r="Y576" s="58"/>
      <c r="Z576" s="58"/>
      <c r="AA576" s="69"/>
      <c r="AB576" s="58"/>
      <c r="AC576" s="58"/>
      <c r="AD576" s="70" t="str">
        <f aca="false">IF(AC576&lt;&gt;"",VLOOKUP(AC576,Selects!$B$4:$C$100,2,0),"")</f>
        <v/>
      </c>
      <c r="AE576" s="26"/>
      <c r="AF576" s="58"/>
      <c r="AG576" s="59"/>
      <c r="AH576" s="65"/>
      <c r="AI576" s="66"/>
      <c r="AJ576" s="66"/>
      <c r="AK576" s="58"/>
      <c r="AL576" s="58"/>
      <c r="AM576" s="68" t="str">
        <f aca="false">IF(LEFT(AL576,1)="9","Celular",IF(AL576="","","Fixo"))</f>
        <v/>
      </c>
      <c r="AN576" s="58" t="str">
        <f aca="false">IF( AM576&lt;&gt;"",VLOOKUP(AM576,Selects!$M$4:$N$1000,2,0),"")</f>
        <v/>
      </c>
      <c r="AO576" s="58"/>
      <c r="AP576" s="59"/>
      <c r="AQ576" s="65"/>
      <c r="AR576" s="58"/>
      <c r="AS576" s="58"/>
      <c r="AT576" s="26"/>
      <c r="AU576" s="58"/>
      <c r="AV576" s="58"/>
      <c r="AW576" s="58"/>
      <c r="AX576" s="58"/>
      <c r="AY576" s="71"/>
      <c r="AZ576" s="58"/>
      <c r="BA576" s="58"/>
      <c r="BB576" s="72" t="str">
        <f aca="false">IF(BA576&lt;&gt;"",VLOOKUP(BA576,Selects!$B$4:$C$100,2,0),"")</f>
        <v/>
      </c>
      <c r="BC576" s="26"/>
      <c r="BD576" s="26"/>
      <c r="BE576" s="73"/>
      <c r="BF576" s="74"/>
      <c r="BG576" s="75" t="str">
        <f aca="false">IF(LEN(BF576)=11,"PF",IF(LEN(BF576)=14,"PJ",""))</f>
        <v/>
      </c>
      <c r="BH576" s="66"/>
      <c r="BI576" s="58" t="str">
        <f aca="false">IF(BH576&lt;&gt;"",VLOOKUP(BH576,Selects!$G:$H,2,0),"")</f>
        <v/>
      </c>
      <c r="BJ576" s="58"/>
      <c r="BK576" s="58"/>
      <c r="BL576" s="59"/>
      <c r="BM576" s="58"/>
      <c r="BN576" s="58"/>
      <c r="BO576" s="58" t="str">
        <f aca="false">IF(BN576&lt;&gt;"",VLOOKUP(BN576,Selects!$J$4:$K$1000,2,0),"")</f>
        <v/>
      </c>
      <c r="BP576" s="76"/>
      <c r="BQ576" s="59"/>
      <c r="BR576" s="77"/>
      <c r="BS576" s="59"/>
      <c r="BT576" s="77"/>
      <c r="BU576" s="58"/>
      <c r="BV576" s="58"/>
      <c r="BW576" s="58"/>
      <c r="BX576" s="58"/>
      <c r="BY576" s="58"/>
      <c r="BZ576" s="58"/>
      <c r="CA576" s="58"/>
      <c r="CB576" s="72" t="str">
        <f aca="false">IF(AC576&lt;&gt;"",VLOOKUP(AC576,Selects!$B:$E,4,0),"")</f>
        <v/>
      </c>
      <c r="CC576" s="58"/>
      <c r="CD576" s="58"/>
      <c r="CE576" s="58"/>
    </row>
    <row r="577" customFormat="false" ht="15.75" hidden="false" customHeight="true" outlineLevel="0" collapsed="false">
      <c r="A577" s="17"/>
      <c r="B577" s="58"/>
      <c r="C577" s="58"/>
      <c r="D577" s="59"/>
      <c r="E577" s="60" t="str">
        <f aca="false">IF(LEN(D577)=11,"PF",IF(LEN(D577)=14,"PJ",""))</f>
        <v/>
      </c>
      <c r="F577" s="59"/>
      <c r="G577" s="59"/>
      <c r="H577" s="61" t="str">
        <f aca="false">IF(G577&lt;&gt;"",VLOOKUP(G577,'Cnae  mcc  id'!$A:$M,9,0),"")</f>
        <v/>
      </c>
      <c r="I577" s="62"/>
      <c r="J577" s="63" t="str">
        <f aca="false">IF(I577&lt;&gt;"",VLOOKUP(I577,'Legal Nature'!$E$2:$G$84,3,0),"")</f>
        <v/>
      </c>
      <c r="K577" s="64"/>
      <c r="L577" s="65"/>
      <c r="M577" s="66"/>
      <c r="N577" s="66"/>
      <c r="O577" s="79"/>
      <c r="P577" s="26"/>
      <c r="Q577" s="58"/>
      <c r="R577" s="58"/>
      <c r="S577" s="80"/>
      <c r="T577" s="68" t="str">
        <f aca="false">IF(LEFT(S577,1)="9","Celular",IF(S577="","","Fixo"))</f>
        <v/>
      </c>
      <c r="U577" s="58" t="str">
        <f aca="false">IF( T577&lt;&gt;"",VLOOKUP(T577,Selects!$M$4:$N$1000,2,0),"")</f>
        <v/>
      </c>
      <c r="V577" s="26"/>
      <c r="W577" s="58"/>
      <c r="X577" s="58"/>
      <c r="Y577" s="58"/>
      <c r="Z577" s="58"/>
      <c r="AA577" s="69"/>
      <c r="AB577" s="58"/>
      <c r="AC577" s="58"/>
      <c r="AD577" s="70" t="str">
        <f aca="false">IF(AC577&lt;&gt;"",VLOOKUP(AC577,Selects!$B$4:$C$100,2,0),"")</f>
        <v/>
      </c>
      <c r="AE577" s="26"/>
      <c r="AF577" s="58"/>
      <c r="AG577" s="59"/>
      <c r="AH577" s="65"/>
      <c r="AI577" s="66"/>
      <c r="AJ577" s="66"/>
      <c r="AK577" s="58"/>
      <c r="AL577" s="58"/>
      <c r="AM577" s="68" t="str">
        <f aca="false">IF(LEFT(AL577,1)="9","Celular",IF(AL577="","","Fixo"))</f>
        <v/>
      </c>
      <c r="AN577" s="58" t="str">
        <f aca="false">IF( AM577&lt;&gt;"",VLOOKUP(AM577,Selects!$M$4:$N$1000,2,0),"")</f>
        <v/>
      </c>
      <c r="AO577" s="58"/>
      <c r="AP577" s="59"/>
      <c r="AQ577" s="65"/>
      <c r="AR577" s="58"/>
      <c r="AS577" s="58"/>
      <c r="AT577" s="26"/>
      <c r="AU577" s="58"/>
      <c r="AV577" s="58"/>
      <c r="AW577" s="58"/>
      <c r="AX577" s="58"/>
      <c r="AY577" s="71"/>
      <c r="AZ577" s="58"/>
      <c r="BA577" s="58"/>
      <c r="BB577" s="72" t="str">
        <f aca="false">IF(BA577&lt;&gt;"",VLOOKUP(BA577,Selects!$B$4:$C$100,2,0),"")</f>
        <v/>
      </c>
      <c r="BC577" s="26"/>
      <c r="BD577" s="26"/>
      <c r="BE577" s="73"/>
      <c r="BF577" s="74"/>
      <c r="BG577" s="75" t="str">
        <f aca="false">IF(LEN(BF577)=11,"PF",IF(LEN(BF577)=14,"PJ",""))</f>
        <v/>
      </c>
      <c r="BH577" s="66"/>
      <c r="BI577" s="58" t="str">
        <f aca="false">IF(BH577&lt;&gt;"",VLOOKUP(BH577,Selects!$G:$H,2,0),"")</f>
        <v/>
      </c>
      <c r="BJ577" s="58"/>
      <c r="BK577" s="58"/>
      <c r="BL577" s="59"/>
      <c r="BM577" s="58"/>
      <c r="BN577" s="58"/>
      <c r="BO577" s="58" t="str">
        <f aca="false">IF(BN577&lt;&gt;"",VLOOKUP(BN577,Selects!$J$4:$K$1000,2,0),"")</f>
        <v/>
      </c>
      <c r="BP577" s="76"/>
      <c r="BQ577" s="59"/>
      <c r="BR577" s="77"/>
      <c r="BS577" s="59"/>
      <c r="BT577" s="77"/>
      <c r="BU577" s="58"/>
      <c r="BV577" s="58"/>
      <c r="BW577" s="58"/>
      <c r="BX577" s="58"/>
      <c r="BY577" s="58"/>
      <c r="BZ577" s="58"/>
      <c r="CA577" s="58"/>
      <c r="CB577" s="72" t="str">
        <f aca="false">IF(AC577&lt;&gt;"",VLOOKUP(AC577,Selects!$B:$E,4,0),"")</f>
        <v/>
      </c>
      <c r="CC577" s="58"/>
      <c r="CD577" s="58"/>
      <c r="CE577" s="58"/>
    </row>
    <row r="578" customFormat="false" ht="15.75" hidden="false" customHeight="true" outlineLevel="0" collapsed="false">
      <c r="A578" s="17"/>
      <c r="B578" s="58"/>
      <c r="C578" s="58"/>
      <c r="D578" s="59"/>
      <c r="E578" s="60" t="str">
        <f aca="false">IF(LEN(D578)=11,"PF",IF(LEN(D578)=14,"PJ",""))</f>
        <v/>
      </c>
      <c r="F578" s="59"/>
      <c r="G578" s="59"/>
      <c r="H578" s="61" t="str">
        <f aca="false">IF(G578&lt;&gt;"",VLOOKUP(G578,'Cnae  mcc  id'!$A:$M,9,0),"")</f>
        <v/>
      </c>
      <c r="I578" s="62"/>
      <c r="J578" s="63" t="str">
        <f aca="false">IF(I578&lt;&gt;"",VLOOKUP(I578,'Legal Nature'!$E$2:$G$84,3,0),"")</f>
        <v/>
      </c>
      <c r="K578" s="64"/>
      <c r="L578" s="65"/>
      <c r="M578" s="66"/>
      <c r="N578" s="66"/>
      <c r="O578" s="79"/>
      <c r="P578" s="26"/>
      <c r="Q578" s="58"/>
      <c r="R578" s="58"/>
      <c r="S578" s="80"/>
      <c r="T578" s="68" t="str">
        <f aca="false">IF(LEFT(S578,1)="9","Celular",IF(S578="","","Fixo"))</f>
        <v/>
      </c>
      <c r="U578" s="58" t="str">
        <f aca="false">IF( T578&lt;&gt;"",VLOOKUP(T578,Selects!$M$4:$N$1000,2,0),"")</f>
        <v/>
      </c>
      <c r="V578" s="26"/>
      <c r="W578" s="58"/>
      <c r="X578" s="58"/>
      <c r="Y578" s="58"/>
      <c r="Z578" s="58"/>
      <c r="AA578" s="69"/>
      <c r="AB578" s="58"/>
      <c r="AC578" s="58"/>
      <c r="AD578" s="70" t="str">
        <f aca="false">IF(AC578&lt;&gt;"",VLOOKUP(AC578,Selects!$B$4:$C$100,2,0),"")</f>
        <v/>
      </c>
      <c r="AE578" s="26"/>
      <c r="AF578" s="58"/>
      <c r="AG578" s="59"/>
      <c r="AH578" s="65"/>
      <c r="AI578" s="66"/>
      <c r="AJ578" s="66"/>
      <c r="AK578" s="58"/>
      <c r="AL578" s="58"/>
      <c r="AM578" s="68" t="str">
        <f aca="false">IF(LEFT(AL578,1)="9","Celular",IF(AL578="","","Fixo"))</f>
        <v/>
      </c>
      <c r="AN578" s="58" t="str">
        <f aca="false">IF( AM578&lt;&gt;"",VLOOKUP(AM578,Selects!$M$4:$N$1000,2,0),"")</f>
        <v/>
      </c>
      <c r="AO578" s="58"/>
      <c r="AP578" s="59"/>
      <c r="AQ578" s="65"/>
      <c r="AR578" s="58"/>
      <c r="AS578" s="58"/>
      <c r="AT578" s="26"/>
      <c r="AU578" s="58"/>
      <c r="AV578" s="58"/>
      <c r="AW578" s="58"/>
      <c r="AX578" s="58"/>
      <c r="AY578" s="71"/>
      <c r="AZ578" s="58"/>
      <c r="BA578" s="58"/>
      <c r="BB578" s="72" t="str">
        <f aca="false">IF(BA578&lt;&gt;"",VLOOKUP(BA578,Selects!$B$4:$C$100,2,0),"")</f>
        <v/>
      </c>
      <c r="BC578" s="26"/>
      <c r="BD578" s="26"/>
      <c r="BE578" s="73"/>
      <c r="BF578" s="74"/>
      <c r="BG578" s="75" t="str">
        <f aca="false">IF(LEN(BF578)=11,"PF",IF(LEN(BF578)=14,"PJ",""))</f>
        <v/>
      </c>
      <c r="BH578" s="66"/>
      <c r="BI578" s="58" t="str">
        <f aca="false">IF(BH578&lt;&gt;"",VLOOKUP(BH578,Selects!$G:$H,2,0),"")</f>
        <v/>
      </c>
      <c r="BJ578" s="58"/>
      <c r="BK578" s="58"/>
      <c r="BL578" s="59"/>
      <c r="BM578" s="58"/>
      <c r="BN578" s="58"/>
      <c r="BO578" s="58" t="str">
        <f aca="false">IF(BN578&lt;&gt;"",VLOOKUP(BN578,Selects!$J$4:$K$1000,2,0),"")</f>
        <v/>
      </c>
      <c r="BP578" s="76"/>
      <c r="BQ578" s="59"/>
      <c r="BR578" s="77"/>
      <c r="BS578" s="59"/>
      <c r="BT578" s="77"/>
      <c r="BU578" s="58"/>
      <c r="BV578" s="58"/>
      <c r="BW578" s="58"/>
      <c r="BX578" s="58"/>
      <c r="BY578" s="58"/>
      <c r="BZ578" s="58"/>
      <c r="CA578" s="58"/>
      <c r="CB578" s="72" t="str">
        <f aca="false">IF(AC578&lt;&gt;"",VLOOKUP(AC578,Selects!$B:$E,4,0),"")</f>
        <v/>
      </c>
      <c r="CC578" s="58"/>
      <c r="CD578" s="58"/>
      <c r="CE578" s="58"/>
    </row>
    <row r="579" customFormat="false" ht="15.75" hidden="false" customHeight="true" outlineLevel="0" collapsed="false">
      <c r="A579" s="17"/>
      <c r="B579" s="58"/>
      <c r="C579" s="58"/>
      <c r="D579" s="59"/>
      <c r="E579" s="60" t="str">
        <f aca="false">IF(LEN(D579)=11,"PF",IF(LEN(D579)=14,"PJ",""))</f>
        <v/>
      </c>
      <c r="F579" s="59"/>
      <c r="G579" s="59"/>
      <c r="H579" s="61" t="str">
        <f aca="false">IF(G579&lt;&gt;"",VLOOKUP(G579,'Cnae  mcc  id'!$A:$M,9,0),"")</f>
        <v/>
      </c>
      <c r="I579" s="62"/>
      <c r="J579" s="63" t="str">
        <f aca="false">IF(I579&lt;&gt;"",VLOOKUP(I579,'Legal Nature'!$E$2:$G$84,3,0),"")</f>
        <v/>
      </c>
      <c r="K579" s="64"/>
      <c r="L579" s="65"/>
      <c r="M579" s="66"/>
      <c r="N579" s="66"/>
      <c r="O579" s="79"/>
      <c r="P579" s="26"/>
      <c r="Q579" s="58"/>
      <c r="R579" s="58"/>
      <c r="S579" s="80"/>
      <c r="T579" s="68" t="str">
        <f aca="false">IF(LEFT(S579,1)="9","Celular",IF(S579="","","Fixo"))</f>
        <v/>
      </c>
      <c r="U579" s="58" t="str">
        <f aca="false">IF( T579&lt;&gt;"",VLOOKUP(T579,Selects!$M$4:$N$1000,2,0),"")</f>
        <v/>
      </c>
      <c r="V579" s="26"/>
      <c r="W579" s="58"/>
      <c r="X579" s="58"/>
      <c r="Y579" s="58"/>
      <c r="Z579" s="58"/>
      <c r="AA579" s="69"/>
      <c r="AB579" s="58"/>
      <c r="AC579" s="58"/>
      <c r="AD579" s="70" t="str">
        <f aca="false">IF(AC579&lt;&gt;"",VLOOKUP(AC579,Selects!$B$4:$C$100,2,0),"")</f>
        <v/>
      </c>
      <c r="AE579" s="26"/>
      <c r="AF579" s="58"/>
      <c r="AG579" s="59"/>
      <c r="AH579" s="65"/>
      <c r="AI579" s="66"/>
      <c r="AJ579" s="66"/>
      <c r="AK579" s="58"/>
      <c r="AL579" s="58"/>
      <c r="AM579" s="68" t="str">
        <f aca="false">IF(LEFT(AL579,1)="9","Celular",IF(AL579="","","Fixo"))</f>
        <v/>
      </c>
      <c r="AN579" s="58" t="str">
        <f aca="false">IF( AM579&lt;&gt;"",VLOOKUP(AM579,Selects!$M$4:$N$1000,2,0),"")</f>
        <v/>
      </c>
      <c r="AO579" s="58"/>
      <c r="AP579" s="59"/>
      <c r="AQ579" s="65"/>
      <c r="AR579" s="58"/>
      <c r="AS579" s="58"/>
      <c r="AT579" s="26"/>
      <c r="AU579" s="58"/>
      <c r="AV579" s="58"/>
      <c r="AW579" s="58"/>
      <c r="AX579" s="58"/>
      <c r="AY579" s="71"/>
      <c r="AZ579" s="58"/>
      <c r="BA579" s="58"/>
      <c r="BB579" s="72" t="str">
        <f aca="false">IF(BA579&lt;&gt;"",VLOOKUP(BA579,Selects!$B$4:$C$100,2,0),"")</f>
        <v/>
      </c>
      <c r="BC579" s="26"/>
      <c r="BD579" s="26"/>
      <c r="BE579" s="73"/>
      <c r="BF579" s="74"/>
      <c r="BG579" s="75" t="str">
        <f aca="false">IF(LEN(BF579)=11,"PF",IF(LEN(BF579)=14,"PJ",""))</f>
        <v/>
      </c>
      <c r="BH579" s="66"/>
      <c r="BI579" s="58" t="str">
        <f aca="false">IF(BH579&lt;&gt;"",VLOOKUP(BH579,Selects!$G:$H,2,0),"")</f>
        <v/>
      </c>
      <c r="BJ579" s="58"/>
      <c r="BK579" s="58"/>
      <c r="BL579" s="59"/>
      <c r="BM579" s="58"/>
      <c r="BN579" s="58"/>
      <c r="BO579" s="58" t="str">
        <f aca="false">IF(BN579&lt;&gt;"",VLOOKUP(BN579,Selects!$J$4:$K$1000,2,0),"")</f>
        <v/>
      </c>
      <c r="BP579" s="76"/>
      <c r="BQ579" s="59"/>
      <c r="BR579" s="77"/>
      <c r="BS579" s="59"/>
      <c r="BT579" s="77"/>
      <c r="BU579" s="58"/>
      <c r="BV579" s="58"/>
      <c r="BW579" s="58"/>
      <c r="BX579" s="58"/>
      <c r="BY579" s="58"/>
      <c r="BZ579" s="58"/>
      <c r="CA579" s="58"/>
      <c r="CB579" s="72" t="str">
        <f aca="false">IF(AC579&lt;&gt;"",VLOOKUP(AC579,Selects!$B:$E,4,0),"")</f>
        <v/>
      </c>
      <c r="CC579" s="58"/>
      <c r="CD579" s="58"/>
      <c r="CE579" s="58"/>
    </row>
    <row r="580" customFormat="false" ht="15.75" hidden="false" customHeight="true" outlineLevel="0" collapsed="false">
      <c r="A580" s="17"/>
      <c r="B580" s="58"/>
      <c r="C580" s="58"/>
      <c r="D580" s="59"/>
      <c r="E580" s="60" t="str">
        <f aca="false">IF(LEN(D580)=11,"PF",IF(LEN(D580)=14,"PJ",""))</f>
        <v/>
      </c>
      <c r="F580" s="59"/>
      <c r="G580" s="59"/>
      <c r="H580" s="61" t="str">
        <f aca="false">IF(G580&lt;&gt;"",VLOOKUP(G580,'Cnae  mcc  id'!$A:$M,9,0),"")</f>
        <v/>
      </c>
      <c r="I580" s="62"/>
      <c r="J580" s="63" t="str">
        <f aca="false">IF(I580&lt;&gt;"",VLOOKUP(I580,'Legal Nature'!$E$2:$G$84,3,0),"")</f>
        <v/>
      </c>
      <c r="K580" s="64"/>
      <c r="L580" s="65"/>
      <c r="M580" s="66"/>
      <c r="N580" s="66"/>
      <c r="O580" s="79"/>
      <c r="P580" s="26"/>
      <c r="Q580" s="58"/>
      <c r="R580" s="58"/>
      <c r="S580" s="80"/>
      <c r="T580" s="68" t="str">
        <f aca="false">IF(LEFT(S580,1)="9","Celular",IF(S580="","","Fixo"))</f>
        <v/>
      </c>
      <c r="U580" s="58" t="str">
        <f aca="false">IF( T580&lt;&gt;"",VLOOKUP(T580,Selects!$M$4:$N$1000,2,0),"")</f>
        <v/>
      </c>
      <c r="V580" s="26"/>
      <c r="W580" s="58"/>
      <c r="X580" s="58"/>
      <c r="Y580" s="58"/>
      <c r="Z580" s="58"/>
      <c r="AA580" s="69"/>
      <c r="AB580" s="58"/>
      <c r="AC580" s="58"/>
      <c r="AD580" s="70" t="str">
        <f aca="false">IF(AC580&lt;&gt;"",VLOOKUP(AC580,Selects!$B$4:$C$100,2,0),"")</f>
        <v/>
      </c>
      <c r="AE580" s="26"/>
      <c r="AF580" s="58"/>
      <c r="AG580" s="59"/>
      <c r="AH580" s="65"/>
      <c r="AI580" s="66"/>
      <c r="AJ580" s="66"/>
      <c r="AK580" s="58"/>
      <c r="AL580" s="58"/>
      <c r="AM580" s="68" t="str">
        <f aca="false">IF(LEFT(AL580,1)="9","Celular",IF(AL580="","","Fixo"))</f>
        <v/>
      </c>
      <c r="AN580" s="58" t="str">
        <f aca="false">IF( AM580&lt;&gt;"",VLOOKUP(AM580,Selects!$M$4:$N$1000,2,0),"")</f>
        <v/>
      </c>
      <c r="AO580" s="58"/>
      <c r="AP580" s="59"/>
      <c r="AQ580" s="65"/>
      <c r="AR580" s="58"/>
      <c r="AS580" s="58"/>
      <c r="AT580" s="26"/>
      <c r="AU580" s="58"/>
      <c r="AV580" s="58"/>
      <c r="AW580" s="58"/>
      <c r="AX580" s="58"/>
      <c r="AY580" s="71"/>
      <c r="AZ580" s="58"/>
      <c r="BA580" s="58"/>
      <c r="BB580" s="72" t="str">
        <f aca="false">IF(BA580&lt;&gt;"",VLOOKUP(BA580,Selects!$B$4:$C$100,2,0),"")</f>
        <v/>
      </c>
      <c r="BC580" s="26"/>
      <c r="BD580" s="26"/>
      <c r="BE580" s="73"/>
      <c r="BF580" s="74"/>
      <c r="BG580" s="75" t="str">
        <f aca="false">IF(LEN(BF580)=11,"PF",IF(LEN(BF580)=14,"PJ",""))</f>
        <v/>
      </c>
      <c r="BH580" s="66"/>
      <c r="BI580" s="58" t="str">
        <f aca="false">IF(BH580&lt;&gt;"",VLOOKUP(BH580,Selects!$G:$H,2,0),"")</f>
        <v/>
      </c>
      <c r="BJ580" s="58"/>
      <c r="BK580" s="58"/>
      <c r="BL580" s="59"/>
      <c r="BM580" s="58"/>
      <c r="BN580" s="58"/>
      <c r="BO580" s="58" t="str">
        <f aca="false">IF(BN580&lt;&gt;"",VLOOKUP(BN580,Selects!$J$4:$K$1000,2,0),"")</f>
        <v/>
      </c>
      <c r="BP580" s="76"/>
      <c r="BQ580" s="59"/>
      <c r="BR580" s="77"/>
      <c r="BS580" s="59"/>
      <c r="BT580" s="77"/>
      <c r="BU580" s="58"/>
      <c r="BV580" s="58"/>
      <c r="BW580" s="58"/>
      <c r="BX580" s="58"/>
      <c r="BY580" s="58"/>
      <c r="BZ580" s="58"/>
      <c r="CA580" s="58"/>
      <c r="CB580" s="72" t="str">
        <f aca="false">IF(AC580&lt;&gt;"",VLOOKUP(AC580,Selects!$B:$E,4,0),"")</f>
        <v/>
      </c>
      <c r="CC580" s="58"/>
      <c r="CD580" s="58"/>
      <c r="CE580" s="58"/>
    </row>
    <row r="581" customFormat="false" ht="15.75" hidden="false" customHeight="true" outlineLevel="0" collapsed="false">
      <c r="A581" s="17"/>
      <c r="B581" s="58"/>
      <c r="C581" s="58"/>
      <c r="D581" s="59"/>
      <c r="E581" s="60" t="str">
        <f aca="false">IF(LEN(D581)=11,"PF",IF(LEN(D581)=14,"PJ",""))</f>
        <v/>
      </c>
      <c r="F581" s="59"/>
      <c r="G581" s="59"/>
      <c r="H581" s="61" t="str">
        <f aca="false">IF(G581&lt;&gt;"",VLOOKUP(G581,'Cnae  mcc  id'!$A:$M,9,0),"")</f>
        <v/>
      </c>
      <c r="I581" s="62"/>
      <c r="J581" s="63" t="str">
        <f aca="false">IF(I581&lt;&gt;"",VLOOKUP(I581,'Legal Nature'!$E$2:$G$84,3,0),"")</f>
        <v/>
      </c>
      <c r="K581" s="64"/>
      <c r="L581" s="65"/>
      <c r="M581" s="66"/>
      <c r="N581" s="66"/>
      <c r="O581" s="79"/>
      <c r="P581" s="26"/>
      <c r="Q581" s="58"/>
      <c r="R581" s="58"/>
      <c r="S581" s="80"/>
      <c r="T581" s="68" t="str">
        <f aca="false">IF(LEFT(S581,1)="9","Celular",IF(S581="","","Fixo"))</f>
        <v/>
      </c>
      <c r="U581" s="58" t="str">
        <f aca="false">IF( T581&lt;&gt;"",VLOOKUP(T581,Selects!$M$4:$N$1000,2,0),"")</f>
        <v/>
      </c>
      <c r="V581" s="26"/>
      <c r="W581" s="58"/>
      <c r="X581" s="58"/>
      <c r="Y581" s="58"/>
      <c r="Z581" s="58"/>
      <c r="AA581" s="69"/>
      <c r="AB581" s="58"/>
      <c r="AC581" s="58"/>
      <c r="AD581" s="70" t="str">
        <f aca="false">IF(AC581&lt;&gt;"",VLOOKUP(AC581,Selects!$B$4:$C$100,2,0),"")</f>
        <v/>
      </c>
      <c r="AE581" s="26"/>
      <c r="AF581" s="58"/>
      <c r="AG581" s="59"/>
      <c r="AH581" s="65"/>
      <c r="AI581" s="66"/>
      <c r="AJ581" s="66"/>
      <c r="AK581" s="58"/>
      <c r="AL581" s="58"/>
      <c r="AM581" s="68" t="str">
        <f aca="false">IF(LEFT(AL581,1)="9","Celular",IF(AL581="","","Fixo"))</f>
        <v/>
      </c>
      <c r="AN581" s="58" t="str">
        <f aca="false">IF( AM581&lt;&gt;"",VLOOKUP(AM581,Selects!$M$4:$N$1000,2,0),"")</f>
        <v/>
      </c>
      <c r="AO581" s="58"/>
      <c r="AP581" s="59"/>
      <c r="AQ581" s="65"/>
      <c r="AR581" s="58"/>
      <c r="AS581" s="58"/>
      <c r="AT581" s="26"/>
      <c r="AU581" s="58"/>
      <c r="AV581" s="58"/>
      <c r="AW581" s="58"/>
      <c r="AX581" s="58"/>
      <c r="AY581" s="71"/>
      <c r="AZ581" s="58"/>
      <c r="BA581" s="58"/>
      <c r="BB581" s="72" t="str">
        <f aca="false">IF(BA581&lt;&gt;"",VLOOKUP(BA581,Selects!$B$4:$C$100,2,0),"")</f>
        <v/>
      </c>
      <c r="BC581" s="26"/>
      <c r="BD581" s="26"/>
      <c r="BE581" s="73"/>
      <c r="BF581" s="74"/>
      <c r="BG581" s="75" t="str">
        <f aca="false">IF(LEN(BF581)=11,"PF",IF(LEN(BF581)=14,"PJ",""))</f>
        <v/>
      </c>
      <c r="BH581" s="66"/>
      <c r="BI581" s="58" t="str">
        <f aca="false">IF(BH581&lt;&gt;"",VLOOKUP(BH581,Selects!$G:$H,2,0),"")</f>
        <v/>
      </c>
      <c r="BJ581" s="58"/>
      <c r="BK581" s="58"/>
      <c r="BL581" s="59"/>
      <c r="BM581" s="58"/>
      <c r="BN581" s="58"/>
      <c r="BO581" s="58" t="str">
        <f aca="false">IF(BN581&lt;&gt;"",VLOOKUP(BN581,Selects!$J$4:$K$1000,2,0),"")</f>
        <v/>
      </c>
      <c r="BP581" s="76"/>
      <c r="BQ581" s="59"/>
      <c r="BR581" s="77"/>
      <c r="BS581" s="59"/>
      <c r="BT581" s="77"/>
      <c r="BU581" s="58"/>
      <c r="BV581" s="58"/>
      <c r="BW581" s="58"/>
      <c r="BX581" s="58"/>
      <c r="BY581" s="58"/>
      <c r="BZ581" s="58"/>
      <c r="CA581" s="58"/>
      <c r="CB581" s="72" t="str">
        <f aca="false">IF(AC581&lt;&gt;"",VLOOKUP(AC581,Selects!$B:$E,4,0),"")</f>
        <v/>
      </c>
      <c r="CC581" s="58"/>
      <c r="CD581" s="58"/>
      <c r="CE581" s="58"/>
    </row>
    <row r="582" customFormat="false" ht="15.75" hidden="false" customHeight="true" outlineLevel="0" collapsed="false">
      <c r="A582" s="17"/>
      <c r="B582" s="58"/>
      <c r="C582" s="58"/>
      <c r="D582" s="59"/>
      <c r="E582" s="60" t="str">
        <f aca="false">IF(LEN(D582)=11,"PF",IF(LEN(D582)=14,"PJ",""))</f>
        <v/>
      </c>
      <c r="F582" s="59"/>
      <c r="G582" s="59"/>
      <c r="H582" s="61" t="str">
        <f aca="false">IF(G582&lt;&gt;"",VLOOKUP(G582,'Cnae  mcc  id'!$A:$M,9,0),"")</f>
        <v/>
      </c>
      <c r="I582" s="62"/>
      <c r="J582" s="63" t="str">
        <f aca="false">IF(I582&lt;&gt;"",VLOOKUP(I582,'Legal Nature'!$E$2:$G$84,3,0),"")</f>
        <v/>
      </c>
      <c r="K582" s="64"/>
      <c r="L582" s="65"/>
      <c r="M582" s="66"/>
      <c r="N582" s="66"/>
      <c r="O582" s="79"/>
      <c r="P582" s="26"/>
      <c r="Q582" s="58"/>
      <c r="R582" s="58"/>
      <c r="S582" s="80"/>
      <c r="T582" s="68" t="str">
        <f aca="false">IF(LEFT(S582,1)="9","Celular",IF(S582="","","Fixo"))</f>
        <v/>
      </c>
      <c r="U582" s="58" t="str">
        <f aca="false">IF( T582&lt;&gt;"",VLOOKUP(T582,Selects!$M$4:$N$1000,2,0),"")</f>
        <v/>
      </c>
      <c r="V582" s="26"/>
      <c r="W582" s="58"/>
      <c r="X582" s="58"/>
      <c r="Y582" s="58"/>
      <c r="Z582" s="58"/>
      <c r="AA582" s="69"/>
      <c r="AB582" s="58"/>
      <c r="AC582" s="58"/>
      <c r="AD582" s="70" t="str">
        <f aca="false">IF(AC582&lt;&gt;"",VLOOKUP(AC582,Selects!$B$4:$C$100,2,0),"")</f>
        <v/>
      </c>
      <c r="AE582" s="26"/>
      <c r="AF582" s="58"/>
      <c r="AG582" s="59"/>
      <c r="AH582" s="65"/>
      <c r="AI582" s="66"/>
      <c r="AJ582" s="66"/>
      <c r="AK582" s="58"/>
      <c r="AL582" s="58"/>
      <c r="AM582" s="68" t="str">
        <f aca="false">IF(LEFT(AL582,1)="9","Celular",IF(AL582="","","Fixo"))</f>
        <v/>
      </c>
      <c r="AN582" s="58" t="str">
        <f aca="false">IF( AM582&lt;&gt;"",VLOOKUP(AM582,Selects!$M$4:$N$1000,2,0),"")</f>
        <v/>
      </c>
      <c r="AO582" s="58"/>
      <c r="AP582" s="59"/>
      <c r="AQ582" s="65"/>
      <c r="AR582" s="58"/>
      <c r="AS582" s="58"/>
      <c r="AT582" s="26"/>
      <c r="AU582" s="58"/>
      <c r="AV582" s="58"/>
      <c r="AW582" s="58"/>
      <c r="AX582" s="58"/>
      <c r="AY582" s="71"/>
      <c r="AZ582" s="58"/>
      <c r="BA582" s="58"/>
      <c r="BB582" s="72" t="str">
        <f aca="false">IF(BA582&lt;&gt;"",VLOOKUP(BA582,Selects!$B$4:$C$100,2,0),"")</f>
        <v/>
      </c>
      <c r="BC582" s="26"/>
      <c r="BD582" s="26"/>
      <c r="BE582" s="73"/>
      <c r="BF582" s="74"/>
      <c r="BG582" s="75" t="str">
        <f aca="false">IF(LEN(BF582)=11,"PF",IF(LEN(BF582)=14,"PJ",""))</f>
        <v/>
      </c>
      <c r="BH582" s="66"/>
      <c r="BI582" s="58" t="str">
        <f aca="false">IF(BH582&lt;&gt;"",VLOOKUP(BH582,Selects!$G:$H,2,0),"")</f>
        <v/>
      </c>
      <c r="BJ582" s="58"/>
      <c r="BK582" s="58"/>
      <c r="BL582" s="59"/>
      <c r="BM582" s="58"/>
      <c r="BN582" s="58"/>
      <c r="BO582" s="58" t="str">
        <f aca="false">IF(BN582&lt;&gt;"",VLOOKUP(BN582,Selects!$J$4:$K$1000,2,0),"")</f>
        <v/>
      </c>
      <c r="BP582" s="76"/>
      <c r="BQ582" s="59"/>
      <c r="BR582" s="77"/>
      <c r="BS582" s="59"/>
      <c r="BT582" s="77"/>
      <c r="BU582" s="58"/>
      <c r="BV582" s="58"/>
      <c r="BW582" s="58"/>
      <c r="BX582" s="58"/>
      <c r="BY582" s="58"/>
      <c r="BZ582" s="58"/>
      <c r="CA582" s="58"/>
      <c r="CB582" s="72" t="str">
        <f aca="false">IF(AC582&lt;&gt;"",VLOOKUP(AC582,Selects!$B:$E,4,0),"")</f>
        <v/>
      </c>
      <c r="CC582" s="58"/>
      <c r="CD582" s="58"/>
      <c r="CE582" s="58"/>
    </row>
    <row r="583" customFormat="false" ht="15.75" hidden="false" customHeight="true" outlineLevel="0" collapsed="false">
      <c r="A583" s="17"/>
      <c r="B583" s="58"/>
      <c r="C583" s="58"/>
      <c r="D583" s="59"/>
      <c r="E583" s="60" t="str">
        <f aca="false">IF(LEN(D583)=11,"PF",IF(LEN(D583)=14,"PJ",""))</f>
        <v/>
      </c>
      <c r="F583" s="59"/>
      <c r="G583" s="59"/>
      <c r="H583" s="61" t="str">
        <f aca="false">IF(G583&lt;&gt;"",VLOOKUP(G583,'Cnae  mcc  id'!$A:$M,9,0),"")</f>
        <v/>
      </c>
      <c r="I583" s="62"/>
      <c r="J583" s="63" t="str">
        <f aca="false">IF(I583&lt;&gt;"",VLOOKUP(I583,'Legal Nature'!$E$2:$G$84,3,0),"")</f>
        <v/>
      </c>
      <c r="K583" s="64"/>
      <c r="L583" s="65"/>
      <c r="M583" s="66"/>
      <c r="N583" s="66"/>
      <c r="O583" s="79"/>
      <c r="P583" s="26"/>
      <c r="Q583" s="58"/>
      <c r="R583" s="58"/>
      <c r="S583" s="80"/>
      <c r="T583" s="68" t="str">
        <f aca="false">IF(LEFT(S583,1)="9","Celular",IF(S583="","","Fixo"))</f>
        <v/>
      </c>
      <c r="U583" s="58" t="str">
        <f aca="false">IF( T583&lt;&gt;"",VLOOKUP(T583,Selects!$M$4:$N$1000,2,0),"")</f>
        <v/>
      </c>
      <c r="V583" s="26"/>
      <c r="W583" s="58"/>
      <c r="X583" s="58"/>
      <c r="Y583" s="58"/>
      <c r="Z583" s="58"/>
      <c r="AA583" s="69"/>
      <c r="AB583" s="58"/>
      <c r="AC583" s="58"/>
      <c r="AD583" s="70" t="str">
        <f aca="false">IF(AC583&lt;&gt;"",VLOOKUP(AC583,Selects!$B$4:$C$100,2,0),"")</f>
        <v/>
      </c>
      <c r="AE583" s="26"/>
      <c r="AF583" s="58"/>
      <c r="AG583" s="59"/>
      <c r="AH583" s="65"/>
      <c r="AI583" s="66"/>
      <c r="AJ583" s="66"/>
      <c r="AK583" s="58"/>
      <c r="AL583" s="58"/>
      <c r="AM583" s="68" t="str">
        <f aca="false">IF(LEFT(AL583,1)="9","Celular",IF(AL583="","","Fixo"))</f>
        <v/>
      </c>
      <c r="AN583" s="58" t="str">
        <f aca="false">IF( AM583&lt;&gt;"",VLOOKUP(AM583,Selects!$M$4:$N$1000,2,0),"")</f>
        <v/>
      </c>
      <c r="AO583" s="58"/>
      <c r="AP583" s="59"/>
      <c r="AQ583" s="65"/>
      <c r="AR583" s="58"/>
      <c r="AS583" s="58"/>
      <c r="AT583" s="26"/>
      <c r="AU583" s="58"/>
      <c r="AV583" s="58"/>
      <c r="AW583" s="58"/>
      <c r="AX583" s="58"/>
      <c r="AY583" s="71"/>
      <c r="AZ583" s="58"/>
      <c r="BA583" s="58"/>
      <c r="BB583" s="72" t="str">
        <f aca="false">IF(BA583&lt;&gt;"",VLOOKUP(BA583,Selects!$B$4:$C$100,2,0),"")</f>
        <v/>
      </c>
      <c r="BC583" s="26"/>
      <c r="BD583" s="26"/>
      <c r="BE583" s="73"/>
      <c r="BF583" s="74"/>
      <c r="BG583" s="75" t="str">
        <f aca="false">IF(LEN(BF583)=11,"PF",IF(LEN(BF583)=14,"PJ",""))</f>
        <v/>
      </c>
      <c r="BH583" s="66"/>
      <c r="BI583" s="58" t="str">
        <f aca="false">IF(BH583&lt;&gt;"",VLOOKUP(BH583,Selects!$G:$H,2,0),"")</f>
        <v/>
      </c>
      <c r="BJ583" s="58"/>
      <c r="BK583" s="58"/>
      <c r="BL583" s="59"/>
      <c r="BM583" s="58"/>
      <c r="BN583" s="58"/>
      <c r="BO583" s="58" t="str">
        <f aca="false">IF(BN583&lt;&gt;"",VLOOKUP(BN583,Selects!$J$4:$K$1000,2,0),"")</f>
        <v/>
      </c>
      <c r="BP583" s="76"/>
      <c r="BQ583" s="59"/>
      <c r="BR583" s="77"/>
      <c r="BS583" s="59"/>
      <c r="BT583" s="77"/>
      <c r="BU583" s="58"/>
      <c r="BV583" s="58"/>
      <c r="BW583" s="58"/>
      <c r="BX583" s="58"/>
      <c r="BY583" s="58"/>
      <c r="BZ583" s="58"/>
      <c r="CA583" s="58"/>
      <c r="CB583" s="72" t="str">
        <f aca="false">IF(AC583&lt;&gt;"",VLOOKUP(AC583,Selects!$B:$E,4,0),"")</f>
        <v/>
      </c>
      <c r="CC583" s="58"/>
      <c r="CD583" s="58"/>
      <c r="CE583" s="58"/>
    </row>
    <row r="584" customFormat="false" ht="15.75" hidden="false" customHeight="true" outlineLevel="0" collapsed="false">
      <c r="A584" s="17"/>
      <c r="B584" s="58"/>
      <c r="C584" s="58"/>
      <c r="D584" s="59"/>
      <c r="E584" s="60" t="str">
        <f aca="false">IF(LEN(D584)=11,"PF",IF(LEN(D584)=14,"PJ",""))</f>
        <v/>
      </c>
      <c r="F584" s="59"/>
      <c r="G584" s="59"/>
      <c r="H584" s="61" t="str">
        <f aca="false">IF(G584&lt;&gt;"",VLOOKUP(G584,'Cnae  mcc  id'!$A:$M,9,0),"")</f>
        <v/>
      </c>
      <c r="I584" s="62"/>
      <c r="J584" s="63" t="str">
        <f aca="false">IF(I584&lt;&gt;"",VLOOKUP(I584,'Legal Nature'!$E$2:$G$84,3,0),"")</f>
        <v/>
      </c>
      <c r="K584" s="64"/>
      <c r="L584" s="65"/>
      <c r="M584" s="66"/>
      <c r="N584" s="66"/>
      <c r="O584" s="79"/>
      <c r="P584" s="26"/>
      <c r="Q584" s="58"/>
      <c r="R584" s="58"/>
      <c r="S584" s="80"/>
      <c r="T584" s="68" t="str">
        <f aca="false">IF(LEFT(S584,1)="9","Celular",IF(S584="","","Fixo"))</f>
        <v/>
      </c>
      <c r="U584" s="58" t="str">
        <f aca="false">IF( T584&lt;&gt;"",VLOOKUP(T584,Selects!$M$4:$N$1000,2,0),"")</f>
        <v/>
      </c>
      <c r="V584" s="26"/>
      <c r="W584" s="58"/>
      <c r="X584" s="58"/>
      <c r="Y584" s="58"/>
      <c r="Z584" s="58"/>
      <c r="AA584" s="69"/>
      <c r="AB584" s="58"/>
      <c r="AC584" s="58"/>
      <c r="AD584" s="70" t="str">
        <f aca="false">IF(AC584&lt;&gt;"",VLOOKUP(AC584,Selects!$B$4:$C$100,2,0),"")</f>
        <v/>
      </c>
      <c r="AE584" s="26"/>
      <c r="AF584" s="58"/>
      <c r="AG584" s="59"/>
      <c r="AH584" s="65"/>
      <c r="AI584" s="66"/>
      <c r="AJ584" s="66"/>
      <c r="AK584" s="58"/>
      <c r="AL584" s="58"/>
      <c r="AM584" s="68" t="str">
        <f aca="false">IF(LEFT(AL584,1)="9","Celular",IF(AL584="","","Fixo"))</f>
        <v/>
      </c>
      <c r="AN584" s="58" t="str">
        <f aca="false">IF( AM584&lt;&gt;"",VLOOKUP(AM584,Selects!$M$4:$N$1000,2,0),"")</f>
        <v/>
      </c>
      <c r="AO584" s="58"/>
      <c r="AP584" s="59"/>
      <c r="AQ584" s="65"/>
      <c r="AR584" s="58"/>
      <c r="AS584" s="58"/>
      <c r="AT584" s="26"/>
      <c r="AU584" s="58"/>
      <c r="AV584" s="58"/>
      <c r="AW584" s="58"/>
      <c r="AX584" s="58"/>
      <c r="AY584" s="71"/>
      <c r="AZ584" s="58"/>
      <c r="BA584" s="58"/>
      <c r="BB584" s="72" t="str">
        <f aca="false">IF(BA584&lt;&gt;"",VLOOKUP(BA584,Selects!$B$4:$C$100,2,0),"")</f>
        <v/>
      </c>
      <c r="BC584" s="26"/>
      <c r="BD584" s="26"/>
      <c r="BE584" s="73"/>
      <c r="BF584" s="74"/>
      <c r="BG584" s="75" t="str">
        <f aca="false">IF(LEN(BF584)=11,"PF",IF(LEN(BF584)=14,"PJ",""))</f>
        <v/>
      </c>
      <c r="BH584" s="66"/>
      <c r="BI584" s="58" t="str">
        <f aca="false">IF(BH584&lt;&gt;"",VLOOKUP(BH584,Selects!$G:$H,2,0),"")</f>
        <v/>
      </c>
      <c r="BJ584" s="58"/>
      <c r="BK584" s="58"/>
      <c r="BL584" s="59"/>
      <c r="BM584" s="58"/>
      <c r="BN584" s="58"/>
      <c r="BO584" s="58" t="str">
        <f aca="false">IF(BN584&lt;&gt;"",VLOOKUP(BN584,Selects!$J$4:$K$1000,2,0),"")</f>
        <v/>
      </c>
      <c r="BP584" s="76"/>
      <c r="BQ584" s="59"/>
      <c r="BR584" s="77"/>
      <c r="BS584" s="59"/>
      <c r="BT584" s="77"/>
      <c r="BU584" s="58"/>
      <c r="BV584" s="58"/>
      <c r="BW584" s="58"/>
      <c r="BX584" s="58"/>
      <c r="BY584" s="58"/>
      <c r="BZ584" s="58"/>
      <c r="CA584" s="58"/>
      <c r="CB584" s="72" t="str">
        <f aca="false">IF(AC584&lt;&gt;"",VLOOKUP(AC584,Selects!$B:$E,4,0),"")</f>
        <v/>
      </c>
      <c r="CC584" s="58"/>
      <c r="CD584" s="58"/>
      <c r="CE584" s="58"/>
    </row>
    <row r="585" customFormat="false" ht="15.75" hidden="false" customHeight="true" outlineLevel="0" collapsed="false">
      <c r="A585" s="17"/>
      <c r="B585" s="58"/>
      <c r="C585" s="58"/>
      <c r="D585" s="59"/>
      <c r="E585" s="60" t="str">
        <f aca="false">IF(LEN(D585)=11,"PF",IF(LEN(D585)=14,"PJ",""))</f>
        <v/>
      </c>
      <c r="F585" s="59"/>
      <c r="G585" s="59"/>
      <c r="H585" s="61" t="str">
        <f aca="false">IF(G585&lt;&gt;"",VLOOKUP(G585,'Cnae  mcc  id'!$A:$M,9,0),"")</f>
        <v/>
      </c>
      <c r="I585" s="62"/>
      <c r="J585" s="63" t="str">
        <f aca="false">IF(I585&lt;&gt;"",VLOOKUP(I585,'Legal Nature'!$E$2:$G$84,3,0),"")</f>
        <v/>
      </c>
      <c r="K585" s="64"/>
      <c r="L585" s="65"/>
      <c r="M585" s="66"/>
      <c r="N585" s="66"/>
      <c r="O585" s="79"/>
      <c r="P585" s="26"/>
      <c r="Q585" s="58"/>
      <c r="R585" s="58"/>
      <c r="S585" s="80"/>
      <c r="T585" s="68" t="str">
        <f aca="false">IF(LEFT(S585,1)="9","Celular",IF(S585="","","Fixo"))</f>
        <v/>
      </c>
      <c r="U585" s="58" t="str">
        <f aca="false">IF( T585&lt;&gt;"",VLOOKUP(T585,Selects!$M$4:$N$1000,2,0),"")</f>
        <v/>
      </c>
      <c r="V585" s="26"/>
      <c r="W585" s="58"/>
      <c r="X585" s="58"/>
      <c r="Y585" s="58"/>
      <c r="Z585" s="58"/>
      <c r="AA585" s="69"/>
      <c r="AB585" s="58"/>
      <c r="AC585" s="58"/>
      <c r="AD585" s="70" t="str">
        <f aca="false">IF(AC585&lt;&gt;"",VLOOKUP(AC585,Selects!$B$4:$C$100,2,0),"")</f>
        <v/>
      </c>
      <c r="AE585" s="26"/>
      <c r="AF585" s="58"/>
      <c r="AG585" s="59"/>
      <c r="AH585" s="65"/>
      <c r="AI585" s="66"/>
      <c r="AJ585" s="66"/>
      <c r="AK585" s="58"/>
      <c r="AL585" s="58"/>
      <c r="AM585" s="68" t="str">
        <f aca="false">IF(LEFT(AL585,1)="9","Celular",IF(AL585="","","Fixo"))</f>
        <v/>
      </c>
      <c r="AN585" s="58" t="str">
        <f aca="false">IF( AM585&lt;&gt;"",VLOOKUP(AM585,Selects!$M$4:$N$1000,2,0),"")</f>
        <v/>
      </c>
      <c r="AO585" s="58"/>
      <c r="AP585" s="59"/>
      <c r="AQ585" s="65"/>
      <c r="AR585" s="58"/>
      <c r="AS585" s="58"/>
      <c r="AT585" s="26"/>
      <c r="AU585" s="58"/>
      <c r="AV585" s="58"/>
      <c r="AW585" s="58"/>
      <c r="AX585" s="58"/>
      <c r="AY585" s="71"/>
      <c r="AZ585" s="58"/>
      <c r="BA585" s="58"/>
      <c r="BB585" s="72" t="str">
        <f aca="false">IF(BA585&lt;&gt;"",VLOOKUP(BA585,Selects!$B$4:$C$100,2,0),"")</f>
        <v/>
      </c>
      <c r="BC585" s="26"/>
      <c r="BD585" s="26"/>
      <c r="BE585" s="73"/>
      <c r="BF585" s="74"/>
      <c r="BG585" s="75" t="str">
        <f aca="false">IF(LEN(BF585)=11,"PF",IF(LEN(BF585)=14,"PJ",""))</f>
        <v/>
      </c>
      <c r="BH585" s="66"/>
      <c r="BI585" s="58" t="str">
        <f aca="false">IF(BH585&lt;&gt;"",VLOOKUP(BH585,Selects!$G:$H,2,0),"")</f>
        <v/>
      </c>
      <c r="BJ585" s="58"/>
      <c r="BK585" s="58"/>
      <c r="BL585" s="59"/>
      <c r="BM585" s="58"/>
      <c r="BN585" s="58"/>
      <c r="BO585" s="58" t="str">
        <f aca="false">IF(BN585&lt;&gt;"",VLOOKUP(BN585,Selects!$J$4:$K$1000,2,0),"")</f>
        <v/>
      </c>
      <c r="BP585" s="76"/>
      <c r="BQ585" s="59"/>
      <c r="BR585" s="77"/>
      <c r="BS585" s="59"/>
      <c r="BT585" s="77"/>
      <c r="BU585" s="58"/>
      <c r="BV585" s="58"/>
      <c r="BW585" s="58"/>
      <c r="BX585" s="58"/>
      <c r="BY585" s="58"/>
      <c r="BZ585" s="58"/>
      <c r="CA585" s="58"/>
      <c r="CB585" s="72" t="str">
        <f aca="false">IF(AC585&lt;&gt;"",VLOOKUP(AC585,Selects!$B:$E,4,0),"")</f>
        <v/>
      </c>
      <c r="CC585" s="58"/>
      <c r="CD585" s="58"/>
      <c r="CE585" s="58"/>
    </row>
    <row r="586" customFormat="false" ht="15.75" hidden="false" customHeight="true" outlineLevel="0" collapsed="false">
      <c r="A586" s="17"/>
      <c r="B586" s="58"/>
      <c r="C586" s="58"/>
      <c r="D586" s="59"/>
      <c r="E586" s="60" t="str">
        <f aca="false">IF(LEN(D586)=11,"PF",IF(LEN(D586)=14,"PJ",""))</f>
        <v/>
      </c>
      <c r="F586" s="59"/>
      <c r="G586" s="59"/>
      <c r="H586" s="61" t="str">
        <f aca="false">IF(G586&lt;&gt;"",VLOOKUP(G586,'Cnae  mcc  id'!$A:$M,9,0),"")</f>
        <v/>
      </c>
      <c r="I586" s="62"/>
      <c r="J586" s="63" t="str">
        <f aca="false">IF(I586&lt;&gt;"",VLOOKUP(I586,'Legal Nature'!$E$2:$G$84,3,0),"")</f>
        <v/>
      </c>
      <c r="K586" s="64"/>
      <c r="L586" s="65"/>
      <c r="M586" s="66"/>
      <c r="N586" s="66"/>
      <c r="O586" s="79"/>
      <c r="P586" s="26"/>
      <c r="Q586" s="58"/>
      <c r="R586" s="58"/>
      <c r="S586" s="80"/>
      <c r="T586" s="68" t="str">
        <f aca="false">IF(LEFT(S586,1)="9","Celular",IF(S586="","","Fixo"))</f>
        <v/>
      </c>
      <c r="U586" s="58" t="str">
        <f aca="false">IF( T586&lt;&gt;"",VLOOKUP(T586,Selects!$M$4:$N$1000,2,0),"")</f>
        <v/>
      </c>
      <c r="V586" s="26"/>
      <c r="W586" s="58"/>
      <c r="X586" s="58"/>
      <c r="Y586" s="58"/>
      <c r="Z586" s="58"/>
      <c r="AA586" s="69"/>
      <c r="AB586" s="58"/>
      <c r="AC586" s="58"/>
      <c r="AD586" s="70" t="str">
        <f aca="false">IF(AC586&lt;&gt;"",VLOOKUP(AC586,Selects!$B$4:$C$100,2,0),"")</f>
        <v/>
      </c>
      <c r="AE586" s="26"/>
      <c r="AF586" s="58"/>
      <c r="AG586" s="59"/>
      <c r="AH586" s="65"/>
      <c r="AI586" s="66"/>
      <c r="AJ586" s="66"/>
      <c r="AK586" s="58"/>
      <c r="AL586" s="58"/>
      <c r="AM586" s="68" t="str">
        <f aca="false">IF(LEFT(AL586,1)="9","Celular",IF(AL586="","","Fixo"))</f>
        <v/>
      </c>
      <c r="AN586" s="58" t="str">
        <f aca="false">IF( AM586&lt;&gt;"",VLOOKUP(AM586,Selects!$M$4:$N$1000,2,0),"")</f>
        <v/>
      </c>
      <c r="AO586" s="58"/>
      <c r="AP586" s="59"/>
      <c r="AQ586" s="65"/>
      <c r="AR586" s="58"/>
      <c r="AS586" s="58"/>
      <c r="AT586" s="26"/>
      <c r="AU586" s="58"/>
      <c r="AV586" s="58"/>
      <c r="AW586" s="58"/>
      <c r="AX586" s="58"/>
      <c r="AY586" s="71"/>
      <c r="AZ586" s="58"/>
      <c r="BA586" s="58"/>
      <c r="BB586" s="72" t="str">
        <f aca="false">IF(BA586&lt;&gt;"",VLOOKUP(BA586,Selects!$B$4:$C$100,2,0),"")</f>
        <v/>
      </c>
      <c r="BC586" s="26"/>
      <c r="BD586" s="26"/>
      <c r="BE586" s="73"/>
      <c r="BF586" s="74"/>
      <c r="BG586" s="75" t="str">
        <f aca="false">IF(LEN(BF586)=11,"PF",IF(LEN(BF586)=14,"PJ",""))</f>
        <v/>
      </c>
      <c r="BH586" s="66"/>
      <c r="BI586" s="58" t="str">
        <f aca="false">IF(BH586&lt;&gt;"",VLOOKUP(BH586,Selects!$G:$H,2,0),"")</f>
        <v/>
      </c>
      <c r="BJ586" s="58"/>
      <c r="BK586" s="58"/>
      <c r="BL586" s="59"/>
      <c r="BM586" s="58"/>
      <c r="BN586" s="58"/>
      <c r="BO586" s="58" t="str">
        <f aca="false">IF(BN586&lt;&gt;"",VLOOKUP(BN586,Selects!$J$4:$K$1000,2,0),"")</f>
        <v/>
      </c>
      <c r="BP586" s="76"/>
      <c r="BQ586" s="59"/>
      <c r="BR586" s="77"/>
      <c r="BS586" s="59"/>
      <c r="BT586" s="77"/>
      <c r="BU586" s="58"/>
      <c r="BV586" s="58"/>
      <c r="BW586" s="58"/>
      <c r="BX586" s="58"/>
      <c r="BY586" s="58"/>
      <c r="BZ586" s="58"/>
      <c r="CA586" s="58"/>
      <c r="CB586" s="72" t="str">
        <f aca="false">IF(AC586&lt;&gt;"",VLOOKUP(AC586,Selects!$B:$E,4,0),"")</f>
        <v/>
      </c>
      <c r="CC586" s="58"/>
      <c r="CD586" s="58"/>
      <c r="CE586" s="58"/>
    </row>
    <row r="587" customFormat="false" ht="15.75" hidden="false" customHeight="true" outlineLevel="0" collapsed="false">
      <c r="A587" s="17"/>
      <c r="B587" s="58"/>
      <c r="C587" s="58"/>
      <c r="D587" s="59"/>
      <c r="E587" s="60" t="str">
        <f aca="false">IF(LEN(D587)=11,"PF",IF(LEN(D587)=14,"PJ",""))</f>
        <v/>
      </c>
      <c r="F587" s="59"/>
      <c r="G587" s="59"/>
      <c r="H587" s="61" t="str">
        <f aca="false">IF(G587&lt;&gt;"",VLOOKUP(G587,'Cnae  mcc  id'!$A:$M,9,0),"")</f>
        <v/>
      </c>
      <c r="I587" s="62"/>
      <c r="J587" s="63" t="str">
        <f aca="false">IF(I587&lt;&gt;"",VLOOKUP(I587,'Legal Nature'!$E$2:$G$84,3,0),"")</f>
        <v/>
      </c>
      <c r="K587" s="64"/>
      <c r="L587" s="65"/>
      <c r="M587" s="66"/>
      <c r="N587" s="66"/>
      <c r="O587" s="79"/>
      <c r="P587" s="26"/>
      <c r="Q587" s="58"/>
      <c r="R587" s="58"/>
      <c r="S587" s="80"/>
      <c r="T587" s="68" t="str">
        <f aca="false">IF(LEFT(S587,1)="9","Celular",IF(S587="","","Fixo"))</f>
        <v/>
      </c>
      <c r="U587" s="58" t="str">
        <f aca="false">IF( T587&lt;&gt;"",VLOOKUP(T587,Selects!$M$4:$N$1000,2,0),"")</f>
        <v/>
      </c>
      <c r="V587" s="26"/>
      <c r="W587" s="58"/>
      <c r="X587" s="58"/>
      <c r="Y587" s="58"/>
      <c r="Z587" s="58"/>
      <c r="AA587" s="69"/>
      <c r="AB587" s="58"/>
      <c r="AC587" s="58"/>
      <c r="AD587" s="70" t="str">
        <f aca="false">IF(AC587&lt;&gt;"",VLOOKUP(AC587,Selects!$B$4:$C$100,2,0),"")</f>
        <v/>
      </c>
      <c r="AE587" s="26"/>
      <c r="AF587" s="58"/>
      <c r="AG587" s="59"/>
      <c r="AH587" s="65"/>
      <c r="AI587" s="66"/>
      <c r="AJ587" s="66"/>
      <c r="AK587" s="58"/>
      <c r="AL587" s="58"/>
      <c r="AM587" s="68" t="str">
        <f aca="false">IF(LEFT(AL587,1)="9","Celular",IF(AL587="","","Fixo"))</f>
        <v/>
      </c>
      <c r="AN587" s="58" t="str">
        <f aca="false">IF( AM587&lt;&gt;"",VLOOKUP(AM587,Selects!$M$4:$N$1000,2,0),"")</f>
        <v/>
      </c>
      <c r="AO587" s="58"/>
      <c r="AP587" s="59"/>
      <c r="AQ587" s="65"/>
      <c r="AR587" s="58"/>
      <c r="AS587" s="58"/>
      <c r="AT587" s="26"/>
      <c r="AU587" s="58"/>
      <c r="AV587" s="58"/>
      <c r="AW587" s="58"/>
      <c r="AX587" s="58"/>
      <c r="AY587" s="71"/>
      <c r="AZ587" s="58"/>
      <c r="BA587" s="58"/>
      <c r="BB587" s="72" t="str">
        <f aca="false">IF(BA587&lt;&gt;"",VLOOKUP(BA587,Selects!$B$4:$C$100,2,0),"")</f>
        <v/>
      </c>
      <c r="BC587" s="26"/>
      <c r="BD587" s="26"/>
      <c r="BE587" s="73"/>
      <c r="BF587" s="74"/>
      <c r="BG587" s="75" t="str">
        <f aca="false">IF(LEN(BF587)=11,"PF",IF(LEN(BF587)=14,"PJ",""))</f>
        <v/>
      </c>
      <c r="BH587" s="66"/>
      <c r="BI587" s="58" t="str">
        <f aca="false">IF(BH587&lt;&gt;"",VLOOKUP(BH587,Selects!$G:$H,2,0),"")</f>
        <v/>
      </c>
      <c r="BJ587" s="58"/>
      <c r="BK587" s="58"/>
      <c r="BL587" s="59"/>
      <c r="BM587" s="58"/>
      <c r="BN587" s="58"/>
      <c r="BO587" s="58" t="str">
        <f aca="false">IF(BN587&lt;&gt;"",VLOOKUP(BN587,Selects!$J$4:$K$1000,2,0),"")</f>
        <v/>
      </c>
      <c r="BP587" s="76"/>
      <c r="BQ587" s="59"/>
      <c r="BR587" s="77"/>
      <c r="BS587" s="59"/>
      <c r="BT587" s="77"/>
      <c r="BU587" s="58"/>
      <c r="BV587" s="58"/>
      <c r="BW587" s="58"/>
      <c r="BX587" s="58"/>
      <c r="BY587" s="58"/>
      <c r="BZ587" s="58"/>
      <c r="CA587" s="58"/>
      <c r="CB587" s="72" t="str">
        <f aca="false">IF(AC587&lt;&gt;"",VLOOKUP(AC587,Selects!$B:$E,4,0),"")</f>
        <v/>
      </c>
      <c r="CC587" s="58"/>
      <c r="CD587" s="58"/>
      <c r="CE587" s="58"/>
    </row>
    <row r="588" customFormat="false" ht="15.75" hidden="false" customHeight="true" outlineLevel="0" collapsed="false">
      <c r="A588" s="17"/>
      <c r="B588" s="58"/>
      <c r="C588" s="58"/>
      <c r="D588" s="59"/>
      <c r="E588" s="60" t="str">
        <f aca="false">IF(LEN(D588)=11,"PF",IF(LEN(D588)=14,"PJ",""))</f>
        <v/>
      </c>
      <c r="F588" s="59"/>
      <c r="G588" s="59"/>
      <c r="H588" s="61" t="str">
        <f aca="false">IF(G588&lt;&gt;"",VLOOKUP(G588,'Cnae  mcc  id'!$A:$M,9,0),"")</f>
        <v/>
      </c>
      <c r="I588" s="62"/>
      <c r="J588" s="63" t="str">
        <f aca="false">IF(I588&lt;&gt;"",VLOOKUP(I588,'Legal Nature'!$E$2:$G$84,3,0),"")</f>
        <v/>
      </c>
      <c r="K588" s="64"/>
      <c r="L588" s="65"/>
      <c r="M588" s="66"/>
      <c r="N588" s="66"/>
      <c r="O588" s="79"/>
      <c r="P588" s="26"/>
      <c r="Q588" s="58"/>
      <c r="R588" s="58"/>
      <c r="S588" s="80"/>
      <c r="T588" s="68" t="str">
        <f aca="false">IF(LEFT(S588,1)="9","Celular",IF(S588="","","Fixo"))</f>
        <v/>
      </c>
      <c r="U588" s="58" t="str">
        <f aca="false">IF( T588&lt;&gt;"",VLOOKUP(T588,Selects!$M$4:$N$1000,2,0),"")</f>
        <v/>
      </c>
      <c r="V588" s="26"/>
      <c r="W588" s="58"/>
      <c r="X588" s="58"/>
      <c r="Y588" s="58"/>
      <c r="Z588" s="58"/>
      <c r="AA588" s="69"/>
      <c r="AB588" s="58"/>
      <c r="AC588" s="58"/>
      <c r="AD588" s="70" t="str">
        <f aca="false">IF(AC588&lt;&gt;"",VLOOKUP(AC588,Selects!$B$4:$C$100,2,0),"")</f>
        <v/>
      </c>
      <c r="AE588" s="26"/>
      <c r="AF588" s="58"/>
      <c r="AG588" s="59"/>
      <c r="AH588" s="65"/>
      <c r="AI588" s="66"/>
      <c r="AJ588" s="66"/>
      <c r="AK588" s="58"/>
      <c r="AL588" s="58"/>
      <c r="AM588" s="68" t="str">
        <f aca="false">IF(LEFT(AL588,1)="9","Celular",IF(AL588="","","Fixo"))</f>
        <v/>
      </c>
      <c r="AN588" s="58" t="str">
        <f aca="false">IF( AM588&lt;&gt;"",VLOOKUP(AM588,Selects!$M$4:$N$1000,2,0),"")</f>
        <v/>
      </c>
      <c r="AO588" s="58"/>
      <c r="AP588" s="59"/>
      <c r="AQ588" s="65"/>
      <c r="AR588" s="58"/>
      <c r="AS588" s="58"/>
      <c r="AT588" s="26"/>
      <c r="AU588" s="58"/>
      <c r="AV588" s="58"/>
      <c r="AW588" s="58"/>
      <c r="AX588" s="58"/>
      <c r="AY588" s="71"/>
      <c r="AZ588" s="58"/>
      <c r="BA588" s="58"/>
      <c r="BB588" s="72" t="str">
        <f aca="false">IF(BA588&lt;&gt;"",VLOOKUP(BA588,Selects!$B$4:$C$100,2,0),"")</f>
        <v/>
      </c>
      <c r="BC588" s="26"/>
      <c r="BD588" s="26"/>
      <c r="BE588" s="73"/>
      <c r="BF588" s="74"/>
      <c r="BG588" s="75" t="str">
        <f aca="false">IF(LEN(BF588)=11,"PF",IF(LEN(BF588)=14,"PJ",""))</f>
        <v/>
      </c>
      <c r="BH588" s="66"/>
      <c r="BI588" s="58" t="str">
        <f aca="false">IF(BH588&lt;&gt;"",VLOOKUP(BH588,Selects!$G:$H,2,0),"")</f>
        <v/>
      </c>
      <c r="BJ588" s="58"/>
      <c r="BK588" s="58"/>
      <c r="BL588" s="59"/>
      <c r="BM588" s="58"/>
      <c r="BN588" s="58"/>
      <c r="BO588" s="58" t="str">
        <f aca="false">IF(BN588&lt;&gt;"",VLOOKUP(BN588,Selects!$J$4:$K$1000,2,0),"")</f>
        <v/>
      </c>
      <c r="BP588" s="76"/>
      <c r="BQ588" s="59"/>
      <c r="BR588" s="77"/>
      <c r="BS588" s="59"/>
      <c r="BT588" s="77"/>
      <c r="BU588" s="58"/>
      <c r="BV588" s="58"/>
      <c r="BW588" s="58"/>
      <c r="BX588" s="58"/>
      <c r="BY588" s="58"/>
      <c r="BZ588" s="58"/>
      <c r="CA588" s="58"/>
      <c r="CB588" s="72" t="str">
        <f aca="false">IF(AC588&lt;&gt;"",VLOOKUP(AC588,Selects!$B:$E,4,0),"")</f>
        <v/>
      </c>
      <c r="CC588" s="58"/>
      <c r="CD588" s="58"/>
      <c r="CE588" s="58"/>
    </row>
    <row r="589" customFormat="false" ht="15.75" hidden="false" customHeight="true" outlineLevel="0" collapsed="false">
      <c r="A589" s="17"/>
      <c r="B589" s="58"/>
      <c r="C589" s="58"/>
      <c r="D589" s="59"/>
      <c r="E589" s="60" t="str">
        <f aca="false">IF(LEN(D589)=11,"PF",IF(LEN(D589)=14,"PJ",""))</f>
        <v/>
      </c>
      <c r="F589" s="59"/>
      <c r="G589" s="59"/>
      <c r="H589" s="61" t="str">
        <f aca="false">IF(G589&lt;&gt;"",VLOOKUP(G589,'Cnae  mcc  id'!$A:$M,9,0),"")</f>
        <v/>
      </c>
      <c r="I589" s="62"/>
      <c r="J589" s="63" t="str">
        <f aca="false">IF(I589&lt;&gt;"",VLOOKUP(I589,'Legal Nature'!$E$2:$G$84,3,0),"")</f>
        <v/>
      </c>
      <c r="K589" s="64"/>
      <c r="L589" s="65"/>
      <c r="M589" s="66"/>
      <c r="N589" s="66"/>
      <c r="O589" s="79"/>
      <c r="P589" s="26"/>
      <c r="Q589" s="58"/>
      <c r="R589" s="58"/>
      <c r="S589" s="80"/>
      <c r="T589" s="68" t="str">
        <f aca="false">IF(LEFT(S589,1)="9","Celular",IF(S589="","","Fixo"))</f>
        <v/>
      </c>
      <c r="U589" s="58" t="str">
        <f aca="false">IF( T589&lt;&gt;"",VLOOKUP(T589,Selects!$M$4:$N$1000,2,0),"")</f>
        <v/>
      </c>
      <c r="V589" s="26"/>
      <c r="W589" s="58"/>
      <c r="X589" s="58"/>
      <c r="Y589" s="58"/>
      <c r="Z589" s="58"/>
      <c r="AA589" s="69"/>
      <c r="AB589" s="58"/>
      <c r="AC589" s="58"/>
      <c r="AD589" s="70" t="str">
        <f aca="false">IF(AC589&lt;&gt;"",VLOOKUP(AC589,Selects!$B$4:$C$100,2,0),"")</f>
        <v/>
      </c>
      <c r="AE589" s="26"/>
      <c r="AF589" s="58"/>
      <c r="AG589" s="59"/>
      <c r="AH589" s="65"/>
      <c r="AI589" s="66"/>
      <c r="AJ589" s="66"/>
      <c r="AK589" s="58"/>
      <c r="AL589" s="58"/>
      <c r="AM589" s="68" t="str">
        <f aca="false">IF(LEFT(AL589,1)="9","Celular",IF(AL589="","","Fixo"))</f>
        <v/>
      </c>
      <c r="AN589" s="58" t="str">
        <f aca="false">IF( AM589&lt;&gt;"",VLOOKUP(AM589,Selects!$M$4:$N$1000,2,0),"")</f>
        <v/>
      </c>
      <c r="AO589" s="58"/>
      <c r="AP589" s="59"/>
      <c r="AQ589" s="65"/>
      <c r="AR589" s="58"/>
      <c r="AS589" s="58"/>
      <c r="AT589" s="26"/>
      <c r="AU589" s="58"/>
      <c r="AV589" s="58"/>
      <c r="AW589" s="58"/>
      <c r="AX589" s="58"/>
      <c r="AY589" s="71"/>
      <c r="AZ589" s="58"/>
      <c r="BA589" s="58"/>
      <c r="BB589" s="72" t="str">
        <f aca="false">IF(BA589&lt;&gt;"",VLOOKUP(BA589,Selects!$B$4:$C$100,2,0),"")</f>
        <v/>
      </c>
      <c r="BC589" s="26"/>
      <c r="BD589" s="26"/>
      <c r="BE589" s="73"/>
      <c r="BF589" s="74"/>
      <c r="BG589" s="75" t="str">
        <f aca="false">IF(LEN(BF589)=11,"PF",IF(LEN(BF589)=14,"PJ",""))</f>
        <v/>
      </c>
      <c r="BH589" s="66"/>
      <c r="BI589" s="58" t="str">
        <f aca="false">IF(BH589&lt;&gt;"",VLOOKUP(BH589,Selects!$G:$H,2,0),"")</f>
        <v/>
      </c>
      <c r="BJ589" s="58"/>
      <c r="BK589" s="58"/>
      <c r="BL589" s="59"/>
      <c r="BM589" s="58"/>
      <c r="BN589" s="58"/>
      <c r="BO589" s="58" t="str">
        <f aca="false">IF(BN589&lt;&gt;"",VLOOKUP(BN589,Selects!$J$4:$K$1000,2,0),"")</f>
        <v/>
      </c>
      <c r="BP589" s="76"/>
      <c r="BQ589" s="59"/>
      <c r="BR589" s="77"/>
      <c r="BS589" s="59"/>
      <c r="BT589" s="77"/>
      <c r="BU589" s="58"/>
      <c r="BV589" s="58"/>
      <c r="BW589" s="58"/>
      <c r="BX589" s="58"/>
      <c r="BY589" s="58"/>
      <c r="BZ589" s="58"/>
      <c r="CA589" s="58"/>
      <c r="CB589" s="72" t="str">
        <f aca="false">IF(AC589&lt;&gt;"",VLOOKUP(AC589,Selects!$B:$E,4,0),"")</f>
        <v/>
      </c>
      <c r="CC589" s="58"/>
      <c r="CD589" s="58"/>
      <c r="CE589" s="58"/>
    </row>
    <row r="590" customFormat="false" ht="15.75" hidden="false" customHeight="true" outlineLevel="0" collapsed="false">
      <c r="A590" s="17"/>
      <c r="B590" s="58"/>
      <c r="C590" s="58"/>
      <c r="D590" s="59"/>
      <c r="E590" s="60" t="str">
        <f aca="false">IF(LEN(D590)=11,"PF",IF(LEN(D590)=14,"PJ",""))</f>
        <v/>
      </c>
      <c r="F590" s="59"/>
      <c r="G590" s="59"/>
      <c r="H590" s="61" t="str">
        <f aca="false">IF(G590&lt;&gt;"",VLOOKUP(G590,'Cnae  mcc  id'!$A:$M,9,0),"")</f>
        <v/>
      </c>
      <c r="I590" s="62"/>
      <c r="J590" s="63" t="str">
        <f aca="false">IF(I590&lt;&gt;"",VLOOKUP(I590,'Legal Nature'!$E$2:$G$84,3,0),"")</f>
        <v/>
      </c>
      <c r="K590" s="64"/>
      <c r="L590" s="65"/>
      <c r="M590" s="66"/>
      <c r="N590" s="66"/>
      <c r="O590" s="79"/>
      <c r="P590" s="26"/>
      <c r="Q590" s="58"/>
      <c r="R590" s="58"/>
      <c r="S590" s="80"/>
      <c r="T590" s="68" t="str">
        <f aca="false">IF(LEFT(S590,1)="9","Celular",IF(S590="","","Fixo"))</f>
        <v/>
      </c>
      <c r="U590" s="58" t="str">
        <f aca="false">IF( T590&lt;&gt;"",VLOOKUP(T590,Selects!$M$4:$N$1000,2,0),"")</f>
        <v/>
      </c>
      <c r="V590" s="26"/>
      <c r="W590" s="58"/>
      <c r="X590" s="58"/>
      <c r="Y590" s="58"/>
      <c r="Z590" s="58"/>
      <c r="AA590" s="69"/>
      <c r="AB590" s="58"/>
      <c r="AC590" s="58"/>
      <c r="AD590" s="70" t="str">
        <f aca="false">IF(AC590&lt;&gt;"",VLOOKUP(AC590,Selects!$B$4:$C$100,2,0),"")</f>
        <v/>
      </c>
      <c r="AE590" s="26"/>
      <c r="AF590" s="58"/>
      <c r="AG590" s="59"/>
      <c r="AH590" s="65"/>
      <c r="AI590" s="66"/>
      <c r="AJ590" s="66"/>
      <c r="AK590" s="58"/>
      <c r="AL590" s="58"/>
      <c r="AM590" s="68" t="str">
        <f aca="false">IF(LEFT(AL590,1)="9","Celular",IF(AL590="","","Fixo"))</f>
        <v/>
      </c>
      <c r="AN590" s="58" t="str">
        <f aca="false">IF( AM590&lt;&gt;"",VLOOKUP(AM590,Selects!$M$4:$N$1000,2,0),"")</f>
        <v/>
      </c>
      <c r="AO590" s="58"/>
      <c r="AP590" s="59"/>
      <c r="AQ590" s="65"/>
      <c r="AR590" s="58"/>
      <c r="AS590" s="58"/>
      <c r="AT590" s="26"/>
      <c r="AU590" s="58"/>
      <c r="AV590" s="58"/>
      <c r="AW590" s="58"/>
      <c r="AX590" s="58"/>
      <c r="AY590" s="71"/>
      <c r="AZ590" s="58"/>
      <c r="BA590" s="58"/>
      <c r="BB590" s="72" t="str">
        <f aca="false">IF(BA590&lt;&gt;"",VLOOKUP(BA590,Selects!$B$4:$C$100,2,0),"")</f>
        <v/>
      </c>
      <c r="BC590" s="26"/>
      <c r="BD590" s="26"/>
      <c r="BE590" s="73"/>
      <c r="BF590" s="74"/>
      <c r="BG590" s="75" t="str">
        <f aca="false">IF(LEN(BF590)=11,"PF",IF(LEN(BF590)=14,"PJ",""))</f>
        <v/>
      </c>
      <c r="BH590" s="66"/>
      <c r="BI590" s="58" t="str">
        <f aca="false">IF(BH590&lt;&gt;"",VLOOKUP(BH590,Selects!$G:$H,2,0),"")</f>
        <v/>
      </c>
      <c r="BJ590" s="58"/>
      <c r="BK590" s="58"/>
      <c r="BL590" s="59"/>
      <c r="BM590" s="58"/>
      <c r="BN590" s="58"/>
      <c r="BO590" s="58" t="str">
        <f aca="false">IF(BN590&lt;&gt;"",VLOOKUP(BN590,Selects!$J$4:$K$1000,2,0),"")</f>
        <v/>
      </c>
      <c r="BP590" s="76"/>
      <c r="BQ590" s="59"/>
      <c r="BR590" s="77"/>
      <c r="BS590" s="59"/>
      <c r="BT590" s="77"/>
      <c r="BU590" s="58"/>
      <c r="BV590" s="58"/>
      <c r="BW590" s="58"/>
      <c r="BX590" s="58"/>
      <c r="BY590" s="58"/>
      <c r="BZ590" s="58"/>
      <c r="CA590" s="58"/>
      <c r="CB590" s="72" t="str">
        <f aca="false">IF(AC590&lt;&gt;"",VLOOKUP(AC590,Selects!$B:$E,4,0),"")</f>
        <v/>
      </c>
      <c r="CC590" s="58"/>
      <c r="CD590" s="58"/>
      <c r="CE590" s="58"/>
    </row>
    <row r="591" customFormat="false" ht="15.75" hidden="false" customHeight="true" outlineLevel="0" collapsed="false">
      <c r="A591" s="17"/>
      <c r="B591" s="58"/>
      <c r="C591" s="58"/>
      <c r="D591" s="59"/>
      <c r="E591" s="60" t="str">
        <f aca="false">IF(LEN(D591)=11,"PF",IF(LEN(D591)=14,"PJ",""))</f>
        <v/>
      </c>
      <c r="F591" s="59"/>
      <c r="G591" s="59"/>
      <c r="H591" s="61" t="str">
        <f aca="false">IF(G591&lt;&gt;"",VLOOKUP(G591,'Cnae  mcc  id'!$A:$M,9,0),"")</f>
        <v/>
      </c>
      <c r="I591" s="62"/>
      <c r="J591" s="63" t="str">
        <f aca="false">IF(I591&lt;&gt;"",VLOOKUP(I591,'Legal Nature'!$E$2:$G$84,3,0),"")</f>
        <v/>
      </c>
      <c r="K591" s="64"/>
      <c r="L591" s="65"/>
      <c r="M591" s="66"/>
      <c r="N591" s="66"/>
      <c r="O591" s="79"/>
      <c r="P591" s="26"/>
      <c r="Q591" s="58"/>
      <c r="R591" s="58"/>
      <c r="S591" s="80"/>
      <c r="T591" s="68" t="str">
        <f aca="false">IF(LEFT(S591,1)="9","Celular",IF(S591="","","Fixo"))</f>
        <v/>
      </c>
      <c r="U591" s="58" t="str">
        <f aca="false">IF( T591&lt;&gt;"",VLOOKUP(T591,Selects!$M$4:$N$1000,2,0),"")</f>
        <v/>
      </c>
      <c r="V591" s="26"/>
      <c r="W591" s="58"/>
      <c r="X591" s="58"/>
      <c r="Y591" s="58"/>
      <c r="Z591" s="58"/>
      <c r="AA591" s="69"/>
      <c r="AB591" s="58"/>
      <c r="AC591" s="58"/>
      <c r="AD591" s="70" t="str">
        <f aca="false">IF(AC591&lt;&gt;"",VLOOKUP(AC591,Selects!$B$4:$C$100,2,0),"")</f>
        <v/>
      </c>
      <c r="AE591" s="26"/>
      <c r="AF591" s="58"/>
      <c r="AG591" s="59"/>
      <c r="AH591" s="65"/>
      <c r="AI591" s="66"/>
      <c r="AJ591" s="66"/>
      <c r="AK591" s="58"/>
      <c r="AL591" s="58"/>
      <c r="AM591" s="68" t="str">
        <f aca="false">IF(LEFT(AL591,1)="9","Celular",IF(AL591="","","Fixo"))</f>
        <v/>
      </c>
      <c r="AN591" s="58" t="str">
        <f aca="false">IF( AM591&lt;&gt;"",VLOOKUP(AM591,Selects!$M$4:$N$1000,2,0),"")</f>
        <v/>
      </c>
      <c r="AO591" s="58"/>
      <c r="AP591" s="59"/>
      <c r="AQ591" s="65"/>
      <c r="AR591" s="58"/>
      <c r="AS591" s="58"/>
      <c r="AT591" s="26"/>
      <c r="AU591" s="58"/>
      <c r="AV591" s="58"/>
      <c r="AW591" s="58"/>
      <c r="AX591" s="58"/>
      <c r="AY591" s="71"/>
      <c r="AZ591" s="58"/>
      <c r="BA591" s="58"/>
      <c r="BB591" s="72" t="str">
        <f aca="false">IF(BA591&lt;&gt;"",VLOOKUP(BA591,Selects!$B$4:$C$100,2,0),"")</f>
        <v/>
      </c>
      <c r="BC591" s="26"/>
      <c r="BD591" s="26"/>
      <c r="BE591" s="73"/>
      <c r="BF591" s="74"/>
      <c r="BG591" s="75" t="str">
        <f aca="false">IF(LEN(BF591)=11,"PF",IF(LEN(BF591)=14,"PJ",""))</f>
        <v/>
      </c>
      <c r="BH591" s="66"/>
      <c r="BI591" s="58" t="str">
        <f aca="false">IF(BH591&lt;&gt;"",VLOOKUP(BH591,Selects!$G:$H,2,0),"")</f>
        <v/>
      </c>
      <c r="BJ591" s="58"/>
      <c r="BK591" s="58"/>
      <c r="BL591" s="59"/>
      <c r="BM591" s="58"/>
      <c r="BN591" s="58"/>
      <c r="BO591" s="58" t="str">
        <f aca="false">IF(BN591&lt;&gt;"",VLOOKUP(BN591,Selects!$J$4:$K$1000,2,0),"")</f>
        <v/>
      </c>
      <c r="BP591" s="76"/>
      <c r="BQ591" s="59"/>
      <c r="BR591" s="77"/>
      <c r="BS591" s="59"/>
      <c r="BT591" s="77"/>
      <c r="BU591" s="58"/>
      <c r="BV591" s="58"/>
      <c r="BW591" s="58"/>
      <c r="BX591" s="58"/>
      <c r="BY591" s="58"/>
      <c r="BZ591" s="58"/>
      <c r="CA591" s="58"/>
      <c r="CB591" s="72" t="str">
        <f aca="false">IF(AC591&lt;&gt;"",VLOOKUP(AC591,Selects!$B:$E,4,0),"")</f>
        <v/>
      </c>
      <c r="CC591" s="58"/>
      <c r="CD591" s="58"/>
      <c r="CE591" s="58"/>
    </row>
    <row r="592" customFormat="false" ht="15.75" hidden="false" customHeight="true" outlineLevel="0" collapsed="false">
      <c r="A592" s="17"/>
      <c r="B592" s="58"/>
      <c r="C592" s="58"/>
      <c r="D592" s="59"/>
      <c r="E592" s="60" t="str">
        <f aca="false">IF(LEN(D592)=11,"PF",IF(LEN(D592)=14,"PJ",""))</f>
        <v/>
      </c>
      <c r="F592" s="59"/>
      <c r="G592" s="59"/>
      <c r="H592" s="61" t="str">
        <f aca="false">IF(G592&lt;&gt;"",VLOOKUP(G592,'Cnae  mcc  id'!$A:$M,9,0),"")</f>
        <v/>
      </c>
      <c r="I592" s="62"/>
      <c r="J592" s="63" t="str">
        <f aca="false">IF(I592&lt;&gt;"",VLOOKUP(I592,'Legal Nature'!$E$2:$G$84,3,0),"")</f>
        <v/>
      </c>
      <c r="K592" s="64"/>
      <c r="L592" s="65"/>
      <c r="M592" s="66"/>
      <c r="N592" s="66"/>
      <c r="O592" s="79"/>
      <c r="P592" s="26"/>
      <c r="Q592" s="58"/>
      <c r="R592" s="58"/>
      <c r="S592" s="80"/>
      <c r="T592" s="68" t="str">
        <f aca="false">IF(LEFT(S592,1)="9","Celular",IF(S592="","","Fixo"))</f>
        <v/>
      </c>
      <c r="U592" s="58" t="str">
        <f aca="false">IF( T592&lt;&gt;"",VLOOKUP(T592,Selects!$M$4:$N$1000,2,0),"")</f>
        <v/>
      </c>
      <c r="V592" s="26"/>
      <c r="W592" s="58"/>
      <c r="X592" s="58"/>
      <c r="Y592" s="58"/>
      <c r="Z592" s="58"/>
      <c r="AA592" s="69"/>
      <c r="AB592" s="58"/>
      <c r="AC592" s="58"/>
      <c r="AD592" s="70" t="str">
        <f aca="false">IF(AC592&lt;&gt;"",VLOOKUP(AC592,Selects!$B$4:$C$100,2,0),"")</f>
        <v/>
      </c>
      <c r="AE592" s="26"/>
      <c r="AF592" s="58"/>
      <c r="AG592" s="59"/>
      <c r="AH592" s="65"/>
      <c r="AI592" s="66"/>
      <c r="AJ592" s="66"/>
      <c r="AK592" s="58"/>
      <c r="AL592" s="58"/>
      <c r="AM592" s="68" t="str">
        <f aca="false">IF(LEFT(AL592,1)="9","Celular",IF(AL592="","","Fixo"))</f>
        <v/>
      </c>
      <c r="AN592" s="58" t="str">
        <f aca="false">IF( AM592&lt;&gt;"",VLOOKUP(AM592,Selects!$M$4:$N$1000,2,0),"")</f>
        <v/>
      </c>
      <c r="AO592" s="58"/>
      <c r="AP592" s="59"/>
      <c r="AQ592" s="65"/>
      <c r="AR592" s="58"/>
      <c r="AS592" s="58"/>
      <c r="AT592" s="26"/>
      <c r="AU592" s="58"/>
      <c r="AV592" s="58"/>
      <c r="AW592" s="58"/>
      <c r="AX592" s="58"/>
      <c r="AY592" s="71"/>
      <c r="AZ592" s="58"/>
      <c r="BA592" s="58"/>
      <c r="BB592" s="72" t="str">
        <f aca="false">IF(BA592&lt;&gt;"",VLOOKUP(BA592,Selects!$B$4:$C$100,2,0),"")</f>
        <v/>
      </c>
      <c r="BC592" s="26"/>
      <c r="BD592" s="26"/>
      <c r="BE592" s="73"/>
      <c r="BF592" s="74"/>
      <c r="BG592" s="75" t="str">
        <f aca="false">IF(LEN(BF592)=11,"PF",IF(LEN(BF592)=14,"PJ",""))</f>
        <v/>
      </c>
      <c r="BH592" s="66"/>
      <c r="BI592" s="58" t="str">
        <f aca="false">IF(BH592&lt;&gt;"",VLOOKUP(BH592,Selects!$G:$H,2,0),"")</f>
        <v/>
      </c>
      <c r="BJ592" s="58"/>
      <c r="BK592" s="58"/>
      <c r="BL592" s="59"/>
      <c r="BM592" s="58"/>
      <c r="BN592" s="58"/>
      <c r="BO592" s="58" t="str">
        <f aca="false">IF(BN592&lt;&gt;"",VLOOKUP(BN592,Selects!$J$4:$K$1000,2,0),"")</f>
        <v/>
      </c>
      <c r="BP592" s="76"/>
      <c r="BQ592" s="59"/>
      <c r="BR592" s="77"/>
      <c r="BS592" s="59"/>
      <c r="BT592" s="77"/>
      <c r="BU592" s="58"/>
      <c r="BV592" s="58"/>
      <c r="BW592" s="58"/>
      <c r="BX592" s="58"/>
      <c r="BY592" s="58"/>
      <c r="BZ592" s="58"/>
      <c r="CA592" s="58"/>
      <c r="CB592" s="72" t="str">
        <f aca="false">IF(AC592&lt;&gt;"",VLOOKUP(AC592,Selects!$B:$E,4,0),"")</f>
        <v/>
      </c>
      <c r="CC592" s="58"/>
      <c r="CD592" s="58"/>
      <c r="CE592" s="58"/>
    </row>
    <row r="593" customFormat="false" ht="15.75" hidden="false" customHeight="true" outlineLevel="0" collapsed="false">
      <c r="A593" s="17"/>
      <c r="B593" s="58"/>
      <c r="C593" s="58"/>
      <c r="D593" s="59"/>
      <c r="E593" s="60" t="str">
        <f aca="false">IF(LEN(D593)=11,"PF",IF(LEN(D593)=14,"PJ",""))</f>
        <v/>
      </c>
      <c r="F593" s="59"/>
      <c r="G593" s="59"/>
      <c r="H593" s="61" t="str">
        <f aca="false">IF(G593&lt;&gt;"",VLOOKUP(G593,'Cnae  mcc  id'!$A:$M,9,0),"")</f>
        <v/>
      </c>
      <c r="I593" s="62"/>
      <c r="J593" s="63" t="str">
        <f aca="false">IF(I593&lt;&gt;"",VLOOKUP(I593,'Legal Nature'!$E$2:$G$84,3,0),"")</f>
        <v/>
      </c>
      <c r="K593" s="64"/>
      <c r="L593" s="65"/>
      <c r="M593" s="66"/>
      <c r="N593" s="66"/>
      <c r="O593" s="79"/>
      <c r="P593" s="26"/>
      <c r="Q593" s="58"/>
      <c r="R593" s="58"/>
      <c r="S593" s="80"/>
      <c r="T593" s="68" t="str">
        <f aca="false">IF(LEFT(S593,1)="9","Celular",IF(S593="","","Fixo"))</f>
        <v/>
      </c>
      <c r="U593" s="58" t="str">
        <f aca="false">IF( T593&lt;&gt;"",VLOOKUP(T593,Selects!$M$4:$N$1000,2,0),"")</f>
        <v/>
      </c>
      <c r="V593" s="26"/>
      <c r="W593" s="58"/>
      <c r="X593" s="58"/>
      <c r="Y593" s="58"/>
      <c r="Z593" s="58"/>
      <c r="AA593" s="69"/>
      <c r="AB593" s="58"/>
      <c r="AC593" s="58"/>
      <c r="AD593" s="70" t="str">
        <f aca="false">IF(AC593&lt;&gt;"",VLOOKUP(AC593,Selects!$B$4:$C$100,2,0),"")</f>
        <v/>
      </c>
      <c r="AE593" s="26"/>
      <c r="AF593" s="58"/>
      <c r="AG593" s="59"/>
      <c r="AH593" s="65"/>
      <c r="AI593" s="66"/>
      <c r="AJ593" s="66"/>
      <c r="AK593" s="58"/>
      <c r="AL593" s="58"/>
      <c r="AM593" s="68" t="str">
        <f aca="false">IF(LEFT(AL593,1)="9","Celular",IF(AL593="","","Fixo"))</f>
        <v/>
      </c>
      <c r="AN593" s="58" t="str">
        <f aca="false">IF( AM593&lt;&gt;"",VLOOKUP(AM593,Selects!$M$4:$N$1000,2,0),"")</f>
        <v/>
      </c>
      <c r="AO593" s="58"/>
      <c r="AP593" s="59"/>
      <c r="AQ593" s="65"/>
      <c r="AR593" s="58"/>
      <c r="AS593" s="58"/>
      <c r="AT593" s="26"/>
      <c r="AU593" s="58"/>
      <c r="AV593" s="58"/>
      <c r="AW593" s="58"/>
      <c r="AX593" s="58"/>
      <c r="AY593" s="71"/>
      <c r="AZ593" s="58"/>
      <c r="BA593" s="58"/>
      <c r="BB593" s="72" t="str">
        <f aca="false">IF(BA593&lt;&gt;"",VLOOKUP(BA593,Selects!$B$4:$C$100,2,0),"")</f>
        <v/>
      </c>
      <c r="BC593" s="26"/>
      <c r="BD593" s="26"/>
      <c r="BE593" s="73"/>
      <c r="BF593" s="74"/>
      <c r="BG593" s="75" t="str">
        <f aca="false">IF(LEN(BF593)=11,"PF",IF(LEN(BF593)=14,"PJ",""))</f>
        <v/>
      </c>
      <c r="BH593" s="66"/>
      <c r="BI593" s="58" t="str">
        <f aca="false">IF(BH593&lt;&gt;"",VLOOKUP(BH593,Selects!$G:$H,2,0),"")</f>
        <v/>
      </c>
      <c r="BJ593" s="58"/>
      <c r="BK593" s="58"/>
      <c r="BL593" s="59"/>
      <c r="BM593" s="58"/>
      <c r="BN593" s="58"/>
      <c r="BO593" s="58" t="str">
        <f aca="false">IF(BN593&lt;&gt;"",VLOOKUP(BN593,Selects!$J$4:$K$1000,2,0),"")</f>
        <v/>
      </c>
      <c r="BP593" s="76"/>
      <c r="BQ593" s="59"/>
      <c r="BR593" s="77"/>
      <c r="BS593" s="59"/>
      <c r="BT593" s="77"/>
      <c r="BU593" s="58"/>
      <c r="BV593" s="58"/>
      <c r="BW593" s="58"/>
      <c r="BX593" s="58"/>
      <c r="BY593" s="58"/>
      <c r="BZ593" s="58"/>
      <c r="CA593" s="58"/>
      <c r="CB593" s="72" t="str">
        <f aca="false">IF(AC593&lt;&gt;"",VLOOKUP(AC593,Selects!$B:$E,4,0),"")</f>
        <v/>
      </c>
      <c r="CC593" s="58"/>
      <c r="CD593" s="58"/>
      <c r="CE593" s="58"/>
    </row>
    <row r="594" customFormat="false" ht="15.75" hidden="false" customHeight="true" outlineLevel="0" collapsed="false">
      <c r="A594" s="17"/>
      <c r="B594" s="58"/>
      <c r="C594" s="58"/>
      <c r="D594" s="59"/>
      <c r="E594" s="60" t="str">
        <f aca="false">IF(LEN(D594)=11,"PF",IF(LEN(D594)=14,"PJ",""))</f>
        <v/>
      </c>
      <c r="F594" s="59"/>
      <c r="G594" s="59"/>
      <c r="H594" s="61" t="str">
        <f aca="false">IF(G594&lt;&gt;"",VLOOKUP(G594,'Cnae  mcc  id'!$A:$M,9,0),"")</f>
        <v/>
      </c>
      <c r="I594" s="62"/>
      <c r="J594" s="63" t="str">
        <f aca="false">IF(I594&lt;&gt;"",VLOOKUP(I594,'Legal Nature'!$E$2:$G$84,3,0),"")</f>
        <v/>
      </c>
      <c r="K594" s="64"/>
      <c r="L594" s="65"/>
      <c r="M594" s="66"/>
      <c r="N594" s="66"/>
      <c r="O594" s="79"/>
      <c r="P594" s="26"/>
      <c r="Q594" s="58"/>
      <c r="R594" s="58"/>
      <c r="S594" s="80"/>
      <c r="T594" s="68" t="str">
        <f aca="false">IF(LEFT(S594,1)="9","Celular",IF(S594="","","Fixo"))</f>
        <v/>
      </c>
      <c r="U594" s="58" t="str">
        <f aca="false">IF( T594&lt;&gt;"",VLOOKUP(T594,Selects!$M$4:$N$1000,2,0),"")</f>
        <v/>
      </c>
      <c r="V594" s="26"/>
      <c r="W594" s="58"/>
      <c r="X594" s="58"/>
      <c r="Y594" s="58"/>
      <c r="Z594" s="58"/>
      <c r="AA594" s="69"/>
      <c r="AB594" s="58"/>
      <c r="AC594" s="58"/>
      <c r="AD594" s="70" t="str">
        <f aca="false">IF(AC594&lt;&gt;"",VLOOKUP(AC594,Selects!$B$4:$C$100,2,0),"")</f>
        <v/>
      </c>
      <c r="AE594" s="26"/>
      <c r="AF594" s="58"/>
      <c r="AG594" s="59"/>
      <c r="AH594" s="65"/>
      <c r="AI594" s="66"/>
      <c r="AJ594" s="66"/>
      <c r="AK594" s="58"/>
      <c r="AL594" s="58"/>
      <c r="AM594" s="68" t="str">
        <f aca="false">IF(LEFT(AL594,1)="9","Celular",IF(AL594="","","Fixo"))</f>
        <v/>
      </c>
      <c r="AN594" s="58" t="str">
        <f aca="false">IF( AM594&lt;&gt;"",VLOOKUP(AM594,Selects!$M$4:$N$1000,2,0),"")</f>
        <v/>
      </c>
      <c r="AO594" s="58"/>
      <c r="AP594" s="59"/>
      <c r="AQ594" s="65"/>
      <c r="AR594" s="58"/>
      <c r="AS594" s="58"/>
      <c r="AT594" s="26"/>
      <c r="AU594" s="58"/>
      <c r="AV594" s="58"/>
      <c r="AW594" s="58"/>
      <c r="AX594" s="58"/>
      <c r="AY594" s="71"/>
      <c r="AZ594" s="58"/>
      <c r="BA594" s="58"/>
      <c r="BB594" s="72" t="str">
        <f aca="false">IF(BA594&lt;&gt;"",VLOOKUP(BA594,Selects!$B$4:$C$100,2,0),"")</f>
        <v/>
      </c>
      <c r="BC594" s="26"/>
      <c r="BD594" s="26"/>
      <c r="BE594" s="73"/>
      <c r="BF594" s="74"/>
      <c r="BG594" s="75" t="str">
        <f aca="false">IF(LEN(BF594)=11,"PF",IF(LEN(BF594)=14,"PJ",""))</f>
        <v/>
      </c>
      <c r="BH594" s="66"/>
      <c r="BI594" s="58" t="str">
        <f aca="false">IF(BH594&lt;&gt;"",VLOOKUP(BH594,Selects!$G:$H,2,0),"")</f>
        <v/>
      </c>
      <c r="BJ594" s="58"/>
      <c r="BK594" s="58"/>
      <c r="BL594" s="59"/>
      <c r="BM594" s="58"/>
      <c r="BN594" s="58"/>
      <c r="BO594" s="58" t="str">
        <f aca="false">IF(BN594&lt;&gt;"",VLOOKUP(BN594,Selects!$J$4:$K$1000,2,0),"")</f>
        <v/>
      </c>
      <c r="BP594" s="76"/>
      <c r="BQ594" s="59"/>
      <c r="BR594" s="77"/>
      <c r="BS594" s="59"/>
      <c r="BT594" s="77"/>
      <c r="BU594" s="58"/>
      <c r="BV594" s="58"/>
      <c r="BW594" s="58"/>
      <c r="BX594" s="58"/>
      <c r="BY594" s="58"/>
      <c r="BZ594" s="58"/>
      <c r="CA594" s="58"/>
      <c r="CB594" s="72" t="str">
        <f aca="false">IF(AC594&lt;&gt;"",VLOOKUP(AC594,Selects!$B:$E,4,0),"")</f>
        <v/>
      </c>
      <c r="CC594" s="58"/>
      <c r="CD594" s="58"/>
      <c r="CE594" s="58"/>
    </row>
    <row r="595" customFormat="false" ht="15.75" hidden="false" customHeight="true" outlineLevel="0" collapsed="false">
      <c r="A595" s="17"/>
      <c r="B595" s="58"/>
      <c r="C595" s="58"/>
      <c r="D595" s="59"/>
      <c r="E595" s="60" t="str">
        <f aca="false">IF(LEN(D595)=11,"PF",IF(LEN(D595)=14,"PJ",""))</f>
        <v/>
      </c>
      <c r="F595" s="59"/>
      <c r="G595" s="59"/>
      <c r="H595" s="61" t="str">
        <f aca="false">IF(G595&lt;&gt;"",VLOOKUP(G595,'Cnae  mcc  id'!$A:$M,9,0),"")</f>
        <v/>
      </c>
      <c r="I595" s="62"/>
      <c r="J595" s="63" t="str">
        <f aca="false">IF(I595&lt;&gt;"",VLOOKUP(I595,'Legal Nature'!$E$2:$G$84,3,0),"")</f>
        <v/>
      </c>
      <c r="K595" s="64"/>
      <c r="L595" s="65"/>
      <c r="M595" s="66"/>
      <c r="N595" s="66"/>
      <c r="O595" s="79"/>
      <c r="P595" s="26"/>
      <c r="Q595" s="58"/>
      <c r="R595" s="58"/>
      <c r="S595" s="80"/>
      <c r="T595" s="68" t="str">
        <f aca="false">IF(LEFT(S595,1)="9","Celular",IF(S595="","","Fixo"))</f>
        <v/>
      </c>
      <c r="U595" s="58" t="str">
        <f aca="false">IF( T595&lt;&gt;"",VLOOKUP(T595,Selects!$M$4:$N$1000,2,0),"")</f>
        <v/>
      </c>
      <c r="V595" s="26"/>
      <c r="W595" s="58"/>
      <c r="X595" s="58"/>
      <c r="Y595" s="58"/>
      <c r="Z595" s="58"/>
      <c r="AA595" s="69"/>
      <c r="AB595" s="58"/>
      <c r="AC595" s="58"/>
      <c r="AD595" s="70" t="str">
        <f aca="false">IF(AC595&lt;&gt;"",VLOOKUP(AC595,Selects!$B$4:$C$100,2,0),"")</f>
        <v/>
      </c>
      <c r="AE595" s="26"/>
      <c r="AF595" s="58"/>
      <c r="AG595" s="59"/>
      <c r="AH595" s="65"/>
      <c r="AI595" s="66"/>
      <c r="AJ595" s="66"/>
      <c r="AK595" s="58"/>
      <c r="AL595" s="58"/>
      <c r="AM595" s="68" t="str">
        <f aca="false">IF(LEFT(AL595,1)="9","Celular",IF(AL595="","","Fixo"))</f>
        <v/>
      </c>
      <c r="AN595" s="58" t="str">
        <f aca="false">IF( AM595&lt;&gt;"",VLOOKUP(AM595,Selects!$M$4:$N$1000,2,0),"")</f>
        <v/>
      </c>
      <c r="AO595" s="58"/>
      <c r="AP595" s="59"/>
      <c r="AQ595" s="65"/>
      <c r="AR595" s="58"/>
      <c r="AS595" s="58"/>
      <c r="AT595" s="26"/>
      <c r="AU595" s="58"/>
      <c r="AV595" s="58"/>
      <c r="AW595" s="58"/>
      <c r="AX595" s="58"/>
      <c r="AY595" s="71"/>
      <c r="AZ595" s="58"/>
      <c r="BA595" s="58"/>
      <c r="BB595" s="72" t="str">
        <f aca="false">IF(BA595&lt;&gt;"",VLOOKUP(BA595,Selects!$B$4:$C$100,2,0),"")</f>
        <v/>
      </c>
      <c r="BC595" s="26"/>
      <c r="BD595" s="26"/>
      <c r="BE595" s="73"/>
      <c r="BF595" s="74"/>
      <c r="BG595" s="75" t="str">
        <f aca="false">IF(LEN(BF595)=11,"PF",IF(LEN(BF595)=14,"PJ",""))</f>
        <v/>
      </c>
      <c r="BH595" s="66"/>
      <c r="BI595" s="58" t="str">
        <f aca="false">IF(BH595&lt;&gt;"",VLOOKUP(BH595,Selects!$G:$H,2,0),"")</f>
        <v/>
      </c>
      <c r="BJ595" s="58"/>
      <c r="BK595" s="58"/>
      <c r="BL595" s="59"/>
      <c r="BM595" s="58"/>
      <c r="BN595" s="58"/>
      <c r="BO595" s="58" t="str">
        <f aca="false">IF(BN595&lt;&gt;"",VLOOKUP(BN595,Selects!$J$4:$K$1000,2,0),"")</f>
        <v/>
      </c>
      <c r="BP595" s="76"/>
      <c r="BQ595" s="59"/>
      <c r="BR595" s="77"/>
      <c r="BS595" s="59"/>
      <c r="BT595" s="77"/>
      <c r="BU595" s="58"/>
      <c r="BV595" s="58"/>
      <c r="BW595" s="58"/>
      <c r="BX595" s="58"/>
      <c r="BY595" s="58"/>
      <c r="BZ595" s="58"/>
      <c r="CA595" s="58"/>
      <c r="CB595" s="72" t="str">
        <f aca="false">IF(AC595&lt;&gt;"",VLOOKUP(AC595,Selects!$B:$E,4,0),"")</f>
        <v/>
      </c>
      <c r="CC595" s="58"/>
      <c r="CD595" s="58"/>
      <c r="CE595" s="58"/>
    </row>
    <row r="596" customFormat="false" ht="15.75" hidden="false" customHeight="true" outlineLevel="0" collapsed="false">
      <c r="A596" s="17"/>
      <c r="B596" s="58"/>
      <c r="C596" s="58"/>
      <c r="D596" s="59"/>
      <c r="E596" s="60" t="str">
        <f aca="false">IF(LEN(D596)=11,"PF",IF(LEN(D596)=14,"PJ",""))</f>
        <v/>
      </c>
      <c r="F596" s="59"/>
      <c r="G596" s="59"/>
      <c r="H596" s="61" t="str">
        <f aca="false">IF(G596&lt;&gt;"",VLOOKUP(G596,'Cnae  mcc  id'!$A:$M,9,0),"")</f>
        <v/>
      </c>
      <c r="I596" s="62"/>
      <c r="J596" s="63" t="str">
        <f aca="false">IF(I596&lt;&gt;"",VLOOKUP(I596,'Legal Nature'!$E$2:$G$84,3,0),"")</f>
        <v/>
      </c>
      <c r="K596" s="64"/>
      <c r="L596" s="65"/>
      <c r="M596" s="66"/>
      <c r="N596" s="66"/>
      <c r="O596" s="79"/>
      <c r="P596" s="26"/>
      <c r="Q596" s="58"/>
      <c r="R596" s="58"/>
      <c r="S596" s="80"/>
      <c r="T596" s="68" t="str">
        <f aca="false">IF(LEFT(S596,1)="9","Celular",IF(S596="","","Fixo"))</f>
        <v/>
      </c>
      <c r="U596" s="58" t="str">
        <f aca="false">IF( T596&lt;&gt;"",VLOOKUP(T596,Selects!$M$4:$N$1000,2,0),"")</f>
        <v/>
      </c>
      <c r="V596" s="26"/>
      <c r="W596" s="58"/>
      <c r="X596" s="58"/>
      <c r="Y596" s="58"/>
      <c r="Z596" s="58"/>
      <c r="AA596" s="69"/>
      <c r="AB596" s="58"/>
      <c r="AC596" s="58"/>
      <c r="AD596" s="70" t="str">
        <f aca="false">IF(AC596&lt;&gt;"",VLOOKUP(AC596,Selects!$B$4:$C$100,2,0),"")</f>
        <v/>
      </c>
      <c r="AE596" s="26"/>
      <c r="AF596" s="58"/>
      <c r="AG596" s="59"/>
      <c r="AH596" s="65"/>
      <c r="AI596" s="66"/>
      <c r="AJ596" s="66"/>
      <c r="AK596" s="58"/>
      <c r="AL596" s="58"/>
      <c r="AM596" s="68" t="str">
        <f aca="false">IF(LEFT(AL596,1)="9","Celular",IF(AL596="","","Fixo"))</f>
        <v/>
      </c>
      <c r="AN596" s="58" t="str">
        <f aca="false">IF( AM596&lt;&gt;"",VLOOKUP(AM596,Selects!$M$4:$N$1000,2,0),"")</f>
        <v/>
      </c>
      <c r="AO596" s="58"/>
      <c r="AP596" s="59"/>
      <c r="AQ596" s="65"/>
      <c r="AR596" s="58"/>
      <c r="AS596" s="58"/>
      <c r="AT596" s="26"/>
      <c r="AU596" s="58"/>
      <c r="AV596" s="58"/>
      <c r="AW596" s="58"/>
      <c r="AX596" s="58"/>
      <c r="AY596" s="71"/>
      <c r="AZ596" s="58"/>
      <c r="BA596" s="58"/>
      <c r="BB596" s="72" t="str">
        <f aca="false">IF(BA596&lt;&gt;"",VLOOKUP(BA596,Selects!$B$4:$C$100,2,0),"")</f>
        <v/>
      </c>
      <c r="BC596" s="26"/>
      <c r="BD596" s="26"/>
      <c r="BE596" s="73"/>
      <c r="BF596" s="74"/>
      <c r="BG596" s="75" t="str">
        <f aca="false">IF(LEN(BF596)=11,"PF",IF(LEN(BF596)=14,"PJ",""))</f>
        <v/>
      </c>
      <c r="BH596" s="66"/>
      <c r="BI596" s="58" t="str">
        <f aca="false">IF(BH596&lt;&gt;"",VLOOKUP(BH596,Selects!$G:$H,2,0),"")</f>
        <v/>
      </c>
      <c r="BJ596" s="58"/>
      <c r="BK596" s="58"/>
      <c r="BL596" s="59"/>
      <c r="BM596" s="58"/>
      <c r="BN596" s="58"/>
      <c r="BO596" s="58" t="str">
        <f aca="false">IF(BN596&lt;&gt;"",VLOOKUP(BN596,Selects!$J$4:$K$1000,2,0),"")</f>
        <v/>
      </c>
      <c r="BP596" s="76"/>
      <c r="BQ596" s="59"/>
      <c r="BR596" s="77"/>
      <c r="BS596" s="59"/>
      <c r="BT596" s="77"/>
      <c r="BU596" s="58"/>
      <c r="BV596" s="58"/>
      <c r="BW596" s="58"/>
      <c r="BX596" s="58"/>
      <c r="BY596" s="58"/>
      <c r="BZ596" s="58"/>
      <c r="CA596" s="58"/>
      <c r="CB596" s="72" t="str">
        <f aca="false">IF(AC596&lt;&gt;"",VLOOKUP(AC596,Selects!$B:$E,4,0),"")</f>
        <v/>
      </c>
      <c r="CC596" s="58"/>
      <c r="CD596" s="58"/>
      <c r="CE596" s="58"/>
    </row>
    <row r="597" customFormat="false" ht="15.75" hidden="false" customHeight="true" outlineLevel="0" collapsed="false">
      <c r="A597" s="17"/>
      <c r="B597" s="58"/>
      <c r="C597" s="58"/>
      <c r="D597" s="59"/>
      <c r="E597" s="60" t="str">
        <f aca="false">IF(LEN(D597)=11,"PF",IF(LEN(D597)=14,"PJ",""))</f>
        <v/>
      </c>
      <c r="F597" s="59"/>
      <c r="G597" s="59"/>
      <c r="H597" s="61" t="str">
        <f aca="false">IF(G597&lt;&gt;"",VLOOKUP(G597,'Cnae  mcc  id'!$A:$M,9,0),"")</f>
        <v/>
      </c>
      <c r="I597" s="62"/>
      <c r="J597" s="63" t="str">
        <f aca="false">IF(I597&lt;&gt;"",VLOOKUP(I597,'Legal Nature'!$E$2:$G$84,3,0),"")</f>
        <v/>
      </c>
      <c r="K597" s="64"/>
      <c r="L597" s="65"/>
      <c r="M597" s="66"/>
      <c r="N597" s="66"/>
      <c r="O597" s="79"/>
      <c r="P597" s="26"/>
      <c r="Q597" s="58"/>
      <c r="R597" s="58"/>
      <c r="S597" s="80"/>
      <c r="T597" s="68" t="str">
        <f aca="false">IF(LEFT(S597,1)="9","Celular",IF(S597="","","Fixo"))</f>
        <v/>
      </c>
      <c r="U597" s="58" t="str">
        <f aca="false">IF( T597&lt;&gt;"",VLOOKUP(T597,Selects!$M$4:$N$1000,2,0),"")</f>
        <v/>
      </c>
      <c r="V597" s="26"/>
      <c r="W597" s="58"/>
      <c r="X597" s="58"/>
      <c r="Y597" s="58"/>
      <c r="Z597" s="58"/>
      <c r="AA597" s="69"/>
      <c r="AB597" s="58"/>
      <c r="AC597" s="58"/>
      <c r="AD597" s="70" t="str">
        <f aca="false">IF(AC597&lt;&gt;"",VLOOKUP(AC597,Selects!$B$4:$C$100,2,0),"")</f>
        <v/>
      </c>
      <c r="AE597" s="26"/>
      <c r="AF597" s="58"/>
      <c r="AG597" s="59"/>
      <c r="AH597" s="65"/>
      <c r="AI597" s="66"/>
      <c r="AJ597" s="66"/>
      <c r="AK597" s="58"/>
      <c r="AL597" s="58"/>
      <c r="AM597" s="68" t="str">
        <f aca="false">IF(LEFT(AL597,1)="9","Celular",IF(AL597="","","Fixo"))</f>
        <v/>
      </c>
      <c r="AN597" s="58" t="str">
        <f aca="false">IF( AM597&lt;&gt;"",VLOOKUP(AM597,Selects!$M$4:$N$1000,2,0),"")</f>
        <v/>
      </c>
      <c r="AO597" s="58"/>
      <c r="AP597" s="59"/>
      <c r="AQ597" s="65"/>
      <c r="AR597" s="58"/>
      <c r="AS597" s="58"/>
      <c r="AT597" s="26"/>
      <c r="AU597" s="58"/>
      <c r="AV597" s="58"/>
      <c r="AW597" s="58"/>
      <c r="AX597" s="58"/>
      <c r="AY597" s="71"/>
      <c r="AZ597" s="58"/>
      <c r="BA597" s="58"/>
      <c r="BB597" s="72" t="str">
        <f aca="false">IF(BA597&lt;&gt;"",VLOOKUP(BA597,Selects!$B$4:$C$100,2,0),"")</f>
        <v/>
      </c>
      <c r="BC597" s="26"/>
      <c r="BD597" s="26"/>
      <c r="BE597" s="73"/>
      <c r="BF597" s="74"/>
      <c r="BG597" s="75" t="str">
        <f aca="false">IF(LEN(BF597)=11,"PF",IF(LEN(BF597)=14,"PJ",""))</f>
        <v/>
      </c>
      <c r="BH597" s="66"/>
      <c r="BI597" s="58" t="str">
        <f aca="false">IF(BH597&lt;&gt;"",VLOOKUP(BH597,Selects!$G:$H,2,0),"")</f>
        <v/>
      </c>
      <c r="BJ597" s="58"/>
      <c r="BK597" s="58"/>
      <c r="BL597" s="59"/>
      <c r="BM597" s="58"/>
      <c r="BN597" s="58"/>
      <c r="BO597" s="58" t="str">
        <f aca="false">IF(BN597&lt;&gt;"",VLOOKUP(BN597,Selects!$J$4:$K$1000,2,0),"")</f>
        <v/>
      </c>
      <c r="BP597" s="76"/>
      <c r="BQ597" s="59"/>
      <c r="BR597" s="77"/>
      <c r="BS597" s="59"/>
      <c r="BT597" s="77"/>
      <c r="BU597" s="58"/>
      <c r="BV597" s="58"/>
      <c r="BW597" s="58"/>
      <c r="BX597" s="58"/>
      <c r="BY597" s="58"/>
      <c r="BZ597" s="58"/>
      <c r="CA597" s="58"/>
      <c r="CB597" s="72" t="str">
        <f aca="false">IF(AC597&lt;&gt;"",VLOOKUP(AC597,Selects!$B:$E,4,0),"")</f>
        <v/>
      </c>
      <c r="CC597" s="58"/>
      <c r="CD597" s="58"/>
      <c r="CE597" s="58"/>
    </row>
    <row r="598" customFormat="false" ht="15.75" hidden="false" customHeight="true" outlineLevel="0" collapsed="false">
      <c r="A598" s="17"/>
      <c r="B598" s="58"/>
      <c r="C598" s="58"/>
      <c r="D598" s="59"/>
      <c r="E598" s="60" t="str">
        <f aca="false">IF(LEN(D598)=11,"PF",IF(LEN(D598)=14,"PJ",""))</f>
        <v/>
      </c>
      <c r="F598" s="59"/>
      <c r="G598" s="59"/>
      <c r="H598" s="61" t="str">
        <f aca="false">IF(G598&lt;&gt;"",VLOOKUP(G598,'Cnae  mcc  id'!$A:$M,9,0),"")</f>
        <v/>
      </c>
      <c r="I598" s="62"/>
      <c r="J598" s="63" t="str">
        <f aca="false">IF(I598&lt;&gt;"",VLOOKUP(I598,'Legal Nature'!$E$2:$G$84,3,0),"")</f>
        <v/>
      </c>
      <c r="K598" s="64"/>
      <c r="L598" s="65"/>
      <c r="M598" s="66"/>
      <c r="N598" s="66"/>
      <c r="O598" s="79"/>
      <c r="P598" s="26"/>
      <c r="Q598" s="58"/>
      <c r="R598" s="58"/>
      <c r="S598" s="80"/>
      <c r="T598" s="68" t="str">
        <f aca="false">IF(LEFT(S598,1)="9","Celular",IF(S598="","","Fixo"))</f>
        <v/>
      </c>
      <c r="U598" s="58" t="str">
        <f aca="false">IF( T598&lt;&gt;"",VLOOKUP(T598,Selects!$M$4:$N$1000,2,0),"")</f>
        <v/>
      </c>
      <c r="V598" s="26"/>
      <c r="W598" s="58"/>
      <c r="X598" s="58"/>
      <c r="Y598" s="58"/>
      <c r="Z598" s="58"/>
      <c r="AA598" s="69"/>
      <c r="AB598" s="58"/>
      <c r="AC598" s="58"/>
      <c r="AD598" s="70" t="str">
        <f aca="false">IF(AC598&lt;&gt;"",VLOOKUP(AC598,Selects!$B$4:$C$100,2,0),"")</f>
        <v/>
      </c>
      <c r="AE598" s="26"/>
      <c r="AF598" s="58"/>
      <c r="AG598" s="59"/>
      <c r="AH598" s="65"/>
      <c r="AI598" s="66"/>
      <c r="AJ598" s="66"/>
      <c r="AK598" s="58"/>
      <c r="AL598" s="58"/>
      <c r="AM598" s="68" t="str">
        <f aca="false">IF(LEFT(AL598,1)="9","Celular",IF(AL598="","","Fixo"))</f>
        <v/>
      </c>
      <c r="AN598" s="58" t="str">
        <f aca="false">IF( AM598&lt;&gt;"",VLOOKUP(AM598,Selects!$M$4:$N$1000,2,0),"")</f>
        <v/>
      </c>
      <c r="AO598" s="58"/>
      <c r="AP598" s="59"/>
      <c r="AQ598" s="65"/>
      <c r="AR598" s="58"/>
      <c r="AS598" s="58"/>
      <c r="AT598" s="26"/>
      <c r="AU598" s="58"/>
      <c r="AV598" s="58"/>
      <c r="AW598" s="58"/>
      <c r="AX598" s="58"/>
      <c r="AY598" s="71"/>
      <c r="AZ598" s="58"/>
      <c r="BA598" s="58"/>
      <c r="BB598" s="72" t="str">
        <f aca="false">IF(BA598&lt;&gt;"",VLOOKUP(BA598,Selects!$B$4:$C$100,2,0),"")</f>
        <v/>
      </c>
      <c r="BC598" s="26"/>
      <c r="BD598" s="26"/>
      <c r="BE598" s="73"/>
      <c r="BF598" s="74"/>
      <c r="BG598" s="75" t="str">
        <f aca="false">IF(LEN(BF598)=11,"PF",IF(LEN(BF598)=14,"PJ",""))</f>
        <v/>
      </c>
      <c r="BH598" s="66"/>
      <c r="BI598" s="58" t="str">
        <f aca="false">IF(BH598&lt;&gt;"",VLOOKUP(BH598,Selects!$G:$H,2,0),"")</f>
        <v/>
      </c>
      <c r="BJ598" s="58"/>
      <c r="BK598" s="58"/>
      <c r="BL598" s="59"/>
      <c r="BM598" s="58"/>
      <c r="BN598" s="58"/>
      <c r="BO598" s="58" t="str">
        <f aca="false">IF(BN598&lt;&gt;"",VLOOKUP(BN598,Selects!$J$4:$K$1000,2,0),"")</f>
        <v/>
      </c>
      <c r="BP598" s="76"/>
      <c r="BQ598" s="59"/>
      <c r="BR598" s="77"/>
      <c r="BS598" s="59"/>
      <c r="BT598" s="77"/>
      <c r="BU598" s="58"/>
      <c r="BV598" s="58"/>
      <c r="BW598" s="58"/>
      <c r="BX598" s="58"/>
      <c r="BY598" s="58"/>
      <c r="BZ598" s="58"/>
      <c r="CA598" s="58"/>
      <c r="CB598" s="72" t="str">
        <f aca="false">IF(AC598&lt;&gt;"",VLOOKUP(AC598,Selects!$B:$E,4,0),"")</f>
        <v/>
      </c>
      <c r="CC598" s="58"/>
      <c r="CD598" s="58"/>
      <c r="CE598" s="58"/>
    </row>
    <row r="599" customFormat="false" ht="15.75" hidden="false" customHeight="true" outlineLevel="0" collapsed="false">
      <c r="A599" s="17"/>
      <c r="B599" s="58"/>
      <c r="C599" s="58"/>
      <c r="D599" s="59"/>
      <c r="E599" s="60" t="str">
        <f aca="false">IF(LEN(D599)=11,"PF",IF(LEN(D599)=14,"PJ",""))</f>
        <v/>
      </c>
      <c r="F599" s="59"/>
      <c r="G599" s="59"/>
      <c r="H599" s="61" t="str">
        <f aca="false">IF(G599&lt;&gt;"",VLOOKUP(G599,'Cnae  mcc  id'!$A:$M,9,0),"")</f>
        <v/>
      </c>
      <c r="I599" s="62"/>
      <c r="J599" s="63" t="str">
        <f aca="false">IF(I599&lt;&gt;"",VLOOKUP(I599,'Legal Nature'!$E$2:$G$84,3,0),"")</f>
        <v/>
      </c>
      <c r="K599" s="64"/>
      <c r="L599" s="65"/>
      <c r="M599" s="66"/>
      <c r="N599" s="66"/>
      <c r="O599" s="79"/>
      <c r="P599" s="26"/>
      <c r="Q599" s="58"/>
      <c r="R599" s="58"/>
      <c r="S599" s="80"/>
      <c r="T599" s="68" t="str">
        <f aca="false">IF(LEFT(S599,1)="9","Celular",IF(S599="","","Fixo"))</f>
        <v/>
      </c>
      <c r="U599" s="58" t="str">
        <f aca="false">IF( T599&lt;&gt;"",VLOOKUP(T599,Selects!$M$4:$N$1000,2,0),"")</f>
        <v/>
      </c>
      <c r="V599" s="26"/>
      <c r="W599" s="58"/>
      <c r="X599" s="58"/>
      <c r="Y599" s="58"/>
      <c r="Z599" s="58"/>
      <c r="AA599" s="69"/>
      <c r="AB599" s="58"/>
      <c r="AC599" s="58"/>
      <c r="AD599" s="70" t="str">
        <f aca="false">IF(AC599&lt;&gt;"",VLOOKUP(AC599,Selects!$B$4:$C$100,2,0),"")</f>
        <v/>
      </c>
      <c r="AE599" s="26"/>
      <c r="AF599" s="58"/>
      <c r="AG599" s="59"/>
      <c r="AH599" s="65"/>
      <c r="AI599" s="66"/>
      <c r="AJ599" s="66"/>
      <c r="AK599" s="58"/>
      <c r="AL599" s="58"/>
      <c r="AM599" s="68" t="str">
        <f aca="false">IF(LEFT(AL599,1)="9","Celular",IF(AL599="","","Fixo"))</f>
        <v/>
      </c>
      <c r="AN599" s="58" t="str">
        <f aca="false">IF( AM599&lt;&gt;"",VLOOKUP(AM599,Selects!$M$4:$N$1000,2,0),"")</f>
        <v/>
      </c>
      <c r="AO599" s="58"/>
      <c r="AP599" s="59"/>
      <c r="AQ599" s="65"/>
      <c r="AR599" s="58"/>
      <c r="AS599" s="58"/>
      <c r="AT599" s="26"/>
      <c r="AU599" s="58"/>
      <c r="AV599" s="58"/>
      <c r="AW599" s="58"/>
      <c r="AX599" s="58"/>
      <c r="AY599" s="71"/>
      <c r="AZ599" s="58"/>
      <c r="BA599" s="58"/>
      <c r="BB599" s="72" t="str">
        <f aca="false">IF(BA599&lt;&gt;"",VLOOKUP(BA599,Selects!$B$4:$C$100,2,0),"")</f>
        <v/>
      </c>
      <c r="BC599" s="26"/>
      <c r="BD599" s="26"/>
      <c r="BE599" s="73"/>
      <c r="BF599" s="74"/>
      <c r="BG599" s="75" t="str">
        <f aca="false">IF(LEN(BF599)=11,"PF",IF(LEN(BF599)=14,"PJ",""))</f>
        <v/>
      </c>
      <c r="BH599" s="66"/>
      <c r="BI599" s="58" t="str">
        <f aca="false">IF(BH599&lt;&gt;"",VLOOKUP(BH599,Selects!$G:$H,2,0),"")</f>
        <v/>
      </c>
      <c r="BJ599" s="58"/>
      <c r="BK599" s="58"/>
      <c r="BL599" s="59"/>
      <c r="BM599" s="58"/>
      <c r="BN599" s="58"/>
      <c r="BO599" s="58" t="str">
        <f aca="false">IF(BN599&lt;&gt;"",VLOOKUP(BN599,Selects!$J$4:$K$1000,2,0),"")</f>
        <v/>
      </c>
      <c r="BP599" s="76"/>
      <c r="BQ599" s="59"/>
      <c r="BR599" s="77"/>
      <c r="BS599" s="59"/>
      <c r="BT599" s="77"/>
      <c r="BU599" s="58"/>
      <c r="BV599" s="58"/>
      <c r="BW599" s="58"/>
      <c r="BX599" s="58"/>
      <c r="BY599" s="58"/>
      <c r="BZ599" s="58"/>
      <c r="CA599" s="58"/>
      <c r="CB599" s="72" t="str">
        <f aca="false">IF(AC599&lt;&gt;"",VLOOKUP(AC599,Selects!$B:$E,4,0),"")</f>
        <v/>
      </c>
      <c r="CC599" s="58"/>
      <c r="CD599" s="58"/>
      <c r="CE599" s="58"/>
    </row>
    <row r="600" customFormat="false" ht="15.75" hidden="false" customHeight="true" outlineLevel="0" collapsed="false">
      <c r="A600" s="17"/>
      <c r="B600" s="58"/>
      <c r="C600" s="58"/>
      <c r="D600" s="59"/>
      <c r="E600" s="60" t="str">
        <f aca="false">IF(LEN(D600)=11,"PF",IF(LEN(D600)=14,"PJ",""))</f>
        <v/>
      </c>
      <c r="F600" s="59"/>
      <c r="G600" s="59"/>
      <c r="H600" s="61" t="str">
        <f aca="false">IF(G600&lt;&gt;"",VLOOKUP(G600,'Cnae  mcc  id'!$A:$M,9,0),"")</f>
        <v/>
      </c>
      <c r="I600" s="62"/>
      <c r="J600" s="63" t="str">
        <f aca="false">IF(I600&lt;&gt;"",VLOOKUP(I600,'Legal Nature'!$E$2:$G$84,3,0),"")</f>
        <v/>
      </c>
      <c r="K600" s="64"/>
      <c r="L600" s="65"/>
      <c r="M600" s="66"/>
      <c r="N600" s="66"/>
      <c r="O600" s="79"/>
      <c r="P600" s="26"/>
      <c r="Q600" s="58"/>
      <c r="R600" s="58"/>
      <c r="S600" s="80"/>
      <c r="T600" s="68" t="str">
        <f aca="false">IF(LEFT(S600,1)="9","Celular",IF(S600="","","Fixo"))</f>
        <v/>
      </c>
      <c r="U600" s="58" t="str">
        <f aca="false">IF( T600&lt;&gt;"",VLOOKUP(T600,Selects!$M$4:$N$1000,2,0),"")</f>
        <v/>
      </c>
      <c r="V600" s="26"/>
      <c r="W600" s="58"/>
      <c r="X600" s="58"/>
      <c r="Y600" s="58"/>
      <c r="Z600" s="58"/>
      <c r="AA600" s="69"/>
      <c r="AB600" s="58"/>
      <c r="AC600" s="58"/>
      <c r="AD600" s="70" t="str">
        <f aca="false">IF(AC600&lt;&gt;"",VLOOKUP(AC600,Selects!$B$4:$C$100,2,0),"")</f>
        <v/>
      </c>
      <c r="AE600" s="26"/>
      <c r="AF600" s="58"/>
      <c r="AG600" s="59"/>
      <c r="AH600" s="65"/>
      <c r="AI600" s="66"/>
      <c r="AJ600" s="66"/>
      <c r="AK600" s="58"/>
      <c r="AL600" s="58"/>
      <c r="AM600" s="68" t="str">
        <f aca="false">IF(LEFT(AL600,1)="9","Celular",IF(AL600="","","Fixo"))</f>
        <v/>
      </c>
      <c r="AN600" s="58" t="str">
        <f aca="false">IF( AM600&lt;&gt;"",VLOOKUP(AM600,Selects!$M$4:$N$1000,2,0),"")</f>
        <v/>
      </c>
      <c r="AO600" s="58"/>
      <c r="AP600" s="59"/>
      <c r="AQ600" s="65"/>
      <c r="AR600" s="58"/>
      <c r="AS600" s="58"/>
      <c r="AT600" s="26"/>
      <c r="AU600" s="58"/>
      <c r="AV600" s="58"/>
      <c r="AW600" s="58"/>
      <c r="AX600" s="58"/>
      <c r="AY600" s="71"/>
      <c r="AZ600" s="58"/>
      <c r="BA600" s="58"/>
      <c r="BB600" s="72" t="str">
        <f aca="false">IF(BA600&lt;&gt;"",VLOOKUP(BA600,Selects!$B$4:$C$100,2,0),"")</f>
        <v/>
      </c>
      <c r="BC600" s="26"/>
      <c r="BD600" s="26"/>
      <c r="BE600" s="73"/>
      <c r="BF600" s="74"/>
      <c r="BG600" s="75" t="str">
        <f aca="false">IF(LEN(BF600)=11,"PF",IF(LEN(BF600)=14,"PJ",""))</f>
        <v/>
      </c>
      <c r="BH600" s="66"/>
      <c r="BI600" s="58" t="str">
        <f aca="false">IF(BH600&lt;&gt;"",VLOOKUP(BH600,Selects!$G:$H,2,0),"")</f>
        <v/>
      </c>
      <c r="BJ600" s="58"/>
      <c r="BK600" s="58"/>
      <c r="BL600" s="59"/>
      <c r="BM600" s="58"/>
      <c r="BN600" s="58"/>
      <c r="BO600" s="58" t="str">
        <f aca="false">IF(BN600&lt;&gt;"",VLOOKUP(BN600,Selects!$J$4:$K$1000,2,0),"")</f>
        <v/>
      </c>
      <c r="BP600" s="76"/>
      <c r="BQ600" s="59"/>
      <c r="BR600" s="77"/>
      <c r="BS600" s="59"/>
      <c r="BT600" s="77"/>
      <c r="BU600" s="58"/>
      <c r="BV600" s="58"/>
      <c r="BW600" s="58"/>
      <c r="BX600" s="58"/>
      <c r="BY600" s="58"/>
      <c r="BZ600" s="58"/>
      <c r="CA600" s="58"/>
      <c r="CB600" s="72" t="str">
        <f aca="false">IF(AC600&lt;&gt;"",VLOOKUP(AC600,Selects!$B:$E,4,0),"")</f>
        <v/>
      </c>
      <c r="CC600" s="58"/>
      <c r="CD600" s="58"/>
      <c r="CE600" s="58"/>
    </row>
    <row r="601" customFormat="false" ht="15.75" hidden="false" customHeight="true" outlineLevel="0" collapsed="false">
      <c r="A601" s="17"/>
      <c r="B601" s="58"/>
      <c r="C601" s="58"/>
      <c r="D601" s="59"/>
      <c r="E601" s="60" t="str">
        <f aca="false">IF(LEN(D601)=11,"PF",IF(LEN(D601)=14,"PJ",""))</f>
        <v/>
      </c>
      <c r="F601" s="59"/>
      <c r="G601" s="59"/>
      <c r="H601" s="61" t="str">
        <f aca="false">IF(G601&lt;&gt;"",VLOOKUP(G601,'Cnae  mcc  id'!$A:$M,9,0),"")</f>
        <v/>
      </c>
      <c r="I601" s="62"/>
      <c r="J601" s="63" t="str">
        <f aca="false">IF(I601&lt;&gt;"",VLOOKUP(I601,'Legal Nature'!$E$2:$G$84,3,0),"")</f>
        <v/>
      </c>
      <c r="K601" s="64"/>
      <c r="L601" s="65"/>
      <c r="M601" s="66"/>
      <c r="N601" s="66"/>
      <c r="O601" s="79"/>
      <c r="P601" s="26"/>
      <c r="Q601" s="58"/>
      <c r="R601" s="58"/>
      <c r="S601" s="80"/>
      <c r="T601" s="68" t="str">
        <f aca="false">IF(LEFT(S601,1)="9","Celular",IF(S601="","","Fixo"))</f>
        <v/>
      </c>
      <c r="U601" s="58" t="str">
        <f aca="false">IF( T601&lt;&gt;"",VLOOKUP(T601,Selects!$M$4:$N$1000,2,0),"")</f>
        <v/>
      </c>
      <c r="V601" s="26"/>
      <c r="W601" s="58"/>
      <c r="X601" s="58"/>
      <c r="Y601" s="58"/>
      <c r="Z601" s="58"/>
      <c r="AA601" s="69"/>
      <c r="AB601" s="58"/>
      <c r="AC601" s="58"/>
      <c r="AD601" s="70" t="str">
        <f aca="false">IF(AC601&lt;&gt;"",VLOOKUP(AC601,Selects!$B$4:$C$100,2,0),"")</f>
        <v/>
      </c>
      <c r="AE601" s="26"/>
      <c r="AF601" s="58"/>
      <c r="AG601" s="59"/>
      <c r="AH601" s="65"/>
      <c r="AI601" s="66"/>
      <c r="AJ601" s="66"/>
      <c r="AK601" s="58"/>
      <c r="AL601" s="58"/>
      <c r="AM601" s="68" t="str">
        <f aca="false">IF(LEFT(AL601,1)="9","Celular",IF(AL601="","","Fixo"))</f>
        <v/>
      </c>
      <c r="AN601" s="58" t="str">
        <f aca="false">IF( AM601&lt;&gt;"",VLOOKUP(AM601,Selects!$M$4:$N$1000,2,0),"")</f>
        <v/>
      </c>
      <c r="AO601" s="58"/>
      <c r="AP601" s="59"/>
      <c r="AQ601" s="65"/>
      <c r="AR601" s="58"/>
      <c r="AS601" s="58"/>
      <c r="AT601" s="26"/>
      <c r="AU601" s="58"/>
      <c r="AV601" s="58"/>
      <c r="AW601" s="58"/>
      <c r="AX601" s="58"/>
      <c r="AY601" s="71"/>
      <c r="AZ601" s="58"/>
      <c r="BA601" s="58"/>
      <c r="BB601" s="72" t="str">
        <f aca="false">IF(BA601&lt;&gt;"",VLOOKUP(BA601,Selects!$B$4:$C$100,2,0),"")</f>
        <v/>
      </c>
      <c r="BC601" s="26"/>
      <c r="BD601" s="26"/>
      <c r="BE601" s="73"/>
      <c r="BF601" s="74"/>
      <c r="BG601" s="75" t="str">
        <f aca="false">IF(LEN(BF601)=11,"PF",IF(LEN(BF601)=14,"PJ",""))</f>
        <v/>
      </c>
      <c r="BH601" s="66"/>
      <c r="BI601" s="58" t="str">
        <f aca="false">IF(BH601&lt;&gt;"",VLOOKUP(BH601,Selects!$G:$H,2,0),"")</f>
        <v/>
      </c>
      <c r="BJ601" s="58"/>
      <c r="BK601" s="58"/>
      <c r="BL601" s="59"/>
      <c r="BM601" s="58"/>
      <c r="BN601" s="58"/>
      <c r="BO601" s="58" t="str">
        <f aca="false">IF(BN601&lt;&gt;"",VLOOKUP(BN601,Selects!$J$4:$K$1000,2,0),"")</f>
        <v/>
      </c>
      <c r="BP601" s="76"/>
      <c r="BQ601" s="59"/>
      <c r="BR601" s="77"/>
      <c r="BS601" s="59"/>
      <c r="BT601" s="77"/>
      <c r="BU601" s="58"/>
      <c r="BV601" s="58"/>
      <c r="BW601" s="58"/>
      <c r="BX601" s="58"/>
      <c r="BY601" s="58"/>
      <c r="BZ601" s="58"/>
      <c r="CA601" s="58"/>
      <c r="CB601" s="72" t="str">
        <f aca="false">IF(AC601&lt;&gt;"",VLOOKUP(AC601,Selects!$B:$E,4,0),"")</f>
        <v/>
      </c>
      <c r="CC601" s="58"/>
      <c r="CD601" s="58"/>
      <c r="CE601" s="58"/>
    </row>
    <row r="602" customFormat="false" ht="15.75" hidden="false" customHeight="true" outlineLevel="0" collapsed="false">
      <c r="A602" s="17"/>
      <c r="B602" s="58"/>
      <c r="C602" s="58"/>
      <c r="D602" s="59"/>
      <c r="E602" s="60" t="str">
        <f aca="false">IF(LEN(D602)=11,"PF",IF(LEN(D602)=14,"PJ",""))</f>
        <v/>
      </c>
      <c r="F602" s="59"/>
      <c r="G602" s="59"/>
      <c r="H602" s="61" t="str">
        <f aca="false">IF(G602&lt;&gt;"",VLOOKUP(G602,'Cnae  mcc  id'!$A:$M,9,0),"")</f>
        <v/>
      </c>
      <c r="I602" s="62"/>
      <c r="J602" s="63" t="str">
        <f aca="false">IF(I602&lt;&gt;"",VLOOKUP(I602,'Legal Nature'!$E$2:$G$84,3,0),"")</f>
        <v/>
      </c>
      <c r="K602" s="64"/>
      <c r="L602" s="65"/>
      <c r="M602" s="66"/>
      <c r="N602" s="66"/>
      <c r="O602" s="79"/>
      <c r="P602" s="26"/>
      <c r="Q602" s="58"/>
      <c r="R602" s="58"/>
      <c r="S602" s="80"/>
      <c r="T602" s="68" t="str">
        <f aca="false">IF(LEFT(S602,1)="9","Celular",IF(S602="","","Fixo"))</f>
        <v/>
      </c>
      <c r="U602" s="58" t="str">
        <f aca="false">IF( T602&lt;&gt;"",VLOOKUP(T602,Selects!$M$4:$N$1000,2,0),"")</f>
        <v/>
      </c>
      <c r="V602" s="26"/>
      <c r="W602" s="58"/>
      <c r="X602" s="58"/>
      <c r="Y602" s="58"/>
      <c r="Z602" s="58"/>
      <c r="AA602" s="69"/>
      <c r="AB602" s="58"/>
      <c r="AC602" s="58"/>
      <c r="AD602" s="70" t="str">
        <f aca="false">IF(AC602&lt;&gt;"",VLOOKUP(AC602,Selects!$B$4:$C$100,2,0),"")</f>
        <v/>
      </c>
      <c r="AE602" s="26"/>
      <c r="AF602" s="58"/>
      <c r="AG602" s="59"/>
      <c r="AH602" s="65"/>
      <c r="AI602" s="66"/>
      <c r="AJ602" s="66"/>
      <c r="AK602" s="58"/>
      <c r="AL602" s="58"/>
      <c r="AM602" s="68" t="str">
        <f aca="false">IF(LEFT(AL602,1)="9","Celular",IF(AL602="","","Fixo"))</f>
        <v/>
      </c>
      <c r="AN602" s="58" t="str">
        <f aca="false">IF( AM602&lt;&gt;"",VLOOKUP(AM602,Selects!$M$4:$N$1000,2,0),"")</f>
        <v/>
      </c>
      <c r="AO602" s="58"/>
      <c r="AP602" s="59"/>
      <c r="AQ602" s="65"/>
      <c r="AR602" s="58"/>
      <c r="AS602" s="58"/>
      <c r="AT602" s="26"/>
      <c r="AU602" s="58"/>
      <c r="AV602" s="58"/>
      <c r="AW602" s="58"/>
      <c r="AX602" s="58"/>
      <c r="AY602" s="71"/>
      <c r="AZ602" s="58"/>
      <c r="BA602" s="58"/>
      <c r="BB602" s="72" t="str">
        <f aca="false">IF(BA602&lt;&gt;"",VLOOKUP(BA602,Selects!$B$4:$C$100,2,0),"")</f>
        <v/>
      </c>
      <c r="BC602" s="26"/>
      <c r="BD602" s="26"/>
      <c r="BE602" s="73"/>
      <c r="BF602" s="74"/>
      <c r="BG602" s="75" t="str">
        <f aca="false">IF(LEN(BF602)=11,"PF",IF(LEN(BF602)=14,"PJ",""))</f>
        <v/>
      </c>
      <c r="BH602" s="66"/>
      <c r="BI602" s="58" t="str">
        <f aca="false">IF(BH602&lt;&gt;"",VLOOKUP(BH602,Selects!$G:$H,2,0),"")</f>
        <v/>
      </c>
      <c r="BJ602" s="58"/>
      <c r="BK602" s="58"/>
      <c r="BL602" s="59"/>
      <c r="BM602" s="58"/>
      <c r="BN602" s="58"/>
      <c r="BO602" s="58" t="str">
        <f aca="false">IF(BN602&lt;&gt;"",VLOOKUP(BN602,Selects!$J$4:$K$1000,2,0),"")</f>
        <v/>
      </c>
      <c r="BP602" s="76"/>
      <c r="BQ602" s="59"/>
      <c r="BR602" s="77"/>
      <c r="BS602" s="59"/>
      <c r="BT602" s="77"/>
      <c r="BU602" s="58"/>
      <c r="BV602" s="58"/>
      <c r="BW602" s="58"/>
      <c r="BX602" s="58"/>
      <c r="BY602" s="58"/>
      <c r="BZ602" s="58"/>
      <c r="CA602" s="58"/>
      <c r="CB602" s="72" t="str">
        <f aca="false">IF(AC602&lt;&gt;"",VLOOKUP(AC602,Selects!$B:$E,4,0),"")</f>
        <v/>
      </c>
      <c r="CC602" s="58"/>
      <c r="CD602" s="58"/>
      <c r="CE602" s="58"/>
    </row>
    <row r="603" customFormat="false" ht="15.75" hidden="false" customHeight="true" outlineLevel="0" collapsed="false">
      <c r="A603" s="17"/>
      <c r="B603" s="58"/>
      <c r="C603" s="58"/>
      <c r="D603" s="59"/>
      <c r="E603" s="60" t="str">
        <f aca="false">IF(LEN(D603)=11,"PF",IF(LEN(D603)=14,"PJ",""))</f>
        <v/>
      </c>
      <c r="F603" s="59"/>
      <c r="G603" s="59"/>
      <c r="H603" s="61" t="str">
        <f aca="false">IF(G603&lt;&gt;"",VLOOKUP(G603,'Cnae  mcc  id'!$A:$M,9,0),"")</f>
        <v/>
      </c>
      <c r="I603" s="62"/>
      <c r="J603" s="63" t="str">
        <f aca="false">IF(I603&lt;&gt;"",VLOOKUP(I603,'Legal Nature'!$E$2:$G$84,3,0),"")</f>
        <v/>
      </c>
      <c r="K603" s="64"/>
      <c r="L603" s="65"/>
      <c r="M603" s="66"/>
      <c r="N603" s="66"/>
      <c r="O603" s="79"/>
      <c r="P603" s="26"/>
      <c r="Q603" s="58"/>
      <c r="R603" s="58"/>
      <c r="S603" s="80"/>
      <c r="T603" s="68" t="str">
        <f aca="false">IF(LEFT(S603,1)="9","Celular",IF(S603="","","Fixo"))</f>
        <v/>
      </c>
      <c r="U603" s="58" t="str">
        <f aca="false">IF( T603&lt;&gt;"",VLOOKUP(T603,Selects!$M$4:$N$1000,2,0),"")</f>
        <v/>
      </c>
      <c r="V603" s="26"/>
      <c r="W603" s="58"/>
      <c r="X603" s="58"/>
      <c r="Y603" s="58"/>
      <c r="Z603" s="58"/>
      <c r="AA603" s="69"/>
      <c r="AB603" s="58"/>
      <c r="AC603" s="58"/>
      <c r="AD603" s="70" t="str">
        <f aca="false">IF(AC603&lt;&gt;"",VLOOKUP(AC603,Selects!$B$4:$C$100,2,0),"")</f>
        <v/>
      </c>
      <c r="AE603" s="26"/>
      <c r="AF603" s="58"/>
      <c r="AG603" s="59"/>
      <c r="AH603" s="65"/>
      <c r="AI603" s="66"/>
      <c r="AJ603" s="66"/>
      <c r="AK603" s="58"/>
      <c r="AL603" s="58"/>
      <c r="AM603" s="68" t="str">
        <f aca="false">IF(LEFT(AL603,1)="9","Celular",IF(AL603="","","Fixo"))</f>
        <v/>
      </c>
      <c r="AN603" s="58" t="str">
        <f aca="false">IF( AM603&lt;&gt;"",VLOOKUP(AM603,Selects!$M$4:$N$1000,2,0),"")</f>
        <v/>
      </c>
      <c r="AO603" s="58"/>
      <c r="AP603" s="59"/>
      <c r="AQ603" s="65"/>
      <c r="AR603" s="58"/>
      <c r="AS603" s="58"/>
      <c r="AT603" s="26"/>
      <c r="AU603" s="58"/>
      <c r="AV603" s="58"/>
      <c r="AW603" s="58"/>
      <c r="AX603" s="58"/>
      <c r="AY603" s="71"/>
      <c r="AZ603" s="58"/>
      <c r="BA603" s="58"/>
      <c r="BB603" s="72" t="str">
        <f aca="false">IF(BA603&lt;&gt;"",VLOOKUP(BA603,Selects!$B$4:$C$100,2,0),"")</f>
        <v/>
      </c>
      <c r="BC603" s="26"/>
      <c r="BD603" s="26"/>
      <c r="BE603" s="73"/>
      <c r="BF603" s="74"/>
      <c r="BG603" s="75" t="str">
        <f aca="false">IF(LEN(BF603)=11,"PF",IF(LEN(BF603)=14,"PJ",""))</f>
        <v/>
      </c>
      <c r="BH603" s="66"/>
      <c r="BI603" s="58" t="str">
        <f aca="false">IF(BH603&lt;&gt;"",VLOOKUP(BH603,Selects!$G:$H,2,0),"")</f>
        <v/>
      </c>
      <c r="BJ603" s="58"/>
      <c r="BK603" s="58"/>
      <c r="BL603" s="59"/>
      <c r="BM603" s="58"/>
      <c r="BN603" s="58"/>
      <c r="BO603" s="58" t="str">
        <f aca="false">IF(BN603&lt;&gt;"",VLOOKUP(BN603,Selects!$J$4:$K$1000,2,0),"")</f>
        <v/>
      </c>
      <c r="BP603" s="76"/>
      <c r="BQ603" s="59"/>
      <c r="BR603" s="77"/>
      <c r="BS603" s="59"/>
      <c r="BT603" s="77"/>
      <c r="BU603" s="58"/>
      <c r="BV603" s="58"/>
      <c r="BW603" s="58"/>
      <c r="BX603" s="58"/>
      <c r="BY603" s="58"/>
      <c r="BZ603" s="58"/>
      <c r="CA603" s="58"/>
      <c r="CB603" s="72" t="str">
        <f aca="false">IF(AC603&lt;&gt;"",VLOOKUP(AC603,Selects!$B:$E,4,0),"")</f>
        <v/>
      </c>
      <c r="CC603" s="58"/>
      <c r="CD603" s="58"/>
      <c r="CE603" s="58"/>
    </row>
    <row r="604" customFormat="false" ht="15.75" hidden="false" customHeight="true" outlineLevel="0" collapsed="false">
      <c r="A604" s="17"/>
      <c r="B604" s="58"/>
      <c r="C604" s="58"/>
      <c r="D604" s="59"/>
      <c r="E604" s="60" t="str">
        <f aca="false">IF(LEN(D604)=11,"PF",IF(LEN(D604)=14,"PJ",""))</f>
        <v/>
      </c>
      <c r="F604" s="59"/>
      <c r="G604" s="59"/>
      <c r="H604" s="61" t="str">
        <f aca="false">IF(G604&lt;&gt;"",VLOOKUP(G604,'Cnae  mcc  id'!$A:$M,9,0),"")</f>
        <v/>
      </c>
      <c r="I604" s="62"/>
      <c r="J604" s="63" t="str">
        <f aca="false">IF(I604&lt;&gt;"",VLOOKUP(I604,'Legal Nature'!$E$2:$G$84,3,0),"")</f>
        <v/>
      </c>
      <c r="K604" s="64"/>
      <c r="L604" s="65"/>
      <c r="M604" s="66"/>
      <c r="N604" s="66"/>
      <c r="O604" s="79"/>
      <c r="P604" s="26"/>
      <c r="Q604" s="58"/>
      <c r="R604" s="58"/>
      <c r="S604" s="80"/>
      <c r="T604" s="68" t="str">
        <f aca="false">IF(LEFT(S604,1)="9","Celular",IF(S604="","","Fixo"))</f>
        <v/>
      </c>
      <c r="U604" s="58" t="str">
        <f aca="false">IF( T604&lt;&gt;"",VLOOKUP(T604,Selects!$M$4:$N$1000,2,0),"")</f>
        <v/>
      </c>
      <c r="V604" s="26"/>
      <c r="W604" s="58"/>
      <c r="X604" s="58"/>
      <c r="Y604" s="58"/>
      <c r="Z604" s="58"/>
      <c r="AA604" s="69"/>
      <c r="AB604" s="58"/>
      <c r="AC604" s="58"/>
      <c r="AD604" s="70" t="str">
        <f aca="false">IF(AC604&lt;&gt;"",VLOOKUP(AC604,Selects!$B$4:$C$100,2,0),"")</f>
        <v/>
      </c>
      <c r="AE604" s="26"/>
      <c r="AF604" s="58"/>
      <c r="AG604" s="59"/>
      <c r="AH604" s="65"/>
      <c r="AI604" s="66"/>
      <c r="AJ604" s="66"/>
      <c r="AK604" s="58"/>
      <c r="AL604" s="58"/>
      <c r="AM604" s="68" t="str">
        <f aca="false">IF(LEFT(AL604,1)="9","Celular",IF(AL604="","","Fixo"))</f>
        <v/>
      </c>
      <c r="AN604" s="58" t="str">
        <f aca="false">IF( AM604&lt;&gt;"",VLOOKUP(AM604,Selects!$M$4:$N$1000,2,0),"")</f>
        <v/>
      </c>
      <c r="AO604" s="58"/>
      <c r="AP604" s="59"/>
      <c r="AQ604" s="65"/>
      <c r="AR604" s="58"/>
      <c r="AS604" s="58"/>
      <c r="AT604" s="26"/>
      <c r="AU604" s="58"/>
      <c r="AV604" s="58"/>
      <c r="AW604" s="58"/>
      <c r="AX604" s="58"/>
      <c r="AY604" s="71"/>
      <c r="AZ604" s="58"/>
      <c r="BA604" s="58"/>
      <c r="BB604" s="72" t="str">
        <f aca="false">IF(BA604&lt;&gt;"",VLOOKUP(BA604,Selects!$B$4:$C$100,2,0),"")</f>
        <v/>
      </c>
      <c r="BC604" s="26"/>
      <c r="BD604" s="26"/>
      <c r="BE604" s="73"/>
      <c r="BF604" s="74"/>
      <c r="BG604" s="75" t="str">
        <f aca="false">IF(LEN(BF604)=11,"PF",IF(LEN(BF604)=14,"PJ",""))</f>
        <v/>
      </c>
      <c r="BH604" s="66"/>
      <c r="BI604" s="58" t="str">
        <f aca="false">IF(BH604&lt;&gt;"",VLOOKUP(BH604,Selects!$G:$H,2,0),"")</f>
        <v/>
      </c>
      <c r="BJ604" s="58"/>
      <c r="BK604" s="58"/>
      <c r="BL604" s="59"/>
      <c r="BM604" s="58"/>
      <c r="BN604" s="58"/>
      <c r="BO604" s="58" t="str">
        <f aca="false">IF(BN604&lt;&gt;"",VLOOKUP(BN604,Selects!$J$4:$K$1000,2,0),"")</f>
        <v/>
      </c>
      <c r="BP604" s="76"/>
      <c r="BQ604" s="59"/>
      <c r="BR604" s="77"/>
      <c r="BS604" s="59"/>
      <c r="BT604" s="77"/>
      <c r="BU604" s="58"/>
      <c r="BV604" s="58"/>
      <c r="BW604" s="58"/>
      <c r="BX604" s="58"/>
      <c r="BY604" s="58"/>
      <c r="BZ604" s="58"/>
      <c r="CA604" s="58"/>
      <c r="CB604" s="72" t="str">
        <f aca="false">IF(AC604&lt;&gt;"",VLOOKUP(AC604,Selects!$B:$E,4,0),"")</f>
        <v/>
      </c>
      <c r="CC604" s="58"/>
      <c r="CD604" s="58"/>
      <c r="CE604" s="58"/>
    </row>
    <row r="605" customFormat="false" ht="15.75" hidden="false" customHeight="true" outlineLevel="0" collapsed="false">
      <c r="A605" s="17"/>
      <c r="B605" s="58"/>
      <c r="C605" s="58"/>
      <c r="D605" s="59"/>
      <c r="E605" s="60" t="str">
        <f aca="false">IF(LEN(D605)=11,"PF",IF(LEN(D605)=14,"PJ",""))</f>
        <v/>
      </c>
      <c r="F605" s="59"/>
      <c r="G605" s="59"/>
      <c r="H605" s="61" t="str">
        <f aca="false">IF(G605&lt;&gt;"",VLOOKUP(G605,'Cnae  mcc  id'!$A:$M,9,0),"")</f>
        <v/>
      </c>
      <c r="I605" s="62"/>
      <c r="J605" s="63" t="str">
        <f aca="false">IF(I605&lt;&gt;"",VLOOKUP(I605,'Legal Nature'!$E$2:$G$84,3,0),"")</f>
        <v/>
      </c>
      <c r="K605" s="64"/>
      <c r="L605" s="65"/>
      <c r="M605" s="66"/>
      <c r="N605" s="66"/>
      <c r="O605" s="79"/>
      <c r="P605" s="26"/>
      <c r="Q605" s="58"/>
      <c r="R605" s="58"/>
      <c r="S605" s="80"/>
      <c r="T605" s="68" t="str">
        <f aca="false">IF(LEFT(S605,1)="9","Celular",IF(S605="","","Fixo"))</f>
        <v/>
      </c>
      <c r="U605" s="58" t="str">
        <f aca="false">IF( T605&lt;&gt;"",VLOOKUP(T605,Selects!$M$4:$N$1000,2,0),"")</f>
        <v/>
      </c>
      <c r="V605" s="26"/>
      <c r="W605" s="58"/>
      <c r="X605" s="58"/>
      <c r="Y605" s="58"/>
      <c r="Z605" s="58"/>
      <c r="AA605" s="69"/>
      <c r="AB605" s="58"/>
      <c r="AC605" s="58"/>
      <c r="AD605" s="70" t="str">
        <f aca="false">IF(AC605&lt;&gt;"",VLOOKUP(AC605,Selects!$B$4:$C$100,2,0),"")</f>
        <v/>
      </c>
      <c r="AE605" s="26"/>
      <c r="AF605" s="58"/>
      <c r="AG605" s="59"/>
      <c r="AH605" s="65"/>
      <c r="AI605" s="66"/>
      <c r="AJ605" s="66"/>
      <c r="AK605" s="58"/>
      <c r="AL605" s="58"/>
      <c r="AM605" s="68" t="str">
        <f aca="false">IF(LEFT(AL605,1)="9","Celular",IF(AL605="","","Fixo"))</f>
        <v/>
      </c>
      <c r="AN605" s="58" t="str">
        <f aca="false">IF( AM605&lt;&gt;"",VLOOKUP(AM605,Selects!$M$4:$N$1000,2,0),"")</f>
        <v/>
      </c>
      <c r="AO605" s="58"/>
      <c r="AP605" s="59"/>
      <c r="AQ605" s="65"/>
      <c r="AR605" s="58"/>
      <c r="AS605" s="58"/>
      <c r="AT605" s="26"/>
      <c r="AU605" s="58"/>
      <c r="AV605" s="58"/>
      <c r="AW605" s="58"/>
      <c r="AX605" s="58"/>
      <c r="AY605" s="71"/>
      <c r="AZ605" s="58"/>
      <c r="BA605" s="58"/>
      <c r="BB605" s="72" t="str">
        <f aca="false">IF(BA605&lt;&gt;"",VLOOKUP(BA605,Selects!$B$4:$C$100,2,0),"")</f>
        <v/>
      </c>
      <c r="BC605" s="26"/>
      <c r="BD605" s="26"/>
      <c r="BE605" s="73"/>
      <c r="BF605" s="74"/>
      <c r="BG605" s="75" t="str">
        <f aca="false">IF(LEN(BF605)=11,"PF",IF(LEN(BF605)=14,"PJ",""))</f>
        <v/>
      </c>
      <c r="BH605" s="66"/>
      <c r="BI605" s="58" t="str">
        <f aca="false">IF(BH605&lt;&gt;"",VLOOKUP(BH605,Selects!$G:$H,2,0),"")</f>
        <v/>
      </c>
      <c r="BJ605" s="58"/>
      <c r="BK605" s="58"/>
      <c r="BL605" s="59"/>
      <c r="BM605" s="58"/>
      <c r="BN605" s="58"/>
      <c r="BO605" s="58" t="str">
        <f aca="false">IF(BN605&lt;&gt;"",VLOOKUP(BN605,Selects!$J$4:$K$1000,2,0),"")</f>
        <v/>
      </c>
      <c r="BP605" s="76"/>
      <c r="BQ605" s="59"/>
      <c r="BR605" s="77"/>
      <c r="BS605" s="59"/>
      <c r="BT605" s="77"/>
      <c r="BU605" s="58"/>
      <c r="BV605" s="58"/>
      <c r="BW605" s="58"/>
      <c r="BX605" s="58"/>
      <c r="BY605" s="58"/>
      <c r="BZ605" s="58"/>
      <c r="CA605" s="58"/>
      <c r="CB605" s="72" t="str">
        <f aca="false">IF(AC605&lt;&gt;"",VLOOKUP(AC605,Selects!$B:$E,4,0),"")</f>
        <v/>
      </c>
      <c r="CC605" s="58"/>
      <c r="CD605" s="58"/>
      <c r="CE605" s="58"/>
    </row>
    <row r="606" customFormat="false" ht="15.75" hidden="false" customHeight="true" outlineLevel="0" collapsed="false">
      <c r="A606" s="17"/>
      <c r="B606" s="58"/>
      <c r="C606" s="58"/>
      <c r="D606" s="59"/>
      <c r="E606" s="60" t="str">
        <f aca="false">IF(LEN(D606)=11,"PF",IF(LEN(D606)=14,"PJ",""))</f>
        <v/>
      </c>
      <c r="F606" s="59"/>
      <c r="G606" s="59"/>
      <c r="H606" s="61" t="str">
        <f aca="false">IF(G606&lt;&gt;"",VLOOKUP(G606,'Cnae  mcc  id'!$A:$M,9,0),"")</f>
        <v/>
      </c>
      <c r="I606" s="62"/>
      <c r="J606" s="63" t="str">
        <f aca="false">IF(I606&lt;&gt;"",VLOOKUP(I606,'Legal Nature'!$E$2:$G$84,3,0),"")</f>
        <v/>
      </c>
      <c r="K606" s="64"/>
      <c r="L606" s="65"/>
      <c r="M606" s="66"/>
      <c r="N606" s="66"/>
      <c r="O606" s="79"/>
      <c r="P606" s="26"/>
      <c r="Q606" s="58"/>
      <c r="R606" s="58"/>
      <c r="S606" s="80"/>
      <c r="T606" s="68" t="str">
        <f aca="false">IF(LEFT(S606,1)="9","Celular",IF(S606="","","Fixo"))</f>
        <v/>
      </c>
      <c r="U606" s="58" t="str">
        <f aca="false">IF( T606&lt;&gt;"",VLOOKUP(T606,Selects!$M$4:$N$1000,2,0),"")</f>
        <v/>
      </c>
      <c r="V606" s="26"/>
      <c r="W606" s="58"/>
      <c r="X606" s="58"/>
      <c r="Y606" s="58"/>
      <c r="Z606" s="58"/>
      <c r="AA606" s="69"/>
      <c r="AB606" s="58"/>
      <c r="AC606" s="58"/>
      <c r="AD606" s="70" t="str">
        <f aca="false">IF(AC606&lt;&gt;"",VLOOKUP(AC606,Selects!$B$4:$C$100,2,0),"")</f>
        <v/>
      </c>
      <c r="AE606" s="26"/>
      <c r="AF606" s="58"/>
      <c r="AG606" s="59"/>
      <c r="AH606" s="65"/>
      <c r="AI606" s="66"/>
      <c r="AJ606" s="66"/>
      <c r="AK606" s="58"/>
      <c r="AL606" s="58"/>
      <c r="AM606" s="68" t="str">
        <f aca="false">IF(LEFT(AL606,1)="9","Celular",IF(AL606="","","Fixo"))</f>
        <v/>
      </c>
      <c r="AN606" s="58" t="str">
        <f aca="false">IF( AM606&lt;&gt;"",VLOOKUP(AM606,Selects!$M$4:$N$1000,2,0),"")</f>
        <v/>
      </c>
      <c r="AO606" s="58"/>
      <c r="AP606" s="59"/>
      <c r="AQ606" s="65"/>
      <c r="AR606" s="58"/>
      <c r="AS606" s="58"/>
      <c r="AT606" s="26"/>
      <c r="AU606" s="58"/>
      <c r="AV606" s="58"/>
      <c r="AW606" s="58"/>
      <c r="AX606" s="58"/>
      <c r="AY606" s="71"/>
      <c r="AZ606" s="58"/>
      <c r="BA606" s="58"/>
      <c r="BB606" s="72" t="str">
        <f aca="false">IF(BA606&lt;&gt;"",VLOOKUP(BA606,Selects!$B$4:$C$100,2,0),"")</f>
        <v/>
      </c>
      <c r="BC606" s="26"/>
      <c r="BD606" s="26"/>
      <c r="BE606" s="73"/>
      <c r="BF606" s="74"/>
      <c r="BG606" s="75" t="str">
        <f aca="false">IF(LEN(BF606)=11,"PF",IF(LEN(BF606)=14,"PJ",""))</f>
        <v/>
      </c>
      <c r="BH606" s="66"/>
      <c r="BI606" s="58" t="str">
        <f aca="false">IF(BH606&lt;&gt;"",VLOOKUP(BH606,Selects!$G:$H,2,0),"")</f>
        <v/>
      </c>
      <c r="BJ606" s="58"/>
      <c r="BK606" s="58"/>
      <c r="BL606" s="59"/>
      <c r="BM606" s="58"/>
      <c r="BN606" s="58"/>
      <c r="BO606" s="58" t="str">
        <f aca="false">IF(BN606&lt;&gt;"",VLOOKUP(BN606,Selects!$J$4:$K$1000,2,0),"")</f>
        <v/>
      </c>
      <c r="BP606" s="76"/>
      <c r="BQ606" s="59"/>
      <c r="BR606" s="77"/>
      <c r="BS606" s="59"/>
      <c r="BT606" s="77"/>
      <c r="BU606" s="58"/>
      <c r="BV606" s="58"/>
      <c r="BW606" s="58"/>
      <c r="BX606" s="58"/>
      <c r="BY606" s="58"/>
      <c r="BZ606" s="58"/>
      <c r="CA606" s="58"/>
      <c r="CB606" s="72" t="str">
        <f aca="false">IF(AC606&lt;&gt;"",VLOOKUP(AC606,Selects!$B:$E,4,0),"")</f>
        <v/>
      </c>
      <c r="CC606" s="58"/>
      <c r="CD606" s="58"/>
      <c r="CE606" s="58"/>
    </row>
    <row r="607" customFormat="false" ht="15.75" hidden="false" customHeight="true" outlineLevel="0" collapsed="false">
      <c r="A607" s="17"/>
      <c r="B607" s="58"/>
      <c r="C607" s="58"/>
      <c r="D607" s="59"/>
      <c r="E607" s="60" t="str">
        <f aca="false">IF(LEN(D607)=11,"PF",IF(LEN(D607)=14,"PJ",""))</f>
        <v/>
      </c>
      <c r="F607" s="59"/>
      <c r="G607" s="59"/>
      <c r="H607" s="61" t="str">
        <f aca="false">IF(G607&lt;&gt;"",VLOOKUP(G607,'Cnae  mcc  id'!$A:$M,9,0),"")</f>
        <v/>
      </c>
      <c r="I607" s="62"/>
      <c r="J607" s="63" t="str">
        <f aca="false">IF(I607&lt;&gt;"",VLOOKUP(I607,'Legal Nature'!$E$2:$G$84,3,0),"")</f>
        <v/>
      </c>
      <c r="K607" s="64"/>
      <c r="L607" s="65"/>
      <c r="M607" s="66"/>
      <c r="N607" s="66"/>
      <c r="O607" s="79"/>
      <c r="P607" s="26"/>
      <c r="Q607" s="58"/>
      <c r="R607" s="58"/>
      <c r="S607" s="80"/>
      <c r="T607" s="68" t="str">
        <f aca="false">IF(LEFT(S607,1)="9","Celular",IF(S607="","","Fixo"))</f>
        <v/>
      </c>
      <c r="U607" s="58" t="str">
        <f aca="false">IF( T607&lt;&gt;"",VLOOKUP(T607,Selects!$M$4:$N$1000,2,0),"")</f>
        <v/>
      </c>
      <c r="V607" s="26"/>
      <c r="W607" s="58"/>
      <c r="X607" s="58"/>
      <c r="Y607" s="58"/>
      <c r="Z607" s="58"/>
      <c r="AA607" s="69"/>
      <c r="AB607" s="58"/>
      <c r="AC607" s="58"/>
      <c r="AD607" s="70" t="str">
        <f aca="false">IF(AC607&lt;&gt;"",VLOOKUP(AC607,Selects!$B$4:$C$100,2,0),"")</f>
        <v/>
      </c>
      <c r="AE607" s="26"/>
      <c r="AF607" s="58"/>
      <c r="AG607" s="59"/>
      <c r="AH607" s="65"/>
      <c r="AI607" s="66"/>
      <c r="AJ607" s="66"/>
      <c r="AK607" s="58"/>
      <c r="AL607" s="58"/>
      <c r="AM607" s="68" t="str">
        <f aca="false">IF(LEFT(AL607,1)="9","Celular",IF(AL607="","","Fixo"))</f>
        <v/>
      </c>
      <c r="AN607" s="58" t="str">
        <f aca="false">IF( AM607&lt;&gt;"",VLOOKUP(AM607,Selects!$M$4:$N$1000,2,0),"")</f>
        <v/>
      </c>
      <c r="AO607" s="58"/>
      <c r="AP607" s="59"/>
      <c r="AQ607" s="65"/>
      <c r="AR607" s="58"/>
      <c r="AS607" s="58"/>
      <c r="AT607" s="26"/>
      <c r="AU607" s="58"/>
      <c r="AV607" s="58"/>
      <c r="AW607" s="58"/>
      <c r="AX607" s="58"/>
      <c r="AY607" s="71"/>
      <c r="AZ607" s="58"/>
      <c r="BA607" s="58"/>
      <c r="BB607" s="72" t="str">
        <f aca="false">IF(BA607&lt;&gt;"",VLOOKUP(BA607,Selects!$B$4:$C$100,2,0),"")</f>
        <v/>
      </c>
      <c r="BC607" s="26"/>
      <c r="BD607" s="26"/>
      <c r="BE607" s="73"/>
      <c r="BF607" s="74"/>
      <c r="BG607" s="75" t="str">
        <f aca="false">IF(LEN(BF607)=11,"PF",IF(LEN(BF607)=14,"PJ",""))</f>
        <v/>
      </c>
      <c r="BH607" s="66"/>
      <c r="BI607" s="58" t="str">
        <f aca="false">IF(BH607&lt;&gt;"",VLOOKUP(BH607,Selects!$G:$H,2,0),"")</f>
        <v/>
      </c>
      <c r="BJ607" s="58"/>
      <c r="BK607" s="58"/>
      <c r="BL607" s="59"/>
      <c r="BM607" s="58"/>
      <c r="BN607" s="58"/>
      <c r="BO607" s="58" t="str">
        <f aca="false">IF(BN607&lt;&gt;"",VLOOKUP(BN607,Selects!$J$4:$K$1000,2,0),"")</f>
        <v/>
      </c>
      <c r="BP607" s="76"/>
      <c r="BQ607" s="59"/>
      <c r="BR607" s="77"/>
      <c r="BS607" s="59"/>
      <c r="BT607" s="77"/>
      <c r="BU607" s="58"/>
      <c r="BV607" s="58"/>
      <c r="BW607" s="58"/>
      <c r="BX607" s="58"/>
      <c r="BY607" s="58"/>
      <c r="BZ607" s="58"/>
      <c r="CA607" s="58"/>
      <c r="CB607" s="72" t="str">
        <f aca="false">IF(AC607&lt;&gt;"",VLOOKUP(AC607,Selects!$B:$E,4,0),"")</f>
        <v/>
      </c>
      <c r="CC607" s="58"/>
      <c r="CD607" s="58"/>
      <c r="CE607" s="58"/>
    </row>
    <row r="608" customFormat="false" ht="15.75" hidden="false" customHeight="true" outlineLevel="0" collapsed="false">
      <c r="A608" s="17"/>
      <c r="B608" s="58"/>
      <c r="C608" s="58"/>
      <c r="D608" s="59"/>
      <c r="E608" s="60" t="str">
        <f aca="false">IF(LEN(D608)=11,"PF",IF(LEN(D608)=14,"PJ",""))</f>
        <v/>
      </c>
      <c r="F608" s="59"/>
      <c r="G608" s="59"/>
      <c r="H608" s="61" t="str">
        <f aca="false">IF(G608&lt;&gt;"",VLOOKUP(G608,'Cnae  mcc  id'!$A:$M,9,0),"")</f>
        <v/>
      </c>
      <c r="I608" s="62"/>
      <c r="J608" s="63" t="str">
        <f aca="false">IF(I608&lt;&gt;"",VLOOKUP(I608,'Legal Nature'!$E$2:$G$84,3,0),"")</f>
        <v/>
      </c>
      <c r="K608" s="64"/>
      <c r="L608" s="65"/>
      <c r="M608" s="66"/>
      <c r="N608" s="66"/>
      <c r="O608" s="79"/>
      <c r="P608" s="26"/>
      <c r="Q608" s="58"/>
      <c r="R608" s="58"/>
      <c r="S608" s="80"/>
      <c r="T608" s="68" t="str">
        <f aca="false">IF(LEFT(S608,1)="9","Celular",IF(S608="","","Fixo"))</f>
        <v/>
      </c>
      <c r="U608" s="58" t="str">
        <f aca="false">IF( T608&lt;&gt;"",VLOOKUP(T608,Selects!$M$4:$N$1000,2,0),"")</f>
        <v/>
      </c>
      <c r="V608" s="26"/>
      <c r="W608" s="58"/>
      <c r="X608" s="58"/>
      <c r="Y608" s="58"/>
      <c r="Z608" s="58"/>
      <c r="AA608" s="69"/>
      <c r="AB608" s="58"/>
      <c r="AC608" s="58"/>
      <c r="AD608" s="70" t="str">
        <f aca="false">IF(AC608&lt;&gt;"",VLOOKUP(AC608,Selects!$B$4:$C$100,2,0),"")</f>
        <v/>
      </c>
      <c r="AE608" s="26"/>
      <c r="AF608" s="58"/>
      <c r="AG608" s="59"/>
      <c r="AH608" s="65"/>
      <c r="AI608" s="66"/>
      <c r="AJ608" s="66"/>
      <c r="AK608" s="58"/>
      <c r="AL608" s="58"/>
      <c r="AM608" s="68" t="str">
        <f aca="false">IF(LEFT(AL608,1)="9","Celular",IF(AL608="","","Fixo"))</f>
        <v/>
      </c>
      <c r="AN608" s="58" t="str">
        <f aca="false">IF( AM608&lt;&gt;"",VLOOKUP(AM608,Selects!$M$4:$N$1000,2,0),"")</f>
        <v/>
      </c>
      <c r="AO608" s="58"/>
      <c r="AP608" s="59"/>
      <c r="AQ608" s="65"/>
      <c r="AR608" s="58"/>
      <c r="AS608" s="58"/>
      <c r="AT608" s="26"/>
      <c r="AU608" s="58"/>
      <c r="AV608" s="58"/>
      <c r="AW608" s="58"/>
      <c r="AX608" s="58"/>
      <c r="AY608" s="71"/>
      <c r="AZ608" s="58"/>
      <c r="BA608" s="58"/>
      <c r="BB608" s="72" t="str">
        <f aca="false">IF(BA608&lt;&gt;"",VLOOKUP(BA608,Selects!$B$4:$C$100,2,0),"")</f>
        <v/>
      </c>
      <c r="BC608" s="26"/>
      <c r="BD608" s="26"/>
      <c r="BE608" s="73"/>
      <c r="BF608" s="74"/>
      <c r="BG608" s="75" t="str">
        <f aca="false">IF(LEN(BF608)=11,"PF",IF(LEN(BF608)=14,"PJ",""))</f>
        <v/>
      </c>
      <c r="BH608" s="66"/>
      <c r="BI608" s="58" t="str">
        <f aca="false">IF(BH608&lt;&gt;"",VLOOKUP(BH608,Selects!$G:$H,2,0),"")</f>
        <v/>
      </c>
      <c r="BJ608" s="58"/>
      <c r="BK608" s="58"/>
      <c r="BL608" s="59"/>
      <c r="BM608" s="58"/>
      <c r="BN608" s="58"/>
      <c r="BO608" s="58" t="str">
        <f aca="false">IF(BN608&lt;&gt;"",VLOOKUP(BN608,Selects!$J$4:$K$1000,2,0),"")</f>
        <v/>
      </c>
      <c r="BP608" s="76"/>
      <c r="BQ608" s="59"/>
      <c r="BR608" s="77"/>
      <c r="BS608" s="59"/>
      <c r="BT608" s="77"/>
      <c r="BU608" s="58"/>
      <c r="BV608" s="58"/>
      <c r="BW608" s="58"/>
      <c r="BX608" s="58"/>
      <c r="BY608" s="58"/>
      <c r="BZ608" s="58"/>
      <c r="CA608" s="58"/>
      <c r="CB608" s="72" t="str">
        <f aca="false">IF(AC608&lt;&gt;"",VLOOKUP(AC608,Selects!$B:$E,4,0),"")</f>
        <v/>
      </c>
      <c r="CC608" s="58"/>
      <c r="CD608" s="58"/>
      <c r="CE608" s="58"/>
    </row>
    <row r="609" customFormat="false" ht="15.75" hidden="false" customHeight="true" outlineLevel="0" collapsed="false">
      <c r="A609" s="17"/>
      <c r="B609" s="58"/>
      <c r="C609" s="58"/>
      <c r="D609" s="59"/>
      <c r="E609" s="60" t="str">
        <f aca="false">IF(LEN(D609)=11,"PF",IF(LEN(D609)=14,"PJ",""))</f>
        <v/>
      </c>
      <c r="F609" s="59"/>
      <c r="G609" s="59"/>
      <c r="H609" s="61" t="str">
        <f aca="false">IF(G609&lt;&gt;"",VLOOKUP(G609,'Cnae  mcc  id'!$A:$M,9,0),"")</f>
        <v/>
      </c>
      <c r="I609" s="62"/>
      <c r="J609" s="63" t="str">
        <f aca="false">IF(I609&lt;&gt;"",VLOOKUP(I609,'Legal Nature'!$E$2:$G$84,3,0),"")</f>
        <v/>
      </c>
      <c r="K609" s="64"/>
      <c r="L609" s="65"/>
      <c r="M609" s="66"/>
      <c r="N609" s="66"/>
      <c r="O609" s="79"/>
      <c r="P609" s="26"/>
      <c r="Q609" s="58"/>
      <c r="R609" s="58"/>
      <c r="S609" s="80"/>
      <c r="T609" s="68" t="str">
        <f aca="false">IF(LEFT(S609,1)="9","Celular",IF(S609="","","Fixo"))</f>
        <v/>
      </c>
      <c r="U609" s="58" t="str">
        <f aca="false">IF( T609&lt;&gt;"",VLOOKUP(T609,Selects!$M$4:$N$1000,2,0),"")</f>
        <v/>
      </c>
      <c r="V609" s="26"/>
      <c r="W609" s="58"/>
      <c r="X609" s="58"/>
      <c r="Y609" s="58"/>
      <c r="Z609" s="58"/>
      <c r="AA609" s="69"/>
      <c r="AB609" s="58"/>
      <c r="AC609" s="58"/>
      <c r="AD609" s="70" t="str">
        <f aca="false">IF(AC609&lt;&gt;"",VLOOKUP(AC609,Selects!$B$4:$C$100,2,0),"")</f>
        <v/>
      </c>
      <c r="AE609" s="26"/>
      <c r="AF609" s="58"/>
      <c r="AG609" s="59"/>
      <c r="AH609" s="65"/>
      <c r="AI609" s="66"/>
      <c r="AJ609" s="66"/>
      <c r="AK609" s="58"/>
      <c r="AL609" s="58"/>
      <c r="AM609" s="68" t="str">
        <f aca="false">IF(LEFT(AL609,1)="9","Celular",IF(AL609="","","Fixo"))</f>
        <v/>
      </c>
      <c r="AN609" s="58" t="str">
        <f aca="false">IF( AM609&lt;&gt;"",VLOOKUP(AM609,Selects!$M$4:$N$1000,2,0),"")</f>
        <v/>
      </c>
      <c r="AO609" s="58"/>
      <c r="AP609" s="59"/>
      <c r="AQ609" s="65"/>
      <c r="AR609" s="58"/>
      <c r="AS609" s="58"/>
      <c r="AT609" s="26"/>
      <c r="AU609" s="58"/>
      <c r="AV609" s="58"/>
      <c r="AW609" s="58"/>
      <c r="AX609" s="58"/>
      <c r="AY609" s="71"/>
      <c r="AZ609" s="58"/>
      <c r="BA609" s="58"/>
      <c r="BB609" s="72" t="str">
        <f aca="false">IF(BA609&lt;&gt;"",VLOOKUP(BA609,Selects!$B$4:$C$100,2,0),"")</f>
        <v/>
      </c>
      <c r="BC609" s="26"/>
      <c r="BD609" s="26"/>
      <c r="BE609" s="73"/>
      <c r="BF609" s="74"/>
      <c r="BG609" s="75" t="str">
        <f aca="false">IF(LEN(BF609)=11,"PF",IF(LEN(BF609)=14,"PJ",""))</f>
        <v/>
      </c>
      <c r="BH609" s="66"/>
      <c r="BI609" s="58" t="str">
        <f aca="false">IF(BH609&lt;&gt;"",VLOOKUP(BH609,Selects!$G:$H,2,0),"")</f>
        <v/>
      </c>
      <c r="BJ609" s="58"/>
      <c r="BK609" s="58"/>
      <c r="BL609" s="59"/>
      <c r="BM609" s="58"/>
      <c r="BN609" s="58"/>
      <c r="BO609" s="58" t="str">
        <f aca="false">IF(BN609&lt;&gt;"",VLOOKUP(BN609,Selects!$J$4:$K$1000,2,0),"")</f>
        <v/>
      </c>
      <c r="BP609" s="76"/>
      <c r="BQ609" s="59"/>
      <c r="BR609" s="77"/>
      <c r="BS609" s="59"/>
      <c r="BT609" s="77"/>
      <c r="BU609" s="58"/>
      <c r="BV609" s="58"/>
      <c r="BW609" s="58"/>
      <c r="BX609" s="58"/>
      <c r="BY609" s="58"/>
      <c r="BZ609" s="58"/>
      <c r="CA609" s="58"/>
      <c r="CB609" s="72" t="str">
        <f aca="false">IF(AC609&lt;&gt;"",VLOOKUP(AC609,Selects!$B:$E,4,0),"")</f>
        <v/>
      </c>
      <c r="CC609" s="58"/>
      <c r="CD609" s="58"/>
      <c r="CE609" s="58"/>
    </row>
    <row r="610" customFormat="false" ht="15.75" hidden="false" customHeight="true" outlineLevel="0" collapsed="false">
      <c r="A610" s="17"/>
      <c r="B610" s="58"/>
      <c r="C610" s="58"/>
      <c r="D610" s="59"/>
      <c r="E610" s="60" t="str">
        <f aca="false">IF(LEN(D610)=11,"PF",IF(LEN(D610)=14,"PJ",""))</f>
        <v/>
      </c>
      <c r="F610" s="59"/>
      <c r="G610" s="59"/>
      <c r="H610" s="61" t="str">
        <f aca="false">IF(G610&lt;&gt;"",VLOOKUP(G610,'Cnae  mcc  id'!$A:$M,9,0),"")</f>
        <v/>
      </c>
      <c r="I610" s="62"/>
      <c r="J610" s="63" t="str">
        <f aca="false">IF(I610&lt;&gt;"",VLOOKUP(I610,'Legal Nature'!$E$2:$G$84,3,0),"")</f>
        <v/>
      </c>
      <c r="K610" s="64"/>
      <c r="L610" s="65"/>
      <c r="M610" s="66"/>
      <c r="N610" s="66"/>
      <c r="O610" s="79"/>
      <c r="P610" s="26"/>
      <c r="Q610" s="58"/>
      <c r="R610" s="58"/>
      <c r="S610" s="80"/>
      <c r="T610" s="68" t="str">
        <f aca="false">IF(LEFT(S610,1)="9","Celular",IF(S610="","","Fixo"))</f>
        <v/>
      </c>
      <c r="U610" s="58" t="str">
        <f aca="false">IF( T610&lt;&gt;"",VLOOKUP(T610,Selects!$M$4:$N$1000,2,0),"")</f>
        <v/>
      </c>
      <c r="V610" s="26"/>
      <c r="W610" s="58"/>
      <c r="X610" s="58"/>
      <c r="Y610" s="58"/>
      <c r="Z610" s="58"/>
      <c r="AA610" s="69"/>
      <c r="AB610" s="58"/>
      <c r="AC610" s="58"/>
      <c r="AD610" s="70" t="str">
        <f aca="false">IF(AC610&lt;&gt;"",VLOOKUP(AC610,Selects!$B$4:$C$100,2,0),"")</f>
        <v/>
      </c>
      <c r="AE610" s="26"/>
      <c r="AF610" s="58"/>
      <c r="AG610" s="59"/>
      <c r="AH610" s="65"/>
      <c r="AI610" s="66"/>
      <c r="AJ610" s="66"/>
      <c r="AK610" s="58"/>
      <c r="AL610" s="58"/>
      <c r="AM610" s="68" t="str">
        <f aca="false">IF(LEFT(AL610,1)="9","Celular",IF(AL610="","","Fixo"))</f>
        <v/>
      </c>
      <c r="AN610" s="58" t="str">
        <f aca="false">IF( AM610&lt;&gt;"",VLOOKUP(AM610,Selects!$M$4:$N$1000,2,0),"")</f>
        <v/>
      </c>
      <c r="AO610" s="58"/>
      <c r="AP610" s="59"/>
      <c r="AQ610" s="65"/>
      <c r="AR610" s="58"/>
      <c r="AS610" s="58"/>
      <c r="AT610" s="26"/>
      <c r="AU610" s="58"/>
      <c r="AV610" s="58"/>
      <c r="AW610" s="58"/>
      <c r="AX610" s="58"/>
      <c r="AY610" s="71"/>
      <c r="AZ610" s="58"/>
      <c r="BA610" s="58"/>
      <c r="BB610" s="72" t="str">
        <f aca="false">IF(BA610&lt;&gt;"",VLOOKUP(BA610,Selects!$B$4:$C$100,2,0),"")</f>
        <v/>
      </c>
      <c r="BC610" s="26"/>
      <c r="BD610" s="26"/>
      <c r="BE610" s="73"/>
      <c r="BF610" s="74"/>
      <c r="BG610" s="75" t="str">
        <f aca="false">IF(LEN(BF610)=11,"PF",IF(LEN(BF610)=14,"PJ",""))</f>
        <v/>
      </c>
      <c r="BH610" s="66"/>
      <c r="BI610" s="58" t="str">
        <f aca="false">IF(BH610&lt;&gt;"",VLOOKUP(BH610,Selects!$G:$H,2,0),"")</f>
        <v/>
      </c>
      <c r="BJ610" s="58"/>
      <c r="BK610" s="58"/>
      <c r="BL610" s="59"/>
      <c r="BM610" s="58"/>
      <c r="BN610" s="58"/>
      <c r="BO610" s="58" t="str">
        <f aca="false">IF(BN610&lt;&gt;"",VLOOKUP(BN610,Selects!$J$4:$K$1000,2,0),"")</f>
        <v/>
      </c>
      <c r="BP610" s="76"/>
      <c r="BQ610" s="59"/>
      <c r="BR610" s="77"/>
      <c r="BS610" s="59"/>
      <c r="BT610" s="77"/>
      <c r="BU610" s="58"/>
      <c r="BV610" s="58"/>
      <c r="BW610" s="58"/>
      <c r="BX610" s="58"/>
      <c r="BY610" s="58"/>
      <c r="BZ610" s="58"/>
      <c r="CA610" s="58"/>
      <c r="CB610" s="72" t="str">
        <f aca="false">IF(AC610&lt;&gt;"",VLOOKUP(AC610,Selects!$B:$E,4,0),"")</f>
        <v/>
      </c>
      <c r="CC610" s="58"/>
      <c r="CD610" s="58"/>
      <c r="CE610" s="58"/>
    </row>
    <row r="611" customFormat="false" ht="15.75" hidden="false" customHeight="true" outlineLevel="0" collapsed="false">
      <c r="A611" s="17"/>
      <c r="B611" s="58"/>
      <c r="C611" s="58"/>
      <c r="D611" s="59"/>
      <c r="E611" s="60" t="str">
        <f aca="false">IF(LEN(D611)=11,"PF",IF(LEN(D611)=14,"PJ",""))</f>
        <v/>
      </c>
      <c r="F611" s="59"/>
      <c r="G611" s="59"/>
      <c r="H611" s="61" t="str">
        <f aca="false">IF(G611&lt;&gt;"",VLOOKUP(G611,'Cnae  mcc  id'!$A:$M,9,0),"")</f>
        <v/>
      </c>
      <c r="I611" s="62"/>
      <c r="J611" s="63" t="str">
        <f aca="false">IF(I611&lt;&gt;"",VLOOKUP(I611,'Legal Nature'!$E$2:$G$84,3,0),"")</f>
        <v/>
      </c>
      <c r="K611" s="64"/>
      <c r="L611" s="65"/>
      <c r="M611" s="66"/>
      <c r="N611" s="66"/>
      <c r="O611" s="79"/>
      <c r="P611" s="26"/>
      <c r="Q611" s="58"/>
      <c r="R611" s="58"/>
      <c r="S611" s="80"/>
      <c r="T611" s="68" t="str">
        <f aca="false">IF(LEFT(S611,1)="9","Celular",IF(S611="","","Fixo"))</f>
        <v/>
      </c>
      <c r="U611" s="58" t="str">
        <f aca="false">IF( T611&lt;&gt;"",VLOOKUP(T611,Selects!$M$4:$N$1000,2,0),"")</f>
        <v/>
      </c>
      <c r="V611" s="26"/>
      <c r="W611" s="58"/>
      <c r="X611" s="58"/>
      <c r="Y611" s="58"/>
      <c r="Z611" s="58"/>
      <c r="AA611" s="69"/>
      <c r="AB611" s="58"/>
      <c r="AC611" s="58"/>
      <c r="AD611" s="70" t="str">
        <f aca="false">IF(AC611&lt;&gt;"",VLOOKUP(AC611,Selects!$B$4:$C$100,2,0),"")</f>
        <v/>
      </c>
      <c r="AE611" s="26"/>
      <c r="AF611" s="58"/>
      <c r="AG611" s="59"/>
      <c r="AH611" s="65"/>
      <c r="AI611" s="66"/>
      <c r="AJ611" s="66"/>
      <c r="AK611" s="58"/>
      <c r="AL611" s="58"/>
      <c r="AM611" s="68" t="str">
        <f aca="false">IF(LEFT(AL611,1)="9","Celular",IF(AL611="","","Fixo"))</f>
        <v/>
      </c>
      <c r="AN611" s="58" t="str">
        <f aca="false">IF( AM611&lt;&gt;"",VLOOKUP(AM611,Selects!$M$4:$N$1000,2,0),"")</f>
        <v/>
      </c>
      <c r="AO611" s="58"/>
      <c r="AP611" s="59"/>
      <c r="AQ611" s="65"/>
      <c r="AR611" s="58"/>
      <c r="AS611" s="58"/>
      <c r="AT611" s="26"/>
      <c r="AU611" s="58"/>
      <c r="AV611" s="58"/>
      <c r="AW611" s="58"/>
      <c r="AX611" s="58"/>
      <c r="AY611" s="71"/>
      <c r="AZ611" s="58"/>
      <c r="BA611" s="58"/>
      <c r="BB611" s="72" t="str">
        <f aca="false">IF(BA611&lt;&gt;"",VLOOKUP(BA611,Selects!$B$4:$C$100,2,0),"")</f>
        <v/>
      </c>
      <c r="BC611" s="26"/>
      <c r="BD611" s="26"/>
      <c r="BE611" s="73"/>
      <c r="BF611" s="74"/>
      <c r="BG611" s="75" t="str">
        <f aca="false">IF(LEN(BF611)=11,"PF",IF(LEN(BF611)=14,"PJ",""))</f>
        <v/>
      </c>
      <c r="BH611" s="66"/>
      <c r="BI611" s="58" t="str">
        <f aca="false">IF(BH611&lt;&gt;"",VLOOKUP(BH611,Selects!$G:$H,2,0),"")</f>
        <v/>
      </c>
      <c r="BJ611" s="58"/>
      <c r="BK611" s="58"/>
      <c r="BL611" s="59"/>
      <c r="BM611" s="58"/>
      <c r="BN611" s="58"/>
      <c r="BO611" s="58" t="str">
        <f aca="false">IF(BN611&lt;&gt;"",VLOOKUP(BN611,Selects!$J$4:$K$1000,2,0),"")</f>
        <v/>
      </c>
      <c r="BP611" s="76"/>
      <c r="BQ611" s="59"/>
      <c r="BR611" s="77"/>
      <c r="BS611" s="59"/>
      <c r="BT611" s="77"/>
      <c r="BU611" s="58"/>
      <c r="BV611" s="58"/>
      <c r="BW611" s="58"/>
      <c r="BX611" s="58"/>
      <c r="BY611" s="58"/>
      <c r="BZ611" s="58"/>
      <c r="CA611" s="58"/>
      <c r="CB611" s="72" t="str">
        <f aca="false">IF(AC611&lt;&gt;"",VLOOKUP(AC611,Selects!$B:$E,4,0),"")</f>
        <v/>
      </c>
      <c r="CC611" s="58"/>
      <c r="CD611" s="58"/>
      <c r="CE611" s="58"/>
    </row>
    <row r="612" customFormat="false" ht="15.75" hidden="false" customHeight="true" outlineLevel="0" collapsed="false">
      <c r="A612" s="17"/>
      <c r="B612" s="58"/>
      <c r="C612" s="58"/>
      <c r="D612" s="59"/>
      <c r="E612" s="60" t="str">
        <f aca="false">IF(LEN(D612)=11,"PF",IF(LEN(D612)=14,"PJ",""))</f>
        <v/>
      </c>
      <c r="F612" s="59"/>
      <c r="G612" s="59"/>
      <c r="H612" s="61" t="str">
        <f aca="false">IF(G612&lt;&gt;"",VLOOKUP(G612,'Cnae  mcc  id'!$A:$M,9,0),"")</f>
        <v/>
      </c>
      <c r="I612" s="62"/>
      <c r="J612" s="63" t="str">
        <f aca="false">IF(I612&lt;&gt;"",VLOOKUP(I612,'Legal Nature'!$E$2:$G$84,3,0),"")</f>
        <v/>
      </c>
      <c r="K612" s="64"/>
      <c r="L612" s="65"/>
      <c r="M612" s="66"/>
      <c r="N612" s="66"/>
      <c r="O612" s="79"/>
      <c r="P612" s="26"/>
      <c r="Q612" s="58"/>
      <c r="R612" s="58"/>
      <c r="S612" s="80"/>
      <c r="T612" s="68" t="str">
        <f aca="false">IF(LEFT(S612,1)="9","Celular",IF(S612="","","Fixo"))</f>
        <v/>
      </c>
      <c r="U612" s="58" t="str">
        <f aca="false">IF( T612&lt;&gt;"",VLOOKUP(T612,Selects!$M$4:$N$1000,2,0),"")</f>
        <v/>
      </c>
      <c r="V612" s="26"/>
      <c r="W612" s="58"/>
      <c r="X612" s="58"/>
      <c r="Y612" s="58"/>
      <c r="Z612" s="58"/>
      <c r="AA612" s="69"/>
      <c r="AB612" s="58"/>
      <c r="AC612" s="58"/>
      <c r="AD612" s="70" t="str">
        <f aca="false">IF(AC612&lt;&gt;"",VLOOKUP(AC612,Selects!$B$4:$C$100,2,0),"")</f>
        <v/>
      </c>
      <c r="AE612" s="26"/>
      <c r="AF612" s="58"/>
      <c r="AG612" s="59"/>
      <c r="AH612" s="65"/>
      <c r="AI612" s="66"/>
      <c r="AJ612" s="66"/>
      <c r="AK612" s="58"/>
      <c r="AL612" s="58"/>
      <c r="AM612" s="68" t="str">
        <f aca="false">IF(LEFT(AL612,1)="9","Celular",IF(AL612="","","Fixo"))</f>
        <v/>
      </c>
      <c r="AN612" s="58" t="str">
        <f aca="false">IF( AM612&lt;&gt;"",VLOOKUP(AM612,Selects!$M$4:$N$1000,2,0),"")</f>
        <v/>
      </c>
      <c r="AO612" s="58"/>
      <c r="AP612" s="59"/>
      <c r="AQ612" s="65"/>
      <c r="AR612" s="58"/>
      <c r="AS612" s="58"/>
      <c r="AT612" s="26"/>
      <c r="AU612" s="58"/>
      <c r="AV612" s="58"/>
      <c r="AW612" s="58"/>
      <c r="AX612" s="58"/>
      <c r="AY612" s="71"/>
      <c r="AZ612" s="58"/>
      <c r="BA612" s="58"/>
      <c r="BB612" s="72" t="str">
        <f aca="false">IF(BA612&lt;&gt;"",VLOOKUP(BA612,Selects!$B$4:$C$100,2,0),"")</f>
        <v/>
      </c>
      <c r="BC612" s="26"/>
      <c r="BD612" s="26"/>
      <c r="BE612" s="73"/>
      <c r="BF612" s="74"/>
      <c r="BG612" s="75" t="str">
        <f aca="false">IF(LEN(BF612)=11,"PF",IF(LEN(BF612)=14,"PJ",""))</f>
        <v/>
      </c>
      <c r="BH612" s="66"/>
      <c r="BI612" s="58" t="str">
        <f aca="false">IF(BH612&lt;&gt;"",VLOOKUP(BH612,Selects!$G:$H,2,0),"")</f>
        <v/>
      </c>
      <c r="BJ612" s="58"/>
      <c r="BK612" s="58"/>
      <c r="BL612" s="59"/>
      <c r="BM612" s="58"/>
      <c r="BN612" s="58"/>
      <c r="BO612" s="58" t="str">
        <f aca="false">IF(BN612&lt;&gt;"",VLOOKUP(BN612,Selects!$J$4:$K$1000,2,0),"")</f>
        <v/>
      </c>
      <c r="BP612" s="76"/>
      <c r="BQ612" s="59"/>
      <c r="BR612" s="77"/>
      <c r="BS612" s="59"/>
      <c r="BT612" s="77"/>
      <c r="BU612" s="58"/>
      <c r="BV612" s="58"/>
      <c r="BW612" s="58"/>
      <c r="BX612" s="58"/>
      <c r="BY612" s="58"/>
      <c r="BZ612" s="58"/>
      <c r="CA612" s="58"/>
      <c r="CB612" s="72" t="str">
        <f aca="false">IF(AC612&lt;&gt;"",VLOOKUP(AC612,Selects!$B:$E,4,0),"")</f>
        <v/>
      </c>
      <c r="CC612" s="58"/>
      <c r="CD612" s="58"/>
      <c r="CE612" s="58"/>
    </row>
    <row r="613" customFormat="false" ht="15.75" hidden="false" customHeight="true" outlineLevel="0" collapsed="false">
      <c r="A613" s="17"/>
      <c r="B613" s="58"/>
      <c r="C613" s="58"/>
      <c r="D613" s="59"/>
      <c r="E613" s="60" t="str">
        <f aca="false">IF(LEN(D613)=11,"PF",IF(LEN(D613)=14,"PJ",""))</f>
        <v/>
      </c>
      <c r="F613" s="59"/>
      <c r="G613" s="59"/>
      <c r="H613" s="61" t="str">
        <f aca="false">IF(G613&lt;&gt;"",VLOOKUP(G613,'Cnae  mcc  id'!$A:$M,9,0),"")</f>
        <v/>
      </c>
      <c r="I613" s="62"/>
      <c r="J613" s="63" t="str">
        <f aca="false">IF(I613&lt;&gt;"",VLOOKUP(I613,'Legal Nature'!$E$2:$G$84,3,0),"")</f>
        <v/>
      </c>
      <c r="K613" s="64"/>
      <c r="L613" s="65"/>
      <c r="M613" s="66"/>
      <c r="N613" s="66"/>
      <c r="O613" s="79"/>
      <c r="P613" s="26"/>
      <c r="Q613" s="58"/>
      <c r="R613" s="58"/>
      <c r="S613" s="80"/>
      <c r="T613" s="68" t="str">
        <f aca="false">IF(LEFT(S613,1)="9","Celular",IF(S613="","","Fixo"))</f>
        <v/>
      </c>
      <c r="U613" s="58" t="str">
        <f aca="false">IF( T613&lt;&gt;"",VLOOKUP(T613,Selects!$M$4:$N$1000,2,0),"")</f>
        <v/>
      </c>
      <c r="V613" s="26"/>
      <c r="W613" s="58"/>
      <c r="X613" s="58"/>
      <c r="Y613" s="58"/>
      <c r="Z613" s="58"/>
      <c r="AA613" s="69"/>
      <c r="AB613" s="58"/>
      <c r="AC613" s="58"/>
      <c r="AD613" s="70" t="str">
        <f aca="false">IF(AC613&lt;&gt;"",VLOOKUP(AC613,Selects!$B$4:$C$100,2,0),"")</f>
        <v/>
      </c>
      <c r="AE613" s="26"/>
      <c r="AF613" s="58"/>
      <c r="AG613" s="59"/>
      <c r="AH613" s="65"/>
      <c r="AI613" s="66"/>
      <c r="AJ613" s="66"/>
      <c r="AK613" s="58"/>
      <c r="AL613" s="58"/>
      <c r="AM613" s="68" t="str">
        <f aca="false">IF(LEFT(AL613,1)="9","Celular",IF(AL613="","","Fixo"))</f>
        <v/>
      </c>
      <c r="AN613" s="58" t="str">
        <f aca="false">IF( AM613&lt;&gt;"",VLOOKUP(AM613,Selects!$M$4:$N$1000,2,0),"")</f>
        <v/>
      </c>
      <c r="AO613" s="58"/>
      <c r="AP613" s="59"/>
      <c r="AQ613" s="65"/>
      <c r="AR613" s="58"/>
      <c r="AS613" s="58"/>
      <c r="AT613" s="26"/>
      <c r="AU613" s="58"/>
      <c r="AV613" s="58"/>
      <c r="AW613" s="58"/>
      <c r="AX613" s="58"/>
      <c r="AY613" s="71"/>
      <c r="AZ613" s="58"/>
      <c r="BA613" s="58"/>
      <c r="BB613" s="72" t="str">
        <f aca="false">IF(BA613&lt;&gt;"",VLOOKUP(BA613,Selects!$B$4:$C$100,2,0),"")</f>
        <v/>
      </c>
      <c r="BC613" s="26"/>
      <c r="BD613" s="26"/>
      <c r="BE613" s="73"/>
      <c r="BF613" s="74"/>
      <c r="BG613" s="75" t="str">
        <f aca="false">IF(LEN(BF613)=11,"PF",IF(LEN(BF613)=14,"PJ",""))</f>
        <v/>
      </c>
      <c r="BH613" s="66"/>
      <c r="BI613" s="58" t="str">
        <f aca="false">IF(BH613&lt;&gt;"",VLOOKUP(BH613,Selects!$G:$H,2,0),"")</f>
        <v/>
      </c>
      <c r="BJ613" s="58"/>
      <c r="BK613" s="58"/>
      <c r="BL613" s="59"/>
      <c r="BM613" s="58"/>
      <c r="BN613" s="58"/>
      <c r="BO613" s="58" t="str">
        <f aca="false">IF(BN613&lt;&gt;"",VLOOKUP(BN613,Selects!$J$4:$K$1000,2,0),"")</f>
        <v/>
      </c>
      <c r="BP613" s="76"/>
      <c r="BQ613" s="59"/>
      <c r="BR613" s="77"/>
      <c r="BS613" s="59"/>
      <c r="BT613" s="77"/>
      <c r="BU613" s="58"/>
      <c r="BV613" s="58"/>
      <c r="BW613" s="58"/>
      <c r="BX613" s="58"/>
      <c r="BY613" s="58"/>
      <c r="BZ613" s="58"/>
      <c r="CA613" s="58"/>
      <c r="CB613" s="72" t="str">
        <f aca="false">IF(AC613&lt;&gt;"",VLOOKUP(AC613,Selects!$B:$E,4,0),"")</f>
        <v/>
      </c>
      <c r="CC613" s="58"/>
      <c r="CD613" s="58"/>
      <c r="CE613" s="58"/>
    </row>
    <row r="614" customFormat="false" ht="15.75" hidden="false" customHeight="true" outlineLevel="0" collapsed="false">
      <c r="A614" s="17"/>
      <c r="B614" s="58"/>
      <c r="C614" s="58"/>
      <c r="D614" s="59"/>
      <c r="E614" s="60" t="str">
        <f aca="false">IF(LEN(D614)=11,"PF",IF(LEN(D614)=14,"PJ",""))</f>
        <v/>
      </c>
      <c r="F614" s="59"/>
      <c r="G614" s="59"/>
      <c r="H614" s="61" t="str">
        <f aca="false">IF(G614&lt;&gt;"",VLOOKUP(G614,'Cnae  mcc  id'!$A:$M,9,0),"")</f>
        <v/>
      </c>
      <c r="I614" s="62"/>
      <c r="J614" s="63" t="str">
        <f aca="false">IF(I614&lt;&gt;"",VLOOKUP(I614,'Legal Nature'!$E$2:$G$84,3,0),"")</f>
        <v/>
      </c>
      <c r="K614" s="64"/>
      <c r="L614" s="65"/>
      <c r="M614" s="66"/>
      <c r="N614" s="66"/>
      <c r="O614" s="79"/>
      <c r="P614" s="26"/>
      <c r="Q614" s="58"/>
      <c r="R614" s="58"/>
      <c r="S614" s="80"/>
      <c r="T614" s="68" t="str">
        <f aca="false">IF(LEFT(S614,1)="9","Celular",IF(S614="","","Fixo"))</f>
        <v/>
      </c>
      <c r="U614" s="58" t="str">
        <f aca="false">IF( T614&lt;&gt;"",VLOOKUP(T614,Selects!$M$4:$N$1000,2,0),"")</f>
        <v/>
      </c>
      <c r="V614" s="26"/>
      <c r="W614" s="58"/>
      <c r="X614" s="58"/>
      <c r="Y614" s="58"/>
      <c r="Z614" s="58"/>
      <c r="AA614" s="69"/>
      <c r="AB614" s="58"/>
      <c r="AC614" s="58"/>
      <c r="AD614" s="70" t="str">
        <f aca="false">IF(AC614&lt;&gt;"",VLOOKUP(AC614,Selects!$B$4:$C$100,2,0),"")</f>
        <v/>
      </c>
      <c r="AE614" s="26"/>
      <c r="AF614" s="58"/>
      <c r="AG614" s="59"/>
      <c r="AH614" s="65"/>
      <c r="AI614" s="66"/>
      <c r="AJ614" s="66"/>
      <c r="AK614" s="58"/>
      <c r="AL614" s="58"/>
      <c r="AM614" s="68" t="str">
        <f aca="false">IF(LEFT(AL614,1)="9","Celular",IF(AL614="","","Fixo"))</f>
        <v/>
      </c>
      <c r="AN614" s="58" t="str">
        <f aca="false">IF( AM614&lt;&gt;"",VLOOKUP(AM614,Selects!$M$4:$N$1000,2,0),"")</f>
        <v/>
      </c>
      <c r="AO614" s="58"/>
      <c r="AP614" s="59"/>
      <c r="AQ614" s="65"/>
      <c r="AR614" s="58"/>
      <c r="AS614" s="58"/>
      <c r="AT614" s="26"/>
      <c r="AU614" s="58"/>
      <c r="AV614" s="58"/>
      <c r="AW614" s="58"/>
      <c r="AX614" s="58"/>
      <c r="AY614" s="71"/>
      <c r="AZ614" s="58"/>
      <c r="BA614" s="58"/>
      <c r="BB614" s="72" t="str">
        <f aca="false">IF(BA614&lt;&gt;"",VLOOKUP(BA614,Selects!$B$4:$C$100,2,0),"")</f>
        <v/>
      </c>
      <c r="BC614" s="26"/>
      <c r="BD614" s="26"/>
      <c r="BE614" s="73"/>
      <c r="BF614" s="74"/>
      <c r="BG614" s="75" t="str">
        <f aca="false">IF(LEN(BF614)=11,"PF",IF(LEN(BF614)=14,"PJ",""))</f>
        <v/>
      </c>
      <c r="BH614" s="66"/>
      <c r="BI614" s="58" t="str">
        <f aca="false">IF(BH614&lt;&gt;"",VLOOKUP(BH614,Selects!$G:$H,2,0),"")</f>
        <v/>
      </c>
      <c r="BJ614" s="58"/>
      <c r="BK614" s="58"/>
      <c r="BL614" s="59"/>
      <c r="BM614" s="58"/>
      <c r="BN614" s="58"/>
      <c r="BO614" s="58" t="str">
        <f aca="false">IF(BN614&lt;&gt;"",VLOOKUP(BN614,Selects!$J$4:$K$1000,2,0),"")</f>
        <v/>
      </c>
      <c r="BP614" s="76"/>
      <c r="BQ614" s="59"/>
      <c r="BR614" s="77"/>
      <c r="BS614" s="59"/>
      <c r="BT614" s="77"/>
      <c r="BU614" s="58"/>
      <c r="BV614" s="58"/>
      <c r="BW614" s="58"/>
      <c r="BX614" s="58"/>
      <c r="BY614" s="58"/>
      <c r="BZ614" s="58"/>
      <c r="CA614" s="58"/>
      <c r="CB614" s="72" t="str">
        <f aca="false">IF(AC614&lt;&gt;"",VLOOKUP(AC614,Selects!$B:$E,4,0),"")</f>
        <v/>
      </c>
      <c r="CC614" s="58"/>
      <c r="CD614" s="58"/>
      <c r="CE614" s="58"/>
    </row>
    <row r="615" customFormat="false" ht="15.75" hidden="false" customHeight="true" outlineLevel="0" collapsed="false">
      <c r="A615" s="17"/>
      <c r="B615" s="58"/>
      <c r="C615" s="58"/>
      <c r="D615" s="59"/>
      <c r="E615" s="60" t="str">
        <f aca="false">IF(LEN(D615)=11,"PF",IF(LEN(D615)=14,"PJ",""))</f>
        <v/>
      </c>
      <c r="F615" s="59"/>
      <c r="G615" s="59"/>
      <c r="H615" s="61" t="str">
        <f aca="false">IF(G615&lt;&gt;"",VLOOKUP(G615,'Cnae  mcc  id'!$A:$M,9,0),"")</f>
        <v/>
      </c>
      <c r="I615" s="62"/>
      <c r="J615" s="63" t="str">
        <f aca="false">IF(I615&lt;&gt;"",VLOOKUP(I615,'Legal Nature'!$E$2:$G$84,3,0),"")</f>
        <v/>
      </c>
      <c r="K615" s="64"/>
      <c r="L615" s="65"/>
      <c r="M615" s="66"/>
      <c r="N615" s="66"/>
      <c r="O615" s="79"/>
      <c r="P615" s="26"/>
      <c r="Q615" s="58"/>
      <c r="R615" s="58"/>
      <c r="S615" s="80"/>
      <c r="T615" s="68" t="str">
        <f aca="false">IF(LEFT(S615,1)="9","Celular",IF(S615="","","Fixo"))</f>
        <v/>
      </c>
      <c r="U615" s="58" t="str">
        <f aca="false">IF( T615&lt;&gt;"",VLOOKUP(T615,Selects!$M$4:$N$1000,2,0),"")</f>
        <v/>
      </c>
      <c r="V615" s="26"/>
      <c r="W615" s="58"/>
      <c r="X615" s="58"/>
      <c r="Y615" s="58"/>
      <c r="Z615" s="58"/>
      <c r="AA615" s="69"/>
      <c r="AB615" s="58"/>
      <c r="AC615" s="58"/>
      <c r="AD615" s="70" t="str">
        <f aca="false">IF(AC615&lt;&gt;"",VLOOKUP(AC615,Selects!$B$4:$C$100,2,0),"")</f>
        <v/>
      </c>
      <c r="AE615" s="26"/>
      <c r="AF615" s="58"/>
      <c r="AG615" s="59"/>
      <c r="AH615" s="65"/>
      <c r="AI615" s="66"/>
      <c r="AJ615" s="66"/>
      <c r="AK615" s="58"/>
      <c r="AL615" s="58"/>
      <c r="AM615" s="68" t="str">
        <f aca="false">IF(LEFT(AL615,1)="9","Celular",IF(AL615="","","Fixo"))</f>
        <v/>
      </c>
      <c r="AN615" s="58" t="str">
        <f aca="false">IF( AM615&lt;&gt;"",VLOOKUP(AM615,Selects!$M$4:$N$1000,2,0),"")</f>
        <v/>
      </c>
      <c r="AO615" s="58"/>
      <c r="AP615" s="59"/>
      <c r="AQ615" s="65"/>
      <c r="AR615" s="58"/>
      <c r="AS615" s="58"/>
      <c r="AT615" s="26"/>
      <c r="AU615" s="58"/>
      <c r="AV615" s="58"/>
      <c r="AW615" s="58"/>
      <c r="AX615" s="58"/>
      <c r="AY615" s="71"/>
      <c r="AZ615" s="58"/>
      <c r="BA615" s="58"/>
      <c r="BB615" s="72" t="str">
        <f aca="false">IF(BA615&lt;&gt;"",VLOOKUP(BA615,Selects!$B$4:$C$100,2,0),"")</f>
        <v/>
      </c>
      <c r="BC615" s="26"/>
      <c r="BD615" s="26"/>
      <c r="BE615" s="73"/>
      <c r="BF615" s="74"/>
      <c r="BG615" s="75" t="str">
        <f aca="false">IF(LEN(BF615)=11,"PF",IF(LEN(BF615)=14,"PJ",""))</f>
        <v/>
      </c>
      <c r="BH615" s="66"/>
      <c r="BI615" s="58" t="str">
        <f aca="false">IF(BH615&lt;&gt;"",VLOOKUP(BH615,Selects!$G:$H,2,0),"")</f>
        <v/>
      </c>
      <c r="BJ615" s="58"/>
      <c r="BK615" s="58"/>
      <c r="BL615" s="59"/>
      <c r="BM615" s="58"/>
      <c r="BN615" s="58"/>
      <c r="BO615" s="58" t="str">
        <f aca="false">IF(BN615&lt;&gt;"",VLOOKUP(BN615,Selects!$J$4:$K$1000,2,0),"")</f>
        <v/>
      </c>
      <c r="BP615" s="76"/>
      <c r="BQ615" s="59"/>
      <c r="BR615" s="77"/>
      <c r="BS615" s="59"/>
      <c r="BT615" s="77"/>
      <c r="BU615" s="58"/>
      <c r="BV615" s="58"/>
      <c r="BW615" s="58"/>
      <c r="BX615" s="58"/>
      <c r="BY615" s="58"/>
      <c r="BZ615" s="58"/>
      <c r="CA615" s="58"/>
      <c r="CB615" s="72" t="str">
        <f aca="false">IF(AC615&lt;&gt;"",VLOOKUP(AC615,Selects!$B:$E,4,0),"")</f>
        <v/>
      </c>
      <c r="CC615" s="58"/>
      <c r="CD615" s="58"/>
      <c r="CE615" s="58"/>
    </row>
    <row r="616" customFormat="false" ht="15.75" hidden="false" customHeight="true" outlineLevel="0" collapsed="false">
      <c r="A616" s="17"/>
      <c r="B616" s="58"/>
      <c r="C616" s="58"/>
      <c r="D616" s="59"/>
      <c r="E616" s="60" t="str">
        <f aca="false">IF(LEN(D616)=11,"PF",IF(LEN(D616)=14,"PJ",""))</f>
        <v/>
      </c>
      <c r="F616" s="59"/>
      <c r="G616" s="59"/>
      <c r="H616" s="61" t="str">
        <f aca="false">IF(G616&lt;&gt;"",VLOOKUP(G616,'Cnae  mcc  id'!$A:$M,9,0),"")</f>
        <v/>
      </c>
      <c r="I616" s="62"/>
      <c r="J616" s="63" t="str">
        <f aca="false">IF(I616&lt;&gt;"",VLOOKUP(I616,'Legal Nature'!$E$2:$G$84,3,0),"")</f>
        <v/>
      </c>
      <c r="K616" s="64"/>
      <c r="L616" s="65"/>
      <c r="M616" s="66"/>
      <c r="N616" s="66"/>
      <c r="O616" s="79"/>
      <c r="P616" s="26"/>
      <c r="Q616" s="58"/>
      <c r="R616" s="58"/>
      <c r="S616" s="80"/>
      <c r="T616" s="68" t="str">
        <f aca="false">IF(LEFT(S616,1)="9","Celular",IF(S616="","","Fixo"))</f>
        <v/>
      </c>
      <c r="U616" s="58" t="str">
        <f aca="false">IF( T616&lt;&gt;"",VLOOKUP(T616,Selects!$M$4:$N$1000,2,0),"")</f>
        <v/>
      </c>
      <c r="V616" s="26"/>
      <c r="W616" s="58"/>
      <c r="X616" s="58"/>
      <c r="Y616" s="58"/>
      <c r="Z616" s="58"/>
      <c r="AA616" s="69"/>
      <c r="AB616" s="58"/>
      <c r="AC616" s="58"/>
      <c r="AD616" s="70" t="str">
        <f aca="false">IF(AC616&lt;&gt;"",VLOOKUP(AC616,Selects!$B$4:$C$100,2,0),"")</f>
        <v/>
      </c>
      <c r="AE616" s="26"/>
      <c r="AF616" s="58"/>
      <c r="AG616" s="59"/>
      <c r="AH616" s="65"/>
      <c r="AI616" s="66"/>
      <c r="AJ616" s="66"/>
      <c r="AK616" s="58"/>
      <c r="AL616" s="58"/>
      <c r="AM616" s="68" t="str">
        <f aca="false">IF(LEFT(AL616,1)="9","Celular",IF(AL616="","","Fixo"))</f>
        <v/>
      </c>
      <c r="AN616" s="58" t="str">
        <f aca="false">IF( AM616&lt;&gt;"",VLOOKUP(AM616,Selects!$M$4:$N$1000,2,0),"")</f>
        <v/>
      </c>
      <c r="AO616" s="58"/>
      <c r="AP616" s="59"/>
      <c r="AQ616" s="65"/>
      <c r="AR616" s="58"/>
      <c r="AS616" s="58"/>
      <c r="AT616" s="26"/>
      <c r="AU616" s="58"/>
      <c r="AV616" s="58"/>
      <c r="AW616" s="58"/>
      <c r="AX616" s="58"/>
      <c r="AY616" s="71"/>
      <c r="AZ616" s="58"/>
      <c r="BA616" s="58"/>
      <c r="BB616" s="72" t="str">
        <f aca="false">IF(BA616&lt;&gt;"",VLOOKUP(BA616,Selects!$B$4:$C$100,2,0),"")</f>
        <v/>
      </c>
      <c r="BC616" s="26"/>
      <c r="BD616" s="26"/>
      <c r="BE616" s="73"/>
      <c r="BF616" s="74"/>
      <c r="BG616" s="75" t="str">
        <f aca="false">IF(LEN(BF616)=11,"PF",IF(LEN(BF616)=14,"PJ",""))</f>
        <v/>
      </c>
      <c r="BH616" s="66"/>
      <c r="BI616" s="58" t="str">
        <f aca="false">IF(BH616&lt;&gt;"",VLOOKUP(BH616,Selects!$G:$H,2,0),"")</f>
        <v/>
      </c>
      <c r="BJ616" s="58"/>
      <c r="BK616" s="58"/>
      <c r="BL616" s="59"/>
      <c r="BM616" s="58"/>
      <c r="BN616" s="58"/>
      <c r="BO616" s="58" t="str">
        <f aca="false">IF(BN616&lt;&gt;"",VLOOKUP(BN616,Selects!$J$4:$K$1000,2,0),"")</f>
        <v/>
      </c>
      <c r="BP616" s="76"/>
      <c r="BQ616" s="59"/>
      <c r="BR616" s="77"/>
      <c r="BS616" s="59"/>
      <c r="BT616" s="77"/>
      <c r="BU616" s="58"/>
      <c r="BV616" s="58"/>
      <c r="BW616" s="58"/>
      <c r="BX616" s="58"/>
      <c r="BY616" s="58"/>
      <c r="BZ616" s="58"/>
      <c r="CA616" s="58"/>
      <c r="CB616" s="72" t="str">
        <f aca="false">IF(AC616&lt;&gt;"",VLOOKUP(AC616,Selects!$B:$E,4,0),"")</f>
        <v/>
      </c>
      <c r="CC616" s="58"/>
      <c r="CD616" s="58"/>
      <c r="CE616" s="58"/>
    </row>
    <row r="617" customFormat="false" ht="15.75" hidden="false" customHeight="true" outlineLevel="0" collapsed="false">
      <c r="A617" s="17"/>
      <c r="B617" s="58"/>
      <c r="C617" s="58"/>
      <c r="D617" s="59"/>
      <c r="E617" s="60" t="str">
        <f aca="false">IF(LEN(D617)=11,"PF",IF(LEN(D617)=14,"PJ",""))</f>
        <v/>
      </c>
      <c r="F617" s="59"/>
      <c r="G617" s="59"/>
      <c r="H617" s="61" t="str">
        <f aca="false">IF(G617&lt;&gt;"",VLOOKUP(G617,'Cnae  mcc  id'!$A:$M,9,0),"")</f>
        <v/>
      </c>
      <c r="I617" s="62"/>
      <c r="J617" s="63" t="str">
        <f aca="false">IF(I617&lt;&gt;"",VLOOKUP(I617,'Legal Nature'!$E$2:$G$84,3,0),"")</f>
        <v/>
      </c>
      <c r="K617" s="64"/>
      <c r="L617" s="65"/>
      <c r="M617" s="66"/>
      <c r="N617" s="66"/>
      <c r="O617" s="79"/>
      <c r="P617" s="26"/>
      <c r="Q617" s="58"/>
      <c r="R617" s="58"/>
      <c r="S617" s="80"/>
      <c r="T617" s="68" t="str">
        <f aca="false">IF(LEFT(S617,1)="9","Celular",IF(S617="","","Fixo"))</f>
        <v/>
      </c>
      <c r="U617" s="58" t="str">
        <f aca="false">IF( T617&lt;&gt;"",VLOOKUP(T617,Selects!$M$4:$N$1000,2,0),"")</f>
        <v/>
      </c>
      <c r="V617" s="26"/>
      <c r="W617" s="58"/>
      <c r="X617" s="58"/>
      <c r="Y617" s="58"/>
      <c r="Z617" s="58"/>
      <c r="AA617" s="69"/>
      <c r="AB617" s="58"/>
      <c r="AC617" s="58"/>
      <c r="AD617" s="70" t="str">
        <f aca="false">IF(AC617&lt;&gt;"",VLOOKUP(AC617,Selects!$B$4:$C$100,2,0),"")</f>
        <v/>
      </c>
      <c r="AE617" s="26"/>
      <c r="AF617" s="58"/>
      <c r="AG617" s="59"/>
      <c r="AH617" s="65"/>
      <c r="AI617" s="66"/>
      <c r="AJ617" s="66"/>
      <c r="AK617" s="58"/>
      <c r="AL617" s="58"/>
      <c r="AM617" s="68" t="str">
        <f aca="false">IF(LEFT(AL617,1)="9","Celular",IF(AL617="","","Fixo"))</f>
        <v/>
      </c>
      <c r="AN617" s="58" t="str">
        <f aca="false">IF( AM617&lt;&gt;"",VLOOKUP(AM617,Selects!$M$4:$N$1000,2,0),"")</f>
        <v/>
      </c>
      <c r="AO617" s="58"/>
      <c r="AP617" s="59"/>
      <c r="AQ617" s="65"/>
      <c r="AR617" s="58"/>
      <c r="AS617" s="58"/>
      <c r="AT617" s="26"/>
      <c r="AU617" s="58"/>
      <c r="AV617" s="58"/>
      <c r="AW617" s="58"/>
      <c r="AX617" s="58"/>
      <c r="AY617" s="71"/>
      <c r="AZ617" s="58"/>
      <c r="BA617" s="58"/>
      <c r="BB617" s="72" t="str">
        <f aca="false">IF(BA617&lt;&gt;"",VLOOKUP(BA617,Selects!$B$4:$C$100,2,0),"")</f>
        <v/>
      </c>
      <c r="BC617" s="26"/>
      <c r="BD617" s="26"/>
      <c r="BE617" s="73"/>
      <c r="BF617" s="74"/>
      <c r="BG617" s="75" t="str">
        <f aca="false">IF(LEN(BF617)=11,"PF",IF(LEN(BF617)=14,"PJ",""))</f>
        <v/>
      </c>
      <c r="BH617" s="66"/>
      <c r="BI617" s="58" t="str">
        <f aca="false">IF(BH617&lt;&gt;"",VLOOKUP(BH617,Selects!$G:$H,2,0),"")</f>
        <v/>
      </c>
      <c r="BJ617" s="58"/>
      <c r="BK617" s="58"/>
      <c r="BL617" s="59"/>
      <c r="BM617" s="58"/>
      <c r="BN617" s="58"/>
      <c r="BO617" s="58" t="str">
        <f aca="false">IF(BN617&lt;&gt;"",VLOOKUP(BN617,Selects!$J$4:$K$1000,2,0),"")</f>
        <v/>
      </c>
      <c r="BP617" s="76"/>
      <c r="BQ617" s="59"/>
      <c r="BR617" s="77"/>
      <c r="BS617" s="59"/>
      <c r="BT617" s="77"/>
      <c r="BU617" s="58"/>
      <c r="BV617" s="58"/>
      <c r="BW617" s="58"/>
      <c r="BX617" s="58"/>
      <c r="BY617" s="58"/>
      <c r="BZ617" s="58"/>
      <c r="CA617" s="58"/>
      <c r="CB617" s="72" t="str">
        <f aca="false">IF(AC617&lt;&gt;"",VLOOKUP(AC617,Selects!$B:$E,4,0),"")</f>
        <v/>
      </c>
      <c r="CC617" s="58"/>
      <c r="CD617" s="58"/>
      <c r="CE617" s="58"/>
    </row>
    <row r="618" customFormat="false" ht="15.75" hidden="false" customHeight="true" outlineLevel="0" collapsed="false">
      <c r="A618" s="17"/>
      <c r="B618" s="58"/>
      <c r="C618" s="58"/>
      <c r="D618" s="59"/>
      <c r="E618" s="60" t="str">
        <f aca="false">IF(LEN(D618)=11,"PF",IF(LEN(D618)=14,"PJ",""))</f>
        <v/>
      </c>
      <c r="F618" s="59"/>
      <c r="G618" s="59"/>
      <c r="H618" s="61" t="str">
        <f aca="false">IF(G618&lt;&gt;"",VLOOKUP(G618,'Cnae  mcc  id'!$A:$M,9,0),"")</f>
        <v/>
      </c>
      <c r="I618" s="62"/>
      <c r="J618" s="63" t="str">
        <f aca="false">IF(I618&lt;&gt;"",VLOOKUP(I618,'Legal Nature'!$E$2:$G$84,3,0),"")</f>
        <v/>
      </c>
      <c r="K618" s="64"/>
      <c r="L618" s="65"/>
      <c r="M618" s="66"/>
      <c r="N618" s="66"/>
      <c r="O618" s="79"/>
      <c r="P618" s="26"/>
      <c r="Q618" s="58"/>
      <c r="R618" s="58"/>
      <c r="S618" s="80"/>
      <c r="T618" s="68" t="str">
        <f aca="false">IF(LEFT(S618,1)="9","Celular",IF(S618="","","Fixo"))</f>
        <v/>
      </c>
      <c r="U618" s="58" t="str">
        <f aca="false">IF( T618&lt;&gt;"",VLOOKUP(T618,Selects!$M$4:$N$1000,2,0),"")</f>
        <v/>
      </c>
      <c r="V618" s="26"/>
      <c r="W618" s="58"/>
      <c r="X618" s="58"/>
      <c r="Y618" s="58"/>
      <c r="Z618" s="58"/>
      <c r="AA618" s="69"/>
      <c r="AB618" s="58"/>
      <c r="AC618" s="58"/>
      <c r="AD618" s="70" t="str">
        <f aca="false">IF(AC618&lt;&gt;"",VLOOKUP(AC618,Selects!$B$4:$C$100,2,0),"")</f>
        <v/>
      </c>
      <c r="AE618" s="26"/>
      <c r="AF618" s="58"/>
      <c r="AG618" s="59"/>
      <c r="AH618" s="65"/>
      <c r="AI618" s="66"/>
      <c r="AJ618" s="66"/>
      <c r="AK618" s="58"/>
      <c r="AL618" s="58"/>
      <c r="AM618" s="68" t="str">
        <f aca="false">IF(LEFT(AL618,1)="9","Celular",IF(AL618="","","Fixo"))</f>
        <v/>
      </c>
      <c r="AN618" s="58" t="str">
        <f aca="false">IF( AM618&lt;&gt;"",VLOOKUP(AM618,Selects!$M$4:$N$1000,2,0),"")</f>
        <v/>
      </c>
      <c r="AO618" s="58"/>
      <c r="AP618" s="59"/>
      <c r="AQ618" s="65"/>
      <c r="AR618" s="58"/>
      <c r="AS618" s="58"/>
      <c r="AT618" s="26"/>
      <c r="AU618" s="58"/>
      <c r="AV618" s="58"/>
      <c r="AW618" s="58"/>
      <c r="AX618" s="58"/>
      <c r="AY618" s="71"/>
      <c r="AZ618" s="58"/>
      <c r="BA618" s="58"/>
      <c r="BB618" s="72" t="str">
        <f aca="false">IF(BA618&lt;&gt;"",VLOOKUP(BA618,Selects!$B$4:$C$100,2,0),"")</f>
        <v/>
      </c>
      <c r="BC618" s="26"/>
      <c r="BD618" s="26"/>
      <c r="BE618" s="73"/>
      <c r="BF618" s="74"/>
      <c r="BG618" s="75" t="str">
        <f aca="false">IF(LEN(BF618)=11,"PF",IF(LEN(BF618)=14,"PJ",""))</f>
        <v/>
      </c>
      <c r="BH618" s="66"/>
      <c r="BI618" s="58" t="str">
        <f aca="false">IF(BH618&lt;&gt;"",VLOOKUP(BH618,Selects!$G:$H,2,0),"")</f>
        <v/>
      </c>
      <c r="BJ618" s="58"/>
      <c r="BK618" s="58"/>
      <c r="BL618" s="59"/>
      <c r="BM618" s="58"/>
      <c r="BN618" s="58"/>
      <c r="BO618" s="58" t="str">
        <f aca="false">IF(BN618&lt;&gt;"",VLOOKUP(BN618,Selects!$J$4:$K$1000,2,0),"")</f>
        <v/>
      </c>
      <c r="BP618" s="76"/>
      <c r="BQ618" s="59"/>
      <c r="BR618" s="77"/>
      <c r="BS618" s="59"/>
      <c r="BT618" s="77"/>
      <c r="BU618" s="58"/>
      <c r="BV618" s="58"/>
      <c r="BW618" s="58"/>
      <c r="BX618" s="58"/>
      <c r="BY618" s="58"/>
      <c r="BZ618" s="58"/>
      <c r="CA618" s="58"/>
      <c r="CB618" s="72" t="str">
        <f aca="false">IF(AC618&lt;&gt;"",VLOOKUP(AC618,Selects!$B:$E,4,0),"")</f>
        <v/>
      </c>
      <c r="CC618" s="58"/>
      <c r="CD618" s="58"/>
      <c r="CE618" s="58"/>
    </row>
    <row r="619" customFormat="false" ht="15.75" hidden="false" customHeight="true" outlineLevel="0" collapsed="false">
      <c r="A619" s="17"/>
      <c r="B619" s="58"/>
      <c r="C619" s="58"/>
      <c r="D619" s="59"/>
      <c r="E619" s="60" t="str">
        <f aca="false">IF(LEN(D619)=11,"PF",IF(LEN(D619)=14,"PJ",""))</f>
        <v/>
      </c>
      <c r="F619" s="59"/>
      <c r="G619" s="59"/>
      <c r="H619" s="61" t="str">
        <f aca="false">IF(G619&lt;&gt;"",VLOOKUP(G619,'Cnae  mcc  id'!$A:$M,9,0),"")</f>
        <v/>
      </c>
      <c r="I619" s="62"/>
      <c r="J619" s="63" t="str">
        <f aca="false">IF(I619&lt;&gt;"",VLOOKUP(I619,'Legal Nature'!$E$2:$G$84,3,0),"")</f>
        <v/>
      </c>
      <c r="K619" s="64"/>
      <c r="L619" s="65"/>
      <c r="M619" s="66"/>
      <c r="N619" s="66"/>
      <c r="O619" s="79"/>
      <c r="P619" s="26"/>
      <c r="Q619" s="58"/>
      <c r="R619" s="58"/>
      <c r="S619" s="80"/>
      <c r="T619" s="68" t="str">
        <f aca="false">IF(LEFT(S619,1)="9","Celular",IF(S619="","","Fixo"))</f>
        <v/>
      </c>
      <c r="U619" s="58" t="str">
        <f aca="false">IF( T619&lt;&gt;"",VLOOKUP(T619,Selects!$M$4:$N$1000,2,0),"")</f>
        <v/>
      </c>
      <c r="V619" s="26"/>
      <c r="W619" s="58"/>
      <c r="X619" s="58"/>
      <c r="Y619" s="58"/>
      <c r="Z619" s="58"/>
      <c r="AA619" s="69"/>
      <c r="AB619" s="58"/>
      <c r="AC619" s="58"/>
      <c r="AD619" s="70" t="str">
        <f aca="false">IF(AC619&lt;&gt;"",VLOOKUP(AC619,Selects!$B$4:$C$100,2,0),"")</f>
        <v/>
      </c>
      <c r="AE619" s="26"/>
      <c r="AF619" s="58"/>
      <c r="AG619" s="59"/>
      <c r="AH619" s="65"/>
      <c r="AI619" s="66"/>
      <c r="AJ619" s="66"/>
      <c r="AK619" s="58"/>
      <c r="AL619" s="58"/>
      <c r="AM619" s="68" t="str">
        <f aca="false">IF(LEFT(AL619,1)="9","Celular",IF(AL619="","","Fixo"))</f>
        <v/>
      </c>
      <c r="AN619" s="58" t="str">
        <f aca="false">IF( AM619&lt;&gt;"",VLOOKUP(AM619,Selects!$M$4:$N$1000,2,0),"")</f>
        <v/>
      </c>
      <c r="AO619" s="58"/>
      <c r="AP619" s="59"/>
      <c r="AQ619" s="65"/>
      <c r="AR619" s="58"/>
      <c r="AS619" s="58"/>
      <c r="AT619" s="26"/>
      <c r="AU619" s="58"/>
      <c r="AV619" s="58"/>
      <c r="AW619" s="58"/>
      <c r="AX619" s="58"/>
      <c r="AY619" s="71"/>
      <c r="AZ619" s="58"/>
      <c r="BA619" s="58"/>
      <c r="BB619" s="72" t="str">
        <f aca="false">IF(BA619&lt;&gt;"",VLOOKUP(BA619,Selects!$B$4:$C$100,2,0),"")</f>
        <v/>
      </c>
      <c r="BC619" s="26"/>
      <c r="BD619" s="26"/>
      <c r="BE619" s="73"/>
      <c r="BF619" s="74"/>
      <c r="BG619" s="75" t="str">
        <f aca="false">IF(LEN(BF619)=11,"PF",IF(LEN(BF619)=14,"PJ",""))</f>
        <v/>
      </c>
      <c r="BH619" s="66"/>
      <c r="BI619" s="58" t="str">
        <f aca="false">IF(BH619&lt;&gt;"",VLOOKUP(BH619,Selects!$G:$H,2,0),"")</f>
        <v/>
      </c>
      <c r="BJ619" s="58"/>
      <c r="BK619" s="58"/>
      <c r="BL619" s="59"/>
      <c r="BM619" s="58"/>
      <c r="BN619" s="58"/>
      <c r="BO619" s="58" t="str">
        <f aca="false">IF(BN619&lt;&gt;"",VLOOKUP(BN619,Selects!$J$4:$K$1000,2,0),"")</f>
        <v/>
      </c>
      <c r="BP619" s="76"/>
      <c r="BQ619" s="59"/>
      <c r="BR619" s="77"/>
      <c r="BS619" s="59"/>
      <c r="BT619" s="77"/>
      <c r="BU619" s="58"/>
      <c r="BV619" s="58"/>
      <c r="BW619" s="58"/>
      <c r="BX619" s="58"/>
      <c r="BY619" s="58"/>
      <c r="BZ619" s="58"/>
      <c r="CA619" s="58"/>
      <c r="CB619" s="72" t="str">
        <f aca="false">IF(AC619&lt;&gt;"",VLOOKUP(AC619,Selects!$B:$E,4,0),"")</f>
        <v/>
      </c>
      <c r="CC619" s="58"/>
      <c r="CD619" s="58"/>
      <c r="CE619" s="58"/>
    </row>
    <row r="620" customFormat="false" ht="15.75" hidden="false" customHeight="true" outlineLevel="0" collapsed="false">
      <c r="A620" s="17"/>
      <c r="B620" s="58"/>
      <c r="C620" s="58"/>
      <c r="D620" s="59"/>
      <c r="E620" s="60" t="str">
        <f aca="false">IF(LEN(D620)=11,"PF",IF(LEN(D620)=14,"PJ",""))</f>
        <v/>
      </c>
      <c r="F620" s="59"/>
      <c r="G620" s="59"/>
      <c r="H620" s="61" t="str">
        <f aca="false">IF(G620&lt;&gt;"",VLOOKUP(G620,'Cnae  mcc  id'!$A:$M,9,0),"")</f>
        <v/>
      </c>
      <c r="I620" s="62"/>
      <c r="J620" s="63" t="str">
        <f aca="false">IF(I620&lt;&gt;"",VLOOKUP(I620,'Legal Nature'!$E$2:$G$84,3,0),"")</f>
        <v/>
      </c>
      <c r="K620" s="64"/>
      <c r="L620" s="65"/>
      <c r="M620" s="66"/>
      <c r="N620" s="66"/>
      <c r="O620" s="79"/>
      <c r="P620" s="26"/>
      <c r="Q620" s="58"/>
      <c r="R620" s="58"/>
      <c r="S620" s="80"/>
      <c r="T620" s="68" t="str">
        <f aca="false">IF(LEFT(S620,1)="9","Celular",IF(S620="","","Fixo"))</f>
        <v/>
      </c>
      <c r="U620" s="58" t="str">
        <f aca="false">IF( T620&lt;&gt;"",VLOOKUP(T620,Selects!$M$4:$N$1000,2,0),"")</f>
        <v/>
      </c>
      <c r="V620" s="26"/>
      <c r="W620" s="58"/>
      <c r="X620" s="58"/>
      <c r="Y620" s="58"/>
      <c r="Z620" s="58"/>
      <c r="AA620" s="69"/>
      <c r="AB620" s="58"/>
      <c r="AC620" s="58"/>
      <c r="AD620" s="70" t="str">
        <f aca="false">IF(AC620&lt;&gt;"",VLOOKUP(AC620,Selects!$B$4:$C$100,2,0),"")</f>
        <v/>
      </c>
      <c r="AE620" s="26"/>
      <c r="AF620" s="58"/>
      <c r="AG620" s="59"/>
      <c r="AH620" s="65"/>
      <c r="AI620" s="66"/>
      <c r="AJ620" s="66"/>
      <c r="AK620" s="58"/>
      <c r="AL620" s="58"/>
      <c r="AM620" s="68" t="str">
        <f aca="false">IF(LEFT(AL620,1)="9","Celular",IF(AL620="","","Fixo"))</f>
        <v/>
      </c>
      <c r="AN620" s="58" t="str">
        <f aca="false">IF( AM620&lt;&gt;"",VLOOKUP(AM620,Selects!$M$4:$N$1000,2,0),"")</f>
        <v/>
      </c>
      <c r="AO620" s="58"/>
      <c r="AP620" s="59"/>
      <c r="AQ620" s="65"/>
      <c r="AR620" s="58"/>
      <c r="AS620" s="58"/>
      <c r="AT620" s="26"/>
      <c r="AU620" s="58"/>
      <c r="AV620" s="58"/>
      <c r="AW620" s="58"/>
      <c r="AX620" s="58"/>
      <c r="AY620" s="71"/>
      <c r="AZ620" s="58"/>
      <c r="BA620" s="58"/>
      <c r="BB620" s="72" t="str">
        <f aca="false">IF(BA620&lt;&gt;"",VLOOKUP(BA620,Selects!$B$4:$C$100,2,0),"")</f>
        <v/>
      </c>
      <c r="BC620" s="26"/>
      <c r="BD620" s="26"/>
      <c r="BE620" s="73"/>
      <c r="BF620" s="74"/>
      <c r="BG620" s="75" t="str">
        <f aca="false">IF(LEN(BF620)=11,"PF",IF(LEN(BF620)=14,"PJ",""))</f>
        <v/>
      </c>
      <c r="BH620" s="66"/>
      <c r="BI620" s="58" t="str">
        <f aca="false">IF(BH620&lt;&gt;"",VLOOKUP(BH620,Selects!$G:$H,2,0),"")</f>
        <v/>
      </c>
      <c r="BJ620" s="58"/>
      <c r="BK620" s="58"/>
      <c r="BL620" s="59"/>
      <c r="BM620" s="58"/>
      <c r="BN620" s="58"/>
      <c r="BO620" s="58" t="str">
        <f aca="false">IF(BN620&lt;&gt;"",VLOOKUP(BN620,Selects!$J$4:$K$1000,2,0),"")</f>
        <v/>
      </c>
      <c r="BP620" s="76"/>
      <c r="BQ620" s="59"/>
      <c r="BR620" s="77"/>
      <c r="BS620" s="59"/>
      <c r="BT620" s="77"/>
      <c r="BU620" s="58"/>
      <c r="BV620" s="58"/>
      <c r="BW620" s="58"/>
      <c r="BX620" s="58"/>
      <c r="BY620" s="58"/>
      <c r="BZ620" s="58"/>
      <c r="CA620" s="58"/>
      <c r="CB620" s="72" t="str">
        <f aca="false">IF(AC620&lt;&gt;"",VLOOKUP(AC620,Selects!$B:$E,4,0),"")</f>
        <v/>
      </c>
      <c r="CC620" s="58"/>
      <c r="CD620" s="58"/>
      <c r="CE620" s="58"/>
    </row>
    <row r="621" customFormat="false" ht="15.75" hidden="false" customHeight="true" outlineLevel="0" collapsed="false">
      <c r="A621" s="17"/>
      <c r="B621" s="58"/>
      <c r="C621" s="58"/>
      <c r="D621" s="59"/>
      <c r="E621" s="60" t="str">
        <f aca="false">IF(LEN(D621)=11,"PF",IF(LEN(D621)=14,"PJ",""))</f>
        <v/>
      </c>
      <c r="F621" s="59"/>
      <c r="G621" s="59"/>
      <c r="H621" s="61" t="str">
        <f aca="false">IF(G621&lt;&gt;"",VLOOKUP(G621,'Cnae  mcc  id'!$A:$M,9,0),"")</f>
        <v/>
      </c>
      <c r="I621" s="62"/>
      <c r="J621" s="63" t="str">
        <f aca="false">IF(I621&lt;&gt;"",VLOOKUP(I621,'Legal Nature'!$E$2:$G$84,3,0),"")</f>
        <v/>
      </c>
      <c r="K621" s="64"/>
      <c r="L621" s="65"/>
      <c r="M621" s="66"/>
      <c r="N621" s="66"/>
      <c r="O621" s="79"/>
      <c r="P621" s="26"/>
      <c r="Q621" s="58"/>
      <c r="R621" s="58"/>
      <c r="S621" s="80"/>
      <c r="T621" s="68" t="str">
        <f aca="false">IF(LEFT(S621,1)="9","Celular",IF(S621="","","Fixo"))</f>
        <v/>
      </c>
      <c r="U621" s="58" t="str">
        <f aca="false">IF( T621&lt;&gt;"",VLOOKUP(T621,Selects!$M$4:$N$1000,2,0),"")</f>
        <v/>
      </c>
      <c r="V621" s="26"/>
      <c r="W621" s="58"/>
      <c r="X621" s="58"/>
      <c r="Y621" s="58"/>
      <c r="Z621" s="58"/>
      <c r="AA621" s="69"/>
      <c r="AB621" s="58"/>
      <c r="AC621" s="58"/>
      <c r="AD621" s="70" t="str">
        <f aca="false">IF(AC621&lt;&gt;"",VLOOKUP(AC621,Selects!$B$4:$C$100,2,0),"")</f>
        <v/>
      </c>
      <c r="AE621" s="26"/>
      <c r="AF621" s="58"/>
      <c r="AG621" s="59"/>
      <c r="AH621" s="65"/>
      <c r="AI621" s="66"/>
      <c r="AJ621" s="66"/>
      <c r="AK621" s="58"/>
      <c r="AL621" s="58"/>
      <c r="AM621" s="68" t="str">
        <f aca="false">IF(LEFT(AL621,1)="9","Celular",IF(AL621="","","Fixo"))</f>
        <v/>
      </c>
      <c r="AN621" s="58" t="str">
        <f aca="false">IF( AM621&lt;&gt;"",VLOOKUP(AM621,Selects!$M$4:$N$1000,2,0),"")</f>
        <v/>
      </c>
      <c r="AO621" s="58"/>
      <c r="AP621" s="59"/>
      <c r="AQ621" s="65"/>
      <c r="AR621" s="58"/>
      <c r="AS621" s="58"/>
      <c r="AT621" s="26"/>
      <c r="AU621" s="58"/>
      <c r="AV621" s="58"/>
      <c r="AW621" s="58"/>
      <c r="AX621" s="58"/>
      <c r="AY621" s="71"/>
      <c r="AZ621" s="58"/>
      <c r="BA621" s="58"/>
      <c r="BB621" s="72" t="str">
        <f aca="false">IF(BA621&lt;&gt;"",VLOOKUP(BA621,Selects!$B$4:$C$100,2,0),"")</f>
        <v/>
      </c>
      <c r="BC621" s="26"/>
      <c r="BD621" s="26"/>
      <c r="BE621" s="73"/>
      <c r="BF621" s="74"/>
      <c r="BG621" s="75" t="str">
        <f aca="false">IF(LEN(BF621)=11,"PF",IF(LEN(BF621)=14,"PJ",""))</f>
        <v/>
      </c>
      <c r="BH621" s="66"/>
      <c r="BI621" s="58" t="str">
        <f aca="false">IF(BH621&lt;&gt;"",VLOOKUP(BH621,Selects!$G:$H,2,0),"")</f>
        <v/>
      </c>
      <c r="BJ621" s="58"/>
      <c r="BK621" s="58"/>
      <c r="BL621" s="59"/>
      <c r="BM621" s="58"/>
      <c r="BN621" s="58"/>
      <c r="BO621" s="58" t="str">
        <f aca="false">IF(BN621&lt;&gt;"",VLOOKUP(BN621,Selects!$J$4:$K$1000,2,0),"")</f>
        <v/>
      </c>
      <c r="BP621" s="76"/>
      <c r="BQ621" s="59"/>
      <c r="BR621" s="77"/>
      <c r="BS621" s="59"/>
      <c r="BT621" s="77"/>
      <c r="BU621" s="58"/>
      <c r="BV621" s="58"/>
      <c r="BW621" s="58"/>
      <c r="BX621" s="58"/>
      <c r="BY621" s="58"/>
      <c r="BZ621" s="58"/>
      <c r="CA621" s="58"/>
      <c r="CB621" s="72" t="str">
        <f aca="false">IF(AC621&lt;&gt;"",VLOOKUP(AC621,Selects!$B:$E,4,0),"")</f>
        <v/>
      </c>
      <c r="CC621" s="58"/>
      <c r="CD621" s="58"/>
      <c r="CE621" s="58"/>
    </row>
    <row r="622" customFormat="false" ht="15.75" hidden="false" customHeight="true" outlineLevel="0" collapsed="false">
      <c r="A622" s="17"/>
      <c r="B622" s="58"/>
      <c r="C622" s="58"/>
      <c r="D622" s="59"/>
      <c r="E622" s="60" t="str">
        <f aca="false">IF(LEN(D622)=11,"PF",IF(LEN(D622)=14,"PJ",""))</f>
        <v/>
      </c>
      <c r="F622" s="59"/>
      <c r="G622" s="59"/>
      <c r="H622" s="61" t="str">
        <f aca="false">IF(G622&lt;&gt;"",VLOOKUP(G622,'Cnae  mcc  id'!$A:$M,9,0),"")</f>
        <v/>
      </c>
      <c r="I622" s="62"/>
      <c r="J622" s="63" t="str">
        <f aca="false">IF(I622&lt;&gt;"",VLOOKUP(I622,'Legal Nature'!$E$2:$G$84,3,0),"")</f>
        <v/>
      </c>
      <c r="K622" s="64"/>
      <c r="L622" s="65"/>
      <c r="M622" s="66"/>
      <c r="N622" s="66"/>
      <c r="O622" s="79"/>
      <c r="P622" s="26"/>
      <c r="Q622" s="58"/>
      <c r="R622" s="58"/>
      <c r="S622" s="80"/>
      <c r="T622" s="68" t="str">
        <f aca="false">IF(LEFT(S622,1)="9","Celular",IF(S622="","","Fixo"))</f>
        <v/>
      </c>
      <c r="U622" s="58" t="str">
        <f aca="false">IF( T622&lt;&gt;"",VLOOKUP(T622,Selects!$M$4:$N$1000,2,0),"")</f>
        <v/>
      </c>
      <c r="V622" s="26"/>
      <c r="W622" s="58"/>
      <c r="X622" s="58"/>
      <c r="Y622" s="58"/>
      <c r="Z622" s="58"/>
      <c r="AA622" s="69"/>
      <c r="AB622" s="58"/>
      <c r="AC622" s="58"/>
      <c r="AD622" s="70" t="str">
        <f aca="false">IF(AC622&lt;&gt;"",VLOOKUP(AC622,Selects!$B$4:$C$100,2,0),"")</f>
        <v/>
      </c>
      <c r="AE622" s="26"/>
      <c r="AF622" s="58"/>
      <c r="AG622" s="59"/>
      <c r="AH622" s="65"/>
      <c r="AI622" s="66"/>
      <c r="AJ622" s="66"/>
      <c r="AK622" s="58"/>
      <c r="AL622" s="58"/>
      <c r="AM622" s="68" t="str">
        <f aca="false">IF(LEFT(AL622,1)="9","Celular",IF(AL622="","","Fixo"))</f>
        <v/>
      </c>
      <c r="AN622" s="58" t="str">
        <f aca="false">IF( AM622&lt;&gt;"",VLOOKUP(AM622,Selects!$M$4:$N$1000,2,0),"")</f>
        <v/>
      </c>
      <c r="AO622" s="58"/>
      <c r="AP622" s="59"/>
      <c r="AQ622" s="65"/>
      <c r="AR622" s="58"/>
      <c r="AS622" s="58"/>
      <c r="AT622" s="26"/>
      <c r="AU622" s="58"/>
      <c r="AV622" s="58"/>
      <c r="AW622" s="58"/>
      <c r="AX622" s="58"/>
      <c r="AY622" s="71"/>
      <c r="AZ622" s="58"/>
      <c r="BA622" s="58"/>
      <c r="BB622" s="72" t="str">
        <f aca="false">IF(BA622&lt;&gt;"",VLOOKUP(BA622,Selects!$B$4:$C$100,2,0),"")</f>
        <v/>
      </c>
      <c r="BC622" s="26"/>
      <c r="BD622" s="26"/>
      <c r="BE622" s="73"/>
      <c r="BF622" s="74"/>
      <c r="BG622" s="75" t="str">
        <f aca="false">IF(LEN(BF622)=11,"PF",IF(LEN(BF622)=14,"PJ",""))</f>
        <v/>
      </c>
      <c r="BH622" s="66"/>
      <c r="BI622" s="58" t="str">
        <f aca="false">IF(BH622&lt;&gt;"",VLOOKUP(BH622,Selects!$G:$H,2,0),"")</f>
        <v/>
      </c>
      <c r="BJ622" s="58"/>
      <c r="BK622" s="58"/>
      <c r="BL622" s="59"/>
      <c r="BM622" s="58"/>
      <c r="BN622" s="58"/>
      <c r="BO622" s="58" t="str">
        <f aca="false">IF(BN622&lt;&gt;"",VLOOKUP(BN622,Selects!$J$4:$K$1000,2,0),"")</f>
        <v/>
      </c>
      <c r="BP622" s="76"/>
      <c r="BQ622" s="59"/>
      <c r="BR622" s="77"/>
      <c r="BS622" s="59"/>
      <c r="BT622" s="77"/>
      <c r="BU622" s="58"/>
      <c r="BV622" s="58"/>
      <c r="BW622" s="58"/>
      <c r="BX622" s="58"/>
      <c r="BY622" s="58"/>
      <c r="BZ622" s="58"/>
      <c r="CA622" s="58"/>
      <c r="CB622" s="72" t="str">
        <f aca="false">IF(AC622&lt;&gt;"",VLOOKUP(AC622,Selects!$B:$E,4,0),"")</f>
        <v/>
      </c>
      <c r="CC622" s="58"/>
      <c r="CD622" s="58"/>
      <c r="CE622" s="58"/>
    </row>
    <row r="623" customFormat="false" ht="15.75" hidden="false" customHeight="true" outlineLevel="0" collapsed="false">
      <c r="A623" s="17"/>
      <c r="B623" s="58"/>
      <c r="C623" s="58"/>
      <c r="D623" s="59"/>
      <c r="E623" s="60" t="str">
        <f aca="false">IF(LEN(D623)=11,"PF",IF(LEN(D623)=14,"PJ",""))</f>
        <v/>
      </c>
      <c r="F623" s="59"/>
      <c r="G623" s="59"/>
      <c r="H623" s="61" t="str">
        <f aca="false">IF(G623&lt;&gt;"",VLOOKUP(G623,'Cnae  mcc  id'!$A:$M,9,0),"")</f>
        <v/>
      </c>
      <c r="I623" s="62"/>
      <c r="J623" s="63" t="str">
        <f aca="false">IF(I623&lt;&gt;"",VLOOKUP(I623,'Legal Nature'!$E$2:$G$84,3,0),"")</f>
        <v/>
      </c>
      <c r="K623" s="64"/>
      <c r="L623" s="65"/>
      <c r="M623" s="66"/>
      <c r="N623" s="66"/>
      <c r="O623" s="79"/>
      <c r="P623" s="26"/>
      <c r="Q623" s="58"/>
      <c r="R623" s="58"/>
      <c r="S623" s="80"/>
      <c r="T623" s="68" t="str">
        <f aca="false">IF(LEFT(S623,1)="9","Celular",IF(S623="","","Fixo"))</f>
        <v/>
      </c>
      <c r="U623" s="58" t="str">
        <f aca="false">IF( T623&lt;&gt;"",VLOOKUP(T623,Selects!$M$4:$N$1000,2,0),"")</f>
        <v/>
      </c>
      <c r="V623" s="26"/>
      <c r="W623" s="58"/>
      <c r="X623" s="58"/>
      <c r="Y623" s="58"/>
      <c r="Z623" s="58"/>
      <c r="AA623" s="69"/>
      <c r="AB623" s="58"/>
      <c r="AC623" s="58"/>
      <c r="AD623" s="70" t="str">
        <f aca="false">IF(AC623&lt;&gt;"",VLOOKUP(AC623,Selects!$B$4:$C$100,2,0),"")</f>
        <v/>
      </c>
      <c r="AE623" s="26"/>
      <c r="AF623" s="58"/>
      <c r="AG623" s="59"/>
      <c r="AH623" s="65"/>
      <c r="AI623" s="66"/>
      <c r="AJ623" s="66"/>
      <c r="AK623" s="58"/>
      <c r="AL623" s="58"/>
      <c r="AM623" s="68" t="str">
        <f aca="false">IF(LEFT(AL623,1)="9","Celular",IF(AL623="","","Fixo"))</f>
        <v/>
      </c>
      <c r="AN623" s="58" t="str">
        <f aca="false">IF( AM623&lt;&gt;"",VLOOKUP(AM623,Selects!$M$4:$N$1000,2,0),"")</f>
        <v/>
      </c>
      <c r="AO623" s="58"/>
      <c r="AP623" s="59"/>
      <c r="AQ623" s="65"/>
      <c r="AR623" s="58"/>
      <c r="AS623" s="58"/>
      <c r="AT623" s="26"/>
      <c r="AU623" s="58"/>
      <c r="AV623" s="58"/>
      <c r="AW623" s="58"/>
      <c r="AX623" s="58"/>
      <c r="AY623" s="71"/>
      <c r="AZ623" s="58"/>
      <c r="BA623" s="58"/>
      <c r="BB623" s="72" t="str">
        <f aca="false">IF(BA623&lt;&gt;"",VLOOKUP(BA623,Selects!$B$4:$C$100,2,0),"")</f>
        <v/>
      </c>
      <c r="BC623" s="26"/>
      <c r="BD623" s="26"/>
      <c r="BE623" s="73"/>
      <c r="BF623" s="74"/>
      <c r="BG623" s="75" t="str">
        <f aca="false">IF(LEN(BF623)=11,"PF",IF(LEN(BF623)=14,"PJ",""))</f>
        <v/>
      </c>
      <c r="BH623" s="66"/>
      <c r="BI623" s="58" t="str">
        <f aca="false">IF(BH623&lt;&gt;"",VLOOKUP(BH623,Selects!$G:$H,2,0),"")</f>
        <v/>
      </c>
      <c r="BJ623" s="58"/>
      <c r="BK623" s="58"/>
      <c r="BL623" s="59"/>
      <c r="BM623" s="58"/>
      <c r="BN623" s="58"/>
      <c r="BO623" s="58" t="str">
        <f aca="false">IF(BN623&lt;&gt;"",VLOOKUP(BN623,Selects!$J$4:$K$1000,2,0),"")</f>
        <v/>
      </c>
      <c r="BP623" s="76"/>
      <c r="BQ623" s="59"/>
      <c r="BR623" s="77"/>
      <c r="BS623" s="59"/>
      <c r="BT623" s="77"/>
      <c r="BU623" s="58"/>
      <c r="BV623" s="58"/>
      <c r="BW623" s="58"/>
      <c r="BX623" s="58"/>
      <c r="BY623" s="58"/>
      <c r="BZ623" s="58"/>
      <c r="CA623" s="58"/>
      <c r="CB623" s="72" t="str">
        <f aca="false">IF(AC623&lt;&gt;"",VLOOKUP(AC623,Selects!$B:$E,4,0),"")</f>
        <v/>
      </c>
      <c r="CC623" s="58"/>
      <c r="CD623" s="58"/>
      <c r="CE623" s="58"/>
    </row>
    <row r="624" customFormat="false" ht="15.75" hidden="false" customHeight="true" outlineLevel="0" collapsed="false">
      <c r="A624" s="17"/>
      <c r="B624" s="58"/>
      <c r="C624" s="58"/>
      <c r="D624" s="59"/>
      <c r="E624" s="60" t="str">
        <f aca="false">IF(LEN(D624)=11,"PF",IF(LEN(D624)=14,"PJ",""))</f>
        <v/>
      </c>
      <c r="F624" s="59"/>
      <c r="G624" s="59"/>
      <c r="H624" s="61" t="str">
        <f aca="false">IF(G624&lt;&gt;"",VLOOKUP(G624,'Cnae  mcc  id'!$A:$M,9,0),"")</f>
        <v/>
      </c>
      <c r="I624" s="62"/>
      <c r="J624" s="63" t="str">
        <f aca="false">IF(I624&lt;&gt;"",VLOOKUP(I624,'Legal Nature'!$E$2:$G$84,3,0),"")</f>
        <v/>
      </c>
      <c r="K624" s="64"/>
      <c r="L624" s="65"/>
      <c r="M624" s="66"/>
      <c r="N624" s="66"/>
      <c r="O624" s="79"/>
      <c r="P624" s="26"/>
      <c r="Q624" s="58"/>
      <c r="R624" s="58"/>
      <c r="S624" s="80"/>
      <c r="T624" s="68" t="str">
        <f aca="false">IF(LEFT(S624,1)="9","Celular",IF(S624="","","Fixo"))</f>
        <v/>
      </c>
      <c r="U624" s="58" t="str">
        <f aca="false">IF( T624&lt;&gt;"",VLOOKUP(T624,Selects!$M$4:$N$1000,2,0),"")</f>
        <v/>
      </c>
      <c r="V624" s="26"/>
      <c r="W624" s="58"/>
      <c r="X624" s="58"/>
      <c r="Y624" s="58"/>
      <c r="Z624" s="58"/>
      <c r="AA624" s="69"/>
      <c r="AB624" s="58"/>
      <c r="AC624" s="58"/>
      <c r="AD624" s="70" t="str">
        <f aca="false">IF(AC624&lt;&gt;"",VLOOKUP(AC624,Selects!$B$4:$C$100,2,0),"")</f>
        <v/>
      </c>
      <c r="AE624" s="26"/>
      <c r="AF624" s="58"/>
      <c r="AG624" s="59"/>
      <c r="AH624" s="65"/>
      <c r="AI624" s="66"/>
      <c r="AJ624" s="66"/>
      <c r="AK624" s="58"/>
      <c r="AL624" s="58"/>
      <c r="AM624" s="68" t="str">
        <f aca="false">IF(LEFT(AL624,1)="9","Celular",IF(AL624="","","Fixo"))</f>
        <v/>
      </c>
      <c r="AN624" s="58" t="str">
        <f aca="false">IF( AM624&lt;&gt;"",VLOOKUP(AM624,Selects!$M$4:$N$1000,2,0),"")</f>
        <v/>
      </c>
      <c r="AO624" s="58"/>
      <c r="AP624" s="59"/>
      <c r="AQ624" s="65"/>
      <c r="AR624" s="58"/>
      <c r="AS624" s="58"/>
      <c r="AT624" s="26"/>
      <c r="AU624" s="58"/>
      <c r="AV624" s="58"/>
      <c r="AW624" s="58"/>
      <c r="AX624" s="58"/>
      <c r="AY624" s="71"/>
      <c r="AZ624" s="58"/>
      <c r="BA624" s="58"/>
      <c r="BB624" s="72" t="str">
        <f aca="false">IF(BA624&lt;&gt;"",VLOOKUP(BA624,Selects!$B$4:$C$100,2,0),"")</f>
        <v/>
      </c>
      <c r="BC624" s="26"/>
      <c r="BD624" s="26"/>
      <c r="BE624" s="73"/>
      <c r="BF624" s="74"/>
      <c r="BG624" s="75" t="str">
        <f aca="false">IF(LEN(BF624)=11,"PF",IF(LEN(BF624)=14,"PJ",""))</f>
        <v/>
      </c>
      <c r="BH624" s="66"/>
      <c r="BI624" s="58" t="str">
        <f aca="false">IF(BH624&lt;&gt;"",VLOOKUP(BH624,Selects!$G:$H,2,0),"")</f>
        <v/>
      </c>
      <c r="BJ624" s="58"/>
      <c r="BK624" s="58"/>
      <c r="BL624" s="59"/>
      <c r="BM624" s="58"/>
      <c r="BN624" s="58"/>
      <c r="BO624" s="58" t="str">
        <f aca="false">IF(BN624&lt;&gt;"",VLOOKUP(BN624,Selects!$J$4:$K$1000,2,0),"")</f>
        <v/>
      </c>
      <c r="BP624" s="76"/>
      <c r="BQ624" s="59"/>
      <c r="BR624" s="77"/>
      <c r="BS624" s="59"/>
      <c r="BT624" s="77"/>
      <c r="BU624" s="58"/>
      <c r="BV624" s="58"/>
      <c r="BW624" s="58"/>
      <c r="BX624" s="58"/>
      <c r="BY624" s="58"/>
      <c r="BZ624" s="58"/>
      <c r="CA624" s="58"/>
      <c r="CB624" s="72" t="str">
        <f aca="false">IF(AC624&lt;&gt;"",VLOOKUP(AC624,Selects!$B:$E,4,0),"")</f>
        <v/>
      </c>
      <c r="CC624" s="58"/>
      <c r="CD624" s="58"/>
      <c r="CE624" s="58"/>
    </row>
    <row r="625" customFormat="false" ht="15.75" hidden="false" customHeight="true" outlineLevel="0" collapsed="false">
      <c r="A625" s="17"/>
      <c r="B625" s="58"/>
      <c r="C625" s="58"/>
      <c r="D625" s="59"/>
      <c r="E625" s="60" t="str">
        <f aca="false">IF(LEN(D625)=11,"PF",IF(LEN(D625)=14,"PJ",""))</f>
        <v/>
      </c>
      <c r="F625" s="59"/>
      <c r="G625" s="59"/>
      <c r="H625" s="61" t="str">
        <f aca="false">IF(G625&lt;&gt;"",VLOOKUP(G625,'Cnae  mcc  id'!$A:$M,9,0),"")</f>
        <v/>
      </c>
      <c r="I625" s="62"/>
      <c r="J625" s="63" t="str">
        <f aca="false">IF(I625&lt;&gt;"",VLOOKUP(I625,'Legal Nature'!$E$2:$G$84,3,0),"")</f>
        <v/>
      </c>
      <c r="K625" s="64"/>
      <c r="L625" s="65"/>
      <c r="M625" s="66"/>
      <c r="N625" s="66"/>
      <c r="O625" s="79"/>
      <c r="P625" s="26"/>
      <c r="Q625" s="58"/>
      <c r="R625" s="58"/>
      <c r="S625" s="80"/>
      <c r="T625" s="68" t="str">
        <f aca="false">IF(LEFT(S625,1)="9","Celular",IF(S625="","","Fixo"))</f>
        <v/>
      </c>
      <c r="U625" s="58" t="str">
        <f aca="false">IF( T625&lt;&gt;"",VLOOKUP(T625,Selects!$M$4:$N$1000,2,0),"")</f>
        <v/>
      </c>
      <c r="V625" s="26"/>
      <c r="W625" s="58"/>
      <c r="X625" s="58"/>
      <c r="Y625" s="58"/>
      <c r="Z625" s="58"/>
      <c r="AA625" s="69"/>
      <c r="AB625" s="58"/>
      <c r="AC625" s="58"/>
      <c r="AD625" s="70" t="str">
        <f aca="false">IF(AC625&lt;&gt;"",VLOOKUP(AC625,Selects!$B$4:$C$100,2,0),"")</f>
        <v/>
      </c>
      <c r="AE625" s="26"/>
      <c r="AF625" s="58"/>
      <c r="AG625" s="59"/>
      <c r="AH625" s="65"/>
      <c r="AI625" s="66"/>
      <c r="AJ625" s="66"/>
      <c r="AK625" s="58"/>
      <c r="AL625" s="58"/>
      <c r="AM625" s="68" t="str">
        <f aca="false">IF(LEFT(AL625,1)="9","Celular",IF(AL625="","","Fixo"))</f>
        <v/>
      </c>
      <c r="AN625" s="58" t="str">
        <f aca="false">IF( AM625&lt;&gt;"",VLOOKUP(AM625,Selects!$M$4:$N$1000,2,0),"")</f>
        <v/>
      </c>
      <c r="AO625" s="58"/>
      <c r="AP625" s="59"/>
      <c r="AQ625" s="65"/>
      <c r="AR625" s="58"/>
      <c r="AS625" s="58"/>
      <c r="AT625" s="26"/>
      <c r="AU625" s="58"/>
      <c r="AV625" s="58"/>
      <c r="AW625" s="58"/>
      <c r="AX625" s="58"/>
      <c r="AY625" s="71"/>
      <c r="AZ625" s="58"/>
      <c r="BA625" s="58"/>
      <c r="BB625" s="72" t="str">
        <f aca="false">IF(BA625&lt;&gt;"",VLOOKUP(BA625,Selects!$B$4:$C$100,2,0),"")</f>
        <v/>
      </c>
      <c r="BC625" s="26"/>
      <c r="BD625" s="26"/>
      <c r="BE625" s="73"/>
      <c r="BF625" s="74"/>
      <c r="BG625" s="75" t="str">
        <f aca="false">IF(LEN(BF625)=11,"PF",IF(LEN(BF625)=14,"PJ",""))</f>
        <v/>
      </c>
      <c r="BH625" s="66"/>
      <c r="BI625" s="58" t="str">
        <f aca="false">IF(BH625&lt;&gt;"",VLOOKUP(BH625,Selects!$G:$H,2,0),"")</f>
        <v/>
      </c>
      <c r="BJ625" s="58"/>
      <c r="BK625" s="58"/>
      <c r="BL625" s="59"/>
      <c r="BM625" s="58"/>
      <c r="BN625" s="58"/>
      <c r="BO625" s="58" t="str">
        <f aca="false">IF(BN625&lt;&gt;"",VLOOKUP(BN625,Selects!$J$4:$K$1000,2,0),"")</f>
        <v/>
      </c>
      <c r="BP625" s="76"/>
      <c r="BQ625" s="59"/>
      <c r="BR625" s="77"/>
      <c r="BS625" s="59"/>
      <c r="BT625" s="77"/>
      <c r="BU625" s="58"/>
      <c r="BV625" s="58"/>
      <c r="BW625" s="58"/>
      <c r="BX625" s="58"/>
      <c r="BY625" s="58"/>
      <c r="BZ625" s="58"/>
      <c r="CA625" s="58"/>
      <c r="CB625" s="72" t="str">
        <f aca="false">IF(AC625&lt;&gt;"",VLOOKUP(AC625,Selects!$B:$E,4,0),"")</f>
        <v/>
      </c>
      <c r="CC625" s="58"/>
      <c r="CD625" s="58"/>
      <c r="CE625" s="58"/>
    </row>
    <row r="626" customFormat="false" ht="15.75" hidden="false" customHeight="true" outlineLevel="0" collapsed="false">
      <c r="A626" s="17"/>
      <c r="B626" s="58"/>
      <c r="C626" s="58"/>
      <c r="D626" s="59"/>
      <c r="E626" s="60" t="str">
        <f aca="false">IF(LEN(D626)=11,"PF",IF(LEN(D626)=14,"PJ",""))</f>
        <v/>
      </c>
      <c r="F626" s="59"/>
      <c r="G626" s="59"/>
      <c r="H626" s="61" t="str">
        <f aca="false">IF(G626&lt;&gt;"",VLOOKUP(G626,'Cnae  mcc  id'!$A:$M,9,0),"")</f>
        <v/>
      </c>
      <c r="I626" s="62"/>
      <c r="J626" s="63" t="str">
        <f aca="false">IF(I626&lt;&gt;"",VLOOKUP(I626,'Legal Nature'!$E$2:$G$84,3,0),"")</f>
        <v/>
      </c>
      <c r="K626" s="64"/>
      <c r="L626" s="65"/>
      <c r="M626" s="66"/>
      <c r="N626" s="66"/>
      <c r="O626" s="79"/>
      <c r="P626" s="26"/>
      <c r="Q626" s="58"/>
      <c r="R626" s="58"/>
      <c r="S626" s="80"/>
      <c r="T626" s="68" t="str">
        <f aca="false">IF(LEFT(S626,1)="9","Celular",IF(S626="","","Fixo"))</f>
        <v/>
      </c>
      <c r="U626" s="58" t="str">
        <f aca="false">IF( T626&lt;&gt;"",VLOOKUP(T626,Selects!$M$4:$N$1000,2,0),"")</f>
        <v/>
      </c>
      <c r="V626" s="26"/>
      <c r="W626" s="58"/>
      <c r="X626" s="58"/>
      <c r="Y626" s="58"/>
      <c r="Z626" s="58"/>
      <c r="AA626" s="69"/>
      <c r="AB626" s="58"/>
      <c r="AC626" s="58"/>
      <c r="AD626" s="70" t="str">
        <f aca="false">IF(AC626&lt;&gt;"",VLOOKUP(AC626,Selects!$B$4:$C$100,2,0),"")</f>
        <v/>
      </c>
      <c r="AE626" s="26"/>
      <c r="AF626" s="58"/>
      <c r="AG626" s="59"/>
      <c r="AH626" s="65"/>
      <c r="AI626" s="66"/>
      <c r="AJ626" s="66"/>
      <c r="AK626" s="58"/>
      <c r="AL626" s="58"/>
      <c r="AM626" s="68" t="str">
        <f aca="false">IF(LEFT(AL626,1)="9","Celular",IF(AL626="","","Fixo"))</f>
        <v/>
      </c>
      <c r="AN626" s="58" t="str">
        <f aca="false">IF( AM626&lt;&gt;"",VLOOKUP(AM626,Selects!$M$4:$N$1000,2,0),"")</f>
        <v/>
      </c>
      <c r="AO626" s="58"/>
      <c r="AP626" s="59"/>
      <c r="AQ626" s="65"/>
      <c r="AR626" s="58"/>
      <c r="AS626" s="58"/>
      <c r="AT626" s="26"/>
      <c r="AU626" s="58"/>
      <c r="AV626" s="58"/>
      <c r="AW626" s="58"/>
      <c r="AX626" s="58"/>
      <c r="AY626" s="71"/>
      <c r="AZ626" s="58"/>
      <c r="BA626" s="58"/>
      <c r="BB626" s="72" t="str">
        <f aca="false">IF(BA626&lt;&gt;"",VLOOKUP(BA626,Selects!$B$4:$C$100,2,0),"")</f>
        <v/>
      </c>
      <c r="BC626" s="26"/>
      <c r="BD626" s="26"/>
      <c r="BE626" s="73"/>
      <c r="BF626" s="74"/>
      <c r="BG626" s="75" t="str">
        <f aca="false">IF(LEN(BF626)=11,"PF",IF(LEN(BF626)=14,"PJ",""))</f>
        <v/>
      </c>
      <c r="BH626" s="66"/>
      <c r="BI626" s="58" t="str">
        <f aca="false">IF(BH626&lt;&gt;"",VLOOKUP(BH626,Selects!$G:$H,2,0),"")</f>
        <v/>
      </c>
      <c r="BJ626" s="58"/>
      <c r="BK626" s="58"/>
      <c r="BL626" s="59"/>
      <c r="BM626" s="58"/>
      <c r="BN626" s="58"/>
      <c r="BO626" s="58" t="str">
        <f aca="false">IF(BN626&lt;&gt;"",VLOOKUP(BN626,Selects!$J$4:$K$1000,2,0),"")</f>
        <v/>
      </c>
      <c r="BP626" s="76"/>
      <c r="BQ626" s="59"/>
      <c r="BR626" s="77"/>
      <c r="BS626" s="59"/>
      <c r="BT626" s="77"/>
      <c r="BU626" s="58"/>
      <c r="BV626" s="58"/>
      <c r="BW626" s="58"/>
      <c r="BX626" s="58"/>
      <c r="BY626" s="58"/>
      <c r="BZ626" s="58"/>
      <c r="CA626" s="58"/>
      <c r="CB626" s="72" t="str">
        <f aca="false">IF(AC626&lt;&gt;"",VLOOKUP(AC626,Selects!$B:$E,4,0),"")</f>
        <v/>
      </c>
      <c r="CC626" s="58"/>
      <c r="CD626" s="58"/>
      <c r="CE626" s="58"/>
    </row>
    <row r="627" customFormat="false" ht="15.75" hidden="false" customHeight="true" outlineLevel="0" collapsed="false">
      <c r="A627" s="17"/>
      <c r="B627" s="58"/>
      <c r="C627" s="58"/>
      <c r="D627" s="59"/>
      <c r="E627" s="60" t="str">
        <f aca="false">IF(LEN(D627)=11,"PF",IF(LEN(D627)=14,"PJ",""))</f>
        <v/>
      </c>
      <c r="F627" s="59"/>
      <c r="G627" s="59"/>
      <c r="H627" s="61" t="str">
        <f aca="false">IF(G627&lt;&gt;"",VLOOKUP(G627,'Cnae  mcc  id'!$A:$M,9,0),"")</f>
        <v/>
      </c>
      <c r="I627" s="62"/>
      <c r="J627" s="63" t="str">
        <f aca="false">IF(I627&lt;&gt;"",VLOOKUP(I627,'Legal Nature'!$E$2:$G$84,3,0),"")</f>
        <v/>
      </c>
      <c r="K627" s="64"/>
      <c r="L627" s="65"/>
      <c r="M627" s="66"/>
      <c r="N627" s="66"/>
      <c r="O627" s="79"/>
      <c r="P627" s="26"/>
      <c r="Q627" s="58"/>
      <c r="R627" s="58"/>
      <c r="S627" s="80"/>
      <c r="T627" s="68" t="str">
        <f aca="false">IF(LEFT(S627,1)="9","Celular",IF(S627="","","Fixo"))</f>
        <v/>
      </c>
      <c r="U627" s="58" t="str">
        <f aca="false">IF( T627&lt;&gt;"",VLOOKUP(T627,Selects!$M$4:$N$1000,2,0),"")</f>
        <v/>
      </c>
      <c r="V627" s="26"/>
      <c r="W627" s="58"/>
      <c r="X627" s="58"/>
      <c r="Y627" s="58"/>
      <c r="Z627" s="58"/>
      <c r="AA627" s="69"/>
      <c r="AB627" s="58"/>
      <c r="AC627" s="58"/>
      <c r="AD627" s="70" t="str">
        <f aca="false">IF(AC627&lt;&gt;"",VLOOKUP(AC627,Selects!$B$4:$C$100,2,0),"")</f>
        <v/>
      </c>
      <c r="AE627" s="26"/>
      <c r="AF627" s="58"/>
      <c r="AG627" s="59"/>
      <c r="AH627" s="65"/>
      <c r="AI627" s="66"/>
      <c r="AJ627" s="66"/>
      <c r="AK627" s="58"/>
      <c r="AL627" s="58"/>
      <c r="AM627" s="68" t="str">
        <f aca="false">IF(LEFT(AL627,1)="9","Celular",IF(AL627="","","Fixo"))</f>
        <v/>
      </c>
      <c r="AN627" s="58" t="str">
        <f aca="false">IF( AM627&lt;&gt;"",VLOOKUP(AM627,Selects!$M$4:$N$1000,2,0),"")</f>
        <v/>
      </c>
      <c r="AO627" s="58"/>
      <c r="AP627" s="59"/>
      <c r="AQ627" s="65"/>
      <c r="AR627" s="58"/>
      <c r="AS627" s="58"/>
      <c r="AT627" s="26"/>
      <c r="AU627" s="58"/>
      <c r="AV627" s="58"/>
      <c r="AW627" s="58"/>
      <c r="AX627" s="58"/>
      <c r="AY627" s="71"/>
      <c r="AZ627" s="58"/>
      <c r="BA627" s="58"/>
      <c r="BB627" s="72" t="str">
        <f aca="false">IF(BA627&lt;&gt;"",VLOOKUP(BA627,Selects!$B$4:$C$100,2,0),"")</f>
        <v/>
      </c>
      <c r="BC627" s="26"/>
      <c r="BD627" s="26"/>
      <c r="BE627" s="73"/>
      <c r="BF627" s="74"/>
      <c r="BG627" s="75" t="str">
        <f aca="false">IF(LEN(BF627)=11,"PF",IF(LEN(BF627)=14,"PJ",""))</f>
        <v/>
      </c>
      <c r="BH627" s="66"/>
      <c r="BI627" s="58" t="str">
        <f aca="false">IF(BH627&lt;&gt;"",VLOOKUP(BH627,Selects!$G:$H,2,0),"")</f>
        <v/>
      </c>
      <c r="BJ627" s="58"/>
      <c r="BK627" s="58"/>
      <c r="BL627" s="59"/>
      <c r="BM627" s="58"/>
      <c r="BN627" s="58"/>
      <c r="BO627" s="58" t="str">
        <f aca="false">IF(BN627&lt;&gt;"",VLOOKUP(BN627,Selects!$J$4:$K$1000,2,0),"")</f>
        <v/>
      </c>
      <c r="BP627" s="76"/>
      <c r="BQ627" s="59"/>
      <c r="BR627" s="77"/>
      <c r="BS627" s="59"/>
      <c r="BT627" s="77"/>
      <c r="BU627" s="58"/>
      <c r="BV627" s="58"/>
      <c r="BW627" s="58"/>
      <c r="BX627" s="58"/>
      <c r="BY627" s="58"/>
      <c r="BZ627" s="58"/>
      <c r="CA627" s="58"/>
      <c r="CB627" s="72" t="str">
        <f aca="false">IF(AC627&lt;&gt;"",VLOOKUP(AC627,Selects!$B:$E,4,0),"")</f>
        <v/>
      </c>
      <c r="CC627" s="58"/>
      <c r="CD627" s="58"/>
      <c r="CE627" s="58"/>
    </row>
    <row r="628" customFormat="false" ht="15.75" hidden="false" customHeight="true" outlineLevel="0" collapsed="false">
      <c r="A628" s="17"/>
      <c r="B628" s="58"/>
      <c r="C628" s="58"/>
      <c r="D628" s="59"/>
      <c r="E628" s="60" t="str">
        <f aca="false">IF(LEN(D628)=11,"PF",IF(LEN(D628)=14,"PJ",""))</f>
        <v/>
      </c>
      <c r="F628" s="59"/>
      <c r="G628" s="59"/>
      <c r="H628" s="61" t="str">
        <f aca="false">IF(G628&lt;&gt;"",VLOOKUP(G628,'Cnae  mcc  id'!$A:$M,9,0),"")</f>
        <v/>
      </c>
      <c r="I628" s="62"/>
      <c r="J628" s="63" t="str">
        <f aca="false">IF(I628&lt;&gt;"",VLOOKUP(I628,'Legal Nature'!$E$2:$G$84,3,0),"")</f>
        <v/>
      </c>
      <c r="K628" s="64"/>
      <c r="L628" s="65"/>
      <c r="M628" s="66"/>
      <c r="N628" s="66"/>
      <c r="O628" s="79"/>
      <c r="P628" s="26"/>
      <c r="Q628" s="58"/>
      <c r="R628" s="58"/>
      <c r="S628" s="80"/>
      <c r="T628" s="68" t="str">
        <f aca="false">IF(LEFT(S628,1)="9","Celular",IF(S628="","","Fixo"))</f>
        <v/>
      </c>
      <c r="U628" s="58" t="str">
        <f aca="false">IF( T628&lt;&gt;"",VLOOKUP(T628,Selects!$M$4:$N$1000,2,0),"")</f>
        <v/>
      </c>
      <c r="V628" s="26"/>
      <c r="W628" s="58"/>
      <c r="X628" s="58"/>
      <c r="Y628" s="58"/>
      <c r="Z628" s="58"/>
      <c r="AA628" s="69"/>
      <c r="AB628" s="58"/>
      <c r="AC628" s="58"/>
      <c r="AD628" s="70" t="str">
        <f aca="false">IF(AC628&lt;&gt;"",VLOOKUP(AC628,Selects!$B$4:$C$100,2,0),"")</f>
        <v/>
      </c>
      <c r="AE628" s="26"/>
      <c r="AF628" s="58"/>
      <c r="AG628" s="59"/>
      <c r="AH628" s="65"/>
      <c r="AI628" s="66"/>
      <c r="AJ628" s="66"/>
      <c r="AK628" s="58"/>
      <c r="AL628" s="58"/>
      <c r="AM628" s="68" t="str">
        <f aca="false">IF(LEFT(AL628,1)="9","Celular",IF(AL628="","","Fixo"))</f>
        <v/>
      </c>
      <c r="AN628" s="58" t="str">
        <f aca="false">IF( AM628&lt;&gt;"",VLOOKUP(AM628,Selects!$M$4:$N$1000,2,0),"")</f>
        <v/>
      </c>
      <c r="AO628" s="58"/>
      <c r="AP628" s="59"/>
      <c r="AQ628" s="65"/>
      <c r="AR628" s="58"/>
      <c r="AS628" s="58"/>
      <c r="AT628" s="26"/>
      <c r="AU628" s="58"/>
      <c r="AV628" s="58"/>
      <c r="AW628" s="58"/>
      <c r="AX628" s="58"/>
      <c r="AY628" s="71"/>
      <c r="AZ628" s="58"/>
      <c r="BA628" s="58"/>
      <c r="BB628" s="72" t="str">
        <f aca="false">IF(BA628&lt;&gt;"",VLOOKUP(BA628,Selects!$B$4:$C$100,2,0),"")</f>
        <v/>
      </c>
      <c r="BC628" s="26"/>
      <c r="BD628" s="26"/>
      <c r="BE628" s="73"/>
      <c r="BF628" s="74"/>
      <c r="BG628" s="75" t="str">
        <f aca="false">IF(LEN(BF628)=11,"PF",IF(LEN(BF628)=14,"PJ",""))</f>
        <v/>
      </c>
      <c r="BH628" s="66"/>
      <c r="BI628" s="58" t="str">
        <f aca="false">IF(BH628&lt;&gt;"",VLOOKUP(BH628,Selects!$G:$H,2,0),"")</f>
        <v/>
      </c>
      <c r="BJ628" s="58"/>
      <c r="BK628" s="58"/>
      <c r="BL628" s="59"/>
      <c r="BM628" s="58"/>
      <c r="BN628" s="58"/>
      <c r="BO628" s="58" t="str">
        <f aca="false">IF(BN628&lt;&gt;"",VLOOKUP(BN628,Selects!$J$4:$K$1000,2,0),"")</f>
        <v/>
      </c>
      <c r="BP628" s="76"/>
      <c r="BQ628" s="59"/>
      <c r="BR628" s="77"/>
      <c r="BS628" s="59"/>
      <c r="BT628" s="77"/>
      <c r="BU628" s="58"/>
      <c r="BV628" s="58"/>
      <c r="BW628" s="58"/>
      <c r="BX628" s="58"/>
      <c r="BY628" s="58"/>
      <c r="BZ628" s="58"/>
      <c r="CA628" s="58"/>
      <c r="CB628" s="72" t="str">
        <f aca="false">IF(AC628&lt;&gt;"",VLOOKUP(AC628,Selects!$B:$E,4,0),"")</f>
        <v/>
      </c>
      <c r="CC628" s="58"/>
      <c r="CD628" s="58"/>
      <c r="CE628" s="58"/>
    </row>
    <row r="629" customFormat="false" ht="15.75" hidden="false" customHeight="true" outlineLevel="0" collapsed="false">
      <c r="A629" s="17"/>
      <c r="B629" s="58"/>
      <c r="C629" s="58"/>
      <c r="D629" s="59"/>
      <c r="E629" s="60" t="str">
        <f aca="false">IF(LEN(D629)=11,"PF",IF(LEN(D629)=14,"PJ",""))</f>
        <v/>
      </c>
      <c r="F629" s="59"/>
      <c r="G629" s="59"/>
      <c r="H629" s="61" t="str">
        <f aca="false">IF(G629&lt;&gt;"",VLOOKUP(G629,'Cnae  mcc  id'!$A:$M,9,0),"")</f>
        <v/>
      </c>
      <c r="I629" s="62"/>
      <c r="J629" s="63" t="str">
        <f aca="false">IF(I629&lt;&gt;"",VLOOKUP(I629,'Legal Nature'!$E$2:$G$84,3,0),"")</f>
        <v/>
      </c>
      <c r="K629" s="64"/>
      <c r="L629" s="65"/>
      <c r="M629" s="66"/>
      <c r="N629" s="66"/>
      <c r="O629" s="79"/>
      <c r="P629" s="26"/>
      <c r="Q629" s="58"/>
      <c r="R629" s="58"/>
      <c r="S629" s="80"/>
      <c r="T629" s="68" t="str">
        <f aca="false">IF(LEFT(S629,1)="9","Celular",IF(S629="","","Fixo"))</f>
        <v/>
      </c>
      <c r="U629" s="58" t="str">
        <f aca="false">IF( T629&lt;&gt;"",VLOOKUP(T629,Selects!$M$4:$N$1000,2,0),"")</f>
        <v/>
      </c>
      <c r="V629" s="26"/>
      <c r="W629" s="58"/>
      <c r="X629" s="58"/>
      <c r="Y629" s="58"/>
      <c r="Z629" s="58"/>
      <c r="AA629" s="69"/>
      <c r="AB629" s="58"/>
      <c r="AC629" s="58"/>
      <c r="AD629" s="70" t="str">
        <f aca="false">IF(AC629&lt;&gt;"",VLOOKUP(AC629,Selects!$B$4:$C$100,2,0),"")</f>
        <v/>
      </c>
      <c r="AE629" s="26"/>
      <c r="AF629" s="58"/>
      <c r="AG629" s="59"/>
      <c r="AH629" s="65"/>
      <c r="AI629" s="66"/>
      <c r="AJ629" s="66"/>
      <c r="AK629" s="58"/>
      <c r="AL629" s="58"/>
      <c r="AM629" s="68" t="str">
        <f aca="false">IF(LEFT(AL629,1)="9","Celular",IF(AL629="","","Fixo"))</f>
        <v/>
      </c>
      <c r="AN629" s="58" t="str">
        <f aca="false">IF( AM629&lt;&gt;"",VLOOKUP(AM629,Selects!$M$4:$N$1000,2,0),"")</f>
        <v/>
      </c>
      <c r="AO629" s="58"/>
      <c r="AP629" s="59"/>
      <c r="AQ629" s="65"/>
      <c r="AR629" s="58"/>
      <c r="AS629" s="58"/>
      <c r="AT629" s="26"/>
      <c r="AU629" s="58"/>
      <c r="AV629" s="58"/>
      <c r="AW629" s="58"/>
      <c r="AX629" s="58"/>
      <c r="AY629" s="71"/>
      <c r="AZ629" s="58"/>
      <c r="BA629" s="58"/>
      <c r="BB629" s="72" t="str">
        <f aca="false">IF(BA629&lt;&gt;"",VLOOKUP(BA629,Selects!$B$4:$C$100,2,0),"")</f>
        <v/>
      </c>
      <c r="BC629" s="26"/>
      <c r="BD629" s="26"/>
      <c r="BE629" s="73"/>
      <c r="BF629" s="74"/>
      <c r="BG629" s="75" t="str">
        <f aca="false">IF(LEN(BF629)=11,"PF",IF(LEN(BF629)=14,"PJ",""))</f>
        <v/>
      </c>
      <c r="BH629" s="66"/>
      <c r="BI629" s="58" t="str">
        <f aca="false">IF(BH629&lt;&gt;"",VLOOKUP(BH629,Selects!$G:$H,2,0),"")</f>
        <v/>
      </c>
      <c r="BJ629" s="58"/>
      <c r="BK629" s="58"/>
      <c r="BL629" s="59"/>
      <c r="BM629" s="58"/>
      <c r="BN629" s="58"/>
      <c r="BO629" s="58" t="str">
        <f aca="false">IF(BN629&lt;&gt;"",VLOOKUP(BN629,Selects!$J$4:$K$1000,2,0),"")</f>
        <v/>
      </c>
      <c r="BP629" s="76"/>
      <c r="BQ629" s="59"/>
      <c r="BR629" s="77"/>
      <c r="BS629" s="59"/>
      <c r="BT629" s="77"/>
      <c r="BU629" s="58"/>
      <c r="BV629" s="58"/>
      <c r="BW629" s="58"/>
      <c r="BX629" s="58"/>
      <c r="BY629" s="58"/>
      <c r="BZ629" s="58"/>
      <c r="CA629" s="58"/>
      <c r="CB629" s="72" t="str">
        <f aca="false">IF(AC629&lt;&gt;"",VLOOKUP(AC629,Selects!$B:$E,4,0),"")</f>
        <v/>
      </c>
      <c r="CC629" s="58"/>
      <c r="CD629" s="58"/>
      <c r="CE629" s="58"/>
    </row>
    <row r="630" customFormat="false" ht="15.75" hidden="false" customHeight="true" outlineLevel="0" collapsed="false">
      <c r="A630" s="17"/>
      <c r="B630" s="58"/>
      <c r="C630" s="58"/>
      <c r="D630" s="59"/>
      <c r="E630" s="60" t="str">
        <f aca="false">IF(LEN(D630)=11,"PF",IF(LEN(D630)=14,"PJ",""))</f>
        <v/>
      </c>
      <c r="F630" s="59"/>
      <c r="G630" s="59"/>
      <c r="H630" s="61" t="str">
        <f aca="false">IF(G630&lt;&gt;"",VLOOKUP(G630,'Cnae  mcc  id'!$A:$M,9,0),"")</f>
        <v/>
      </c>
      <c r="I630" s="62"/>
      <c r="J630" s="63" t="str">
        <f aca="false">IF(I630&lt;&gt;"",VLOOKUP(I630,'Legal Nature'!$E$2:$G$84,3,0),"")</f>
        <v/>
      </c>
      <c r="K630" s="64"/>
      <c r="L630" s="65"/>
      <c r="M630" s="66"/>
      <c r="N630" s="66"/>
      <c r="O630" s="79"/>
      <c r="P630" s="26"/>
      <c r="Q630" s="58"/>
      <c r="R630" s="58"/>
      <c r="S630" s="80"/>
      <c r="T630" s="68" t="str">
        <f aca="false">IF(LEFT(S630,1)="9","Celular",IF(S630="","","Fixo"))</f>
        <v/>
      </c>
      <c r="U630" s="58" t="str">
        <f aca="false">IF( T630&lt;&gt;"",VLOOKUP(T630,Selects!$M$4:$N$1000,2,0),"")</f>
        <v/>
      </c>
      <c r="V630" s="26"/>
      <c r="W630" s="58"/>
      <c r="X630" s="58"/>
      <c r="Y630" s="58"/>
      <c r="Z630" s="58"/>
      <c r="AA630" s="69"/>
      <c r="AB630" s="58"/>
      <c r="AC630" s="58"/>
      <c r="AD630" s="70" t="str">
        <f aca="false">IF(AC630&lt;&gt;"",VLOOKUP(AC630,Selects!$B$4:$C$100,2,0),"")</f>
        <v/>
      </c>
      <c r="AE630" s="26"/>
      <c r="AF630" s="58"/>
      <c r="AG630" s="59"/>
      <c r="AH630" s="65"/>
      <c r="AI630" s="66"/>
      <c r="AJ630" s="66"/>
      <c r="AK630" s="58"/>
      <c r="AL630" s="58"/>
      <c r="AM630" s="68" t="str">
        <f aca="false">IF(LEFT(AL630,1)="9","Celular",IF(AL630="","","Fixo"))</f>
        <v/>
      </c>
      <c r="AN630" s="58" t="str">
        <f aca="false">IF( AM630&lt;&gt;"",VLOOKUP(AM630,Selects!$M$4:$N$1000,2,0),"")</f>
        <v/>
      </c>
      <c r="AO630" s="58"/>
      <c r="AP630" s="59"/>
      <c r="AQ630" s="65"/>
      <c r="AR630" s="58"/>
      <c r="AS630" s="58"/>
      <c r="AT630" s="26"/>
      <c r="AU630" s="58"/>
      <c r="AV630" s="58"/>
      <c r="AW630" s="58"/>
      <c r="AX630" s="58"/>
      <c r="AY630" s="71"/>
      <c r="AZ630" s="58"/>
      <c r="BA630" s="58"/>
      <c r="BB630" s="72" t="str">
        <f aca="false">IF(BA630&lt;&gt;"",VLOOKUP(BA630,Selects!$B$4:$C$100,2,0),"")</f>
        <v/>
      </c>
      <c r="BC630" s="26"/>
      <c r="BD630" s="26"/>
      <c r="BE630" s="73"/>
      <c r="BF630" s="74"/>
      <c r="BG630" s="75" t="str">
        <f aca="false">IF(LEN(BF630)=11,"PF",IF(LEN(BF630)=14,"PJ",""))</f>
        <v/>
      </c>
      <c r="BH630" s="66"/>
      <c r="BI630" s="58" t="str">
        <f aca="false">IF(BH630&lt;&gt;"",VLOOKUP(BH630,Selects!$G:$H,2,0),"")</f>
        <v/>
      </c>
      <c r="BJ630" s="58"/>
      <c r="BK630" s="58"/>
      <c r="BL630" s="59"/>
      <c r="BM630" s="58"/>
      <c r="BN630" s="58"/>
      <c r="BO630" s="58" t="str">
        <f aca="false">IF(BN630&lt;&gt;"",VLOOKUP(BN630,Selects!$J$4:$K$1000,2,0),"")</f>
        <v/>
      </c>
      <c r="BP630" s="76"/>
      <c r="BQ630" s="59"/>
      <c r="BR630" s="77"/>
      <c r="BS630" s="59"/>
      <c r="BT630" s="77"/>
      <c r="BU630" s="58"/>
      <c r="BV630" s="58"/>
      <c r="BW630" s="58"/>
      <c r="BX630" s="58"/>
      <c r="BY630" s="58"/>
      <c r="BZ630" s="58"/>
      <c r="CA630" s="58"/>
      <c r="CB630" s="72" t="str">
        <f aca="false">IF(AC630&lt;&gt;"",VLOOKUP(AC630,Selects!$B:$E,4,0),"")</f>
        <v/>
      </c>
      <c r="CC630" s="58"/>
      <c r="CD630" s="58"/>
      <c r="CE630" s="58"/>
    </row>
    <row r="631" customFormat="false" ht="15.75" hidden="false" customHeight="true" outlineLevel="0" collapsed="false">
      <c r="A631" s="17"/>
      <c r="B631" s="58"/>
      <c r="C631" s="58"/>
      <c r="D631" s="59"/>
      <c r="E631" s="60" t="str">
        <f aca="false">IF(LEN(D631)=11,"PF",IF(LEN(D631)=14,"PJ",""))</f>
        <v/>
      </c>
      <c r="F631" s="59"/>
      <c r="G631" s="59"/>
      <c r="H631" s="61" t="str">
        <f aca="false">IF(G631&lt;&gt;"",VLOOKUP(G631,'Cnae  mcc  id'!$A:$M,9,0),"")</f>
        <v/>
      </c>
      <c r="I631" s="62"/>
      <c r="J631" s="63" t="str">
        <f aca="false">IF(I631&lt;&gt;"",VLOOKUP(I631,'Legal Nature'!$E$2:$G$84,3,0),"")</f>
        <v/>
      </c>
      <c r="K631" s="64"/>
      <c r="L631" s="65"/>
      <c r="M631" s="66"/>
      <c r="N631" s="66"/>
      <c r="O631" s="79"/>
      <c r="P631" s="26"/>
      <c r="Q631" s="58"/>
      <c r="R631" s="58"/>
      <c r="S631" s="80"/>
      <c r="T631" s="68" t="str">
        <f aca="false">IF(LEFT(S631,1)="9","Celular",IF(S631="","","Fixo"))</f>
        <v/>
      </c>
      <c r="U631" s="58" t="str">
        <f aca="false">IF( T631&lt;&gt;"",VLOOKUP(T631,Selects!$M$4:$N$1000,2,0),"")</f>
        <v/>
      </c>
      <c r="V631" s="26"/>
      <c r="W631" s="58"/>
      <c r="X631" s="58"/>
      <c r="Y631" s="58"/>
      <c r="Z631" s="58"/>
      <c r="AA631" s="69"/>
      <c r="AB631" s="58"/>
      <c r="AC631" s="58"/>
      <c r="AD631" s="70" t="str">
        <f aca="false">IF(AC631&lt;&gt;"",VLOOKUP(AC631,Selects!$B$4:$C$100,2,0),"")</f>
        <v/>
      </c>
      <c r="AE631" s="26"/>
      <c r="AF631" s="58"/>
      <c r="AG631" s="59"/>
      <c r="AH631" s="65"/>
      <c r="AI631" s="66"/>
      <c r="AJ631" s="66"/>
      <c r="AK631" s="58"/>
      <c r="AL631" s="58"/>
      <c r="AM631" s="68" t="str">
        <f aca="false">IF(LEFT(AL631,1)="9","Celular",IF(AL631="","","Fixo"))</f>
        <v/>
      </c>
      <c r="AN631" s="58" t="str">
        <f aca="false">IF( AM631&lt;&gt;"",VLOOKUP(AM631,Selects!$M$4:$N$1000,2,0),"")</f>
        <v/>
      </c>
      <c r="AO631" s="58"/>
      <c r="AP631" s="59"/>
      <c r="AQ631" s="65"/>
      <c r="AR631" s="58"/>
      <c r="AS631" s="58"/>
      <c r="AT631" s="26"/>
      <c r="AU631" s="58"/>
      <c r="AV631" s="58"/>
      <c r="AW631" s="58"/>
      <c r="AX631" s="58"/>
      <c r="AY631" s="71"/>
      <c r="AZ631" s="58"/>
      <c r="BA631" s="58"/>
      <c r="BB631" s="72" t="str">
        <f aca="false">IF(BA631&lt;&gt;"",VLOOKUP(BA631,Selects!$B$4:$C$100,2,0),"")</f>
        <v/>
      </c>
      <c r="BC631" s="26"/>
      <c r="BD631" s="26"/>
      <c r="BE631" s="73"/>
      <c r="BF631" s="74"/>
      <c r="BG631" s="75" t="str">
        <f aca="false">IF(LEN(BF631)=11,"PF",IF(LEN(BF631)=14,"PJ",""))</f>
        <v/>
      </c>
      <c r="BH631" s="66"/>
      <c r="BI631" s="58" t="str">
        <f aca="false">IF(BH631&lt;&gt;"",VLOOKUP(BH631,Selects!$G:$H,2,0),"")</f>
        <v/>
      </c>
      <c r="BJ631" s="58"/>
      <c r="BK631" s="58"/>
      <c r="BL631" s="59"/>
      <c r="BM631" s="58"/>
      <c r="BN631" s="58"/>
      <c r="BO631" s="58" t="str">
        <f aca="false">IF(BN631&lt;&gt;"",VLOOKUP(BN631,Selects!$J$4:$K$1000,2,0),"")</f>
        <v/>
      </c>
      <c r="BP631" s="76"/>
      <c r="BQ631" s="59"/>
      <c r="BR631" s="77"/>
      <c r="BS631" s="59"/>
      <c r="BT631" s="77"/>
      <c r="BU631" s="58"/>
      <c r="BV631" s="58"/>
      <c r="BW631" s="58"/>
      <c r="BX631" s="58"/>
      <c r="BY631" s="58"/>
      <c r="BZ631" s="58"/>
      <c r="CA631" s="58"/>
      <c r="CB631" s="72" t="str">
        <f aca="false">IF(AC631&lt;&gt;"",VLOOKUP(AC631,Selects!$B:$E,4,0),"")</f>
        <v/>
      </c>
      <c r="CC631" s="58"/>
      <c r="CD631" s="58"/>
      <c r="CE631" s="58"/>
    </row>
    <row r="632" customFormat="false" ht="15.75" hidden="false" customHeight="true" outlineLevel="0" collapsed="false">
      <c r="A632" s="17"/>
      <c r="B632" s="58"/>
      <c r="C632" s="58"/>
      <c r="D632" s="59"/>
      <c r="E632" s="60" t="str">
        <f aca="false">IF(LEN(D632)=11,"PF",IF(LEN(D632)=14,"PJ",""))</f>
        <v/>
      </c>
      <c r="F632" s="59"/>
      <c r="G632" s="59"/>
      <c r="H632" s="61" t="str">
        <f aca="false">IF(G632&lt;&gt;"",VLOOKUP(G632,'Cnae  mcc  id'!$A:$M,9,0),"")</f>
        <v/>
      </c>
      <c r="I632" s="62"/>
      <c r="J632" s="63" t="str">
        <f aca="false">IF(I632&lt;&gt;"",VLOOKUP(I632,'Legal Nature'!$E$2:$G$84,3,0),"")</f>
        <v/>
      </c>
      <c r="K632" s="64"/>
      <c r="L632" s="65"/>
      <c r="M632" s="66"/>
      <c r="N632" s="66"/>
      <c r="O632" s="79"/>
      <c r="P632" s="26"/>
      <c r="Q632" s="58"/>
      <c r="R632" s="58"/>
      <c r="S632" s="80"/>
      <c r="T632" s="68" t="str">
        <f aca="false">IF(LEFT(S632,1)="9","Celular",IF(S632="","","Fixo"))</f>
        <v/>
      </c>
      <c r="U632" s="58" t="str">
        <f aca="false">IF( T632&lt;&gt;"",VLOOKUP(T632,Selects!$M$4:$N$1000,2,0),"")</f>
        <v/>
      </c>
      <c r="V632" s="26"/>
      <c r="W632" s="58"/>
      <c r="X632" s="58"/>
      <c r="Y632" s="58"/>
      <c r="Z632" s="58"/>
      <c r="AA632" s="69"/>
      <c r="AB632" s="58"/>
      <c r="AC632" s="58"/>
      <c r="AD632" s="70" t="str">
        <f aca="false">IF(AC632&lt;&gt;"",VLOOKUP(AC632,Selects!$B$4:$C$100,2,0),"")</f>
        <v/>
      </c>
      <c r="AE632" s="26"/>
      <c r="AF632" s="58"/>
      <c r="AG632" s="59"/>
      <c r="AH632" s="65"/>
      <c r="AI632" s="66"/>
      <c r="AJ632" s="66"/>
      <c r="AK632" s="58"/>
      <c r="AL632" s="58"/>
      <c r="AM632" s="68" t="str">
        <f aca="false">IF(LEFT(AL632,1)="9","Celular",IF(AL632="","","Fixo"))</f>
        <v/>
      </c>
      <c r="AN632" s="58" t="str">
        <f aca="false">IF( AM632&lt;&gt;"",VLOOKUP(AM632,Selects!$M$4:$N$1000,2,0),"")</f>
        <v/>
      </c>
      <c r="AO632" s="58"/>
      <c r="AP632" s="59"/>
      <c r="AQ632" s="65"/>
      <c r="AR632" s="58"/>
      <c r="AS632" s="58"/>
      <c r="AT632" s="26"/>
      <c r="AU632" s="58"/>
      <c r="AV632" s="58"/>
      <c r="AW632" s="58"/>
      <c r="AX632" s="58"/>
      <c r="AY632" s="71"/>
      <c r="AZ632" s="58"/>
      <c r="BA632" s="58"/>
      <c r="BB632" s="72" t="str">
        <f aca="false">IF(BA632&lt;&gt;"",VLOOKUP(BA632,Selects!$B$4:$C$100,2,0),"")</f>
        <v/>
      </c>
      <c r="BC632" s="26"/>
      <c r="BD632" s="26"/>
      <c r="BE632" s="73"/>
      <c r="BF632" s="74"/>
      <c r="BG632" s="75" t="str">
        <f aca="false">IF(LEN(BF632)=11,"PF",IF(LEN(BF632)=14,"PJ",""))</f>
        <v/>
      </c>
      <c r="BH632" s="66"/>
      <c r="BI632" s="58" t="str">
        <f aca="false">IF(BH632&lt;&gt;"",VLOOKUP(BH632,Selects!$G:$H,2,0),"")</f>
        <v/>
      </c>
      <c r="BJ632" s="58"/>
      <c r="BK632" s="58"/>
      <c r="BL632" s="59"/>
      <c r="BM632" s="58"/>
      <c r="BN632" s="58"/>
      <c r="BO632" s="58" t="str">
        <f aca="false">IF(BN632&lt;&gt;"",VLOOKUP(BN632,Selects!$J$4:$K$1000,2,0),"")</f>
        <v/>
      </c>
      <c r="BP632" s="76"/>
      <c r="BQ632" s="59"/>
      <c r="BR632" s="77"/>
      <c r="BS632" s="59"/>
      <c r="BT632" s="77"/>
      <c r="BU632" s="58"/>
      <c r="BV632" s="58"/>
      <c r="BW632" s="58"/>
      <c r="BX632" s="58"/>
      <c r="BY632" s="58"/>
      <c r="BZ632" s="58"/>
      <c r="CA632" s="58"/>
      <c r="CB632" s="72" t="str">
        <f aca="false">IF(AC632&lt;&gt;"",VLOOKUP(AC632,Selects!$B:$E,4,0),"")</f>
        <v/>
      </c>
      <c r="CC632" s="58"/>
      <c r="CD632" s="58"/>
      <c r="CE632" s="58"/>
    </row>
    <row r="633" customFormat="false" ht="15.75" hidden="false" customHeight="true" outlineLevel="0" collapsed="false">
      <c r="A633" s="17"/>
      <c r="B633" s="58"/>
      <c r="C633" s="58"/>
      <c r="D633" s="59"/>
      <c r="E633" s="60" t="str">
        <f aca="false">IF(LEN(D633)=11,"PF",IF(LEN(D633)=14,"PJ",""))</f>
        <v/>
      </c>
      <c r="F633" s="59"/>
      <c r="G633" s="59"/>
      <c r="H633" s="61" t="str">
        <f aca="false">IF(G633&lt;&gt;"",VLOOKUP(G633,'Cnae  mcc  id'!$A:$M,9,0),"")</f>
        <v/>
      </c>
      <c r="I633" s="62"/>
      <c r="J633" s="63" t="str">
        <f aca="false">IF(I633&lt;&gt;"",VLOOKUP(I633,'Legal Nature'!$E$2:$G$84,3,0),"")</f>
        <v/>
      </c>
      <c r="K633" s="64"/>
      <c r="L633" s="65"/>
      <c r="M633" s="66"/>
      <c r="N633" s="66"/>
      <c r="O633" s="79"/>
      <c r="P633" s="26"/>
      <c r="Q633" s="58"/>
      <c r="R633" s="58"/>
      <c r="S633" s="80"/>
      <c r="T633" s="68" t="str">
        <f aca="false">IF(LEFT(S633,1)="9","Celular",IF(S633="","","Fixo"))</f>
        <v/>
      </c>
      <c r="U633" s="58" t="str">
        <f aca="false">IF( T633&lt;&gt;"",VLOOKUP(T633,Selects!$M$4:$N$1000,2,0),"")</f>
        <v/>
      </c>
      <c r="V633" s="26"/>
      <c r="W633" s="58"/>
      <c r="X633" s="58"/>
      <c r="Y633" s="58"/>
      <c r="Z633" s="58"/>
      <c r="AA633" s="69"/>
      <c r="AB633" s="58"/>
      <c r="AC633" s="58"/>
      <c r="AD633" s="70" t="str">
        <f aca="false">IF(AC633&lt;&gt;"",VLOOKUP(AC633,Selects!$B$4:$C$100,2,0),"")</f>
        <v/>
      </c>
      <c r="AE633" s="26"/>
      <c r="AF633" s="58"/>
      <c r="AG633" s="59"/>
      <c r="AH633" s="65"/>
      <c r="AI633" s="66"/>
      <c r="AJ633" s="66"/>
      <c r="AK633" s="58"/>
      <c r="AL633" s="58"/>
      <c r="AM633" s="68" t="str">
        <f aca="false">IF(LEFT(AL633,1)="9","Celular",IF(AL633="","","Fixo"))</f>
        <v/>
      </c>
      <c r="AN633" s="58" t="str">
        <f aca="false">IF( AM633&lt;&gt;"",VLOOKUP(AM633,Selects!$M$4:$N$1000,2,0),"")</f>
        <v/>
      </c>
      <c r="AO633" s="58"/>
      <c r="AP633" s="59"/>
      <c r="AQ633" s="65"/>
      <c r="AR633" s="58"/>
      <c r="AS633" s="58"/>
      <c r="AT633" s="26"/>
      <c r="AU633" s="58"/>
      <c r="AV633" s="58"/>
      <c r="AW633" s="58"/>
      <c r="AX633" s="58"/>
      <c r="AY633" s="71"/>
      <c r="AZ633" s="58"/>
      <c r="BA633" s="58"/>
      <c r="BB633" s="72" t="str">
        <f aca="false">IF(BA633&lt;&gt;"",VLOOKUP(BA633,Selects!$B$4:$C$100,2,0),"")</f>
        <v/>
      </c>
      <c r="BC633" s="26"/>
      <c r="BD633" s="26"/>
      <c r="BE633" s="73"/>
      <c r="BF633" s="74"/>
      <c r="BG633" s="75" t="str">
        <f aca="false">IF(LEN(BF633)=11,"PF",IF(LEN(BF633)=14,"PJ",""))</f>
        <v/>
      </c>
      <c r="BH633" s="66"/>
      <c r="BI633" s="58" t="str">
        <f aca="false">IF(BH633&lt;&gt;"",VLOOKUP(BH633,Selects!$G:$H,2,0),"")</f>
        <v/>
      </c>
      <c r="BJ633" s="58"/>
      <c r="BK633" s="58"/>
      <c r="BL633" s="59"/>
      <c r="BM633" s="58"/>
      <c r="BN633" s="58"/>
      <c r="BO633" s="58" t="str">
        <f aca="false">IF(BN633&lt;&gt;"",VLOOKUP(BN633,Selects!$J$4:$K$1000,2,0),"")</f>
        <v/>
      </c>
      <c r="BP633" s="76"/>
      <c r="BQ633" s="59"/>
      <c r="BR633" s="77"/>
      <c r="BS633" s="59"/>
      <c r="BT633" s="77"/>
      <c r="BU633" s="58"/>
      <c r="BV633" s="58"/>
      <c r="BW633" s="58"/>
      <c r="BX633" s="58"/>
      <c r="BY633" s="58"/>
      <c r="BZ633" s="58"/>
      <c r="CA633" s="58"/>
      <c r="CB633" s="72" t="str">
        <f aca="false">IF(AC633&lt;&gt;"",VLOOKUP(AC633,Selects!$B:$E,4,0),"")</f>
        <v/>
      </c>
      <c r="CC633" s="58"/>
      <c r="CD633" s="58"/>
      <c r="CE633" s="58"/>
    </row>
    <row r="634" customFormat="false" ht="15.75" hidden="false" customHeight="true" outlineLevel="0" collapsed="false">
      <c r="A634" s="17"/>
      <c r="B634" s="58"/>
      <c r="C634" s="58"/>
      <c r="D634" s="59"/>
      <c r="E634" s="60" t="str">
        <f aca="false">IF(LEN(D634)=11,"PF",IF(LEN(D634)=14,"PJ",""))</f>
        <v/>
      </c>
      <c r="F634" s="59"/>
      <c r="G634" s="59"/>
      <c r="H634" s="61" t="str">
        <f aca="false">IF(G634&lt;&gt;"",VLOOKUP(G634,'Cnae  mcc  id'!$A:$M,9,0),"")</f>
        <v/>
      </c>
      <c r="I634" s="62"/>
      <c r="J634" s="63" t="str">
        <f aca="false">IF(I634&lt;&gt;"",VLOOKUP(I634,'Legal Nature'!$E$2:$G$84,3,0),"")</f>
        <v/>
      </c>
      <c r="K634" s="64"/>
      <c r="L634" s="65"/>
      <c r="M634" s="66"/>
      <c r="N634" s="66"/>
      <c r="O634" s="79"/>
      <c r="P634" s="26"/>
      <c r="Q634" s="58"/>
      <c r="R634" s="58"/>
      <c r="S634" s="80"/>
      <c r="T634" s="68" t="str">
        <f aca="false">IF(LEFT(S634,1)="9","Celular",IF(S634="","","Fixo"))</f>
        <v/>
      </c>
      <c r="U634" s="58" t="str">
        <f aca="false">IF( T634&lt;&gt;"",VLOOKUP(T634,Selects!$M$4:$N$1000,2,0),"")</f>
        <v/>
      </c>
      <c r="V634" s="26"/>
      <c r="W634" s="58"/>
      <c r="X634" s="58"/>
      <c r="Y634" s="58"/>
      <c r="Z634" s="58"/>
      <c r="AA634" s="69"/>
      <c r="AB634" s="58"/>
      <c r="AC634" s="58"/>
      <c r="AD634" s="70" t="str">
        <f aca="false">IF(AC634&lt;&gt;"",VLOOKUP(AC634,Selects!$B$4:$C$100,2,0),"")</f>
        <v/>
      </c>
      <c r="AE634" s="26"/>
      <c r="AF634" s="58"/>
      <c r="AG634" s="59"/>
      <c r="AH634" s="65"/>
      <c r="AI634" s="66"/>
      <c r="AJ634" s="66"/>
      <c r="AK634" s="58"/>
      <c r="AL634" s="58"/>
      <c r="AM634" s="68" t="str">
        <f aca="false">IF(LEFT(AL634,1)="9","Celular",IF(AL634="","","Fixo"))</f>
        <v/>
      </c>
      <c r="AN634" s="58" t="str">
        <f aca="false">IF( AM634&lt;&gt;"",VLOOKUP(AM634,Selects!$M$4:$N$1000,2,0),"")</f>
        <v/>
      </c>
      <c r="AO634" s="58"/>
      <c r="AP634" s="59"/>
      <c r="AQ634" s="65"/>
      <c r="AR634" s="58"/>
      <c r="AS634" s="58"/>
      <c r="AT634" s="26"/>
      <c r="AU634" s="58"/>
      <c r="AV634" s="58"/>
      <c r="AW634" s="58"/>
      <c r="AX634" s="58"/>
      <c r="AY634" s="71"/>
      <c r="AZ634" s="58"/>
      <c r="BA634" s="58"/>
      <c r="BB634" s="72" t="str">
        <f aca="false">IF(BA634&lt;&gt;"",VLOOKUP(BA634,Selects!$B$4:$C$100,2,0),"")</f>
        <v/>
      </c>
      <c r="BC634" s="26"/>
      <c r="BD634" s="26"/>
      <c r="BE634" s="73"/>
      <c r="BF634" s="74"/>
      <c r="BG634" s="75" t="str">
        <f aca="false">IF(LEN(BF634)=11,"PF",IF(LEN(BF634)=14,"PJ",""))</f>
        <v/>
      </c>
      <c r="BH634" s="66"/>
      <c r="BI634" s="58" t="str">
        <f aca="false">IF(BH634&lt;&gt;"",VLOOKUP(BH634,Selects!$G:$H,2,0),"")</f>
        <v/>
      </c>
      <c r="BJ634" s="58"/>
      <c r="BK634" s="58"/>
      <c r="BL634" s="59"/>
      <c r="BM634" s="58"/>
      <c r="BN634" s="58"/>
      <c r="BO634" s="58" t="str">
        <f aca="false">IF(BN634&lt;&gt;"",VLOOKUP(BN634,Selects!$J$4:$K$1000,2,0),"")</f>
        <v/>
      </c>
      <c r="BP634" s="76"/>
      <c r="BQ634" s="59"/>
      <c r="BR634" s="77"/>
      <c r="BS634" s="59"/>
      <c r="BT634" s="77"/>
      <c r="BU634" s="58"/>
      <c r="BV634" s="58"/>
      <c r="BW634" s="58"/>
      <c r="BX634" s="58"/>
      <c r="BY634" s="58"/>
      <c r="BZ634" s="58"/>
      <c r="CA634" s="58"/>
      <c r="CB634" s="72" t="str">
        <f aca="false">IF(AC634&lt;&gt;"",VLOOKUP(AC634,Selects!$B:$E,4,0),"")</f>
        <v/>
      </c>
      <c r="CC634" s="58"/>
      <c r="CD634" s="58"/>
      <c r="CE634" s="58"/>
    </row>
    <row r="635" customFormat="false" ht="15.75" hidden="false" customHeight="true" outlineLevel="0" collapsed="false">
      <c r="A635" s="17"/>
      <c r="B635" s="58"/>
      <c r="C635" s="58"/>
      <c r="D635" s="59"/>
      <c r="E635" s="60" t="str">
        <f aca="false">IF(LEN(D635)=11,"PF",IF(LEN(D635)=14,"PJ",""))</f>
        <v/>
      </c>
      <c r="F635" s="59"/>
      <c r="G635" s="59"/>
      <c r="H635" s="61" t="str">
        <f aca="false">IF(G635&lt;&gt;"",VLOOKUP(G635,'Cnae  mcc  id'!$A:$M,9,0),"")</f>
        <v/>
      </c>
      <c r="I635" s="62"/>
      <c r="J635" s="63" t="str">
        <f aca="false">IF(I635&lt;&gt;"",VLOOKUP(I635,'Legal Nature'!$E$2:$G$84,3,0),"")</f>
        <v/>
      </c>
      <c r="K635" s="64"/>
      <c r="L635" s="65"/>
      <c r="M635" s="66"/>
      <c r="N635" s="66"/>
      <c r="O635" s="79"/>
      <c r="P635" s="26"/>
      <c r="Q635" s="58"/>
      <c r="R635" s="58"/>
      <c r="S635" s="80"/>
      <c r="T635" s="68" t="str">
        <f aca="false">IF(LEFT(S635,1)="9","Celular",IF(S635="","","Fixo"))</f>
        <v/>
      </c>
      <c r="U635" s="58" t="str">
        <f aca="false">IF( T635&lt;&gt;"",VLOOKUP(T635,Selects!$M$4:$N$1000,2,0),"")</f>
        <v/>
      </c>
      <c r="V635" s="26"/>
      <c r="W635" s="58"/>
      <c r="X635" s="58"/>
      <c r="Y635" s="58"/>
      <c r="Z635" s="58"/>
      <c r="AA635" s="69"/>
      <c r="AB635" s="58"/>
      <c r="AC635" s="58"/>
      <c r="AD635" s="70" t="str">
        <f aca="false">IF(AC635&lt;&gt;"",VLOOKUP(AC635,Selects!$B$4:$C$100,2,0),"")</f>
        <v/>
      </c>
      <c r="AE635" s="26"/>
      <c r="AF635" s="58"/>
      <c r="AG635" s="59"/>
      <c r="AH635" s="65"/>
      <c r="AI635" s="66"/>
      <c r="AJ635" s="66"/>
      <c r="AK635" s="58"/>
      <c r="AL635" s="58"/>
      <c r="AM635" s="68" t="str">
        <f aca="false">IF(LEFT(AL635,1)="9","Celular",IF(AL635="","","Fixo"))</f>
        <v/>
      </c>
      <c r="AN635" s="58" t="str">
        <f aca="false">IF( AM635&lt;&gt;"",VLOOKUP(AM635,Selects!$M$4:$N$1000,2,0),"")</f>
        <v/>
      </c>
      <c r="AO635" s="58"/>
      <c r="AP635" s="59"/>
      <c r="AQ635" s="65"/>
      <c r="AR635" s="58"/>
      <c r="AS635" s="58"/>
      <c r="AT635" s="26"/>
      <c r="AU635" s="58"/>
      <c r="AV635" s="58"/>
      <c r="AW635" s="58"/>
      <c r="AX635" s="58"/>
      <c r="AY635" s="71"/>
      <c r="AZ635" s="58"/>
      <c r="BA635" s="58"/>
      <c r="BB635" s="72" t="str">
        <f aca="false">IF(BA635&lt;&gt;"",VLOOKUP(BA635,Selects!$B$4:$C$100,2,0),"")</f>
        <v/>
      </c>
      <c r="BC635" s="26"/>
      <c r="BD635" s="26"/>
      <c r="BE635" s="73"/>
      <c r="BF635" s="74"/>
      <c r="BG635" s="75" t="str">
        <f aca="false">IF(LEN(BF635)=11,"PF",IF(LEN(BF635)=14,"PJ",""))</f>
        <v/>
      </c>
      <c r="BH635" s="66"/>
      <c r="BI635" s="58" t="str">
        <f aca="false">IF(BH635&lt;&gt;"",VLOOKUP(BH635,Selects!$G:$H,2,0),"")</f>
        <v/>
      </c>
      <c r="BJ635" s="58"/>
      <c r="BK635" s="58"/>
      <c r="BL635" s="59"/>
      <c r="BM635" s="58"/>
      <c r="BN635" s="58"/>
      <c r="BO635" s="58" t="str">
        <f aca="false">IF(BN635&lt;&gt;"",VLOOKUP(BN635,Selects!$J$4:$K$1000,2,0),"")</f>
        <v/>
      </c>
      <c r="BP635" s="76"/>
      <c r="BQ635" s="59"/>
      <c r="BR635" s="77"/>
      <c r="BS635" s="59"/>
      <c r="BT635" s="77"/>
      <c r="BU635" s="58"/>
      <c r="BV635" s="58"/>
      <c r="BW635" s="58"/>
      <c r="BX635" s="58"/>
      <c r="BY635" s="58"/>
      <c r="BZ635" s="58"/>
      <c r="CA635" s="58"/>
      <c r="CB635" s="72" t="str">
        <f aca="false">IF(AC635&lt;&gt;"",VLOOKUP(AC635,Selects!$B:$E,4,0),"")</f>
        <v/>
      </c>
      <c r="CC635" s="58"/>
      <c r="CD635" s="58"/>
      <c r="CE635" s="58"/>
    </row>
    <row r="636" customFormat="false" ht="15.75" hidden="false" customHeight="true" outlineLevel="0" collapsed="false">
      <c r="A636" s="17"/>
      <c r="B636" s="58"/>
      <c r="C636" s="58"/>
      <c r="D636" s="59"/>
      <c r="E636" s="60" t="str">
        <f aca="false">IF(LEN(D636)=11,"PF",IF(LEN(D636)=14,"PJ",""))</f>
        <v/>
      </c>
      <c r="F636" s="59"/>
      <c r="G636" s="59"/>
      <c r="H636" s="61" t="str">
        <f aca="false">IF(G636&lt;&gt;"",VLOOKUP(G636,'Cnae  mcc  id'!$A:$M,9,0),"")</f>
        <v/>
      </c>
      <c r="I636" s="62"/>
      <c r="J636" s="63" t="str">
        <f aca="false">IF(I636&lt;&gt;"",VLOOKUP(I636,'Legal Nature'!$E$2:$G$84,3,0),"")</f>
        <v/>
      </c>
      <c r="K636" s="64"/>
      <c r="L636" s="65"/>
      <c r="M636" s="66"/>
      <c r="N636" s="66"/>
      <c r="O636" s="79"/>
      <c r="P636" s="26"/>
      <c r="Q636" s="58"/>
      <c r="R636" s="58"/>
      <c r="S636" s="80"/>
      <c r="T636" s="68" t="str">
        <f aca="false">IF(LEFT(S636,1)="9","Celular",IF(S636="","","Fixo"))</f>
        <v/>
      </c>
      <c r="U636" s="58" t="str">
        <f aca="false">IF( T636&lt;&gt;"",VLOOKUP(T636,Selects!$M$4:$N$1000,2,0),"")</f>
        <v/>
      </c>
      <c r="V636" s="26"/>
      <c r="W636" s="58"/>
      <c r="X636" s="58"/>
      <c r="Y636" s="58"/>
      <c r="Z636" s="58"/>
      <c r="AA636" s="69"/>
      <c r="AB636" s="58"/>
      <c r="AC636" s="58"/>
      <c r="AD636" s="70" t="str">
        <f aca="false">IF(AC636&lt;&gt;"",VLOOKUP(AC636,Selects!$B$4:$C$100,2,0),"")</f>
        <v/>
      </c>
      <c r="AE636" s="26"/>
      <c r="AF636" s="58"/>
      <c r="AG636" s="59"/>
      <c r="AH636" s="65"/>
      <c r="AI636" s="66"/>
      <c r="AJ636" s="66"/>
      <c r="AK636" s="58"/>
      <c r="AL636" s="58"/>
      <c r="AM636" s="68" t="str">
        <f aca="false">IF(LEFT(AL636,1)="9","Celular",IF(AL636="","","Fixo"))</f>
        <v/>
      </c>
      <c r="AN636" s="58" t="str">
        <f aca="false">IF( AM636&lt;&gt;"",VLOOKUP(AM636,Selects!$M$4:$N$1000,2,0),"")</f>
        <v/>
      </c>
      <c r="AO636" s="58"/>
      <c r="AP636" s="59"/>
      <c r="AQ636" s="65"/>
      <c r="AR636" s="58"/>
      <c r="AS636" s="58"/>
      <c r="AT636" s="26"/>
      <c r="AU636" s="58"/>
      <c r="AV636" s="58"/>
      <c r="AW636" s="58"/>
      <c r="AX636" s="58"/>
      <c r="AY636" s="71"/>
      <c r="AZ636" s="58"/>
      <c r="BA636" s="58"/>
      <c r="BB636" s="72" t="str">
        <f aca="false">IF(BA636&lt;&gt;"",VLOOKUP(BA636,Selects!$B$4:$C$100,2,0),"")</f>
        <v/>
      </c>
      <c r="BC636" s="26"/>
      <c r="BD636" s="26"/>
      <c r="BE636" s="73"/>
      <c r="BF636" s="74"/>
      <c r="BG636" s="75" t="str">
        <f aca="false">IF(LEN(BF636)=11,"PF",IF(LEN(BF636)=14,"PJ",""))</f>
        <v/>
      </c>
      <c r="BH636" s="66"/>
      <c r="BI636" s="58" t="str">
        <f aca="false">IF(BH636&lt;&gt;"",VLOOKUP(BH636,Selects!$G:$H,2,0),"")</f>
        <v/>
      </c>
      <c r="BJ636" s="58"/>
      <c r="BK636" s="58"/>
      <c r="BL636" s="59"/>
      <c r="BM636" s="58"/>
      <c r="BN636" s="58"/>
      <c r="BO636" s="58" t="str">
        <f aca="false">IF(BN636&lt;&gt;"",VLOOKUP(BN636,Selects!$J$4:$K$1000,2,0),"")</f>
        <v/>
      </c>
      <c r="BP636" s="76"/>
      <c r="BQ636" s="59"/>
      <c r="BR636" s="77"/>
      <c r="BS636" s="59"/>
      <c r="BT636" s="77"/>
      <c r="BU636" s="58"/>
      <c r="BV636" s="58"/>
      <c r="BW636" s="58"/>
      <c r="BX636" s="58"/>
      <c r="BY636" s="58"/>
      <c r="BZ636" s="58"/>
      <c r="CA636" s="58"/>
      <c r="CB636" s="72" t="str">
        <f aca="false">IF(AC636&lt;&gt;"",VLOOKUP(AC636,Selects!$B:$E,4,0),"")</f>
        <v/>
      </c>
      <c r="CC636" s="58"/>
      <c r="CD636" s="58"/>
      <c r="CE636" s="58"/>
    </row>
    <row r="637" customFormat="false" ht="15.75" hidden="false" customHeight="true" outlineLevel="0" collapsed="false">
      <c r="A637" s="17"/>
      <c r="B637" s="58"/>
      <c r="C637" s="58"/>
      <c r="D637" s="59"/>
      <c r="E637" s="60" t="str">
        <f aca="false">IF(LEN(D637)=11,"PF",IF(LEN(D637)=14,"PJ",""))</f>
        <v/>
      </c>
      <c r="F637" s="59"/>
      <c r="G637" s="59"/>
      <c r="H637" s="61" t="str">
        <f aca="false">IF(G637&lt;&gt;"",VLOOKUP(G637,'Cnae  mcc  id'!$A:$M,9,0),"")</f>
        <v/>
      </c>
      <c r="I637" s="62"/>
      <c r="J637" s="63" t="str">
        <f aca="false">IF(I637&lt;&gt;"",VLOOKUP(I637,'Legal Nature'!$E$2:$G$84,3,0),"")</f>
        <v/>
      </c>
      <c r="K637" s="64"/>
      <c r="L637" s="65"/>
      <c r="M637" s="66"/>
      <c r="N637" s="66"/>
      <c r="O637" s="79"/>
      <c r="P637" s="26"/>
      <c r="Q637" s="58"/>
      <c r="R637" s="58"/>
      <c r="S637" s="80"/>
      <c r="T637" s="68" t="str">
        <f aca="false">IF(LEFT(S637,1)="9","Celular",IF(S637="","","Fixo"))</f>
        <v/>
      </c>
      <c r="U637" s="58" t="str">
        <f aca="false">IF( T637&lt;&gt;"",VLOOKUP(T637,Selects!$M$4:$N$1000,2,0),"")</f>
        <v/>
      </c>
      <c r="V637" s="26"/>
      <c r="W637" s="58"/>
      <c r="X637" s="58"/>
      <c r="Y637" s="58"/>
      <c r="Z637" s="58"/>
      <c r="AA637" s="69"/>
      <c r="AB637" s="58"/>
      <c r="AC637" s="58"/>
      <c r="AD637" s="70" t="str">
        <f aca="false">IF(AC637&lt;&gt;"",VLOOKUP(AC637,Selects!$B$4:$C$100,2,0),"")</f>
        <v/>
      </c>
      <c r="AE637" s="26"/>
      <c r="AF637" s="58"/>
      <c r="AG637" s="59"/>
      <c r="AH637" s="65"/>
      <c r="AI637" s="66"/>
      <c r="AJ637" s="66"/>
      <c r="AK637" s="58"/>
      <c r="AL637" s="58"/>
      <c r="AM637" s="68" t="str">
        <f aca="false">IF(LEFT(AL637,1)="9","Celular",IF(AL637="","","Fixo"))</f>
        <v/>
      </c>
      <c r="AN637" s="58" t="str">
        <f aca="false">IF( AM637&lt;&gt;"",VLOOKUP(AM637,Selects!$M$4:$N$1000,2,0),"")</f>
        <v/>
      </c>
      <c r="AO637" s="58"/>
      <c r="AP637" s="59"/>
      <c r="AQ637" s="65"/>
      <c r="AR637" s="58"/>
      <c r="AS637" s="58"/>
      <c r="AT637" s="26"/>
      <c r="AU637" s="58"/>
      <c r="AV637" s="58"/>
      <c r="AW637" s="58"/>
      <c r="AX637" s="58"/>
      <c r="AY637" s="71"/>
      <c r="AZ637" s="58"/>
      <c r="BA637" s="58"/>
      <c r="BB637" s="72" t="str">
        <f aca="false">IF(BA637&lt;&gt;"",VLOOKUP(BA637,Selects!$B$4:$C$100,2,0),"")</f>
        <v/>
      </c>
      <c r="BC637" s="26"/>
      <c r="BD637" s="26"/>
      <c r="BE637" s="73"/>
      <c r="BF637" s="74"/>
      <c r="BG637" s="75" t="str">
        <f aca="false">IF(LEN(BF637)=11,"PF",IF(LEN(BF637)=14,"PJ",""))</f>
        <v/>
      </c>
      <c r="BH637" s="66"/>
      <c r="BI637" s="58" t="str">
        <f aca="false">IF(BH637&lt;&gt;"",VLOOKUP(BH637,Selects!$G:$H,2,0),"")</f>
        <v/>
      </c>
      <c r="BJ637" s="58"/>
      <c r="BK637" s="58"/>
      <c r="BL637" s="59"/>
      <c r="BM637" s="58"/>
      <c r="BN637" s="58"/>
      <c r="BO637" s="58" t="str">
        <f aca="false">IF(BN637&lt;&gt;"",VLOOKUP(BN637,Selects!$J$4:$K$1000,2,0),"")</f>
        <v/>
      </c>
      <c r="BP637" s="76"/>
      <c r="BQ637" s="59"/>
      <c r="BR637" s="77"/>
      <c r="BS637" s="59"/>
      <c r="BT637" s="77"/>
      <c r="BU637" s="58"/>
      <c r="BV637" s="58"/>
      <c r="BW637" s="58"/>
      <c r="BX637" s="58"/>
      <c r="BY637" s="58"/>
      <c r="BZ637" s="58"/>
      <c r="CA637" s="58"/>
      <c r="CB637" s="72" t="str">
        <f aca="false">IF(AC637&lt;&gt;"",VLOOKUP(AC637,Selects!$B:$E,4,0),"")</f>
        <v/>
      </c>
      <c r="CC637" s="58"/>
      <c r="CD637" s="58"/>
      <c r="CE637" s="58"/>
    </row>
    <row r="638" customFormat="false" ht="15.75" hidden="false" customHeight="true" outlineLevel="0" collapsed="false">
      <c r="A638" s="17"/>
      <c r="B638" s="58"/>
      <c r="C638" s="58"/>
      <c r="D638" s="59"/>
      <c r="E638" s="60" t="str">
        <f aca="false">IF(LEN(D638)=11,"PF",IF(LEN(D638)=14,"PJ",""))</f>
        <v/>
      </c>
      <c r="F638" s="59"/>
      <c r="G638" s="59"/>
      <c r="H638" s="61" t="str">
        <f aca="false">IF(G638&lt;&gt;"",VLOOKUP(G638,'Cnae  mcc  id'!$A:$M,9,0),"")</f>
        <v/>
      </c>
      <c r="I638" s="62"/>
      <c r="J638" s="63" t="str">
        <f aca="false">IF(I638&lt;&gt;"",VLOOKUP(I638,'Legal Nature'!$E$2:$G$84,3,0),"")</f>
        <v/>
      </c>
      <c r="K638" s="64"/>
      <c r="L638" s="65"/>
      <c r="M638" s="66"/>
      <c r="N638" s="66"/>
      <c r="O638" s="79"/>
      <c r="P638" s="26"/>
      <c r="Q638" s="58"/>
      <c r="R638" s="58"/>
      <c r="S638" s="80"/>
      <c r="T638" s="68" t="str">
        <f aca="false">IF(LEFT(S638,1)="9","Celular",IF(S638="","","Fixo"))</f>
        <v/>
      </c>
      <c r="U638" s="58" t="str">
        <f aca="false">IF( T638&lt;&gt;"",VLOOKUP(T638,Selects!$M$4:$N$1000,2,0),"")</f>
        <v/>
      </c>
      <c r="V638" s="26"/>
      <c r="W638" s="58"/>
      <c r="X638" s="58"/>
      <c r="Y638" s="58"/>
      <c r="Z638" s="58"/>
      <c r="AA638" s="69"/>
      <c r="AB638" s="58"/>
      <c r="AC638" s="58"/>
      <c r="AD638" s="70" t="str">
        <f aca="false">IF(AC638&lt;&gt;"",VLOOKUP(AC638,Selects!$B$4:$C$100,2,0),"")</f>
        <v/>
      </c>
      <c r="AE638" s="26"/>
      <c r="AF638" s="58"/>
      <c r="AG638" s="59"/>
      <c r="AH638" s="65"/>
      <c r="AI638" s="66"/>
      <c r="AJ638" s="66"/>
      <c r="AK638" s="58"/>
      <c r="AL638" s="58"/>
      <c r="AM638" s="68" t="str">
        <f aca="false">IF(LEFT(AL638,1)="9","Celular",IF(AL638="","","Fixo"))</f>
        <v/>
      </c>
      <c r="AN638" s="58" t="str">
        <f aca="false">IF( AM638&lt;&gt;"",VLOOKUP(AM638,Selects!$M$4:$N$1000,2,0),"")</f>
        <v/>
      </c>
      <c r="AO638" s="58"/>
      <c r="AP638" s="59"/>
      <c r="AQ638" s="65"/>
      <c r="AR638" s="58"/>
      <c r="AS638" s="58"/>
      <c r="AT638" s="26"/>
      <c r="AU638" s="58"/>
      <c r="AV638" s="58"/>
      <c r="AW638" s="58"/>
      <c r="AX638" s="58"/>
      <c r="AY638" s="71"/>
      <c r="AZ638" s="58"/>
      <c r="BA638" s="58"/>
      <c r="BB638" s="72" t="str">
        <f aca="false">IF(BA638&lt;&gt;"",VLOOKUP(BA638,Selects!$B$4:$C$100,2,0),"")</f>
        <v/>
      </c>
      <c r="BC638" s="26"/>
      <c r="BD638" s="26"/>
      <c r="BE638" s="73"/>
      <c r="BF638" s="74"/>
      <c r="BG638" s="75" t="str">
        <f aca="false">IF(LEN(BF638)=11,"PF",IF(LEN(BF638)=14,"PJ",""))</f>
        <v/>
      </c>
      <c r="BH638" s="66"/>
      <c r="BI638" s="58" t="str">
        <f aca="false">IF(BH638&lt;&gt;"",VLOOKUP(BH638,Selects!$G:$H,2,0),"")</f>
        <v/>
      </c>
      <c r="BJ638" s="58"/>
      <c r="BK638" s="58"/>
      <c r="BL638" s="59"/>
      <c r="BM638" s="58"/>
      <c r="BN638" s="58"/>
      <c r="BO638" s="58" t="str">
        <f aca="false">IF(BN638&lt;&gt;"",VLOOKUP(BN638,Selects!$J$4:$K$1000,2,0),"")</f>
        <v/>
      </c>
      <c r="BP638" s="76"/>
      <c r="BQ638" s="59"/>
      <c r="BR638" s="77"/>
      <c r="BS638" s="59"/>
      <c r="BT638" s="77"/>
      <c r="BU638" s="58"/>
      <c r="BV638" s="58"/>
      <c r="BW638" s="58"/>
      <c r="BX638" s="58"/>
      <c r="BY638" s="58"/>
      <c r="BZ638" s="58"/>
      <c r="CA638" s="58"/>
      <c r="CB638" s="72" t="str">
        <f aca="false">IF(AC638&lt;&gt;"",VLOOKUP(AC638,Selects!$B:$E,4,0),"")</f>
        <v/>
      </c>
      <c r="CC638" s="58"/>
      <c r="CD638" s="58"/>
      <c r="CE638" s="58"/>
    </row>
    <row r="639" customFormat="false" ht="15.75" hidden="false" customHeight="true" outlineLevel="0" collapsed="false">
      <c r="A639" s="17"/>
      <c r="B639" s="58"/>
      <c r="C639" s="58"/>
      <c r="D639" s="59"/>
      <c r="E639" s="60" t="str">
        <f aca="false">IF(LEN(D639)=11,"PF",IF(LEN(D639)=14,"PJ",""))</f>
        <v/>
      </c>
      <c r="F639" s="59"/>
      <c r="G639" s="59"/>
      <c r="H639" s="61" t="str">
        <f aca="false">IF(G639&lt;&gt;"",VLOOKUP(G639,'Cnae  mcc  id'!$A:$M,9,0),"")</f>
        <v/>
      </c>
      <c r="I639" s="62"/>
      <c r="J639" s="63" t="str">
        <f aca="false">IF(I639&lt;&gt;"",VLOOKUP(I639,'Legal Nature'!$E$2:$G$84,3,0),"")</f>
        <v/>
      </c>
      <c r="K639" s="64"/>
      <c r="L639" s="65"/>
      <c r="M639" s="66"/>
      <c r="N639" s="66"/>
      <c r="O639" s="79"/>
      <c r="P639" s="26"/>
      <c r="Q639" s="58"/>
      <c r="R639" s="58"/>
      <c r="S639" s="80"/>
      <c r="T639" s="68" t="str">
        <f aca="false">IF(LEFT(S639,1)="9","Celular",IF(S639="","","Fixo"))</f>
        <v/>
      </c>
      <c r="U639" s="58" t="str">
        <f aca="false">IF( T639&lt;&gt;"",VLOOKUP(T639,Selects!$M$4:$N$1000,2,0),"")</f>
        <v/>
      </c>
      <c r="V639" s="26"/>
      <c r="W639" s="58"/>
      <c r="X639" s="58"/>
      <c r="Y639" s="58"/>
      <c r="Z639" s="58"/>
      <c r="AA639" s="69"/>
      <c r="AB639" s="58"/>
      <c r="AC639" s="58"/>
      <c r="AD639" s="70" t="str">
        <f aca="false">IF(AC639&lt;&gt;"",VLOOKUP(AC639,Selects!$B$4:$C$100,2,0),"")</f>
        <v/>
      </c>
      <c r="AE639" s="26"/>
      <c r="AF639" s="58"/>
      <c r="AG639" s="59"/>
      <c r="AH639" s="65"/>
      <c r="AI639" s="66"/>
      <c r="AJ639" s="66"/>
      <c r="AK639" s="58"/>
      <c r="AL639" s="58"/>
      <c r="AM639" s="68" t="str">
        <f aca="false">IF(LEFT(AL639,1)="9","Celular",IF(AL639="","","Fixo"))</f>
        <v/>
      </c>
      <c r="AN639" s="58" t="str">
        <f aca="false">IF( AM639&lt;&gt;"",VLOOKUP(AM639,Selects!$M$4:$N$1000,2,0),"")</f>
        <v/>
      </c>
      <c r="AO639" s="58"/>
      <c r="AP639" s="59"/>
      <c r="AQ639" s="65"/>
      <c r="AR639" s="58"/>
      <c r="AS639" s="58"/>
      <c r="AT639" s="26"/>
      <c r="AU639" s="58"/>
      <c r="AV639" s="58"/>
      <c r="AW639" s="58"/>
      <c r="AX639" s="58"/>
      <c r="AY639" s="71"/>
      <c r="AZ639" s="58"/>
      <c r="BA639" s="58"/>
      <c r="BB639" s="72" t="str">
        <f aca="false">IF(BA639&lt;&gt;"",VLOOKUP(BA639,Selects!$B$4:$C$100,2,0),"")</f>
        <v/>
      </c>
      <c r="BC639" s="26"/>
      <c r="BD639" s="26"/>
      <c r="BE639" s="73"/>
      <c r="BF639" s="74"/>
      <c r="BG639" s="75" t="str">
        <f aca="false">IF(LEN(BF639)=11,"PF",IF(LEN(BF639)=14,"PJ",""))</f>
        <v/>
      </c>
      <c r="BH639" s="66"/>
      <c r="BI639" s="58" t="str">
        <f aca="false">IF(BH639&lt;&gt;"",VLOOKUP(BH639,Selects!$G:$H,2,0),"")</f>
        <v/>
      </c>
      <c r="BJ639" s="58"/>
      <c r="BK639" s="58"/>
      <c r="BL639" s="59"/>
      <c r="BM639" s="58"/>
      <c r="BN639" s="58"/>
      <c r="BO639" s="58" t="str">
        <f aca="false">IF(BN639&lt;&gt;"",VLOOKUP(BN639,Selects!$J$4:$K$1000,2,0),"")</f>
        <v/>
      </c>
      <c r="BP639" s="76"/>
      <c r="BQ639" s="59"/>
      <c r="BR639" s="77"/>
      <c r="BS639" s="59"/>
      <c r="BT639" s="77"/>
      <c r="BU639" s="58"/>
      <c r="BV639" s="58"/>
      <c r="BW639" s="58"/>
      <c r="BX639" s="58"/>
      <c r="BY639" s="58"/>
      <c r="BZ639" s="58"/>
      <c r="CA639" s="58"/>
      <c r="CB639" s="72" t="str">
        <f aca="false">IF(AC639&lt;&gt;"",VLOOKUP(AC639,Selects!$B:$E,4,0),"")</f>
        <v/>
      </c>
      <c r="CC639" s="58"/>
      <c r="CD639" s="58"/>
      <c r="CE639" s="58"/>
    </row>
    <row r="640" customFormat="false" ht="15.75" hidden="false" customHeight="true" outlineLevel="0" collapsed="false">
      <c r="A640" s="17"/>
      <c r="B640" s="58"/>
      <c r="C640" s="58"/>
      <c r="D640" s="59"/>
      <c r="E640" s="60" t="str">
        <f aca="false">IF(LEN(D640)=11,"PF",IF(LEN(D640)=14,"PJ",""))</f>
        <v/>
      </c>
      <c r="F640" s="59"/>
      <c r="G640" s="59"/>
      <c r="H640" s="61" t="str">
        <f aca="false">IF(G640&lt;&gt;"",VLOOKUP(G640,'Cnae  mcc  id'!$A:$M,9,0),"")</f>
        <v/>
      </c>
      <c r="I640" s="62"/>
      <c r="J640" s="63" t="str">
        <f aca="false">IF(I640&lt;&gt;"",VLOOKUP(I640,'Legal Nature'!$E$2:$G$84,3,0),"")</f>
        <v/>
      </c>
      <c r="K640" s="64"/>
      <c r="L640" s="65"/>
      <c r="M640" s="66"/>
      <c r="N640" s="66"/>
      <c r="O640" s="79"/>
      <c r="P640" s="26"/>
      <c r="Q640" s="58"/>
      <c r="R640" s="58"/>
      <c r="S640" s="80"/>
      <c r="T640" s="68" t="str">
        <f aca="false">IF(LEFT(S640,1)="9","Celular",IF(S640="","","Fixo"))</f>
        <v/>
      </c>
      <c r="U640" s="58" t="str">
        <f aca="false">IF( T640&lt;&gt;"",VLOOKUP(T640,Selects!$M$4:$N$1000,2,0),"")</f>
        <v/>
      </c>
      <c r="V640" s="26"/>
      <c r="W640" s="58"/>
      <c r="X640" s="58"/>
      <c r="Y640" s="58"/>
      <c r="Z640" s="58"/>
      <c r="AA640" s="69"/>
      <c r="AB640" s="58"/>
      <c r="AC640" s="58"/>
      <c r="AD640" s="70" t="str">
        <f aca="false">IF(AC640&lt;&gt;"",VLOOKUP(AC640,Selects!$B$4:$C$100,2,0),"")</f>
        <v/>
      </c>
      <c r="AE640" s="26"/>
      <c r="AF640" s="58"/>
      <c r="AG640" s="59"/>
      <c r="AH640" s="65"/>
      <c r="AI640" s="66"/>
      <c r="AJ640" s="66"/>
      <c r="AK640" s="58"/>
      <c r="AL640" s="58"/>
      <c r="AM640" s="68" t="str">
        <f aca="false">IF(LEFT(AL640,1)="9","Celular",IF(AL640="","","Fixo"))</f>
        <v/>
      </c>
      <c r="AN640" s="58" t="str">
        <f aca="false">IF( AM640&lt;&gt;"",VLOOKUP(AM640,Selects!$M$4:$N$1000,2,0),"")</f>
        <v/>
      </c>
      <c r="AO640" s="58"/>
      <c r="AP640" s="59"/>
      <c r="AQ640" s="65"/>
      <c r="AR640" s="58"/>
      <c r="AS640" s="58"/>
      <c r="AT640" s="26"/>
      <c r="AU640" s="58"/>
      <c r="AV640" s="58"/>
      <c r="AW640" s="58"/>
      <c r="AX640" s="58"/>
      <c r="AY640" s="71"/>
      <c r="AZ640" s="58"/>
      <c r="BA640" s="58"/>
      <c r="BB640" s="72" t="str">
        <f aca="false">IF(BA640&lt;&gt;"",VLOOKUP(BA640,Selects!$B$4:$C$100,2,0),"")</f>
        <v/>
      </c>
      <c r="BC640" s="26"/>
      <c r="BD640" s="26"/>
      <c r="BE640" s="73"/>
      <c r="BF640" s="74"/>
      <c r="BG640" s="75" t="str">
        <f aca="false">IF(LEN(BF640)=11,"PF",IF(LEN(BF640)=14,"PJ",""))</f>
        <v/>
      </c>
      <c r="BH640" s="66"/>
      <c r="BI640" s="58" t="str">
        <f aca="false">IF(BH640&lt;&gt;"",VLOOKUP(BH640,Selects!$G:$H,2,0),"")</f>
        <v/>
      </c>
      <c r="BJ640" s="58"/>
      <c r="BK640" s="58"/>
      <c r="BL640" s="59"/>
      <c r="BM640" s="58"/>
      <c r="BN640" s="58"/>
      <c r="BO640" s="58" t="str">
        <f aca="false">IF(BN640&lt;&gt;"",VLOOKUP(BN640,Selects!$J$4:$K$1000,2,0),"")</f>
        <v/>
      </c>
      <c r="BP640" s="76"/>
      <c r="BQ640" s="59"/>
      <c r="BR640" s="77"/>
      <c r="BS640" s="59"/>
      <c r="BT640" s="77"/>
      <c r="BU640" s="58"/>
      <c r="BV640" s="58"/>
      <c r="BW640" s="58"/>
      <c r="BX640" s="58"/>
      <c r="BY640" s="58"/>
      <c r="BZ640" s="58"/>
      <c r="CA640" s="58"/>
      <c r="CB640" s="72" t="str">
        <f aca="false">IF(AC640&lt;&gt;"",VLOOKUP(AC640,Selects!$B:$E,4,0),"")</f>
        <v/>
      </c>
      <c r="CC640" s="58"/>
      <c r="CD640" s="58"/>
      <c r="CE640" s="58"/>
    </row>
    <row r="641" customFormat="false" ht="15.75" hidden="false" customHeight="true" outlineLevel="0" collapsed="false">
      <c r="A641" s="17"/>
      <c r="B641" s="58"/>
      <c r="C641" s="58"/>
      <c r="D641" s="59"/>
      <c r="E641" s="60" t="str">
        <f aca="false">IF(LEN(D641)=11,"PF",IF(LEN(D641)=14,"PJ",""))</f>
        <v/>
      </c>
      <c r="F641" s="59"/>
      <c r="G641" s="59"/>
      <c r="H641" s="61" t="str">
        <f aca="false">IF(G641&lt;&gt;"",VLOOKUP(G641,'Cnae  mcc  id'!$A:$M,9,0),"")</f>
        <v/>
      </c>
      <c r="I641" s="62"/>
      <c r="J641" s="63" t="str">
        <f aca="false">IF(I641&lt;&gt;"",VLOOKUP(I641,'Legal Nature'!$E$2:$G$84,3,0),"")</f>
        <v/>
      </c>
      <c r="K641" s="64"/>
      <c r="L641" s="65"/>
      <c r="M641" s="66"/>
      <c r="N641" s="66"/>
      <c r="O641" s="79"/>
      <c r="P641" s="26"/>
      <c r="Q641" s="58"/>
      <c r="R641" s="58"/>
      <c r="S641" s="80"/>
      <c r="T641" s="68" t="str">
        <f aca="false">IF(LEFT(S641,1)="9","Celular",IF(S641="","","Fixo"))</f>
        <v/>
      </c>
      <c r="U641" s="58" t="str">
        <f aca="false">IF( T641&lt;&gt;"",VLOOKUP(T641,Selects!$M$4:$N$1000,2,0),"")</f>
        <v/>
      </c>
      <c r="V641" s="26"/>
      <c r="W641" s="58"/>
      <c r="X641" s="58"/>
      <c r="Y641" s="58"/>
      <c r="Z641" s="58"/>
      <c r="AA641" s="69"/>
      <c r="AB641" s="58"/>
      <c r="AC641" s="58"/>
      <c r="AD641" s="70" t="str">
        <f aca="false">IF(AC641&lt;&gt;"",VLOOKUP(AC641,Selects!$B$4:$C$100,2,0),"")</f>
        <v/>
      </c>
      <c r="AE641" s="26"/>
      <c r="AF641" s="58"/>
      <c r="AG641" s="59"/>
      <c r="AH641" s="65"/>
      <c r="AI641" s="66"/>
      <c r="AJ641" s="66"/>
      <c r="AK641" s="58"/>
      <c r="AL641" s="58"/>
      <c r="AM641" s="68" t="str">
        <f aca="false">IF(LEFT(AL641,1)="9","Celular",IF(AL641="","","Fixo"))</f>
        <v/>
      </c>
      <c r="AN641" s="58" t="str">
        <f aca="false">IF( AM641&lt;&gt;"",VLOOKUP(AM641,Selects!$M$4:$N$1000,2,0),"")</f>
        <v/>
      </c>
      <c r="AO641" s="58"/>
      <c r="AP641" s="59"/>
      <c r="AQ641" s="65"/>
      <c r="AR641" s="58"/>
      <c r="AS641" s="58"/>
      <c r="AT641" s="26"/>
      <c r="AU641" s="58"/>
      <c r="AV641" s="58"/>
      <c r="AW641" s="58"/>
      <c r="AX641" s="58"/>
      <c r="AY641" s="71"/>
      <c r="AZ641" s="58"/>
      <c r="BA641" s="58"/>
      <c r="BB641" s="72" t="str">
        <f aca="false">IF(BA641&lt;&gt;"",VLOOKUP(BA641,Selects!$B$4:$C$100,2,0),"")</f>
        <v/>
      </c>
      <c r="BC641" s="26"/>
      <c r="BD641" s="26"/>
      <c r="BE641" s="73"/>
      <c r="BF641" s="74"/>
      <c r="BG641" s="75" t="str">
        <f aca="false">IF(LEN(BF641)=11,"PF",IF(LEN(BF641)=14,"PJ",""))</f>
        <v/>
      </c>
      <c r="BH641" s="66"/>
      <c r="BI641" s="58" t="str">
        <f aca="false">IF(BH641&lt;&gt;"",VLOOKUP(BH641,Selects!$G:$H,2,0),"")</f>
        <v/>
      </c>
      <c r="BJ641" s="58"/>
      <c r="BK641" s="58"/>
      <c r="BL641" s="59"/>
      <c r="BM641" s="58"/>
      <c r="BN641" s="58"/>
      <c r="BO641" s="58" t="str">
        <f aca="false">IF(BN641&lt;&gt;"",VLOOKUP(BN641,Selects!$J$4:$K$1000,2,0),"")</f>
        <v/>
      </c>
      <c r="BP641" s="76"/>
      <c r="BQ641" s="59"/>
      <c r="BR641" s="77"/>
      <c r="BS641" s="59"/>
      <c r="BT641" s="77"/>
      <c r="BU641" s="58"/>
      <c r="BV641" s="58"/>
      <c r="BW641" s="58"/>
      <c r="BX641" s="58"/>
      <c r="BY641" s="58"/>
      <c r="BZ641" s="58"/>
      <c r="CA641" s="58"/>
      <c r="CB641" s="72" t="str">
        <f aca="false">IF(AC641&lt;&gt;"",VLOOKUP(AC641,Selects!$B:$E,4,0),"")</f>
        <v/>
      </c>
      <c r="CC641" s="58"/>
      <c r="CD641" s="58"/>
      <c r="CE641" s="58"/>
    </row>
    <row r="642" customFormat="false" ht="15.75" hidden="false" customHeight="true" outlineLevel="0" collapsed="false">
      <c r="A642" s="17"/>
      <c r="B642" s="58"/>
      <c r="C642" s="58"/>
      <c r="D642" s="59"/>
      <c r="E642" s="60" t="str">
        <f aca="false">IF(LEN(D642)=11,"PF",IF(LEN(D642)=14,"PJ",""))</f>
        <v/>
      </c>
      <c r="F642" s="59"/>
      <c r="G642" s="59"/>
      <c r="H642" s="61" t="str">
        <f aca="false">IF(G642&lt;&gt;"",VLOOKUP(G642,'Cnae  mcc  id'!$A:$M,9,0),"")</f>
        <v/>
      </c>
      <c r="I642" s="62"/>
      <c r="J642" s="63" t="str">
        <f aca="false">IF(I642&lt;&gt;"",VLOOKUP(I642,'Legal Nature'!$E$2:$G$84,3,0),"")</f>
        <v/>
      </c>
      <c r="K642" s="64"/>
      <c r="L642" s="65"/>
      <c r="M642" s="66"/>
      <c r="N642" s="66"/>
      <c r="O642" s="79"/>
      <c r="P642" s="26"/>
      <c r="Q642" s="58"/>
      <c r="R642" s="58"/>
      <c r="S642" s="80"/>
      <c r="T642" s="68" t="str">
        <f aca="false">IF(LEFT(S642,1)="9","Celular",IF(S642="","","Fixo"))</f>
        <v/>
      </c>
      <c r="U642" s="58" t="str">
        <f aca="false">IF( T642&lt;&gt;"",VLOOKUP(T642,Selects!$M$4:$N$1000,2,0),"")</f>
        <v/>
      </c>
      <c r="V642" s="26"/>
      <c r="W642" s="58"/>
      <c r="X642" s="58"/>
      <c r="Y642" s="58"/>
      <c r="Z642" s="58"/>
      <c r="AA642" s="69"/>
      <c r="AB642" s="58"/>
      <c r="AC642" s="58"/>
      <c r="AD642" s="70" t="str">
        <f aca="false">IF(AC642&lt;&gt;"",VLOOKUP(AC642,Selects!$B$4:$C$100,2,0),"")</f>
        <v/>
      </c>
      <c r="AE642" s="26"/>
      <c r="AF642" s="58"/>
      <c r="AG642" s="59"/>
      <c r="AH642" s="65"/>
      <c r="AI642" s="66"/>
      <c r="AJ642" s="66"/>
      <c r="AK642" s="58"/>
      <c r="AL642" s="58"/>
      <c r="AM642" s="68" t="str">
        <f aca="false">IF(LEFT(AL642,1)="9","Celular",IF(AL642="","","Fixo"))</f>
        <v/>
      </c>
      <c r="AN642" s="58" t="str">
        <f aca="false">IF( AM642&lt;&gt;"",VLOOKUP(AM642,Selects!$M$4:$N$1000,2,0),"")</f>
        <v/>
      </c>
      <c r="AO642" s="58"/>
      <c r="AP642" s="59"/>
      <c r="AQ642" s="65"/>
      <c r="AR642" s="58"/>
      <c r="AS642" s="58"/>
      <c r="AT642" s="26"/>
      <c r="AU642" s="58"/>
      <c r="AV642" s="58"/>
      <c r="AW642" s="58"/>
      <c r="AX642" s="58"/>
      <c r="AY642" s="71"/>
      <c r="AZ642" s="58"/>
      <c r="BA642" s="58"/>
      <c r="BB642" s="72" t="str">
        <f aca="false">IF(BA642&lt;&gt;"",VLOOKUP(BA642,Selects!$B$4:$C$100,2,0),"")</f>
        <v/>
      </c>
      <c r="BC642" s="26"/>
      <c r="BD642" s="26"/>
      <c r="BE642" s="73"/>
      <c r="BF642" s="74"/>
      <c r="BG642" s="75" t="str">
        <f aca="false">IF(LEN(BF642)=11,"PF",IF(LEN(BF642)=14,"PJ",""))</f>
        <v/>
      </c>
      <c r="BH642" s="66"/>
      <c r="BI642" s="58" t="str">
        <f aca="false">IF(BH642&lt;&gt;"",VLOOKUP(BH642,Selects!$G:$H,2,0),"")</f>
        <v/>
      </c>
      <c r="BJ642" s="58"/>
      <c r="BK642" s="58"/>
      <c r="BL642" s="59"/>
      <c r="BM642" s="58"/>
      <c r="BN642" s="58"/>
      <c r="BO642" s="58" t="str">
        <f aca="false">IF(BN642&lt;&gt;"",VLOOKUP(BN642,Selects!$J$4:$K$1000,2,0),"")</f>
        <v/>
      </c>
      <c r="BP642" s="76"/>
      <c r="BQ642" s="59"/>
      <c r="BR642" s="77"/>
      <c r="BS642" s="59"/>
      <c r="BT642" s="77"/>
      <c r="BU642" s="58"/>
      <c r="BV642" s="58"/>
      <c r="BW642" s="58"/>
      <c r="BX642" s="58"/>
      <c r="BY642" s="58"/>
      <c r="BZ642" s="58"/>
      <c r="CA642" s="58"/>
      <c r="CB642" s="72" t="str">
        <f aca="false">IF(AC642&lt;&gt;"",VLOOKUP(AC642,Selects!$B:$E,4,0),"")</f>
        <v/>
      </c>
      <c r="CC642" s="58"/>
      <c r="CD642" s="58"/>
      <c r="CE642" s="58"/>
    </row>
    <row r="643" customFormat="false" ht="15.75" hidden="false" customHeight="true" outlineLevel="0" collapsed="false">
      <c r="A643" s="17"/>
      <c r="B643" s="58"/>
      <c r="C643" s="58"/>
      <c r="D643" s="59"/>
      <c r="E643" s="60" t="str">
        <f aca="false">IF(LEN(D643)=11,"PF",IF(LEN(D643)=14,"PJ",""))</f>
        <v/>
      </c>
      <c r="F643" s="59"/>
      <c r="G643" s="59"/>
      <c r="H643" s="61" t="str">
        <f aca="false">IF(G643&lt;&gt;"",VLOOKUP(G643,'Cnae  mcc  id'!$A:$M,9,0),"")</f>
        <v/>
      </c>
      <c r="I643" s="62"/>
      <c r="J643" s="63" t="str">
        <f aca="false">IF(I643&lt;&gt;"",VLOOKUP(I643,'Legal Nature'!$E$2:$G$84,3,0),"")</f>
        <v/>
      </c>
      <c r="K643" s="64"/>
      <c r="L643" s="65"/>
      <c r="M643" s="66"/>
      <c r="N643" s="66"/>
      <c r="O643" s="79"/>
      <c r="P643" s="26"/>
      <c r="Q643" s="58"/>
      <c r="R643" s="58"/>
      <c r="S643" s="80"/>
      <c r="T643" s="68" t="str">
        <f aca="false">IF(LEFT(S643,1)="9","Celular",IF(S643="","","Fixo"))</f>
        <v/>
      </c>
      <c r="U643" s="58" t="str">
        <f aca="false">IF( T643&lt;&gt;"",VLOOKUP(T643,Selects!$M$4:$N$1000,2,0),"")</f>
        <v/>
      </c>
      <c r="V643" s="26"/>
      <c r="W643" s="58"/>
      <c r="X643" s="58"/>
      <c r="Y643" s="58"/>
      <c r="Z643" s="58"/>
      <c r="AA643" s="69"/>
      <c r="AB643" s="58"/>
      <c r="AC643" s="58"/>
      <c r="AD643" s="70" t="str">
        <f aca="false">IF(AC643&lt;&gt;"",VLOOKUP(AC643,Selects!$B$4:$C$100,2,0),"")</f>
        <v/>
      </c>
      <c r="AE643" s="26"/>
      <c r="AF643" s="58"/>
      <c r="AG643" s="59"/>
      <c r="AH643" s="65"/>
      <c r="AI643" s="66"/>
      <c r="AJ643" s="66"/>
      <c r="AK643" s="58"/>
      <c r="AL643" s="58"/>
      <c r="AM643" s="68" t="str">
        <f aca="false">IF(LEFT(AL643,1)="9","Celular",IF(AL643="","","Fixo"))</f>
        <v/>
      </c>
      <c r="AN643" s="58" t="str">
        <f aca="false">IF( AM643&lt;&gt;"",VLOOKUP(AM643,Selects!$M$4:$N$1000,2,0),"")</f>
        <v/>
      </c>
      <c r="AO643" s="58"/>
      <c r="AP643" s="59"/>
      <c r="AQ643" s="65"/>
      <c r="AR643" s="58"/>
      <c r="AS643" s="58"/>
      <c r="AT643" s="26"/>
      <c r="AU643" s="58"/>
      <c r="AV643" s="58"/>
      <c r="AW643" s="58"/>
      <c r="AX643" s="58"/>
      <c r="AY643" s="71"/>
      <c r="AZ643" s="58"/>
      <c r="BA643" s="58"/>
      <c r="BB643" s="72" t="str">
        <f aca="false">IF(BA643&lt;&gt;"",VLOOKUP(BA643,Selects!$B$4:$C$100,2,0),"")</f>
        <v/>
      </c>
      <c r="BC643" s="26"/>
      <c r="BD643" s="26"/>
      <c r="BE643" s="73"/>
      <c r="BF643" s="74"/>
      <c r="BG643" s="75" t="str">
        <f aca="false">IF(LEN(BF643)=11,"PF",IF(LEN(BF643)=14,"PJ",""))</f>
        <v/>
      </c>
      <c r="BH643" s="66"/>
      <c r="BI643" s="58" t="str">
        <f aca="false">IF(BH643&lt;&gt;"",VLOOKUP(BH643,Selects!$G:$H,2,0),"")</f>
        <v/>
      </c>
      <c r="BJ643" s="58"/>
      <c r="BK643" s="58"/>
      <c r="BL643" s="59"/>
      <c r="BM643" s="58"/>
      <c r="BN643" s="58"/>
      <c r="BO643" s="58" t="str">
        <f aca="false">IF(BN643&lt;&gt;"",VLOOKUP(BN643,Selects!$J$4:$K$1000,2,0),"")</f>
        <v/>
      </c>
      <c r="BP643" s="76"/>
      <c r="BQ643" s="59"/>
      <c r="BR643" s="77"/>
      <c r="BS643" s="59"/>
      <c r="BT643" s="77"/>
      <c r="BU643" s="58"/>
      <c r="BV643" s="58"/>
      <c r="BW643" s="58"/>
      <c r="BX643" s="58"/>
      <c r="BY643" s="58"/>
      <c r="BZ643" s="58"/>
      <c r="CA643" s="58"/>
      <c r="CB643" s="72" t="str">
        <f aca="false">IF(AC643&lt;&gt;"",VLOOKUP(AC643,Selects!$B:$E,4,0),"")</f>
        <v/>
      </c>
      <c r="CC643" s="58"/>
      <c r="CD643" s="58"/>
      <c r="CE643" s="58"/>
    </row>
    <row r="644" customFormat="false" ht="15.75" hidden="false" customHeight="true" outlineLevel="0" collapsed="false">
      <c r="A644" s="17"/>
      <c r="B644" s="58"/>
      <c r="C644" s="58"/>
      <c r="D644" s="59"/>
      <c r="E644" s="60" t="str">
        <f aca="false">IF(LEN(D644)=11,"PF",IF(LEN(D644)=14,"PJ",""))</f>
        <v/>
      </c>
      <c r="F644" s="59"/>
      <c r="G644" s="59"/>
      <c r="H644" s="61" t="str">
        <f aca="false">IF(G644&lt;&gt;"",VLOOKUP(G644,'Cnae  mcc  id'!$A:$M,9,0),"")</f>
        <v/>
      </c>
      <c r="I644" s="62"/>
      <c r="J644" s="63" t="str">
        <f aca="false">IF(I644&lt;&gt;"",VLOOKUP(I644,'Legal Nature'!$E$2:$G$84,3,0),"")</f>
        <v/>
      </c>
      <c r="K644" s="64"/>
      <c r="L644" s="65"/>
      <c r="M644" s="66"/>
      <c r="N644" s="66"/>
      <c r="O644" s="79"/>
      <c r="P644" s="26"/>
      <c r="Q644" s="58"/>
      <c r="R644" s="58"/>
      <c r="S644" s="80"/>
      <c r="T644" s="68" t="str">
        <f aca="false">IF(LEFT(S644,1)="9","Celular",IF(S644="","","Fixo"))</f>
        <v/>
      </c>
      <c r="U644" s="58" t="str">
        <f aca="false">IF( T644&lt;&gt;"",VLOOKUP(T644,Selects!$M$4:$N$1000,2,0),"")</f>
        <v/>
      </c>
      <c r="V644" s="26"/>
      <c r="W644" s="58"/>
      <c r="X644" s="58"/>
      <c r="Y644" s="58"/>
      <c r="Z644" s="58"/>
      <c r="AA644" s="69"/>
      <c r="AB644" s="58"/>
      <c r="AC644" s="58"/>
      <c r="AD644" s="70" t="str">
        <f aca="false">IF(AC644&lt;&gt;"",VLOOKUP(AC644,Selects!$B$4:$C$100,2,0),"")</f>
        <v/>
      </c>
      <c r="AE644" s="26"/>
      <c r="AF644" s="58"/>
      <c r="AG644" s="59"/>
      <c r="AH644" s="65"/>
      <c r="AI644" s="66"/>
      <c r="AJ644" s="66"/>
      <c r="AK644" s="58"/>
      <c r="AL644" s="58"/>
      <c r="AM644" s="68" t="str">
        <f aca="false">IF(LEFT(AL644,1)="9","Celular",IF(AL644="","","Fixo"))</f>
        <v/>
      </c>
      <c r="AN644" s="58" t="str">
        <f aca="false">IF( AM644&lt;&gt;"",VLOOKUP(AM644,Selects!$M$4:$N$1000,2,0),"")</f>
        <v/>
      </c>
      <c r="AO644" s="58"/>
      <c r="AP644" s="59"/>
      <c r="AQ644" s="65"/>
      <c r="AR644" s="58"/>
      <c r="AS644" s="58"/>
      <c r="AT644" s="26"/>
      <c r="AU644" s="58"/>
      <c r="AV644" s="58"/>
      <c r="AW644" s="58"/>
      <c r="AX644" s="58"/>
      <c r="AY644" s="71"/>
      <c r="AZ644" s="58"/>
      <c r="BA644" s="58"/>
      <c r="BB644" s="72" t="str">
        <f aca="false">IF(BA644&lt;&gt;"",VLOOKUP(BA644,Selects!$B$4:$C$100,2,0),"")</f>
        <v/>
      </c>
      <c r="BC644" s="26"/>
      <c r="BD644" s="26"/>
      <c r="BE644" s="73"/>
      <c r="BF644" s="74"/>
      <c r="BG644" s="75" t="str">
        <f aca="false">IF(LEN(BF644)=11,"PF",IF(LEN(BF644)=14,"PJ",""))</f>
        <v/>
      </c>
      <c r="BH644" s="66"/>
      <c r="BI644" s="58" t="str">
        <f aca="false">IF(BH644&lt;&gt;"",VLOOKUP(BH644,Selects!$G:$H,2,0),"")</f>
        <v/>
      </c>
      <c r="BJ644" s="58"/>
      <c r="BK644" s="58"/>
      <c r="BL644" s="59"/>
      <c r="BM644" s="58"/>
      <c r="BN644" s="58"/>
      <c r="BO644" s="58" t="str">
        <f aca="false">IF(BN644&lt;&gt;"",VLOOKUP(BN644,Selects!$J$4:$K$1000,2,0),"")</f>
        <v/>
      </c>
      <c r="BP644" s="76"/>
      <c r="BQ644" s="59"/>
      <c r="BR644" s="77"/>
      <c r="BS644" s="59"/>
      <c r="BT644" s="77"/>
      <c r="BU644" s="58"/>
      <c r="BV644" s="58"/>
      <c r="BW644" s="58"/>
      <c r="BX644" s="58"/>
      <c r="BY644" s="58"/>
      <c r="BZ644" s="58"/>
      <c r="CA644" s="58"/>
      <c r="CB644" s="72" t="str">
        <f aca="false">IF(AC644&lt;&gt;"",VLOOKUP(AC644,Selects!$B:$E,4,0),"")</f>
        <v/>
      </c>
      <c r="CC644" s="58"/>
      <c r="CD644" s="58"/>
      <c r="CE644" s="58"/>
    </row>
    <row r="645" customFormat="false" ht="15.75" hidden="false" customHeight="true" outlineLevel="0" collapsed="false">
      <c r="A645" s="17"/>
      <c r="B645" s="58"/>
      <c r="C645" s="58"/>
      <c r="D645" s="59"/>
      <c r="E645" s="60" t="str">
        <f aca="false">IF(LEN(D645)=11,"PF",IF(LEN(D645)=14,"PJ",""))</f>
        <v/>
      </c>
      <c r="F645" s="59"/>
      <c r="G645" s="59"/>
      <c r="H645" s="61" t="str">
        <f aca="false">IF(G645&lt;&gt;"",VLOOKUP(G645,'Cnae  mcc  id'!$A:$M,9,0),"")</f>
        <v/>
      </c>
      <c r="I645" s="62"/>
      <c r="J645" s="63" t="str">
        <f aca="false">IF(I645&lt;&gt;"",VLOOKUP(I645,'Legal Nature'!$E$2:$G$84,3,0),"")</f>
        <v/>
      </c>
      <c r="K645" s="64"/>
      <c r="L645" s="65"/>
      <c r="M645" s="66"/>
      <c r="N645" s="66"/>
      <c r="O645" s="79"/>
      <c r="P645" s="26"/>
      <c r="Q645" s="58"/>
      <c r="R645" s="58"/>
      <c r="S645" s="80"/>
      <c r="T645" s="68" t="str">
        <f aca="false">IF(LEFT(S645,1)="9","Celular",IF(S645="","","Fixo"))</f>
        <v/>
      </c>
      <c r="U645" s="58" t="str">
        <f aca="false">IF( T645&lt;&gt;"",VLOOKUP(T645,Selects!$M$4:$N$1000,2,0),"")</f>
        <v/>
      </c>
      <c r="V645" s="26"/>
      <c r="W645" s="58"/>
      <c r="X645" s="58"/>
      <c r="Y645" s="58"/>
      <c r="Z645" s="58"/>
      <c r="AA645" s="69"/>
      <c r="AB645" s="58"/>
      <c r="AC645" s="58"/>
      <c r="AD645" s="70" t="str">
        <f aca="false">IF(AC645&lt;&gt;"",VLOOKUP(AC645,Selects!$B$4:$C$100,2,0),"")</f>
        <v/>
      </c>
      <c r="AE645" s="26"/>
      <c r="AF645" s="58"/>
      <c r="AG645" s="59"/>
      <c r="AH645" s="65"/>
      <c r="AI645" s="66"/>
      <c r="AJ645" s="66"/>
      <c r="AK645" s="58"/>
      <c r="AL645" s="58"/>
      <c r="AM645" s="68" t="str">
        <f aca="false">IF(LEFT(AL645,1)="9","Celular",IF(AL645="","","Fixo"))</f>
        <v/>
      </c>
      <c r="AN645" s="58" t="str">
        <f aca="false">IF( AM645&lt;&gt;"",VLOOKUP(AM645,Selects!$M$4:$N$1000,2,0),"")</f>
        <v/>
      </c>
      <c r="AO645" s="58"/>
      <c r="AP645" s="59"/>
      <c r="AQ645" s="65"/>
      <c r="AR645" s="58"/>
      <c r="AS645" s="58"/>
      <c r="AT645" s="26"/>
      <c r="AU645" s="58"/>
      <c r="AV645" s="58"/>
      <c r="AW645" s="58"/>
      <c r="AX645" s="58"/>
      <c r="AY645" s="71"/>
      <c r="AZ645" s="58"/>
      <c r="BA645" s="58"/>
      <c r="BB645" s="72" t="str">
        <f aca="false">IF(BA645&lt;&gt;"",VLOOKUP(BA645,Selects!$B$4:$C$100,2,0),"")</f>
        <v/>
      </c>
      <c r="BC645" s="26"/>
      <c r="BD645" s="26"/>
      <c r="BE645" s="73"/>
      <c r="BF645" s="74"/>
      <c r="BG645" s="75" t="str">
        <f aca="false">IF(LEN(BF645)=11,"PF",IF(LEN(BF645)=14,"PJ",""))</f>
        <v/>
      </c>
      <c r="BH645" s="66"/>
      <c r="BI645" s="58" t="str">
        <f aca="false">IF(BH645&lt;&gt;"",VLOOKUP(BH645,Selects!$G:$H,2,0),"")</f>
        <v/>
      </c>
      <c r="BJ645" s="58"/>
      <c r="BK645" s="58"/>
      <c r="BL645" s="59"/>
      <c r="BM645" s="58"/>
      <c r="BN645" s="58"/>
      <c r="BO645" s="58" t="str">
        <f aca="false">IF(BN645&lt;&gt;"",VLOOKUP(BN645,Selects!$J$4:$K$1000,2,0),"")</f>
        <v/>
      </c>
      <c r="BP645" s="76"/>
      <c r="BQ645" s="59"/>
      <c r="BR645" s="77"/>
      <c r="BS645" s="59"/>
      <c r="BT645" s="77"/>
      <c r="BU645" s="58"/>
      <c r="BV645" s="58"/>
      <c r="BW645" s="58"/>
      <c r="BX645" s="58"/>
      <c r="BY645" s="58"/>
      <c r="BZ645" s="58"/>
      <c r="CA645" s="58"/>
      <c r="CB645" s="72" t="str">
        <f aca="false">IF(AC645&lt;&gt;"",VLOOKUP(AC645,Selects!$B:$E,4,0),"")</f>
        <v/>
      </c>
      <c r="CC645" s="58"/>
      <c r="CD645" s="58"/>
      <c r="CE645" s="58"/>
    </row>
    <row r="646" customFormat="false" ht="15.75" hidden="false" customHeight="true" outlineLevel="0" collapsed="false">
      <c r="A646" s="17"/>
      <c r="B646" s="58"/>
      <c r="C646" s="58"/>
      <c r="D646" s="59"/>
      <c r="E646" s="60" t="str">
        <f aca="false">IF(LEN(D646)=11,"PF",IF(LEN(D646)=14,"PJ",""))</f>
        <v/>
      </c>
      <c r="F646" s="59"/>
      <c r="G646" s="59"/>
      <c r="H646" s="61" t="str">
        <f aca="false">IF(G646&lt;&gt;"",VLOOKUP(G646,'Cnae  mcc  id'!$A:$M,9,0),"")</f>
        <v/>
      </c>
      <c r="I646" s="62"/>
      <c r="J646" s="63" t="str">
        <f aca="false">IF(I646&lt;&gt;"",VLOOKUP(I646,'Legal Nature'!$E$2:$G$84,3,0),"")</f>
        <v/>
      </c>
      <c r="K646" s="64"/>
      <c r="L646" s="65"/>
      <c r="M646" s="66"/>
      <c r="N646" s="66"/>
      <c r="O646" s="79"/>
      <c r="P646" s="26"/>
      <c r="Q646" s="58"/>
      <c r="R646" s="58"/>
      <c r="S646" s="80"/>
      <c r="T646" s="68" t="str">
        <f aca="false">IF(LEFT(S646,1)="9","Celular",IF(S646="","","Fixo"))</f>
        <v/>
      </c>
      <c r="U646" s="58" t="str">
        <f aca="false">IF( T646&lt;&gt;"",VLOOKUP(T646,Selects!$M$4:$N$1000,2,0),"")</f>
        <v/>
      </c>
      <c r="V646" s="26"/>
      <c r="W646" s="58"/>
      <c r="X646" s="58"/>
      <c r="Y646" s="58"/>
      <c r="Z646" s="58"/>
      <c r="AA646" s="69"/>
      <c r="AB646" s="58"/>
      <c r="AC646" s="58"/>
      <c r="AD646" s="70" t="str">
        <f aca="false">IF(AC646&lt;&gt;"",VLOOKUP(AC646,Selects!$B$4:$C$100,2,0),"")</f>
        <v/>
      </c>
      <c r="AE646" s="26"/>
      <c r="AF646" s="58"/>
      <c r="AG646" s="59"/>
      <c r="AH646" s="65"/>
      <c r="AI646" s="66"/>
      <c r="AJ646" s="66"/>
      <c r="AK646" s="58"/>
      <c r="AL646" s="58"/>
      <c r="AM646" s="68" t="str">
        <f aca="false">IF(LEFT(AL646,1)="9","Celular",IF(AL646="","","Fixo"))</f>
        <v/>
      </c>
      <c r="AN646" s="58" t="str">
        <f aca="false">IF( AM646&lt;&gt;"",VLOOKUP(AM646,Selects!$M$4:$N$1000,2,0),"")</f>
        <v/>
      </c>
      <c r="AO646" s="58"/>
      <c r="AP646" s="59"/>
      <c r="AQ646" s="65"/>
      <c r="AR646" s="58"/>
      <c r="AS646" s="58"/>
      <c r="AT646" s="26"/>
      <c r="AU646" s="58"/>
      <c r="AV646" s="58"/>
      <c r="AW646" s="58"/>
      <c r="AX646" s="58"/>
      <c r="AY646" s="71"/>
      <c r="AZ646" s="58"/>
      <c r="BA646" s="58"/>
      <c r="BB646" s="72" t="str">
        <f aca="false">IF(BA646&lt;&gt;"",VLOOKUP(BA646,Selects!$B$4:$C$100,2,0),"")</f>
        <v/>
      </c>
      <c r="BC646" s="26"/>
      <c r="BD646" s="26"/>
      <c r="BE646" s="73"/>
      <c r="BF646" s="74"/>
      <c r="BG646" s="75" t="str">
        <f aca="false">IF(LEN(BF646)=11,"PF",IF(LEN(BF646)=14,"PJ",""))</f>
        <v/>
      </c>
      <c r="BH646" s="66"/>
      <c r="BI646" s="58" t="str">
        <f aca="false">IF(BH646&lt;&gt;"",VLOOKUP(BH646,Selects!$G:$H,2,0),"")</f>
        <v/>
      </c>
      <c r="BJ646" s="58"/>
      <c r="BK646" s="58"/>
      <c r="BL646" s="59"/>
      <c r="BM646" s="58"/>
      <c r="BN646" s="58"/>
      <c r="BO646" s="58" t="str">
        <f aca="false">IF(BN646&lt;&gt;"",VLOOKUP(BN646,Selects!$J$4:$K$1000,2,0),"")</f>
        <v/>
      </c>
      <c r="BP646" s="76"/>
      <c r="BQ646" s="59"/>
      <c r="BR646" s="77"/>
      <c r="BS646" s="59"/>
      <c r="BT646" s="77"/>
      <c r="BU646" s="58"/>
      <c r="BV646" s="58"/>
      <c r="BW646" s="58"/>
      <c r="BX646" s="58"/>
      <c r="BY646" s="58"/>
      <c r="BZ646" s="58"/>
      <c r="CA646" s="58"/>
      <c r="CB646" s="72" t="str">
        <f aca="false">IF(AC646&lt;&gt;"",VLOOKUP(AC646,Selects!$B:$E,4,0),"")</f>
        <v/>
      </c>
      <c r="CC646" s="58"/>
      <c r="CD646" s="58"/>
      <c r="CE646" s="58"/>
    </row>
    <row r="647" customFormat="false" ht="15.75" hidden="false" customHeight="true" outlineLevel="0" collapsed="false">
      <c r="A647" s="17"/>
      <c r="B647" s="58"/>
      <c r="C647" s="58"/>
      <c r="D647" s="59"/>
      <c r="E647" s="60" t="str">
        <f aca="false">IF(LEN(D647)=11,"PF",IF(LEN(D647)=14,"PJ",""))</f>
        <v/>
      </c>
      <c r="F647" s="59"/>
      <c r="G647" s="59"/>
      <c r="H647" s="61" t="str">
        <f aca="false">IF(G647&lt;&gt;"",VLOOKUP(G647,'Cnae  mcc  id'!$A:$M,9,0),"")</f>
        <v/>
      </c>
      <c r="I647" s="62"/>
      <c r="J647" s="63" t="str">
        <f aca="false">IF(I647&lt;&gt;"",VLOOKUP(I647,'Legal Nature'!$E$2:$G$84,3,0),"")</f>
        <v/>
      </c>
      <c r="K647" s="64"/>
      <c r="L647" s="65"/>
      <c r="M647" s="66"/>
      <c r="N647" s="66"/>
      <c r="O647" s="79"/>
      <c r="P647" s="26"/>
      <c r="Q647" s="58"/>
      <c r="R647" s="58"/>
      <c r="S647" s="80"/>
      <c r="T647" s="68" t="str">
        <f aca="false">IF(LEFT(S647,1)="9","Celular",IF(S647="","","Fixo"))</f>
        <v/>
      </c>
      <c r="U647" s="58" t="str">
        <f aca="false">IF( T647&lt;&gt;"",VLOOKUP(T647,Selects!$M$4:$N$1000,2,0),"")</f>
        <v/>
      </c>
      <c r="V647" s="26"/>
      <c r="W647" s="58"/>
      <c r="X647" s="58"/>
      <c r="Y647" s="58"/>
      <c r="Z647" s="58"/>
      <c r="AA647" s="69"/>
      <c r="AB647" s="58"/>
      <c r="AC647" s="58"/>
      <c r="AD647" s="70" t="str">
        <f aca="false">IF(AC647&lt;&gt;"",VLOOKUP(AC647,Selects!$B$4:$C$100,2,0),"")</f>
        <v/>
      </c>
      <c r="AE647" s="26"/>
      <c r="AF647" s="58"/>
      <c r="AG647" s="59"/>
      <c r="AH647" s="65"/>
      <c r="AI647" s="66"/>
      <c r="AJ647" s="66"/>
      <c r="AK647" s="58"/>
      <c r="AL647" s="58"/>
      <c r="AM647" s="68" t="str">
        <f aca="false">IF(LEFT(AL647,1)="9","Celular",IF(AL647="","","Fixo"))</f>
        <v/>
      </c>
      <c r="AN647" s="58" t="str">
        <f aca="false">IF( AM647&lt;&gt;"",VLOOKUP(AM647,Selects!$M$4:$N$1000,2,0),"")</f>
        <v/>
      </c>
      <c r="AO647" s="58"/>
      <c r="AP647" s="59"/>
      <c r="AQ647" s="65"/>
      <c r="AR647" s="58"/>
      <c r="AS647" s="58"/>
      <c r="AT647" s="26"/>
      <c r="AU647" s="58"/>
      <c r="AV647" s="58"/>
      <c r="AW647" s="58"/>
      <c r="AX647" s="58"/>
      <c r="AY647" s="71"/>
      <c r="AZ647" s="58"/>
      <c r="BA647" s="58"/>
      <c r="BB647" s="72" t="str">
        <f aca="false">IF(BA647&lt;&gt;"",VLOOKUP(BA647,Selects!$B$4:$C$100,2,0),"")</f>
        <v/>
      </c>
      <c r="BC647" s="26"/>
      <c r="BD647" s="26"/>
      <c r="BE647" s="73"/>
      <c r="BF647" s="74"/>
      <c r="BG647" s="75" t="str">
        <f aca="false">IF(LEN(BF647)=11,"PF",IF(LEN(BF647)=14,"PJ",""))</f>
        <v/>
      </c>
      <c r="BH647" s="66"/>
      <c r="BI647" s="58" t="str">
        <f aca="false">IF(BH647&lt;&gt;"",VLOOKUP(BH647,Selects!$G:$H,2,0),"")</f>
        <v/>
      </c>
      <c r="BJ647" s="58"/>
      <c r="BK647" s="58"/>
      <c r="BL647" s="59"/>
      <c r="BM647" s="58"/>
      <c r="BN647" s="58"/>
      <c r="BO647" s="58" t="str">
        <f aca="false">IF(BN647&lt;&gt;"",VLOOKUP(BN647,Selects!$J$4:$K$1000,2,0),"")</f>
        <v/>
      </c>
      <c r="BP647" s="76"/>
      <c r="BQ647" s="59"/>
      <c r="BR647" s="77"/>
      <c r="BS647" s="59"/>
      <c r="BT647" s="77"/>
      <c r="BU647" s="58"/>
      <c r="BV647" s="58"/>
      <c r="BW647" s="58"/>
      <c r="BX647" s="58"/>
      <c r="BY647" s="58"/>
      <c r="BZ647" s="58"/>
      <c r="CA647" s="58"/>
      <c r="CB647" s="72" t="str">
        <f aca="false">IF(AC647&lt;&gt;"",VLOOKUP(AC647,Selects!$B:$E,4,0),"")</f>
        <v/>
      </c>
      <c r="CC647" s="58"/>
      <c r="CD647" s="58"/>
      <c r="CE647" s="58"/>
    </row>
    <row r="648" customFormat="false" ht="15.75" hidden="false" customHeight="true" outlineLevel="0" collapsed="false">
      <c r="A648" s="17"/>
      <c r="B648" s="58"/>
      <c r="C648" s="58"/>
      <c r="D648" s="59"/>
      <c r="E648" s="60" t="str">
        <f aca="false">IF(LEN(D648)=11,"PF",IF(LEN(D648)=14,"PJ",""))</f>
        <v/>
      </c>
      <c r="F648" s="59"/>
      <c r="G648" s="59"/>
      <c r="H648" s="61" t="str">
        <f aca="false">IF(G648&lt;&gt;"",VLOOKUP(G648,'Cnae  mcc  id'!$A:$M,9,0),"")</f>
        <v/>
      </c>
      <c r="I648" s="62"/>
      <c r="J648" s="63" t="str">
        <f aca="false">IF(I648&lt;&gt;"",VLOOKUP(I648,'Legal Nature'!$E$2:$G$84,3,0),"")</f>
        <v/>
      </c>
      <c r="K648" s="64"/>
      <c r="L648" s="65"/>
      <c r="M648" s="66"/>
      <c r="N648" s="66"/>
      <c r="O648" s="79"/>
      <c r="P648" s="26"/>
      <c r="Q648" s="58"/>
      <c r="R648" s="58"/>
      <c r="S648" s="80"/>
      <c r="T648" s="68" t="str">
        <f aca="false">IF(LEFT(S648,1)="9","Celular",IF(S648="","","Fixo"))</f>
        <v/>
      </c>
      <c r="U648" s="58" t="str">
        <f aca="false">IF( T648&lt;&gt;"",VLOOKUP(T648,Selects!$M$4:$N$1000,2,0),"")</f>
        <v/>
      </c>
      <c r="V648" s="26"/>
      <c r="W648" s="58"/>
      <c r="X648" s="58"/>
      <c r="Y648" s="58"/>
      <c r="Z648" s="58"/>
      <c r="AA648" s="69"/>
      <c r="AB648" s="58"/>
      <c r="AC648" s="58"/>
      <c r="AD648" s="70" t="str">
        <f aca="false">IF(AC648&lt;&gt;"",VLOOKUP(AC648,Selects!$B$4:$C$100,2,0),"")</f>
        <v/>
      </c>
      <c r="AE648" s="26"/>
      <c r="AF648" s="58"/>
      <c r="AG648" s="59"/>
      <c r="AH648" s="65"/>
      <c r="AI648" s="66"/>
      <c r="AJ648" s="66"/>
      <c r="AK648" s="58"/>
      <c r="AL648" s="58"/>
      <c r="AM648" s="68" t="str">
        <f aca="false">IF(LEFT(AL648,1)="9","Celular",IF(AL648="","","Fixo"))</f>
        <v/>
      </c>
      <c r="AN648" s="58" t="str">
        <f aca="false">IF( AM648&lt;&gt;"",VLOOKUP(AM648,Selects!$M$4:$N$1000,2,0),"")</f>
        <v/>
      </c>
      <c r="AO648" s="58"/>
      <c r="AP648" s="59"/>
      <c r="AQ648" s="65"/>
      <c r="AR648" s="58"/>
      <c r="AS648" s="58"/>
      <c r="AT648" s="26"/>
      <c r="AU648" s="58"/>
      <c r="AV648" s="58"/>
      <c r="AW648" s="58"/>
      <c r="AX648" s="58"/>
      <c r="AY648" s="71"/>
      <c r="AZ648" s="58"/>
      <c r="BA648" s="58"/>
      <c r="BB648" s="72" t="str">
        <f aca="false">IF(BA648&lt;&gt;"",VLOOKUP(BA648,Selects!$B$4:$C$100,2,0),"")</f>
        <v/>
      </c>
      <c r="BC648" s="26"/>
      <c r="BD648" s="26"/>
      <c r="BE648" s="73"/>
      <c r="BF648" s="74"/>
      <c r="BG648" s="75" t="str">
        <f aca="false">IF(LEN(BF648)=11,"PF",IF(LEN(BF648)=14,"PJ",""))</f>
        <v/>
      </c>
      <c r="BH648" s="66"/>
      <c r="BI648" s="58" t="str">
        <f aca="false">IF(BH648&lt;&gt;"",VLOOKUP(BH648,Selects!$G:$H,2,0),"")</f>
        <v/>
      </c>
      <c r="BJ648" s="58"/>
      <c r="BK648" s="58"/>
      <c r="BL648" s="59"/>
      <c r="BM648" s="58"/>
      <c r="BN648" s="58"/>
      <c r="BO648" s="58" t="str">
        <f aca="false">IF(BN648&lt;&gt;"",VLOOKUP(BN648,Selects!$J$4:$K$1000,2,0),"")</f>
        <v/>
      </c>
      <c r="BP648" s="76"/>
      <c r="BQ648" s="59"/>
      <c r="BR648" s="77"/>
      <c r="BS648" s="59"/>
      <c r="BT648" s="77"/>
      <c r="BU648" s="58"/>
      <c r="BV648" s="58"/>
      <c r="BW648" s="58"/>
      <c r="BX648" s="58"/>
      <c r="BY648" s="58"/>
      <c r="BZ648" s="58"/>
      <c r="CA648" s="58"/>
      <c r="CB648" s="72" t="str">
        <f aca="false">IF(AC648&lt;&gt;"",VLOOKUP(AC648,Selects!$B:$E,4,0),"")</f>
        <v/>
      </c>
      <c r="CC648" s="58"/>
      <c r="CD648" s="58"/>
      <c r="CE648" s="58"/>
    </row>
    <row r="649" customFormat="false" ht="15.75" hidden="false" customHeight="true" outlineLevel="0" collapsed="false">
      <c r="A649" s="17"/>
      <c r="B649" s="58"/>
      <c r="C649" s="58"/>
      <c r="D649" s="59"/>
      <c r="E649" s="60" t="str">
        <f aca="false">IF(LEN(D649)=11,"PF",IF(LEN(D649)=14,"PJ",""))</f>
        <v/>
      </c>
      <c r="F649" s="59"/>
      <c r="G649" s="59"/>
      <c r="H649" s="61" t="str">
        <f aca="false">IF(G649&lt;&gt;"",VLOOKUP(G649,'Cnae  mcc  id'!$A:$M,9,0),"")</f>
        <v/>
      </c>
      <c r="I649" s="62"/>
      <c r="J649" s="63" t="str">
        <f aca="false">IF(I649&lt;&gt;"",VLOOKUP(I649,'Legal Nature'!$E$2:$G$84,3,0),"")</f>
        <v/>
      </c>
      <c r="K649" s="64"/>
      <c r="L649" s="65"/>
      <c r="M649" s="66"/>
      <c r="N649" s="66"/>
      <c r="O649" s="79"/>
      <c r="P649" s="26"/>
      <c r="Q649" s="58"/>
      <c r="R649" s="58"/>
      <c r="S649" s="80"/>
      <c r="T649" s="68" t="str">
        <f aca="false">IF(LEFT(S649,1)="9","Celular",IF(S649="","","Fixo"))</f>
        <v/>
      </c>
      <c r="U649" s="58" t="str">
        <f aca="false">IF( T649&lt;&gt;"",VLOOKUP(T649,Selects!$M$4:$N$1000,2,0),"")</f>
        <v/>
      </c>
      <c r="V649" s="26"/>
      <c r="W649" s="58"/>
      <c r="X649" s="58"/>
      <c r="Y649" s="58"/>
      <c r="Z649" s="58"/>
      <c r="AA649" s="69"/>
      <c r="AB649" s="58"/>
      <c r="AC649" s="58"/>
      <c r="AD649" s="70" t="str">
        <f aca="false">IF(AC649&lt;&gt;"",VLOOKUP(AC649,Selects!$B$4:$C$100,2,0),"")</f>
        <v/>
      </c>
      <c r="AE649" s="26"/>
      <c r="AF649" s="58"/>
      <c r="AG649" s="59"/>
      <c r="AH649" s="65"/>
      <c r="AI649" s="66"/>
      <c r="AJ649" s="66"/>
      <c r="AK649" s="58"/>
      <c r="AL649" s="58"/>
      <c r="AM649" s="68" t="str">
        <f aca="false">IF(LEFT(AL649,1)="9","Celular",IF(AL649="","","Fixo"))</f>
        <v/>
      </c>
      <c r="AN649" s="58" t="str">
        <f aca="false">IF( AM649&lt;&gt;"",VLOOKUP(AM649,Selects!$M$4:$N$1000,2,0),"")</f>
        <v/>
      </c>
      <c r="AO649" s="58"/>
      <c r="AP649" s="59"/>
      <c r="AQ649" s="65"/>
      <c r="AR649" s="58"/>
      <c r="AS649" s="58"/>
      <c r="AT649" s="26"/>
      <c r="AU649" s="58"/>
      <c r="AV649" s="58"/>
      <c r="AW649" s="58"/>
      <c r="AX649" s="58"/>
      <c r="AY649" s="71"/>
      <c r="AZ649" s="58"/>
      <c r="BA649" s="58"/>
      <c r="BB649" s="72" t="str">
        <f aca="false">IF(BA649&lt;&gt;"",VLOOKUP(BA649,Selects!$B$4:$C$100,2,0),"")</f>
        <v/>
      </c>
      <c r="BC649" s="26"/>
      <c r="BD649" s="26"/>
      <c r="BE649" s="73"/>
      <c r="BF649" s="74"/>
      <c r="BG649" s="75" t="str">
        <f aca="false">IF(LEN(BF649)=11,"PF",IF(LEN(BF649)=14,"PJ",""))</f>
        <v/>
      </c>
      <c r="BH649" s="66"/>
      <c r="BI649" s="58" t="str">
        <f aca="false">IF(BH649&lt;&gt;"",VLOOKUP(BH649,Selects!$G:$H,2,0),"")</f>
        <v/>
      </c>
      <c r="BJ649" s="58"/>
      <c r="BK649" s="58"/>
      <c r="BL649" s="59"/>
      <c r="BM649" s="58"/>
      <c r="BN649" s="58"/>
      <c r="BO649" s="58" t="str">
        <f aca="false">IF(BN649&lt;&gt;"",VLOOKUP(BN649,Selects!$J$4:$K$1000,2,0),"")</f>
        <v/>
      </c>
      <c r="BP649" s="76"/>
      <c r="BQ649" s="59"/>
      <c r="BR649" s="77"/>
      <c r="BS649" s="59"/>
      <c r="BT649" s="77"/>
      <c r="BU649" s="58"/>
      <c r="BV649" s="58"/>
      <c r="BW649" s="58"/>
      <c r="BX649" s="58"/>
      <c r="BY649" s="58"/>
      <c r="BZ649" s="58"/>
      <c r="CA649" s="58"/>
      <c r="CB649" s="72" t="str">
        <f aca="false">IF(AC649&lt;&gt;"",VLOOKUP(AC649,Selects!$B:$E,4,0),"")</f>
        <v/>
      </c>
      <c r="CC649" s="58"/>
      <c r="CD649" s="58"/>
      <c r="CE649" s="58"/>
    </row>
    <row r="650" customFormat="false" ht="15.75" hidden="false" customHeight="true" outlineLevel="0" collapsed="false">
      <c r="A650" s="17"/>
      <c r="B650" s="58"/>
      <c r="C650" s="58"/>
      <c r="D650" s="59"/>
      <c r="E650" s="60" t="str">
        <f aca="false">IF(LEN(D650)=11,"PF",IF(LEN(D650)=14,"PJ",""))</f>
        <v/>
      </c>
      <c r="F650" s="59"/>
      <c r="G650" s="59"/>
      <c r="H650" s="61" t="str">
        <f aca="false">IF(G650&lt;&gt;"",VLOOKUP(G650,'Cnae  mcc  id'!$A:$M,9,0),"")</f>
        <v/>
      </c>
      <c r="I650" s="62"/>
      <c r="J650" s="63" t="str">
        <f aca="false">IF(I650&lt;&gt;"",VLOOKUP(I650,'Legal Nature'!$E$2:$G$84,3,0),"")</f>
        <v/>
      </c>
      <c r="K650" s="64"/>
      <c r="L650" s="65"/>
      <c r="M650" s="66"/>
      <c r="N650" s="66"/>
      <c r="O650" s="79"/>
      <c r="P650" s="26"/>
      <c r="Q650" s="58"/>
      <c r="R650" s="58"/>
      <c r="S650" s="80"/>
      <c r="T650" s="68" t="str">
        <f aca="false">IF(LEFT(S650,1)="9","Celular",IF(S650="","","Fixo"))</f>
        <v/>
      </c>
      <c r="U650" s="58" t="str">
        <f aca="false">IF( T650&lt;&gt;"",VLOOKUP(T650,Selects!$M$4:$N$1000,2,0),"")</f>
        <v/>
      </c>
      <c r="V650" s="26"/>
      <c r="W650" s="58"/>
      <c r="X650" s="58"/>
      <c r="Y650" s="58"/>
      <c r="Z650" s="58"/>
      <c r="AA650" s="69"/>
      <c r="AB650" s="58"/>
      <c r="AC650" s="58"/>
      <c r="AD650" s="70" t="str">
        <f aca="false">IF(AC650&lt;&gt;"",VLOOKUP(AC650,Selects!$B$4:$C$100,2,0),"")</f>
        <v/>
      </c>
      <c r="AE650" s="26"/>
      <c r="AF650" s="58"/>
      <c r="AG650" s="59"/>
      <c r="AH650" s="65"/>
      <c r="AI650" s="66"/>
      <c r="AJ650" s="66"/>
      <c r="AK650" s="58"/>
      <c r="AL650" s="58"/>
      <c r="AM650" s="68" t="str">
        <f aca="false">IF(LEFT(AL650,1)="9","Celular",IF(AL650="","","Fixo"))</f>
        <v/>
      </c>
      <c r="AN650" s="58" t="str">
        <f aca="false">IF( AM650&lt;&gt;"",VLOOKUP(AM650,Selects!$M$4:$N$1000,2,0),"")</f>
        <v/>
      </c>
      <c r="AO650" s="58"/>
      <c r="AP650" s="59"/>
      <c r="AQ650" s="65"/>
      <c r="AR650" s="58"/>
      <c r="AS650" s="58"/>
      <c r="AT650" s="26"/>
      <c r="AU650" s="58"/>
      <c r="AV650" s="58"/>
      <c r="AW650" s="58"/>
      <c r="AX650" s="58"/>
      <c r="AY650" s="71"/>
      <c r="AZ650" s="58"/>
      <c r="BA650" s="58"/>
      <c r="BB650" s="72" t="str">
        <f aca="false">IF(BA650&lt;&gt;"",VLOOKUP(BA650,Selects!$B$4:$C$100,2,0),"")</f>
        <v/>
      </c>
      <c r="BC650" s="26"/>
      <c r="BD650" s="26"/>
      <c r="BE650" s="73"/>
      <c r="BF650" s="74"/>
      <c r="BG650" s="75" t="str">
        <f aca="false">IF(LEN(BF650)=11,"PF",IF(LEN(BF650)=14,"PJ",""))</f>
        <v/>
      </c>
      <c r="BH650" s="66"/>
      <c r="BI650" s="58" t="str">
        <f aca="false">IF(BH650&lt;&gt;"",VLOOKUP(BH650,Selects!$G:$H,2,0),"")</f>
        <v/>
      </c>
      <c r="BJ650" s="58"/>
      <c r="BK650" s="58"/>
      <c r="BL650" s="59"/>
      <c r="BM650" s="58"/>
      <c r="BN650" s="58"/>
      <c r="BO650" s="58" t="str">
        <f aca="false">IF(BN650&lt;&gt;"",VLOOKUP(BN650,Selects!$J$4:$K$1000,2,0),"")</f>
        <v/>
      </c>
      <c r="BP650" s="76"/>
      <c r="BQ650" s="59"/>
      <c r="BR650" s="77"/>
      <c r="BS650" s="59"/>
      <c r="BT650" s="77"/>
      <c r="BU650" s="58"/>
      <c r="BV650" s="58"/>
      <c r="BW650" s="58"/>
      <c r="BX650" s="58"/>
      <c r="BY650" s="58"/>
      <c r="BZ650" s="58"/>
      <c r="CA650" s="58"/>
      <c r="CB650" s="72" t="str">
        <f aca="false">IF(AC650&lt;&gt;"",VLOOKUP(AC650,Selects!$B:$E,4,0),"")</f>
        <v/>
      </c>
      <c r="CC650" s="58"/>
      <c r="CD650" s="58"/>
      <c r="CE650" s="58"/>
    </row>
    <row r="651" customFormat="false" ht="15.75" hidden="false" customHeight="true" outlineLevel="0" collapsed="false">
      <c r="A651" s="17"/>
      <c r="B651" s="58"/>
      <c r="C651" s="58"/>
      <c r="D651" s="59"/>
      <c r="E651" s="60" t="str">
        <f aca="false">IF(LEN(D651)=11,"PF",IF(LEN(D651)=14,"PJ",""))</f>
        <v/>
      </c>
      <c r="F651" s="59"/>
      <c r="G651" s="59"/>
      <c r="H651" s="61" t="str">
        <f aca="false">IF(G651&lt;&gt;"",VLOOKUP(G651,'Cnae  mcc  id'!$A:$M,9,0),"")</f>
        <v/>
      </c>
      <c r="I651" s="62"/>
      <c r="J651" s="63" t="str">
        <f aca="false">IF(I651&lt;&gt;"",VLOOKUP(I651,'Legal Nature'!$E$2:$G$84,3,0),"")</f>
        <v/>
      </c>
      <c r="K651" s="64"/>
      <c r="L651" s="65"/>
      <c r="M651" s="66"/>
      <c r="N651" s="66"/>
      <c r="O651" s="79"/>
      <c r="P651" s="26"/>
      <c r="Q651" s="58"/>
      <c r="R651" s="58"/>
      <c r="S651" s="80"/>
      <c r="T651" s="68" t="str">
        <f aca="false">IF(LEFT(S651,1)="9","Celular",IF(S651="","","Fixo"))</f>
        <v/>
      </c>
      <c r="U651" s="58" t="str">
        <f aca="false">IF( T651&lt;&gt;"",VLOOKUP(T651,Selects!$M$4:$N$1000,2,0),"")</f>
        <v/>
      </c>
      <c r="V651" s="26"/>
      <c r="W651" s="58"/>
      <c r="X651" s="58"/>
      <c r="Y651" s="58"/>
      <c r="Z651" s="58"/>
      <c r="AA651" s="69"/>
      <c r="AB651" s="58"/>
      <c r="AC651" s="58"/>
      <c r="AD651" s="70" t="str">
        <f aca="false">IF(AC651&lt;&gt;"",VLOOKUP(AC651,Selects!$B$4:$C$100,2,0),"")</f>
        <v/>
      </c>
      <c r="AE651" s="26"/>
      <c r="AF651" s="58"/>
      <c r="AG651" s="59"/>
      <c r="AH651" s="65"/>
      <c r="AI651" s="66"/>
      <c r="AJ651" s="66"/>
      <c r="AK651" s="58"/>
      <c r="AL651" s="58"/>
      <c r="AM651" s="68" t="str">
        <f aca="false">IF(LEFT(AL651,1)="9","Celular",IF(AL651="","","Fixo"))</f>
        <v/>
      </c>
      <c r="AN651" s="58" t="str">
        <f aca="false">IF( AM651&lt;&gt;"",VLOOKUP(AM651,Selects!$M$4:$N$1000,2,0),"")</f>
        <v/>
      </c>
      <c r="AO651" s="58"/>
      <c r="AP651" s="59"/>
      <c r="AQ651" s="65"/>
      <c r="AR651" s="58"/>
      <c r="AS651" s="58"/>
      <c r="AT651" s="26"/>
      <c r="AU651" s="58"/>
      <c r="AV651" s="58"/>
      <c r="AW651" s="58"/>
      <c r="AX651" s="58"/>
      <c r="AY651" s="71"/>
      <c r="AZ651" s="58"/>
      <c r="BA651" s="58"/>
      <c r="BB651" s="72" t="str">
        <f aca="false">IF(BA651&lt;&gt;"",VLOOKUP(BA651,Selects!$B$4:$C$100,2,0),"")</f>
        <v/>
      </c>
      <c r="BC651" s="26"/>
      <c r="BD651" s="26"/>
      <c r="BE651" s="73"/>
      <c r="BF651" s="74"/>
      <c r="BG651" s="75" t="str">
        <f aca="false">IF(LEN(BF651)=11,"PF",IF(LEN(BF651)=14,"PJ",""))</f>
        <v/>
      </c>
      <c r="BH651" s="66"/>
      <c r="BI651" s="58" t="str">
        <f aca="false">IF(BH651&lt;&gt;"",VLOOKUP(BH651,Selects!$G:$H,2,0),"")</f>
        <v/>
      </c>
      <c r="BJ651" s="58"/>
      <c r="BK651" s="58"/>
      <c r="BL651" s="59"/>
      <c r="BM651" s="58"/>
      <c r="BN651" s="58"/>
      <c r="BO651" s="58" t="str">
        <f aca="false">IF(BN651&lt;&gt;"",VLOOKUP(BN651,Selects!$J$4:$K$1000,2,0),"")</f>
        <v/>
      </c>
      <c r="BP651" s="76"/>
      <c r="BQ651" s="59"/>
      <c r="BR651" s="77"/>
      <c r="BS651" s="59"/>
      <c r="BT651" s="77"/>
      <c r="BU651" s="58"/>
      <c r="BV651" s="58"/>
      <c r="BW651" s="58"/>
      <c r="BX651" s="58"/>
      <c r="BY651" s="58"/>
      <c r="BZ651" s="58"/>
      <c r="CA651" s="58"/>
      <c r="CB651" s="72" t="str">
        <f aca="false">IF(AC651&lt;&gt;"",VLOOKUP(AC651,Selects!$B:$E,4,0),"")</f>
        <v/>
      </c>
      <c r="CC651" s="58"/>
      <c r="CD651" s="58"/>
      <c r="CE651" s="58"/>
    </row>
    <row r="652" customFormat="false" ht="15.75" hidden="false" customHeight="true" outlineLevel="0" collapsed="false">
      <c r="A652" s="17"/>
      <c r="B652" s="58"/>
      <c r="C652" s="58"/>
      <c r="D652" s="59"/>
      <c r="E652" s="60" t="str">
        <f aca="false">IF(LEN(D652)=11,"PF",IF(LEN(D652)=14,"PJ",""))</f>
        <v/>
      </c>
      <c r="F652" s="59"/>
      <c r="G652" s="59"/>
      <c r="H652" s="61" t="str">
        <f aca="false">IF(G652&lt;&gt;"",VLOOKUP(G652,'Cnae  mcc  id'!$A:$M,9,0),"")</f>
        <v/>
      </c>
      <c r="I652" s="62"/>
      <c r="J652" s="63" t="str">
        <f aca="false">IF(I652&lt;&gt;"",VLOOKUP(I652,'Legal Nature'!$E$2:$G$84,3,0),"")</f>
        <v/>
      </c>
      <c r="K652" s="64"/>
      <c r="L652" s="65"/>
      <c r="M652" s="66"/>
      <c r="N652" s="66"/>
      <c r="O652" s="79"/>
      <c r="P652" s="26"/>
      <c r="Q652" s="58"/>
      <c r="R652" s="58"/>
      <c r="S652" s="80"/>
      <c r="T652" s="68" t="str">
        <f aca="false">IF(LEFT(S652,1)="9","Celular",IF(S652="","","Fixo"))</f>
        <v/>
      </c>
      <c r="U652" s="58" t="str">
        <f aca="false">IF( T652&lt;&gt;"",VLOOKUP(T652,Selects!$M$4:$N$1000,2,0),"")</f>
        <v/>
      </c>
      <c r="V652" s="26"/>
      <c r="W652" s="58"/>
      <c r="X652" s="58"/>
      <c r="Y652" s="58"/>
      <c r="Z652" s="58"/>
      <c r="AA652" s="69"/>
      <c r="AB652" s="58"/>
      <c r="AC652" s="58"/>
      <c r="AD652" s="70" t="str">
        <f aca="false">IF(AC652&lt;&gt;"",VLOOKUP(AC652,Selects!$B$4:$C$100,2,0),"")</f>
        <v/>
      </c>
      <c r="AE652" s="26"/>
      <c r="AF652" s="58"/>
      <c r="AG652" s="59"/>
      <c r="AH652" s="65"/>
      <c r="AI652" s="66"/>
      <c r="AJ652" s="66"/>
      <c r="AK652" s="58"/>
      <c r="AL652" s="58"/>
      <c r="AM652" s="68" t="str">
        <f aca="false">IF(LEFT(AL652,1)="9","Celular",IF(AL652="","","Fixo"))</f>
        <v/>
      </c>
      <c r="AN652" s="58" t="str">
        <f aca="false">IF( AM652&lt;&gt;"",VLOOKUP(AM652,Selects!$M$4:$N$1000,2,0),"")</f>
        <v/>
      </c>
      <c r="AO652" s="58"/>
      <c r="AP652" s="59"/>
      <c r="AQ652" s="65"/>
      <c r="AR652" s="58"/>
      <c r="AS652" s="58"/>
      <c r="AT652" s="26"/>
      <c r="AU652" s="58"/>
      <c r="AV652" s="58"/>
      <c r="AW652" s="58"/>
      <c r="AX652" s="58"/>
      <c r="AY652" s="71"/>
      <c r="AZ652" s="58"/>
      <c r="BA652" s="58"/>
      <c r="BB652" s="72" t="str">
        <f aca="false">IF(BA652&lt;&gt;"",VLOOKUP(BA652,Selects!$B$4:$C$100,2,0),"")</f>
        <v/>
      </c>
      <c r="BC652" s="26"/>
      <c r="BD652" s="26"/>
      <c r="BE652" s="73"/>
      <c r="BF652" s="74"/>
      <c r="BG652" s="75" t="str">
        <f aca="false">IF(LEN(BF652)=11,"PF",IF(LEN(BF652)=14,"PJ",""))</f>
        <v/>
      </c>
      <c r="BH652" s="66"/>
      <c r="BI652" s="58" t="str">
        <f aca="false">IF(BH652&lt;&gt;"",VLOOKUP(BH652,Selects!$G:$H,2,0),"")</f>
        <v/>
      </c>
      <c r="BJ652" s="58"/>
      <c r="BK652" s="58"/>
      <c r="BL652" s="59"/>
      <c r="BM652" s="58"/>
      <c r="BN652" s="58"/>
      <c r="BO652" s="58" t="str">
        <f aca="false">IF(BN652&lt;&gt;"",VLOOKUP(BN652,Selects!$J$4:$K$1000,2,0),"")</f>
        <v/>
      </c>
      <c r="BP652" s="76"/>
      <c r="BQ652" s="59"/>
      <c r="BR652" s="77"/>
      <c r="BS652" s="59"/>
      <c r="BT652" s="77"/>
      <c r="BU652" s="58"/>
      <c r="BV652" s="58"/>
      <c r="BW652" s="58"/>
      <c r="BX652" s="58"/>
      <c r="BY652" s="58"/>
      <c r="BZ652" s="58"/>
      <c r="CA652" s="58"/>
      <c r="CB652" s="72" t="str">
        <f aca="false">IF(AC652&lt;&gt;"",VLOOKUP(AC652,Selects!$B:$E,4,0),"")</f>
        <v/>
      </c>
      <c r="CC652" s="58"/>
      <c r="CD652" s="58"/>
      <c r="CE652" s="58"/>
    </row>
    <row r="653" customFormat="false" ht="15.75" hidden="false" customHeight="true" outlineLevel="0" collapsed="false">
      <c r="A653" s="17"/>
      <c r="B653" s="58"/>
      <c r="C653" s="58"/>
      <c r="D653" s="59"/>
      <c r="E653" s="60" t="str">
        <f aca="false">IF(LEN(D653)=11,"PF",IF(LEN(D653)=14,"PJ",""))</f>
        <v/>
      </c>
      <c r="F653" s="59"/>
      <c r="G653" s="59"/>
      <c r="H653" s="61" t="str">
        <f aca="false">IF(G653&lt;&gt;"",VLOOKUP(G653,'Cnae  mcc  id'!$A:$M,9,0),"")</f>
        <v/>
      </c>
      <c r="I653" s="62"/>
      <c r="J653" s="63" t="str">
        <f aca="false">IF(I653&lt;&gt;"",VLOOKUP(I653,'Legal Nature'!$E$2:$G$84,3,0),"")</f>
        <v/>
      </c>
      <c r="K653" s="64"/>
      <c r="L653" s="65"/>
      <c r="M653" s="66"/>
      <c r="N653" s="66"/>
      <c r="O653" s="79"/>
      <c r="P653" s="26"/>
      <c r="Q653" s="58"/>
      <c r="R653" s="58"/>
      <c r="S653" s="80"/>
      <c r="T653" s="68" t="str">
        <f aca="false">IF(LEFT(S653,1)="9","Celular",IF(S653="","","Fixo"))</f>
        <v/>
      </c>
      <c r="U653" s="58" t="str">
        <f aca="false">IF( T653&lt;&gt;"",VLOOKUP(T653,Selects!$M$4:$N$1000,2,0),"")</f>
        <v/>
      </c>
      <c r="V653" s="26"/>
      <c r="W653" s="58"/>
      <c r="X653" s="58"/>
      <c r="Y653" s="58"/>
      <c r="Z653" s="58"/>
      <c r="AA653" s="69"/>
      <c r="AB653" s="58"/>
      <c r="AC653" s="58"/>
      <c r="AD653" s="70" t="str">
        <f aca="false">IF(AC653&lt;&gt;"",VLOOKUP(AC653,Selects!$B$4:$C$100,2,0),"")</f>
        <v/>
      </c>
      <c r="AE653" s="26"/>
      <c r="AF653" s="58"/>
      <c r="AG653" s="59"/>
      <c r="AH653" s="65"/>
      <c r="AI653" s="66"/>
      <c r="AJ653" s="66"/>
      <c r="AK653" s="58"/>
      <c r="AL653" s="58"/>
      <c r="AM653" s="68" t="str">
        <f aca="false">IF(LEFT(AL653,1)="9","Celular",IF(AL653="","","Fixo"))</f>
        <v/>
      </c>
      <c r="AN653" s="58" t="str">
        <f aca="false">IF( AM653&lt;&gt;"",VLOOKUP(AM653,Selects!$M$4:$N$1000,2,0),"")</f>
        <v/>
      </c>
      <c r="AO653" s="58"/>
      <c r="AP653" s="59"/>
      <c r="AQ653" s="65"/>
      <c r="AR653" s="58"/>
      <c r="AS653" s="58"/>
      <c r="AT653" s="26"/>
      <c r="AU653" s="58"/>
      <c r="AV653" s="58"/>
      <c r="AW653" s="58"/>
      <c r="AX653" s="58"/>
      <c r="AY653" s="71"/>
      <c r="AZ653" s="58"/>
      <c r="BA653" s="58"/>
      <c r="BB653" s="72" t="str">
        <f aca="false">IF(BA653&lt;&gt;"",VLOOKUP(BA653,Selects!$B$4:$C$100,2,0),"")</f>
        <v/>
      </c>
      <c r="BC653" s="26"/>
      <c r="BD653" s="26"/>
      <c r="BE653" s="73"/>
      <c r="BF653" s="74"/>
      <c r="BG653" s="75" t="str">
        <f aca="false">IF(LEN(BF653)=11,"PF",IF(LEN(BF653)=14,"PJ",""))</f>
        <v/>
      </c>
      <c r="BH653" s="66"/>
      <c r="BI653" s="58" t="str">
        <f aca="false">IF(BH653&lt;&gt;"",VLOOKUP(BH653,Selects!$G:$H,2,0),"")</f>
        <v/>
      </c>
      <c r="BJ653" s="58"/>
      <c r="BK653" s="58"/>
      <c r="BL653" s="59"/>
      <c r="BM653" s="58"/>
      <c r="BN653" s="58"/>
      <c r="BO653" s="58" t="str">
        <f aca="false">IF(BN653&lt;&gt;"",VLOOKUP(BN653,Selects!$J$4:$K$1000,2,0),"")</f>
        <v/>
      </c>
      <c r="BP653" s="76"/>
      <c r="BQ653" s="59"/>
      <c r="BR653" s="77"/>
      <c r="BS653" s="59"/>
      <c r="BT653" s="77"/>
      <c r="BU653" s="58"/>
      <c r="BV653" s="58"/>
      <c r="BW653" s="58"/>
      <c r="BX653" s="58"/>
      <c r="BY653" s="58"/>
      <c r="BZ653" s="58"/>
      <c r="CA653" s="58"/>
      <c r="CB653" s="72" t="str">
        <f aca="false">IF(AC653&lt;&gt;"",VLOOKUP(AC653,Selects!$B:$E,4,0),"")</f>
        <v/>
      </c>
      <c r="CC653" s="58"/>
      <c r="CD653" s="58"/>
      <c r="CE653" s="58"/>
    </row>
    <row r="654" customFormat="false" ht="15.75" hidden="false" customHeight="true" outlineLevel="0" collapsed="false">
      <c r="A654" s="17"/>
      <c r="B654" s="58"/>
      <c r="C654" s="58"/>
      <c r="D654" s="59"/>
      <c r="E654" s="60" t="str">
        <f aca="false">IF(LEN(D654)=11,"PF",IF(LEN(D654)=14,"PJ",""))</f>
        <v/>
      </c>
      <c r="F654" s="59"/>
      <c r="G654" s="59"/>
      <c r="H654" s="61" t="str">
        <f aca="false">IF(G654&lt;&gt;"",VLOOKUP(G654,'Cnae  mcc  id'!$A:$M,9,0),"")</f>
        <v/>
      </c>
      <c r="I654" s="62"/>
      <c r="J654" s="63" t="str">
        <f aca="false">IF(I654&lt;&gt;"",VLOOKUP(I654,'Legal Nature'!$E$2:$G$84,3,0),"")</f>
        <v/>
      </c>
      <c r="K654" s="64"/>
      <c r="L654" s="65"/>
      <c r="M654" s="66"/>
      <c r="N654" s="66"/>
      <c r="O654" s="79"/>
      <c r="P654" s="26"/>
      <c r="Q654" s="58"/>
      <c r="R654" s="58"/>
      <c r="S654" s="80"/>
      <c r="T654" s="68" t="str">
        <f aca="false">IF(LEFT(S654,1)="9","Celular",IF(S654="","","Fixo"))</f>
        <v/>
      </c>
      <c r="U654" s="58" t="str">
        <f aca="false">IF( T654&lt;&gt;"",VLOOKUP(T654,Selects!$M$4:$N$1000,2,0),"")</f>
        <v/>
      </c>
      <c r="V654" s="26"/>
      <c r="W654" s="58"/>
      <c r="X654" s="58"/>
      <c r="Y654" s="58"/>
      <c r="Z654" s="58"/>
      <c r="AA654" s="69"/>
      <c r="AB654" s="58"/>
      <c r="AC654" s="58"/>
      <c r="AD654" s="70" t="str">
        <f aca="false">IF(AC654&lt;&gt;"",VLOOKUP(AC654,Selects!$B$4:$C$100,2,0),"")</f>
        <v/>
      </c>
      <c r="AE654" s="26"/>
      <c r="AF654" s="58"/>
      <c r="AG654" s="59"/>
      <c r="AH654" s="65"/>
      <c r="AI654" s="66"/>
      <c r="AJ654" s="66"/>
      <c r="AK654" s="58"/>
      <c r="AL654" s="58"/>
      <c r="AM654" s="68" t="str">
        <f aca="false">IF(LEFT(AL654,1)="9","Celular",IF(AL654="","","Fixo"))</f>
        <v/>
      </c>
      <c r="AN654" s="58" t="str">
        <f aca="false">IF( AM654&lt;&gt;"",VLOOKUP(AM654,Selects!$M$4:$N$1000,2,0),"")</f>
        <v/>
      </c>
      <c r="AO654" s="58"/>
      <c r="AP654" s="59"/>
      <c r="AQ654" s="65"/>
      <c r="AR654" s="58"/>
      <c r="AS654" s="58"/>
      <c r="AT654" s="26"/>
      <c r="AU654" s="58"/>
      <c r="AV654" s="58"/>
      <c r="AW654" s="58"/>
      <c r="AX654" s="58"/>
      <c r="AY654" s="71"/>
      <c r="AZ654" s="58"/>
      <c r="BA654" s="58"/>
      <c r="BB654" s="72" t="str">
        <f aca="false">IF(BA654&lt;&gt;"",VLOOKUP(BA654,Selects!$B$4:$C$100,2,0),"")</f>
        <v/>
      </c>
      <c r="BC654" s="26"/>
      <c r="BD654" s="26"/>
      <c r="BE654" s="73"/>
      <c r="BF654" s="74"/>
      <c r="BG654" s="75" t="str">
        <f aca="false">IF(LEN(BF654)=11,"PF",IF(LEN(BF654)=14,"PJ",""))</f>
        <v/>
      </c>
      <c r="BH654" s="66"/>
      <c r="BI654" s="58" t="str">
        <f aca="false">IF(BH654&lt;&gt;"",VLOOKUP(BH654,Selects!$G:$H,2,0),"")</f>
        <v/>
      </c>
      <c r="BJ654" s="58"/>
      <c r="BK654" s="58"/>
      <c r="BL654" s="59"/>
      <c r="BM654" s="58"/>
      <c r="BN654" s="58"/>
      <c r="BO654" s="58" t="str">
        <f aca="false">IF(BN654&lt;&gt;"",VLOOKUP(BN654,Selects!$J$4:$K$1000,2,0),"")</f>
        <v/>
      </c>
      <c r="BP654" s="76"/>
      <c r="BQ654" s="59"/>
      <c r="BR654" s="77"/>
      <c r="BS654" s="59"/>
      <c r="BT654" s="77"/>
      <c r="BU654" s="58"/>
      <c r="BV654" s="58"/>
      <c r="BW654" s="58"/>
      <c r="BX654" s="58"/>
      <c r="BY654" s="58"/>
      <c r="BZ654" s="58"/>
      <c r="CA654" s="58"/>
      <c r="CB654" s="72" t="str">
        <f aca="false">IF(AC654&lt;&gt;"",VLOOKUP(AC654,Selects!$B:$E,4,0),"")</f>
        <v/>
      </c>
      <c r="CC654" s="58"/>
      <c r="CD654" s="58"/>
      <c r="CE654" s="58"/>
    </row>
    <row r="655" customFormat="false" ht="15.75" hidden="false" customHeight="true" outlineLevel="0" collapsed="false">
      <c r="A655" s="17"/>
      <c r="B655" s="58"/>
      <c r="C655" s="58"/>
      <c r="D655" s="59"/>
      <c r="E655" s="60" t="str">
        <f aca="false">IF(LEN(D655)=11,"PF",IF(LEN(D655)=14,"PJ",""))</f>
        <v/>
      </c>
      <c r="F655" s="59"/>
      <c r="G655" s="59"/>
      <c r="H655" s="61" t="str">
        <f aca="false">IF(G655&lt;&gt;"",VLOOKUP(G655,'Cnae  mcc  id'!$A:$M,9,0),"")</f>
        <v/>
      </c>
      <c r="I655" s="62"/>
      <c r="J655" s="63" t="str">
        <f aca="false">IF(I655&lt;&gt;"",VLOOKUP(I655,'Legal Nature'!$E$2:$G$84,3,0),"")</f>
        <v/>
      </c>
      <c r="K655" s="64"/>
      <c r="L655" s="65"/>
      <c r="M655" s="66"/>
      <c r="N655" s="66"/>
      <c r="O655" s="79"/>
      <c r="P655" s="26"/>
      <c r="Q655" s="58"/>
      <c r="R655" s="58"/>
      <c r="S655" s="80"/>
      <c r="T655" s="68" t="str">
        <f aca="false">IF(LEFT(S655,1)="9","Celular",IF(S655="","","Fixo"))</f>
        <v/>
      </c>
      <c r="U655" s="58" t="str">
        <f aca="false">IF( T655&lt;&gt;"",VLOOKUP(T655,Selects!$M$4:$N$1000,2,0),"")</f>
        <v/>
      </c>
      <c r="V655" s="26"/>
      <c r="W655" s="58"/>
      <c r="X655" s="58"/>
      <c r="Y655" s="58"/>
      <c r="Z655" s="58"/>
      <c r="AA655" s="69"/>
      <c r="AB655" s="58"/>
      <c r="AC655" s="58"/>
      <c r="AD655" s="70" t="str">
        <f aca="false">IF(AC655&lt;&gt;"",VLOOKUP(AC655,Selects!$B$4:$C$100,2,0),"")</f>
        <v/>
      </c>
      <c r="AE655" s="26"/>
      <c r="AF655" s="58"/>
      <c r="AG655" s="59"/>
      <c r="AH655" s="65"/>
      <c r="AI655" s="66"/>
      <c r="AJ655" s="66"/>
      <c r="AK655" s="58"/>
      <c r="AL655" s="58"/>
      <c r="AM655" s="68" t="str">
        <f aca="false">IF(LEFT(AL655,1)="9","Celular",IF(AL655="","","Fixo"))</f>
        <v/>
      </c>
      <c r="AN655" s="58" t="str">
        <f aca="false">IF( AM655&lt;&gt;"",VLOOKUP(AM655,Selects!$M$4:$N$1000,2,0),"")</f>
        <v/>
      </c>
      <c r="AO655" s="58"/>
      <c r="AP655" s="59"/>
      <c r="AQ655" s="65"/>
      <c r="AR655" s="58"/>
      <c r="AS655" s="58"/>
      <c r="AT655" s="26"/>
      <c r="AU655" s="58"/>
      <c r="AV655" s="58"/>
      <c r="AW655" s="58"/>
      <c r="AX655" s="58"/>
      <c r="AY655" s="71"/>
      <c r="AZ655" s="58"/>
      <c r="BA655" s="58"/>
      <c r="BB655" s="72" t="str">
        <f aca="false">IF(BA655&lt;&gt;"",VLOOKUP(BA655,Selects!$B$4:$C$100,2,0),"")</f>
        <v/>
      </c>
      <c r="BC655" s="26"/>
      <c r="BD655" s="26"/>
      <c r="BE655" s="73"/>
      <c r="BF655" s="74"/>
      <c r="BG655" s="75" t="str">
        <f aca="false">IF(LEN(BF655)=11,"PF",IF(LEN(BF655)=14,"PJ",""))</f>
        <v/>
      </c>
      <c r="BH655" s="66"/>
      <c r="BI655" s="58" t="str">
        <f aca="false">IF(BH655&lt;&gt;"",VLOOKUP(BH655,Selects!$G:$H,2,0),"")</f>
        <v/>
      </c>
      <c r="BJ655" s="58"/>
      <c r="BK655" s="58"/>
      <c r="BL655" s="59"/>
      <c r="BM655" s="58"/>
      <c r="BN655" s="58"/>
      <c r="BO655" s="58" t="str">
        <f aca="false">IF(BN655&lt;&gt;"",VLOOKUP(BN655,Selects!$J$4:$K$1000,2,0),"")</f>
        <v/>
      </c>
      <c r="BP655" s="76"/>
      <c r="BQ655" s="59"/>
      <c r="BR655" s="77"/>
      <c r="BS655" s="59"/>
      <c r="BT655" s="77"/>
      <c r="BU655" s="58"/>
      <c r="BV655" s="58"/>
      <c r="BW655" s="58"/>
      <c r="BX655" s="58"/>
      <c r="BY655" s="58"/>
      <c r="BZ655" s="58"/>
      <c r="CA655" s="58"/>
      <c r="CB655" s="72" t="str">
        <f aca="false">IF(AC655&lt;&gt;"",VLOOKUP(AC655,Selects!$B:$E,4,0),"")</f>
        <v/>
      </c>
      <c r="CC655" s="58"/>
      <c r="CD655" s="58"/>
      <c r="CE655" s="58"/>
    </row>
    <row r="656" customFormat="false" ht="15.75" hidden="false" customHeight="true" outlineLevel="0" collapsed="false">
      <c r="A656" s="17"/>
      <c r="B656" s="58"/>
      <c r="C656" s="58"/>
      <c r="D656" s="59"/>
      <c r="E656" s="60" t="str">
        <f aca="false">IF(LEN(D656)=11,"PF",IF(LEN(D656)=14,"PJ",""))</f>
        <v/>
      </c>
      <c r="F656" s="59"/>
      <c r="G656" s="59"/>
      <c r="H656" s="61" t="str">
        <f aca="false">IF(G656&lt;&gt;"",VLOOKUP(G656,'Cnae  mcc  id'!$A:$M,9,0),"")</f>
        <v/>
      </c>
      <c r="I656" s="62"/>
      <c r="J656" s="63" t="str">
        <f aca="false">IF(I656&lt;&gt;"",VLOOKUP(I656,'Legal Nature'!$E$2:$G$84,3,0),"")</f>
        <v/>
      </c>
      <c r="K656" s="64"/>
      <c r="L656" s="65"/>
      <c r="M656" s="66"/>
      <c r="N656" s="66"/>
      <c r="O656" s="79"/>
      <c r="P656" s="26"/>
      <c r="Q656" s="58"/>
      <c r="R656" s="58"/>
      <c r="S656" s="80"/>
      <c r="T656" s="68" t="str">
        <f aca="false">IF(LEFT(S656,1)="9","Celular",IF(S656="","","Fixo"))</f>
        <v/>
      </c>
      <c r="U656" s="58" t="str">
        <f aca="false">IF( T656&lt;&gt;"",VLOOKUP(T656,Selects!$M$4:$N$1000,2,0),"")</f>
        <v/>
      </c>
      <c r="V656" s="26"/>
      <c r="W656" s="58"/>
      <c r="X656" s="58"/>
      <c r="Y656" s="58"/>
      <c r="Z656" s="58"/>
      <c r="AA656" s="69"/>
      <c r="AB656" s="58"/>
      <c r="AC656" s="58"/>
      <c r="AD656" s="70" t="str">
        <f aca="false">IF(AC656&lt;&gt;"",VLOOKUP(AC656,Selects!$B$4:$C$100,2,0),"")</f>
        <v/>
      </c>
      <c r="AE656" s="26"/>
      <c r="AF656" s="58"/>
      <c r="AG656" s="59"/>
      <c r="AH656" s="65"/>
      <c r="AI656" s="66"/>
      <c r="AJ656" s="66"/>
      <c r="AK656" s="58"/>
      <c r="AL656" s="58"/>
      <c r="AM656" s="68" t="str">
        <f aca="false">IF(LEFT(AL656,1)="9","Celular",IF(AL656="","","Fixo"))</f>
        <v/>
      </c>
      <c r="AN656" s="58" t="str">
        <f aca="false">IF( AM656&lt;&gt;"",VLOOKUP(AM656,Selects!$M$4:$N$1000,2,0),"")</f>
        <v/>
      </c>
      <c r="AO656" s="58"/>
      <c r="AP656" s="59"/>
      <c r="AQ656" s="65"/>
      <c r="AR656" s="58"/>
      <c r="AS656" s="58"/>
      <c r="AT656" s="26"/>
      <c r="AU656" s="58"/>
      <c r="AV656" s="58"/>
      <c r="AW656" s="58"/>
      <c r="AX656" s="58"/>
      <c r="AY656" s="71"/>
      <c r="AZ656" s="58"/>
      <c r="BA656" s="58"/>
      <c r="BB656" s="72" t="str">
        <f aca="false">IF(BA656&lt;&gt;"",VLOOKUP(BA656,Selects!$B$4:$C$100,2,0),"")</f>
        <v/>
      </c>
      <c r="BC656" s="26"/>
      <c r="BD656" s="26"/>
      <c r="BE656" s="73"/>
      <c r="BF656" s="74"/>
      <c r="BG656" s="75" t="str">
        <f aca="false">IF(LEN(BF656)=11,"PF",IF(LEN(BF656)=14,"PJ",""))</f>
        <v/>
      </c>
      <c r="BH656" s="66"/>
      <c r="BI656" s="58" t="str">
        <f aca="false">IF(BH656&lt;&gt;"",VLOOKUP(BH656,Selects!$G:$H,2,0),"")</f>
        <v/>
      </c>
      <c r="BJ656" s="58"/>
      <c r="BK656" s="58"/>
      <c r="BL656" s="59"/>
      <c r="BM656" s="58"/>
      <c r="BN656" s="58"/>
      <c r="BO656" s="58" t="str">
        <f aca="false">IF(BN656&lt;&gt;"",VLOOKUP(BN656,Selects!$J$4:$K$1000,2,0),"")</f>
        <v/>
      </c>
      <c r="BP656" s="76"/>
      <c r="BQ656" s="59"/>
      <c r="BR656" s="77"/>
      <c r="BS656" s="59"/>
      <c r="BT656" s="77"/>
      <c r="BU656" s="58"/>
      <c r="BV656" s="58"/>
      <c r="BW656" s="58"/>
      <c r="BX656" s="58"/>
      <c r="BY656" s="58"/>
      <c r="BZ656" s="58"/>
      <c r="CA656" s="58"/>
      <c r="CB656" s="72" t="str">
        <f aca="false">IF(AC656&lt;&gt;"",VLOOKUP(AC656,Selects!$B:$E,4,0),"")</f>
        <v/>
      </c>
      <c r="CC656" s="58"/>
      <c r="CD656" s="58"/>
      <c r="CE656" s="58"/>
    </row>
    <row r="657" customFormat="false" ht="15.75" hidden="false" customHeight="true" outlineLevel="0" collapsed="false">
      <c r="A657" s="17"/>
      <c r="B657" s="58"/>
      <c r="C657" s="58"/>
      <c r="D657" s="59"/>
      <c r="E657" s="60" t="str">
        <f aca="false">IF(LEN(D657)=11,"PF",IF(LEN(D657)=14,"PJ",""))</f>
        <v/>
      </c>
      <c r="F657" s="59"/>
      <c r="G657" s="59"/>
      <c r="H657" s="61" t="str">
        <f aca="false">IF(G657&lt;&gt;"",VLOOKUP(G657,'Cnae  mcc  id'!$A:$M,9,0),"")</f>
        <v/>
      </c>
      <c r="I657" s="62"/>
      <c r="J657" s="63" t="str">
        <f aca="false">IF(I657&lt;&gt;"",VLOOKUP(I657,'Legal Nature'!$E$2:$G$84,3,0),"")</f>
        <v/>
      </c>
      <c r="K657" s="64"/>
      <c r="L657" s="65"/>
      <c r="M657" s="66"/>
      <c r="N657" s="66"/>
      <c r="O657" s="79"/>
      <c r="P657" s="26"/>
      <c r="Q657" s="58"/>
      <c r="R657" s="58"/>
      <c r="S657" s="80"/>
      <c r="T657" s="68" t="str">
        <f aca="false">IF(LEFT(S657,1)="9","Celular",IF(S657="","","Fixo"))</f>
        <v/>
      </c>
      <c r="U657" s="58" t="str">
        <f aca="false">IF( T657&lt;&gt;"",VLOOKUP(T657,Selects!$M$4:$N$1000,2,0),"")</f>
        <v/>
      </c>
      <c r="V657" s="26"/>
      <c r="W657" s="58"/>
      <c r="X657" s="58"/>
      <c r="Y657" s="58"/>
      <c r="Z657" s="58"/>
      <c r="AA657" s="69"/>
      <c r="AB657" s="58"/>
      <c r="AC657" s="58"/>
      <c r="AD657" s="70" t="str">
        <f aca="false">IF(AC657&lt;&gt;"",VLOOKUP(AC657,Selects!$B$4:$C$100,2,0),"")</f>
        <v/>
      </c>
      <c r="AE657" s="26"/>
      <c r="AF657" s="58"/>
      <c r="AG657" s="59"/>
      <c r="AH657" s="65"/>
      <c r="AI657" s="66"/>
      <c r="AJ657" s="66"/>
      <c r="AK657" s="58"/>
      <c r="AL657" s="58"/>
      <c r="AM657" s="68" t="str">
        <f aca="false">IF(LEFT(AL657,1)="9","Celular",IF(AL657="","","Fixo"))</f>
        <v/>
      </c>
      <c r="AN657" s="58" t="str">
        <f aca="false">IF( AM657&lt;&gt;"",VLOOKUP(AM657,Selects!$M$4:$N$1000,2,0),"")</f>
        <v/>
      </c>
      <c r="AO657" s="58"/>
      <c r="AP657" s="59"/>
      <c r="AQ657" s="65"/>
      <c r="AR657" s="58"/>
      <c r="AS657" s="58"/>
      <c r="AT657" s="26"/>
      <c r="AU657" s="58"/>
      <c r="AV657" s="58"/>
      <c r="AW657" s="58"/>
      <c r="AX657" s="58"/>
      <c r="AY657" s="71"/>
      <c r="AZ657" s="58"/>
      <c r="BA657" s="58"/>
      <c r="BB657" s="72" t="str">
        <f aca="false">IF(BA657&lt;&gt;"",VLOOKUP(BA657,Selects!$B$4:$C$100,2,0),"")</f>
        <v/>
      </c>
      <c r="BC657" s="26"/>
      <c r="BD657" s="26"/>
      <c r="BE657" s="73"/>
      <c r="BF657" s="74"/>
      <c r="BG657" s="75" t="str">
        <f aca="false">IF(LEN(BF657)=11,"PF",IF(LEN(BF657)=14,"PJ",""))</f>
        <v/>
      </c>
      <c r="BH657" s="66"/>
      <c r="BI657" s="58" t="str">
        <f aca="false">IF(BH657&lt;&gt;"",VLOOKUP(BH657,Selects!$G:$H,2,0),"")</f>
        <v/>
      </c>
      <c r="BJ657" s="58"/>
      <c r="BK657" s="58"/>
      <c r="BL657" s="59"/>
      <c r="BM657" s="58"/>
      <c r="BN657" s="58"/>
      <c r="BO657" s="58" t="str">
        <f aca="false">IF(BN657&lt;&gt;"",VLOOKUP(BN657,Selects!$J$4:$K$1000,2,0),"")</f>
        <v/>
      </c>
      <c r="BP657" s="76"/>
      <c r="BQ657" s="59"/>
      <c r="BR657" s="77"/>
      <c r="BS657" s="59"/>
      <c r="BT657" s="77"/>
      <c r="BU657" s="58"/>
      <c r="BV657" s="58"/>
      <c r="BW657" s="58"/>
      <c r="BX657" s="58"/>
      <c r="BY657" s="58"/>
      <c r="BZ657" s="58"/>
      <c r="CA657" s="58"/>
      <c r="CB657" s="72" t="str">
        <f aca="false">IF(AC657&lt;&gt;"",VLOOKUP(AC657,Selects!$B:$E,4,0),"")</f>
        <v/>
      </c>
      <c r="CC657" s="58"/>
      <c r="CD657" s="58"/>
      <c r="CE657" s="58"/>
    </row>
    <row r="658" customFormat="false" ht="15.75" hidden="false" customHeight="true" outlineLevel="0" collapsed="false">
      <c r="A658" s="17"/>
      <c r="B658" s="58"/>
      <c r="C658" s="58"/>
      <c r="D658" s="59"/>
      <c r="E658" s="60" t="str">
        <f aca="false">IF(LEN(D658)=11,"PF",IF(LEN(D658)=14,"PJ",""))</f>
        <v/>
      </c>
      <c r="F658" s="59"/>
      <c r="G658" s="59"/>
      <c r="H658" s="61" t="str">
        <f aca="false">IF(G658&lt;&gt;"",VLOOKUP(G658,'Cnae  mcc  id'!$A:$M,9,0),"")</f>
        <v/>
      </c>
      <c r="I658" s="62"/>
      <c r="J658" s="63" t="str">
        <f aca="false">IF(I658&lt;&gt;"",VLOOKUP(I658,'Legal Nature'!$E$2:$G$84,3,0),"")</f>
        <v/>
      </c>
      <c r="K658" s="64"/>
      <c r="L658" s="65"/>
      <c r="M658" s="66"/>
      <c r="N658" s="66"/>
      <c r="O658" s="79"/>
      <c r="P658" s="26"/>
      <c r="Q658" s="58"/>
      <c r="R658" s="58"/>
      <c r="S658" s="80"/>
      <c r="T658" s="68" t="str">
        <f aca="false">IF(LEFT(S658,1)="9","Celular",IF(S658="","","Fixo"))</f>
        <v/>
      </c>
      <c r="U658" s="58" t="str">
        <f aca="false">IF( T658&lt;&gt;"",VLOOKUP(T658,Selects!$M$4:$N$1000,2,0),"")</f>
        <v/>
      </c>
      <c r="V658" s="26"/>
      <c r="W658" s="58"/>
      <c r="X658" s="58"/>
      <c r="Y658" s="58"/>
      <c r="Z658" s="58"/>
      <c r="AA658" s="69"/>
      <c r="AB658" s="58"/>
      <c r="AC658" s="58"/>
      <c r="AD658" s="70" t="str">
        <f aca="false">IF(AC658&lt;&gt;"",VLOOKUP(AC658,Selects!$B$4:$C$100,2,0),"")</f>
        <v/>
      </c>
      <c r="AE658" s="26"/>
      <c r="AF658" s="58"/>
      <c r="AG658" s="59"/>
      <c r="AH658" s="65"/>
      <c r="AI658" s="66"/>
      <c r="AJ658" s="66"/>
      <c r="AK658" s="58"/>
      <c r="AL658" s="58"/>
      <c r="AM658" s="68" t="str">
        <f aca="false">IF(LEFT(AL658,1)="9","Celular",IF(AL658="","","Fixo"))</f>
        <v/>
      </c>
      <c r="AN658" s="58" t="str">
        <f aca="false">IF( AM658&lt;&gt;"",VLOOKUP(AM658,Selects!$M$4:$N$1000,2,0),"")</f>
        <v/>
      </c>
      <c r="AO658" s="58"/>
      <c r="AP658" s="59"/>
      <c r="AQ658" s="65"/>
      <c r="AR658" s="58"/>
      <c r="AS658" s="58"/>
      <c r="AT658" s="26"/>
      <c r="AU658" s="58"/>
      <c r="AV658" s="58"/>
      <c r="AW658" s="58"/>
      <c r="AX658" s="58"/>
      <c r="AY658" s="71"/>
      <c r="AZ658" s="58"/>
      <c r="BA658" s="58"/>
      <c r="BB658" s="72" t="str">
        <f aca="false">IF(BA658&lt;&gt;"",VLOOKUP(BA658,Selects!$B$4:$C$100,2,0),"")</f>
        <v/>
      </c>
      <c r="BC658" s="26"/>
      <c r="BD658" s="26"/>
      <c r="BE658" s="73"/>
      <c r="BF658" s="74"/>
      <c r="BG658" s="75" t="str">
        <f aca="false">IF(LEN(BF658)=11,"PF",IF(LEN(BF658)=14,"PJ",""))</f>
        <v/>
      </c>
      <c r="BH658" s="66"/>
      <c r="BI658" s="58" t="str">
        <f aca="false">IF(BH658&lt;&gt;"",VLOOKUP(BH658,Selects!$G:$H,2,0),"")</f>
        <v/>
      </c>
      <c r="BJ658" s="58"/>
      <c r="BK658" s="58"/>
      <c r="BL658" s="59"/>
      <c r="BM658" s="58"/>
      <c r="BN658" s="58"/>
      <c r="BO658" s="58" t="str">
        <f aca="false">IF(BN658&lt;&gt;"",VLOOKUP(BN658,Selects!$J$4:$K$1000,2,0),"")</f>
        <v/>
      </c>
      <c r="BP658" s="76"/>
      <c r="BQ658" s="59"/>
      <c r="BR658" s="77"/>
      <c r="BS658" s="59"/>
      <c r="BT658" s="77"/>
      <c r="BU658" s="58"/>
      <c r="BV658" s="58"/>
      <c r="BW658" s="58"/>
      <c r="BX658" s="58"/>
      <c r="BY658" s="58"/>
      <c r="BZ658" s="58"/>
      <c r="CA658" s="58"/>
      <c r="CB658" s="72" t="str">
        <f aca="false">IF(AC658&lt;&gt;"",VLOOKUP(AC658,Selects!$B:$E,4,0),"")</f>
        <v/>
      </c>
      <c r="CC658" s="58"/>
      <c r="CD658" s="58"/>
      <c r="CE658" s="58"/>
    </row>
    <row r="659" customFormat="false" ht="15.75" hidden="false" customHeight="true" outlineLevel="0" collapsed="false">
      <c r="A659" s="17"/>
      <c r="B659" s="58"/>
      <c r="C659" s="58"/>
      <c r="D659" s="59"/>
      <c r="E659" s="60" t="str">
        <f aca="false">IF(LEN(D659)=11,"PF",IF(LEN(D659)=14,"PJ",""))</f>
        <v/>
      </c>
      <c r="F659" s="59"/>
      <c r="G659" s="59"/>
      <c r="H659" s="61" t="str">
        <f aca="false">IF(G659&lt;&gt;"",VLOOKUP(G659,'Cnae  mcc  id'!$A:$M,9,0),"")</f>
        <v/>
      </c>
      <c r="I659" s="62"/>
      <c r="J659" s="63" t="str">
        <f aca="false">IF(I659&lt;&gt;"",VLOOKUP(I659,'Legal Nature'!$E$2:$G$84,3,0),"")</f>
        <v/>
      </c>
      <c r="K659" s="64"/>
      <c r="L659" s="65"/>
      <c r="M659" s="66"/>
      <c r="N659" s="66"/>
      <c r="O659" s="79"/>
      <c r="P659" s="26"/>
      <c r="Q659" s="58"/>
      <c r="R659" s="58"/>
      <c r="S659" s="80"/>
      <c r="T659" s="68" t="str">
        <f aca="false">IF(LEFT(S659,1)="9","Celular",IF(S659="","","Fixo"))</f>
        <v/>
      </c>
      <c r="U659" s="58" t="str">
        <f aca="false">IF( T659&lt;&gt;"",VLOOKUP(T659,Selects!$M$4:$N$1000,2,0),"")</f>
        <v/>
      </c>
      <c r="V659" s="26"/>
      <c r="W659" s="58"/>
      <c r="X659" s="58"/>
      <c r="Y659" s="58"/>
      <c r="Z659" s="58"/>
      <c r="AA659" s="69"/>
      <c r="AB659" s="58"/>
      <c r="AC659" s="58"/>
      <c r="AD659" s="70" t="str">
        <f aca="false">IF(AC659&lt;&gt;"",VLOOKUP(AC659,Selects!$B$4:$C$100,2,0),"")</f>
        <v/>
      </c>
      <c r="AE659" s="26"/>
      <c r="AF659" s="58"/>
      <c r="AG659" s="59"/>
      <c r="AH659" s="65"/>
      <c r="AI659" s="66"/>
      <c r="AJ659" s="66"/>
      <c r="AK659" s="58"/>
      <c r="AL659" s="58"/>
      <c r="AM659" s="68" t="str">
        <f aca="false">IF(LEFT(AL659,1)="9","Celular",IF(AL659="","","Fixo"))</f>
        <v/>
      </c>
      <c r="AN659" s="58" t="str">
        <f aca="false">IF( AM659&lt;&gt;"",VLOOKUP(AM659,Selects!$M$4:$N$1000,2,0),"")</f>
        <v/>
      </c>
      <c r="AO659" s="58"/>
      <c r="AP659" s="59"/>
      <c r="AQ659" s="65"/>
      <c r="AR659" s="58"/>
      <c r="AS659" s="58"/>
      <c r="AT659" s="26"/>
      <c r="AU659" s="58"/>
      <c r="AV659" s="58"/>
      <c r="AW659" s="58"/>
      <c r="AX659" s="58"/>
      <c r="AY659" s="71"/>
      <c r="AZ659" s="58"/>
      <c r="BA659" s="58"/>
      <c r="BB659" s="72" t="str">
        <f aca="false">IF(BA659&lt;&gt;"",VLOOKUP(BA659,Selects!$B$4:$C$100,2,0),"")</f>
        <v/>
      </c>
      <c r="BC659" s="26"/>
      <c r="BD659" s="26"/>
      <c r="BE659" s="73"/>
      <c r="BF659" s="74"/>
      <c r="BG659" s="75" t="str">
        <f aca="false">IF(LEN(BF659)=11,"PF",IF(LEN(BF659)=14,"PJ",""))</f>
        <v/>
      </c>
      <c r="BH659" s="66"/>
      <c r="BI659" s="58" t="str">
        <f aca="false">IF(BH659&lt;&gt;"",VLOOKUP(BH659,Selects!$G:$H,2,0),"")</f>
        <v/>
      </c>
      <c r="BJ659" s="58"/>
      <c r="BK659" s="58"/>
      <c r="BL659" s="59"/>
      <c r="BM659" s="58"/>
      <c r="BN659" s="58"/>
      <c r="BO659" s="58" t="str">
        <f aca="false">IF(BN659&lt;&gt;"",VLOOKUP(BN659,Selects!$J$4:$K$1000,2,0),"")</f>
        <v/>
      </c>
      <c r="BP659" s="76"/>
      <c r="BQ659" s="59"/>
      <c r="BR659" s="77"/>
      <c r="BS659" s="59"/>
      <c r="BT659" s="77"/>
      <c r="BU659" s="58"/>
      <c r="BV659" s="58"/>
      <c r="BW659" s="58"/>
      <c r="BX659" s="58"/>
      <c r="BY659" s="58"/>
      <c r="BZ659" s="58"/>
      <c r="CA659" s="58"/>
      <c r="CB659" s="72" t="str">
        <f aca="false">IF(AC659&lt;&gt;"",VLOOKUP(AC659,Selects!$B:$E,4,0),"")</f>
        <v/>
      </c>
      <c r="CC659" s="58"/>
      <c r="CD659" s="58"/>
      <c r="CE659" s="58"/>
    </row>
    <row r="660" customFormat="false" ht="15.75" hidden="false" customHeight="true" outlineLevel="0" collapsed="false">
      <c r="A660" s="17"/>
      <c r="B660" s="58"/>
      <c r="C660" s="58"/>
      <c r="D660" s="59"/>
      <c r="E660" s="60" t="str">
        <f aca="false">IF(LEN(D660)=11,"PF",IF(LEN(D660)=14,"PJ",""))</f>
        <v/>
      </c>
      <c r="F660" s="59"/>
      <c r="G660" s="59"/>
      <c r="H660" s="61" t="str">
        <f aca="false">IF(G660&lt;&gt;"",VLOOKUP(G660,'Cnae  mcc  id'!$A:$M,9,0),"")</f>
        <v/>
      </c>
      <c r="I660" s="62"/>
      <c r="J660" s="63" t="str">
        <f aca="false">IF(I660&lt;&gt;"",VLOOKUP(I660,'Legal Nature'!$E$2:$G$84,3,0),"")</f>
        <v/>
      </c>
      <c r="K660" s="64"/>
      <c r="L660" s="65"/>
      <c r="M660" s="66"/>
      <c r="N660" s="66"/>
      <c r="O660" s="79"/>
      <c r="P660" s="26"/>
      <c r="Q660" s="58"/>
      <c r="R660" s="58"/>
      <c r="S660" s="80"/>
      <c r="T660" s="68" t="str">
        <f aca="false">IF(LEFT(S660,1)="9","Celular",IF(S660="","","Fixo"))</f>
        <v/>
      </c>
      <c r="U660" s="58" t="str">
        <f aca="false">IF( T660&lt;&gt;"",VLOOKUP(T660,Selects!$M$4:$N$1000,2,0),"")</f>
        <v/>
      </c>
      <c r="V660" s="26"/>
      <c r="W660" s="58"/>
      <c r="X660" s="58"/>
      <c r="Y660" s="58"/>
      <c r="Z660" s="58"/>
      <c r="AA660" s="69"/>
      <c r="AB660" s="58"/>
      <c r="AC660" s="58"/>
      <c r="AD660" s="70" t="str">
        <f aca="false">IF(AC660&lt;&gt;"",VLOOKUP(AC660,Selects!$B$4:$C$100,2,0),"")</f>
        <v/>
      </c>
      <c r="AE660" s="26"/>
      <c r="AF660" s="58"/>
      <c r="AG660" s="59"/>
      <c r="AH660" s="65"/>
      <c r="AI660" s="66"/>
      <c r="AJ660" s="66"/>
      <c r="AK660" s="58"/>
      <c r="AL660" s="58"/>
      <c r="AM660" s="68" t="str">
        <f aca="false">IF(LEFT(AL660,1)="9","Celular",IF(AL660="","","Fixo"))</f>
        <v/>
      </c>
      <c r="AN660" s="58" t="str">
        <f aca="false">IF( AM660&lt;&gt;"",VLOOKUP(AM660,Selects!$M$4:$N$1000,2,0),"")</f>
        <v/>
      </c>
      <c r="AO660" s="58"/>
      <c r="AP660" s="59"/>
      <c r="AQ660" s="65"/>
      <c r="AR660" s="58"/>
      <c r="AS660" s="58"/>
      <c r="AT660" s="26"/>
      <c r="AU660" s="58"/>
      <c r="AV660" s="58"/>
      <c r="AW660" s="58"/>
      <c r="AX660" s="58"/>
      <c r="AY660" s="71"/>
      <c r="AZ660" s="58"/>
      <c r="BA660" s="58"/>
      <c r="BB660" s="72" t="str">
        <f aca="false">IF(BA660&lt;&gt;"",VLOOKUP(BA660,Selects!$B$4:$C$100,2,0),"")</f>
        <v/>
      </c>
      <c r="BC660" s="26"/>
      <c r="BD660" s="26"/>
      <c r="BE660" s="73"/>
      <c r="BF660" s="74"/>
      <c r="BG660" s="75" t="str">
        <f aca="false">IF(LEN(BF660)=11,"PF",IF(LEN(BF660)=14,"PJ",""))</f>
        <v/>
      </c>
      <c r="BH660" s="66"/>
      <c r="BI660" s="58" t="str">
        <f aca="false">IF(BH660&lt;&gt;"",VLOOKUP(BH660,Selects!$G:$H,2,0),"")</f>
        <v/>
      </c>
      <c r="BJ660" s="58"/>
      <c r="BK660" s="58"/>
      <c r="BL660" s="59"/>
      <c r="BM660" s="58"/>
      <c r="BN660" s="58"/>
      <c r="BO660" s="58" t="str">
        <f aca="false">IF(BN660&lt;&gt;"",VLOOKUP(BN660,Selects!$J$4:$K$1000,2,0),"")</f>
        <v/>
      </c>
      <c r="BP660" s="76"/>
      <c r="BQ660" s="59"/>
      <c r="BR660" s="77"/>
      <c r="BS660" s="59"/>
      <c r="BT660" s="77"/>
      <c r="BU660" s="58"/>
      <c r="BV660" s="58"/>
      <c r="BW660" s="58"/>
      <c r="BX660" s="58"/>
      <c r="BY660" s="58"/>
      <c r="BZ660" s="58"/>
      <c r="CA660" s="58"/>
      <c r="CB660" s="72" t="str">
        <f aca="false">IF(AC660&lt;&gt;"",VLOOKUP(AC660,Selects!$B:$E,4,0),"")</f>
        <v/>
      </c>
      <c r="CC660" s="58"/>
      <c r="CD660" s="58"/>
      <c r="CE660" s="58"/>
    </row>
    <row r="661" customFormat="false" ht="15.75" hidden="false" customHeight="true" outlineLevel="0" collapsed="false">
      <c r="A661" s="17"/>
      <c r="B661" s="58"/>
      <c r="C661" s="58"/>
      <c r="D661" s="59"/>
      <c r="E661" s="60" t="str">
        <f aca="false">IF(LEN(D661)=11,"PF",IF(LEN(D661)=14,"PJ",""))</f>
        <v/>
      </c>
      <c r="F661" s="59"/>
      <c r="G661" s="59"/>
      <c r="H661" s="61" t="str">
        <f aca="false">IF(G661&lt;&gt;"",VLOOKUP(G661,'Cnae  mcc  id'!$A:$M,9,0),"")</f>
        <v/>
      </c>
      <c r="I661" s="62"/>
      <c r="J661" s="63" t="str">
        <f aca="false">IF(I661&lt;&gt;"",VLOOKUP(I661,'Legal Nature'!$E$2:$G$84,3,0),"")</f>
        <v/>
      </c>
      <c r="K661" s="64"/>
      <c r="L661" s="65"/>
      <c r="M661" s="66"/>
      <c r="N661" s="66"/>
      <c r="O661" s="79"/>
      <c r="P661" s="26"/>
      <c r="Q661" s="58"/>
      <c r="R661" s="58"/>
      <c r="S661" s="80"/>
      <c r="T661" s="68" t="str">
        <f aca="false">IF(LEFT(S661,1)="9","Celular",IF(S661="","","Fixo"))</f>
        <v/>
      </c>
      <c r="U661" s="58" t="str">
        <f aca="false">IF( T661&lt;&gt;"",VLOOKUP(T661,Selects!$M$4:$N$1000,2,0),"")</f>
        <v/>
      </c>
      <c r="V661" s="26"/>
      <c r="W661" s="58"/>
      <c r="X661" s="58"/>
      <c r="Y661" s="58"/>
      <c r="Z661" s="58"/>
      <c r="AA661" s="69"/>
      <c r="AB661" s="58"/>
      <c r="AC661" s="58"/>
      <c r="AD661" s="70" t="str">
        <f aca="false">IF(AC661&lt;&gt;"",VLOOKUP(AC661,Selects!$B$4:$C$100,2,0),"")</f>
        <v/>
      </c>
      <c r="AE661" s="26"/>
      <c r="AF661" s="58"/>
      <c r="AG661" s="59"/>
      <c r="AH661" s="65"/>
      <c r="AI661" s="66"/>
      <c r="AJ661" s="66"/>
      <c r="AK661" s="58"/>
      <c r="AL661" s="58"/>
      <c r="AM661" s="68" t="str">
        <f aca="false">IF(LEFT(AL661,1)="9","Celular",IF(AL661="","","Fixo"))</f>
        <v/>
      </c>
      <c r="AN661" s="58" t="str">
        <f aca="false">IF( AM661&lt;&gt;"",VLOOKUP(AM661,Selects!$M$4:$N$1000,2,0),"")</f>
        <v/>
      </c>
      <c r="AO661" s="58"/>
      <c r="AP661" s="59"/>
      <c r="AQ661" s="65"/>
      <c r="AR661" s="58"/>
      <c r="AS661" s="58"/>
      <c r="AT661" s="26"/>
      <c r="AU661" s="58"/>
      <c r="AV661" s="58"/>
      <c r="AW661" s="58"/>
      <c r="AX661" s="58"/>
      <c r="AY661" s="71"/>
      <c r="AZ661" s="58"/>
      <c r="BA661" s="58"/>
      <c r="BB661" s="72" t="str">
        <f aca="false">IF(BA661&lt;&gt;"",VLOOKUP(BA661,Selects!$B$4:$C$100,2,0),"")</f>
        <v/>
      </c>
      <c r="BC661" s="26"/>
      <c r="BD661" s="26"/>
      <c r="BE661" s="73"/>
      <c r="BF661" s="74"/>
      <c r="BG661" s="75" t="str">
        <f aca="false">IF(LEN(BF661)=11,"PF",IF(LEN(BF661)=14,"PJ",""))</f>
        <v/>
      </c>
      <c r="BH661" s="66"/>
      <c r="BI661" s="58" t="str">
        <f aca="false">IF(BH661&lt;&gt;"",VLOOKUP(BH661,Selects!$G:$H,2,0),"")</f>
        <v/>
      </c>
      <c r="BJ661" s="58"/>
      <c r="BK661" s="58"/>
      <c r="BL661" s="59"/>
      <c r="BM661" s="58"/>
      <c r="BN661" s="58"/>
      <c r="BO661" s="58" t="str">
        <f aca="false">IF(BN661&lt;&gt;"",VLOOKUP(BN661,Selects!$J$4:$K$1000,2,0),"")</f>
        <v/>
      </c>
      <c r="BP661" s="76"/>
      <c r="BQ661" s="59"/>
      <c r="BR661" s="77"/>
      <c r="BS661" s="59"/>
      <c r="BT661" s="77"/>
      <c r="BU661" s="58"/>
      <c r="BV661" s="58"/>
      <c r="BW661" s="58"/>
      <c r="BX661" s="58"/>
      <c r="BY661" s="58"/>
      <c r="BZ661" s="58"/>
      <c r="CA661" s="58"/>
      <c r="CB661" s="72" t="str">
        <f aca="false">IF(AC661&lt;&gt;"",VLOOKUP(AC661,Selects!$B:$E,4,0),"")</f>
        <v/>
      </c>
      <c r="CC661" s="58"/>
      <c r="CD661" s="58"/>
      <c r="CE661" s="58"/>
    </row>
    <row r="662" customFormat="false" ht="15.75" hidden="false" customHeight="true" outlineLevel="0" collapsed="false">
      <c r="A662" s="17"/>
      <c r="B662" s="58"/>
      <c r="C662" s="58"/>
      <c r="D662" s="59"/>
      <c r="E662" s="60" t="str">
        <f aca="false">IF(LEN(D662)=11,"PF",IF(LEN(D662)=14,"PJ",""))</f>
        <v/>
      </c>
      <c r="F662" s="59"/>
      <c r="G662" s="59"/>
      <c r="H662" s="61" t="str">
        <f aca="false">IF(G662&lt;&gt;"",VLOOKUP(G662,'Cnae  mcc  id'!$A:$M,9,0),"")</f>
        <v/>
      </c>
      <c r="I662" s="62"/>
      <c r="J662" s="63" t="str">
        <f aca="false">IF(I662&lt;&gt;"",VLOOKUP(I662,'Legal Nature'!$E$2:$G$84,3,0),"")</f>
        <v/>
      </c>
      <c r="K662" s="64"/>
      <c r="L662" s="65"/>
      <c r="M662" s="66"/>
      <c r="N662" s="66"/>
      <c r="O662" s="79"/>
      <c r="P662" s="26"/>
      <c r="Q662" s="58"/>
      <c r="R662" s="58"/>
      <c r="S662" s="80"/>
      <c r="T662" s="68" t="str">
        <f aca="false">IF(LEFT(S662,1)="9","Celular",IF(S662="","","Fixo"))</f>
        <v/>
      </c>
      <c r="U662" s="58" t="str">
        <f aca="false">IF( T662&lt;&gt;"",VLOOKUP(T662,Selects!$M$4:$N$1000,2,0),"")</f>
        <v/>
      </c>
      <c r="V662" s="26"/>
      <c r="W662" s="58"/>
      <c r="X662" s="58"/>
      <c r="Y662" s="58"/>
      <c r="Z662" s="58"/>
      <c r="AA662" s="69"/>
      <c r="AB662" s="58"/>
      <c r="AC662" s="58"/>
      <c r="AD662" s="70" t="str">
        <f aca="false">IF(AC662&lt;&gt;"",VLOOKUP(AC662,Selects!$B$4:$C$100,2,0),"")</f>
        <v/>
      </c>
      <c r="AE662" s="26"/>
      <c r="AF662" s="58"/>
      <c r="AG662" s="59"/>
      <c r="AH662" s="65"/>
      <c r="AI662" s="66"/>
      <c r="AJ662" s="66"/>
      <c r="AK662" s="58"/>
      <c r="AL662" s="58"/>
      <c r="AM662" s="68" t="str">
        <f aca="false">IF(LEFT(AL662,1)="9","Celular",IF(AL662="","","Fixo"))</f>
        <v/>
      </c>
      <c r="AN662" s="58" t="str">
        <f aca="false">IF( AM662&lt;&gt;"",VLOOKUP(AM662,Selects!$M$4:$N$1000,2,0),"")</f>
        <v/>
      </c>
      <c r="AO662" s="58"/>
      <c r="AP662" s="59"/>
      <c r="AQ662" s="65"/>
      <c r="AR662" s="58"/>
      <c r="AS662" s="58"/>
      <c r="AT662" s="26"/>
      <c r="AU662" s="58"/>
      <c r="AV662" s="58"/>
      <c r="AW662" s="58"/>
      <c r="AX662" s="58"/>
      <c r="AY662" s="71"/>
      <c r="AZ662" s="58"/>
      <c r="BA662" s="58"/>
      <c r="BB662" s="72" t="str">
        <f aca="false">IF(BA662&lt;&gt;"",VLOOKUP(BA662,Selects!$B$4:$C$100,2,0),"")</f>
        <v/>
      </c>
      <c r="BC662" s="26"/>
      <c r="BD662" s="26"/>
      <c r="BE662" s="73"/>
      <c r="BF662" s="74"/>
      <c r="BG662" s="75" t="str">
        <f aca="false">IF(LEN(BF662)=11,"PF",IF(LEN(BF662)=14,"PJ",""))</f>
        <v/>
      </c>
      <c r="BH662" s="66"/>
      <c r="BI662" s="58" t="str">
        <f aca="false">IF(BH662&lt;&gt;"",VLOOKUP(BH662,Selects!$G:$H,2,0),"")</f>
        <v/>
      </c>
      <c r="BJ662" s="58"/>
      <c r="BK662" s="58"/>
      <c r="BL662" s="59"/>
      <c r="BM662" s="58"/>
      <c r="BN662" s="58"/>
      <c r="BO662" s="58" t="str">
        <f aca="false">IF(BN662&lt;&gt;"",VLOOKUP(BN662,Selects!$J$4:$K$1000,2,0),"")</f>
        <v/>
      </c>
      <c r="BP662" s="76"/>
      <c r="BQ662" s="59"/>
      <c r="BR662" s="77"/>
      <c r="BS662" s="59"/>
      <c r="BT662" s="77"/>
      <c r="BU662" s="58"/>
      <c r="BV662" s="58"/>
      <c r="BW662" s="58"/>
      <c r="BX662" s="58"/>
      <c r="BY662" s="58"/>
      <c r="BZ662" s="58"/>
      <c r="CA662" s="58"/>
      <c r="CB662" s="72" t="str">
        <f aca="false">IF(AC662&lt;&gt;"",VLOOKUP(AC662,Selects!$B:$E,4,0),"")</f>
        <v/>
      </c>
      <c r="CC662" s="58"/>
      <c r="CD662" s="58"/>
      <c r="CE662" s="58"/>
    </row>
    <row r="663" customFormat="false" ht="15.75" hidden="false" customHeight="true" outlineLevel="0" collapsed="false">
      <c r="A663" s="17"/>
      <c r="B663" s="58"/>
      <c r="C663" s="58"/>
      <c r="D663" s="59"/>
      <c r="E663" s="60" t="str">
        <f aca="false">IF(LEN(D663)=11,"PF",IF(LEN(D663)=14,"PJ",""))</f>
        <v/>
      </c>
      <c r="F663" s="59"/>
      <c r="G663" s="59"/>
      <c r="H663" s="61" t="str">
        <f aca="false">IF(G663&lt;&gt;"",VLOOKUP(G663,'Cnae  mcc  id'!$A:$M,9,0),"")</f>
        <v/>
      </c>
      <c r="I663" s="62"/>
      <c r="J663" s="63" t="str">
        <f aca="false">IF(I663&lt;&gt;"",VLOOKUP(I663,'Legal Nature'!$E$2:$G$84,3,0),"")</f>
        <v/>
      </c>
      <c r="K663" s="64"/>
      <c r="L663" s="65"/>
      <c r="M663" s="66"/>
      <c r="N663" s="66"/>
      <c r="O663" s="79"/>
      <c r="P663" s="26"/>
      <c r="Q663" s="58"/>
      <c r="R663" s="58"/>
      <c r="S663" s="80"/>
      <c r="T663" s="68" t="str">
        <f aca="false">IF(LEFT(S663,1)="9","Celular",IF(S663="","","Fixo"))</f>
        <v/>
      </c>
      <c r="U663" s="58" t="str">
        <f aca="false">IF( T663&lt;&gt;"",VLOOKUP(T663,Selects!$M$4:$N$1000,2,0),"")</f>
        <v/>
      </c>
      <c r="V663" s="26"/>
      <c r="W663" s="58"/>
      <c r="X663" s="58"/>
      <c r="Y663" s="58"/>
      <c r="Z663" s="58"/>
      <c r="AA663" s="69"/>
      <c r="AB663" s="58"/>
      <c r="AC663" s="58"/>
      <c r="AD663" s="70" t="str">
        <f aca="false">IF(AC663&lt;&gt;"",VLOOKUP(AC663,Selects!$B$4:$C$100,2,0),"")</f>
        <v/>
      </c>
      <c r="AE663" s="26"/>
      <c r="AF663" s="58"/>
      <c r="AG663" s="59"/>
      <c r="AH663" s="65"/>
      <c r="AI663" s="66"/>
      <c r="AJ663" s="66"/>
      <c r="AK663" s="58"/>
      <c r="AL663" s="58"/>
      <c r="AM663" s="68" t="str">
        <f aca="false">IF(LEFT(AL663,1)="9","Celular",IF(AL663="","","Fixo"))</f>
        <v/>
      </c>
      <c r="AN663" s="58" t="str">
        <f aca="false">IF( AM663&lt;&gt;"",VLOOKUP(AM663,Selects!$M$4:$N$1000,2,0),"")</f>
        <v/>
      </c>
      <c r="AO663" s="58"/>
      <c r="AP663" s="59"/>
      <c r="AQ663" s="65"/>
      <c r="AR663" s="58"/>
      <c r="AS663" s="58"/>
      <c r="AT663" s="26"/>
      <c r="AU663" s="58"/>
      <c r="AV663" s="58"/>
      <c r="AW663" s="58"/>
      <c r="AX663" s="58"/>
      <c r="AY663" s="71"/>
      <c r="AZ663" s="58"/>
      <c r="BA663" s="58"/>
      <c r="BB663" s="72" t="str">
        <f aca="false">IF(BA663&lt;&gt;"",VLOOKUP(BA663,Selects!$B$4:$C$100,2,0),"")</f>
        <v/>
      </c>
      <c r="BC663" s="26"/>
      <c r="BD663" s="26"/>
      <c r="BE663" s="73"/>
      <c r="BF663" s="74"/>
      <c r="BG663" s="75" t="str">
        <f aca="false">IF(LEN(BF663)=11,"PF",IF(LEN(BF663)=14,"PJ",""))</f>
        <v/>
      </c>
      <c r="BH663" s="66"/>
      <c r="BI663" s="58" t="str">
        <f aca="false">IF(BH663&lt;&gt;"",VLOOKUP(BH663,Selects!$G:$H,2,0),"")</f>
        <v/>
      </c>
      <c r="BJ663" s="58"/>
      <c r="BK663" s="58"/>
      <c r="BL663" s="59"/>
      <c r="BM663" s="58"/>
      <c r="BN663" s="58"/>
      <c r="BO663" s="58" t="str">
        <f aca="false">IF(BN663&lt;&gt;"",VLOOKUP(BN663,Selects!$J$4:$K$1000,2,0),"")</f>
        <v/>
      </c>
      <c r="BP663" s="76"/>
      <c r="BQ663" s="59"/>
      <c r="BR663" s="77"/>
      <c r="BS663" s="59"/>
      <c r="BT663" s="77"/>
      <c r="BU663" s="58"/>
      <c r="BV663" s="58"/>
      <c r="BW663" s="58"/>
      <c r="BX663" s="58"/>
      <c r="BY663" s="58"/>
      <c r="BZ663" s="58"/>
      <c r="CA663" s="58"/>
      <c r="CB663" s="72" t="str">
        <f aca="false">IF(AC663&lt;&gt;"",VLOOKUP(AC663,Selects!$B:$E,4,0),"")</f>
        <v/>
      </c>
      <c r="CC663" s="58"/>
      <c r="CD663" s="58"/>
      <c r="CE663" s="58"/>
    </row>
    <row r="664" customFormat="false" ht="15.75" hidden="false" customHeight="true" outlineLevel="0" collapsed="false">
      <c r="A664" s="17"/>
      <c r="B664" s="58"/>
      <c r="C664" s="58"/>
      <c r="D664" s="59"/>
      <c r="E664" s="60" t="str">
        <f aca="false">IF(LEN(D664)=11,"PF",IF(LEN(D664)=14,"PJ",""))</f>
        <v/>
      </c>
      <c r="F664" s="59"/>
      <c r="G664" s="59"/>
      <c r="H664" s="61" t="str">
        <f aca="false">IF(G664&lt;&gt;"",VLOOKUP(G664,'Cnae  mcc  id'!$A:$M,9,0),"")</f>
        <v/>
      </c>
      <c r="I664" s="62"/>
      <c r="J664" s="63" t="str">
        <f aca="false">IF(I664&lt;&gt;"",VLOOKUP(I664,'Legal Nature'!$E$2:$G$84,3,0),"")</f>
        <v/>
      </c>
      <c r="K664" s="64"/>
      <c r="L664" s="65"/>
      <c r="M664" s="66"/>
      <c r="N664" s="66"/>
      <c r="O664" s="79"/>
      <c r="P664" s="26"/>
      <c r="Q664" s="58"/>
      <c r="R664" s="58"/>
      <c r="S664" s="80"/>
      <c r="T664" s="68" t="str">
        <f aca="false">IF(LEFT(S664,1)="9","Celular",IF(S664="","","Fixo"))</f>
        <v/>
      </c>
      <c r="U664" s="58" t="str">
        <f aca="false">IF( T664&lt;&gt;"",VLOOKUP(T664,Selects!$M$4:$N$1000,2,0),"")</f>
        <v/>
      </c>
      <c r="V664" s="26"/>
      <c r="W664" s="58"/>
      <c r="X664" s="58"/>
      <c r="Y664" s="58"/>
      <c r="Z664" s="58"/>
      <c r="AA664" s="69"/>
      <c r="AB664" s="58"/>
      <c r="AC664" s="58"/>
      <c r="AD664" s="70" t="str">
        <f aca="false">IF(AC664&lt;&gt;"",VLOOKUP(AC664,Selects!$B$4:$C$100,2,0),"")</f>
        <v/>
      </c>
      <c r="AE664" s="26"/>
      <c r="AF664" s="58"/>
      <c r="AG664" s="59"/>
      <c r="AH664" s="65"/>
      <c r="AI664" s="66"/>
      <c r="AJ664" s="66"/>
      <c r="AK664" s="58"/>
      <c r="AL664" s="58"/>
      <c r="AM664" s="68" t="str">
        <f aca="false">IF(LEFT(AL664,1)="9","Celular",IF(AL664="","","Fixo"))</f>
        <v/>
      </c>
      <c r="AN664" s="58" t="str">
        <f aca="false">IF( AM664&lt;&gt;"",VLOOKUP(AM664,Selects!$M$4:$N$1000,2,0),"")</f>
        <v/>
      </c>
      <c r="AO664" s="58"/>
      <c r="AP664" s="59"/>
      <c r="AQ664" s="65"/>
      <c r="AR664" s="58"/>
      <c r="AS664" s="58"/>
      <c r="AT664" s="26"/>
      <c r="AU664" s="58"/>
      <c r="AV664" s="58"/>
      <c r="AW664" s="58"/>
      <c r="AX664" s="58"/>
      <c r="AY664" s="71"/>
      <c r="AZ664" s="58"/>
      <c r="BA664" s="58"/>
      <c r="BB664" s="72" t="str">
        <f aca="false">IF(BA664&lt;&gt;"",VLOOKUP(BA664,Selects!$B$4:$C$100,2,0),"")</f>
        <v/>
      </c>
      <c r="BC664" s="26"/>
      <c r="BD664" s="26"/>
      <c r="BE664" s="73"/>
      <c r="BF664" s="74"/>
      <c r="BG664" s="75" t="str">
        <f aca="false">IF(LEN(BF664)=11,"PF",IF(LEN(BF664)=14,"PJ",""))</f>
        <v/>
      </c>
      <c r="BH664" s="66"/>
      <c r="BI664" s="58" t="str">
        <f aca="false">IF(BH664&lt;&gt;"",VLOOKUP(BH664,Selects!$G:$H,2,0),"")</f>
        <v/>
      </c>
      <c r="BJ664" s="58"/>
      <c r="BK664" s="58"/>
      <c r="BL664" s="59"/>
      <c r="BM664" s="58"/>
      <c r="BN664" s="58"/>
      <c r="BO664" s="58" t="str">
        <f aca="false">IF(BN664&lt;&gt;"",VLOOKUP(BN664,Selects!$J$4:$K$1000,2,0),"")</f>
        <v/>
      </c>
      <c r="BP664" s="76"/>
      <c r="BQ664" s="59"/>
      <c r="BR664" s="77"/>
      <c r="BS664" s="59"/>
      <c r="BT664" s="77"/>
      <c r="BU664" s="58"/>
      <c r="BV664" s="58"/>
      <c r="BW664" s="58"/>
      <c r="BX664" s="58"/>
      <c r="BY664" s="58"/>
      <c r="BZ664" s="58"/>
      <c r="CA664" s="58"/>
      <c r="CB664" s="72" t="str">
        <f aca="false">IF(AC664&lt;&gt;"",VLOOKUP(AC664,Selects!$B:$E,4,0),"")</f>
        <v/>
      </c>
      <c r="CC664" s="58"/>
      <c r="CD664" s="58"/>
      <c r="CE664" s="58"/>
    </row>
    <row r="665" customFormat="false" ht="15.75" hidden="false" customHeight="true" outlineLevel="0" collapsed="false">
      <c r="A665" s="17"/>
      <c r="B665" s="58"/>
      <c r="C665" s="58"/>
      <c r="D665" s="59"/>
      <c r="E665" s="60" t="str">
        <f aca="false">IF(LEN(D665)=11,"PF",IF(LEN(D665)=14,"PJ",""))</f>
        <v/>
      </c>
      <c r="F665" s="59"/>
      <c r="G665" s="59"/>
      <c r="H665" s="61" t="str">
        <f aca="false">IF(G665&lt;&gt;"",VLOOKUP(G665,'Cnae  mcc  id'!$A:$M,9,0),"")</f>
        <v/>
      </c>
      <c r="I665" s="62"/>
      <c r="J665" s="63" t="str">
        <f aca="false">IF(I665&lt;&gt;"",VLOOKUP(I665,'Legal Nature'!$E$2:$G$84,3,0),"")</f>
        <v/>
      </c>
      <c r="K665" s="64"/>
      <c r="L665" s="65"/>
      <c r="M665" s="66"/>
      <c r="N665" s="66"/>
      <c r="O665" s="79"/>
      <c r="P665" s="26"/>
      <c r="Q665" s="58"/>
      <c r="R665" s="58"/>
      <c r="S665" s="80"/>
      <c r="T665" s="68" t="str">
        <f aca="false">IF(LEFT(S665,1)="9","Celular",IF(S665="","","Fixo"))</f>
        <v/>
      </c>
      <c r="U665" s="58" t="str">
        <f aca="false">IF( T665&lt;&gt;"",VLOOKUP(T665,Selects!$M$4:$N$1000,2,0),"")</f>
        <v/>
      </c>
      <c r="V665" s="26"/>
      <c r="W665" s="58"/>
      <c r="X665" s="58"/>
      <c r="Y665" s="58"/>
      <c r="Z665" s="58"/>
      <c r="AA665" s="69"/>
      <c r="AB665" s="58"/>
      <c r="AC665" s="58"/>
      <c r="AD665" s="70" t="str">
        <f aca="false">IF(AC665&lt;&gt;"",VLOOKUP(AC665,Selects!$B$4:$C$100,2,0),"")</f>
        <v/>
      </c>
      <c r="AE665" s="26"/>
      <c r="AF665" s="58"/>
      <c r="AG665" s="59"/>
      <c r="AH665" s="65"/>
      <c r="AI665" s="66"/>
      <c r="AJ665" s="66"/>
      <c r="AK665" s="58"/>
      <c r="AL665" s="58"/>
      <c r="AM665" s="68" t="str">
        <f aca="false">IF(LEFT(AL665,1)="9","Celular",IF(AL665="","","Fixo"))</f>
        <v/>
      </c>
      <c r="AN665" s="58" t="str">
        <f aca="false">IF( AM665&lt;&gt;"",VLOOKUP(AM665,Selects!$M$4:$N$1000,2,0),"")</f>
        <v/>
      </c>
      <c r="AO665" s="58"/>
      <c r="AP665" s="59"/>
      <c r="AQ665" s="65"/>
      <c r="AR665" s="58"/>
      <c r="AS665" s="58"/>
      <c r="AT665" s="26"/>
      <c r="AU665" s="58"/>
      <c r="AV665" s="58"/>
      <c r="AW665" s="58"/>
      <c r="AX665" s="58"/>
      <c r="AY665" s="71"/>
      <c r="AZ665" s="58"/>
      <c r="BA665" s="58"/>
      <c r="BB665" s="72" t="str">
        <f aca="false">IF(BA665&lt;&gt;"",VLOOKUP(BA665,Selects!$B$4:$C$100,2,0),"")</f>
        <v/>
      </c>
      <c r="BC665" s="26"/>
      <c r="BD665" s="26"/>
      <c r="BE665" s="73"/>
      <c r="BF665" s="74"/>
      <c r="BG665" s="75" t="str">
        <f aca="false">IF(LEN(BF665)=11,"PF",IF(LEN(BF665)=14,"PJ",""))</f>
        <v/>
      </c>
      <c r="BH665" s="66"/>
      <c r="BI665" s="58" t="str">
        <f aca="false">IF(BH665&lt;&gt;"",VLOOKUP(BH665,Selects!$G:$H,2,0),"")</f>
        <v/>
      </c>
      <c r="BJ665" s="58"/>
      <c r="BK665" s="58"/>
      <c r="BL665" s="59"/>
      <c r="BM665" s="58"/>
      <c r="BN665" s="58"/>
      <c r="BO665" s="58" t="str">
        <f aca="false">IF(BN665&lt;&gt;"",VLOOKUP(BN665,Selects!$J$4:$K$1000,2,0),"")</f>
        <v/>
      </c>
      <c r="BP665" s="76"/>
      <c r="BQ665" s="59"/>
      <c r="BR665" s="77"/>
      <c r="BS665" s="59"/>
      <c r="BT665" s="77"/>
      <c r="BU665" s="58"/>
      <c r="BV665" s="58"/>
      <c r="BW665" s="58"/>
      <c r="BX665" s="58"/>
      <c r="BY665" s="58"/>
      <c r="BZ665" s="58"/>
      <c r="CA665" s="58"/>
      <c r="CB665" s="72" t="str">
        <f aca="false">IF(AC665&lt;&gt;"",VLOOKUP(AC665,Selects!$B:$E,4,0),"")</f>
        <v/>
      </c>
      <c r="CC665" s="58"/>
      <c r="CD665" s="58"/>
      <c r="CE665" s="58"/>
    </row>
    <row r="666" customFormat="false" ht="15.75" hidden="false" customHeight="true" outlineLevel="0" collapsed="false">
      <c r="A666" s="17"/>
      <c r="B666" s="58"/>
      <c r="C666" s="58"/>
      <c r="D666" s="59"/>
      <c r="E666" s="60" t="str">
        <f aca="false">IF(LEN(D666)=11,"PF",IF(LEN(D666)=14,"PJ",""))</f>
        <v/>
      </c>
      <c r="F666" s="59"/>
      <c r="G666" s="59"/>
      <c r="H666" s="61" t="str">
        <f aca="false">IF(G666&lt;&gt;"",VLOOKUP(G666,'Cnae  mcc  id'!$A:$M,9,0),"")</f>
        <v/>
      </c>
      <c r="I666" s="62"/>
      <c r="J666" s="63" t="str">
        <f aca="false">IF(I666&lt;&gt;"",VLOOKUP(I666,'Legal Nature'!$E$2:$G$84,3,0),"")</f>
        <v/>
      </c>
      <c r="K666" s="64"/>
      <c r="L666" s="65"/>
      <c r="M666" s="66"/>
      <c r="N666" s="66"/>
      <c r="O666" s="79"/>
      <c r="P666" s="26"/>
      <c r="Q666" s="58"/>
      <c r="R666" s="58"/>
      <c r="S666" s="80"/>
      <c r="T666" s="68" t="str">
        <f aca="false">IF(LEFT(S666,1)="9","Celular",IF(S666="","","Fixo"))</f>
        <v/>
      </c>
      <c r="U666" s="58" t="str">
        <f aca="false">IF( T666&lt;&gt;"",VLOOKUP(T666,Selects!$M$4:$N$1000,2,0),"")</f>
        <v/>
      </c>
      <c r="V666" s="26"/>
      <c r="W666" s="58"/>
      <c r="X666" s="58"/>
      <c r="Y666" s="58"/>
      <c r="Z666" s="58"/>
      <c r="AA666" s="69"/>
      <c r="AB666" s="58"/>
      <c r="AC666" s="58"/>
      <c r="AD666" s="70" t="str">
        <f aca="false">IF(AC666&lt;&gt;"",VLOOKUP(AC666,Selects!$B$4:$C$100,2,0),"")</f>
        <v/>
      </c>
      <c r="AE666" s="26"/>
      <c r="AF666" s="58"/>
      <c r="AG666" s="59"/>
      <c r="AH666" s="65"/>
      <c r="AI666" s="66"/>
      <c r="AJ666" s="66"/>
      <c r="AK666" s="58"/>
      <c r="AL666" s="58"/>
      <c r="AM666" s="68" t="str">
        <f aca="false">IF(LEFT(AL666,1)="9","Celular",IF(AL666="","","Fixo"))</f>
        <v/>
      </c>
      <c r="AN666" s="58" t="str">
        <f aca="false">IF( AM666&lt;&gt;"",VLOOKUP(AM666,Selects!$M$4:$N$1000,2,0),"")</f>
        <v/>
      </c>
      <c r="AO666" s="58"/>
      <c r="AP666" s="59"/>
      <c r="AQ666" s="65"/>
      <c r="AR666" s="58"/>
      <c r="AS666" s="58"/>
      <c r="AT666" s="26"/>
      <c r="AU666" s="58"/>
      <c r="AV666" s="58"/>
      <c r="AW666" s="58"/>
      <c r="AX666" s="58"/>
      <c r="AY666" s="71"/>
      <c r="AZ666" s="58"/>
      <c r="BA666" s="58"/>
      <c r="BB666" s="72" t="str">
        <f aca="false">IF(BA666&lt;&gt;"",VLOOKUP(BA666,Selects!$B$4:$C$100,2,0),"")</f>
        <v/>
      </c>
      <c r="BC666" s="26"/>
      <c r="BD666" s="26"/>
      <c r="BE666" s="73"/>
      <c r="BF666" s="74"/>
      <c r="BG666" s="75" t="str">
        <f aca="false">IF(LEN(BF666)=11,"PF",IF(LEN(BF666)=14,"PJ",""))</f>
        <v/>
      </c>
      <c r="BH666" s="66"/>
      <c r="BI666" s="58" t="str">
        <f aca="false">IF(BH666&lt;&gt;"",VLOOKUP(BH666,Selects!$G:$H,2,0),"")</f>
        <v/>
      </c>
      <c r="BJ666" s="58"/>
      <c r="BK666" s="58"/>
      <c r="BL666" s="59"/>
      <c r="BM666" s="58"/>
      <c r="BN666" s="58"/>
      <c r="BO666" s="58" t="str">
        <f aca="false">IF(BN666&lt;&gt;"",VLOOKUP(BN666,Selects!$J$4:$K$1000,2,0),"")</f>
        <v/>
      </c>
      <c r="BP666" s="76"/>
      <c r="BQ666" s="59"/>
      <c r="BR666" s="77"/>
      <c r="BS666" s="59"/>
      <c r="BT666" s="77"/>
      <c r="BU666" s="58"/>
      <c r="BV666" s="58"/>
      <c r="BW666" s="58"/>
      <c r="BX666" s="58"/>
      <c r="BY666" s="58"/>
      <c r="BZ666" s="58"/>
      <c r="CA666" s="58"/>
      <c r="CB666" s="72" t="str">
        <f aca="false">IF(AC666&lt;&gt;"",VLOOKUP(AC666,Selects!$B:$E,4,0),"")</f>
        <v/>
      </c>
      <c r="CC666" s="58"/>
      <c r="CD666" s="58"/>
      <c r="CE666" s="58"/>
    </row>
    <row r="667" customFormat="false" ht="15.75" hidden="false" customHeight="true" outlineLevel="0" collapsed="false">
      <c r="A667" s="17"/>
      <c r="B667" s="58"/>
      <c r="C667" s="58"/>
      <c r="D667" s="59"/>
      <c r="E667" s="60" t="str">
        <f aca="false">IF(LEN(D667)=11,"PF",IF(LEN(D667)=14,"PJ",""))</f>
        <v/>
      </c>
      <c r="F667" s="59"/>
      <c r="G667" s="59"/>
      <c r="H667" s="61" t="str">
        <f aca="false">IF(G667&lt;&gt;"",VLOOKUP(G667,'Cnae  mcc  id'!$A:$M,9,0),"")</f>
        <v/>
      </c>
      <c r="I667" s="62"/>
      <c r="J667" s="63" t="str">
        <f aca="false">IF(I667&lt;&gt;"",VLOOKUP(I667,'Legal Nature'!$E$2:$G$84,3,0),"")</f>
        <v/>
      </c>
      <c r="K667" s="64"/>
      <c r="L667" s="65"/>
      <c r="M667" s="66"/>
      <c r="N667" s="66"/>
      <c r="O667" s="79"/>
      <c r="P667" s="26"/>
      <c r="Q667" s="58"/>
      <c r="R667" s="58"/>
      <c r="S667" s="80"/>
      <c r="T667" s="68" t="str">
        <f aca="false">IF(LEFT(S667,1)="9","Celular",IF(S667="","","Fixo"))</f>
        <v/>
      </c>
      <c r="U667" s="58" t="str">
        <f aca="false">IF( T667&lt;&gt;"",VLOOKUP(T667,Selects!$M$4:$N$1000,2,0),"")</f>
        <v/>
      </c>
      <c r="V667" s="26"/>
      <c r="W667" s="58"/>
      <c r="X667" s="58"/>
      <c r="Y667" s="58"/>
      <c r="Z667" s="58"/>
      <c r="AA667" s="69"/>
      <c r="AB667" s="58"/>
      <c r="AC667" s="58"/>
      <c r="AD667" s="70" t="str">
        <f aca="false">IF(AC667&lt;&gt;"",VLOOKUP(AC667,Selects!$B$4:$C$100,2,0),"")</f>
        <v/>
      </c>
      <c r="AE667" s="26"/>
      <c r="AF667" s="58"/>
      <c r="AG667" s="59"/>
      <c r="AH667" s="65"/>
      <c r="AI667" s="66"/>
      <c r="AJ667" s="66"/>
      <c r="AK667" s="58"/>
      <c r="AL667" s="58"/>
      <c r="AM667" s="68" t="str">
        <f aca="false">IF(LEFT(AL667,1)="9","Celular",IF(AL667="","","Fixo"))</f>
        <v/>
      </c>
      <c r="AN667" s="58" t="str">
        <f aca="false">IF( AM667&lt;&gt;"",VLOOKUP(AM667,Selects!$M$4:$N$1000,2,0),"")</f>
        <v/>
      </c>
      <c r="AO667" s="58"/>
      <c r="AP667" s="59"/>
      <c r="AQ667" s="65"/>
      <c r="AR667" s="58"/>
      <c r="AS667" s="58"/>
      <c r="AT667" s="26"/>
      <c r="AU667" s="58"/>
      <c r="AV667" s="58"/>
      <c r="AW667" s="58"/>
      <c r="AX667" s="58"/>
      <c r="AY667" s="71"/>
      <c r="AZ667" s="58"/>
      <c r="BA667" s="58"/>
      <c r="BB667" s="72" t="str">
        <f aca="false">IF(BA667&lt;&gt;"",VLOOKUP(BA667,Selects!$B$4:$C$100,2,0),"")</f>
        <v/>
      </c>
      <c r="BC667" s="26"/>
      <c r="BD667" s="26"/>
      <c r="BE667" s="73"/>
      <c r="BF667" s="74"/>
      <c r="BG667" s="75" t="str">
        <f aca="false">IF(LEN(BF667)=11,"PF",IF(LEN(BF667)=14,"PJ",""))</f>
        <v/>
      </c>
      <c r="BH667" s="66"/>
      <c r="BI667" s="58" t="str">
        <f aca="false">IF(BH667&lt;&gt;"",VLOOKUP(BH667,Selects!$G:$H,2,0),"")</f>
        <v/>
      </c>
      <c r="BJ667" s="58"/>
      <c r="BK667" s="58"/>
      <c r="BL667" s="59"/>
      <c r="BM667" s="58"/>
      <c r="BN667" s="58"/>
      <c r="BO667" s="58" t="str">
        <f aca="false">IF(BN667&lt;&gt;"",VLOOKUP(BN667,Selects!$J$4:$K$1000,2,0),"")</f>
        <v/>
      </c>
      <c r="BP667" s="76"/>
      <c r="BQ667" s="59"/>
      <c r="BR667" s="77"/>
      <c r="BS667" s="59"/>
      <c r="BT667" s="77"/>
      <c r="BU667" s="58"/>
      <c r="BV667" s="58"/>
      <c r="BW667" s="58"/>
      <c r="BX667" s="58"/>
      <c r="BY667" s="58"/>
      <c r="BZ667" s="58"/>
      <c r="CA667" s="58"/>
      <c r="CB667" s="72" t="str">
        <f aca="false">IF(AC667&lt;&gt;"",VLOOKUP(AC667,Selects!$B:$E,4,0),"")</f>
        <v/>
      </c>
      <c r="CC667" s="58"/>
      <c r="CD667" s="58"/>
      <c r="CE667" s="58"/>
    </row>
    <row r="668" customFormat="false" ht="15.75" hidden="false" customHeight="true" outlineLevel="0" collapsed="false">
      <c r="A668" s="17"/>
      <c r="B668" s="58"/>
      <c r="C668" s="58"/>
      <c r="D668" s="59"/>
      <c r="E668" s="60" t="str">
        <f aca="false">IF(LEN(D668)=11,"PF",IF(LEN(D668)=14,"PJ",""))</f>
        <v/>
      </c>
      <c r="F668" s="59"/>
      <c r="G668" s="59"/>
      <c r="H668" s="61" t="str">
        <f aca="false">IF(G668&lt;&gt;"",VLOOKUP(G668,'Cnae  mcc  id'!$A:$M,9,0),"")</f>
        <v/>
      </c>
      <c r="I668" s="62"/>
      <c r="J668" s="63" t="str">
        <f aca="false">IF(I668&lt;&gt;"",VLOOKUP(I668,'Legal Nature'!$E$2:$G$84,3,0),"")</f>
        <v/>
      </c>
      <c r="K668" s="64"/>
      <c r="L668" s="65"/>
      <c r="M668" s="66"/>
      <c r="N668" s="66"/>
      <c r="O668" s="79"/>
      <c r="P668" s="26"/>
      <c r="Q668" s="58"/>
      <c r="R668" s="58"/>
      <c r="S668" s="80"/>
      <c r="T668" s="68" t="str">
        <f aca="false">IF(LEFT(S668,1)="9","Celular",IF(S668="","","Fixo"))</f>
        <v/>
      </c>
      <c r="U668" s="58" t="str">
        <f aca="false">IF( T668&lt;&gt;"",VLOOKUP(T668,Selects!$M$4:$N$1000,2,0),"")</f>
        <v/>
      </c>
      <c r="V668" s="26"/>
      <c r="W668" s="58"/>
      <c r="X668" s="58"/>
      <c r="Y668" s="58"/>
      <c r="Z668" s="58"/>
      <c r="AA668" s="69"/>
      <c r="AB668" s="58"/>
      <c r="AC668" s="58"/>
      <c r="AD668" s="70" t="str">
        <f aca="false">IF(AC668&lt;&gt;"",VLOOKUP(AC668,Selects!$B$4:$C$100,2,0),"")</f>
        <v/>
      </c>
      <c r="AE668" s="26"/>
      <c r="AF668" s="58"/>
      <c r="AG668" s="59"/>
      <c r="AH668" s="65"/>
      <c r="AI668" s="66"/>
      <c r="AJ668" s="66"/>
      <c r="AK668" s="58"/>
      <c r="AL668" s="58"/>
      <c r="AM668" s="68" t="str">
        <f aca="false">IF(LEFT(AL668,1)="9","Celular",IF(AL668="","","Fixo"))</f>
        <v/>
      </c>
      <c r="AN668" s="58" t="str">
        <f aca="false">IF( AM668&lt;&gt;"",VLOOKUP(AM668,Selects!$M$4:$N$1000,2,0),"")</f>
        <v/>
      </c>
      <c r="AO668" s="58"/>
      <c r="AP668" s="59"/>
      <c r="AQ668" s="65"/>
      <c r="AR668" s="58"/>
      <c r="AS668" s="58"/>
      <c r="AT668" s="26"/>
      <c r="AU668" s="58"/>
      <c r="AV668" s="58"/>
      <c r="AW668" s="58"/>
      <c r="AX668" s="58"/>
      <c r="AY668" s="71"/>
      <c r="AZ668" s="58"/>
      <c r="BA668" s="58"/>
      <c r="BB668" s="72" t="str">
        <f aca="false">IF(BA668&lt;&gt;"",VLOOKUP(BA668,Selects!$B$4:$C$100,2,0),"")</f>
        <v/>
      </c>
      <c r="BC668" s="26"/>
      <c r="BD668" s="26"/>
      <c r="BE668" s="73"/>
      <c r="BF668" s="74"/>
      <c r="BG668" s="75" t="str">
        <f aca="false">IF(LEN(BF668)=11,"PF",IF(LEN(BF668)=14,"PJ",""))</f>
        <v/>
      </c>
      <c r="BH668" s="66"/>
      <c r="BI668" s="58" t="str">
        <f aca="false">IF(BH668&lt;&gt;"",VLOOKUP(BH668,Selects!$G:$H,2,0),"")</f>
        <v/>
      </c>
      <c r="BJ668" s="58"/>
      <c r="BK668" s="58"/>
      <c r="BL668" s="59"/>
      <c r="BM668" s="58"/>
      <c r="BN668" s="58"/>
      <c r="BO668" s="58" t="str">
        <f aca="false">IF(BN668&lt;&gt;"",VLOOKUP(BN668,Selects!$J$4:$K$1000,2,0),"")</f>
        <v/>
      </c>
      <c r="BP668" s="76"/>
      <c r="BQ668" s="59"/>
      <c r="BR668" s="77"/>
      <c r="BS668" s="59"/>
      <c r="BT668" s="77"/>
      <c r="BU668" s="58"/>
      <c r="BV668" s="58"/>
      <c r="BW668" s="58"/>
      <c r="BX668" s="58"/>
      <c r="BY668" s="58"/>
      <c r="BZ668" s="58"/>
      <c r="CA668" s="58"/>
      <c r="CB668" s="72" t="str">
        <f aca="false">IF(AC668&lt;&gt;"",VLOOKUP(AC668,Selects!$B:$E,4,0),"")</f>
        <v/>
      </c>
      <c r="CC668" s="58"/>
      <c r="CD668" s="58"/>
      <c r="CE668" s="58"/>
    </row>
    <row r="669" customFormat="false" ht="15.75" hidden="false" customHeight="true" outlineLevel="0" collapsed="false">
      <c r="A669" s="17"/>
      <c r="B669" s="58"/>
      <c r="C669" s="58"/>
      <c r="D669" s="59"/>
      <c r="E669" s="60" t="str">
        <f aca="false">IF(LEN(D669)=11,"PF",IF(LEN(D669)=14,"PJ",""))</f>
        <v/>
      </c>
      <c r="F669" s="59"/>
      <c r="G669" s="59"/>
      <c r="H669" s="61" t="str">
        <f aca="false">IF(G669&lt;&gt;"",VLOOKUP(G669,'Cnae  mcc  id'!$A:$M,9,0),"")</f>
        <v/>
      </c>
      <c r="I669" s="62"/>
      <c r="J669" s="63" t="str">
        <f aca="false">IF(I669&lt;&gt;"",VLOOKUP(I669,'Legal Nature'!$E$2:$G$84,3,0),"")</f>
        <v/>
      </c>
      <c r="K669" s="64"/>
      <c r="L669" s="65"/>
      <c r="M669" s="66"/>
      <c r="N669" s="66"/>
      <c r="O669" s="79"/>
      <c r="P669" s="26"/>
      <c r="Q669" s="58"/>
      <c r="R669" s="58"/>
      <c r="S669" s="80"/>
      <c r="T669" s="68" t="str">
        <f aca="false">IF(LEFT(S669,1)="9","Celular",IF(S669="","","Fixo"))</f>
        <v/>
      </c>
      <c r="U669" s="58" t="str">
        <f aca="false">IF( T669&lt;&gt;"",VLOOKUP(T669,Selects!$M$4:$N$1000,2,0),"")</f>
        <v/>
      </c>
      <c r="V669" s="26"/>
      <c r="W669" s="58"/>
      <c r="X669" s="58"/>
      <c r="Y669" s="58"/>
      <c r="Z669" s="58"/>
      <c r="AA669" s="69"/>
      <c r="AB669" s="58"/>
      <c r="AC669" s="58"/>
      <c r="AD669" s="70" t="str">
        <f aca="false">IF(AC669&lt;&gt;"",VLOOKUP(AC669,Selects!$B$4:$C$100,2,0),"")</f>
        <v/>
      </c>
      <c r="AE669" s="26"/>
      <c r="AF669" s="58"/>
      <c r="AG669" s="59"/>
      <c r="AH669" s="65"/>
      <c r="AI669" s="66"/>
      <c r="AJ669" s="66"/>
      <c r="AK669" s="58"/>
      <c r="AL669" s="58"/>
      <c r="AM669" s="68" t="str">
        <f aca="false">IF(LEFT(AL669,1)="9","Celular",IF(AL669="","","Fixo"))</f>
        <v/>
      </c>
      <c r="AN669" s="58" t="str">
        <f aca="false">IF( AM669&lt;&gt;"",VLOOKUP(AM669,Selects!$M$4:$N$1000,2,0),"")</f>
        <v/>
      </c>
      <c r="AO669" s="58"/>
      <c r="AP669" s="59"/>
      <c r="AQ669" s="65"/>
      <c r="AR669" s="58"/>
      <c r="AS669" s="58"/>
      <c r="AT669" s="26"/>
      <c r="AU669" s="58"/>
      <c r="AV669" s="58"/>
      <c r="AW669" s="58"/>
      <c r="AX669" s="58"/>
      <c r="AY669" s="71"/>
      <c r="AZ669" s="58"/>
      <c r="BA669" s="58"/>
      <c r="BB669" s="72" t="str">
        <f aca="false">IF(BA669&lt;&gt;"",VLOOKUP(BA669,Selects!$B$4:$C$100,2,0),"")</f>
        <v/>
      </c>
      <c r="BC669" s="26"/>
      <c r="BD669" s="26"/>
      <c r="BE669" s="73"/>
      <c r="BF669" s="74"/>
      <c r="BG669" s="75" t="str">
        <f aca="false">IF(LEN(BF669)=11,"PF",IF(LEN(BF669)=14,"PJ",""))</f>
        <v/>
      </c>
      <c r="BH669" s="66"/>
      <c r="BI669" s="58" t="str">
        <f aca="false">IF(BH669&lt;&gt;"",VLOOKUP(BH669,Selects!$G:$H,2,0),"")</f>
        <v/>
      </c>
      <c r="BJ669" s="58"/>
      <c r="BK669" s="58"/>
      <c r="BL669" s="59"/>
      <c r="BM669" s="58"/>
      <c r="BN669" s="58"/>
      <c r="BO669" s="58" t="str">
        <f aca="false">IF(BN669&lt;&gt;"",VLOOKUP(BN669,Selects!$J$4:$K$1000,2,0),"")</f>
        <v/>
      </c>
      <c r="BP669" s="76"/>
      <c r="BQ669" s="59"/>
      <c r="BR669" s="77"/>
      <c r="BS669" s="59"/>
      <c r="BT669" s="77"/>
      <c r="BU669" s="58"/>
      <c r="BV669" s="58"/>
      <c r="BW669" s="58"/>
      <c r="BX669" s="58"/>
      <c r="BY669" s="58"/>
      <c r="BZ669" s="58"/>
      <c r="CA669" s="58"/>
      <c r="CB669" s="72" t="str">
        <f aca="false">IF(AC669&lt;&gt;"",VLOOKUP(AC669,Selects!$B:$E,4,0),"")</f>
        <v/>
      </c>
      <c r="CC669" s="58"/>
      <c r="CD669" s="58"/>
      <c r="CE669" s="58"/>
    </row>
    <row r="670" customFormat="false" ht="15.75" hidden="false" customHeight="true" outlineLevel="0" collapsed="false">
      <c r="A670" s="17"/>
      <c r="B670" s="58"/>
      <c r="C670" s="58"/>
      <c r="D670" s="59"/>
      <c r="E670" s="60" t="str">
        <f aca="false">IF(LEN(D670)=11,"PF",IF(LEN(D670)=14,"PJ",""))</f>
        <v/>
      </c>
      <c r="F670" s="59"/>
      <c r="G670" s="59"/>
      <c r="H670" s="61" t="str">
        <f aca="false">IF(G670&lt;&gt;"",VLOOKUP(G670,'Cnae  mcc  id'!$A:$M,9,0),"")</f>
        <v/>
      </c>
      <c r="I670" s="62"/>
      <c r="J670" s="63" t="str">
        <f aca="false">IF(I670&lt;&gt;"",VLOOKUP(I670,'Legal Nature'!$E$2:$G$84,3,0),"")</f>
        <v/>
      </c>
      <c r="K670" s="64"/>
      <c r="L670" s="65"/>
      <c r="M670" s="66"/>
      <c r="N670" s="66"/>
      <c r="O670" s="79"/>
      <c r="P670" s="26"/>
      <c r="Q670" s="58"/>
      <c r="R670" s="58"/>
      <c r="S670" s="80"/>
      <c r="T670" s="68" t="str">
        <f aca="false">IF(LEFT(S670,1)="9","Celular",IF(S670="","","Fixo"))</f>
        <v/>
      </c>
      <c r="U670" s="58" t="str">
        <f aca="false">IF( T670&lt;&gt;"",VLOOKUP(T670,Selects!$M$4:$N$1000,2,0),"")</f>
        <v/>
      </c>
      <c r="V670" s="26"/>
      <c r="W670" s="58"/>
      <c r="X670" s="58"/>
      <c r="Y670" s="58"/>
      <c r="Z670" s="58"/>
      <c r="AA670" s="69"/>
      <c r="AB670" s="58"/>
      <c r="AC670" s="58"/>
      <c r="AD670" s="70" t="str">
        <f aca="false">IF(AC670&lt;&gt;"",VLOOKUP(AC670,Selects!$B$4:$C$100,2,0),"")</f>
        <v/>
      </c>
      <c r="AE670" s="26"/>
      <c r="AF670" s="58"/>
      <c r="AG670" s="59"/>
      <c r="AH670" s="65"/>
      <c r="AI670" s="66"/>
      <c r="AJ670" s="66"/>
      <c r="AK670" s="58"/>
      <c r="AL670" s="58"/>
      <c r="AM670" s="68" t="str">
        <f aca="false">IF(LEFT(AL670,1)="9","Celular",IF(AL670="","","Fixo"))</f>
        <v/>
      </c>
      <c r="AN670" s="58" t="str">
        <f aca="false">IF( AM670&lt;&gt;"",VLOOKUP(AM670,Selects!$M$4:$N$1000,2,0),"")</f>
        <v/>
      </c>
      <c r="AO670" s="58"/>
      <c r="AP670" s="59"/>
      <c r="AQ670" s="65"/>
      <c r="AR670" s="58"/>
      <c r="AS670" s="58"/>
      <c r="AT670" s="26"/>
      <c r="AU670" s="58"/>
      <c r="AV670" s="58"/>
      <c r="AW670" s="58"/>
      <c r="AX670" s="58"/>
      <c r="AY670" s="71"/>
      <c r="AZ670" s="58"/>
      <c r="BA670" s="58"/>
      <c r="BB670" s="72" t="str">
        <f aca="false">IF(BA670&lt;&gt;"",VLOOKUP(BA670,Selects!$B$4:$C$100,2,0),"")</f>
        <v/>
      </c>
      <c r="BC670" s="26"/>
      <c r="BD670" s="26"/>
      <c r="BE670" s="73"/>
      <c r="BF670" s="74"/>
      <c r="BG670" s="75" t="str">
        <f aca="false">IF(LEN(BF670)=11,"PF",IF(LEN(BF670)=14,"PJ",""))</f>
        <v/>
      </c>
      <c r="BH670" s="66"/>
      <c r="BI670" s="58" t="str">
        <f aca="false">IF(BH670&lt;&gt;"",VLOOKUP(BH670,Selects!$G:$H,2,0),"")</f>
        <v/>
      </c>
      <c r="BJ670" s="58"/>
      <c r="BK670" s="58"/>
      <c r="BL670" s="59"/>
      <c r="BM670" s="58"/>
      <c r="BN670" s="58"/>
      <c r="BO670" s="58" t="str">
        <f aca="false">IF(BN670&lt;&gt;"",VLOOKUP(BN670,Selects!$J$4:$K$1000,2,0),"")</f>
        <v/>
      </c>
      <c r="BP670" s="76"/>
      <c r="BQ670" s="59"/>
      <c r="BR670" s="77"/>
      <c r="BS670" s="59"/>
      <c r="BT670" s="77"/>
      <c r="BU670" s="58"/>
      <c r="BV670" s="58"/>
      <c r="BW670" s="58"/>
      <c r="BX670" s="58"/>
      <c r="BY670" s="58"/>
      <c r="BZ670" s="58"/>
      <c r="CA670" s="58"/>
      <c r="CB670" s="72" t="str">
        <f aca="false">IF(AC670&lt;&gt;"",VLOOKUP(AC670,Selects!$B:$E,4,0),"")</f>
        <v/>
      </c>
      <c r="CC670" s="58"/>
      <c r="CD670" s="58"/>
      <c r="CE670" s="58"/>
    </row>
    <row r="671" customFormat="false" ht="15.75" hidden="false" customHeight="true" outlineLevel="0" collapsed="false">
      <c r="A671" s="17"/>
      <c r="B671" s="58"/>
      <c r="C671" s="58"/>
      <c r="D671" s="59"/>
      <c r="E671" s="60" t="str">
        <f aca="false">IF(LEN(D671)=11,"PF",IF(LEN(D671)=14,"PJ",""))</f>
        <v/>
      </c>
      <c r="F671" s="59"/>
      <c r="G671" s="59"/>
      <c r="H671" s="61" t="str">
        <f aca="false">IF(G671&lt;&gt;"",VLOOKUP(G671,'Cnae  mcc  id'!$A:$M,9,0),"")</f>
        <v/>
      </c>
      <c r="I671" s="62"/>
      <c r="J671" s="63" t="str">
        <f aca="false">IF(I671&lt;&gt;"",VLOOKUP(I671,'Legal Nature'!$E$2:$G$84,3,0),"")</f>
        <v/>
      </c>
      <c r="K671" s="64"/>
      <c r="L671" s="65"/>
      <c r="M671" s="66"/>
      <c r="N671" s="66"/>
      <c r="O671" s="79"/>
      <c r="P671" s="26"/>
      <c r="Q671" s="58"/>
      <c r="R671" s="58"/>
      <c r="S671" s="80"/>
      <c r="T671" s="68" t="str">
        <f aca="false">IF(LEFT(S671,1)="9","Celular",IF(S671="","","Fixo"))</f>
        <v/>
      </c>
      <c r="U671" s="58" t="str">
        <f aca="false">IF( T671&lt;&gt;"",VLOOKUP(T671,Selects!$M$4:$N$1000,2,0),"")</f>
        <v/>
      </c>
      <c r="V671" s="26"/>
      <c r="W671" s="58"/>
      <c r="X671" s="58"/>
      <c r="Y671" s="58"/>
      <c r="Z671" s="58"/>
      <c r="AA671" s="69"/>
      <c r="AB671" s="58"/>
      <c r="AC671" s="58"/>
      <c r="AD671" s="70" t="str">
        <f aca="false">IF(AC671&lt;&gt;"",VLOOKUP(AC671,Selects!$B$4:$C$100,2,0),"")</f>
        <v/>
      </c>
      <c r="AE671" s="26"/>
      <c r="AF671" s="58"/>
      <c r="AG671" s="59"/>
      <c r="AH671" s="65"/>
      <c r="AI671" s="66"/>
      <c r="AJ671" s="66"/>
      <c r="AK671" s="58"/>
      <c r="AL671" s="58"/>
      <c r="AM671" s="68" t="str">
        <f aca="false">IF(LEFT(AL671,1)="9","Celular",IF(AL671="","","Fixo"))</f>
        <v/>
      </c>
      <c r="AN671" s="58" t="str">
        <f aca="false">IF( AM671&lt;&gt;"",VLOOKUP(AM671,Selects!$M$4:$N$1000,2,0),"")</f>
        <v/>
      </c>
      <c r="AO671" s="58"/>
      <c r="AP671" s="59"/>
      <c r="AQ671" s="65"/>
      <c r="AR671" s="58"/>
      <c r="AS671" s="58"/>
      <c r="AT671" s="26"/>
      <c r="AU671" s="58"/>
      <c r="AV671" s="58"/>
      <c r="AW671" s="58"/>
      <c r="AX671" s="58"/>
      <c r="AY671" s="71"/>
      <c r="AZ671" s="58"/>
      <c r="BA671" s="58"/>
      <c r="BB671" s="72" t="str">
        <f aca="false">IF(BA671&lt;&gt;"",VLOOKUP(BA671,Selects!$B$4:$C$100,2,0),"")</f>
        <v/>
      </c>
      <c r="BC671" s="26"/>
      <c r="BD671" s="26"/>
      <c r="BE671" s="73"/>
      <c r="BF671" s="74"/>
      <c r="BG671" s="75" t="str">
        <f aca="false">IF(LEN(BF671)=11,"PF",IF(LEN(BF671)=14,"PJ",""))</f>
        <v/>
      </c>
      <c r="BH671" s="66"/>
      <c r="BI671" s="58" t="str">
        <f aca="false">IF(BH671&lt;&gt;"",VLOOKUP(BH671,Selects!$G:$H,2,0),"")</f>
        <v/>
      </c>
      <c r="BJ671" s="58"/>
      <c r="BK671" s="58"/>
      <c r="BL671" s="59"/>
      <c r="BM671" s="58"/>
      <c r="BN671" s="58"/>
      <c r="BO671" s="58" t="str">
        <f aca="false">IF(BN671&lt;&gt;"",VLOOKUP(BN671,Selects!$J$4:$K$1000,2,0),"")</f>
        <v/>
      </c>
      <c r="BP671" s="76"/>
      <c r="BQ671" s="59"/>
      <c r="BR671" s="77"/>
      <c r="BS671" s="59"/>
      <c r="BT671" s="77"/>
      <c r="BU671" s="58"/>
      <c r="BV671" s="58"/>
      <c r="BW671" s="58"/>
      <c r="BX671" s="58"/>
      <c r="BY671" s="58"/>
      <c r="BZ671" s="58"/>
      <c r="CA671" s="58"/>
      <c r="CB671" s="72" t="str">
        <f aca="false">IF(AC671&lt;&gt;"",VLOOKUP(AC671,Selects!$B:$E,4,0),"")</f>
        <v/>
      </c>
      <c r="CC671" s="58"/>
      <c r="CD671" s="58"/>
      <c r="CE671" s="58"/>
    </row>
    <row r="672" customFormat="false" ht="15.75" hidden="false" customHeight="true" outlineLevel="0" collapsed="false">
      <c r="A672" s="17"/>
      <c r="B672" s="58"/>
      <c r="C672" s="58"/>
      <c r="D672" s="59"/>
      <c r="E672" s="60" t="str">
        <f aca="false">IF(LEN(D672)=11,"PF",IF(LEN(D672)=14,"PJ",""))</f>
        <v/>
      </c>
      <c r="F672" s="59"/>
      <c r="G672" s="59"/>
      <c r="H672" s="61" t="str">
        <f aca="false">IF(G672&lt;&gt;"",VLOOKUP(G672,'Cnae  mcc  id'!$A:$M,9,0),"")</f>
        <v/>
      </c>
      <c r="I672" s="62"/>
      <c r="J672" s="63" t="str">
        <f aca="false">IF(I672&lt;&gt;"",VLOOKUP(I672,'Legal Nature'!$E$2:$G$84,3,0),"")</f>
        <v/>
      </c>
      <c r="K672" s="64"/>
      <c r="L672" s="65"/>
      <c r="M672" s="66"/>
      <c r="N672" s="66"/>
      <c r="O672" s="79"/>
      <c r="P672" s="26"/>
      <c r="Q672" s="58"/>
      <c r="R672" s="58"/>
      <c r="S672" s="80"/>
      <c r="T672" s="68" t="str">
        <f aca="false">IF(LEFT(S672,1)="9","Celular",IF(S672="","","Fixo"))</f>
        <v/>
      </c>
      <c r="U672" s="58" t="str">
        <f aca="false">IF( T672&lt;&gt;"",VLOOKUP(T672,Selects!$M$4:$N$1000,2,0),"")</f>
        <v/>
      </c>
      <c r="V672" s="26"/>
      <c r="W672" s="58"/>
      <c r="X672" s="58"/>
      <c r="Y672" s="58"/>
      <c r="Z672" s="58"/>
      <c r="AA672" s="69"/>
      <c r="AB672" s="58"/>
      <c r="AC672" s="58"/>
      <c r="AD672" s="70" t="str">
        <f aca="false">IF(AC672&lt;&gt;"",VLOOKUP(AC672,Selects!$B$4:$C$100,2,0),"")</f>
        <v/>
      </c>
      <c r="AE672" s="26"/>
      <c r="AF672" s="58"/>
      <c r="AG672" s="59"/>
      <c r="AH672" s="65"/>
      <c r="AI672" s="66"/>
      <c r="AJ672" s="66"/>
      <c r="AK672" s="58"/>
      <c r="AL672" s="58"/>
      <c r="AM672" s="68" t="str">
        <f aca="false">IF(LEFT(AL672,1)="9","Celular",IF(AL672="","","Fixo"))</f>
        <v/>
      </c>
      <c r="AN672" s="58" t="str">
        <f aca="false">IF( AM672&lt;&gt;"",VLOOKUP(AM672,Selects!$M$4:$N$1000,2,0),"")</f>
        <v/>
      </c>
      <c r="AO672" s="58"/>
      <c r="AP672" s="59"/>
      <c r="AQ672" s="65"/>
      <c r="AR672" s="58"/>
      <c r="AS672" s="58"/>
      <c r="AT672" s="26"/>
      <c r="AU672" s="58"/>
      <c r="AV672" s="58"/>
      <c r="AW672" s="58"/>
      <c r="AX672" s="58"/>
      <c r="AY672" s="71"/>
      <c r="AZ672" s="58"/>
      <c r="BA672" s="58"/>
      <c r="BB672" s="72" t="str">
        <f aca="false">IF(BA672&lt;&gt;"",VLOOKUP(BA672,Selects!$B$4:$C$100,2,0),"")</f>
        <v/>
      </c>
      <c r="BC672" s="26"/>
      <c r="BD672" s="26"/>
      <c r="BE672" s="73"/>
      <c r="BF672" s="74"/>
      <c r="BG672" s="75" t="str">
        <f aca="false">IF(LEN(BF672)=11,"PF",IF(LEN(BF672)=14,"PJ",""))</f>
        <v/>
      </c>
      <c r="BH672" s="66"/>
      <c r="BI672" s="58" t="str">
        <f aca="false">IF(BH672&lt;&gt;"",VLOOKUP(BH672,Selects!$G:$H,2,0),"")</f>
        <v/>
      </c>
      <c r="BJ672" s="58"/>
      <c r="BK672" s="58"/>
      <c r="BL672" s="59"/>
      <c r="BM672" s="58"/>
      <c r="BN672" s="58"/>
      <c r="BO672" s="58" t="str">
        <f aca="false">IF(BN672&lt;&gt;"",VLOOKUP(BN672,Selects!$J$4:$K$1000,2,0),"")</f>
        <v/>
      </c>
      <c r="BP672" s="76"/>
      <c r="BQ672" s="59"/>
      <c r="BR672" s="77"/>
      <c r="BS672" s="59"/>
      <c r="BT672" s="77"/>
      <c r="BU672" s="58"/>
      <c r="BV672" s="58"/>
      <c r="BW672" s="58"/>
      <c r="BX672" s="58"/>
      <c r="BY672" s="58"/>
      <c r="BZ672" s="58"/>
      <c r="CA672" s="58"/>
      <c r="CB672" s="72" t="str">
        <f aca="false">IF(AC672&lt;&gt;"",VLOOKUP(AC672,Selects!$B:$E,4,0),"")</f>
        <v/>
      </c>
      <c r="CC672" s="58"/>
      <c r="CD672" s="58"/>
      <c r="CE672" s="58"/>
    </row>
    <row r="673" customFormat="false" ht="15.75" hidden="false" customHeight="true" outlineLevel="0" collapsed="false">
      <c r="A673" s="17"/>
      <c r="B673" s="58"/>
      <c r="C673" s="58"/>
      <c r="D673" s="59"/>
      <c r="E673" s="60" t="str">
        <f aca="false">IF(LEN(D673)=11,"PF",IF(LEN(D673)=14,"PJ",""))</f>
        <v/>
      </c>
      <c r="F673" s="59"/>
      <c r="G673" s="59"/>
      <c r="H673" s="61" t="str">
        <f aca="false">IF(G673&lt;&gt;"",VLOOKUP(G673,'Cnae  mcc  id'!$A:$M,9,0),"")</f>
        <v/>
      </c>
      <c r="I673" s="62"/>
      <c r="J673" s="63" t="str">
        <f aca="false">IF(I673&lt;&gt;"",VLOOKUP(I673,'Legal Nature'!$E$2:$G$84,3,0),"")</f>
        <v/>
      </c>
      <c r="K673" s="64"/>
      <c r="L673" s="65"/>
      <c r="M673" s="66"/>
      <c r="N673" s="66"/>
      <c r="O673" s="79"/>
      <c r="P673" s="26"/>
      <c r="Q673" s="58"/>
      <c r="R673" s="58"/>
      <c r="S673" s="80"/>
      <c r="T673" s="68" t="str">
        <f aca="false">IF(LEFT(S673,1)="9","Celular",IF(S673="","","Fixo"))</f>
        <v/>
      </c>
      <c r="U673" s="58" t="str">
        <f aca="false">IF( T673&lt;&gt;"",VLOOKUP(T673,Selects!$M$4:$N$1000,2,0),"")</f>
        <v/>
      </c>
      <c r="V673" s="26"/>
      <c r="W673" s="58"/>
      <c r="X673" s="58"/>
      <c r="Y673" s="58"/>
      <c r="Z673" s="58"/>
      <c r="AA673" s="69"/>
      <c r="AB673" s="58"/>
      <c r="AC673" s="58"/>
      <c r="AD673" s="70" t="str">
        <f aca="false">IF(AC673&lt;&gt;"",VLOOKUP(AC673,Selects!$B$4:$C$100,2,0),"")</f>
        <v/>
      </c>
      <c r="AE673" s="26"/>
      <c r="AF673" s="58"/>
      <c r="AG673" s="59"/>
      <c r="AH673" s="65"/>
      <c r="AI673" s="66"/>
      <c r="AJ673" s="66"/>
      <c r="AK673" s="58"/>
      <c r="AL673" s="58"/>
      <c r="AM673" s="68" t="str">
        <f aca="false">IF(LEFT(AL673,1)="9","Celular",IF(AL673="","","Fixo"))</f>
        <v/>
      </c>
      <c r="AN673" s="58" t="str">
        <f aca="false">IF( AM673&lt;&gt;"",VLOOKUP(AM673,Selects!$M$4:$N$1000,2,0),"")</f>
        <v/>
      </c>
      <c r="AO673" s="58"/>
      <c r="AP673" s="59"/>
      <c r="AQ673" s="65"/>
      <c r="AR673" s="58"/>
      <c r="AS673" s="58"/>
      <c r="AT673" s="26"/>
      <c r="AU673" s="58"/>
      <c r="AV673" s="58"/>
      <c r="AW673" s="58"/>
      <c r="AX673" s="58"/>
      <c r="AY673" s="71"/>
      <c r="AZ673" s="58"/>
      <c r="BA673" s="58"/>
      <c r="BB673" s="72" t="str">
        <f aca="false">IF(BA673&lt;&gt;"",VLOOKUP(BA673,Selects!$B$4:$C$100,2,0),"")</f>
        <v/>
      </c>
      <c r="BC673" s="26"/>
      <c r="BD673" s="26"/>
      <c r="BE673" s="73"/>
      <c r="BF673" s="74"/>
      <c r="BG673" s="75" t="str">
        <f aca="false">IF(LEN(BF673)=11,"PF",IF(LEN(BF673)=14,"PJ",""))</f>
        <v/>
      </c>
      <c r="BH673" s="66"/>
      <c r="BI673" s="58" t="str">
        <f aca="false">IF(BH673&lt;&gt;"",VLOOKUP(BH673,Selects!$G:$H,2,0),"")</f>
        <v/>
      </c>
      <c r="BJ673" s="58"/>
      <c r="BK673" s="58"/>
      <c r="BL673" s="59"/>
      <c r="BM673" s="58"/>
      <c r="BN673" s="58"/>
      <c r="BO673" s="58" t="str">
        <f aca="false">IF(BN673&lt;&gt;"",VLOOKUP(BN673,Selects!$J$4:$K$1000,2,0),"")</f>
        <v/>
      </c>
      <c r="BP673" s="76"/>
      <c r="BQ673" s="59"/>
      <c r="BR673" s="77"/>
      <c r="BS673" s="59"/>
      <c r="BT673" s="77"/>
      <c r="BU673" s="58"/>
      <c r="BV673" s="58"/>
      <c r="BW673" s="58"/>
      <c r="BX673" s="58"/>
      <c r="BY673" s="58"/>
      <c r="BZ673" s="58"/>
      <c r="CA673" s="58"/>
      <c r="CB673" s="72" t="str">
        <f aca="false">IF(AC673&lt;&gt;"",VLOOKUP(AC673,Selects!$B:$E,4,0),"")</f>
        <v/>
      </c>
      <c r="CC673" s="58"/>
      <c r="CD673" s="58"/>
      <c r="CE673" s="58"/>
    </row>
    <row r="674" customFormat="false" ht="15.75" hidden="false" customHeight="true" outlineLevel="0" collapsed="false">
      <c r="A674" s="17"/>
      <c r="B674" s="58"/>
      <c r="C674" s="58"/>
      <c r="D674" s="59"/>
      <c r="E674" s="60" t="str">
        <f aca="false">IF(LEN(D674)=11,"PF",IF(LEN(D674)=14,"PJ",""))</f>
        <v/>
      </c>
      <c r="F674" s="59"/>
      <c r="G674" s="59"/>
      <c r="H674" s="61" t="str">
        <f aca="false">IF(G674&lt;&gt;"",VLOOKUP(G674,'Cnae  mcc  id'!$A:$M,9,0),"")</f>
        <v/>
      </c>
      <c r="I674" s="62"/>
      <c r="J674" s="63" t="str">
        <f aca="false">IF(I674&lt;&gt;"",VLOOKUP(I674,'Legal Nature'!$E$2:$G$84,3,0),"")</f>
        <v/>
      </c>
      <c r="K674" s="64"/>
      <c r="L674" s="65"/>
      <c r="M674" s="66"/>
      <c r="N674" s="66"/>
      <c r="O674" s="79"/>
      <c r="P674" s="26"/>
      <c r="Q674" s="58"/>
      <c r="R674" s="58"/>
      <c r="S674" s="80"/>
      <c r="T674" s="68" t="str">
        <f aca="false">IF(LEFT(S674,1)="9","Celular",IF(S674="","","Fixo"))</f>
        <v/>
      </c>
      <c r="U674" s="58" t="str">
        <f aca="false">IF( T674&lt;&gt;"",VLOOKUP(T674,Selects!$M$4:$N$1000,2,0),"")</f>
        <v/>
      </c>
      <c r="V674" s="26"/>
      <c r="W674" s="58"/>
      <c r="X674" s="58"/>
      <c r="Y674" s="58"/>
      <c r="Z674" s="58"/>
      <c r="AA674" s="69"/>
      <c r="AB674" s="58"/>
      <c r="AC674" s="58"/>
      <c r="AD674" s="70" t="str">
        <f aca="false">IF(AC674&lt;&gt;"",VLOOKUP(AC674,Selects!$B$4:$C$100,2,0),"")</f>
        <v/>
      </c>
      <c r="AE674" s="26"/>
      <c r="AF674" s="58"/>
      <c r="AG674" s="59"/>
      <c r="AH674" s="65"/>
      <c r="AI674" s="66"/>
      <c r="AJ674" s="66"/>
      <c r="AK674" s="58"/>
      <c r="AL674" s="58"/>
      <c r="AM674" s="68" t="str">
        <f aca="false">IF(LEFT(AL674,1)="9","Celular",IF(AL674="","","Fixo"))</f>
        <v/>
      </c>
      <c r="AN674" s="58" t="str">
        <f aca="false">IF( AM674&lt;&gt;"",VLOOKUP(AM674,Selects!$M$4:$N$1000,2,0),"")</f>
        <v/>
      </c>
      <c r="AO674" s="58"/>
      <c r="AP674" s="59"/>
      <c r="AQ674" s="65"/>
      <c r="AR674" s="58"/>
      <c r="AS674" s="58"/>
      <c r="AT674" s="26"/>
      <c r="AU674" s="58"/>
      <c r="AV674" s="58"/>
      <c r="AW674" s="58"/>
      <c r="AX674" s="58"/>
      <c r="AY674" s="71"/>
      <c r="AZ674" s="58"/>
      <c r="BA674" s="58"/>
      <c r="BB674" s="72" t="str">
        <f aca="false">IF(BA674&lt;&gt;"",VLOOKUP(BA674,Selects!$B$4:$C$100,2,0),"")</f>
        <v/>
      </c>
      <c r="BC674" s="26"/>
      <c r="BD674" s="26"/>
      <c r="BE674" s="73"/>
      <c r="BF674" s="74"/>
      <c r="BG674" s="75" t="str">
        <f aca="false">IF(LEN(BF674)=11,"PF",IF(LEN(BF674)=14,"PJ",""))</f>
        <v/>
      </c>
      <c r="BH674" s="66"/>
      <c r="BI674" s="58" t="str">
        <f aca="false">IF(BH674&lt;&gt;"",VLOOKUP(BH674,Selects!$G:$H,2,0),"")</f>
        <v/>
      </c>
      <c r="BJ674" s="58"/>
      <c r="BK674" s="58"/>
      <c r="BL674" s="59"/>
      <c r="BM674" s="58"/>
      <c r="BN674" s="58"/>
      <c r="BO674" s="58" t="str">
        <f aca="false">IF(BN674&lt;&gt;"",VLOOKUP(BN674,Selects!$J$4:$K$1000,2,0),"")</f>
        <v/>
      </c>
      <c r="BP674" s="76"/>
      <c r="BQ674" s="59"/>
      <c r="BR674" s="77"/>
      <c r="BS674" s="59"/>
      <c r="BT674" s="77"/>
      <c r="BU674" s="58"/>
      <c r="BV674" s="58"/>
      <c r="BW674" s="58"/>
      <c r="BX674" s="58"/>
      <c r="BY674" s="58"/>
      <c r="BZ674" s="58"/>
      <c r="CA674" s="58"/>
      <c r="CB674" s="72" t="str">
        <f aca="false">IF(AC674&lt;&gt;"",VLOOKUP(AC674,Selects!$B:$E,4,0),"")</f>
        <v/>
      </c>
      <c r="CC674" s="58"/>
      <c r="CD674" s="58"/>
      <c r="CE674" s="58"/>
    </row>
    <row r="675" customFormat="false" ht="15.75" hidden="false" customHeight="true" outlineLevel="0" collapsed="false">
      <c r="A675" s="17"/>
      <c r="B675" s="58"/>
      <c r="C675" s="58"/>
      <c r="D675" s="59"/>
      <c r="E675" s="60" t="str">
        <f aca="false">IF(LEN(D675)=11,"PF",IF(LEN(D675)=14,"PJ",""))</f>
        <v/>
      </c>
      <c r="F675" s="59"/>
      <c r="G675" s="59"/>
      <c r="H675" s="61" t="str">
        <f aca="false">IF(G675&lt;&gt;"",VLOOKUP(G675,'Cnae  mcc  id'!$A:$M,9,0),"")</f>
        <v/>
      </c>
      <c r="I675" s="62"/>
      <c r="J675" s="63" t="str">
        <f aca="false">IF(I675&lt;&gt;"",VLOOKUP(I675,'Legal Nature'!$E$2:$G$84,3,0),"")</f>
        <v/>
      </c>
      <c r="K675" s="64"/>
      <c r="L675" s="65"/>
      <c r="M675" s="66"/>
      <c r="N675" s="66"/>
      <c r="O675" s="79"/>
      <c r="P675" s="26"/>
      <c r="Q675" s="58"/>
      <c r="R675" s="58"/>
      <c r="S675" s="80"/>
      <c r="T675" s="68" t="str">
        <f aca="false">IF(LEFT(S675,1)="9","Celular",IF(S675="","","Fixo"))</f>
        <v/>
      </c>
      <c r="U675" s="58" t="str">
        <f aca="false">IF( T675&lt;&gt;"",VLOOKUP(T675,Selects!$M$4:$N$1000,2,0),"")</f>
        <v/>
      </c>
      <c r="V675" s="26"/>
      <c r="W675" s="58"/>
      <c r="X675" s="58"/>
      <c r="Y675" s="58"/>
      <c r="Z675" s="58"/>
      <c r="AA675" s="69"/>
      <c r="AB675" s="58"/>
      <c r="AC675" s="58"/>
      <c r="AD675" s="70" t="str">
        <f aca="false">IF(AC675&lt;&gt;"",VLOOKUP(AC675,Selects!$B$4:$C$100,2,0),"")</f>
        <v/>
      </c>
      <c r="AE675" s="26"/>
      <c r="AF675" s="58"/>
      <c r="AG675" s="59"/>
      <c r="AH675" s="65"/>
      <c r="AI675" s="66"/>
      <c r="AJ675" s="66"/>
      <c r="AK675" s="58"/>
      <c r="AL675" s="58"/>
      <c r="AM675" s="68" t="str">
        <f aca="false">IF(LEFT(AL675,1)="9","Celular",IF(AL675="","","Fixo"))</f>
        <v/>
      </c>
      <c r="AN675" s="58" t="str">
        <f aca="false">IF( AM675&lt;&gt;"",VLOOKUP(AM675,Selects!$M$4:$N$1000,2,0),"")</f>
        <v/>
      </c>
      <c r="AO675" s="58"/>
      <c r="AP675" s="59"/>
      <c r="AQ675" s="65"/>
      <c r="AR675" s="58"/>
      <c r="AS675" s="58"/>
      <c r="AT675" s="26"/>
      <c r="AU675" s="58"/>
      <c r="AV675" s="58"/>
      <c r="AW675" s="58"/>
      <c r="AX675" s="58"/>
      <c r="AY675" s="71"/>
      <c r="AZ675" s="58"/>
      <c r="BA675" s="58"/>
      <c r="BB675" s="72" t="str">
        <f aca="false">IF(BA675&lt;&gt;"",VLOOKUP(BA675,Selects!$B$4:$C$100,2,0),"")</f>
        <v/>
      </c>
      <c r="BC675" s="26"/>
      <c r="BD675" s="26"/>
      <c r="BE675" s="73"/>
      <c r="BF675" s="74"/>
      <c r="BG675" s="75" t="str">
        <f aca="false">IF(LEN(BF675)=11,"PF",IF(LEN(BF675)=14,"PJ",""))</f>
        <v/>
      </c>
      <c r="BH675" s="66"/>
      <c r="BI675" s="58" t="str">
        <f aca="false">IF(BH675&lt;&gt;"",VLOOKUP(BH675,Selects!$G:$H,2,0),"")</f>
        <v/>
      </c>
      <c r="BJ675" s="58"/>
      <c r="BK675" s="58"/>
      <c r="BL675" s="59"/>
      <c r="BM675" s="58"/>
      <c r="BN675" s="58"/>
      <c r="BO675" s="58" t="str">
        <f aca="false">IF(BN675&lt;&gt;"",VLOOKUP(BN675,Selects!$J$4:$K$1000,2,0),"")</f>
        <v/>
      </c>
      <c r="BP675" s="76"/>
      <c r="BQ675" s="59"/>
      <c r="BR675" s="77"/>
      <c r="BS675" s="59"/>
      <c r="BT675" s="77"/>
      <c r="BU675" s="58"/>
      <c r="BV675" s="58"/>
      <c r="BW675" s="58"/>
      <c r="BX675" s="58"/>
      <c r="BY675" s="58"/>
      <c r="BZ675" s="58"/>
      <c r="CA675" s="58"/>
      <c r="CB675" s="72" t="str">
        <f aca="false">IF(AC675&lt;&gt;"",VLOOKUP(AC675,Selects!$B:$E,4,0),"")</f>
        <v/>
      </c>
      <c r="CC675" s="58"/>
      <c r="CD675" s="58"/>
      <c r="CE675" s="58"/>
    </row>
    <row r="676" customFormat="false" ht="15.75" hidden="false" customHeight="true" outlineLevel="0" collapsed="false">
      <c r="A676" s="17"/>
      <c r="B676" s="58"/>
      <c r="C676" s="58"/>
      <c r="D676" s="59"/>
      <c r="E676" s="60" t="str">
        <f aca="false">IF(LEN(D676)=11,"PF",IF(LEN(D676)=14,"PJ",""))</f>
        <v/>
      </c>
      <c r="F676" s="59"/>
      <c r="G676" s="59"/>
      <c r="H676" s="61" t="str">
        <f aca="false">IF(G676&lt;&gt;"",VLOOKUP(G676,'Cnae  mcc  id'!$A:$M,9,0),"")</f>
        <v/>
      </c>
      <c r="I676" s="62"/>
      <c r="J676" s="63" t="str">
        <f aca="false">IF(I676&lt;&gt;"",VLOOKUP(I676,'Legal Nature'!$E$2:$G$84,3,0),"")</f>
        <v/>
      </c>
      <c r="K676" s="64"/>
      <c r="L676" s="65"/>
      <c r="M676" s="66"/>
      <c r="N676" s="66"/>
      <c r="O676" s="79"/>
      <c r="P676" s="26"/>
      <c r="Q676" s="58"/>
      <c r="R676" s="58"/>
      <c r="S676" s="80"/>
      <c r="T676" s="68" t="str">
        <f aca="false">IF(LEFT(S676,1)="9","Celular",IF(S676="","","Fixo"))</f>
        <v/>
      </c>
      <c r="U676" s="58" t="str">
        <f aca="false">IF( T676&lt;&gt;"",VLOOKUP(T676,Selects!$M$4:$N$1000,2,0),"")</f>
        <v/>
      </c>
      <c r="V676" s="26"/>
      <c r="W676" s="58"/>
      <c r="X676" s="58"/>
      <c r="Y676" s="58"/>
      <c r="Z676" s="58"/>
      <c r="AA676" s="69"/>
      <c r="AB676" s="58"/>
      <c r="AC676" s="58"/>
      <c r="AD676" s="70" t="str">
        <f aca="false">IF(AC676&lt;&gt;"",VLOOKUP(AC676,Selects!$B$4:$C$100,2,0),"")</f>
        <v/>
      </c>
      <c r="AE676" s="26"/>
      <c r="AF676" s="58"/>
      <c r="AG676" s="59"/>
      <c r="AH676" s="65"/>
      <c r="AI676" s="66"/>
      <c r="AJ676" s="66"/>
      <c r="AK676" s="58"/>
      <c r="AL676" s="58"/>
      <c r="AM676" s="68" t="str">
        <f aca="false">IF(LEFT(AL676,1)="9","Celular",IF(AL676="","","Fixo"))</f>
        <v/>
      </c>
      <c r="AN676" s="58" t="str">
        <f aca="false">IF( AM676&lt;&gt;"",VLOOKUP(AM676,Selects!$M$4:$N$1000,2,0),"")</f>
        <v/>
      </c>
      <c r="AO676" s="58"/>
      <c r="AP676" s="59"/>
      <c r="AQ676" s="65"/>
      <c r="AR676" s="58"/>
      <c r="AS676" s="58"/>
      <c r="AT676" s="26"/>
      <c r="AU676" s="58"/>
      <c r="AV676" s="58"/>
      <c r="AW676" s="58"/>
      <c r="AX676" s="58"/>
      <c r="AY676" s="71"/>
      <c r="AZ676" s="58"/>
      <c r="BA676" s="58"/>
      <c r="BB676" s="72" t="str">
        <f aca="false">IF(BA676&lt;&gt;"",VLOOKUP(BA676,Selects!$B$4:$C$100,2,0),"")</f>
        <v/>
      </c>
      <c r="BC676" s="26"/>
      <c r="BD676" s="26"/>
      <c r="BE676" s="73"/>
      <c r="BF676" s="74"/>
      <c r="BG676" s="75" t="str">
        <f aca="false">IF(LEN(BF676)=11,"PF",IF(LEN(BF676)=14,"PJ",""))</f>
        <v/>
      </c>
      <c r="BH676" s="66"/>
      <c r="BI676" s="58" t="str">
        <f aca="false">IF(BH676&lt;&gt;"",VLOOKUP(BH676,Selects!$G:$H,2,0),"")</f>
        <v/>
      </c>
      <c r="BJ676" s="58"/>
      <c r="BK676" s="58"/>
      <c r="BL676" s="59"/>
      <c r="BM676" s="58"/>
      <c r="BN676" s="58"/>
      <c r="BO676" s="58" t="str">
        <f aca="false">IF(BN676&lt;&gt;"",VLOOKUP(BN676,Selects!$J$4:$K$1000,2,0),"")</f>
        <v/>
      </c>
      <c r="BP676" s="76"/>
      <c r="BQ676" s="59"/>
      <c r="BR676" s="77"/>
      <c r="BS676" s="59"/>
      <c r="BT676" s="77"/>
      <c r="BU676" s="58"/>
      <c r="BV676" s="58"/>
      <c r="BW676" s="58"/>
      <c r="BX676" s="58"/>
      <c r="BY676" s="58"/>
      <c r="BZ676" s="58"/>
      <c r="CA676" s="58"/>
      <c r="CB676" s="72" t="str">
        <f aca="false">IF(AC676&lt;&gt;"",VLOOKUP(AC676,Selects!$B:$E,4,0),"")</f>
        <v/>
      </c>
      <c r="CC676" s="58"/>
      <c r="CD676" s="58"/>
      <c r="CE676" s="58"/>
    </row>
    <row r="677" customFormat="false" ht="15.75" hidden="false" customHeight="true" outlineLevel="0" collapsed="false">
      <c r="A677" s="17"/>
      <c r="B677" s="58"/>
      <c r="C677" s="58"/>
      <c r="D677" s="59"/>
      <c r="E677" s="60" t="str">
        <f aca="false">IF(LEN(D677)=11,"PF",IF(LEN(D677)=14,"PJ",""))</f>
        <v/>
      </c>
      <c r="F677" s="59"/>
      <c r="G677" s="59"/>
      <c r="H677" s="61" t="str">
        <f aca="false">IF(G677&lt;&gt;"",VLOOKUP(G677,'Cnae  mcc  id'!$A:$M,9,0),"")</f>
        <v/>
      </c>
      <c r="I677" s="62"/>
      <c r="J677" s="63" t="str">
        <f aca="false">IF(I677&lt;&gt;"",VLOOKUP(I677,'Legal Nature'!$E$2:$G$84,3,0),"")</f>
        <v/>
      </c>
      <c r="K677" s="64"/>
      <c r="L677" s="65"/>
      <c r="M677" s="66"/>
      <c r="N677" s="66"/>
      <c r="O677" s="79"/>
      <c r="P677" s="26"/>
      <c r="Q677" s="58"/>
      <c r="R677" s="58"/>
      <c r="S677" s="80"/>
      <c r="T677" s="68" t="str">
        <f aca="false">IF(LEFT(S677,1)="9","Celular",IF(S677="","","Fixo"))</f>
        <v/>
      </c>
      <c r="U677" s="58" t="str">
        <f aca="false">IF( T677&lt;&gt;"",VLOOKUP(T677,Selects!$M$4:$N$1000,2,0),"")</f>
        <v/>
      </c>
      <c r="V677" s="26"/>
      <c r="W677" s="58"/>
      <c r="X677" s="58"/>
      <c r="Y677" s="58"/>
      <c r="Z677" s="58"/>
      <c r="AA677" s="69"/>
      <c r="AB677" s="58"/>
      <c r="AC677" s="58"/>
      <c r="AD677" s="70" t="str">
        <f aca="false">IF(AC677&lt;&gt;"",VLOOKUP(AC677,Selects!$B$4:$C$100,2,0),"")</f>
        <v/>
      </c>
      <c r="AE677" s="26"/>
      <c r="AF677" s="58"/>
      <c r="AG677" s="59"/>
      <c r="AH677" s="65"/>
      <c r="AI677" s="66"/>
      <c r="AJ677" s="66"/>
      <c r="AK677" s="58"/>
      <c r="AL677" s="58"/>
      <c r="AM677" s="68" t="str">
        <f aca="false">IF(LEFT(AL677,1)="9","Celular",IF(AL677="","","Fixo"))</f>
        <v/>
      </c>
      <c r="AN677" s="58" t="str">
        <f aca="false">IF( AM677&lt;&gt;"",VLOOKUP(AM677,Selects!$M$4:$N$1000,2,0),"")</f>
        <v/>
      </c>
      <c r="AO677" s="58"/>
      <c r="AP677" s="59"/>
      <c r="AQ677" s="65"/>
      <c r="AR677" s="58"/>
      <c r="AS677" s="58"/>
      <c r="AT677" s="26"/>
      <c r="AU677" s="58"/>
      <c r="AV677" s="58"/>
      <c r="AW677" s="58"/>
      <c r="AX677" s="58"/>
      <c r="AY677" s="71"/>
      <c r="AZ677" s="58"/>
      <c r="BA677" s="58"/>
      <c r="BB677" s="72" t="str">
        <f aca="false">IF(BA677&lt;&gt;"",VLOOKUP(BA677,Selects!$B$4:$C$100,2,0),"")</f>
        <v/>
      </c>
      <c r="BC677" s="26"/>
      <c r="BD677" s="26"/>
      <c r="BE677" s="73"/>
      <c r="BF677" s="74"/>
      <c r="BG677" s="75" t="str">
        <f aca="false">IF(LEN(BF677)=11,"PF",IF(LEN(BF677)=14,"PJ",""))</f>
        <v/>
      </c>
      <c r="BH677" s="66"/>
      <c r="BI677" s="58" t="str">
        <f aca="false">IF(BH677&lt;&gt;"",VLOOKUP(BH677,Selects!$G:$H,2,0),"")</f>
        <v/>
      </c>
      <c r="BJ677" s="58"/>
      <c r="BK677" s="58"/>
      <c r="BL677" s="59"/>
      <c r="BM677" s="58"/>
      <c r="BN677" s="58"/>
      <c r="BO677" s="58" t="str">
        <f aca="false">IF(BN677&lt;&gt;"",VLOOKUP(BN677,Selects!$J$4:$K$1000,2,0),"")</f>
        <v/>
      </c>
      <c r="BP677" s="76"/>
      <c r="BQ677" s="59"/>
      <c r="BR677" s="77"/>
      <c r="BS677" s="59"/>
      <c r="BT677" s="77"/>
      <c r="BU677" s="58"/>
      <c r="BV677" s="58"/>
      <c r="BW677" s="58"/>
      <c r="BX677" s="58"/>
      <c r="BY677" s="58"/>
      <c r="BZ677" s="58"/>
      <c r="CA677" s="58"/>
      <c r="CB677" s="72" t="str">
        <f aca="false">IF(AC677&lt;&gt;"",VLOOKUP(AC677,Selects!$B:$E,4,0),"")</f>
        <v/>
      </c>
      <c r="CC677" s="58"/>
      <c r="CD677" s="58"/>
      <c r="CE677" s="58"/>
    </row>
    <row r="678" customFormat="false" ht="15.75" hidden="false" customHeight="true" outlineLevel="0" collapsed="false">
      <c r="A678" s="17"/>
      <c r="B678" s="58"/>
      <c r="C678" s="58"/>
      <c r="D678" s="59"/>
      <c r="E678" s="60" t="str">
        <f aca="false">IF(LEN(D678)=11,"PF",IF(LEN(D678)=14,"PJ",""))</f>
        <v/>
      </c>
      <c r="F678" s="59"/>
      <c r="G678" s="59"/>
      <c r="H678" s="61" t="str">
        <f aca="false">IF(G678&lt;&gt;"",VLOOKUP(G678,'Cnae  mcc  id'!$A:$M,9,0),"")</f>
        <v/>
      </c>
      <c r="I678" s="62"/>
      <c r="J678" s="63" t="str">
        <f aca="false">IF(I678&lt;&gt;"",VLOOKUP(I678,'Legal Nature'!$E$2:$G$84,3,0),"")</f>
        <v/>
      </c>
      <c r="K678" s="64"/>
      <c r="L678" s="65"/>
      <c r="M678" s="66"/>
      <c r="N678" s="66"/>
      <c r="O678" s="79"/>
      <c r="P678" s="26"/>
      <c r="Q678" s="58"/>
      <c r="R678" s="58"/>
      <c r="S678" s="80"/>
      <c r="T678" s="68" t="str">
        <f aca="false">IF(LEFT(S678,1)="9","Celular",IF(S678="","","Fixo"))</f>
        <v/>
      </c>
      <c r="U678" s="58" t="str">
        <f aca="false">IF( T678&lt;&gt;"",VLOOKUP(T678,Selects!$M$4:$N$1000,2,0),"")</f>
        <v/>
      </c>
      <c r="V678" s="26"/>
      <c r="W678" s="58"/>
      <c r="X678" s="58"/>
      <c r="Y678" s="58"/>
      <c r="Z678" s="58"/>
      <c r="AA678" s="69"/>
      <c r="AB678" s="58"/>
      <c r="AC678" s="58"/>
      <c r="AD678" s="70" t="str">
        <f aca="false">IF(AC678&lt;&gt;"",VLOOKUP(AC678,Selects!$B$4:$C$100,2,0),"")</f>
        <v/>
      </c>
      <c r="AE678" s="26"/>
      <c r="AF678" s="58"/>
      <c r="AG678" s="59"/>
      <c r="AH678" s="65"/>
      <c r="AI678" s="66"/>
      <c r="AJ678" s="66"/>
      <c r="AK678" s="58"/>
      <c r="AL678" s="58"/>
      <c r="AM678" s="68" t="str">
        <f aca="false">IF(LEFT(AL678,1)="9","Celular",IF(AL678="","","Fixo"))</f>
        <v/>
      </c>
      <c r="AN678" s="58" t="str">
        <f aca="false">IF( AM678&lt;&gt;"",VLOOKUP(AM678,Selects!$M$4:$N$1000,2,0),"")</f>
        <v/>
      </c>
      <c r="AO678" s="58"/>
      <c r="AP678" s="59"/>
      <c r="AQ678" s="65"/>
      <c r="AR678" s="58"/>
      <c r="AS678" s="58"/>
      <c r="AT678" s="26"/>
      <c r="AU678" s="58"/>
      <c r="AV678" s="58"/>
      <c r="AW678" s="58"/>
      <c r="AX678" s="58"/>
      <c r="AY678" s="71"/>
      <c r="AZ678" s="58"/>
      <c r="BA678" s="58"/>
      <c r="BB678" s="72" t="str">
        <f aca="false">IF(BA678&lt;&gt;"",VLOOKUP(BA678,Selects!$B$4:$C$100,2,0),"")</f>
        <v/>
      </c>
      <c r="BC678" s="26"/>
      <c r="BD678" s="26"/>
      <c r="BE678" s="73"/>
      <c r="BF678" s="74"/>
      <c r="BG678" s="75" t="str">
        <f aca="false">IF(LEN(BF678)=11,"PF",IF(LEN(BF678)=14,"PJ",""))</f>
        <v/>
      </c>
      <c r="BH678" s="66"/>
      <c r="BI678" s="58" t="str">
        <f aca="false">IF(BH678&lt;&gt;"",VLOOKUP(BH678,Selects!$G:$H,2,0),"")</f>
        <v/>
      </c>
      <c r="BJ678" s="58"/>
      <c r="BK678" s="58"/>
      <c r="BL678" s="59"/>
      <c r="BM678" s="58"/>
      <c r="BN678" s="58"/>
      <c r="BO678" s="58" t="str">
        <f aca="false">IF(BN678&lt;&gt;"",VLOOKUP(BN678,Selects!$J$4:$K$1000,2,0),"")</f>
        <v/>
      </c>
      <c r="BP678" s="76"/>
      <c r="BQ678" s="59"/>
      <c r="BR678" s="77"/>
      <c r="BS678" s="59"/>
      <c r="BT678" s="77"/>
      <c r="BU678" s="58"/>
      <c r="BV678" s="58"/>
      <c r="BW678" s="58"/>
      <c r="BX678" s="58"/>
      <c r="BY678" s="58"/>
      <c r="BZ678" s="58"/>
      <c r="CA678" s="58"/>
      <c r="CB678" s="72" t="str">
        <f aca="false">IF(AC678&lt;&gt;"",VLOOKUP(AC678,Selects!$B:$E,4,0),"")</f>
        <v/>
      </c>
      <c r="CC678" s="58"/>
      <c r="CD678" s="58"/>
      <c r="CE678" s="58"/>
    </row>
    <row r="679" customFormat="false" ht="15.75" hidden="false" customHeight="true" outlineLevel="0" collapsed="false">
      <c r="A679" s="17"/>
      <c r="B679" s="58"/>
      <c r="C679" s="58"/>
      <c r="D679" s="59"/>
      <c r="E679" s="60" t="str">
        <f aca="false">IF(LEN(D679)=11,"PF",IF(LEN(D679)=14,"PJ",""))</f>
        <v/>
      </c>
      <c r="F679" s="59"/>
      <c r="G679" s="59"/>
      <c r="H679" s="61" t="str">
        <f aca="false">IF(G679&lt;&gt;"",VLOOKUP(G679,'Cnae  mcc  id'!$A:$M,9,0),"")</f>
        <v/>
      </c>
      <c r="I679" s="62"/>
      <c r="J679" s="63" t="str">
        <f aca="false">IF(I679&lt;&gt;"",VLOOKUP(I679,'Legal Nature'!$E$2:$G$84,3,0),"")</f>
        <v/>
      </c>
      <c r="K679" s="64"/>
      <c r="L679" s="65"/>
      <c r="M679" s="66"/>
      <c r="N679" s="66"/>
      <c r="O679" s="79"/>
      <c r="P679" s="26"/>
      <c r="Q679" s="58"/>
      <c r="R679" s="58"/>
      <c r="S679" s="80"/>
      <c r="T679" s="68" t="str">
        <f aca="false">IF(LEFT(S679,1)="9","Celular",IF(S679="","","Fixo"))</f>
        <v/>
      </c>
      <c r="U679" s="58" t="str">
        <f aca="false">IF( T679&lt;&gt;"",VLOOKUP(T679,Selects!$M$4:$N$1000,2,0),"")</f>
        <v/>
      </c>
      <c r="V679" s="26"/>
      <c r="W679" s="58"/>
      <c r="X679" s="58"/>
      <c r="Y679" s="58"/>
      <c r="Z679" s="58"/>
      <c r="AA679" s="69"/>
      <c r="AB679" s="58"/>
      <c r="AC679" s="58"/>
      <c r="AD679" s="70" t="str">
        <f aca="false">IF(AC679&lt;&gt;"",VLOOKUP(AC679,Selects!$B$4:$C$100,2,0),"")</f>
        <v/>
      </c>
      <c r="AE679" s="26"/>
      <c r="AF679" s="58"/>
      <c r="AG679" s="59"/>
      <c r="AH679" s="65"/>
      <c r="AI679" s="66"/>
      <c r="AJ679" s="66"/>
      <c r="AK679" s="58"/>
      <c r="AL679" s="58"/>
      <c r="AM679" s="68" t="str">
        <f aca="false">IF(LEFT(AL679,1)="9","Celular",IF(AL679="","","Fixo"))</f>
        <v/>
      </c>
      <c r="AN679" s="58" t="str">
        <f aca="false">IF( AM679&lt;&gt;"",VLOOKUP(AM679,Selects!$M$4:$N$1000,2,0),"")</f>
        <v/>
      </c>
      <c r="AO679" s="58"/>
      <c r="AP679" s="59"/>
      <c r="AQ679" s="65"/>
      <c r="AR679" s="58"/>
      <c r="AS679" s="58"/>
      <c r="AT679" s="26"/>
      <c r="AU679" s="58"/>
      <c r="AV679" s="58"/>
      <c r="AW679" s="58"/>
      <c r="AX679" s="58"/>
      <c r="AY679" s="71"/>
      <c r="AZ679" s="58"/>
      <c r="BA679" s="58"/>
      <c r="BB679" s="72" t="str">
        <f aca="false">IF(BA679&lt;&gt;"",VLOOKUP(BA679,Selects!$B$4:$C$100,2,0),"")</f>
        <v/>
      </c>
      <c r="BC679" s="26"/>
      <c r="BD679" s="26"/>
      <c r="BE679" s="73"/>
      <c r="BF679" s="74"/>
      <c r="BG679" s="75" t="str">
        <f aca="false">IF(LEN(BF679)=11,"PF",IF(LEN(BF679)=14,"PJ",""))</f>
        <v/>
      </c>
      <c r="BH679" s="66"/>
      <c r="BI679" s="58" t="str">
        <f aca="false">IF(BH679&lt;&gt;"",VLOOKUP(BH679,Selects!$G:$H,2,0),"")</f>
        <v/>
      </c>
      <c r="BJ679" s="58"/>
      <c r="BK679" s="58"/>
      <c r="BL679" s="59"/>
      <c r="BM679" s="58"/>
      <c r="BN679" s="58"/>
      <c r="BO679" s="58" t="str">
        <f aca="false">IF(BN679&lt;&gt;"",VLOOKUP(BN679,Selects!$J$4:$K$1000,2,0),"")</f>
        <v/>
      </c>
      <c r="BP679" s="76"/>
      <c r="BQ679" s="59"/>
      <c r="BR679" s="77"/>
      <c r="BS679" s="59"/>
      <c r="BT679" s="77"/>
      <c r="BU679" s="58"/>
      <c r="BV679" s="58"/>
      <c r="BW679" s="58"/>
      <c r="BX679" s="58"/>
      <c r="BY679" s="58"/>
      <c r="BZ679" s="58"/>
      <c r="CA679" s="58"/>
      <c r="CB679" s="72" t="str">
        <f aca="false">IF(AC679&lt;&gt;"",VLOOKUP(AC679,Selects!$B:$E,4,0),"")</f>
        <v/>
      </c>
      <c r="CC679" s="58"/>
      <c r="CD679" s="58"/>
      <c r="CE679" s="58"/>
    </row>
    <row r="680" customFormat="false" ht="15.75" hidden="false" customHeight="true" outlineLevel="0" collapsed="false">
      <c r="A680" s="17"/>
      <c r="B680" s="58"/>
      <c r="C680" s="58"/>
      <c r="D680" s="59"/>
      <c r="E680" s="60" t="str">
        <f aca="false">IF(LEN(D680)=11,"PF",IF(LEN(D680)=14,"PJ",""))</f>
        <v/>
      </c>
      <c r="F680" s="59"/>
      <c r="G680" s="59"/>
      <c r="H680" s="61" t="str">
        <f aca="false">IF(G680&lt;&gt;"",VLOOKUP(G680,'Cnae  mcc  id'!$A:$M,9,0),"")</f>
        <v/>
      </c>
      <c r="I680" s="62"/>
      <c r="J680" s="63" t="str">
        <f aca="false">IF(I680&lt;&gt;"",VLOOKUP(I680,'Legal Nature'!$E$2:$G$84,3,0),"")</f>
        <v/>
      </c>
      <c r="K680" s="64"/>
      <c r="L680" s="65"/>
      <c r="M680" s="66"/>
      <c r="N680" s="66"/>
      <c r="O680" s="79"/>
      <c r="P680" s="26"/>
      <c r="Q680" s="58"/>
      <c r="R680" s="58"/>
      <c r="S680" s="80"/>
      <c r="T680" s="68" t="str">
        <f aca="false">IF(LEFT(S680,1)="9","Celular",IF(S680="","","Fixo"))</f>
        <v/>
      </c>
      <c r="U680" s="58" t="str">
        <f aca="false">IF( T680&lt;&gt;"",VLOOKUP(T680,Selects!$M$4:$N$1000,2,0),"")</f>
        <v/>
      </c>
      <c r="V680" s="26"/>
      <c r="W680" s="58"/>
      <c r="X680" s="58"/>
      <c r="Y680" s="58"/>
      <c r="Z680" s="58"/>
      <c r="AA680" s="69"/>
      <c r="AB680" s="58"/>
      <c r="AC680" s="58"/>
      <c r="AD680" s="70" t="str">
        <f aca="false">IF(AC680&lt;&gt;"",VLOOKUP(AC680,Selects!$B$4:$C$100,2,0),"")</f>
        <v/>
      </c>
      <c r="AE680" s="26"/>
      <c r="AF680" s="58"/>
      <c r="AG680" s="59"/>
      <c r="AH680" s="65"/>
      <c r="AI680" s="66"/>
      <c r="AJ680" s="66"/>
      <c r="AK680" s="58"/>
      <c r="AL680" s="58"/>
      <c r="AM680" s="68" t="str">
        <f aca="false">IF(LEFT(AL680,1)="9","Celular",IF(AL680="","","Fixo"))</f>
        <v/>
      </c>
      <c r="AN680" s="58" t="str">
        <f aca="false">IF( AM680&lt;&gt;"",VLOOKUP(AM680,Selects!$M$4:$N$1000,2,0),"")</f>
        <v/>
      </c>
      <c r="AO680" s="58"/>
      <c r="AP680" s="59"/>
      <c r="AQ680" s="65"/>
      <c r="AR680" s="58"/>
      <c r="AS680" s="58"/>
      <c r="AT680" s="26"/>
      <c r="AU680" s="58"/>
      <c r="AV680" s="58"/>
      <c r="AW680" s="58"/>
      <c r="AX680" s="58"/>
      <c r="AY680" s="71"/>
      <c r="AZ680" s="58"/>
      <c r="BA680" s="58"/>
      <c r="BB680" s="72" t="str">
        <f aca="false">IF(BA680&lt;&gt;"",VLOOKUP(BA680,Selects!$B$4:$C$100,2,0),"")</f>
        <v/>
      </c>
      <c r="BC680" s="26"/>
      <c r="BD680" s="26"/>
      <c r="BE680" s="73"/>
      <c r="BF680" s="74"/>
      <c r="BG680" s="75" t="str">
        <f aca="false">IF(LEN(BF680)=11,"PF",IF(LEN(BF680)=14,"PJ",""))</f>
        <v/>
      </c>
      <c r="BH680" s="66"/>
      <c r="BI680" s="58" t="str">
        <f aca="false">IF(BH680&lt;&gt;"",VLOOKUP(BH680,Selects!$G:$H,2,0),"")</f>
        <v/>
      </c>
      <c r="BJ680" s="58"/>
      <c r="BK680" s="58"/>
      <c r="BL680" s="59"/>
      <c r="BM680" s="58"/>
      <c r="BN680" s="58"/>
      <c r="BO680" s="58" t="str">
        <f aca="false">IF(BN680&lt;&gt;"",VLOOKUP(BN680,Selects!$J$4:$K$1000,2,0),"")</f>
        <v/>
      </c>
      <c r="BP680" s="76"/>
      <c r="BQ680" s="59"/>
      <c r="BR680" s="77"/>
      <c r="BS680" s="59"/>
      <c r="BT680" s="77"/>
      <c r="BU680" s="58"/>
      <c r="BV680" s="58"/>
      <c r="BW680" s="58"/>
      <c r="BX680" s="58"/>
      <c r="BY680" s="58"/>
      <c r="BZ680" s="58"/>
      <c r="CA680" s="58"/>
      <c r="CB680" s="72" t="str">
        <f aca="false">IF(AC680&lt;&gt;"",VLOOKUP(AC680,Selects!$B:$E,4,0),"")</f>
        <v/>
      </c>
      <c r="CC680" s="58"/>
      <c r="CD680" s="58"/>
      <c r="CE680" s="58"/>
    </row>
    <row r="681" customFormat="false" ht="15.75" hidden="false" customHeight="true" outlineLevel="0" collapsed="false">
      <c r="A681" s="17"/>
      <c r="B681" s="58"/>
      <c r="C681" s="58"/>
      <c r="D681" s="59"/>
      <c r="E681" s="60" t="str">
        <f aca="false">IF(LEN(D681)=11,"PF",IF(LEN(D681)=14,"PJ",""))</f>
        <v/>
      </c>
      <c r="F681" s="59"/>
      <c r="G681" s="59"/>
      <c r="H681" s="61" t="str">
        <f aca="false">IF(G681&lt;&gt;"",VLOOKUP(G681,'Cnae  mcc  id'!$A:$M,9,0),"")</f>
        <v/>
      </c>
      <c r="I681" s="62"/>
      <c r="J681" s="63" t="str">
        <f aca="false">IF(I681&lt;&gt;"",VLOOKUP(I681,'Legal Nature'!$E$2:$G$84,3,0),"")</f>
        <v/>
      </c>
      <c r="K681" s="64"/>
      <c r="L681" s="65"/>
      <c r="M681" s="66"/>
      <c r="N681" s="66"/>
      <c r="O681" s="79"/>
      <c r="P681" s="26"/>
      <c r="Q681" s="58"/>
      <c r="R681" s="58"/>
      <c r="S681" s="80"/>
      <c r="T681" s="68" t="str">
        <f aca="false">IF(LEFT(S681,1)="9","Celular",IF(S681="","","Fixo"))</f>
        <v/>
      </c>
      <c r="U681" s="58" t="str">
        <f aca="false">IF( T681&lt;&gt;"",VLOOKUP(T681,Selects!$M$4:$N$1000,2,0),"")</f>
        <v/>
      </c>
      <c r="V681" s="26"/>
      <c r="W681" s="58"/>
      <c r="X681" s="58"/>
      <c r="Y681" s="58"/>
      <c r="Z681" s="58"/>
      <c r="AA681" s="69"/>
      <c r="AB681" s="58"/>
      <c r="AC681" s="58"/>
      <c r="AD681" s="70" t="str">
        <f aca="false">IF(AC681&lt;&gt;"",VLOOKUP(AC681,Selects!$B$4:$C$100,2,0),"")</f>
        <v/>
      </c>
      <c r="AE681" s="26"/>
      <c r="AF681" s="58"/>
      <c r="AG681" s="59"/>
      <c r="AH681" s="65"/>
      <c r="AI681" s="66"/>
      <c r="AJ681" s="66"/>
      <c r="AK681" s="58"/>
      <c r="AL681" s="58"/>
      <c r="AM681" s="68" t="str">
        <f aca="false">IF(LEFT(AL681,1)="9","Celular",IF(AL681="","","Fixo"))</f>
        <v/>
      </c>
      <c r="AN681" s="58" t="str">
        <f aca="false">IF( AM681&lt;&gt;"",VLOOKUP(AM681,Selects!$M$4:$N$1000,2,0),"")</f>
        <v/>
      </c>
      <c r="AO681" s="58"/>
      <c r="AP681" s="59"/>
      <c r="AQ681" s="65"/>
      <c r="AR681" s="58"/>
      <c r="AS681" s="58"/>
      <c r="AT681" s="26"/>
      <c r="AU681" s="58"/>
      <c r="AV681" s="58"/>
      <c r="AW681" s="58"/>
      <c r="AX681" s="58"/>
      <c r="AY681" s="71"/>
      <c r="AZ681" s="58"/>
      <c r="BA681" s="58"/>
      <c r="BB681" s="72" t="str">
        <f aca="false">IF(BA681&lt;&gt;"",VLOOKUP(BA681,Selects!$B$4:$C$100,2,0),"")</f>
        <v/>
      </c>
      <c r="BC681" s="26"/>
      <c r="BD681" s="26"/>
      <c r="BE681" s="73"/>
      <c r="BF681" s="74"/>
      <c r="BG681" s="75" t="str">
        <f aca="false">IF(LEN(BF681)=11,"PF",IF(LEN(BF681)=14,"PJ",""))</f>
        <v/>
      </c>
      <c r="BH681" s="66"/>
      <c r="BI681" s="58" t="str">
        <f aca="false">IF(BH681&lt;&gt;"",VLOOKUP(BH681,Selects!$G:$H,2,0),"")</f>
        <v/>
      </c>
      <c r="BJ681" s="58"/>
      <c r="BK681" s="58"/>
      <c r="BL681" s="59"/>
      <c r="BM681" s="58"/>
      <c r="BN681" s="58"/>
      <c r="BO681" s="58" t="str">
        <f aca="false">IF(BN681&lt;&gt;"",VLOOKUP(BN681,Selects!$J$4:$K$1000,2,0),"")</f>
        <v/>
      </c>
      <c r="BP681" s="76"/>
      <c r="BQ681" s="59"/>
      <c r="BR681" s="77"/>
      <c r="BS681" s="59"/>
      <c r="BT681" s="77"/>
      <c r="BU681" s="58"/>
      <c r="BV681" s="58"/>
      <c r="BW681" s="58"/>
      <c r="BX681" s="58"/>
      <c r="BY681" s="58"/>
      <c r="BZ681" s="58"/>
      <c r="CA681" s="58"/>
      <c r="CB681" s="72" t="str">
        <f aca="false">IF(AC681&lt;&gt;"",VLOOKUP(AC681,Selects!$B:$E,4,0),"")</f>
        <v/>
      </c>
      <c r="CC681" s="58"/>
      <c r="CD681" s="58"/>
      <c r="CE681" s="58"/>
    </row>
    <row r="682" customFormat="false" ht="15.75" hidden="false" customHeight="true" outlineLevel="0" collapsed="false">
      <c r="A682" s="17"/>
      <c r="B682" s="58"/>
      <c r="C682" s="58"/>
      <c r="D682" s="59"/>
      <c r="E682" s="60" t="str">
        <f aca="false">IF(LEN(D682)=11,"PF",IF(LEN(D682)=14,"PJ",""))</f>
        <v/>
      </c>
      <c r="F682" s="59"/>
      <c r="G682" s="59"/>
      <c r="H682" s="61" t="str">
        <f aca="false">IF(G682&lt;&gt;"",VLOOKUP(G682,'Cnae  mcc  id'!$A:$M,9,0),"")</f>
        <v/>
      </c>
      <c r="I682" s="62"/>
      <c r="J682" s="63" t="str">
        <f aca="false">IF(I682&lt;&gt;"",VLOOKUP(I682,'Legal Nature'!$E$2:$G$84,3,0),"")</f>
        <v/>
      </c>
      <c r="K682" s="64"/>
      <c r="L682" s="65"/>
      <c r="M682" s="66"/>
      <c r="N682" s="66"/>
      <c r="O682" s="79"/>
      <c r="P682" s="26"/>
      <c r="Q682" s="58"/>
      <c r="R682" s="58"/>
      <c r="S682" s="80"/>
      <c r="T682" s="68" t="str">
        <f aca="false">IF(LEFT(S682,1)="9","Celular",IF(S682="","","Fixo"))</f>
        <v/>
      </c>
      <c r="U682" s="58" t="str">
        <f aca="false">IF( T682&lt;&gt;"",VLOOKUP(T682,Selects!$M$4:$N$1000,2,0),"")</f>
        <v/>
      </c>
      <c r="V682" s="26"/>
      <c r="W682" s="58"/>
      <c r="X682" s="58"/>
      <c r="Y682" s="58"/>
      <c r="Z682" s="58"/>
      <c r="AA682" s="69"/>
      <c r="AB682" s="58"/>
      <c r="AC682" s="58"/>
      <c r="AD682" s="70" t="str">
        <f aca="false">IF(AC682&lt;&gt;"",VLOOKUP(AC682,Selects!$B$4:$C$100,2,0),"")</f>
        <v/>
      </c>
      <c r="AE682" s="26"/>
      <c r="AF682" s="58"/>
      <c r="AG682" s="59"/>
      <c r="AH682" s="65"/>
      <c r="AI682" s="66"/>
      <c r="AJ682" s="66"/>
      <c r="AK682" s="58"/>
      <c r="AL682" s="58"/>
      <c r="AM682" s="68" t="str">
        <f aca="false">IF(LEFT(AL682,1)="9","Celular",IF(AL682="","","Fixo"))</f>
        <v/>
      </c>
      <c r="AN682" s="58" t="str">
        <f aca="false">IF( AM682&lt;&gt;"",VLOOKUP(AM682,Selects!$M$4:$N$1000,2,0),"")</f>
        <v/>
      </c>
      <c r="AO682" s="58"/>
      <c r="AP682" s="59"/>
      <c r="AQ682" s="65"/>
      <c r="AR682" s="58"/>
      <c r="AS682" s="58"/>
      <c r="AT682" s="26"/>
      <c r="AU682" s="58"/>
      <c r="AV682" s="58"/>
      <c r="AW682" s="58"/>
      <c r="AX682" s="58"/>
      <c r="AY682" s="71"/>
      <c r="AZ682" s="58"/>
      <c r="BA682" s="58"/>
      <c r="BB682" s="72" t="str">
        <f aca="false">IF(BA682&lt;&gt;"",VLOOKUP(BA682,Selects!$B$4:$C$100,2,0),"")</f>
        <v/>
      </c>
      <c r="BC682" s="26"/>
      <c r="BD682" s="26"/>
      <c r="BE682" s="73"/>
      <c r="BF682" s="74"/>
      <c r="BG682" s="75" t="str">
        <f aca="false">IF(LEN(BF682)=11,"PF",IF(LEN(BF682)=14,"PJ",""))</f>
        <v/>
      </c>
      <c r="BH682" s="66"/>
      <c r="BI682" s="58" t="str">
        <f aca="false">IF(BH682&lt;&gt;"",VLOOKUP(BH682,Selects!$G:$H,2,0),"")</f>
        <v/>
      </c>
      <c r="BJ682" s="58"/>
      <c r="BK682" s="58"/>
      <c r="BL682" s="59"/>
      <c r="BM682" s="58"/>
      <c r="BN682" s="58"/>
      <c r="BO682" s="58" t="str">
        <f aca="false">IF(BN682&lt;&gt;"",VLOOKUP(BN682,Selects!$J$4:$K$1000,2,0),"")</f>
        <v/>
      </c>
      <c r="BP682" s="76"/>
      <c r="BQ682" s="59"/>
      <c r="BR682" s="77"/>
      <c r="BS682" s="59"/>
      <c r="BT682" s="77"/>
      <c r="BU682" s="58"/>
      <c r="BV682" s="58"/>
      <c r="BW682" s="58"/>
      <c r="BX682" s="58"/>
      <c r="BY682" s="58"/>
      <c r="BZ682" s="58"/>
      <c r="CA682" s="58"/>
      <c r="CB682" s="72" t="str">
        <f aca="false">IF(AC682&lt;&gt;"",VLOOKUP(AC682,Selects!$B:$E,4,0),"")</f>
        <v/>
      </c>
      <c r="CC682" s="58"/>
      <c r="CD682" s="58"/>
      <c r="CE682" s="58"/>
    </row>
    <row r="683" customFormat="false" ht="15.75" hidden="false" customHeight="true" outlineLevel="0" collapsed="false">
      <c r="A683" s="17"/>
      <c r="B683" s="58"/>
      <c r="C683" s="58"/>
      <c r="D683" s="59"/>
      <c r="E683" s="60" t="str">
        <f aca="false">IF(LEN(D683)=11,"PF",IF(LEN(D683)=14,"PJ",""))</f>
        <v/>
      </c>
      <c r="F683" s="59"/>
      <c r="G683" s="59"/>
      <c r="H683" s="61" t="str">
        <f aca="false">IF(G683&lt;&gt;"",VLOOKUP(G683,'Cnae  mcc  id'!$A:$M,9,0),"")</f>
        <v/>
      </c>
      <c r="I683" s="62"/>
      <c r="J683" s="63" t="str">
        <f aca="false">IF(I683&lt;&gt;"",VLOOKUP(I683,'Legal Nature'!$E$2:$G$84,3,0),"")</f>
        <v/>
      </c>
      <c r="K683" s="64"/>
      <c r="L683" s="65"/>
      <c r="M683" s="66"/>
      <c r="N683" s="66"/>
      <c r="O683" s="79"/>
      <c r="P683" s="26"/>
      <c r="Q683" s="58"/>
      <c r="R683" s="58"/>
      <c r="S683" s="80"/>
      <c r="T683" s="68" t="str">
        <f aca="false">IF(LEFT(S683,1)="9","Celular",IF(S683="","","Fixo"))</f>
        <v/>
      </c>
      <c r="U683" s="58" t="str">
        <f aca="false">IF( T683&lt;&gt;"",VLOOKUP(T683,Selects!$M$4:$N$1000,2,0),"")</f>
        <v/>
      </c>
      <c r="V683" s="26"/>
      <c r="W683" s="58"/>
      <c r="X683" s="58"/>
      <c r="Y683" s="58"/>
      <c r="Z683" s="58"/>
      <c r="AA683" s="69"/>
      <c r="AB683" s="58"/>
      <c r="AC683" s="58"/>
      <c r="AD683" s="70" t="str">
        <f aca="false">IF(AC683&lt;&gt;"",VLOOKUP(AC683,Selects!$B$4:$C$100,2,0),"")</f>
        <v/>
      </c>
      <c r="AE683" s="26"/>
      <c r="AF683" s="58"/>
      <c r="AG683" s="59"/>
      <c r="AH683" s="65"/>
      <c r="AI683" s="66"/>
      <c r="AJ683" s="66"/>
      <c r="AK683" s="58"/>
      <c r="AL683" s="58"/>
      <c r="AM683" s="68" t="str">
        <f aca="false">IF(LEFT(AL683,1)="9","Celular",IF(AL683="","","Fixo"))</f>
        <v/>
      </c>
      <c r="AN683" s="58" t="str">
        <f aca="false">IF( AM683&lt;&gt;"",VLOOKUP(AM683,Selects!$M$4:$N$1000,2,0),"")</f>
        <v/>
      </c>
      <c r="AO683" s="58"/>
      <c r="AP683" s="59"/>
      <c r="AQ683" s="65"/>
      <c r="AR683" s="58"/>
      <c r="AS683" s="58"/>
      <c r="AT683" s="26"/>
      <c r="AU683" s="58"/>
      <c r="AV683" s="58"/>
      <c r="AW683" s="58"/>
      <c r="AX683" s="58"/>
      <c r="AY683" s="71"/>
      <c r="AZ683" s="58"/>
      <c r="BA683" s="58"/>
      <c r="BB683" s="72" t="str">
        <f aca="false">IF(BA683&lt;&gt;"",VLOOKUP(BA683,Selects!$B$4:$C$100,2,0),"")</f>
        <v/>
      </c>
      <c r="BC683" s="26"/>
      <c r="BD683" s="26"/>
      <c r="BE683" s="73"/>
      <c r="BF683" s="74"/>
      <c r="BG683" s="75" t="str">
        <f aca="false">IF(LEN(BF683)=11,"PF",IF(LEN(BF683)=14,"PJ",""))</f>
        <v/>
      </c>
      <c r="BH683" s="66"/>
      <c r="BI683" s="58" t="str">
        <f aca="false">IF(BH683&lt;&gt;"",VLOOKUP(BH683,Selects!$G:$H,2,0),"")</f>
        <v/>
      </c>
      <c r="BJ683" s="58"/>
      <c r="BK683" s="58"/>
      <c r="BL683" s="59"/>
      <c r="BM683" s="58"/>
      <c r="BN683" s="58"/>
      <c r="BO683" s="58" t="str">
        <f aca="false">IF(BN683&lt;&gt;"",VLOOKUP(BN683,Selects!$J$4:$K$1000,2,0),"")</f>
        <v/>
      </c>
      <c r="BP683" s="76"/>
      <c r="BQ683" s="59"/>
      <c r="BR683" s="77"/>
      <c r="BS683" s="59"/>
      <c r="BT683" s="77"/>
      <c r="BU683" s="58"/>
      <c r="BV683" s="58"/>
      <c r="BW683" s="58"/>
      <c r="BX683" s="58"/>
      <c r="BY683" s="58"/>
      <c r="BZ683" s="58"/>
      <c r="CA683" s="58"/>
      <c r="CB683" s="72" t="str">
        <f aca="false">IF(AC683&lt;&gt;"",VLOOKUP(AC683,Selects!$B:$E,4,0),"")</f>
        <v/>
      </c>
      <c r="CC683" s="58"/>
      <c r="CD683" s="58"/>
      <c r="CE683" s="58"/>
    </row>
    <row r="684" customFormat="false" ht="15.75" hidden="false" customHeight="true" outlineLevel="0" collapsed="false">
      <c r="A684" s="17"/>
      <c r="B684" s="58"/>
      <c r="C684" s="58"/>
      <c r="D684" s="59"/>
      <c r="E684" s="60" t="str">
        <f aca="false">IF(LEN(D684)=11,"PF",IF(LEN(D684)=14,"PJ",""))</f>
        <v/>
      </c>
      <c r="F684" s="59"/>
      <c r="G684" s="59"/>
      <c r="H684" s="61" t="str">
        <f aca="false">IF(G684&lt;&gt;"",VLOOKUP(G684,'Cnae  mcc  id'!$A:$M,9,0),"")</f>
        <v/>
      </c>
      <c r="I684" s="62"/>
      <c r="J684" s="63" t="str">
        <f aca="false">IF(I684&lt;&gt;"",VLOOKUP(I684,'Legal Nature'!$E$2:$G$84,3,0),"")</f>
        <v/>
      </c>
      <c r="K684" s="64"/>
      <c r="L684" s="65"/>
      <c r="M684" s="66"/>
      <c r="N684" s="66"/>
      <c r="O684" s="79"/>
      <c r="P684" s="26"/>
      <c r="Q684" s="58"/>
      <c r="R684" s="58"/>
      <c r="S684" s="80"/>
      <c r="T684" s="68" t="str">
        <f aca="false">IF(LEFT(S684,1)="9","Celular",IF(S684="","","Fixo"))</f>
        <v/>
      </c>
      <c r="U684" s="58" t="str">
        <f aca="false">IF( T684&lt;&gt;"",VLOOKUP(T684,Selects!$M$4:$N$1000,2,0),"")</f>
        <v/>
      </c>
      <c r="V684" s="26"/>
      <c r="W684" s="58"/>
      <c r="X684" s="58"/>
      <c r="Y684" s="58"/>
      <c r="Z684" s="58"/>
      <c r="AA684" s="69"/>
      <c r="AB684" s="58"/>
      <c r="AC684" s="58"/>
      <c r="AD684" s="70" t="str">
        <f aca="false">IF(AC684&lt;&gt;"",VLOOKUP(AC684,Selects!$B$4:$C$100,2,0),"")</f>
        <v/>
      </c>
      <c r="AE684" s="26"/>
      <c r="AF684" s="58"/>
      <c r="AG684" s="59"/>
      <c r="AH684" s="65"/>
      <c r="AI684" s="66"/>
      <c r="AJ684" s="66"/>
      <c r="AK684" s="58"/>
      <c r="AL684" s="58"/>
      <c r="AM684" s="68" t="str">
        <f aca="false">IF(LEFT(AL684,1)="9","Celular",IF(AL684="","","Fixo"))</f>
        <v/>
      </c>
      <c r="AN684" s="58" t="str">
        <f aca="false">IF( AM684&lt;&gt;"",VLOOKUP(AM684,Selects!$M$4:$N$1000,2,0),"")</f>
        <v/>
      </c>
      <c r="AO684" s="58"/>
      <c r="AP684" s="59"/>
      <c r="AQ684" s="65"/>
      <c r="AR684" s="58"/>
      <c r="AS684" s="58"/>
      <c r="AT684" s="26"/>
      <c r="AU684" s="58"/>
      <c r="AV684" s="58"/>
      <c r="AW684" s="58"/>
      <c r="AX684" s="58"/>
      <c r="AY684" s="71"/>
      <c r="AZ684" s="58"/>
      <c r="BA684" s="58"/>
      <c r="BB684" s="72" t="str">
        <f aca="false">IF(BA684&lt;&gt;"",VLOOKUP(BA684,Selects!$B$4:$C$100,2,0),"")</f>
        <v/>
      </c>
      <c r="BC684" s="26"/>
      <c r="BD684" s="26"/>
      <c r="BE684" s="73"/>
      <c r="BF684" s="74"/>
      <c r="BG684" s="75" t="str">
        <f aca="false">IF(LEN(BF684)=11,"PF",IF(LEN(BF684)=14,"PJ",""))</f>
        <v/>
      </c>
      <c r="BH684" s="66"/>
      <c r="BI684" s="58" t="str">
        <f aca="false">IF(BH684&lt;&gt;"",VLOOKUP(BH684,Selects!$G:$H,2,0),"")</f>
        <v/>
      </c>
      <c r="BJ684" s="58"/>
      <c r="BK684" s="58"/>
      <c r="BL684" s="59"/>
      <c r="BM684" s="58"/>
      <c r="BN684" s="58"/>
      <c r="BO684" s="58" t="str">
        <f aca="false">IF(BN684&lt;&gt;"",VLOOKUP(BN684,Selects!$J$4:$K$1000,2,0),"")</f>
        <v/>
      </c>
      <c r="BP684" s="76"/>
      <c r="BQ684" s="59"/>
      <c r="BR684" s="77"/>
      <c r="BS684" s="59"/>
      <c r="BT684" s="77"/>
      <c r="BU684" s="58"/>
      <c r="BV684" s="58"/>
      <c r="BW684" s="58"/>
      <c r="BX684" s="58"/>
      <c r="BY684" s="58"/>
      <c r="BZ684" s="58"/>
      <c r="CA684" s="58"/>
      <c r="CB684" s="72" t="str">
        <f aca="false">IF(AC684&lt;&gt;"",VLOOKUP(AC684,Selects!$B:$E,4,0),"")</f>
        <v/>
      </c>
      <c r="CC684" s="58"/>
      <c r="CD684" s="58"/>
      <c r="CE684" s="58"/>
    </row>
    <row r="685" customFormat="false" ht="15.75" hidden="false" customHeight="true" outlineLevel="0" collapsed="false">
      <c r="A685" s="17"/>
      <c r="B685" s="58"/>
      <c r="C685" s="58"/>
      <c r="D685" s="59"/>
      <c r="E685" s="60" t="str">
        <f aca="false">IF(LEN(D685)=11,"PF",IF(LEN(D685)=14,"PJ",""))</f>
        <v/>
      </c>
      <c r="F685" s="59"/>
      <c r="G685" s="59"/>
      <c r="H685" s="61" t="str">
        <f aca="false">IF(G685&lt;&gt;"",VLOOKUP(G685,'Cnae  mcc  id'!$A:$M,9,0),"")</f>
        <v/>
      </c>
      <c r="I685" s="62"/>
      <c r="J685" s="63" t="str">
        <f aca="false">IF(I685&lt;&gt;"",VLOOKUP(I685,'Legal Nature'!$E$2:$G$84,3,0),"")</f>
        <v/>
      </c>
      <c r="K685" s="64"/>
      <c r="L685" s="65"/>
      <c r="M685" s="66"/>
      <c r="N685" s="66"/>
      <c r="O685" s="79"/>
      <c r="P685" s="26"/>
      <c r="Q685" s="58"/>
      <c r="R685" s="58"/>
      <c r="S685" s="80"/>
      <c r="T685" s="68" t="str">
        <f aca="false">IF(LEFT(S685,1)="9","Celular",IF(S685="","","Fixo"))</f>
        <v/>
      </c>
      <c r="U685" s="58" t="str">
        <f aca="false">IF( T685&lt;&gt;"",VLOOKUP(T685,Selects!$M$4:$N$1000,2,0),"")</f>
        <v/>
      </c>
      <c r="V685" s="26"/>
      <c r="W685" s="58"/>
      <c r="X685" s="58"/>
      <c r="Y685" s="58"/>
      <c r="Z685" s="58"/>
      <c r="AA685" s="69"/>
      <c r="AB685" s="58"/>
      <c r="AC685" s="58"/>
      <c r="AD685" s="70" t="str">
        <f aca="false">IF(AC685&lt;&gt;"",VLOOKUP(AC685,Selects!$B$4:$C$100,2,0),"")</f>
        <v/>
      </c>
      <c r="AE685" s="26"/>
      <c r="AF685" s="58"/>
      <c r="AG685" s="59"/>
      <c r="AH685" s="65"/>
      <c r="AI685" s="66"/>
      <c r="AJ685" s="66"/>
      <c r="AK685" s="58"/>
      <c r="AL685" s="58"/>
      <c r="AM685" s="68" t="str">
        <f aca="false">IF(LEFT(AL685,1)="9","Celular",IF(AL685="","","Fixo"))</f>
        <v/>
      </c>
      <c r="AN685" s="58" t="str">
        <f aca="false">IF( AM685&lt;&gt;"",VLOOKUP(AM685,Selects!$M$4:$N$1000,2,0),"")</f>
        <v/>
      </c>
      <c r="AO685" s="58"/>
      <c r="AP685" s="59"/>
      <c r="AQ685" s="65"/>
      <c r="AR685" s="58"/>
      <c r="AS685" s="58"/>
      <c r="AT685" s="26"/>
      <c r="AU685" s="58"/>
      <c r="AV685" s="58"/>
      <c r="AW685" s="58"/>
      <c r="AX685" s="58"/>
      <c r="AY685" s="71"/>
      <c r="AZ685" s="58"/>
      <c r="BA685" s="58"/>
      <c r="BB685" s="72" t="str">
        <f aca="false">IF(BA685&lt;&gt;"",VLOOKUP(BA685,Selects!$B$4:$C$100,2,0),"")</f>
        <v/>
      </c>
      <c r="BC685" s="26"/>
      <c r="BD685" s="26"/>
      <c r="BE685" s="73"/>
      <c r="BF685" s="74"/>
      <c r="BG685" s="75" t="str">
        <f aca="false">IF(LEN(BF685)=11,"PF",IF(LEN(BF685)=14,"PJ",""))</f>
        <v/>
      </c>
      <c r="BH685" s="66"/>
      <c r="BI685" s="58" t="str">
        <f aca="false">IF(BH685&lt;&gt;"",VLOOKUP(BH685,Selects!$G:$H,2,0),"")</f>
        <v/>
      </c>
      <c r="BJ685" s="58"/>
      <c r="BK685" s="58"/>
      <c r="BL685" s="59"/>
      <c r="BM685" s="58"/>
      <c r="BN685" s="58"/>
      <c r="BO685" s="58" t="str">
        <f aca="false">IF(BN685&lt;&gt;"",VLOOKUP(BN685,Selects!$J$4:$K$1000,2,0),"")</f>
        <v/>
      </c>
      <c r="BP685" s="76"/>
      <c r="BQ685" s="59"/>
      <c r="BR685" s="77"/>
      <c r="BS685" s="59"/>
      <c r="BT685" s="77"/>
      <c r="BU685" s="58"/>
      <c r="BV685" s="58"/>
      <c r="BW685" s="58"/>
      <c r="BX685" s="58"/>
      <c r="BY685" s="58"/>
      <c r="BZ685" s="58"/>
      <c r="CA685" s="58"/>
      <c r="CB685" s="72" t="str">
        <f aca="false">IF(AC685&lt;&gt;"",VLOOKUP(AC685,Selects!$B:$E,4,0),"")</f>
        <v/>
      </c>
      <c r="CC685" s="58"/>
      <c r="CD685" s="58"/>
      <c r="CE685" s="58"/>
    </row>
    <row r="686" customFormat="false" ht="15.75" hidden="false" customHeight="true" outlineLevel="0" collapsed="false">
      <c r="A686" s="17"/>
      <c r="B686" s="58"/>
      <c r="C686" s="58"/>
      <c r="D686" s="59"/>
      <c r="E686" s="60" t="str">
        <f aca="false">IF(LEN(D686)=11,"PF",IF(LEN(D686)=14,"PJ",""))</f>
        <v/>
      </c>
      <c r="F686" s="59"/>
      <c r="G686" s="59"/>
      <c r="H686" s="61" t="str">
        <f aca="false">IF(G686&lt;&gt;"",VLOOKUP(G686,'Cnae  mcc  id'!$A:$M,9,0),"")</f>
        <v/>
      </c>
      <c r="I686" s="62"/>
      <c r="J686" s="63" t="str">
        <f aca="false">IF(I686&lt;&gt;"",VLOOKUP(I686,'Legal Nature'!$E$2:$G$84,3,0),"")</f>
        <v/>
      </c>
      <c r="K686" s="64"/>
      <c r="L686" s="65"/>
      <c r="M686" s="66"/>
      <c r="N686" s="66"/>
      <c r="O686" s="79"/>
      <c r="P686" s="26"/>
      <c r="Q686" s="58"/>
      <c r="R686" s="58"/>
      <c r="S686" s="80"/>
      <c r="T686" s="68" t="str">
        <f aca="false">IF(LEFT(S686,1)="9","Celular",IF(S686="","","Fixo"))</f>
        <v/>
      </c>
      <c r="U686" s="58" t="str">
        <f aca="false">IF( T686&lt;&gt;"",VLOOKUP(T686,Selects!$M$4:$N$1000,2,0),"")</f>
        <v/>
      </c>
      <c r="V686" s="26"/>
      <c r="W686" s="58"/>
      <c r="X686" s="58"/>
      <c r="Y686" s="58"/>
      <c r="Z686" s="58"/>
      <c r="AA686" s="69"/>
      <c r="AB686" s="58"/>
      <c r="AC686" s="58"/>
      <c r="AD686" s="70" t="str">
        <f aca="false">IF(AC686&lt;&gt;"",VLOOKUP(AC686,Selects!$B$4:$C$100,2,0),"")</f>
        <v/>
      </c>
      <c r="AE686" s="26"/>
      <c r="AF686" s="58"/>
      <c r="AG686" s="59"/>
      <c r="AH686" s="65"/>
      <c r="AI686" s="66"/>
      <c r="AJ686" s="66"/>
      <c r="AK686" s="58"/>
      <c r="AL686" s="58"/>
      <c r="AM686" s="68" t="str">
        <f aca="false">IF(LEFT(AL686,1)="9","Celular",IF(AL686="","","Fixo"))</f>
        <v/>
      </c>
      <c r="AN686" s="58" t="str">
        <f aca="false">IF( AM686&lt;&gt;"",VLOOKUP(AM686,Selects!$M$4:$N$1000,2,0),"")</f>
        <v/>
      </c>
      <c r="AO686" s="58"/>
      <c r="AP686" s="59"/>
      <c r="AQ686" s="65"/>
      <c r="AR686" s="58"/>
      <c r="AS686" s="58"/>
      <c r="AT686" s="26"/>
      <c r="AU686" s="58"/>
      <c r="AV686" s="58"/>
      <c r="AW686" s="58"/>
      <c r="AX686" s="58"/>
      <c r="AY686" s="71"/>
      <c r="AZ686" s="58"/>
      <c r="BA686" s="58"/>
      <c r="BB686" s="72" t="str">
        <f aca="false">IF(BA686&lt;&gt;"",VLOOKUP(BA686,Selects!$B$4:$C$100,2,0),"")</f>
        <v/>
      </c>
      <c r="BC686" s="26"/>
      <c r="BD686" s="26"/>
      <c r="BE686" s="73"/>
      <c r="BF686" s="74"/>
      <c r="BG686" s="75" t="str">
        <f aca="false">IF(LEN(BF686)=11,"PF",IF(LEN(BF686)=14,"PJ",""))</f>
        <v/>
      </c>
      <c r="BH686" s="66"/>
      <c r="BI686" s="58" t="str">
        <f aca="false">IF(BH686&lt;&gt;"",VLOOKUP(BH686,Selects!$G:$H,2,0),"")</f>
        <v/>
      </c>
      <c r="BJ686" s="58"/>
      <c r="BK686" s="58"/>
      <c r="BL686" s="59"/>
      <c r="BM686" s="58"/>
      <c r="BN686" s="58"/>
      <c r="BO686" s="58" t="str">
        <f aca="false">IF(BN686&lt;&gt;"",VLOOKUP(BN686,Selects!$J$4:$K$1000,2,0),"")</f>
        <v/>
      </c>
      <c r="BP686" s="76"/>
      <c r="BQ686" s="59"/>
      <c r="BR686" s="77"/>
      <c r="BS686" s="59"/>
      <c r="BT686" s="77"/>
      <c r="BU686" s="58"/>
      <c r="BV686" s="58"/>
      <c r="BW686" s="58"/>
      <c r="BX686" s="58"/>
      <c r="BY686" s="58"/>
      <c r="BZ686" s="58"/>
      <c r="CA686" s="58"/>
      <c r="CB686" s="72" t="str">
        <f aca="false">IF(AC686&lt;&gt;"",VLOOKUP(AC686,Selects!$B:$E,4,0),"")</f>
        <v/>
      </c>
      <c r="CC686" s="58"/>
      <c r="CD686" s="58"/>
      <c r="CE686" s="58"/>
    </row>
    <row r="687" customFormat="false" ht="15.75" hidden="false" customHeight="true" outlineLevel="0" collapsed="false">
      <c r="A687" s="17"/>
      <c r="B687" s="58"/>
      <c r="C687" s="58"/>
      <c r="D687" s="59"/>
      <c r="E687" s="60" t="str">
        <f aca="false">IF(LEN(D687)=11,"PF",IF(LEN(D687)=14,"PJ",""))</f>
        <v/>
      </c>
      <c r="F687" s="59"/>
      <c r="G687" s="59"/>
      <c r="H687" s="61" t="str">
        <f aca="false">IF(G687&lt;&gt;"",VLOOKUP(G687,'Cnae  mcc  id'!$A:$M,9,0),"")</f>
        <v/>
      </c>
      <c r="I687" s="62"/>
      <c r="J687" s="63" t="str">
        <f aca="false">IF(I687&lt;&gt;"",VLOOKUP(I687,'Legal Nature'!$E$2:$G$84,3,0),"")</f>
        <v/>
      </c>
      <c r="K687" s="64"/>
      <c r="L687" s="65"/>
      <c r="M687" s="66"/>
      <c r="N687" s="66"/>
      <c r="O687" s="79"/>
      <c r="P687" s="26"/>
      <c r="Q687" s="58"/>
      <c r="R687" s="58"/>
      <c r="S687" s="80"/>
      <c r="T687" s="68" t="str">
        <f aca="false">IF(LEFT(S687,1)="9","Celular",IF(S687="","","Fixo"))</f>
        <v/>
      </c>
      <c r="U687" s="58" t="str">
        <f aca="false">IF( T687&lt;&gt;"",VLOOKUP(T687,Selects!$M$4:$N$1000,2,0),"")</f>
        <v/>
      </c>
      <c r="V687" s="26"/>
      <c r="W687" s="58"/>
      <c r="X687" s="58"/>
      <c r="Y687" s="58"/>
      <c r="Z687" s="58"/>
      <c r="AA687" s="69"/>
      <c r="AB687" s="58"/>
      <c r="AC687" s="58"/>
      <c r="AD687" s="70" t="str">
        <f aca="false">IF(AC687&lt;&gt;"",VLOOKUP(AC687,Selects!$B$4:$C$100,2,0),"")</f>
        <v/>
      </c>
      <c r="AE687" s="26"/>
      <c r="AF687" s="58"/>
      <c r="AG687" s="59"/>
      <c r="AH687" s="65"/>
      <c r="AI687" s="66"/>
      <c r="AJ687" s="66"/>
      <c r="AK687" s="58"/>
      <c r="AL687" s="58"/>
      <c r="AM687" s="68" t="str">
        <f aca="false">IF(LEFT(AL687,1)="9","Celular",IF(AL687="","","Fixo"))</f>
        <v/>
      </c>
      <c r="AN687" s="58" t="str">
        <f aca="false">IF( AM687&lt;&gt;"",VLOOKUP(AM687,Selects!$M$4:$N$1000,2,0),"")</f>
        <v/>
      </c>
      <c r="AO687" s="58"/>
      <c r="AP687" s="59"/>
      <c r="AQ687" s="65"/>
      <c r="AR687" s="58"/>
      <c r="AS687" s="58"/>
      <c r="AT687" s="26"/>
      <c r="AU687" s="58"/>
      <c r="AV687" s="58"/>
      <c r="AW687" s="58"/>
      <c r="AX687" s="58"/>
      <c r="AY687" s="71"/>
      <c r="AZ687" s="58"/>
      <c r="BA687" s="58"/>
      <c r="BB687" s="72" t="str">
        <f aca="false">IF(BA687&lt;&gt;"",VLOOKUP(BA687,Selects!$B$4:$C$100,2,0),"")</f>
        <v/>
      </c>
      <c r="BC687" s="26"/>
      <c r="BD687" s="26"/>
      <c r="BE687" s="73"/>
      <c r="BF687" s="74"/>
      <c r="BG687" s="75" t="str">
        <f aca="false">IF(LEN(BF687)=11,"PF",IF(LEN(BF687)=14,"PJ",""))</f>
        <v/>
      </c>
      <c r="BH687" s="66"/>
      <c r="BI687" s="58" t="str">
        <f aca="false">IF(BH687&lt;&gt;"",VLOOKUP(BH687,Selects!$G:$H,2,0),"")</f>
        <v/>
      </c>
      <c r="BJ687" s="58"/>
      <c r="BK687" s="58"/>
      <c r="BL687" s="59"/>
      <c r="BM687" s="58"/>
      <c r="BN687" s="58"/>
      <c r="BO687" s="58" t="str">
        <f aca="false">IF(BN687&lt;&gt;"",VLOOKUP(BN687,Selects!$J$4:$K$1000,2,0),"")</f>
        <v/>
      </c>
      <c r="BP687" s="76"/>
      <c r="BQ687" s="59"/>
      <c r="BR687" s="77"/>
      <c r="BS687" s="59"/>
      <c r="BT687" s="77"/>
      <c r="BU687" s="58"/>
      <c r="BV687" s="58"/>
      <c r="BW687" s="58"/>
      <c r="BX687" s="58"/>
      <c r="BY687" s="58"/>
      <c r="BZ687" s="58"/>
      <c r="CA687" s="58"/>
      <c r="CB687" s="72" t="str">
        <f aca="false">IF(AC687&lt;&gt;"",VLOOKUP(AC687,Selects!$B:$E,4,0),"")</f>
        <v/>
      </c>
      <c r="CC687" s="58"/>
      <c r="CD687" s="58"/>
      <c r="CE687" s="58"/>
    </row>
    <row r="688" customFormat="false" ht="15.75" hidden="false" customHeight="true" outlineLevel="0" collapsed="false">
      <c r="A688" s="17"/>
      <c r="B688" s="58"/>
      <c r="C688" s="58"/>
      <c r="D688" s="59"/>
      <c r="E688" s="60" t="str">
        <f aca="false">IF(LEN(D688)=11,"PF",IF(LEN(D688)=14,"PJ",""))</f>
        <v/>
      </c>
      <c r="F688" s="59"/>
      <c r="G688" s="59"/>
      <c r="H688" s="61" t="str">
        <f aca="false">IF(G688&lt;&gt;"",VLOOKUP(G688,'Cnae  mcc  id'!$A:$M,9,0),"")</f>
        <v/>
      </c>
      <c r="I688" s="62"/>
      <c r="J688" s="63" t="str">
        <f aca="false">IF(I688&lt;&gt;"",VLOOKUP(I688,'Legal Nature'!$E$2:$G$84,3,0),"")</f>
        <v/>
      </c>
      <c r="K688" s="64"/>
      <c r="L688" s="65"/>
      <c r="M688" s="66"/>
      <c r="N688" s="66"/>
      <c r="O688" s="79"/>
      <c r="P688" s="26"/>
      <c r="Q688" s="58"/>
      <c r="R688" s="58"/>
      <c r="S688" s="80"/>
      <c r="T688" s="68" t="str">
        <f aca="false">IF(LEFT(S688,1)="9","Celular",IF(S688="","","Fixo"))</f>
        <v/>
      </c>
      <c r="U688" s="58" t="str">
        <f aca="false">IF( T688&lt;&gt;"",VLOOKUP(T688,Selects!$M$4:$N$1000,2,0),"")</f>
        <v/>
      </c>
      <c r="V688" s="26"/>
      <c r="W688" s="58"/>
      <c r="X688" s="58"/>
      <c r="Y688" s="58"/>
      <c r="Z688" s="58"/>
      <c r="AA688" s="69"/>
      <c r="AB688" s="58"/>
      <c r="AC688" s="58"/>
      <c r="AD688" s="70" t="str">
        <f aca="false">IF(AC688&lt;&gt;"",VLOOKUP(AC688,Selects!$B$4:$C$100,2,0),"")</f>
        <v/>
      </c>
      <c r="AE688" s="26"/>
      <c r="AF688" s="58"/>
      <c r="AG688" s="59"/>
      <c r="AH688" s="65"/>
      <c r="AI688" s="66"/>
      <c r="AJ688" s="66"/>
      <c r="AK688" s="58"/>
      <c r="AL688" s="58"/>
      <c r="AM688" s="68" t="str">
        <f aca="false">IF(LEFT(AL688,1)="9","Celular",IF(AL688="","","Fixo"))</f>
        <v/>
      </c>
      <c r="AN688" s="58" t="str">
        <f aca="false">IF( AM688&lt;&gt;"",VLOOKUP(AM688,Selects!$M$4:$N$1000,2,0),"")</f>
        <v/>
      </c>
      <c r="AO688" s="58"/>
      <c r="AP688" s="59"/>
      <c r="AQ688" s="65"/>
      <c r="AR688" s="58"/>
      <c r="AS688" s="58"/>
      <c r="AT688" s="26"/>
      <c r="AU688" s="58"/>
      <c r="AV688" s="58"/>
      <c r="AW688" s="58"/>
      <c r="AX688" s="58"/>
      <c r="AY688" s="71"/>
      <c r="AZ688" s="58"/>
      <c r="BA688" s="58"/>
      <c r="BB688" s="72" t="str">
        <f aca="false">IF(BA688&lt;&gt;"",VLOOKUP(BA688,Selects!$B$4:$C$100,2,0),"")</f>
        <v/>
      </c>
      <c r="BC688" s="26"/>
      <c r="BD688" s="26"/>
      <c r="BE688" s="73"/>
      <c r="BF688" s="74"/>
      <c r="BG688" s="75" t="str">
        <f aca="false">IF(LEN(BF688)=11,"PF",IF(LEN(BF688)=14,"PJ",""))</f>
        <v/>
      </c>
      <c r="BH688" s="66"/>
      <c r="BI688" s="58" t="str">
        <f aca="false">IF(BH688&lt;&gt;"",VLOOKUP(BH688,Selects!$G:$H,2,0),"")</f>
        <v/>
      </c>
      <c r="BJ688" s="58"/>
      <c r="BK688" s="58"/>
      <c r="BL688" s="59"/>
      <c r="BM688" s="58"/>
      <c r="BN688" s="58"/>
      <c r="BO688" s="58" t="str">
        <f aca="false">IF(BN688&lt;&gt;"",VLOOKUP(BN688,Selects!$J$4:$K$1000,2,0),"")</f>
        <v/>
      </c>
      <c r="BP688" s="76"/>
      <c r="BQ688" s="59"/>
      <c r="BR688" s="77"/>
      <c r="BS688" s="59"/>
      <c r="BT688" s="77"/>
      <c r="BU688" s="58"/>
      <c r="BV688" s="58"/>
      <c r="BW688" s="58"/>
      <c r="BX688" s="58"/>
      <c r="BY688" s="58"/>
      <c r="BZ688" s="58"/>
      <c r="CA688" s="58"/>
      <c r="CB688" s="72" t="str">
        <f aca="false">IF(AC688&lt;&gt;"",VLOOKUP(AC688,Selects!$B:$E,4,0),"")</f>
        <v/>
      </c>
      <c r="CC688" s="58"/>
      <c r="CD688" s="58"/>
      <c r="CE688" s="58"/>
    </row>
    <row r="689" customFormat="false" ht="15.75" hidden="false" customHeight="true" outlineLevel="0" collapsed="false">
      <c r="A689" s="17"/>
      <c r="B689" s="58"/>
      <c r="C689" s="58"/>
      <c r="D689" s="59"/>
      <c r="E689" s="60" t="str">
        <f aca="false">IF(LEN(D689)=11,"PF",IF(LEN(D689)=14,"PJ",""))</f>
        <v/>
      </c>
      <c r="F689" s="59"/>
      <c r="G689" s="59"/>
      <c r="H689" s="61" t="str">
        <f aca="false">IF(G689&lt;&gt;"",VLOOKUP(G689,'Cnae  mcc  id'!$A:$M,9,0),"")</f>
        <v/>
      </c>
      <c r="I689" s="62"/>
      <c r="J689" s="63" t="str">
        <f aca="false">IF(I689&lt;&gt;"",VLOOKUP(I689,'Legal Nature'!$E$2:$G$84,3,0),"")</f>
        <v/>
      </c>
      <c r="K689" s="64"/>
      <c r="L689" s="65"/>
      <c r="M689" s="66"/>
      <c r="N689" s="66"/>
      <c r="O689" s="79"/>
      <c r="P689" s="26"/>
      <c r="Q689" s="58"/>
      <c r="R689" s="58"/>
      <c r="S689" s="80"/>
      <c r="T689" s="68" t="str">
        <f aca="false">IF(LEFT(S689,1)="9","Celular",IF(S689="","","Fixo"))</f>
        <v/>
      </c>
      <c r="U689" s="58" t="str">
        <f aca="false">IF( T689&lt;&gt;"",VLOOKUP(T689,Selects!$M$4:$N$1000,2,0),"")</f>
        <v/>
      </c>
      <c r="V689" s="26"/>
      <c r="W689" s="58"/>
      <c r="X689" s="58"/>
      <c r="Y689" s="58"/>
      <c r="Z689" s="58"/>
      <c r="AA689" s="69"/>
      <c r="AB689" s="58"/>
      <c r="AC689" s="58"/>
      <c r="AD689" s="70" t="str">
        <f aca="false">IF(AC689&lt;&gt;"",VLOOKUP(AC689,Selects!$B$4:$C$100,2,0),"")</f>
        <v/>
      </c>
      <c r="AE689" s="26"/>
      <c r="AF689" s="58"/>
      <c r="AG689" s="59"/>
      <c r="AH689" s="65"/>
      <c r="AI689" s="66"/>
      <c r="AJ689" s="66"/>
      <c r="AK689" s="58"/>
      <c r="AL689" s="58"/>
      <c r="AM689" s="68" t="str">
        <f aca="false">IF(LEFT(AL689,1)="9","Celular",IF(AL689="","","Fixo"))</f>
        <v/>
      </c>
      <c r="AN689" s="58" t="str">
        <f aca="false">IF( AM689&lt;&gt;"",VLOOKUP(AM689,Selects!$M$4:$N$1000,2,0),"")</f>
        <v/>
      </c>
      <c r="AO689" s="58"/>
      <c r="AP689" s="59"/>
      <c r="AQ689" s="65"/>
      <c r="AR689" s="58"/>
      <c r="AS689" s="58"/>
      <c r="AT689" s="26"/>
      <c r="AU689" s="58"/>
      <c r="AV689" s="58"/>
      <c r="AW689" s="58"/>
      <c r="AX689" s="58"/>
      <c r="AY689" s="71"/>
      <c r="AZ689" s="58"/>
      <c r="BA689" s="58"/>
      <c r="BB689" s="72" t="str">
        <f aca="false">IF(BA689&lt;&gt;"",VLOOKUP(BA689,Selects!$B$4:$C$100,2,0),"")</f>
        <v/>
      </c>
      <c r="BC689" s="26"/>
      <c r="BD689" s="26"/>
      <c r="BE689" s="73"/>
      <c r="BF689" s="74"/>
      <c r="BG689" s="75" t="str">
        <f aca="false">IF(LEN(BF689)=11,"PF",IF(LEN(BF689)=14,"PJ",""))</f>
        <v/>
      </c>
      <c r="BH689" s="66"/>
      <c r="BI689" s="58" t="str">
        <f aca="false">IF(BH689&lt;&gt;"",VLOOKUP(BH689,Selects!$G:$H,2,0),"")</f>
        <v/>
      </c>
      <c r="BJ689" s="58"/>
      <c r="BK689" s="58"/>
      <c r="BL689" s="59"/>
      <c r="BM689" s="58"/>
      <c r="BN689" s="58"/>
      <c r="BO689" s="58" t="str">
        <f aca="false">IF(BN689&lt;&gt;"",VLOOKUP(BN689,Selects!$J$4:$K$1000,2,0),"")</f>
        <v/>
      </c>
      <c r="BP689" s="76"/>
      <c r="BQ689" s="59"/>
      <c r="BR689" s="77"/>
      <c r="BS689" s="59"/>
      <c r="BT689" s="77"/>
      <c r="BU689" s="58"/>
      <c r="BV689" s="58"/>
      <c r="BW689" s="58"/>
      <c r="BX689" s="58"/>
      <c r="BY689" s="58"/>
      <c r="BZ689" s="58"/>
      <c r="CA689" s="58"/>
      <c r="CB689" s="72" t="str">
        <f aca="false">IF(AC689&lt;&gt;"",VLOOKUP(AC689,Selects!$B:$E,4,0),"")</f>
        <v/>
      </c>
      <c r="CC689" s="58"/>
      <c r="CD689" s="58"/>
      <c r="CE689" s="58"/>
    </row>
    <row r="690" customFormat="false" ht="15.75" hidden="false" customHeight="true" outlineLevel="0" collapsed="false">
      <c r="A690" s="17"/>
      <c r="B690" s="58"/>
      <c r="C690" s="58"/>
      <c r="D690" s="59"/>
      <c r="E690" s="60" t="str">
        <f aca="false">IF(LEN(D690)=11,"PF",IF(LEN(D690)=14,"PJ",""))</f>
        <v/>
      </c>
      <c r="F690" s="59"/>
      <c r="G690" s="59"/>
      <c r="H690" s="61" t="str">
        <f aca="false">IF(G690&lt;&gt;"",VLOOKUP(G690,'Cnae  mcc  id'!$A:$M,9,0),"")</f>
        <v/>
      </c>
      <c r="I690" s="62"/>
      <c r="J690" s="63" t="str">
        <f aca="false">IF(I690&lt;&gt;"",VLOOKUP(I690,'Legal Nature'!$E$2:$G$84,3,0),"")</f>
        <v/>
      </c>
      <c r="K690" s="64"/>
      <c r="L690" s="65"/>
      <c r="M690" s="66"/>
      <c r="N690" s="66"/>
      <c r="O690" s="79"/>
      <c r="P690" s="26"/>
      <c r="Q690" s="58"/>
      <c r="R690" s="58"/>
      <c r="S690" s="80"/>
      <c r="T690" s="68" t="str">
        <f aca="false">IF(LEFT(S690,1)="9","Celular",IF(S690="","","Fixo"))</f>
        <v/>
      </c>
      <c r="U690" s="58" t="str">
        <f aca="false">IF( T690&lt;&gt;"",VLOOKUP(T690,Selects!$M$4:$N$1000,2,0),"")</f>
        <v/>
      </c>
      <c r="V690" s="26"/>
      <c r="W690" s="58"/>
      <c r="X690" s="58"/>
      <c r="Y690" s="58"/>
      <c r="Z690" s="58"/>
      <c r="AA690" s="69"/>
      <c r="AB690" s="58"/>
      <c r="AC690" s="58"/>
      <c r="AD690" s="70" t="str">
        <f aca="false">IF(AC690&lt;&gt;"",VLOOKUP(AC690,Selects!$B$4:$C$100,2,0),"")</f>
        <v/>
      </c>
      <c r="AE690" s="26"/>
      <c r="AF690" s="58"/>
      <c r="AG690" s="59"/>
      <c r="AH690" s="65"/>
      <c r="AI690" s="66"/>
      <c r="AJ690" s="66"/>
      <c r="AK690" s="58"/>
      <c r="AL690" s="58"/>
      <c r="AM690" s="68" t="str">
        <f aca="false">IF(LEFT(AL690,1)="9","Celular",IF(AL690="","","Fixo"))</f>
        <v/>
      </c>
      <c r="AN690" s="58" t="str">
        <f aca="false">IF( AM690&lt;&gt;"",VLOOKUP(AM690,Selects!$M$4:$N$1000,2,0),"")</f>
        <v/>
      </c>
      <c r="AO690" s="58"/>
      <c r="AP690" s="59"/>
      <c r="AQ690" s="65"/>
      <c r="AR690" s="58"/>
      <c r="AS690" s="58"/>
      <c r="AT690" s="26"/>
      <c r="AU690" s="58"/>
      <c r="AV690" s="58"/>
      <c r="AW690" s="58"/>
      <c r="AX690" s="58"/>
      <c r="AY690" s="71"/>
      <c r="AZ690" s="58"/>
      <c r="BA690" s="58"/>
      <c r="BB690" s="72" t="str">
        <f aca="false">IF(BA690&lt;&gt;"",VLOOKUP(BA690,Selects!$B$4:$C$100,2,0),"")</f>
        <v/>
      </c>
      <c r="BC690" s="26"/>
      <c r="BD690" s="26"/>
      <c r="BE690" s="73"/>
      <c r="BF690" s="74"/>
      <c r="BG690" s="75" t="str">
        <f aca="false">IF(LEN(BF690)=11,"PF",IF(LEN(BF690)=14,"PJ",""))</f>
        <v/>
      </c>
      <c r="BH690" s="66"/>
      <c r="BI690" s="58" t="str">
        <f aca="false">IF(BH690&lt;&gt;"",VLOOKUP(BH690,Selects!$G:$H,2,0),"")</f>
        <v/>
      </c>
      <c r="BJ690" s="58"/>
      <c r="BK690" s="58"/>
      <c r="BL690" s="59"/>
      <c r="BM690" s="58"/>
      <c r="BN690" s="58"/>
      <c r="BO690" s="58" t="str">
        <f aca="false">IF(BN690&lt;&gt;"",VLOOKUP(BN690,Selects!$J$4:$K$1000,2,0),"")</f>
        <v/>
      </c>
      <c r="BP690" s="76"/>
      <c r="BQ690" s="59"/>
      <c r="BR690" s="77"/>
      <c r="BS690" s="59"/>
      <c r="BT690" s="77"/>
      <c r="BU690" s="58"/>
      <c r="BV690" s="58"/>
      <c r="BW690" s="58"/>
      <c r="BX690" s="58"/>
      <c r="BY690" s="58"/>
      <c r="BZ690" s="58"/>
      <c r="CA690" s="58"/>
      <c r="CB690" s="72" t="str">
        <f aca="false">IF(AC690&lt;&gt;"",VLOOKUP(AC690,Selects!$B:$E,4,0),"")</f>
        <v/>
      </c>
      <c r="CC690" s="58"/>
      <c r="CD690" s="58"/>
      <c r="CE690" s="58"/>
    </row>
    <row r="691" customFormat="false" ht="15.75" hidden="false" customHeight="true" outlineLevel="0" collapsed="false">
      <c r="A691" s="17"/>
      <c r="B691" s="58"/>
      <c r="C691" s="58"/>
      <c r="D691" s="59"/>
      <c r="E691" s="60" t="str">
        <f aca="false">IF(LEN(D691)=11,"PF",IF(LEN(D691)=14,"PJ",""))</f>
        <v/>
      </c>
      <c r="F691" s="59"/>
      <c r="G691" s="59"/>
      <c r="H691" s="61" t="str">
        <f aca="false">IF(G691&lt;&gt;"",VLOOKUP(G691,'Cnae  mcc  id'!$A:$M,9,0),"")</f>
        <v/>
      </c>
      <c r="I691" s="62"/>
      <c r="J691" s="63" t="str">
        <f aca="false">IF(I691&lt;&gt;"",VLOOKUP(I691,'Legal Nature'!$E$2:$G$84,3,0),"")</f>
        <v/>
      </c>
      <c r="K691" s="64"/>
      <c r="L691" s="65"/>
      <c r="M691" s="66"/>
      <c r="N691" s="66"/>
      <c r="O691" s="79"/>
      <c r="P691" s="26"/>
      <c r="Q691" s="58"/>
      <c r="R691" s="58"/>
      <c r="S691" s="80"/>
      <c r="T691" s="68" t="str">
        <f aca="false">IF(LEFT(S691,1)="9","Celular",IF(S691="","","Fixo"))</f>
        <v/>
      </c>
      <c r="U691" s="58" t="str">
        <f aca="false">IF( T691&lt;&gt;"",VLOOKUP(T691,Selects!$M$4:$N$1000,2,0),"")</f>
        <v/>
      </c>
      <c r="V691" s="26"/>
      <c r="W691" s="58"/>
      <c r="X691" s="58"/>
      <c r="Y691" s="58"/>
      <c r="Z691" s="58"/>
      <c r="AA691" s="69"/>
      <c r="AB691" s="58"/>
      <c r="AC691" s="58"/>
      <c r="AD691" s="70" t="str">
        <f aca="false">IF(AC691&lt;&gt;"",VLOOKUP(AC691,Selects!$B$4:$C$100,2,0),"")</f>
        <v/>
      </c>
      <c r="AE691" s="26"/>
      <c r="AF691" s="58"/>
      <c r="AG691" s="59"/>
      <c r="AH691" s="65"/>
      <c r="AI691" s="66"/>
      <c r="AJ691" s="66"/>
      <c r="AK691" s="58"/>
      <c r="AL691" s="58"/>
      <c r="AM691" s="68" t="str">
        <f aca="false">IF(LEFT(AL691,1)="9","Celular",IF(AL691="","","Fixo"))</f>
        <v/>
      </c>
      <c r="AN691" s="58" t="str">
        <f aca="false">IF( AM691&lt;&gt;"",VLOOKUP(AM691,Selects!$M$4:$N$1000,2,0),"")</f>
        <v/>
      </c>
      <c r="AO691" s="58"/>
      <c r="AP691" s="59"/>
      <c r="AQ691" s="65"/>
      <c r="AR691" s="58"/>
      <c r="AS691" s="58"/>
      <c r="AT691" s="26"/>
      <c r="AU691" s="58"/>
      <c r="AV691" s="58"/>
      <c r="AW691" s="58"/>
      <c r="AX691" s="58"/>
      <c r="AY691" s="71"/>
      <c r="AZ691" s="58"/>
      <c r="BA691" s="58"/>
      <c r="BB691" s="72" t="str">
        <f aca="false">IF(BA691&lt;&gt;"",VLOOKUP(BA691,Selects!$B$4:$C$100,2,0),"")</f>
        <v/>
      </c>
      <c r="BC691" s="26"/>
      <c r="BD691" s="26"/>
      <c r="BE691" s="73"/>
      <c r="BF691" s="74"/>
      <c r="BG691" s="75" t="str">
        <f aca="false">IF(LEN(BF691)=11,"PF",IF(LEN(BF691)=14,"PJ",""))</f>
        <v/>
      </c>
      <c r="BH691" s="66"/>
      <c r="BI691" s="58" t="str">
        <f aca="false">IF(BH691&lt;&gt;"",VLOOKUP(BH691,Selects!$G:$H,2,0),"")</f>
        <v/>
      </c>
      <c r="BJ691" s="58"/>
      <c r="BK691" s="58"/>
      <c r="BL691" s="59"/>
      <c r="BM691" s="58"/>
      <c r="BN691" s="58"/>
      <c r="BO691" s="58" t="str">
        <f aca="false">IF(BN691&lt;&gt;"",VLOOKUP(BN691,Selects!$J$4:$K$1000,2,0),"")</f>
        <v/>
      </c>
      <c r="BP691" s="76"/>
      <c r="BQ691" s="59"/>
      <c r="BR691" s="77"/>
      <c r="BS691" s="59"/>
      <c r="BT691" s="77"/>
      <c r="BU691" s="58"/>
      <c r="BV691" s="58"/>
      <c r="BW691" s="58"/>
      <c r="BX691" s="58"/>
      <c r="BY691" s="58"/>
      <c r="BZ691" s="58"/>
      <c r="CA691" s="58"/>
      <c r="CB691" s="72" t="str">
        <f aca="false">IF(AC691&lt;&gt;"",VLOOKUP(AC691,Selects!$B:$E,4,0),"")</f>
        <v/>
      </c>
      <c r="CC691" s="58"/>
      <c r="CD691" s="58"/>
      <c r="CE691" s="58"/>
    </row>
    <row r="692" customFormat="false" ht="15.75" hidden="false" customHeight="true" outlineLevel="0" collapsed="false">
      <c r="A692" s="17"/>
      <c r="B692" s="58"/>
      <c r="C692" s="58"/>
      <c r="D692" s="59"/>
      <c r="E692" s="60" t="str">
        <f aca="false">IF(LEN(D692)=11,"PF",IF(LEN(D692)=14,"PJ",""))</f>
        <v/>
      </c>
      <c r="F692" s="59"/>
      <c r="G692" s="59"/>
      <c r="H692" s="61" t="str">
        <f aca="false">IF(G692&lt;&gt;"",VLOOKUP(G692,'Cnae  mcc  id'!$A:$M,9,0),"")</f>
        <v/>
      </c>
      <c r="I692" s="62"/>
      <c r="J692" s="63" t="str">
        <f aca="false">IF(I692&lt;&gt;"",VLOOKUP(I692,'Legal Nature'!$E$2:$G$84,3,0),"")</f>
        <v/>
      </c>
      <c r="K692" s="64"/>
      <c r="L692" s="65"/>
      <c r="M692" s="66"/>
      <c r="N692" s="66"/>
      <c r="O692" s="79"/>
      <c r="P692" s="26"/>
      <c r="Q692" s="58"/>
      <c r="R692" s="58"/>
      <c r="S692" s="80"/>
      <c r="T692" s="68" t="str">
        <f aca="false">IF(LEFT(S692,1)="9","Celular",IF(S692="","","Fixo"))</f>
        <v/>
      </c>
      <c r="U692" s="58" t="str">
        <f aca="false">IF( T692&lt;&gt;"",VLOOKUP(T692,Selects!$M$4:$N$1000,2,0),"")</f>
        <v/>
      </c>
      <c r="V692" s="26"/>
      <c r="W692" s="58"/>
      <c r="X692" s="58"/>
      <c r="Y692" s="58"/>
      <c r="Z692" s="58"/>
      <c r="AA692" s="69"/>
      <c r="AB692" s="58"/>
      <c r="AC692" s="58"/>
      <c r="AD692" s="70" t="str">
        <f aca="false">IF(AC692&lt;&gt;"",VLOOKUP(AC692,Selects!$B$4:$C$100,2,0),"")</f>
        <v/>
      </c>
      <c r="AE692" s="26"/>
      <c r="AF692" s="58"/>
      <c r="AG692" s="59"/>
      <c r="AH692" s="65"/>
      <c r="AI692" s="66"/>
      <c r="AJ692" s="66"/>
      <c r="AK692" s="58"/>
      <c r="AL692" s="58"/>
      <c r="AM692" s="68" t="str">
        <f aca="false">IF(LEFT(AL692,1)="9","Celular",IF(AL692="","","Fixo"))</f>
        <v/>
      </c>
      <c r="AN692" s="58" t="str">
        <f aca="false">IF( AM692&lt;&gt;"",VLOOKUP(AM692,Selects!$M$4:$N$1000,2,0),"")</f>
        <v/>
      </c>
      <c r="AO692" s="58"/>
      <c r="AP692" s="59"/>
      <c r="AQ692" s="65"/>
      <c r="AR692" s="58"/>
      <c r="AS692" s="58"/>
      <c r="AT692" s="26"/>
      <c r="AU692" s="58"/>
      <c r="AV692" s="58"/>
      <c r="AW692" s="58"/>
      <c r="AX692" s="58"/>
      <c r="AY692" s="71"/>
      <c r="AZ692" s="58"/>
      <c r="BA692" s="58"/>
      <c r="BB692" s="72" t="str">
        <f aca="false">IF(BA692&lt;&gt;"",VLOOKUP(BA692,Selects!$B$4:$C$100,2,0),"")</f>
        <v/>
      </c>
      <c r="BC692" s="26"/>
      <c r="BD692" s="26"/>
      <c r="BE692" s="73"/>
      <c r="BF692" s="74"/>
      <c r="BG692" s="75" t="str">
        <f aca="false">IF(LEN(BF692)=11,"PF",IF(LEN(BF692)=14,"PJ",""))</f>
        <v/>
      </c>
      <c r="BH692" s="66"/>
      <c r="BI692" s="58" t="str">
        <f aca="false">IF(BH692&lt;&gt;"",VLOOKUP(BH692,Selects!$G:$H,2,0),"")</f>
        <v/>
      </c>
      <c r="BJ692" s="58"/>
      <c r="BK692" s="58"/>
      <c r="BL692" s="59"/>
      <c r="BM692" s="58"/>
      <c r="BN692" s="58"/>
      <c r="BO692" s="58" t="str">
        <f aca="false">IF(BN692&lt;&gt;"",VLOOKUP(BN692,Selects!$J$4:$K$1000,2,0),"")</f>
        <v/>
      </c>
      <c r="BP692" s="76"/>
      <c r="BQ692" s="59"/>
      <c r="BR692" s="77"/>
      <c r="BS692" s="59"/>
      <c r="BT692" s="77"/>
      <c r="BU692" s="58"/>
      <c r="BV692" s="58"/>
      <c r="BW692" s="58"/>
      <c r="BX692" s="58"/>
      <c r="BY692" s="58"/>
      <c r="BZ692" s="58"/>
      <c r="CA692" s="58"/>
      <c r="CB692" s="72" t="str">
        <f aca="false">IF(AC692&lt;&gt;"",VLOOKUP(AC692,Selects!$B:$E,4,0),"")</f>
        <v/>
      </c>
      <c r="CC692" s="58"/>
      <c r="CD692" s="58"/>
      <c r="CE692" s="58"/>
    </row>
    <row r="693" customFormat="false" ht="15.75" hidden="false" customHeight="true" outlineLevel="0" collapsed="false">
      <c r="A693" s="17"/>
      <c r="B693" s="58"/>
      <c r="C693" s="58"/>
      <c r="D693" s="59"/>
      <c r="E693" s="60" t="str">
        <f aca="false">IF(LEN(D693)=11,"PF",IF(LEN(D693)=14,"PJ",""))</f>
        <v/>
      </c>
      <c r="F693" s="59"/>
      <c r="G693" s="59"/>
      <c r="H693" s="61" t="str">
        <f aca="false">IF(G693&lt;&gt;"",VLOOKUP(G693,'Cnae  mcc  id'!$A:$M,9,0),"")</f>
        <v/>
      </c>
      <c r="I693" s="62"/>
      <c r="J693" s="63" t="str">
        <f aca="false">IF(I693&lt;&gt;"",VLOOKUP(I693,'Legal Nature'!$E$2:$G$84,3,0),"")</f>
        <v/>
      </c>
      <c r="K693" s="64"/>
      <c r="L693" s="65"/>
      <c r="M693" s="66"/>
      <c r="N693" s="66"/>
      <c r="O693" s="79"/>
      <c r="P693" s="26"/>
      <c r="Q693" s="58"/>
      <c r="R693" s="58"/>
      <c r="S693" s="80"/>
      <c r="T693" s="68" t="str">
        <f aca="false">IF(LEFT(S693,1)="9","Celular",IF(S693="","","Fixo"))</f>
        <v/>
      </c>
      <c r="U693" s="58" t="str">
        <f aca="false">IF( T693&lt;&gt;"",VLOOKUP(T693,Selects!$M$4:$N$1000,2,0),"")</f>
        <v/>
      </c>
      <c r="V693" s="26"/>
      <c r="W693" s="58"/>
      <c r="X693" s="58"/>
      <c r="Y693" s="58"/>
      <c r="Z693" s="58"/>
      <c r="AA693" s="69"/>
      <c r="AB693" s="58"/>
      <c r="AC693" s="58"/>
      <c r="AD693" s="70" t="str">
        <f aca="false">IF(AC693&lt;&gt;"",VLOOKUP(AC693,Selects!$B$4:$C$100,2,0),"")</f>
        <v/>
      </c>
      <c r="AE693" s="26"/>
      <c r="AF693" s="58"/>
      <c r="AG693" s="59"/>
      <c r="AH693" s="65"/>
      <c r="AI693" s="66"/>
      <c r="AJ693" s="66"/>
      <c r="AK693" s="58"/>
      <c r="AL693" s="58"/>
      <c r="AM693" s="68" t="str">
        <f aca="false">IF(LEFT(AL693,1)="9","Celular",IF(AL693="","","Fixo"))</f>
        <v/>
      </c>
      <c r="AN693" s="58" t="str">
        <f aca="false">IF( AM693&lt;&gt;"",VLOOKUP(AM693,Selects!$M$4:$N$1000,2,0),"")</f>
        <v/>
      </c>
      <c r="AO693" s="58"/>
      <c r="AP693" s="59"/>
      <c r="AQ693" s="65"/>
      <c r="AR693" s="58"/>
      <c r="AS693" s="58"/>
      <c r="AT693" s="26"/>
      <c r="AU693" s="58"/>
      <c r="AV693" s="58"/>
      <c r="AW693" s="58"/>
      <c r="AX693" s="58"/>
      <c r="AY693" s="71"/>
      <c r="AZ693" s="58"/>
      <c r="BA693" s="58"/>
      <c r="BB693" s="72" t="str">
        <f aca="false">IF(BA693&lt;&gt;"",VLOOKUP(BA693,Selects!$B$4:$C$100,2,0),"")</f>
        <v/>
      </c>
      <c r="BC693" s="26"/>
      <c r="BD693" s="26"/>
      <c r="BE693" s="73"/>
      <c r="BF693" s="74"/>
      <c r="BG693" s="75" t="str">
        <f aca="false">IF(LEN(BF693)=11,"PF",IF(LEN(BF693)=14,"PJ",""))</f>
        <v/>
      </c>
      <c r="BH693" s="66"/>
      <c r="BI693" s="58" t="str">
        <f aca="false">IF(BH693&lt;&gt;"",VLOOKUP(BH693,Selects!$G:$H,2,0),"")</f>
        <v/>
      </c>
      <c r="BJ693" s="58"/>
      <c r="BK693" s="58"/>
      <c r="BL693" s="59"/>
      <c r="BM693" s="58"/>
      <c r="BN693" s="58"/>
      <c r="BO693" s="58" t="str">
        <f aca="false">IF(BN693&lt;&gt;"",VLOOKUP(BN693,Selects!$J$4:$K$1000,2,0),"")</f>
        <v/>
      </c>
      <c r="BP693" s="76"/>
      <c r="BQ693" s="59"/>
      <c r="BR693" s="77"/>
      <c r="BS693" s="59"/>
      <c r="BT693" s="77"/>
      <c r="BU693" s="58"/>
      <c r="BV693" s="58"/>
      <c r="BW693" s="58"/>
      <c r="BX693" s="58"/>
      <c r="BY693" s="58"/>
      <c r="BZ693" s="58"/>
      <c r="CA693" s="58"/>
      <c r="CB693" s="72" t="str">
        <f aca="false">IF(AC693&lt;&gt;"",VLOOKUP(AC693,Selects!$B:$E,4,0),"")</f>
        <v/>
      </c>
      <c r="CC693" s="58"/>
      <c r="CD693" s="58"/>
      <c r="CE693" s="58"/>
    </row>
    <row r="694" customFormat="false" ht="15.75" hidden="false" customHeight="true" outlineLevel="0" collapsed="false">
      <c r="A694" s="17"/>
      <c r="B694" s="58"/>
      <c r="C694" s="58"/>
      <c r="D694" s="59"/>
      <c r="E694" s="60" t="str">
        <f aca="false">IF(LEN(D694)=11,"PF",IF(LEN(D694)=14,"PJ",""))</f>
        <v/>
      </c>
      <c r="F694" s="59"/>
      <c r="G694" s="59"/>
      <c r="H694" s="61" t="str">
        <f aca="false">IF(G694&lt;&gt;"",VLOOKUP(G694,'Cnae  mcc  id'!$A:$M,9,0),"")</f>
        <v/>
      </c>
      <c r="I694" s="62"/>
      <c r="J694" s="63" t="str">
        <f aca="false">IF(I694&lt;&gt;"",VLOOKUP(I694,'Legal Nature'!$E$2:$G$84,3,0),"")</f>
        <v/>
      </c>
      <c r="K694" s="64"/>
      <c r="L694" s="65"/>
      <c r="M694" s="66"/>
      <c r="N694" s="66"/>
      <c r="O694" s="79"/>
      <c r="P694" s="26"/>
      <c r="Q694" s="58"/>
      <c r="R694" s="58"/>
      <c r="S694" s="80"/>
      <c r="T694" s="68" t="str">
        <f aca="false">IF(LEFT(S694,1)="9","Celular",IF(S694="","","Fixo"))</f>
        <v/>
      </c>
      <c r="U694" s="58" t="str">
        <f aca="false">IF( T694&lt;&gt;"",VLOOKUP(T694,Selects!$M$4:$N$1000,2,0),"")</f>
        <v/>
      </c>
      <c r="V694" s="26"/>
      <c r="W694" s="58"/>
      <c r="X694" s="58"/>
      <c r="Y694" s="58"/>
      <c r="Z694" s="58"/>
      <c r="AA694" s="69"/>
      <c r="AB694" s="58"/>
      <c r="AC694" s="58"/>
      <c r="AD694" s="70" t="str">
        <f aca="false">IF(AC694&lt;&gt;"",VLOOKUP(AC694,Selects!$B$4:$C$100,2,0),"")</f>
        <v/>
      </c>
      <c r="AE694" s="26"/>
      <c r="AF694" s="58"/>
      <c r="AG694" s="59"/>
      <c r="AH694" s="65"/>
      <c r="AI694" s="66"/>
      <c r="AJ694" s="66"/>
      <c r="AK694" s="58"/>
      <c r="AL694" s="58"/>
      <c r="AM694" s="68" t="str">
        <f aca="false">IF(LEFT(AL694,1)="9","Celular",IF(AL694="","","Fixo"))</f>
        <v/>
      </c>
      <c r="AN694" s="58" t="str">
        <f aca="false">IF( AM694&lt;&gt;"",VLOOKUP(AM694,Selects!$M$4:$N$1000,2,0),"")</f>
        <v/>
      </c>
      <c r="AO694" s="58"/>
      <c r="AP694" s="59"/>
      <c r="AQ694" s="65"/>
      <c r="AR694" s="58"/>
      <c r="AS694" s="58"/>
      <c r="AT694" s="26"/>
      <c r="AU694" s="58"/>
      <c r="AV694" s="58"/>
      <c r="AW694" s="58"/>
      <c r="AX694" s="58"/>
      <c r="AY694" s="71"/>
      <c r="AZ694" s="58"/>
      <c r="BA694" s="58"/>
      <c r="BB694" s="72" t="str">
        <f aca="false">IF(BA694&lt;&gt;"",VLOOKUP(BA694,Selects!$B$4:$C$100,2,0),"")</f>
        <v/>
      </c>
      <c r="BC694" s="26"/>
      <c r="BD694" s="26"/>
      <c r="BE694" s="73"/>
      <c r="BF694" s="74"/>
      <c r="BG694" s="75" t="str">
        <f aca="false">IF(LEN(BF694)=11,"PF",IF(LEN(BF694)=14,"PJ",""))</f>
        <v/>
      </c>
      <c r="BH694" s="66"/>
      <c r="BI694" s="58" t="str">
        <f aca="false">IF(BH694&lt;&gt;"",VLOOKUP(BH694,Selects!$G:$H,2,0),"")</f>
        <v/>
      </c>
      <c r="BJ694" s="58"/>
      <c r="BK694" s="58"/>
      <c r="BL694" s="59"/>
      <c r="BM694" s="58"/>
      <c r="BN694" s="58"/>
      <c r="BO694" s="58" t="str">
        <f aca="false">IF(BN694&lt;&gt;"",VLOOKUP(BN694,Selects!$J$4:$K$1000,2,0),"")</f>
        <v/>
      </c>
      <c r="BP694" s="76"/>
      <c r="BQ694" s="59"/>
      <c r="BR694" s="77"/>
      <c r="BS694" s="59"/>
      <c r="BT694" s="77"/>
      <c r="BU694" s="58"/>
      <c r="BV694" s="58"/>
      <c r="BW694" s="58"/>
      <c r="BX694" s="58"/>
      <c r="BY694" s="58"/>
      <c r="BZ694" s="58"/>
      <c r="CA694" s="58"/>
      <c r="CB694" s="72" t="str">
        <f aca="false">IF(AC694&lt;&gt;"",VLOOKUP(AC694,Selects!$B:$E,4,0),"")</f>
        <v/>
      </c>
      <c r="CC694" s="58"/>
      <c r="CD694" s="58"/>
      <c r="CE694" s="58"/>
    </row>
    <row r="695" customFormat="false" ht="15.75" hidden="false" customHeight="true" outlineLevel="0" collapsed="false">
      <c r="A695" s="17"/>
      <c r="B695" s="58"/>
      <c r="C695" s="58"/>
      <c r="D695" s="59"/>
      <c r="E695" s="60" t="str">
        <f aca="false">IF(LEN(D695)=11,"PF",IF(LEN(D695)=14,"PJ",""))</f>
        <v/>
      </c>
      <c r="F695" s="59"/>
      <c r="G695" s="59"/>
      <c r="H695" s="61" t="str">
        <f aca="false">IF(G695&lt;&gt;"",VLOOKUP(G695,'Cnae  mcc  id'!$A:$M,9,0),"")</f>
        <v/>
      </c>
      <c r="I695" s="62"/>
      <c r="J695" s="63" t="str">
        <f aca="false">IF(I695&lt;&gt;"",VLOOKUP(I695,'Legal Nature'!$E$2:$G$84,3,0),"")</f>
        <v/>
      </c>
      <c r="K695" s="64"/>
      <c r="L695" s="65"/>
      <c r="M695" s="66"/>
      <c r="N695" s="66"/>
      <c r="O695" s="79"/>
      <c r="P695" s="26"/>
      <c r="Q695" s="58"/>
      <c r="R695" s="58"/>
      <c r="S695" s="80"/>
      <c r="T695" s="68" t="str">
        <f aca="false">IF(LEFT(S695,1)="9","Celular",IF(S695="","","Fixo"))</f>
        <v/>
      </c>
      <c r="U695" s="58" t="str">
        <f aca="false">IF( T695&lt;&gt;"",VLOOKUP(T695,Selects!$M$4:$N$1000,2,0),"")</f>
        <v/>
      </c>
      <c r="V695" s="26"/>
      <c r="W695" s="58"/>
      <c r="X695" s="58"/>
      <c r="Y695" s="58"/>
      <c r="Z695" s="58"/>
      <c r="AA695" s="69"/>
      <c r="AB695" s="58"/>
      <c r="AC695" s="58"/>
      <c r="AD695" s="70" t="str">
        <f aca="false">IF(AC695&lt;&gt;"",VLOOKUP(AC695,Selects!$B$4:$C$100,2,0),"")</f>
        <v/>
      </c>
      <c r="AE695" s="26"/>
      <c r="AF695" s="58"/>
      <c r="AG695" s="59"/>
      <c r="AH695" s="65"/>
      <c r="AI695" s="66"/>
      <c r="AJ695" s="66"/>
      <c r="AK695" s="58"/>
      <c r="AL695" s="58"/>
      <c r="AM695" s="68" t="str">
        <f aca="false">IF(LEFT(AL695,1)="9","Celular",IF(AL695="","","Fixo"))</f>
        <v/>
      </c>
      <c r="AN695" s="58" t="str">
        <f aca="false">IF( AM695&lt;&gt;"",VLOOKUP(AM695,Selects!$M$4:$N$1000,2,0),"")</f>
        <v/>
      </c>
      <c r="AO695" s="58"/>
      <c r="AP695" s="59"/>
      <c r="AQ695" s="65"/>
      <c r="AR695" s="58"/>
      <c r="AS695" s="58"/>
      <c r="AT695" s="26"/>
      <c r="AU695" s="58"/>
      <c r="AV695" s="58"/>
      <c r="AW695" s="58"/>
      <c r="AX695" s="58"/>
      <c r="AY695" s="71"/>
      <c r="AZ695" s="58"/>
      <c r="BA695" s="58"/>
      <c r="BB695" s="72" t="str">
        <f aca="false">IF(BA695&lt;&gt;"",VLOOKUP(BA695,Selects!$B$4:$C$100,2,0),"")</f>
        <v/>
      </c>
      <c r="BC695" s="26"/>
      <c r="BD695" s="26"/>
      <c r="BE695" s="73"/>
      <c r="BF695" s="74"/>
      <c r="BG695" s="75" t="str">
        <f aca="false">IF(LEN(BF695)=11,"PF",IF(LEN(BF695)=14,"PJ",""))</f>
        <v/>
      </c>
      <c r="BH695" s="66"/>
      <c r="BI695" s="58" t="str">
        <f aca="false">IF(BH695&lt;&gt;"",VLOOKUP(BH695,Selects!$G:$H,2,0),"")</f>
        <v/>
      </c>
      <c r="BJ695" s="58"/>
      <c r="BK695" s="58"/>
      <c r="BL695" s="59"/>
      <c r="BM695" s="58"/>
      <c r="BN695" s="58"/>
      <c r="BO695" s="58" t="str">
        <f aca="false">IF(BN695&lt;&gt;"",VLOOKUP(BN695,Selects!$J$4:$K$1000,2,0),"")</f>
        <v/>
      </c>
      <c r="BP695" s="76"/>
      <c r="BQ695" s="59"/>
      <c r="BR695" s="77"/>
      <c r="BS695" s="59"/>
      <c r="BT695" s="77"/>
      <c r="BU695" s="58"/>
      <c r="BV695" s="58"/>
      <c r="BW695" s="58"/>
      <c r="BX695" s="58"/>
      <c r="BY695" s="58"/>
      <c r="BZ695" s="58"/>
      <c r="CA695" s="58"/>
      <c r="CB695" s="72" t="str">
        <f aca="false">IF(AC695&lt;&gt;"",VLOOKUP(AC695,Selects!$B:$E,4,0),"")</f>
        <v/>
      </c>
      <c r="CC695" s="58"/>
      <c r="CD695" s="58"/>
      <c r="CE695" s="58"/>
    </row>
    <row r="696" customFormat="false" ht="15.75" hidden="false" customHeight="true" outlineLevel="0" collapsed="false">
      <c r="A696" s="17"/>
      <c r="B696" s="58"/>
      <c r="C696" s="58"/>
      <c r="D696" s="59"/>
      <c r="E696" s="60" t="str">
        <f aca="false">IF(LEN(D696)=11,"PF",IF(LEN(D696)=14,"PJ",""))</f>
        <v/>
      </c>
      <c r="F696" s="59"/>
      <c r="G696" s="59"/>
      <c r="H696" s="61" t="str">
        <f aca="false">IF(G696&lt;&gt;"",VLOOKUP(G696,'Cnae  mcc  id'!$A:$M,9,0),"")</f>
        <v/>
      </c>
      <c r="I696" s="62"/>
      <c r="J696" s="63" t="str">
        <f aca="false">IF(I696&lt;&gt;"",VLOOKUP(I696,'Legal Nature'!$E$2:$G$84,3,0),"")</f>
        <v/>
      </c>
      <c r="K696" s="64"/>
      <c r="L696" s="65"/>
      <c r="M696" s="66"/>
      <c r="N696" s="66"/>
      <c r="O696" s="79"/>
      <c r="P696" s="26"/>
      <c r="Q696" s="58"/>
      <c r="R696" s="58"/>
      <c r="S696" s="80"/>
      <c r="T696" s="68" t="str">
        <f aca="false">IF(LEFT(S696,1)="9","Celular",IF(S696="","","Fixo"))</f>
        <v/>
      </c>
      <c r="U696" s="58" t="str">
        <f aca="false">IF( T696&lt;&gt;"",VLOOKUP(T696,Selects!$M$4:$N$1000,2,0),"")</f>
        <v/>
      </c>
      <c r="V696" s="26"/>
      <c r="W696" s="58"/>
      <c r="X696" s="58"/>
      <c r="Y696" s="58"/>
      <c r="Z696" s="58"/>
      <c r="AA696" s="69"/>
      <c r="AB696" s="58"/>
      <c r="AC696" s="58"/>
      <c r="AD696" s="70" t="str">
        <f aca="false">IF(AC696&lt;&gt;"",VLOOKUP(AC696,Selects!$B$4:$C$100,2,0),"")</f>
        <v/>
      </c>
      <c r="AE696" s="26"/>
      <c r="AF696" s="58"/>
      <c r="AG696" s="59"/>
      <c r="AH696" s="65"/>
      <c r="AI696" s="66"/>
      <c r="AJ696" s="66"/>
      <c r="AK696" s="58"/>
      <c r="AL696" s="58"/>
      <c r="AM696" s="68" t="str">
        <f aca="false">IF(LEFT(AL696,1)="9","Celular",IF(AL696="","","Fixo"))</f>
        <v/>
      </c>
      <c r="AN696" s="58" t="str">
        <f aca="false">IF( AM696&lt;&gt;"",VLOOKUP(AM696,Selects!$M$4:$N$1000,2,0),"")</f>
        <v/>
      </c>
      <c r="AO696" s="58"/>
      <c r="AP696" s="59"/>
      <c r="AQ696" s="65"/>
      <c r="AR696" s="58"/>
      <c r="AS696" s="58"/>
      <c r="AT696" s="26"/>
      <c r="AU696" s="58"/>
      <c r="AV696" s="58"/>
      <c r="AW696" s="58"/>
      <c r="AX696" s="58"/>
      <c r="AY696" s="71"/>
      <c r="AZ696" s="58"/>
      <c r="BA696" s="58"/>
      <c r="BB696" s="72" t="str">
        <f aca="false">IF(BA696&lt;&gt;"",VLOOKUP(BA696,Selects!$B$4:$C$100,2,0),"")</f>
        <v/>
      </c>
      <c r="BC696" s="26"/>
      <c r="BD696" s="26"/>
      <c r="BE696" s="73"/>
      <c r="BF696" s="74"/>
      <c r="BG696" s="75" t="str">
        <f aca="false">IF(LEN(BF696)=11,"PF",IF(LEN(BF696)=14,"PJ",""))</f>
        <v/>
      </c>
      <c r="BH696" s="66"/>
      <c r="BI696" s="58" t="str">
        <f aca="false">IF(BH696&lt;&gt;"",VLOOKUP(BH696,Selects!$G:$H,2,0),"")</f>
        <v/>
      </c>
      <c r="BJ696" s="58"/>
      <c r="BK696" s="58"/>
      <c r="BL696" s="59"/>
      <c r="BM696" s="58"/>
      <c r="BN696" s="58"/>
      <c r="BO696" s="58" t="str">
        <f aca="false">IF(BN696&lt;&gt;"",VLOOKUP(BN696,Selects!$J$4:$K$1000,2,0),"")</f>
        <v/>
      </c>
      <c r="BP696" s="76"/>
      <c r="BQ696" s="59"/>
      <c r="BR696" s="77"/>
      <c r="BS696" s="59"/>
      <c r="BT696" s="77"/>
      <c r="BU696" s="58"/>
      <c r="BV696" s="58"/>
      <c r="BW696" s="58"/>
      <c r="BX696" s="58"/>
      <c r="BY696" s="58"/>
      <c r="BZ696" s="58"/>
      <c r="CA696" s="58"/>
      <c r="CB696" s="72" t="str">
        <f aca="false">IF(AC696&lt;&gt;"",VLOOKUP(AC696,Selects!$B:$E,4,0),"")</f>
        <v/>
      </c>
      <c r="CC696" s="58"/>
      <c r="CD696" s="58"/>
      <c r="CE696" s="58"/>
    </row>
    <row r="697" customFormat="false" ht="15.75" hidden="false" customHeight="true" outlineLevel="0" collapsed="false">
      <c r="A697" s="17"/>
      <c r="B697" s="58"/>
      <c r="C697" s="58"/>
      <c r="D697" s="59"/>
      <c r="E697" s="60" t="str">
        <f aca="false">IF(LEN(D697)=11,"PF",IF(LEN(D697)=14,"PJ",""))</f>
        <v/>
      </c>
      <c r="F697" s="59"/>
      <c r="G697" s="59"/>
      <c r="H697" s="61" t="str">
        <f aca="false">IF(G697&lt;&gt;"",VLOOKUP(G697,'Cnae  mcc  id'!$A:$M,9,0),"")</f>
        <v/>
      </c>
      <c r="I697" s="62"/>
      <c r="J697" s="63" t="str">
        <f aca="false">IF(I697&lt;&gt;"",VLOOKUP(I697,'Legal Nature'!$E$2:$G$84,3,0),"")</f>
        <v/>
      </c>
      <c r="K697" s="64"/>
      <c r="L697" s="65"/>
      <c r="M697" s="66"/>
      <c r="N697" s="66"/>
      <c r="O697" s="79"/>
      <c r="P697" s="26"/>
      <c r="Q697" s="58"/>
      <c r="R697" s="58"/>
      <c r="S697" s="80"/>
      <c r="T697" s="68" t="str">
        <f aca="false">IF(LEFT(S697,1)="9","Celular",IF(S697="","","Fixo"))</f>
        <v/>
      </c>
      <c r="U697" s="58" t="str">
        <f aca="false">IF( T697&lt;&gt;"",VLOOKUP(T697,Selects!$M$4:$N$1000,2,0),"")</f>
        <v/>
      </c>
      <c r="V697" s="26"/>
      <c r="W697" s="58"/>
      <c r="X697" s="58"/>
      <c r="Y697" s="58"/>
      <c r="Z697" s="58"/>
      <c r="AA697" s="69"/>
      <c r="AB697" s="58"/>
      <c r="AC697" s="58"/>
      <c r="AD697" s="70" t="str">
        <f aca="false">IF(AC697&lt;&gt;"",VLOOKUP(AC697,Selects!$B$4:$C$100,2,0),"")</f>
        <v/>
      </c>
      <c r="AE697" s="26"/>
      <c r="AF697" s="58"/>
      <c r="AG697" s="59"/>
      <c r="AH697" s="65"/>
      <c r="AI697" s="66"/>
      <c r="AJ697" s="66"/>
      <c r="AK697" s="58"/>
      <c r="AL697" s="58"/>
      <c r="AM697" s="68" t="str">
        <f aca="false">IF(LEFT(AL697,1)="9","Celular",IF(AL697="","","Fixo"))</f>
        <v/>
      </c>
      <c r="AN697" s="58" t="str">
        <f aca="false">IF( AM697&lt;&gt;"",VLOOKUP(AM697,Selects!$M$4:$N$1000,2,0),"")</f>
        <v/>
      </c>
      <c r="AO697" s="58"/>
      <c r="AP697" s="59"/>
      <c r="AQ697" s="65"/>
      <c r="AR697" s="58"/>
      <c r="AS697" s="58"/>
      <c r="AT697" s="26"/>
      <c r="AU697" s="58"/>
      <c r="AV697" s="58"/>
      <c r="AW697" s="58"/>
      <c r="AX697" s="58"/>
      <c r="AY697" s="71"/>
      <c r="AZ697" s="58"/>
      <c r="BA697" s="58"/>
      <c r="BB697" s="72" t="str">
        <f aca="false">IF(BA697&lt;&gt;"",VLOOKUP(BA697,Selects!$B$4:$C$100,2,0),"")</f>
        <v/>
      </c>
      <c r="BC697" s="26"/>
      <c r="BD697" s="26"/>
      <c r="BE697" s="73"/>
      <c r="BF697" s="74"/>
      <c r="BG697" s="75" t="str">
        <f aca="false">IF(LEN(BF697)=11,"PF",IF(LEN(BF697)=14,"PJ",""))</f>
        <v/>
      </c>
      <c r="BH697" s="66"/>
      <c r="BI697" s="58" t="str">
        <f aca="false">IF(BH697&lt;&gt;"",VLOOKUP(BH697,Selects!$G:$H,2,0),"")</f>
        <v/>
      </c>
      <c r="BJ697" s="58"/>
      <c r="BK697" s="58"/>
      <c r="BL697" s="59"/>
      <c r="BM697" s="58"/>
      <c r="BN697" s="58"/>
      <c r="BO697" s="58" t="str">
        <f aca="false">IF(BN697&lt;&gt;"",VLOOKUP(BN697,Selects!$J$4:$K$1000,2,0),"")</f>
        <v/>
      </c>
      <c r="BP697" s="76"/>
      <c r="BQ697" s="59"/>
      <c r="BR697" s="77"/>
      <c r="BS697" s="59"/>
      <c r="BT697" s="77"/>
      <c r="BU697" s="58"/>
      <c r="BV697" s="58"/>
      <c r="BW697" s="58"/>
      <c r="BX697" s="58"/>
      <c r="BY697" s="58"/>
      <c r="BZ697" s="58"/>
      <c r="CA697" s="58"/>
      <c r="CB697" s="72" t="str">
        <f aca="false">IF(AC697&lt;&gt;"",VLOOKUP(AC697,Selects!$B:$E,4,0),"")</f>
        <v/>
      </c>
      <c r="CC697" s="58"/>
      <c r="CD697" s="58"/>
      <c r="CE697" s="58"/>
    </row>
    <row r="698" customFormat="false" ht="15.75" hidden="false" customHeight="true" outlineLevel="0" collapsed="false">
      <c r="A698" s="17"/>
      <c r="B698" s="58"/>
      <c r="C698" s="58"/>
      <c r="D698" s="59"/>
      <c r="E698" s="60" t="str">
        <f aca="false">IF(LEN(D698)=11,"PF",IF(LEN(D698)=14,"PJ",""))</f>
        <v/>
      </c>
      <c r="F698" s="59"/>
      <c r="G698" s="59"/>
      <c r="H698" s="61" t="str">
        <f aca="false">IF(G698&lt;&gt;"",VLOOKUP(G698,'Cnae  mcc  id'!$A:$M,9,0),"")</f>
        <v/>
      </c>
      <c r="I698" s="62"/>
      <c r="J698" s="63" t="str">
        <f aca="false">IF(I698&lt;&gt;"",VLOOKUP(I698,'Legal Nature'!$E$2:$G$84,3,0),"")</f>
        <v/>
      </c>
      <c r="K698" s="64"/>
      <c r="L698" s="65"/>
      <c r="M698" s="66"/>
      <c r="N698" s="66"/>
      <c r="O698" s="79"/>
      <c r="P698" s="26"/>
      <c r="Q698" s="58"/>
      <c r="R698" s="58"/>
      <c r="S698" s="80"/>
      <c r="T698" s="68" t="str">
        <f aca="false">IF(LEFT(S698,1)="9","Celular",IF(S698="","","Fixo"))</f>
        <v/>
      </c>
      <c r="U698" s="58" t="str">
        <f aca="false">IF( T698&lt;&gt;"",VLOOKUP(T698,Selects!$M$4:$N$1000,2,0),"")</f>
        <v/>
      </c>
      <c r="V698" s="26"/>
      <c r="W698" s="58"/>
      <c r="X698" s="58"/>
      <c r="Y698" s="58"/>
      <c r="Z698" s="58"/>
      <c r="AA698" s="69"/>
      <c r="AB698" s="58"/>
      <c r="AC698" s="58"/>
      <c r="AD698" s="70" t="str">
        <f aca="false">IF(AC698&lt;&gt;"",VLOOKUP(AC698,Selects!$B$4:$C$100,2,0),"")</f>
        <v/>
      </c>
      <c r="AE698" s="26"/>
      <c r="AF698" s="58"/>
      <c r="AG698" s="59"/>
      <c r="AH698" s="65"/>
      <c r="AI698" s="66"/>
      <c r="AJ698" s="66"/>
      <c r="AK698" s="58"/>
      <c r="AL698" s="58"/>
      <c r="AM698" s="68" t="str">
        <f aca="false">IF(LEFT(AL698,1)="9","Celular",IF(AL698="","","Fixo"))</f>
        <v/>
      </c>
      <c r="AN698" s="58" t="str">
        <f aca="false">IF( AM698&lt;&gt;"",VLOOKUP(AM698,Selects!$M$4:$N$1000,2,0),"")</f>
        <v/>
      </c>
      <c r="AO698" s="58"/>
      <c r="AP698" s="59"/>
      <c r="AQ698" s="65"/>
      <c r="AR698" s="58"/>
      <c r="AS698" s="58"/>
      <c r="AT698" s="26"/>
      <c r="AU698" s="58"/>
      <c r="AV698" s="58"/>
      <c r="AW698" s="58"/>
      <c r="AX698" s="58"/>
      <c r="AY698" s="71"/>
      <c r="AZ698" s="58"/>
      <c r="BA698" s="58"/>
      <c r="BB698" s="72" t="str">
        <f aca="false">IF(BA698&lt;&gt;"",VLOOKUP(BA698,Selects!$B$4:$C$100,2,0),"")</f>
        <v/>
      </c>
      <c r="BC698" s="26"/>
      <c r="BD698" s="26"/>
      <c r="BE698" s="73"/>
      <c r="BF698" s="74"/>
      <c r="BG698" s="75" t="str">
        <f aca="false">IF(LEN(BF698)=11,"PF",IF(LEN(BF698)=14,"PJ",""))</f>
        <v/>
      </c>
      <c r="BH698" s="66"/>
      <c r="BI698" s="58" t="str">
        <f aca="false">IF(BH698&lt;&gt;"",VLOOKUP(BH698,Selects!$G:$H,2,0),"")</f>
        <v/>
      </c>
      <c r="BJ698" s="58"/>
      <c r="BK698" s="58"/>
      <c r="BL698" s="59"/>
      <c r="BM698" s="58"/>
      <c r="BN698" s="58"/>
      <c r="BO698" s="58" t="str">
        <f aca="false">IF(BN698&lt;&gt;"",VLOOKUP(BN698,Selects!$J$4:$K$1000,2,0),"")</f>
        <v/>
      </c>
      <c r="BP698" s="76"/>
      <c r="BQ698" s="59"/>
      <c r="BR698" s="77"/>
      <c r="BS698" s="59"/>
      <c r="BT698" s="77"/>
      <c r="BU698" s="58"/>
      <c r="BV698" s="58"/>
      <c r="BW698" s="58"/>
      <c r="BX698" s="58"/>
      <c r="BY698" s="58"/>
      <c r="BZ698" s="58"/>
      <c r="CA698" s="58"/>
      <c r="CB698" s="72" t="str">
        <f aca="false">IF(AC698&lt;&gt;"",VLOOKUP(AC698,Selects!$B:$E,4,0),"")</f>
        <v/>
      </c>
      <c r="CC698" s="58"/>
      <c r="CD698" s="58"/>
      <c r="CE698" s="58"/>
    </row>
    <row r="699" customFormat="false" ht="15.75" hidden="false" customHeight="true" outlineLevel="0" collapsed="false">
      <c r="A699" s="17"/>
      <c r="B699" s="58"/>
      <c r="C699" s="58"/>
      <c r="D699" s="59"/>
      <c r="E699" s="60" t="str">
        <f aca="false">IF(LEN(D699)=11,"PF",IF(LEN(D699)=14,"PJ",""))</f>
        <v/>
      </c>
      <c r="F699" s="59"/>
      <c r="G699" s="59"/>
      <c r="H699" s="61" t="str">
        <f aca="false">IF(G699&lt;&gt;"",VLOOKUP(G699,'Cnae  mcc  id'!$A:$M,9,0),"")</f>
        <v/>
      </c>
      <c r="I699" s="62"/>
      <c r="J699" s="63" t="str">
        <f aca="false">IF(I699&lt;&gt;"",VLOOKUP(I699,'Legal Nature'!$E$2:$G$84,3,0),"")</f>
        <v/>
      </c>
      <c r="K699" s="64"/>
      <c r="L699" s="65"/>
      <c r="M699" s="66"/>
      <c r="N699" s="66"/>
      <c r="O699" s="79"/>
      <c r="P699" s="26"/>
      <c r="Q699" s="58"/>
      <c r="R699" s="58"/>
      <c r="S699" s="80"/>
      <c r="T699" s="68" t="str">
        <f aca="false">IF(LEFT(S699,1)="9","Celular",IF(S699="","","Fixo"))</f>
        <v/>
      </c>
      <c r="U699" s="58" t="str">
        <f aca="false">IF( T699&lt;&gt;"",VLOOKUP(T699,Selects!$M$4:$N$1000,2,0),"")</f>
        <v/>
      </c>
      <c r="V699" s="26"/>
      <c r="W699" s="58"/>
      <c r="X699" s="58"/>
      <c r="Y699" s="58"/>
      <c r="Z699" s="58"/>
      <c r="AA699" s="69"/>
      <c r="AB699" s="58"/>
      <c r="AC699" s="58"/>
      <c r="AD699" s="70" t="str">
        <f aca="false">IF(AC699&lt;&gt;"",VLOOKUP(AC699,Selects!$B$4:$C$100,2,0),"")</f>
        <v/>
      </c>
      <c r="AE699" s="26"/>
      <c r="AF699" s="58"/>
      <c r="AG699" s="59"/>
      <c r="AH699" s="65"/>
      <c r="AI699" s="66"/>
      <c r="AJ699" s="66"/>
      <c r="AK699" s="58"/>
      <c r="AL699" s="58"/>
      <c r="AM699" s="68" t="str">
        <f aca="false">IF(LEFT(AL699,1)="9","Celular",IF(AL699="","","Fixo"))</f>
        <v/>
      </c>
      <c r="AN699" s="58" t="str">
        <f aca="false">IF( AM699&lt;&gt;"",VLOOKUP(AM699,Selects!$M$4:$N$1000,2,0),"")</f>
        <v/>
      </c>
      <c r="AO699" s="58"/>
      <c r="AP699" s="59"/>
      <c r="AQ699" s="65"/>
      <c r="AR699" s="58"/>
      <c r="AS699" s="58"/>
      <c r="AT699" s="26"/>
      <c r="AU699" s="58"/>
      <c r="AV699" s="58"/>
      <c r="AW699" s="58"/>
      <c r="AX699" s="58"/>
      <c r="AY699" s="71"/>
      <c r="AZ699" s="58"/>
      <c r="BA699" s="58"/>
      <c r="BB699" s="72" t="str">
        <f aca="false">IF(BA699&lt;&gt;"",VLOOKUP(BA699,Selects!$B$4:$C$100,2,0),"")</f>
        <v/>
      </c>
      <c r="BC699" s="26"/>
      <c r="BD699" s="26"/>
      <c r="BE699" s="73"/>
      <c r="BF699" s="74"/>
      <c r="BG699" s="75" t="str">
        <f aca="false">IF(LEN(BF699)=11,"PF",IF(LEN(BF699)=14,"PJ",""))</f>
        <v/>
      </c>
      <c r="BH699" s="66"/>
      <c r="BI699" s="58" t="str">
        <f aca="false">IF(BH699&lt;&gt;"",VLOOKUP(BH699,Selects!$G:$H,2,0),"")</f>
        <v/>
      </c>
      <c r="BJ699" s="58"/>
      <c r="BK699" s="58"/>
      <c r="BL699" s="59"/>
      <c r="BM699" s="58"/>
      <c r="BN699" s="58"/>
      <c r="BO699" s="58" t="str">
        <f aca="false">IF(BN699&lt;&gt;"",VLOOKUP(BN699,Selects!$J$4:$K$1000,2,0),"")</f>
        <v/>
      </c>
      <c r="BP699" s="76"/>
      <c r="BQ699" s="59"/>
      <c r="BR699" s="77"/>
      <c r="BS699" s="59"/>
      <c r="BT699" s="77"/>
      <c r="BU699" s="58"/>
      <c r="BV699" s="58"/>
      <c r="BW699" s="58"/>
      <c r="BX699" s="58"/>
      <c r="BY699" s="58"/>
      <c r="BZ699" s="58"/>
      <c r="CA699" s="58"/>
      <c r="CB699" s="72" t="str">
        <f aca="false">IF(AC699&lt;&gt;"",VLOOKUP(AC699,Selects!$B:$E,4,0),"")</f>
        <v/>
      </c>
      <c r="CC699" s="58"/>
      <c r="CD699" s="58"/>
      <c r="CE699" s="58"/>
    </row>
    <row r="700" customFormat="false" ht="15.75" hidden="false" customHeight="true" outlineLevel="0" collapsed="false">
      <c r="A700" s="17"/>
      <c r="B700" s="58"/>
      <c r="C700" s="58"/>
      <c r="D700" s="59"/>
      <c r="E700" s="60" t="str">
        <f aca="false">IF(LEN(D700)=11,"PF",IF(LEN(D700)=14,"PJ",""))</f>
        <v/>
      </c>
      <c r="F700" s="59"/>
      <c r="G700" s="59"/>
      <c r="H700" s="61" t="str">
        <f aca="false">IF(G700&lt;&gt;"",VLOOKUP(G700,'Cnae  mcc  id'!$A:$M,9,0),"")</f>
        <v/>
      </c>
      <c r="I700" s="62"/>
      <c r="J700" s="63" t="str">
        <f aca="false">IF(I700&lt;&gt;"",VLOOKUP(I700,'Legal Nature'!$E$2:$G$84,3,0),"")</f>
        <v/>
      </c>
      <c r="K700" s="64"/>
      <c r="L700" s="65"/>
      <c r="M700" s="66"/>
      <c r="N700" s="66"/>
      <c r="O700" s="79"/>
      <c r="P700" s="26"/>
      <c r="Q700" s="58"/>
      <c r="R700" s="58"/>
      <c r="S700" s="80"/>
      <c r="T700" s="68" t="str">
        <f aca="false">IF(LEFT(S700,1)="9","Celular",IF(S700="","","Fixo"))</f>
        <v/>
      </c>
      <c r="U700" s="58" t="str">
        <f aca="false">IF( T700&lt;&gt;"",VLOOKUP(T700,Selects!$M$4:$N$1000,2,0),"")</f>
        <v/>
      </c>
      <c r="V700" s="26"/>
      <c r="W700" s="58"/>
      <c r="X700" s="58"/>
      <c r="Y700" s="58"/>
      <c r="Z700" s="58"/>
      <c r="AA700" s="69"/>
      <c r="AB700" s="58"/>
      <c r="AC700" s="58"/>
      <c r="AD700" s="70" t="str">
        <f aca="false">IF(AC700&lt;&gt;"",VLOOKUP(AC700,Selects!$B$4:$C$100,2,0),"")</f>
        <v/>
      </c>
      <c r="AE700" s="26"/>
      <c r="AF700" s="58"/>
      <c r="AG700" s="59"/>
      <c r="AH700" s="65"/>
      <c r="AI700" s="66"/>
      <c r="AJ700" s="66"/>
      <c r="AK700" s="58"/>
      <c r="AL700" s="58"/>
      <c r="AM700" s="68" t="str">
        <f aca="false">IF(LEFT(AL700,1)="9","Celular",IF(AL700="","","Fixo"))</f>
        <v/>
      </c>
      <c r="AN700" s="58" t="str">
        <f aca="false">IF( AM700&lt;&gt;"",VLOOKUP(AM700,Selects!$M$4:$N$1000,2,0),"")</f>
        <v/>
      </c>
      <c r="AO700" s="58"/>
      <c r="AP700" s="59"/>
      <c r="AQ700" s="65"/>
      <c r="AR700" s="58"/>
      <c r="AS700" s="58"/>
      <c r="AT700" s="26"/>
      <c r="AU700" s="58"/>
      <c r="AV700" s="58"/>
      <c r="AW700" s="58"/>
      <c r="AX700" s="58"/>
      <c r="AY700" s="71"/>
      <c r="AZ700" s="58"/>
      <c r="BA700" s="58"/>
      <c r="BB700" s="72" t="str">
        <f aca="false">IF(BA700&lt;&gt;"",VLOOKUP(BA700,Selects!$B$4:$C$100,2,0),"")</f>
        <v/>
      </c>
      <c r="BC700" s="26"/>
      <c r="BD700" s="26"/>
      <c r="BE700" s="73"/>
      <c r="BF700" s="74"/>
      <c r="BG700" s="75" t="str">
        <f aca="false">IF(LEN(BF700)=11,"PF",IF(LEN(BF700)=14,"PJ",""))</f>
        <v/>
      </c>
      <c r="BH700" s="66"/>
      <c r="BI700" s="58" t="str">
        <f aca="false">IF(BH700&lt;&gt;"",VLOOKUP(BH700,Selects!$G:$H,2,0),"")</f>
        <v/>
      </c>
      <c r="BJ700" s="58"/>
      <c r="BK700" s="58"/>
      <c r="BL700" s="59"/>
      <c r="BM700" s="58"/>
      <c r="BN700" s="58"/>
      <c r="BO700" s="58" t="str">
        <f aca="false">IF(BN700&lt;&gt;"",VLOOKUP(BN700,Selects!$J$4:$K$1000,2,0),"")</f>
        <v/>
      </c>
      <c r="BP700" s="76"/>
      <c r="BQ700" s="59"/>
      <c r="BR700" s="77"/>
      <c r="BS700" s="59"/>
      <c r="BT700" s="77"/>
      <c r="BU700" s="58"/>
      <c r="BV700" s="58"/>
      <c r="BW700" s="58"/>
      <c r="BX700" s="58"/>
      <c r="BY700" s="58"/>
      <c r="BZ700" s="58"/>
      <c r="CA700" s="58"/>
      <c r="CB700" s="72" t="str">
        <f aca="false">IF(AC700&lt;&gt;"",VLOOKUP(AC700,Selects!$B:$E,4,0),"")</f>
        <v/>
      </c>
      <c r="CC700" s="58"/>
      <c r="CD700" s="58"/>
      <c r="CE700" s="58"/>
    </row>
    <row r="701" customFormat="false" ht="15.75" hidden="false" customHeight="true" outlineLevel="0" collapsed="false">
      <c r="A701" s="17"/>
      <c r="B701" s="58"/>
      <c r="C701" s="58"/>
      <c r="D701" s="59"/>
      <c r="E701" s="60" t="str">
        <f aca="false">IF(LEN(D701)=11,"PF",IF(LEN(D701)=14,"PJ",""))</f>
        <v/>
      </c>
      <c r="F701" s="59"/>
      <c r="G701" s="59"/>
      <c r="H701" s="61" t="str">
        <f aca="false">IF(G701&lt;&gt;"",VLOOKUP(G701,'Cnae  mcc  id'!$A:$M,9,0),"")</f>
        <v/>
      </c>
      <c r="I701" s="62"/>
      <c r="J701" s="63" t="str">
        <f aca="false">IF(I701&lt;&gt;"",VLOOKUP(I701,'Legal Nature'!$E$2:$G$84,3,0),"")</f>
        <v/>
      </c>
      <c r="K701" s="64"/>
      <c r="L701" s="65"/>
      <c r="M701" s="66"/>
      <c r="N701" s="66"/>
      <c r="O701" s="79"/>
      <c r="P701" s="26"/>
      <c r="Q701" s="58"/>
      <c r="R701" s="58"/>
      <c r="S701" s="80"/>
      <c r="T701" s="68" t="str">
        <f aca="false">IF(LEFT(S701,1)="9","Celular",IF(S701="","","Fixo"))</f>
        <v/>
      </c>
      <c r="U701" s="58" t="str">
        <f aca="false">IF( T701&lt;&gt;"",VLOOKUP(T701,Selects!$M$4:$N$1000,2,0),"")</f>
        <v/>
      </c>
      <c r="V701" s="26"/>
      <c r="W701" s="58"/>
      <c r="X701" s="58"/>
      <c r="Y701" s="58"/>
      <c r="Z701" s="58"/>
      <c r="AA701" s="69"/>
      <c r="AB701" s="58"/>
      <c r="AC701" s="58"/>
      <c r="AD701" s="70" t="str">
        <f aca="false">IF(AC701&lt;&gt;"",VLOOKUP(AC701,Selects!$B$4:$C$100,2,0),"")</f>
        <v/>
      </c>
      <c r="AE701" s="26"/>
      <c r="AF701" s="58"/>
      <c r="AG701" s="59"/>
      <c r="AH701" s="65"/>
      <c r="AI701" s="66"/>
      <c r="AJ701" s="66"/>
      <c r="AK701" s="58"/>
      <c r="AL701" s="58"/>
      <c r="AM701" s="68" t="str">
        <f aca="false">IF(LEFT(AL701,1)="9","Celular",IF(AL701="","","Fixo"))</f>
        <v/>
      </c>
      <c r="AN701" s="58" t="str">
        <f aca="false">IF( AM701&lt;&gt;"",VLOOKUP(AM701,Selects!$M$4:$N$1000,2,0),"")</f>
        <v/>
      </c>
      <c r="AO701" s="58"/>
      <c r="AP701" s="59"/>
      <c r="AQ701" s="65"/>
      <c r="AR701" s="58"/>
      <c r="AS701" s="58"/>
      <c r="AT701" s="26"/>
      <c r="AU701" s="58"/>
      <c r="AV701" s="58"/>
      <c r="AW701" s="58"/>
      <c r="AX701" s="58"/>
      <c r="AY701" s="71"/>
      <c r="AZ701" s="58"/>
      <c r="BA701" s="58"/>
      <c r="BB701" s="72" t="str">
        <f aca="false">IF(BA701&lt;&gt;"",VLOOKUP(BA701,Selects!$B$4:$C$100,2,0),"")</f>
        <v/>
      </c>
      <c r="BC701" s="26"/>
      <c r="BD701" s="26"/>
      <c r="BE701" s="73"/>
      <c r="BF701" s="74"/>
      <c r="BG701" s="75" t="str">
        <f aca="false">IF(LEN(BF701)=11,"PF",IF(LEN(BF701)=14,"PJ",""))</f>
        <v/>
      </c>
      <c r="BH701" s="66"/>
      <c r="BI701" s="58" t="str">
        <f aca="false">IF(BH701&lt;&gt;"",VLOOKUP(BH701,Selects!$G:$H,2,0),"")</f>
        <v/>
      </c>
      <c r="BJ701" s="58"/>
      <c r="BK701" s="58"/>
      <c r="BL701" s="59"/>
      <c r="BM701" s="58"/>
      <c r="BN701" s="58"/>
      <c r="BO701" s="58" t="str">
        <f aca="false">IF(BN701&lt;&gt;"",VLOOKUP(BN701,Selects!$J$4:$K$1000,2,0),"")</f>
        <v/>
      </c>
      <c r="BP701" s="76"/>
      <c r="BQ701" s="59"/>
      <c r="BR701" s="77"/>
      <c r="BS701" s="59"/>
      <c r="BT701" s="77"/>
      <c r="BU701" s="58"/>
      <c r="BV701" s="58"/>
      <c r="BW701" s="58"/>
      <c r="BX701" s="58"/>
      <c r="BY701" s="58"/>
      <c r="BZ701" s="58"/>
      <c r="CA701" s="58"/>
      <c r="CB701" s="72" t="str">
        <f aca="false">IF(AC701&lt;&gt;"",VLOOKUP(AC701,Selects!$B:$E,4,0),"")</f>
        <v/>
      </c>
      <c r="CC701" s="58"/>
      <c r="CD701" s="58"/>
      <c r="CE701" s="58"/>
    </row>
    <row r="702" customFormat="false" ht="15.75" hidden="false" customHeight="true" outlineLevel="0" collapsed="false">
      <c r="A702" s="17"/>
      <c r="B702" s="58"/>
      <c r="C702" s="58"/>
      <c r="D702" s="59"/>
      <c r="E702" s="60" t="str">
        <f aca="false">IF(LEN(D702)=11,"PF",IF(LEN(D702)=14,"PJ",""))</f>
        <v/>
      </c>
      <c r="F702" s="59"/>
      <c r="G702" s="59"/>
      <c r="H702" s="61" t="str">
        <f aca="false">IF(G702&lt;&gt;"",VLOOKUP(G702,'Cnae  mcc  id'!$A:$M,9,0),"")</f>
        <v/>
      </c>
      <c r="I702" s="62"/>
      <c r="J702" s="63" t="str">
        <f aca="false">IF(I702&lt;&gt;"",VLOOKUP(I702,'Legal Nature'!$E$2:$G$84,3,0),"")</f>
        <v/>
      </c>
      <c r="K702" s="64"/>
      <c r="L702" s="65"/>
      <c r="M702" s="66"/>
      <c r="N702" s="66"/>
      <c r="O702" s="79"/>
      <c r="P702" s="26"/>
      <c r="Q702" s="58"/>
      <c r="R702" s="58"/>
      <c r="S702" s="80"/>
      <c r="T702" s="68" t="str">
        <f aca="false">IF(LEFT(S702,1)="9","Celular",IF(S702="","","Fixo"))</f>
        <v/>
      </c>
      <c r="U702" s="58" t="str">
        <f aca="false">IF( T702&lt;&gt;"",VLOOKUP(T702,Selects!$M$4:$N$1000,2,0),"")</f>
        <v/>
      </c>
      <c r="V702" s="26"/>
      <c r="W702" s="58"/>
      <c r="X702" s="58"/>
      <c r="Y702" s="58"/>
      <c r="Z702" s="58"/>
      <c r="AA702" s="69"/>
      <c r="AB702" s="58"/>
      <c r="AC702" s="58"/>
      <c r="AD702" s="70" t="str">
        <f aca="false">IF(AC702&lt;&gt;"",VLOOKUP(AC702,Selects!$B$4:$C$100,2,0),"")</f>
        <v/>
      </c>
      <c r="AE702" s="26"/>
      <c r="AF702" s="58"/>
      <c r="AG702" s="59"/>
      <c r="AH702" s="65"/>
      <c r="AI702" s="66"/>
      <c r="AJ702" s="66"/>
      <c r="AK702" s="58"/>
      <c r="AL702" s="58"/>
      <c r="AM702" s="68" t="str">
        <f aca="false">IF(LEFT(AL702,1)="9","Celular",IF(AL702="","","Fixo"))</f>
        <v/>
      </c>
      <c r="AN702" s="58" t="str">
        <f aca="false">IF( AM702&lt;&gt;"",VLOOKUP(AM702,Selects!$M$4:$N$1000,2,0),"")</f>
        <v/>
      </c>
      <c r="AO702" s="58"/>
      <c r="AP702" s="59"/>
      <c r="AQ702" s="65"/>
      <c r="AR702" s="58"/>
      <c r="AS702" s="58"/>
      <c r="AT702" s="26"/>
      <c r="AU702" s="58"/>
      <c r="AV702" s="58"/>
      <c r="AW702" s="58"/>
      <c r="AX702" s="58"/>
      <c r="AY702" s="71"/>
      <c r="AZ702" s="58"/>
      <c r="BA702" s="58"/>
      <c r="BB702" s="72" t="str">
        <f aca="false">IF(BA702&lt;&gt;"",VLOOKUP(BA702,Selects!$B$4:$C$100,2,0),"")</f>
        <v/>
      </c>
      <c r="BC702" s="26"/>
      <c r="BD702" s="26"/>
      <c r="BE702" s="73"/>
      <c r="BF702" s="74"/>
      <c r="BG702" s="75" t="str">
        <f aca="false">IF(LEN(BF702)=11,"PF",IF(LEN(BF702)=14,"PJ",""))</f>
        <v/>
      </c>
      <c r="BH702" s="66"/>
      <c r="BI702" s="58" t="str">
        <f aca="false">IF(BH702&lt;&gt;"",VLOOKUP(BH702,Selects!$G:$H,2,0),"")</f>
        <v/>
      </c>
      <c r="BJ702" s="58"/>
      <c r="BK702" s="58"/>
      <c r="BL702" s="59"/>
      <c r="BM702" s="58"/>
      <c r="BN702" s="58"/>
      <c r="BO702" s="58" t="str">
        <f aca="false">IF(BN702&lt;&gt;"",VLOOKUP(BN702,Selects!$J$4:$K$1000,2,0),"")</f>
        <v/>
      </c>
      <c r="BP702" s="76"/>
      <c r="BQ702" s="59"/>
      <c r="BR702" s="77"/>
      <c r="BS702" s="59"/>
      <c r="BT702" s="77"/>
      <c r="BU702" s="58"/>
      <c r="BV702" s="58"/>
      <c r="BW702" s="58"/>
      <c r="BX702" s="58"/>
      <c r="BY702" s="58"/>
      <c r="BZ702" s="58"/>
      <c r="CA702" s="58"/>
      <c r="CB702" s="72" t="str">
        <f aca="false">IF(AC702&lt;&gt;"",VLOOKUP(AC702,Selects!$B:$E,4,0),"")</f>
        <v/>
      </c>
      <c r="CC702" s="58"/>
      <c r="CD702" s="58"/>
      <c r="CE702" s="58"/>
    </row>
    <row r="703" customFormat="false" ht="15.75" hidden="false" customHeight="true" outlineLevel="0" collapsed="false">
      <c r="A703" s="17"/>
      <c r="B703" s="58"/>
      <c r="C703" s="58"/>
      <c r="D703" s="59"/>
      <c r="E703" s="60" t="str">
        <f aca="false">IF(LEN(D703)=11,"PF",IF(LEN(D703)=14,"PJ",""))</f>
        <v/>
      </c>
      <c r="F703" s="59"/>
      <c r="G703" s="59"/>
      <c r="H703" s="61" t="str">
        <f aca="false">IF(G703&lt;&gt;"",VLOOKUP(G703,'Cnae  mcc  id'!$A:$M,9,0),"")</f>
        <v/>
      </c>
      <c r="I703" s="62"/>
      <c r="J703" s="63" t="str">
        <f aca="false">IF(I703&lt;&gt;"",VLOOKUP(I703,'Legal Nature'!$E$2:$G$84,3,0),"")</f>
        <v/>
      </c>
      <c r="K703" s="64"/>
      <c r="L703" s="65"/>
      <c r="M703" s="66"/>
      <c r="N703" s="66"/>
      <c r="O703" s="79"/>
      <c r="P703" s="26"/>
      <c r="Q703" s="58"/>
      <c r="R703" s="58"/>
      <c r="S703" s="80"/>
      <c r="T703" s="68" t="str">
        <f aca="false">IF(LEFT(S703,1)="9","Celular",IF(S703="","","Fixo"))</f>
        <v/>
      </c>
      <c r="U703" s="58" t="str">
        <f aca="false">IF( T703&lt;&gt;"",VLOOKUP(T703,Selects!$M$4:$N$1000,2,0),"")</f>
        <v/>
      </c>
      <c r="V703" s="26"/>
      <c r="W703" s="58"/>
      <c r="X703" s="58"/>
      <c r="Y703" s="58"/>
      <c r="Z703" s="58"/>
      <c r="AA703" s="69"/>
      <c r="AB703" s="58"/>
      <c r="AC703" s="58"/>
      <c r="AD703" s="70" t="str">
        <f aca="false">IF(AC703&lt;&gt;"",VLOOKUP(AC703,Selects!$B$4:$C$100,2,0),"")</f>
        <v/>
      </c>
      <c r="AE703" s="26"/>
      <c r="AF703" s="58"/>
      <c r="AG703" s="59"/>
      <c r="AH703" s="65"/>
      <c r="AI703" s="66"/>
      <c r="AJ703" s="66"/>
      <c r="AK703" s="58"/>
      <c r="AL703" s="58"/>
      <c r="AM703" s="68" t="str">
        <f aca="false">IF(LEFT(AL703,1)="9","Celular",IF(AL703="","","Fixo"))</f>
        <v/>
      </c>
      <c r="AN703" s="58" t="str">
        <f aca="false">IF( AM703&lt;&gt;"",VLOOKUP(AM703,Selects!$M$4:$N$1000,2,0),"")</f>
        <v/>
      </c>
      <c r="AO703" s="58"/>
      <c r="AP703" s="59"/>
      <c r="AQ703" s="65"/>
      <c r="AR703" s="58"/>
      <c r="AS703" s="58"/>
      <c r="AT703" s="26"/>
      <c r="AU703" s="58"/>
      <c r="AV703" s="58"/>
      <c r="AW703" s="58"/>
      <c r="AX703" s="58"/>
      <c r="AY703" s="71"/>
      <c r="AZ703" s="58"/>
      <c r="BA703" s="58"/>
      <c r="BB703" s="72" t="str">
        <f aca="false">IF(BA703&lt;&gt;"",VLOOKUP(BA703,Selects!$B$4:$C$100,2,0),"")</f>
        <v/>
      </c>
      <c r="BC703" s="26"/>
      <c r="BD703" s="26"/>
      <c r="BE703" s="73"/>
      <c r="BF703" s="74"/>
      <c r="BG703" s="75" t="str">
        <f aca="false">IF(LEN(BF703)=11,"PF",IF(LEN(BF703)=14,"PJ",""))</f>
        <v/>
      </c>
      <c r="BH703" s="66"/>
      <c r="BI703" s="58" t="str">
        <f aca="false">IF(BH703&lt;&gt;"",VLOOKUP(BH703,Selects!$G:$H,2,0),"")</f>
        <v/>
      </c>
      <c r="BJ703" s="58"/>
      <c r="BK703" s="58"/>
      <c r="BL703" s="59"/>
      <c r="BM703" s="58"/>
      <c r="BN703" s="58"/>
      <c r="BO703" s="58" t="str">
        <f aca="false">IF(BN703&lt;&gt;"",VLOOKUP(BN703,Selects!$J$4:$K$1000,2,0),"")</f>
        <v/>
      </c>
      <c r="BP703" s="76"/>
      <c r="BQ703" s="59"/>
      <c r="BR703" s="77"/>
      <c r="BS703" s="59"/>
      <c r="BT703" s="77"/>
      <c r="BU703" s="58"/>
      <c r="BV703" s="58"/>
      <c r="BW703" s="58"/>
      <c r="BX703" s="58"/>
      <c r="BY703" s="58"/>
      <c r="BZ703" s="58"/>
      <c r="CA703" s="58"/>
      <c r="CB703" s="72" t="str">
        <f aca="false">IF(AC703&lt;&gt;"",VLOOKUP(AC703,Selects!$B:$E,4,0),"")</f>
        <v/>
      </c>
      <c r="CC703" s="58"/>
      <c r="CD703" s="58"/>
      <c r="CE703" s="58"/>
    </row>
    <row r="704" customFormat="false" ht="15.75" hidden="false" customHeight="true" outlineLevel="0" collapsed="false">
      <c r="A704" s="17"/>
      <c r="B704" s="58"/>
      <c r="C704" s="58"/>
      <c r="D704" s="59"/>
      <c r="E704" s="60" t="str">
        <f aca="false">IF(LEN(D704)=11,"PF",IF(LEN(D704)=14,"PJ",""))</f>
        <v/>
      </c>
      <c r="F704" s="59"/>
      <c r="G704" s="59"/>
      <c r="H704" s="61" t="str">
        <f aca="false">IF(G704&lt;&gt;"",VLOOKUP(G704,'Cnae  mcc  id'!$A:$M,9,0),"")</f>
        <v/>
      </c>
      <c r="I704" s="62"/>
      <c r="J704" s="63" t="str">
        <f aca="false">IF(I704&lt;&gt;"",VLOOKUP(I704,'Legal Nature'!$E$2:$G$84,3,0),"")</f>
        <v/>
      </c>
      <c r="K704" s="64"/>
      <c r="L704" s="65"/>
      <c r="M704" s="66"/>
      <c r="N704" s="66"/>
      <c r="O704" s="79"/>
      <c r="P704" s="26"/>
      <c r="Q704" s="58"/>
      <c r="R704" s="58"/>
      <c r="S704" s="80"/>
      <c r="T704" s="68" t="str">
        <f aca="false">IF(LEFT(S704,1)="9","Celular",IF(S704="","","Fixo"))</f>
        <v/>
      </c>
      <c r="U704" s="58" t="str">
        <f aca="false">IF( T704&lt;&gt;"",VLOOKUP(T704,Selects!$M$4:$N$1000,2,0),"")</f>
        <v/>
      </c>
      <c r="V704" s="26"/>
      <c r="W704" s="58"/>
      <c r="X704" s="58"/>
      <c r="Y704" s="58"/>
      <c r="Z704" s="58"/>
      <c r="AA704" s="69"/>
      <c r="AB704" s="58"/>
      <c r="AC704" s="58"/>
      <c r="AD704" s="70" t="str">
        <f aca="false">IF(AC704&lt;&gt;"",VLOOKUP(AC704,Selects!$B$4:$C$100,2,0),"")</f>
        <v/>
      </c>
      <c r="AE704" s="26"/>
      <c r="AF704" s="58"/>
      <c r="AG704" s="59"/>
      <c r="AH704" s="65"/>
      <c r="AI704" s="66"/>
      <c r="AJ704" s="66"/>
      <c r="AK704" s="58"/>
      <c r="AL704" s="58"/>
      <c r="AM704" s="68" t="str">
        <f aca="false">IF(LEFT(AL704,1)="9","Celular",IF(AL704="","","Fixo"))</f>
        <v/>
      </c>
      <c r="AN704" s="58" t="str">
        <f aca="false">IF( AM704&lt;&gt;"",VLOOKUP(AM704,Selects!$M$4:$N$1000,2,0),"")</f>
        <v/>
      </c>
      <c r="AO704" s="58"/>
      <c r="AP704" s="59"/>
      <c r="AQ704" s="65"/>
      <c r="AR704" s="58"/>
      <c r="AS704" s="58"/>
      <c r="AT704" s="26"/>
      <c r="AU704" s="58"/>
      <c r="AV704" s="58"/>
      <c r="AW704" s="58"/>
      <c r="AX704" s="58"/>
      <c r="AY704" s="71"/>
      <c r="AZ704" s="58"/>
      <c r="BA704" s="58"/>
      <c r="BB704" s="72" t="str">
        <f aca="false">IF(BA704&lt;&gt;"",VLOOKUP(BA704,Selects!$B$4:$C$100,2,0),"")</f>
        <v/>
      </c>
      <c r="BC704" s="26"/>
      <c r="BD704" s="26"/>
      <c r="BE704" s="73"/>
      <c r="BF704" s="74"/>
      <c r="BG704" s="75" t="str">
        <f aca="false">IF(LEN(BF704)=11,"PF",IF(LEN(BF704)=14,"PJ",""))</f>
        <v/>
      </c>
      <c r="BH704" s="66"/>
      <c r="BI704" s="58" t="str">
        <f aca="false">IF(BH704&lt;&gt;"",VLOOKUP(BH704,Selects!$G:$H,2,0),"")</f>
        <v/>
      </c>
      <c r="BJ704" s="58"/>
      <c r="BK704" s="58"/>
      <c r="BL704" s="59"/>
      <c r="BM704" s="58"/>
      <c r="BN704" s="58"/>
      <c r="BO704" s="58" t="str">
        <f aca="false">IF(BN704&lt;&gt;"",VLOOKUP(BN704,Selects!$J$4:$K$1000,2,0),"")</f>
        <v/>
      </c>
      <c r="BP704" s="76"/>
      <c r="BQ704" s="59"/>
      <c r="BR704" s="77"/>
      <c r="BS704" s="59"/>
      <c r="BT704" s="77"/>
      <c r="BU704" s="58"/>
      <c r="BV704" s="58"/>
      <c r="BW704" s="58"/>
      <c r="BX704" s="58"/>
      <c r="BY704" s="58"/>
      <c r="BZ704" s="58"/>
      <c r="CA704" s="58"/>
      <c r="CB704" s="72" t="str">
        <f aca="false">IF(AC704&lt;&gt;"",VLOOKUP(AC704,Selects!$B:$E,4,0),"")</f>
        <v/>
      </c>
      <c r="CC704" s="58"/>
      <c r="CD704" s="58"/>
      <c r="CE704" s="58"/>
    </row>
    <row r="705" customFormat="false" ht="15.75" hidden="false" customHeight="true" outlineLevel="0" collapsed="false">
      <c r="A705" s="17"/>
      <c r="B705" s="58"/>
      <c r="C705" s="58"/>
      <c r="D705" s="59"/>
      <c r="E705" s="60" t="str">
        <f aca="false">IF(LEN(D705)=11,"PF",IF(LEN(D705)=14,"PJ",""))</f>
        <v/>
      </c>
      <c r="F705" s="59"/>
      <c r="G705" s="59"/>
      <c r="H705" s="61" t="str">
        <f aca="false">IF(G705&lt;&gt;"",VLOOKUP(G705,'Cnae  mcc  id'!$A:$M,9,0),"")</f>
        <v/>
      </c>
      <c r="I705" s="62"/>
      <c r="J705" s="63" t="str">
        <f aca="false">IF(I705&lt;&gt;"",VLOOKUP(I705,'Legal Nature'!$E$2:$G$84,3,0),"")</f>
        <v/>
      </c>
      <c r="K705" s="64"/>
      <c r="L705" s="65"/>
      <c r="M705" s="66"/>
      <c r="N705" s="66"/>
      <c r="O705" s="79"/>
      <c r="P705" s="26"/>
      <c r="Q705" s="58"/>
      <c r="R705" s="58"/>
      <c r="S705" s="80"/>
      <c r="T705" s="68" t="str">
        <f aca="false">IF(LEFT(S705,1)="9","Celular",IF(S705="","","Fixo"))</f>
        <v/>
      </c>
      <c r="U705" s="58" t="str">
        <f aca="false">IF( T705&lt;&gt;"",VLOOKUP(T705,Selects!$M$4:$N$1000,2,0),"")</f>
        <v/>
      </c>
      <c r="V705" s="26"/>
      <c r="W705" s="58"/>
      <c r="X705" s="58"/>
      <c r="Y705" s="58"/>
      <c r="Z705" s="58"/>
      <c r="AA705" s="69"/>
      <c r="AB705" s="58"/>
      <c r="AC705" s="58"/>
      <c r="AD705" s="70" t="str">
        <f aca="false">IF(AC705&lt;&gt;"",VLOOKUP(AC705,Selects!$B$4:$C$100,2,0),"")</f>
        <v/>
      </c>
      <c r="AE705" s="26"/>
      <c r="AF705" s="58"/>
      <c r="AG705" s="59"/>
      <c r="AH705" s="65"/>
      <c r="AI705" s="66"/>
      <c r="AJ705" s="66"/>
      <c r="AK705" s="58"/>
      <c r="AL705" s="58"/>
      <c r="AM705" s="68" t="str">
        <f aca="false">IF(LEFT(AL705,1)="9","Celular",IF(AL705="","","Fixo"))</f>
        <v/>
      </c>
      <c r="AN705" s="58" t="str">
        <f aca="false">IF( AM705&lt;&gt;"",VLOOKUP(AM705,Selects!$M$4:$N$1000,2,0),"")</f>
        <v/>
      </c>
      <c r="AO705" s="58"/>
      <c r="AP705" s="59"/>
      <c r="AQ705" s="65"/>
      <c r="AR705" s="58"/>
      <c r="AS705" s="58"/>
      <c r="AT705" s="26"/>
      <c r="AU705" s="58"/>
      <c r="AV705" s="58"/>
      <c r="AW705" s="58"/>
      <c r="AX705" s="58"/>
      <c r="AY705" s="71"/>
      <c r="AZ705" s="58"/>
      <c r="BA705" s="58"/>
      <c r="BB705" s="72" t="str">
        <f aca="false">IF(BA705&lt;&gt;"",VLOOKUP(BA705,Selects!$B$4:$C$100,2,0),"")</f>
        <v/>
      </c>
      <c r="BC705" s="26"/>
      <c r="BD705" s="26"/>
      <c r="BE705" s="73"/>
      <c r="BF705" s="74"/>
      <c r="BG705" s="75" t="str">
        <f aca="false">IF(LEN(BF705)=11,"PF",IF(LEN(BF705)=14,"PJ",""))</f>
        <v/>
      </c>
      <c r="BH705" s="66"/>
      <c r="BI705" s="58" t="str">
        <f aca="false">IF(BH705&lt;&gt;"",VLOOKUP(BH705,Selects!$G:$H,2,0),"")</f>
        <v/>
      </c>
      <c r="BJ705" s="58"/>
      <c r="BK705" s="58"/>
      <c r="BL705" s="59"/>
      <c r="BM705" s="58"/>
      <c r="BN705" s="58"/>
      <c r="BO705" s="58" t="str">
        <f aca="false">IF(BN705&lt;&gt;"",VLOOKUP(BN705,Selects!$J$4:$K$1000,2,0),"")</f>
        <v/>
      </c>
      <c r="BP705" s="76"/>
      <c r="BQ705" s="59"/>
      <c r="BR705" s="77"/>
      <c r="BS705" s="59"/>
      <c r="BT705" s="77"/>
      <c r="BU705" s="58"/>
      <c r="BV705" s="58"/>
      <c r="BW705" s="58"/>
      <c r="BX705" s="58"/>
      <c r="BY705" s="58"/>
      <c r="BZ705" s="58"/>
      <c r="CA705" s="58"/>
      <c r="CB705" s="72" t="str">
        <f aca="false">IF(AC705&lt;&gt;"",VLOOKUP(AC705,Selects!$B:$E,4,0),"")</f>
        <v/>
      </c>
      <c r="CC705" s="58"/>
      <c r="CD705" s="58"/>
      <c r="CE705" s="58"/>
    </row>
    <row r="706" customFormat="false" ht="15.75" hidden="false" customHeight="true" outlineLevel="0" collapsed="false">
      <c r="A706" s="17"/>
      <c r="B706" s="58"/>
      <c r="C706" s="58"/>
      <c r="D706" s="59"/>
      <c r="E706" s="60" t="str">
        <f aca="false">IF(LEN(D706)=11,"PF",IF(LEN(D706)=14,"PJ",""))</f>
        <v/>
      </c>
      <c r="F706" s="59"/>
      <c r="G706" s="59"/>
      <c r="H706" s="61" t="str">
        <f aca="false">IF(G706&lt;&gt;"",VLOOKUP(G706,'Cnae  mcc  id'!$A:$M,9,0),"")</f>
        <v/>
      </c>
      <c r="I706" s="62"/>
      <c r="J706" s="63" t="str">
        <f aca="false">IF(I706&lt;&gt;"",VLOOKUP(I706,'Legal Nature'!$E$2:$G$84,3,0),"")</f>
        <v/>
      </c>
      <c r="K706" s="64"/>
      <c r="L706" s="65"/>
      <c r="M706" s="66"/>
      <c r="N706" s="66"/>
      <c r="O706" s="79"/>
      <c r="P706" s="26"/>
      <c r="Q706" s="58"/>
      <c r="R706" s="58"/>
      <c r="S706" s="80"/>
      <c r="T706" s="68" t="str">
        <f aca="false">IF(LEFT(S706,1)="9","Celular",IF(S706="","","Fixo"))</f>
        <v/>
      </c>
      <c r="U706" s="58" t="str">
        <f aca="false">IF( T706&lt;&gt;"",VLOOKUP(T706,Selects!$M$4:$N$1000,2,0),"")</f>
        <v/>
      </c>
      <c r="V706" s="26"/>
      <c r="W706" s="58"/>
      <c r="X706" s="58"/>
      <c r="Y706" s="58"/>
      <c r="Z706" s="58"/>
      <c r="AA706" s="69"/>
      <c r="AB706" s="58"/>
      <c r="AC706" s="58"/>
      <c r="AD706" s="70" t="str">
        <f aca="false">IF(AC706&lt;&gt;"",VLOOKUP(AC706,Selects!$B$4:$C$100,2,0),"")</f>
        <v/>
      </c>
      <c r="AE706" s="26"/>
      <c r="AF706" s="58"/>
      <c r="AG706" s="59"/>
      <c r="AH706" s="65"/>
      <c r="AI706" s="66"/>
      <c r="AJ706" s="66"/>
      <c r="AK706" s="58"/>
      <c r="AL706" s="58"/>
      <c r="AM706" s="68" t="str">
        <f aca="false">IF(LEFT(AL706,1)="9","Celular",IF(AL706="","","Fixo"))</f>
        <v/>
      </c>
      <c r="AN706" s="58" t="str">
        <f aca="false">IF( AM706&lt;&gt;"",VLOOKUP(AM706,Selects!$M$4:$N$1000,2,0),"")</f>
        <v/>
      </c>
      <c r="AO706" s="58"/>
      <c r="AP706" s="59"/>
      <c r="AQ706" s="65"/>
      <c r="AR706" s="58"/>
      <c r="AS706" s="58"/>
      <c r="AT706" s="26"/>
      <c r="AU706" s="58"/>
      <c r="AV706" s="58"/>
      <c r="AW706" s="58"/>
      <c r="AX706" s="58"/>
      <c r="AY706" s="71"/>
      <c r="AZ706" s="58"/>
      <c r="BA706" s="58"/>
      <c r="BB706" s="72" t="str">
        <f aca="false">IF(BA706&lt;&gt;"",VLOOKUP(BA706,Selects!$B$4:$C$100,2,0),"")</f>
        <v/>
      </c>
      <c r="BC706" s="26"/>
      <c r="BD706" s="26"/>
      <c r="BE706" s="73"/>
      <c r="BF706" s="74"/>
      <c r="BG706" s="75" t="str">
        <f aca="false">IF(LEN(BF706)=11,"PF",IF(LEN(BF706)=14,"PJ",""))</f>
        <v/>
      </c>
      <c r="BH706" s="66"/>
      <c r="BI706" s="58" t="str">
        <f aca="false">IF(BH706&lt;&gt;"",VLOOKUP(BH706,Selects!$G:$H,2,0),"")</f>
        <v/>
      </c>
      <c r="BJ706" s="58"/>
      <c r="BK706" s="58"/>
      <c r="BL706" s="59"/>
      <c r="BM706" s="58"/>
      <c r="BN706" s="58"/>
      <c r="BO706" s="58" t="str">
        <f aca="false">IF(BN706&lt;&gt;"",VLOOKUP(BN706,Selects!$J$4:$K$1000,2,0),"")</f>
        <v/>
      </c>
      <c r="BP706" s="76"/>
      <c r="BQ706" s="59"/>
      <c r="BR706" s="77"/>
      <c r="BS706" s="59"/>
      <c r="BT706" s="77"/>
      <c r="BU706" s="58"/>
      <c r="BV706" s="58"/>
      <c r="BW706" s="58"/>
      <c r="BX706" s="58"/>
      <c r="BY706" s="58"/>
      <c r="BZ706" s="58"/>
      <c r="CA706" s="58"/>
      <c r="CB706" s="72" t="str">
        <f aca="false">IF(AC706&lt;&gt;"",VLOOKUP(AC706,Selects!$B:$E,4,0),"")</f>
        <v/>
      </c>
      <c r="CC706" s="58"/>
      <c r="CD706" s="58"/>
      <c r="CE706" s="58"/>
    </row>
    <row r="707" customFormat="false" ht="15.75" hidden="false" customHeight="true" outlineLevel="0" collapsed="false">
      <c r="A707" s="17"/>
      <c r="B707" s="58"/>
      <c r="C707" s="58"/>
      <c r="D707" s="59"/>
      <c r="E707" s="60" t="str">
        <f aca="false">IF(LEN(D707)=11,"PF",IF(LEN(D707)=14,"PJ",""))</f>
        <v/>
      </c>
      <c r="F707" s="59"/>
      <c r="G707" s="59"/>
      <c r="H707" s="61" t="str">
        <f aca="false">IF(G707&lt;&gt;"",VLOOKUP(G707,'Cnae  mcc  id'!$A:$M,9,0),"")</f>
        <v/>
      </c>
      <c r="I707" s="62"/>
      <c r="J707" s="63" t="str">
        <f aca="false">IF(I707&lt;&gt;"",VLOOKUP(I707,'Legal Nature'!$E$2:$G$84,3,0),"")</f>
        <v/>
      </c>
      <c r="K707" s="64"/>
      <c r="L707" s="65"/>
      <c r="M707" s="66"/>
      <c r="N707" s="66"/>
      <c r="O707" s="79"/>
      <c r="P707" s="26"/>
      <c r="Q707" s="58"/>
      <c r="R707" s="58"/>
      <c r="S707" s="80"/>
      <c r="T707" s="68" t="str">
        <f aca="false">IF(LEFT(S707,1)="9","Celular",IF(S707="","","Fixo"))</f>
        <v/>
      </c>
      <c r="U707" s="58" t="str">
        <f aca="false">IF( T707&lt;&gt;"",VLOOKUP(T707,Selects!$M$4:$N$1000,2,0),"")</f>
        <v/>
      </c>
      <c r="V707" s="26"/>
      <c r="W707" s="58"/>
      <c r="X707" s="58"/>
      <c r="Y707" s="58"/>
      <c r="Z707" s="58"/>
      <c r="AA707" s="69"/>
      <c r="AB707" s="58"/>
      <c r="AC707" s="58"/>
      <c r="AD707" s="70" t="str">
        <f aca="false">IF(AC707&lt;&gt;"",VLOOKUP(AC707,Selects!$B$4:$C$100,2,0),"")</f>
        <v/>
      </c>
      <c r="AE707" s="26"/>
      <c r="AF707" s="58"/>
      <c r="AG707" s="59"/>
      <c r="AH707" s="65"/>
      <c r="AI707" s="66"/>
      <c r="AJ707" s="66"/>
      <c r="AK707" s="58"/>
      <c r="AL707" s="58"/>
      <c r="AM707" s="68" t="str">
        <f aca="false">IF(LEFT(AL707,1)="9","Celular",IF(AL707="","","Fixo"))</f>
        <v/>
      </c>
      <c r="AN707" s="58" t="str">
        <f aca="false">IF( AM707&lt;&gt;"",VLOOKUP(AM707,Selects!$M$4:$N$1000,2,0),"")</f>
        <v/>
      </c>
      <c r="AO707" s="58"/>
      <c r="AP707" s="59"/>
      <c r="AQ707" s="65"/>
      <c r="AR707" s="58"/>
      <c r="AS707" s="58"/>
      <c r="AT707" s="26"/>
      <c r="AU707" s="58"/>
      <c r="AV707" s="58"/>
      <c r="AW707" s="58"/>
      <c r="AX707" s="58"/>
      <c r="AY707" s="71"/>
      <c r="AZ707" s="58"/>
      <c r="BA707" s="58"/>
      <c r="BB707" s="72" t="str">
        <f aca="false">IF(BA707&lt;&gt;"",VLOOKUP(BA707,Selects!$B$4:$C$100,2,0),"")</f>
        <v/>
      </c>
      <c r="BC707" s="26"/>
      <c r="BD707" s="26"/>
      <c r="BE707" s="73"/>
      <c r="BF707" s="74"/>
      <c r="BG707" s="75" t="str">
        <f aca="false">IF(LEN(BF707)=11,"PF",IF(LEN(BF707)=14,"PJ",""))</f>
        <v/>
      </c>
      <c r="BH707" s="66"/>
      <c r="BI707" s="58" t="str">
        <f aca="false">IF(BH707&lt;&gt;"",VLOOKUP(BH707,Selects!$G:$H,2,0),"")</f>
        <v/>
      </c>
      <c r="BJ707" s="58"/>
      <c r="BK707" s="58"/>
      <c r="BL707" s="59"/>
      <c r="BM707" s="58"/>
      <c r="BN707" s="58"/>
      <c r="BO707" s="58" t="str">
        <f aca="false">IF(BN707&lt;&gt;"",VLOOKUP(BN707,Selects!$J$4:$K$1000,2,0),"")</f>
        <v/>
      </c>
      <c r="BP707" s="76"/>
      <c r="BQ707" s="59"/>
      <c r="BR707" s="77"/>
      <c r="BS707" s="59"/>
      <c r="BT707" s="77"/>
      <c r="BU707" s="58"/>
      <c r="BV707" s="58"/>
      <c r="BW707" s="58"/>
      <c r="BX707" s="58"/>
      <c r="BY707" s="58"/>
      <c r="BZ707" s="58"/>
      <c r="CA707" s="58"/>
      <c r="CB707" s="72" t="str">
        <f aca="false">IF(AC707&lt;&gt;"",VLOOKUP(AC707,Selects!$B:$E,4,0),"")</f>
        <v/>
      </c>
      <c r="CC707" s="58"/>
      <c r="CD707" s="58"/>
      <c r="CE707" s="58"/>
    </row>
    <row r="708" customFormat="false" ht="15.75" hidden="false" customHeight="true" outlineLevel="0" collapsed="false">
      <c r="A708" s="17"/>
      <c r="B708" s="58"/>
      <c r="C708" s="58"/>
      <c r="D708" s="59"/>
      <c r="E708" s="60" t="str">
        <f aca="false">IF(LEN(D708)=11,"PF",IF(LEN(D708)=14,"PJ",""))</f>
        <v/>
      </c>
      <c r="F708" s="59"/>
      <c r="G708" s="59"/>
      <c r="H708" s="61" t="str">
        <f aca="false">IF(G708&lt;&gt;"",VLOOKUP(G708,'Cnae  mcc  id'!$A:$M,9,0),"")</f>
        <v/>
      </c>
      <c r="I708" s="62"/>
      <c r="J708" s="63" t="str">
        <f aca="false">IF(I708&lt;&gt;"",VLOOKUP(I708,'Legal Nature'!$E$2:$G$84,3,0),"")</f>
        <v/>
      </c>
      <c r="K708" s="64"/>
      <c r="L708" s="65"/>
      <c r="M708" s="66"/>
      <c r="N708" s="66"/>
      <c r="O708" s="79"/>
      <c r="P708" s="26"/>
      <c r="Q708" s="58"/>
      <c r="R708" s="58"/>
      <c r="S708" s="80"/>
      <c r="T708" s="68" t="str">
        <f aca="false">IF(LEFT(S708,1)="9","Celular",IF(S708="","","Fixo"))</f>
        <v/>
      </c>
      <c r="U708" s="58" t="str">
        <f aca="false">IF( T708&lt;&gt;"",VLOOKUP(T708,Selects!$M$4:$N$1000,2,0),"")</f>
        <v/>
      </c>
      <c r="V708" s="26"/>
      <c r="W708" s="58"/>
      <c r="X708" s="58"/>
      <c r="Y708" s="58"/>
      <c r="Z708" s="58"/>
      <c r="AA708" s="69"/>
      <c r="AB708" s="58"/>
      <c r="AC708" s="58"/>
      <c r="AD708" s="70" t="str">
        <f aca="false">IF(AC708&lt;&gt;"",VLOOKUP(AC708,Selects!$B$4:$C$100,2,0),"")</f>
        <v/>
      </c>
      <c r="AE708" s="26"/>
      <c r="AF708" s="58"/>
      <c r="AG708" s="59"/>
      <c r="AH708" s="65"/>
      <c r="AI708" s="66"/>
      <c r="AJ708" s="66"/>
      <c r="AK708" s="58"/>
      <c r="AL708" s="58"/>
      <c r="AM708" s="68" t="str">
        <f aca="false">IF(LEFT(AL708,1)="9","Celular",IF(AL708="","","Fixo"))</f>
        <v/>
      </c>
      <c r="AN708" s="58" t="str">
        <f aca="false">IF( AM708&lt;&gt;"",VLOOKUP(AM708,Selects!$M$4:$N$1000,2,0),"")</f>
        <v/>
      </c>
      <c r="AO708" s="58"/>
      <c r="AP708" s="59"/>
      <c r="AQ708" s="65"/>
      <c r="AR708" s="58"/>
      <c r="AS708" s="58"/>
      <c r="AT708" s="26"/>
      <c r="AU708" s="58"/>
      <c r="AV708" s="58"/>
      <c r="AW708" s="58"/>
      <c r="AX708" s="58"/>
      <c r="AY708" s="71"/>
      <c r="AZ708" s="58"/>
      <c r="BA708" s="58"/>
      <c r="BB708" s="72" t="str">
        <f aca="false">IF(BA708&lt;&gt;"",VLOOKUP(BA708,Selects!$B$4:$C$100,2,0),"")</f>
        <v/>
      </c>
      <c r="BC708" s="26"/>
      <c r="BD708" s="26"/>
      <c r="BE708" s="73"/>
      <c r="BF708" s="74"/>
      <c r="BG708" s="75" t="str">
        <f aca="false">IF(LEN(BF708)=11,"PF",IF(LEN(BF708)=14,"PJ",""))</f>
        <v/>
      </c>
      <c r="BH708" s="66"/>
      <c r="BI708" s="58" t="str">
        <f aca="false">IF(BH708&lt;&gt;"",VLOOKUP(BH708,Selects!$G:$H,2,0),"")</f>
        <v/>
      </c>
      <c r="BJ708" s="58"/>
      <c r="BK708" s="58"/>
      <c r="BL708" s="59"/>
      <c r="BM708" s="58"/>
      <c r="BN708" s="58"/>
      <c r="BO708" s="58" t="str">
        <f aca="false">IF(BN708&lt;&gt;"",VLOOKUP(BN708,Selects!$J$4:$K$1000,2,0),"")</f>
        <v/>
      </c>
      <c r="BP708" s="76"/>
      <c r="BQ708" s="59"/>
      <c r="BR708" s="77"/>
      <c r="BS708" s="59"/>
      <c r="BT708" s="77"/>
      <c r="BU708" s="58"/>
      <c r="BV708" s="58"/>
      <c r="BW708" s="58"/>
      <c r="BX708" s="58"/>
      <c r="BY708" s="58"/>
      <c r="BZ708" s="58"/>
      <c r="CA708" s="58"/>
      <c r="CB708" s="72" t="str">
        <f aca="false">IF(AC708&lt;&gt;"",VLOOKUP(AC708,Selects!$B:$E,4,0),"")</f>
        <v/>
      </c>
      <c r="CC708" s="58"/>
      <c r="CD708" s="58"/>
      <c r="CE708" s="58"/>
    </row>
    <row r="709" customFormat="false" ht="15.75" hidden="false" customHeight="true" outlineLevel="0" collapsed="false">
      <c r="A709" s="17"/>
      <c r="B709" s="58"/>
      <c r="C709" s="58"/>
      <c r="D709" s="59"/>
      <c r="E709" s="60" t="str">
        <f aca="false">IF(LEN(D709)=11,"PF",IF(LEN(D709)=14,"PJ",""))</f>
        <v/>
      </c>
      <c r="F709" s="59"/>
      <c r="G709" s="59"/>
      <c r="H709" s="61" t="str">
        <f aca="false">IF(G709&lt;&gt;"",VLOOKUP(G709,'Cnae  mcc  id'!$A:$M,9,0),"")</f>
        <v/>
      </c>
      <c r="I709" s="62"/>
      <c r="J709" s="63" t="str">
        <f aca="false">IF(I709&lt;&gt;"",VLOOKUP(I709,'Legal Nature'!$E$2:$G$84,3,0),"")</f>
        <v/>
      </c>
      <c r="K709" s="64"/>
      <c r="L709" s="65"/>
      <c r="M709" s="66"/>
      <c r="N709" s="66"/>
      <c r="O709" s="79"/>
      <c r="P709" s="26"/>
      <c r="Q709" s="58"/>
      <c r="R709" s="58"/>
      <c r="S709" s="80"/>
      <c r="T709" s="68" t="str">
        <f aca="false">IF(LEFT(S709,1)="9","Celular",IF(S709="","","Fixo"))</f>
        <v/>
      </c>
      <c r="U709" s="58" t="str">
        <f aca="false">IF( T709&lt;&gt;"",VLOOKUP(T709,Selects!$M$4:$N$1000,2,0),"")</f>
        <v/>
      </c>
      <c r="V709" s="26"/>
      <c r="W709" s="58"/>
      <c r="X709" s="58"/>
      <c r="Y709" s="58"/>
      <c r="Z709" s="58"/>
      <c r="AA709" s="69"/>
      <c r="AB709" s="58"/>
      <c r="AC709" s="58"/>
      <c r="AD709" s="70" t="str">
        <f aca="false">IF(AC709&lt;&gt;"",VLOOKUP(AC709,Selects!$B$4:$C$100,2,0),"")</f>
        <v/>
      </c>
      <c r="AE709" s="26"/>
      <c r="AF709" s="58"/>
      <c r="AG709" s="59"/>
      <c r="AH709" s="65"/>
      <c r="AI709" s="66"/>
      <c r="AJ709" s="66"/>
      <c r="AK709" s="58"/>
      <c r="AL709" s="58"/>
      <c r="AM709" s="68" t="str">
        <f aca="false">IF(LEFT(AL709,1)="9","Celular",IF(AL709="","","Fixo"))</f>
        <v/>
      </c>
      <c r="AN709" s="58" t="str">
        <f aca="false">IF( AM709&lt;&gt;"",VLOOKUP(AM709,Selects!$M$4:$N$1000,2,0),"")</f>
        <v/>
      </c>
      <c r="AO709" s="58"/>
      <c r="AP709" s="59"/>
      <c r="AQ709" s="65"/>
      <c r="AR709" s="58"/>
      <c r="AS709" s="58"/>
      <c r="AT709" s="26"/>
      <c r="AU709" s="58"/>
      <c r="AV709" s="58"/>
      <c r="AW709" s="58"/>
      <c r="AX709" s="58"/>
      <c r="AY709" s="71"/>
      <c r="AZ709" s="58"/>
      <c r="BA709" s="58"/>
      <c r="BB709" s="72" t="str">
        <f aca="false">IF(BA709&lt;&gt;"",VLOOKUP(BA709,Selects!$B$4:$C$100,2,0),"")</f>
        <v/>
      </c>
      <c r="BC709" s="26"/>
      <c r="BD709" s="26"/>
      <c r="BE709" s="73"/>
      <c r="BF709" s="74"/>
      <c r="BG709" s="75" t="str">
        <f aca="false">IF(LEN(BF709)=11,"PF",IF(LEN(BF709)=14,"PJ",""))</f>
        <v/>
      </c>
      <c r="BH709" s="66"/>
      <c r="BI709" s="58" t="str">
        <f aca="false">IF(BH709&lt;&gt;"",VLOOKUP(BH709,Selects!$G:$H,2,0),"")</f>
        <v/>
      </c>
      <c r="BJ709" s="58"/>
      <c r="BK709" s="58"/>
      <c r="BL709" s="59"/>
      <c r="BM709" s="58"/>
      <c r="BN709" s="58"/>
      <c r="BO709" s="58" t="str">
        <f aca="false">IF(BN709&lt;&gt;"",VLOOKUP(BN709,Selects!$J$4:$K$1000,2,0),"")</f>
        <v/>
      </c>
      <c r="BP709" s="76"/>
      <c r="BQ709" s="59"/>
      <c r="BR709" s="77"/>
      <c r="BS709" s="59"/>
      <c r="BT709" s="77"/>
      <c r="BU709" s="58"/>
      <c r="BV709" s="58"/>
      <c r="BW709" s="58"/>
      <c r="BX709" s="58"/>
      <c r="BY709" s="58"/>
      <c r="BZ709" s="58"/>
      <c r="CA709" s="58"/>
      <c r="CB709" s="72" t="str">
        <f aca="false">IF(AC709&lt;&gt;"",VLOOKUP(AC709,Selects!$B:$E,4,0),"")</f>
        <v/>
      </c>
      <c r="CC709" s="58"/>
      <c r="CD709" s="58"/>
      <c r="CE709" s="58"/>
    </row>
    <row r="710" customFormat="false" ht="15.75" hidden="false" customHeight="true" outlineLevel="0" collapsed="false">
      <c r="A710" s="17"/>
      <c r="B710" s="58"/>
      <c r="C710" s="58"/>
      <c r="D710" s="59"/>
      <c r="E710" s="60" t="str">
        <f aca="false">IF(LEN(D710)=11,"PF",IF(LEN(D710)=14,"PJ",""))</f>
        <v/>
      </c>
      <c r="F710" s="59"/>
      <c r="G710" s="59"/>
      <c r="H710" s="61" t="str">
        <f aca="false">IF(G710&lt;&gt;"",VLOOKUP(G710,'Cnae  mcc  id'!$A:$M,9,0),"")</f>
        <v/>
      </c>
      <c r="I710" s="62"/>
      <c r="J710" s="63" t="str">
        <f aca="false">IF(I710&lt;&gt;"",VLOOKUP(I710,'Legal Nature'!$E$2:$G$84,3,0),"")</f>
        <v/>
      </c>
      <c r="K710" s="64"/>
      <c r="L710" s="65"/>
      <c r="M710" s="66"/>
      <c r="N710" s="66"/>
      <c r="O710" s="79"/>
      <c r="P710" s="26"/>
      <c r="Q710" s="58"/>
      <c r="R710" s="58"/>
      <c r="S710" s="80"/>
      <c r="T710" s="68" t="str">
        <f aca="false">IF(LEFT(S710,1)="9","Celular",IF(S710="","","Fixo"))</f>
        <v/>
      </c>
      <c r="U710" s="58" t="str">
        <f aca="false">IF( T710&lt;&gt;"",VLOOKUP(T710,Selects!$M$4:$N$1000,2,0),"")</f>
        <v/>
      </c>
      <c r="V710" s="26"/>
      <c r="W710" s="58"/>
      <c r="X710" s="58"/>
      <c r="Y710" s="58"/>
      <c r="Z710" s="58"/>
      <c r="AA710" s="69"/>
      <c r="AB710" s="58"/>
      <c r="AC710" s="58"/>
      <c r="AD710" s="70" t="str">
        <f aca="false">IF(AC710&lt;&gt;"",VLOOKUP(AC710,Selects!$B$4:$C$100,2,0),"")</f>
        <v/>
      </c>
      <c r="AE710" s="26"/>
      <c r="AF710" s="58"/>
      <c r="AG710" s="59"/>
      <c r="AH710" s="65"/>
      <c r="AI710" s="66"/>
      <c r="AJ710" s="66"/>
      <c r="AK710" s="58"/>
      <c r="AL710" s="58"/>
      <c r="AM710" s="68" t="str">
        <f aca="false">IF(LEFT(AL710,1)="9","Celular",IF(AL710="","","Fixo"))</f>
        <v/>
      </c>
      <c r="AN710" s="58" t="str">
        <f aca="false">IF( AM710&lt;&gt;"",VLOOKUP(AM710,Selects!$M$4:$N$1000,2,0),"")</f>
        <v/>
      </c>
      <c r="AO710" s="58"/>
      <c r="AP710" s="59"/>
      <c r="AQ710" s="65"/>
      <c r="AR710" s="58"/>
      <c r="AS710" s="58"/>
      <c r="AT710" s="26"/>
      <c r="AU710" s="58"/>
      <c r="AV710" s="58"/>
      <c r="AW710" s="58"/>
      <c r="AX710" s="58"/>
      <c r="AY710" s="71"/>
      <c r="AZ710" s="58"/>
      <c r="BA710" s="58"/>
      <c r="BB710" s="72" t="str">
        <f aca="false">IF(BA710&lt;&gt;"",VLOOKUP(BA710,Selects!$B$4:$C$100,2,0),"")</f>
        <v/>
      </c>
      <c r="BC710" s="26"/>
      <c r="BD710" s="26"/>
      <c r="BE710" s="73"/>
      <c r="BF710" s="74"/>
      <c r="BG710" s="75" t="str">
        <f aca="false">IF(LEN(BF710)=11,"PF",IF(LEN(BF710)=14,"PJ",""))</f>
        <v/>
      </c>
      <c r="BH710" s="66"/>
      <c r="BI710" s="58" t="str">
        <f aca="false">IF(BH710&lt;&gt;"",VLOOKUP(BH710,Selects!$G:$H,2,0),"")</f>
        <v/>
      </c>
      <c r="BJ710" s="58"/>
      <c r="BK710" s="58"/>
      <c r="BL710" s="59"/>
      <c r="BM710" s="58"/>
      <c r="BN710" s="58"/>
      <c r="BO710" s="58" t="str">
        <f aca="false">IF(BN710&lt;&gt;"",VLOOKUP(BN710,Selects!$J$4:$K$1000,2,0),"")</f>
        <v/>
      </c>
      <c r="BP710" s="76"/>
      <c r="BQ710" s="59"/>
      <c r="BR710" s="77"/>
      <c r="BS710" s="59"/>
      <c r="BT710" s="77"/>
      <c r="BU710" s="58"/>
      <c r="BV710" s="58"/>
      <c r="BW710" s="58"/>
      <c r="BX710" s="58"/>
      <c r="BY710" s="58"/>
      <c r="BZ710" s="58"/>
      <c r="CA710" s="58"/>
      <c r="CB710" s="72" t="str">
        <f aca="false">IF(AC710&lt;&gt;"",VLOOKUP(AC710,Selects!$B:$E,4,0),"")</f>
        <v/>
      </c>
      <c r="CC710" s="58"/>
      <c r="CD710" s="58"/>
      <c r="CE710" s="58"/>
    </row>
    <row r="711" customFormat="false" ht="15.75" hidden="false" customHeight="true" outlineLevel="0" collapsed="false">
      <c r="A711" s="17"/>
      <c r="B711" s="58"/>
      <c r="C711" s="58"/>
      <c r="D711" s="59"/>
      <c r="E711" s="60" t="str">
        <f aca="false">IF(LEN(D711)=11,"PF",IF(LEN(D711)=14,"PJ",""))</f>
        <v/>
      </c>
      <c r="F711" s="59"/>
      <c r="G711" s="59"/>
      <c r="H711" s="61" t="str">
        <f aca="false">IF(G711&lt;&gt;"",VLOOKUP(G711,'Cnae  mcc  id'!$A:$M,9,0),"")</f>
        <v/>
      </c>
      <c r="I711" s="62"/>
      <c r="J711" s="63" t="str">
        <f aca="false">IF(I711&lt;&gt;"",VLOOKUP(I711,'Legal Nature'!$E$2:$G$84,3,0),"")</f>
        <v/>
      </c>
      <c r="K711" s="64"/>
      <c r="L711" s="65"/>
      <c r="M711" s="66"/>
      <c r="N711" s="66"/>
      <c r="O711" s="79"/>
      <c r="P711" s="26"/>
      <c r="Q711" s="58"/>
      <c r="R711" s="58"/>
      <c r="S711" s="80"/>
      <c r="T711" s="68" t="str">
        <f aca="false">IF(LEFT(S711,1)="9","Celular",IF(S711="","","Fixo"))</f>
        <v/>
      </c>
      <c r="U711" s="58" t="str">
        <f aca="false">IF( T711&lt;&gt;"",VLOOKUP(T711,Selects!$M$4:$N$1000,2,0),"")</f>
        <v/>
      </c>
      <c r="V711" s="26"/>
      <c r="W711" s="58"/>
      <c r="X711" s="58"/>
      <c r="Y711" s="58"/>
      <c r="Z711" s="58"/>
      <c r="AA711" s="69"/>
      <c r="AB711" s="58"/>
      <c r="AC711" s="58"/>
      <c r="AD711" s="70" t="str">
        <f aca="false">IF(AC711&lt;&gt;"",VLOOKUP(AC711,Selects!$B$4:$C$100,2,0),"")</f>
        <v/>
      </c>
      <c r="AE711" s="26"/>
      <c r="AF711" s="58"/>
      <c r="AG711" s="59"/>
      <c r="AH711" s="65"/>
      <c r="AI711" s="66"/>
      <c r="AJ711" s="66"/>
      <c r="AK711" s="58"/>
      <c r="AL711" s="58"/>
      <c r="AM711" s="68" t="str">
        <f aca="false">IF(LEFT(AL711,1)="9","Celular",IF(AL711="","","Fixo"))</f>
        <v/>
      </c>
      <c r="AN711" s="58" t="str">
        <f aca="false">IF( AM711&lt;&gt;"",VLOOKUP(AM711,Selects!$M$4:$N$1000,2,0),"")</f>
        <v/>
      </c>
      <c r="AO711" s="58"/>
      <c r="AP711" s="59"/>
      <c r="AQ711" s="65"/>
      <c r="AR711" s="58"/>
      <c r="AS711" s="58"/>
      <c r="AT711" s="26"/>
      <c r="AU711" s="58"/>
      <c r="AV711" s="58"/>
      <c r="AW711" s="58"/>
      <c r="AX711" s="58"/>
      <c r="AY711" s="71"/>
      <c r="AZ711" s="58"/>
      <c r="BA711" s="58"/>
      <c r="BB711" s="72" t="str">
        <f aca="false">IF(BA711&lt;&gt;"",VLOOKUP(BA711,Selects!$B$4:$C$100,2,0),"")</f>
        <v/>
      </c>
      <c r="BC711" s="26"/>
      <c r="BD711" s="26"/>
      <c r="BE711" s="73"/>
      <c r="BF711" s="74"/>
      <c r="BG711" s="75" t="str">
        <f aca="false">IF(LEN(BF711)=11,"PF",IF(LEN(BF711)=14,"PJ",""))</f>
        <v/>
      </c>
      <c r="BH711" s="66"/>
      <c r="BI711" s="58" t="str">
        <f aca="false">IF(BH711&lt;&gt;"",VLOOKUP(BH711,Selects!$G:$H,2,0),"")</f>
        <v/>
      </c>
      <c r="BJ711" s="58"/>
      <c r="BK711" s="58"/>
      <c r="BL711" s="59"/>
      <c r="BM711" s="58"/>
      <c r="BN711" s="58"/>
      <c r="BO711" s="58" t="str">
        <f aca="false">IF(BN711&lt;&gt;"",VLOOKUP(BN711,Selects!$J$4:$K$1000,2,0),"")</f>
        <v/>
      </c>
      <c r="BP711" s="76"/>
      <c r="BQ711" s="59"/>
      <c r="BR711" s="77"/>
      <c r="BS711" s="59"/>
      <c r="BT711" s="77"/>
      <c r="BU711" s="58"/>
      <c r="BV711" s="58"/>
      <c r="BW711" s="58"/>
      <c r="BX711" s="58"/>
      <c r="BY711" s="58"/>
      <c r="BZ711" s="58"/>
      <c r="CA711" s="58"/>
      <c r="CB711" s="72" t="str">
        <f aca="false">IF(AC711&lt;&gt;"",VLOOKUP(AC711,Selects!$B:$E,4,0),"")</f>
        <v/>
      </c>
      <c r="CC711" s="58"/>
      <c r="CD711" s="58"/>
      <c r="CE711" s="58"/>
    </row>
    <row r="712" customFormat="false" ht="15.75" hidden="false" customHeight="true" outlineLevel="0" collapsed="false">
      <c r="A712" s="17"/>
      <c r="B712" s="58"/>
      <c r="C712" s="58"/>
      <c r="D712" s="59"/>
      <c r="E712" s="60" t="str">
        <f aca="false">IF(LEN(D712)=11,"PF",IF(LEN(D712)=14,"PJ",""))</f>
        <v/>
      </c>
      <c r="F712" s="59"/>
      <c r="G712" s="59"/>
      <c r="H712" s="61" t="str">
        <f aca="false">IF(G712&lt;&gt;"",VLOOKUP(G712,'Cnae  mcc  id'!$A:$M,9,0),"")</f>
        <v/>
      </c>
      <c r="I712" s="62"/>
      <c r="J712" s="63" t="str">
        <f aca="false">IF(I712&lt;&gt;"",VLOOKUP(I712,'Legal Nature'!$E$2:$G$84,3,0),"")</f>
        <v/>
      </c>
      <c r="K712" s="64"/>
      <c r="L712" s="65"/>
      <c r="M712" s="66"/>
      <c r="N712" s="66"/>
      <c r="O712" s="79"/>
      <c r="P712" s="26"/>
      <c r="Q712" s="58"/>
      <c r="R712" s="58"/>
      <c r="S712" s="80"/>
      <c r="T712" s="68" t="str">
        <f aca="false">IF(LEFT(S712,1)="9","Celular",IF(S712="","","Fixo"))</f>
        <v/>
      </c>
      <c r="U712" s="58" t="str">
        <f aca="false">IF( T712&lt;&gt;"",VLOOKUP(T712,Selects!$M$4:$N$1000,2,0),"")</f>
        <v/>
      </c>
      <c r="V712" s="26"/>
      <c r="W712" s="58"/>
      <c r="X712" s="58"/>
      <c r="Y712" s="58"/>
      <c r="Z712" s="58"/>
      <c r="AA712" s="69"/>
      <c r="AB712" s="58"/>
      <c r="AC712" s="58"/>
      <c r="AD712" s="70" t="str">
        <f aca="false">IF(AC712&lt;&gt;"",VLOOKUP(AC712,Selects!$B$4:$C$100,2,0),"")</f>
        <v/>
      </c>
      <c r="AE712" s="26"/>
      <c r="AF712" s="58"/>
      <c r="AG712" s="59"/>
      <c r="AH712" s="65"/>
      <c r="AI712" s="66"/>
      <c r="AJ712" s="66"/>
      <c r="AK712" s="58"/>
      <c r="AL712" s="58"/>
      <c r="AM712" s="68" t="str">
        <f aca="false">IF(LEFT(AL712,1)="9","Celular",IF(AL712="","","Fixo"))</f>
        <v/>
      </c>
      <c r="AN712" s="58" t="str">
        <f aca="false">IF( AM712&lt;&gt;"",VLOOKUP(AM712,Selects!$M$4:$N$1000,2,0),"")</f>
        <v/>
      </c>
      <c r="AO712" s="58"/>
      <c r="AP712" s="59"/>
      <c r="AQ712" s="65"/>
      <c r="AR712" s="58"/>
      <c r="AS712" s="58"/>
      <c r="AT712" s="26"/>
      <c r="AU712" s="58"/>
      <c r="AV712" s="58"/>
      <c r="AW712" s="58"/>
      <c r="AX712" s="58"/>
      <c r="AY712" s="71"/>
      <c r="AZ712" s="58"/>
      <c r="BA712" s="58"/>
      <c r="BB712" s="72" t="str">
        <f aca="false">IF(BA712&lt;&gt;"",VLOOKUP(BA712,Selects!$B$4:$C$100,2,0),"")</f>
        <v/>
      </c>
      <c r="BC712" s="26"/>
      <c r="BD712" s="26"/>
      <c r="BE712" s="73"/>
      <c r="BF712" s="74"/>
      <c r="BG712" s="75" t="str">
        <f aca="false">IF(LEN(BF712)=11,"PF",IF(LEN(BF712)=14,"PJ",""))</f>
        <v/>
      </c>
      <c r="BH712" s="66"/>
      <c r="BI712" s="58" t="str">
        <f aca="false">IF(BH712&lt;&gt;"",VLOOKUP(BH712,Selects!$G:$H,2,0),"")</f>
        <v/>
      </c>
      <c r="BJ712" s="58"/>
      <c r="BK712" s="58"/>
      <c r="BL712" s="59"/>
      <c r="BM712" s="58"/>
      <c r="BN712" s="58"/>
      <c r="BO712" s="58" t="str">
        <f aca="false">IF(BN712&lt;&gt;"",VLOOKUP(BN712,Selects!$J$4:$K$1000,2,0),"")</f>
        <v/>
      </c>
      <c r="BP712" s="76"/>
      <c r="BQ712" s="59"/>
      <c r="BR712" s="77"/>
      <c r="BS712" s="59"/>
      <c r="BT712" s="77"/>
      <c r="BU712" s="58"/>
      <c r="BV712" s="58"/>
      <c r="BW712" s="58"/>
      <c r="BX712" s="58"/>
      <c r="BY712" s="58"/>
      <c r="BZ712" s="58"/>
      <c r="CA712" s="58"/>
      <c r="CB712" s="72" t="str">
        <f aca="false">IF(AC712&lt;&gt;"",VLOOKUP(AC712,Selects!$B:$E,4,0),"")</f>
        <v/>
      </c>
      <c r="CC712" s="58"/>
      <c r="CD712" s="58"/>
      <c r="CE712" s="58"/>
    </row>
    <row r="713" customFormat="false" ht="15.75" hidden="false" customHeight="true" outlineLevel="0" collapsed="false">
      <c r="A713" s="17"/>
      <c r="B713" s="58"/>
      <c r="C713" s="58"/>
      <c r="D713" s="59"/>
      <c r="E713" s="60" t="str">
        <f aca="false">IF(LEN(D713)=11,"PF",IF(LEN(D713)=14,"PJ",""))</f>
        <v/>
      </c>
      <c r="F713" s="59"/>
      <c r="G713" s="59"/>
      <c r="H713" s="61" t="str">
        <f aca="false">IF(G713&lt;&gt;"",VLOOKUP(G713,'Cnae  mcc  id'!$A:$M,9,0),"")</f>
        <v/>
      </c>
      <c r="I713" s="62"/>
      <c r="J713" s="63" t="str">
        <f aca="false">IF(I713&lt;&gt;"",VLOOKUP(I713,'Legal Nature'!$E$2:$G$84,3,0),"")</f>
        <v/>
      </c>
      <c r="K713" s="64"/>
      <c r="L713" s="65"/>
      <c r="M713" s="66"/>
      <c r="N713" s="66"/>
      <c r="O713" s="79"/>
      <c r="P713" s="26"/>
      <c r="Q713" s="58"/>
      <c r="R713" s="58"/>
      <c r="S713" s="80"/>
      <c r="T713" s="68" t="str">
        <f aca="false">IF(LEFT(S713,1)="9","Celular",IF(S713="","","Fixo"))</f>
        <v/>
      </c>
      <c r="U713" s="58" t="str">
        <f aca="false">IF( T713&lt;&gt;"",VLOOKUP(T713,Selects!$M$4:$N$1000,2,0),"")</f>
        <v/>
      </c>
      <c r="V713" s="26"/>
      <c r="W713" s="58"/>
      <c r="X713" s="58"/>
      <c r="Y713" s="58"/>
      <c r="Z713" s="58"/>
      <c r="AA713" s="69"/>
      <c r="AB713" s="58"/>
      <c r="AC713" s="58"/>
      <c r="AD713" s="70" t="str">
        <f aca="false">IF(AC713&lt;&gt;"",VLOOKUP(AC713,Selects!$B$4:$C$100,2,0),"")</f>
        <v/>
      </c>
      <c r="AE713" s="26"/>
      <c r="AF713" s="58"/>
      <c r="AG713" s="59"/>
      <c r="AH713" s="65"/>
      <c r="AI713" s="66"/>
      <c r="AJ713" s="66"/>
      <c r="AK713" s="58"/>
      <c r="AL713" s="58"/>
      <c r="AM713" s="68" t="str">
        <f aca="false">IF(LEFT(AL713,1)="9","Celular",IF(AL713="","","Fixo"))</f>
        <v/>
      </c>
      <c r="AN713" s="58" t="str">
        <f aca="false">IF( AM713&lt;&gt;"",VLOOKUP(AM713,Selects!$M$4:$N$1000,2,0),"")</f>
        <v/>
      </c>
      <c r="AO713" s="58"/>
      <c r="AP713" s="59"/>
      <c r="AQ713" s="65"/>
      <c r="AR713" s="58"/>
      <c r="AS713" s="58"/>
      <c r="AT713" s="26"/>
      <c r="AU713" s="58"/>
      <c r="AV713" s="58"/>
      <c r="AW713" s="58"/>
      <c r="AX713" s="58"/>
      <c r="AY713" s="71"/>
      <c r="AZ713" s="58"/>
      <c r="BA713" s="58"/>
      <c r="BB713" s="72" t="str">
        <f aca="false">IF(BA713&lt;&gt;"",VLOOKUP(BA713,Selects!$B$4:$C$100,2,0),"")</f>
        <v/>
      </c>
      <c r="BC713" s="26"/>
      <c r="BD713" s="26"/>
      <c r="BE713" s="73"/>
      <c r="BF713" s="74"/>
      <c r="BG713" s="75" t="str">
        <f aca="false">IF(LEN(BF713)=11,"PF",IF(LEN(BF713)=14,"PJ",""))</f>
        <v/>
      </c>
      <c r="BH713" s="66"/>
      <c r="BI713" s="58" t="str">
        <f aca="false">IF(BH713&lt;&gt;"",VLOOKUP(BH713,Selects!$G:$H,2,0),"")</f>
        <v/>
      </c>
      <c r="BJ713" s="58"/>
      <c r="BK713" s="58"/>
      <c r="BL713" s="59"/>
      <c r="BM713" s="58"/>
      <c r="BN713" s="58"/>
      <c r="BO713" s="58" t="str">
        <f aca="false">IF(BN713&lt;&gt;"",VLOOKUP(BN713,Selects!$J$4:$K$1000,2,0),"")</f>
        <v/>
      </c>
      <c r="BP713" s="76"/>
      <c r="BQ713" s="59"/>
      <c r="BR713" s="77"/>
      <c r="BS713" s="59"/>
      <c r="BT713" s="77"/>
      <c r="BU713" s="58"/>
      <c r="BV713" s="58"/>
      <c r="BW713" s="58"/>
      <c r="BX713" s="58"/>
      <c r="BY713" s="58"/>
      <c r="BZ713" s="58"/>
      <c r="CA713" s="58"/>
      <c r="CB713" s="72" t="str">
        <f aca="false">IF(AC713&lt;&gt;"",VLOOKUP(AC713,Selects!$B:$E,4,0),"")</f>
        <v/>
      </c>
      <c r="CC713" s="58"/>
      <c r="CD713" s="58"/>
      <c r="CE713" s="58"/>
    </row>
    <row r="714" customFormat="false" ht="15.75" hidden="false" customHeight="true" outlineLevel="0" collapsed="false">
      <c r="A714" s="17"/>
      <c r="B714" s="58"/>
      <c r="C714" s="58"/>
      <c r="D714" s="59"/>
      <c r="E714" s="60" t="str">
        <f aca="false">IF(LEN(D714)=11,"PF",IF(LEN(D714)=14,"PJ",""))</f>
        <v/>
      </c>
      <c r="F714" s="59"/>
      <c r="G714" s="59"/>
      <c r="H714" s="61" t="str">
        <f aca="false">IF(G714&lt;&gt;"",VLOOKUP(G714,'Cnae  mcc  id'!$A:$M,9,0),"")</f>
        <v/>
      </c>
      <c r="I714" s="62"/>
      <c r="J714" s="63" t="str">
        <f aca="false">IF(I714&lt;&gt;"",VLOOKUP(I714,'Legal Nature'!$E$2:$G$84,3,0),"")</f>
        <v/>
      </c>
      <c r="K714" s="64"/>
      <c r="L714" s="65"/>
      <c r="M714" s="66"/>
      <c r="N714" s="66"/>
      <c r="O714" s="79"/>
      <c r="P714" s="26"/>
      <c r="Q714" s="58"/>
      <c r="R714" s="58"/>
      <c r="S714" s="80"/>
      <c r="T714" s="68" t="str">
        <f aca="false">IF(LEFT(S714,1)="9","Celular",IF(S714="","","Fixo"))</f>
        <v/>
      </c>
      <c r="U714" s="58" t="str">
        <f aca="false">IF( T714&lt;&gt;"",VLOOKUP(T714,Selects!$M$4:$N$1000,2,0),"")</f>
        <v/>
      </c>
      <c r="V714" s="26"/>
      <c r="W714" s="58"/>
      <c r="X714" s="58"/>
      <c r="Y714" s="58"/>
      <c r="Z714" s="58"/>
      <c r="AA714" s="69"/>
      <c r="AB714" s="58"/>
      <c r="AC714" s="58"/>
      <c r="AD714" s="70" t="str">
        <f aca="false">IF(AC714&lt;&gt;"",VLOOKUP(AC714,Selects!$B$4:$C$100,2,0),"")</f>
        <v/>
      </c>
      <c r="AE714" s="26"/>
      <c r="AF714" s="58"/>
      <c r="AG714" s="59"/>
      <c r="AH714" s="65"/>
      <c r="AI714" s="66"/>
      <c r="AJ714" s="66"/>
      <c r="AK714" s="58"/>
      <c r="AL714" s="58"/>
      <c r="AM714" s="68" t="str">
        <f aca="false">IF(LEFT(AL714,1)="9","Celular",IF(AL714="","","Fixo"))</f>
        <v/>
      </c>
      <c r="AN714" s="58" t="str">
        <f aca="false">IF( AM714&lt;&gt;"",VLOOKUP(AM714,Selects!$M$4:$N$1000,2,0),"")</f>
        <v/>
      </c>
      <c r="AO714" s="58"/>
      <c r="AP714" s="59"/>
      <c r="AQ714" s="65"/>
      <c r="AR714" s="58"/>
      <c r="AS714" s="58"/>
      <c r="AT714" s="26"/>
      <c r="AU714" s="58"/>
      <c r="AV714" s="58"/>
      <c r="AW714" s="58"/>
      <c r="AX714" s="58"/>
      <c r="AY714" s="71"/>
      <c r="AZ714" s="58"/>
      <c r="BA714" s="58"/>
      <c r="BB714" s="72" t="str">
        <f aca="false">IF(BA714&lt;&gt;"",VLOOKUP(BA714,Selects!$B$4:$C$100,2,0),"")</f>
        <v/>
      </c>
      <c r="BC714" s="26"/>
      <c r="BD714" s="26"/>
      <c r="BE714" s="73"/>
      <c r="BF714" s="74"/>
      <c r="BG714" s="75" t="str">
        <f aca="false">IF(LEN(BF714)=11,"PF",IF(LEN(BF714)=14,"PJ",""))</f>
        <v/>
      </c>
      <c r="BH714" s="66"/>
      <c r="BI714" s="58" t="str">
        <f aca="false">IF(BH714&lt;&gt;"",VLOOKUP(BH714,Selects!$G:$H,2,0),"")</f>
        <v/>
      </c>
      <c r="BJ714" s="58"/>
      <c r="BK714" s="58"/>
      <c r="BL714" s="59"/>
      <c r="BM714" s="58"/>
      <c r="BN714" s="58"/>
      <c r="BO714" s="58" t="str">
        <f aca="false">IF(BN714&lt;&gt;"",VLOOKUP(BN714,Selects!$J$4:$K$1000,2,0),"")</f>
        <v/>
      </c>
      <c r="BP714" s="76"/>
      <c r="BQ714" s="59"/>
      <c r="BR714" s="77"/>
      <c r="BS714" s="59"/>
      <c r="BT714" s="77"/>
      <c r="BU714" s="58"/>
      <c r="BV714" s="58"/>
      <c r="BW714" s="58"/>
      <c r="BX714" s="58"/>
      <c r="BY714" s="58"/>
      <c r="BZ714" s="58"/>
      <c r="CA714" s="58"/>
      <c r="CB714" s="72" t="str">
        <f aca="false">IF(AC714&lt;&gt;"",VLOOKUP(AC714,Selects!$B:$E,4,0),"")</f>
        <v/>
      </c>
      <c r="CC714" s="58"/>
      <c r="CD714" s="58"/>
      <c r="CE714" s="58"/>
    </row>
    <row r="715" customFormat="false" ht="15.75" hidden="false" customHeight="true" outlineLevel="0" collapsed="false">
      <c r="A715" s="17"/>
      <c r="B715" s="58"/>
      <c r="C715" s="58"/>
      <c r="D715" s="59"/>
      <c r="E715" s="60" t="str">
        <f aca="false">IF(LEN(D715)=11,"PF",IF(LEN(D715)=14,"PJ",""))</f>
        <v/>
      </c>
      <c r="F715" s="59"/>
      <c r="G715" s="59"/>
      <c r="H715" s="61" t="str">
        <f aca="false">IF(G715&lt;&gt;"",VLOOKUP(G715,'Cnae  mcc  id'!$A:$M,9,0),"")</f>
        <v/>
      </c>
      <c r="I715" s="62"/>
      <c r="J715" s="63" t="str">
        <f aca="false">IF(I715&lt;&gt;"",VLOOKUP(I715,'Legal Nature'!$E$2:$G$84,3,0),"")</f>
        <v/>
      </c>
      <c r="K715" s="64"/>
      <c r="L715" s="65"/>
      <c r="M715" s="66"/>
      <c r="N715" s="66"/>
      <c r="O715" s="79"/>
      <c r="P715" s="26"/>
      <c r="Q715" s="58"/>
      <c r="R715" s="58"/>
      <c r="S715" s="80"/>
      <c r="T715" s="68" t="str">
        <f aca="false">IF(LEFT(S715,1)="9","Celular",IF(S715="","","Fixo"))</f>
        <v/>
      </c>
      <c r="U715" s="58" t="str">
        <f aca="false">IF( T715&lt;&gt;"",VLOOKUP(T715,Selects!$M$4:$N$1000,2,0),"")</f>
        <v/>
      </c>
      <c r="V715" s="26"/>
      <c r="W715" s="58"/>
      <c r="X715" s="58"/>
      <c r="Y715" s="58"/>
      <c r="Z715" s="58"/>
      <c r="AA715" s="69"/>
      <c r="AB715" s="58"/>
      <c r="AC715" s="58"/>
      <c r="AD715" s="70" t="str">
        <f aca="false">IF(AC715&lt;&gt;"",VLOOKUP(AC715,Selects!$B$4:$C$100,2,0),"")</f>
        <v/>
      </c>
      <c r="AE715" s="26"/>
      <c r="AF715" s="58"/>
      <c r="AG715" s="59"/>
      <c r="AH715" s="65"/>
      <c r="AI715" s="66"/>
      <c r="AJ715" s="66"/>
      <c r="AK715" s="58"/>
      <c r="AL715" s="58"/>
      <c r="AM715" s="68" t="str">
        <f aca="false">IF(LEFT(AL715,1)="9","Celular",IF(AL715="","","Fixo"))</f>
        <v/>
      </c>
      <c r="AN715" s="58" t="str">
        <f aca="false">IF( AM715&lt;&gt;"",VLOOKUP(AM715,Selects!$M$4:$N$1000,2,0),"")</f>
        <v/>
      </c>
      <c r="AO715" s="58"/>
      <c r="AP715" s="59"/>
      <c r="AQ715" s="65"/>
      <c r="AR715" s="58"/>
      <c r="AS715" s="58"/>
      <c r="AT715" s="26"/>
      <c r="AU715" s="58"/>
      <c r="AV715" s="58"/>
      <c r="AW715" s="58"/>
      <c r="AX715" s="58"/>
      <c r="AY715" s="71"/>
      <c r="AZ715" s="58"/>
      <c r="BA715" s="58"/>
      <c r="BB715" s="72" t="str">
        <f aca="false">IF(BA715&lt;&gt;"",VLOOKUP(BA715,Selects!$B$4:$C$100,2,0),"")</f>
        <v/>
      </c>
      <c r="BC715" s="26"/>
      <c r="BD715" s="26"/>
      <c r="BE715" s="73"/>
      <c r="BF715" s="74"/>
      <c r="BG715" s="75" t="str">
        <f aca="false">IF(LEN(BF715)=11,"PF",IF(LEN(BF715)=14,"PJ",""))</f>
        <v/>
      </c>
      <c r="BH715" s="66"/>
      <c r="BI715" s="58" t="str">
        <f aca="false">IF(BH715&lt;&gt;"",VLOOKUP(BH715,Selects!$G:$H,2,0),"")</f>
        <v/>
      </c>
      <c r="BJ715" s="58"/>
      <c r="BK715" s="58"/>
      <c r="BL715" s="59"/>
      <c r="BM715" s="58"/>
      <c r="BN715" s="58"/>
      <c r="BO715" s="58" t="str">
        <f aca="false">IF(BN715&lt;&gt;"",VLOOKUP(BN715,Selects!$J$4:$K$1000,2,0),"")</f>
        <v/>
      </c>
      <c r="BP715" s="76"/>
      <c r="BQ715" s="59"/>
      <c r="BR715" s="77"/>
      <c r="BS715" s="59"/>
      <c r="BT715" s="77"/>
      <c r="BU715" s="58"/>
      <c r="BV715" s="58"/>
      <c r="BW715" s="58"/>
      <c r="BX715" s="58"/>
      <c r="BY715" s="58"/>
      <c r="BZ715" s="58"/>
      <c r="CA715" s="58"/>
      <c r="CB715" s="72" t="str">
        <f aca="false">IF(AC715&lt;&gt;"",VLOOKUP(AC715,Selects!$B:$E,4,0),"")</f>
        <v/>
      </c>
      <c r="CC715" s="58"/>
      <c r="CD715" s="58"/>
      <c r="CE715" s="58"/>
    </row>
    <row r="716" customFormat="false" ht="15.75" hidden="false" customHeight="true" outlineLevel="0" collapsed="false">
      <c r="A716" s="17"/>
      <c r="B716" s="58"/>
      <c r="C716" s="58"/>
      <c r="D716" s="59"/>
      <c r="E716" s="60" t="str">
        <f aca="false">IF(LEN(D716)=11,"PF",IF(LEN(D716)=14,"PJ",""))</f>
        <v/>
      </c>
      <c r="F716" s="59"/>
      <c r="G716" s="59"/>
      <c r="H716" s="61" t="str">
        <f aca="false">IF(G716&lt;&gt;"",VLOOKUP(G716,'Cnae  mcc  id'!$A:$M,9,0),"")</f>
        <v/>
      </c>
      <c r="I716" s="62"/>
      <c r="J716" s="63" t="str">
        <f aca="false">IF(I716&lt;&gt;"",VLOOKUP(I716,'Legal Nature'!$E$2:$G$84,3,0),"")</f>
        <v/>
      </c>
      <c r="K716" s="64"/>
      <c r="L716" s="65"/>
      <c r="M716" s="66"/>
      <c r="N716" s="66"/>
      <c r="O716" s="79"/>
      <c r="P716" s="26"/>
      <c r="Q716" s="58"/>
      <c r="R716" s="58"/>
      <c r="S716" s="80"/>
      <c r="T716" s="68" t="str">
        <f aca="false">IF(LEFT(S716,1)="9","Celular",IF(S716="","","Fixo"))</f>
        <v/>
      </c>
      <c r="U716" s="58" t="str">
        <f aca="false">IF( T716&lt;&gt;"",VLOOKUP(T716,Selects!$M$4:$N$1000,2,0),"")</f>
        <v/>
      </c>
      <c r="V716" s="26"/>
      <c r="W716" s="58"/>
      <c r="X716" s="58"/>
      <c r="Y716" s="58"/>
      <c r="Z716" s="58"/>
      <c r="AA716" s="69"/>
      <c r="AB716" s="58"/>
      <c r="AC716" s="58"/>
      <c r="AD716" s="70" t="str">
        <f aca="false">IF(AC716&lt;&gt;"",VLOOKUP(AC716,Selects!$B$4:$C$100,2,0),"")</f>
        <v/>
      </c>
      <c r="AE716" s="26"/>
      <c r="AF716" s="58"/>
      <c r="AG716" s="59"/>
      <c r="AH716" s="65"/>
      <c r="AI716" s="66"/>
      <c r="AJ716" s="66"/>
      <c r="AK716" s="58"/>
      <c r="AL716" s="58"/>
      <c r="AM716" s="68" t="str">
        <f aca="false">IF(LEFT(AL716,1)="9","Celular",IF(AL716="","","Fixo"))</f>
        <v/>
      </c>
      <c r="AN716" s="58" t="str">
        <f aca="false">IF( AM716&lt;&gt;"",VLOOKUP(AM716,Selects!$M$4:$N$1000,2,0),"")</f>
        <v/>
      </c>
      <c r="AO716" s="58"/>
      <c r="AP716" s="59"/>
      <c r="AQ716" s="65"/>
      <c r="AR716" s="58"/>
      <c r="AS716" s="58"/>
      <c r="AT716" s="26"/>
      <c r="AU716" s="58"/>
      <c r="AV716" s="58"/>
      <c r="AW716" s="58"/>
      <c r="AX716" s="58"/>
      <c r="AY716" s="71"/>
      <c r="AZ716" s="58"/>
      <c r="BA716" s="58"/>
      <c r="BB716" s="72" t="str">
        <f aca="false">IF(BA716&lt;&gt;"",VLOOKUP(BA716,Selects!$B$4:$C$100,2,0),"")</f>
        <v/>
      </c>
      <c r="BC716" s="26"/>
      <c r="BD716" s="26"/>
      <c r="BE716" s="73"/>
      <c r="BF716" s="74"/>
      <c r="BG716" s="75" t="str">
        <f aca="false">IF(LEN(BF716)=11,"PF",IF(LEN(BF716)=14,"PJ",""))</f>
        <v/>
      </c>
      <c r="BH716" s="66"/>
      <c r="BI716" s="58" t="str">
        <f aca="false">IF(BH716&lt;&gt;"",VLOOKUP(BH716,Selects!$G:$H,2,0),"")</f>
        <v/>
      </c>
      <c r="BJ716" s="58"/>
      <c r="BK716" s="58"/>
      <c r="BL716" s="59"/>
      <c r="BM716" s="58"/>
      <c r="BN716" s="58"/>
      <c r="BO716" s="58" t="str">
        <f aca="false">IF(BN716&lt;&gt;"",VLOOKUP(BN716,Selects!$J$4:$K$1000,2,0),"")</f>
        <v/>
      </c>
      <c r="BP716" s="76"/>
      <c r="BQ716" s="59"/>
      <c r="BR716" s="77"/>
      <c r="BS716" s="59"/>
      <c r="BT716" s="77"/>
      <c r="BU716" s="58"/>
      <c r="BV716" s="58"/>
      <c r="BW716" s="58"/>
      <c r="BX716" s="58"/>
      <c r="BY716" s="58"/>
      <c r="BZ716" s="58"/>
      <c r="CA716" s="58"/>
      <c r="CB716" s="72" t="str">
        <f aca="false">IF(AC716&lt;&gt;"",VLOOKUP(AC716,Selects!$B:$E,4,0),"")</f>
        <v/>
      </c>
      <c r="CC716" s="58"/>
      <c r="CD716" s="58"/>
      <c r="CE716" s="58"/>
    </row>
    <row r="717" customFormat="false" ht="15.75" hidden="false" customHeight="true" outlineLevel="0" collapsed="false">
      <c r="A717" s="17"/>
      <c r="B717" s="58"/>
      <c r="C717" s="58"/>
      <c r="D717" s="59"/>
      <c r="E717" s="60" t="str">
        <f aca="false">IF(LEN(D717)=11,"PF",IF(LEN(D717)=14,"PJ",""))</f>
        <v/>
      </c>
      <c r="F717" s="59"/>
      <c r="G717" s="59"/>
      <c r="H717" s="61" t="str">
        <f aca="false">IF(G717&lt;&gt;"",VLOOKUP(G717,'Cnae  mcc  id'!$A:$M,9,0),"")</f>
        <v/>
      </c>
      <c r="I717" s="62"/>
      <c r="J717" s="63" t="str">
        <f aca="false">IF(I717&lt;&gt;"",VLOOKUP(I717,'Legal Nature'!$E$2:$G$84,3,0),"")</f>
        <v/>
      </c>
      <c r="K717" s="64"/>
      <c r="L717" s="65"/>
      <c r="M717" s="66"/>
      <c r="N717" s="66"/>
      <c r="O717" s="79"/>
      <c r="P717" s="26"/>
      <c r="Q717" s="58"/>
      <c r="R717" s="58"/>
      <c r="S717" s="80"/>
      <c r="T717" s="68" t="str">
        <f aca="false">IF(LEFT(S717,1)="9","Celular",IF(S717="","","Fixo"))</f>
        <v/>
      </c>
      <c r="U717" s="58" t="str">
        <f aca="false">IF( T717&lt;&gt;"",VLOOKUP(T717,Selects!$M$4:$N$1000,2,0),"")</f>
        <v/>
      </c>
      <c r="V717" s="26"/>
      <c r="W717" s="58"/>
      <c r="X717" s="58"/>
      <c r="Y717" s="58"/>
      <c r="Z717" s="58"/>
      <c r="AA717" s="69"/>
      <c r="AB717" s="58"/>
      <c r="AC717" s="58"/>
      <c r="AD717" s="70" t="str">
        <f aca="false">IF(AC717&lt;&gt;"",VLOOKUP(AC717,Selects!$B$4:$C$100,2,0),"")</f>
        <v/>
      </c>
      <c r="AE717" s="26"/>
      <c r="AF717" s="58"/>
      <c r="AG717" s="59"/>
      <c r="AH717" s="65"/>
      <c r="AI717" s="66"/>
      <c r="AJ717" s="66"/>
      <c r="AK717" s="58"/>
      <c r="AL717" s="58"/>
      <c r="AM717" s="68" t="str">
        <f aca="false">IF(LEFT(AL717,1)="9","Celular",IF(AL717="","","Fixo"))</f>
        <v/>
      </c>
      <c r="AN717" s="58" t="str">
        <f aca="false">IF( AM717&lt;&gt;"",VLOOKUP(AM717,Selects!$M$4:$N$1000,2,0),"")</f>
        <v/>
      </c>
      <c r="AO717" s="58"/>
      <c r="AP717" s="59"/>
      <c r="AQ717" s="65"/>
      <c r="AR717" s="58"/>
      <c r="AS717" s="58"/>
      <c r="AT717" s="26"/>
      <c r="AU717" s="58"/>
      <c r="AV717" s="58"/>
      <c r="AW717" s="58"/>
      <c r="AX717" s="58"/>
      <c r="AY717" s="71"/>
      <c r="AZ717" s="58"/>
      <c r="BA717" s="58"/>
      <c r="BB717" s="72" t="str">
        <f aca="false">IF(BA717&lt;&gt;"",VLOOKUP(BA717,Selects!$B$4:$C$100,2,0),"")</f>
        <v/>
      </c>
      <c r="BC717" s="26"/>
      <c r="BD717" s="26"/>
      <c r="BE717" s="73"/>
      <c r="BF717" s="74"/>
      <c r="BG717" s="75" t="str">
        <f aca="false">IF(LEN(BF717)=11,"PF",IF(LEN(BF717)=14,"PJ",""))</f>
        <v/>
      </c>
      <c r="BH717" s="66"/>
      <c r="BI717" s="58" t="str">
        <f aca="false">IF(BH717&lt;&gt;"",VLOOKUP(BH717,Selects!$G:$H,2,0),"")</f>
        <v/>
      </c>
      <c r="BJ717" s="58"/>
      <c r="BK717" s="58"/>
      <c r="BL717" s="59"/>
      <c r="BM717" s="58"/>
      <c r="BN717" s="58"/>
      <c r="BO717" s="58" t="str">
        <f aca="false">IF(BN717&lt;&gt;"",VLOOKUP(BN717,Selects!$J$4:$K$1000,2,0),"")</f>
        <v/>
      </c>
      <c r="BP717" s="76"/>
      <c r="BQ717" s="59"/>
      <c r="BR717" s="77"/>
      <c r="BS717" s="59"/>
      <c r="BT717" s="77"/>
      <c r="BU717" s="58"/>
      <c r="BV717" s="58"/>
      <c r="BW717" s="58"/>
      <c r="BX717" s="58"/>
      <c r="BY717" s="58"/>
      <c r="BZ717" s="58"/>
      <c r="CA717" s="58"/>
      <c r="CB717" s="72" t="str">
        <f aca="false">IF(AC717&lt;&gt;"",VLOOKUP(AC717,Selects!$B:$E,4,0),"")</f>
        <v/>
      </c>
      <c r="CC717" s="58"/>
      <c r="CD717" s="58"/>
      <c r="CE717" s="58"/>
    </row>
    <row r="718" customFormat="false" ht="15.75" hidden="false" customHeight="true" outlineLevel="0" collapsed="false">
      <c r="A718" s="17"/>
      <c r="B718" s="58"/>
      <c r="C718" s="58"/>
      <c r="D718" s="59"/>
      <c r="E718" s="60" t="str">
        <f aca="false">IF(LEN(D718)=11,"PF",IF(LEN(D718)=14,"PJ",""))</f>
        <v/>
      </c>
      <c r="F718" s="59"/>
      <c r="G718" s="59"/>
      <c r="H718" s="61" t="str">
        <f aca="false">IF(G718&lt;&gt;"",VLOOKUP(G718,'Cnae  mcc  id'!$A:$M,9,0),"")</f>
        <v/>
      </c>
      <c r="I718" s="62"/>
      <c r="J718" s="63" t="str">
        <f aca="false">IF(I718&lt;&gt;"",VLOOKUP(I718,'Legal Nature'!$E$2:$G$84,3,0),"")</f>
        <v/>
      </c>
      <c r="K718" s="64"/>
      <c r="L718" s="65"/>
      <c r="M718" s="66"/>
      <c r="N718" s="66"/>
      <c r="O718" s="79"/>
      <c r="P718" s="26"/>
      <c r="Q718" s="58"/>
      <c r="R718" s="58"/>
      <c r="S718" s="80"/>
      <c r="T718" s="68" t="str">
        <f aca="false">IF(LEFT(S718,1)="9","Celular",IF(S718="","","Fixo"))</f>
        <v/>
      </c>
      <c r="U718" s="58" t="str">
        <f aca="false">IF( T718&lt;&gt;"",VLOOKUP(T718,Selects!$M$4:$N$1000,2,0),"")</f>
        <v/>
      </c>
      <c r="V718" s="26"/>
      <c r="W718" s="58"/>
      <c r="X718" s="58"/>
      <c r="Y718" s="58"/>
      <c r="Z718" s="58"/>
      <c r="AA718" s="69"/>
      <c r="AB718" s="58"/>
      <c r="AC718" s="58"/>
      <c r="AD718" s="70" t="str">
        <f aca="false">IF(AC718&lt;&gt;"",VLOOKUP(AC718,Selects!$B$4:$C$100,2,0),"")</f>
        <v/>
      </c>
      <c r="AE718" s="26"/>
      <c r="AF718" s="58"/>
      <c r="AG718" s="59"/>
      <c r="AH718" s="65"/>
      <c r="AI718" s="66"/>
      <c r="AJ718" s="66"/>
      <c r="AK718" s="58"/>
      <c r="AL718" s="58"/>
      <c r="AM718" s="68" t="str">
        <f aca="false">IF(LEFT(AL718,1)="9","Celular",IF(AL718="","","Fixo"))</f>
        <v/>
      </c>
      <c r="AN718" s="58" t="str">
        <f aca="false">IF( AM718&lt;&gt;"",VLOOKUP(AM718,Selects!$M$4:$N$1000,2,0),"")</f>
        <v/>
      </c>
      <c r="AO718" s="58"/>
      <c r="AP718" s="59"/>
      <c r="AQ718" s="65"/>
      <c r="AR718" s="58"/>
      <c r="AS718" s="58"/>
      <c r="AT718" s="26"/>
      <c r="AU718" s="58"/>
      <c r="AV718" s="58"/>
      <c r="AW718" s="58"/>
      <c r="AX718" s="58"/>
      <c r="AY718" s="71"/>
      <c r="AZ718" s="58"/>
      <c r="BA718" s="58"/>
      <c r="BB718" s="72" t="str">
        <f aca="false">IF(BA718&lt;&gt;"",VLOOKUP(BA718,Selects!$B$4:$C$100,2,0),"")</f>
        <v/>
      </c>
      <c r="BC718" s="26"/>
      <c r="BD718" s="26"/>
      <c r="BE718" s="73"/>
      <c r="BF718" s="74"/>
      <c r="BG718" s="75" t="str">
        <f aca="false">IF(LEN(BF718)=11,"PF",IF(LEN(BF718)=14,"PJ",""))</f>
        <v/>
      </c>
      <c r="BH718" s="66"/>
      <c r="BI718" s="58" t="str">
        <f aca="false">IF(BH718&lt;&gt;"",VLOOKUP(BH718,Selects!$G:$H,2,0),"")</f>
        <v/>
      </c>
      <c r="BJ718" s="58"/>
      <c r="BK718" s="58"/>
      <c r="BL718" s="59"/>
      <c r="BM718" s="58"/>
      <c r="BN718" s="58"/>
      <c r="BO718" s="58" t="str">
        <f aca="false">IF(BN718&lt;&gt;"",VLOOKUP(BN718,Selects!$J$4:$K$1000,2,0),"")</f>
        <v/>
      </c>
      <c r="BP718" s="76"/>
      <c r="BQ718" s="59"/>
      <c r="BR718" s="77"/>
      <c r="BS718" s="59"/>
      <c r="BT718" s="77"/>
      <c r="BU718" s="58"/>
      <c r="BV718" s="58"/>
      <c r="BW718" s="58"/>
      <c r="BX718" s="58"/>
      <c r="BY718" s="58"/>
      <c r="BZ718" s="58"/>
      <c r="CA718" s="58"/>
      <c r="CB718" s="72" t="str">
        <f aca="false">IF(AC718&lt;&gt;"",VLOOKUP(AC718,Selects!$B:$E,4,0),"")</f>
        <v/>
      </c>
      <c r="CC718" s="58"/>
      <c r="CD718" s="58"/>
      <c r="CE718" s="58"/>
    </row>
    <row r="719" customFormat="false" ht="15.75" hidden="false" customHeight="true" outlineLevel="0" collapsed="false">
      <c r="A719" s="17"/>
      <c r="B719" s="58"/>
      <c r="C719" s="58"/>
      <c r="D719" s="59"/>
      <c r="E719" s="60" t="str">
        <f aca="false">IF(LEN(D719)=11,"PF",IF(LEN(D719)=14,"PJ",""))</f>
        <v/>
      </c>
      <c r="F719" s="59"/>
      <c r="G719" s="59"/>
      <c r="H719" s="61" t="str">
        <f aca="false">IF(G719&lt;&gt;"",VLOOKUP(G719,'Cnae  mcc  id'!$A:$M,9,0),"")</f>
        <v/>
      </c>
      <c r="I719" s="62"/>
      <c r="J719" s="63" t="str">
        <f aca="false">IF(I719&lt;&gt;"",VLOOKUP(I719,'Legal Nature'!$E$2:$G$84,3,0),"")</f>
        <v/>
      </c>
      <c r="K719" s="64"/>
      <c r="L719" s="65"/>
      <c r="M719" s="66"/>
      <c r="N719" s="66"/>
      <c r="O719" s="79"/>
      <c r="P719" s="26"/>
      <c r="Q719" s="58"/>
      <c r="R719" s="58"/>
      <c r="S719" s="80"/>
      <c r="T719" s="68" t="str">
        <f aca="false">IF(LEFT(S719,1)="9","Celular",IF(S719="","","Fixo"))</f>
        <v/>
      </c>
      <c r="U719" s="58" t="str">
        <f aca="false">IF( T719&lt;&gt;"",VLOOKUP(T719,Selects!$M$4:$N$1000,2,0),"")</f>
        <v/>
      </c>
      <c r="V719" s="26"/>
      <c r="W719" s="58"/>
      <c r="X719" s="58"/>
      <c r="Y719" s="58"/>
      <c r="Z719" s="58"/>
      <c r="AA719" s="69"/>
      <c r="AB719" s="58"/>
      <c r="AC719" s="58"/>
      <c r="AD719" s="70" t="str">
        <f aca="false">IF(AC719&lt;&gt;"",VLOOKUP(AC719,Selects!$B$4:$C$100,2,0),"")</f>
        <v/>
      </c>
      <c r="AE719" s="26"/>
      <c r="AF719" s="58"/>
      <c r="AG719" s="59"/>
      <c r="AH719" s="65"/>
      <c r="AI719" s="66"/>
      <c r="AJ719" s="66"/>
      <c r="AK719" s="58"/>
      <c r="AL719" s="58"/>
      <c r="AM719" s="68" t="str">
        <f aca="false">IF(LEFT(AL719,1)="9","Celular",IF(AL719="","","Fixo"))</f>
        <v/>
      </c>
      <c r="AN719" s="58" t="str">
        <f aca="false">IF( AM719&lt;&gt;"",VLOOKUP(AM719,Selects!$M$4:$N$1000,2,0),"")</f>
        <v/>
      </c>
      <c r="AO719" s="58"/>
      <c r="AP719" s="59"/>
      <c r="AQ719" s="65"/>
      <c r="AR719" s="58"/>
      <c r="AS719" s="58"/>
      <c r="AT719" s="26"/>
      <c r="AU719" s="58"/>
      <c r="AV719" s="58"/>
      <c r="AW719" s="58"/>
      <c r="AX719" s="58"/>
      <c r="AY719" s="71"/>
      <c r="AZ719" s="58"/>
      <c r="BA719" s="58"/>
      <c r="BB719" s="72" t="str">
        <f aca="false">IF(BA719&lt;&gt;"",VLOOKUP(BA719,Selects!$B$4:$C$100,2,0),"")</f>
        <v/>
      </c>
      <c r="BC719" s="26"/>
      <c r="BD719" s="26"/>
      <c r="BE719" s="73"/>
      <c r="BF719" s="74"/>
      <c r="BG719" s="75" t="str">
        <f aca="false">IF(LEN(BF719)=11,"PF",IF(LEN(BF719)=14,"PJ",""))</f>
        <v/>
      </c>
      <c r="BH719" s="66"/>
      <c r="BI719" s="58" t="str">
        <f aca="false">IF(BH719&lt;&gt;"",VLOOKUP(BH719,Selects!$G:$H,2,0),"")</f>
        <v/>
      </c>
      <c r="BJ719" s="58"/>
      <c r="BK719" s="58"/>
      <c r="BL719" s="59"/>
      <c r="BM719" s="58"/>
      <c r="BN719" s="58"/>
      <c r="BO719" s="58" t="str">
        <f aca="false">IF(BN719&lt;&gt;"",VLOOKUP(BN719,Selects!$J$4:$K$1000,2,0),"")</f>
        <v/>
      </c>
      <c r="BP719" s="76"/>
      <c r="BQ719" s="59"/>
      <c r="BR719" s="77"/>
      <c r="BS719" s="59"/>
      <c r="BT719" s="77"/>
      <c r="BU719" s="58"/>
      <c r="BV719" s="58"/>
      <c r="BW719" s="58"/>
      <c r="BX719" s="58"/>
      <c r="BY719" s="58"/>
      <c r="BZ719" s="58"/>
      <c r="CA719" s="58"/>
      <c r="CB719" s="72" t="str">
        <f aca="false">IF(AC719&lt;&gt;"",VLOOKUP(AC719,Selects!$B:$E,4,0),"")</f>
        <v/>
      </c>
      <c r="CC719" s="58"/>
      <c r="CD719" s="58"/>
      <c r="CE719" s="58"/>
    </row>
    <row r="720" customFormat="false" ht="15.75" hidden="false" customHeight="true" outlineLevel="0" collapsed="false">
      <c r="A720" s="17"/>
      <c r="B720" s="58"/>
      <c r="C720" s="58"/>
      <c r="D720" s="59"/>
      <c r="E720" s="60" t="str">
        <f aca="false">IF(LEN(D720)=11,"PF",IF(LEN(D720)=14,"PJ",""))</f>
        <v/>
      </c>
      <c r="F720" s="59"/>
      <c r="G720" s="59"/>
      <c r="H720" s="61" t="str">
        <f aca="false">IF(G720&lt;&gt;"",VLOOKUP(G720,'Cnae  mcc  id'!$A:$M,9,0),"")</f>
        <v/>
      </c>
      <c r="I720" s="62"/>
      <c r="J720" s="63" t="str">
        <f aca="false">IF(I720&lt;&gt;"",VLOOKUP(I720,'Legal Nature'!$E$2:$G$84,3,0),"")</f>
        <v/>
      </c>
      <c r="K720" s="64"/>
      <c r="L720" s="65"/>
      <c r="M720" s="66"/>
      <c r="N720" s="66"/>
      <c r="O720" s="79"/>
      <c r="P720" s="26"/>
      <c r="Q720" s="58"/>
      <c r="R720" s="58"/>
      <c r="S720" s="80"/>
      <c r="T720" s="68" t="str">
        <f aca="false">IF(LEFT(S720,1)="9","Celular",IF(S720="","","Fixo"))</f>
        <v/>
      </c>
      <c r="U720" s="58" t="str">
        <f aca="false">IF( T720&lt;&gt;"",VLOOKUP(T720,Selects!$M$4:$N$1000,2,0),"")</f>
        <v/>
      </c>
      <c r="V720" s="26"/>
      <c r="W720" s="58"/>
      <c r="X720" s="58"/>
      <c r="Y720" s="58"/>
      <c r="Z720" s="58"/>
      <c r="AA720" s="69"/>
      <c r="AB720" s="58"/>
      <c r="AC720" s="58"/>
      <c r="AD720" s="70" t="str">
        <f aca="false">IF(AC720&lt;&gt;"",VLOOKUP(AC720,Selects!$B$4:$C$100,2,0),"")</f>
        <v/>
      </c>
      <c r="AE720" s="26"/>
      <c r="AF720" s="58"/>
      <c r="AG720" s="59"/>
      <c r="AH720" s="65"/>
      <c r="AI720" s="66"/>
      <c r="AJ720" s="66"/>
      <c r="AK720" s="58"/>
      <c r="AL720" s="58"/>
      <c r="AM720" s="68" t="str">
        <f aca="false">IF(LEFT(AL720,1)="9","Celular",IF(AL720="","","Fixo"))</f>
        <v/>
      </c>
      <c r="AN720" s="58" t="str">
        <f aca="false">IF( AM720&lt;&gt;"",VLOOKUP(AM720,Selects!$M$4:$N$1000,2,0),"")</f>
        <v/>
      </c>
      <c r="AO720" s="58"/>
      <c r="AP720" s="59"/>
      <c r="AQ720" s="65"/>
      <c r="AR720" s="58"/>
      <c r="AS720" s="58"/>
      <c r="AT720" s="26"/>
      <c r="AU720" s="58"/>
      <c r="AV720" s="58"/>
      <c r="AW720" s="58"/>
      <c r="AX720" s="58"/>
      <c r="AY720" s="71"/>
      <c r="AZ720" s="58"/>
      <c r="BA720" s="58"/>
      <c r="BB720" s="72" t="str">
        <f aca="false">IF(BA720&lt;&gt;"",VLOOKUP(BA720,Selects!$B$4:$C$100,2,0),"")</f>
        <v/>
      </c>
      <c r="BC720" s="26"/>
      <c r="BD720" s="26"/>
      <c r="BE720" s="73"/>
      <c r="BF720" s="74"/>
      <c r="BG720" s="75" t="str">
        <f aca="false">IF(LEN(BF720)=11,"PF",IF(LEN(BF720)=14,"PJ",""))</f>
        <v/>
      </c>
      <c r="BH720" s="66"/>
      <c r="BI720" s="58" t="str">
        <f aca="false">IF(BH720&lt;&gt;"",VLOOKUP(BH720,Selects!$G:$H,2,0),"")</f>
        <v/>
      </c>
      <c r="BJ720" s="58"/>
      <c r="BK720" s="58"/>
      <c r="BL720" s="59"/>
      <c r="BM720" s="58"/>
      <c r="BN720" s="58"/>
      <c r="BO720" s="58" t="str">
        <f aca="false">IF(BN720&lt;&gt;"",VLOOKUP(BN720,Selects!$J$4:$K$1000,2,0),"")</f>
        <v/>
      </c>
      <c r="BP720" s="76"/>
      <c r="BQ720" s="59"/>
      <c r="BR720" s="77"/>
      <c r="BS720" s="59"/>
      <c r="BT720" s="77"/>
      <c r="BU720" s="58"/>
      <c r="BV720" s="58"/>
      <c r="BW720" s="58"/>
      <c r="BX720" s="58"/>
      <c r="BY720" s="58"/>
      <c r="BZ720" s="58"/>
      <c r="CA720" s="58"/>
      <c r="CB720" s="72" t="str">
        <f aca="false">IF(AC720&lt;&gt;"",VLOOKUP(AC720,Selects!$B:$E,4,0),"")</f>
        <v/>
      </c>
      <c r="CC720" s="58"/>
      <c r="CD720" s="58"/>
      <c r="CE720" s="58"/>
    </row>
    <row r="721" customFormat="false" ht="15.75" hidden="false" customHeight="true" outlineLevel="0" collapsed="false">
      <c r="A721" s="17"/>
      <c r="B721" s="58"/>
      <c r="C721" s="58"/>
      <c r="D721" s="59"/>
      <c r="E721" s="60" t="str">
        <f aca="false">IF(LEN(D721)=11,"PF",IF(LEN(D721)=14,"PJ",""))</f>
        <v/>
      </c>
      <c r="F721" s="59"/>
      <c r="G721" s="59"/>
      <c r="H721" s="61" t="str">
        <f aca="false">IF(G721&lt;&gt;"",VLOOKUP(G721,'Cnae  mcc  id'!$A:$M,9,0),"")</f>
        <v/>
      </c>
      <c r="I721" s="62"/>
      <c r="J721" s="63" t="str">
        <f aca="false">IF(I721&lt;&gt;"",VLOOKUP(I721,'Legal Nature'!$E$2:$G$84,3,0),"")</f>
        <v/>
      </c>
      <c r="K721" s="64"/>
      <c r="L721" s="65"/>
      <c r="M721" s="66"/>
      <c r="N721" s="66"/>
      <c r="O721" s="79"/>
      <c r="P721" s="26"/>
      <c r="Q721" s="58"/>
      <c r="R721" s="58"/>
      <c r="S721" s="80"/>
      <c r="T721" s="68" t="str">
        <f aca="false">IF(LEFT(S721,1)="9","Celular",IF(S721="","","Fixo"))</f>
        <v/>
      </c>
      <c r="U721" s="58" t="str">
        <f aca="false">IF( T721&lt;&gt;"",VLOOKUP(T721,Selects!$M$4:$N$1000,2,0),"")</f>
        <v/>
      </c>
      <c r="V721" s="26"/>
      <c r="W721" s="58"/>
      <c r="X721" s="58"/>
      <c r="Y721" s="58"/>
      <c r="Z721" s="58"/>
      <c r="AA721" s="69"/>
      <c r="AB721" s="58"/>
      <c r="AC721" s="58"/>
      <c r="AD721" s="70" t="str">
        <f aca="false">IF(AC721&lt;&gt;"",VLOOKUP(AC721,Selects!$B$4:$C$100,2,0),"")</f>
        <v/>
      </c>
      <c r="AE721" s="26"/>
      <c r="AF721" s="58"/>
      <c r="AG721" s="59"/>
      <c r="AH721" s="65"/>
      <c r="AI721" s="66"/>
      <c r="AJ721" s="66"/>
      <c r="AK721" s="58"/>
      <c r="AL721" s="58"/>
      <c r="AM721" s="68" t="str">
        <f aca="false">IF(LEFT(AL721,1)="9","Celular",IF(AL721="","","Fixo"))</f>
        <v/>
      </c>
      <c r="AN721" s="58" t="str">
        <f aca="false">IF( AM721&lt;&gt;"",VLOOKUP(AM721,Selects!$M$4:$N$1000,2,0),"")</f>
        <v/>
      </c>
      <c r="AO721" s="58"/>
      <c r="AP721" s="59"/>
      <c r="AQ721" s="65"/>
      <c r="AR721" s="58"/>
      <c r="AS721" s="58"/>
      <c r="AT721" s="26"/>
      <c r="AU721" s="58"/>
      <c r="AV721" s="58"/>
      <c r="AW721" s="58"/>
      <c r="AX721" s="58"/>
      <c r="AY721" s="71"/>
      <c r="AZ721" s="58"/>
      <c r="BA721" s="58"/>
      <c r="BB721" s="72" t="str">
        <f aca="false">IF(BA721&lt;&gt;"",VLOOKUP(BA721,Selects!$B$4:$C$100,2,0),"")</f>
        <v/>
      </c>
      <c r="BC721" s="26"/>
      <c r="BD721" s="26"/>
      <c r="BE721" s="73"/>
      <c r="BF721" s="74"/>
      <c r="BG721" s="75" t="str">
        <f aca="false">IF(LEN(BF721)=11,"PF",IF(LEN(BF721)=14,"PJ",""))</f>
        <v/>
      </c>
      <c r="BH721" s="66"/>
      <c r="BI721" s="58" t="str">
        <f aca="false">IF(BH721&lt;&gt;"",VLOOKUP(BH721,Selects!$G:$H,2,0),"")</f>
        <v/>
      </c>
      <c r="BJ721" s="58"/>
      <c r="BK721" s="58"/>
      <c r="BL721" s="59"/>
      <c r="BM721" s="58"/>
      <c r="BN721" s="58"/>
      <c r="BO721" s="58" t="str">
        <f aca="false">IF(BN721&lt;&gt;"",VLOOKUP(BN721,Selects!$J$4:$K$1000,2,0),"")</f>
        <v/>
      </c>
      <c r="BP721" s="76"/>
      <c r="BQ721" s="59"/>
      <c r="BR721" s="77"/>
      <c r="BS721" s="59"/>
      <c r="BT721" s="77"/>
      <c r="BU721" s="58"/>
      <c r="BV721" s="58"/>
      <c r="BW721" s="58"/>
      <c r="BX721" s="58"/>
      <c r="BY721" s="58"/>
      <c r="BZ721" s="58"/>
      <c r="CA721" s="58"/>
      <c r="CB721" s="72" t="str">
        <f aca="false">IF(AC721&lt;&gt;"",VLOOKUP(AC721,Selects!$B:$E,4,0),"")</f>
        <v/>
      </c>
      <c r="CC721" s="58"/>
      <c r="CD721" s="58"/>
      <c r="CE721" s="58"/>
    </row>
    <row r="722" customFormat="false" ht="15.75" hidden="false" customHeight="true" outlineLevel="0" collapsed="false">
      <c r="A722" s="17"/>
      <c r="B722" s="58"/>
      <c r="C722" s="58"/>
      <c r="D722" s="59"/>
      <c r="E722" s="60" t="str">
        <f aca="false">IF(LEN(D722)=11,"PF",IF(LEN(D722)=14,"PJ",""))</f>
        <v/>
      </c>
      <c r="F722" s="59"/>
      <c r="G722" s="59"/>
      <c r="H722" s="61" t="str">
        <f aca="false">IF(G722&lt;&gt;"",VLOOKUP(G722,'Cnae  mcc  id'!$A:$M,9,0),"")</f>
        <v/>
      </c>
      <c r="I722" s="62"/>
      <c r="J722" s="63" t="str">
        <f aca="false">IF(I722&lt;&gt;"",VLOOKUP(I722,'Legal Nature'!$E$2:$G$84,3,0),"")</f>
        <v/>
      </c>
      <c r="K722" s="64"/>
      <c r="L722" s="65"/>
      <c r="M722" s="66"/>
      <c r="N722" s="66"/>
      <c r="O722" s="79"/>
      <c r="P722" s="26"/>
      <c r="Q722" s="58"/>
      <c r="R722" s="58"/>
      <c r="S722" s="80"/>
      <c r="T722" s="68" t="str">
        <f aca="false">IF(LEFT(S722,1)="9","Celular",IF(S722="","","Fixo"))</f>
        <v/>
      </c>
      <c r="U722" s="58" t="str">
        <f aca="false">IF( T722&lt;&gt;"",VLOOKUP(T722,Selects!$M$4:$N$1000,2,0),"")</f>
        <v/>
      </c>
      <c r="V722" s="26"/>
      <c r="W722" s="58"/>
      <c r="X722" s="58"/>
      <c r="Y722" s="58"/>
      <c r="Z722" s="58"/>
      <c r="AA722" s="69"/>
      <c r="AB722" s="58"/>
      <c r="AC722" s="58"/>
      <c r="AD722" s="70" t="str">
        <f aca="false">IF(AC722&lt;&gt;"",VLOOKUP(AC722,Selects!$B$4:$C$100,2,0),"")</f>
        <v/>
      </c>
      <c r="AE722" s="26"/>
      <c r="AF722" s="58"/>
      <c r="AG722" s="59"/>
      <c r="AH722" s="65"/>
      <c r="AI722" s="66"/>
      <c r="AJ722" s="66"/>
      <c r="AK722" s="58"/>
      <c r="AL722" s="58"/>
      <c r="AM722" s="68" t="str">
        <f aca="false">IF(LEFT(AL722,1)="9","Celular",IF(AL722="","","Fixo"))</f>
        <v/>
      </c>
      <c r="AN722" s="58" t="str">
        <f aca="false">IF( AM722&lt;&gt;"",VLOOKUP(AM722,Selects!$M$4:$N$1000,2,0),"")</f>
        <v/>
      </c>
      <c r="AO722" s="58"/>
      <c r="AP722" s="59"/>
      <c r="AQ722" s="65"/>
      <c r="AR722" s="58"/>
      <c r="AS722" s="58"/>
      <c r="AT722" s="26"/>
      <c r="AU722" s="58"/>
      <c r="AV722" s="58"/>
      <c r="AW722" s="58"/>
      <c r="AX722" s="58"/>
      <c r="AY722" s="71"/>
      <c r="AZ722" s="58"/>
      <c r="BA722" s="58"/>
      <c r="BB722" s="72" t="str">
        <f aca="false">IF(BA722&lt;&gt;"",VLOOKUP(BA722,Selects!$B$4:$C$100,2,0),"")</f>
        <v/>
      </c>
      <c r="BC722" s="26"/>
      <c r="BD722" s="26"/>
      <c r="BE722" s="73"/>
      <c r="BF722" s="74"/>
      <c r="BG722" s="75" t="str">
        <f aca="false">IF(LEN(BF722)=11,"PF",IF(LEN(BF722)=14,"PJ",""))</f>
        <v/>
      </c>
      <c r="BH722" s="66"/>
      <c r="BI722" s="58" t="str">
        <f aca="false">IF(BH722&lt;&gt;"",VLOOKUP(BH722,Selects!$G:$H,2,0),"")</f>
        <v/>
      </c>
      <c r="BJ722" s="58"/>
      <c r="BK722" s="58"/>
      <c r="BL722" s="59"/>
      <c r="BM722" s="58"/>
      <c r="BN722" s="58"/>
      <c r="BO722" s="58" t="str">
        <f aca="false">IF(BN722&lt;&gt;"",VLOOKUP(BN722,Selects!$J$4:$K$1000,2,0),"")</f>
        <v/>
      </c>
      <c r="BP722" s="76"/>
      <c r="BQ722" s="59"/>
      <c r="BR722" s="77"/>
      <c r="BS722" s="59"/>
      <c r="BT722" s="77"/>
      <c r="BU722" s="58"/>
      <c r="BV722" s="58"/>
      <c r="BW722" s="58"/>
      <c r="BX722" s="58"/>
      <c r="BY722" s="58"/>
      <c r="BZ722" s="58"/>
      <c r="CA722" s="58"/>
      <c r="CB722" s="72" t="str">
        <f aca="false">IF(AC722&lt;&gt;"",VLOOKUP(AC722,Selects!$B:$E,4,0),"")</f>
        <v/>
      </c>
      <c r="CC722" s="58"/>
      <c r="CD722" s="58"/>
      <c r="CE722" s="58"/>
    </row>
    <row r="723" customFormat="false" ht="15.75" hidden="false" customHeight="true" outlineLevel="0" collapsed="false">
      <c r="A723" s="17"/>
      <c r="B723" s="58"/>
      <c r="C723" s="58"/>
      <c r="D723" s="59"/>
      <c r="E723" s="60" t="str">
        <f aca="false">IF(LEN(D723)=11,"PF",IF(LEN(D723)=14,"PJ",""))</f>
        <v/>
      </c>
      <c r="F723" s="59"/>
      <c r="G723" s="59"/>
      <c r="H723" s="61" t="str">
        <f aca="false">IF(G723&lt;&gt;"",VLOOKUP(G723,'Cnae  mcc  id'!$A:$M,9,0),"")</f>
        <v/>
      </c>
      <c r="I723" s="62"/>
      <c r="J723" s="63" t="str">
        <f aca="false">IF(I723&lt;&gt;"",VLOOKUP(I723,'Legal Nature'!$E$2:$G$84,3,0),"")</f>
        <v/>
      </c>
      <c r="K723" s="64"/>
      <c r="L723" s="65"/>
      <c r="M723" s="66"/>
      <c r="N723" s="66"/>
      <c r="O723" s="79"/>
      <c r="P723" s="26"/>
      <c r="Q723" s="58"/>
      <c r="R723" s="58"/>
      <c r="S723" s="80"/>
      <c r="T723" s="68" t="str">
        <f aca="false">IF(LEFT(S723,1)="9","Celular",IF(S723="","","Fixo"))</f>
        <v/>
      </c>
      <c r="U723" s="58" t="str">
        <f aca="false">IF( T723&lt;&gt;"",VLOOKUP(T723,Selects!$M$4:$N$1000,2,0),"")</f>
        <v/>
      </c>
      <c r="V723" s="26"/>
      <c r="W723" s="58"/>
      <c r="X723" s="58"/>
      <c r="Y723" s="58"/>
      <c r="Z723" s="58"/>
      <c r="AA723" s="69"/>
      <c r="AB723" s="58"/>
      <c r="AC723" s="58"/>
      <c r="AD723" s="70" t="str">
        <f aca="false">IF(AC723&lt;&gt;"",VLOOKUP(AC723,Selects!$B$4:$C$100,2,0),"")</f>
        <v/>
      </c>
      <c r="AE723" s="26"/>
      <c r="AF723" s="58"/>
      <c r="AG723" s="59"/>
      <c r="AH723" s="65"/>
      <c r="AI723" s="66"/>
      <c r="AJ723" s="66"/>
      <c r="AK723" s="58"/>
      <c r="AL723" s="58"/>
      <c r="AM723" s="68" t="str">
        <f aca="false">IF(LEFT(AL723,1)="9","Celular",IF(AL723="","","Fixo"))</f>
        <v/>
      </c>
      <c r="AN723" s="58" t="str">
        <f aca="false">IF( AM723&lt;&gt;"",VLOOKUP(AM723,Selects!$M$4:$N$1000,2,0),"")</f>
        <v/>
      </c>
      <c r="AO723" s="58"/>
      <c r="AP723" s="59"/>
      <c r="AQ723" s="65"/>
      <c r="AR723" s="58"/>
      <c r="AS723" s="58"/>
      <c r="AT723" s="26"/>
      <c r="AU723" s="58"/>
      <c r="AV723" s="58"/>
      <c r="AW723" s="58"/>
      <c r="AX723" s="58"/>
      <c r="AY723" s="71"/>
      <c r="AZ723" s="58"/>
      <c r="BA723" s="58"/>
      <c r="BB723" s="72" t="str">
        <f aca="false">IF(BA723&lt;&gt;"",VLOOKUP(BA723,Selects!$B$4:$C$100,2,0),"")</f>
        <v/>
      </c>
      <c r="BC723" s="26"/>
      <c r="BD723" s="26"/>
      <c r="BE723" s="73"/>
      <c r="BF723" s="74"/>
      <c r="BG723" s="75" t="str">
        <f aca="false">IF(LEN(BF723)=11,"PF",IF(LEN(BF723)=14,"PJ",""))</f>
        <v/>
      </c>
      <c r="BH723" s="66"/>
      <c r="BI723" s="58" t="str">
        <f aca="false">IF(BH723&lt;&gt;"",VLOOKUP(BH723,Selects!$G:$H,2,0),"")</f>
        <v/>
      </c>
      <c r="BJ723" s="58"/>
      <c r="BK723" s="58"/>
      <c r="BL723" s="59"/>
      <c r="BM723" s="58"/>
      <c r="BN723" s="58"/>
      <c r="BO723" s="58" t="str">
        <f aca="false">IF(BN723&lt;&gt;"",VLOOKUP(BN723,Selects!$J$4:$K$1000,2,0),"")</f>
        <v/>
      </c>
      <c r="BP723" s="76"/>
      <c r="BQ723" s="59"/>
      <c r="BR723" s="77"/>
      <c r="BS723" s="59"/>
      <c r="BT723" s="77"/>
      <c r="BU723" s="58"/>
      <c r="BV723" s="58"/>
      <c r="BW723" s="58"/>
      <c r="BX723" s="58"/>
      <c r="BY723" s="58"/>
      <c r="BZ723" s="58"/>
      <c r="CA723" s="58"/>
      <c r="CB723" s="72" t="str">
        <f aca="false">IF(AC723&lt;&gt;"",VLOOKUP(AC723,Selects!$B:$E,4,0),"")</f>
        <v/>
      </c>
      <c r="CC723" s="58"/>
      <c r="CD723" s="58"/>
      <c r="CE723" s="58"/>
    </row>
    <row r="724" customFormat="false" ht="15.75" hidden="false" customHeight="true" outlineLevel="0" collapsed="false">
      <c r="A724" s="17"/>
      <c r="B724" s="58"/>
      <c r="C724" s="58"/>
      <c r="D724" s="59"/>
      <c r="E724" s="60" t="str">
        <f aca="false">IF(LEN(D724)=11,"PF",IF(LEN(D724)=14,"PJ",""))</f>
        <v/>
      </c>
      <c r="F724" s="59"/>
      <c r="G724" s="59"/>
      <c r="H724" s="61" t="str">
        <f aca="false">IF(G724&lt;&gt;"",VLOOKUP(G724,'Cnae  mcc  id'!$A:$M,9,0),"")</f>
        <v/>
      </c>
      <c r="I724" s="62"/>
      <c r="J724" s="63" t="str">
        <f aca="false">IF(I724&lt;&gt;"",VLOOKUP(I724,'Legal Nature'!$E$2:$G$84,3,0),"")</f>
        <v/>
      </c>
      <c r="K724" s="64"/>
      <c r="L724" s="65"/>
      <c r="M724" s="66"/>
      <c r="N724" s="66"/>
      <c r="O724" s="79"/>
      <c r="P724" s="26"/>
      <c r="Q724" s="58"/>
      <c r="R724" s="58"/>
      <c r="S724" s="80"/>
      <c r="T724" s="68" t="str">
        <f aca="false">IF(LEFT(S724,1)="9","Celular",IF(S724="","","Fixo"))</f>
        <v/>
      </c>
      <c r="U724" s="58" t="str">
        <f aca="false">IF( T724&lt;&gt;"",VLOOKUP(T724,Selects!$M$4:$N$1000,2,0),"")</f>
        <v/>
      </c>
      <c r="V724" s="26"/>
      <c r="W724" s="58"/>
      <c r="X724" s="58"/>
      <c r="Y724" s="58"/>
      <c r="Z724" s="58"/>
      <c r="AA724" s="69"/>
      <c r="AB724" s="58"/>
      <c r="AC724" s="58"/>
      <c r="AD724" s="70" t="str">
        <f aca="false">IF(AC724&lt;&gt;"",VLOOKUP(AC724,Selects!$B$4:$C$100,2,0),"")</f>
        <v/>
      </c>
      <c r="AE724" s="26"/>
      <c r="AF724" s="58"/>
      <c r="AG724" s="59"/>
      <c r="AH724" s="65"/>
      <c r="AI724" s="66"/>
      <c r="AJ724" s="66"/>
      <c r="AK724" s="58"/>
      <c r="AL724" s="58"/>
      <c r="AM724" s="68" t="str">
        <f aca="false">IF(LEFT(AL724,1)="9","Celular",IF(AL724="","","Fixo"))</f>
        <v/>
      </c>
      <c r="AN724" s="58" t="str">
        <f aca="false">IF( AM724&lt;&gt;"",VLOOKUP(AM724,Selects!$M$4:$N$1000,2,0),"")</f>
        <v/>
      </c>
      <c r="AO724" s="58"/>
      <c r="AP724" s="59"/>
      <c r="AQ724" s="65"/>
      <c r="AR724" s="58"/>
      <c r="AS724" s="58"/>
      <c r="AT724" s="26"/>
      <c r="AU724" s="58"/>
      <c r="AV724" s="58"/>
      <c r="AW724" s="58"/>
      <c r="AX724" s="58"/>
      <c r="AY724" s="71"/>
      <c r="AZ724" s="58"/>
      <c r="BA724" s="58"/>
      <c r="BB724" s="72" t="str">
        <f aca="false">IF(BA724&lt;&gt;"",VLOOKUP(BA724,Selects!$B$4:$C$100,2,0),"")</f>
        <v/>
      </c>
      <c r="BC724" s="26"/>
      <c r="BD724" s="26"/>
      <c r="BE724" s="73"/>
      <c r="BF724" s="74"/>
      <c r="BG724" s="75" t="str">
        <f aca="false">IF(LEN(BF724)=11,"PF",IF(LEN(BF724)=14,"PJ",""))</f>
        <v/>
      </c>
      <c r="BH724" s="66"/>
      <c r="BI724" s="58" t="str">
        <f aca="false">IF(BH724&lt;&gt;"",VLOOKUP(BH724,Selects!$G:$H,2,0),"")</f>
        <v/>
      </c>
      <c r="BJ724" s="58"/>
      <c r="BK724" s="58"/>
      <c r="BL724" s="59"/>
      <c r="BM724" s="58"/>
      <c r="BN724" s="58"/>
      <c r="BO724" s="58" t="str">
        <f aca="false">IF(BN724&lt;&gt;"",VLOOKUP(BN724,Selects!$J$4:$K$1000,2,0),"")</f>
        <v/>
      </c>
      <c r="BP724" s="76"/>
      <c r="BQ724" s="59"/>
      <c r="BR724" s="77"/>
      <c r="BS724" s="59"/>
      <c r="BT724" s="77"/>
      <c r="BU724" s="58"/>
      <c r="BV724" s="58"/>
      <c r="BW724" s="58"/>
      <c r="BX724" s="58"/>
      <c r="BY724" s="58"/>
      <c r="BZ724" s="58"/>
      <c r="CA724" s="58"/>
      <c r="CB724" s="72" t="str">
        <f aca="false">IF(AC724&lt;&gt;"",VLOOKUP(AC724,Selects!$B:$E,4,0),"")</f>
        <v/>
      </c>
      <c r="CC724" s="58"/>
      <c r="CD724" s="58"/>
      <c r="CE724" s="58"/>
    </row>
    <row r="725" customFormat="false" ht="15.75" hidden="false" customHeight="true" outlineLevel="0" collapsed="false">
      <c r="A725" s="17"/>
      <c r="B725" s="58"/>
      <c r="C725" s="58"/>
      <c r="D725" s="59"/>
      <c r="E725" s="60" t="str">
        <f aca="false">IF(LEN(D725)=11,"PF",IF(LEN(D725)=14,"PJ",""))</f>
        <v/>
      </c>
      <c r="F725" s="59"/>
      <c r="G725" s="59"/>
      <c r="H725" s="61" t="str">
        <f aca="false">IF(G725&lt;&gt;"",VLOOKUP(G725,'Cnae  mcc  id'!$A:$M,9,0),"")</f>
        <v/>
      </c>
      <c r="I725" s="62"/>
      <c r="J725" s="63" t="str">
        <f aca="false">IF(I725&lt;&gt;"",VLOOKUP(I725,'Legal Nature'!$E$2:$G$84,3,0),"")</f>
        <v/>
      </c>
      <c r="K725" s="64"/>
      <c r="L725" s="65"/>
      <c r="M725" s="66"/>
      <c r="N725" s="66"/>
      <c r="O725" s="79"/>
      <c r="P725" s="26"/>
      <c r="Q725" s="58"/>
      <c r="R725" s="58"/>
      <c r="S725" s="80"/>
      <c r="T725" s="68" t="str">
        <f aca="false">IF(LEFT(S725,1)="9","Celular",IF(S725="","","Fixo"))</f>
        <v/>
      </c>
      <c r="U725" s="58" t="str">
        <f aca="false">IF( T725&lt;&gt;"",VLOOKUP(T725,Selects!$M$4:$N$1000,2,0),"")</f>
        <v/>
      </c>
      <c r="V725" s="26"/>
      <c r="W725" s="58"/>
      <c r="X725" s="58"/>
      <c r="Y725" s="58"/>
      <c r="Z725" s="58"/>
      <c r="AA725" s="69"/>
      <c r="AB725" s="58"/>
      <c r="AC725" s="58"/>
      <c r="AD725" s="70" t="str">
        <f aca="false">IF(AC725&lt;&gt;"",VLOOKUP(AC725,Selects!$B$4:$C$100,2,0),"")</f>
        <v/>
      </c>
      <c r="AE725" s="26"/>
      <c r="AF725" s="58"/>
      <c r="AG725" s="59"/>
      <c r="AH725" s="65"/>
      <c r="AI725" s="66"/>
      <c r="AJ725" s="66"/>
      <c r="AK725" s="58"/>
      <c r="AL725" s="58"/>
      <c r="AM725" s="68" t="str">
        <f aca="false">IF(LEFT(AL725,1)="9","Celular",IF(AL725="","","Fixo"))</f>
        <v/>
      </c>
      <c r="AN725" s="58" t="str">
        <f aca="false">IF( AM725&lt;&gt;"",VLOOKUP(AM725,Selects!$M$4:$N$1000,2,0),"")</f>
        <v/>
      </c>
      <c r="AO725" s="58"/>
      <c r="AP725" s="59"/>
      <c r="AQ725" s="65"/>
      <c r="AR725" s="58"/>
      <c r="AS725" s="58"/>
      <c r="AT725" s="26"/>
      <c r="AU725" s="58"/>
      <c r="AV725" s="58"/>
      <c r="AW725" s="58"/>
      <c r="AX725" s="58"/>
      <c r="AY725" s="71"/>
      <c r="AZ725" s="58"/>
      <c r="BA725" s="58"/>
      <c r="BB725" s="72" t="str">
        <f aca="false">IF(BA725&lt;&gt;"",VLOOKUP(BA725,Selects!$B$4:$C$100,2,0),"")</f>
        <v/>
      </c>
      <c r="BC725" s="26"/>
      <c r="BD725" s="26"/>
      <c r="BE725" s="73"/>
      <c r="BF725" s="74"/>
      <c r="BG725" s="75" t="str">
        <f aca="false">IF(LEN(BF725)=11,"PF",IF(LEN(BF725)=14,"PJ",""))</f>
        <v/>
      </c>
      <c r="BH725" s="66"/>
      <c r="BI725" s="58" t="str">
        <f aca="false">IF(BH725&lt;&gt;"",VLOOKUP(BH725,Selects!$G:$H,2,0),"")</f>
        <v/>
      </c>
      <c r="BJ725" s="58"/>
      <c r="BK725" s="58"/>
      <c r="BL725" s="59"/>
      <c r="BM725" s="58"/>
      <c r="BN725" s="58"/>
      <c r="BO725" s="58" t="str">
        <f aca="false">IF(BN725&lt;&gt;"",VLOOKUP(BN725,Selects!$J$4:$K$1000,2,0),"")</f>
        <v/>
      </c>
      <c r="BP725" s="76"/>
      <c r="BQ725" s="59"/>
      <c r="BR725" s="77"/>
      <c r="BS725" s="59"/>
      <c r="BT725" s="77"/>
      <c r="BU725" s="58"/>
      <c r="BV725" s="58"/>
      <c r="BW725" s="58"/>
      <c r="BX725" s="58"/>
      <c r="BY725" s="58"/>
      <c r="BZ725" s="58"/>
      <c r="CA725" s="58"/>
      <c r="CB725" s="72" t="str">
        <f aca="false">IF(AC725&lt;&gt;"",VLOOKUP(AC725,Selects!$B:$E,4,0),"")</f>
        <v/>
      </c>
      <c r="CC725" s="58"/>
      <c r="CD725" s="58"/>
      <c r="CE725" s="58"/>
    </row>
    <row r="726" customFormat="false" ht="15.75" hidden="false" customHeight="true" outlineLevel="0" collapsed="false">
      <c r="A726" s="17"/>
      <c r="B726" s="58"/>
      <c r="C726" s="58"/>
      <c r="D726" s="59"/>
      <c r="E726" s="60" t="str">
        <f aca="false">IF(LEN(D726)=11,"PF",IF(LEN(D726)=14,"PJ",""))</f>
        <v/>
      </c>
      <c r="F726" s="59"/>
      <c r="G726" s="59"/>
      <c r="H726" s="61" t="str">
        <f aca="false">IF(G726&lt;&gt;"",VLOOKUP(G726,'Cnae  mcc  id'!$A:$M,9,0),"")</f>
        <v/>
      </c>
      <c r="I726" s="62"/>
      <c r="J726" s="63" t="str">
        <f aca="false">IF(I726&lt;&gt;"",VLOOKUP(I726,'Legal Nature'!$E$2:$G$84,3,0),"")</f>
        <v/>
      </c>
      <c r="K726" s="64"/>
      <c r="L726" s="65"/>
      <c r="M726" s="66"/>
      <c r="N726" s="66"/>
      <c r="O726" s="79"/>
      <c r="P726" s="26"/>
      <c r="Q726" s="58"/>
      <c r="R726" s="58"/>
      <c r="S726" s="80"/>
      <c r="T726" s="68" t="str">
        <f aca="false">IF(LEFT(S726,1)="9","Celular",IF(S726="","","Fixo"))</f>
        <v/>
      </c>
      <c r="U726" s="58" t="str">
        <f aca="false">IF( T726&lt;&gt;"",VLOOKUP(T726,Selects!$M$4:$N$1000,2,0),"")</f>
        <v/>
      </c>
      <c r="V726" s="26"/>
      <c r="W726" s="58"/>
      <c r="X726" s="58"/>
      <c r="Y726" s="58"/>
      <c r="Z726" s="58"/>
      <c r="AA726" s="69"/>
      <c r="AB726" s="58"/>
      <c r="AC726" s="58"/>
      <c r="AD726" s="70" t="str">
        <f aca="false">IF(AC726&lt;&gt;"",VLOOKUP(AC726,Selects!$B$4:$C$100,2,0),"")</f>
        <v/>
      </c>
      <c r="AE726" s="26"/>
      <c r="AF726" s="58"/>
      <c r="AG726" s="59"/>
      <c r="AH726" s="65"/>
      <c r="AI726" s="66"/>
      <c r="AJ726" s="66"/>
      <c r="AK726" s="58"/>
      <c r="AL726" s="58"/>
      <c r="AM726" s="68" t="str">
        <f aca="false">IF(LEFT(AL726,1)="9","Celular",IF(AL726="","","Fixo"))</f>
        <v/>
      </c>
      <c r="AN726" s="58" t="str">
        <f aca="false">IF( AM726&lt;&gt;"",VLOOKUP(AM726,Selects!$M$4:$N$1000,2,0),"")</f>
        <v/>
      </c>
      <c r="AO726" s="58"/>
      <c r="AP726" s="59"/>
      <c r="AQ726" s="65"/>
      <c r="AR726" s="58"/>
      <c r="AS726" s="58"/>
      <c r="AT726" s="26"/>
      <c r="AU726" s="58"/>
      <c r="AV726" s="58"/>
      <c r="AW726" s="58"/>
      <c r="AX726" s="58"/>
      <c r="AY726" s="71"/>
      <c r="AZ726" s="58"/>
      <c r="BA726" s="58"/>
      <c r="BB726" s="72" t="str">
        <f aca="false">IF(BA726&lt;&gt;"",VLOOKUP(BA726,Selects!$B$4:$C$100,2,0),"")</f>
        <v/>
      </c>
      <c r="BC726" s="26"/>
      <c r="BD726" s="26"/>
      <c r="BE726" s="73"/>
      <c r="BF726" s="74"/>
      <c r="BG726" s="75" t="str">
        <f aca="false">IF(LEN(BF726)=11,"PF",IF(LEN(BF726)=14,"PJ",""))</f>
        <v/>
      </c>
      <c r="BH726" s="66"/>
      <c r="BI726" s="58" t="str">
        <f aca="false">IF(BH726&lt;&gt;"",VLOOKUP(BH726,Selects!$G:$H,2,0),"")</f>
        <v/>
      </c>
      <c r="BJ726" s="58"/>
      <c r="BK726" s="58"/>
      <c r="BL726" s="59"/>
      <c r="BM726" s="58"/>
      <c r="BN726" s="58"/>
      <c r="BO726" s="58" t="str">
        <f aca="false">IF(BN726&lt;&gt;"",VLOOKUP(BN726,Selects!$J$4:$K$1000,2,0),"")</f>
        <v/>
      </c>
      <c r="BP726" s="76"/>
      <c r="BQ726" s="59"/>
      <c r="BR726" s="77"/>
      <c r="BS726" s="59"/>
      <c r="BT726" s="77"/>
      <c r="BU726" s="58"/>
      <c r="BV726" s="58"/>
      <c r="BW726" s="58"/>
      <c r="BX726" s="58"/>
      <c r="BY726" s="58"/>
      <c r="BZ726" s="58"/>
      <c r="CA726" s="58"/>
      <c r="CB726" s="72" t="str">
        <f aca="false">IF(AC726&lt;&gt;"",VLOOKUP(AC726,Selects!$B:$E,4,0),"")</f>
        <v/>
      </c>
      <c r="CC726" s="58"/>
      <c r="CD726" s="58"/>
      <c r="CE726" s="58"/>
    </row>
    <row r="727" customFormat="false" ht="15.75" hidden="false" customHeight="true" outlineLevel="0" collapsed="false">
      <c r="A727" s="17"/>
      <c r="B727" s="58"/>
      <c r="C727" s="58"/>
      <c r="D727" s="59"/>
      <c r="E727" s="60" t="str">
        <f aca="false">IF(LEN(D727)=11,"PF",IF(LEN(D727)=14,"PJ",""))</f>
        <v/>
      </c>
      <c r="F727" s="59"/>
      <c r="G727" s="59"/>
      <c r="H727" s="61" t="str">
        <f aca="false">IF(G727&lt;&gt;"",VLOOKUP(G727,'Cnae  mcc  id'!$A:$M,9,0),"")</f>
        <v/>
      </c>
      <c r="I727" s="62"/>
      <c r="J727" s="63" t="str">
        <f aca="false">IF(I727&lt;&gt;"",VLOOKUP(I727,'Legal Nature'!$E$2:$G$84,3,0),"")</f>
        <v/>
      </c>
      <c r="K727" s="64"/>
      <c r="L727" s="65"/>
      <c r="M727" s="66"/>
      <c r="N727" s="66"/>
      <c r="O727" s="79"/>
      <c r="P727" s="26"/>
      <c r="Q727" s="58"/>
      <c r="R727" s="58"/>
      <c r="S727" s="80"/>
      <c r="T727" s="68" t="str">
        <f aca="false">IF(LEFT(S727,1)="9","Celular",IF(S727="","","Fixo"))</f>
        <v/>
      </c>
      <c r="U727" s="58" t="str">
        <f aca="false">IF( T727&lt;&gt;"",VLOOKUP(T727,Selects!$M$4:$N$1000,2,0),"")</f>
        <v/>
      </c>
      <c r="V727" s="26"/>
      <c r="W727" s="58"/>
      <c r="X727" s="58"/>
      <c r="Y727" s="58"/>
      <c r="Z727" s="58"/>
      <c r="AA727" s="69"/>
      <c r="AB727" s="58"/>
      <c r="AC727" s="58"/>
      <c r="AD727" s="70" t="str">
        <f aca="false">IF(AC727&lt;&gt;"",VLOOKUP(AC727,Selects!$B$4:$C$100,2,0),"")</f>
        <v/>
      </c>
      <c r="AE727" s="26"/>
      <c r="AF727" s="58"/>
      <c r="AG727" s="59"/>
      <c r="AH727" s="65"/>
      <c r="AI727" s="66"/>
      <c r="AJ727" s="66"/>
      <c r="AK727" s="58"/>
      <c r="AL727" s="58"/>
      <c r="AM727" s="68" t="str">
        <f aca="false">IF(LEFT(AL727,1)="9","Celular",IF(AL727="","","Fixo"))</f>
        <v/>
      </c>
      <c r="AN727" s="58" t="str">
        <f aca="false">IF( AM727&lt;&gt;"",VLOOKUP(AM727,Selects!$M$4:$N$1000,2,0),"")</f>
        <v/>
      </c>
      <c r="AO727" s="58"/>
      <c r="AP727" s="59"/>
      <c r="AQ727" s="65"/>
      <c r="AR727" s="58"/>
      <c r="AS727" s="58"/>
      <c r="AT727" s="26"/>
      <c r="AU727" s="58"/>
      <c r="AV727" s="58"/>
      <c r="AW727" s="58"/>
      <c r="AX727" s="58"/>
      <c r="AY727" s="71"/>
      <c r="AZ727" s="58"/>
      <c r="BA727" s="58"/>
      <c r="BB727" s="72" t="str">
        <f aca="false">IF(BA727&lt;&gt;"",VLOOKUP(BA727,Selects!$B$4:$C$100,2,0),"")</f>
        <v/>
      </c>
      <c r="BC727" s="26"/>
      <c r="BD727" s="26"/>
      <c r="BE727" s="73"/>
      <c r="BF727" s="74"/>
      <c r="BG727" s="75" t="str">
        <f aca="false">IF(LEN(BF727)=11,"PF",IF(LEN(BF727)=14,"PJ",""))</f>
        <v/>
      </c>
      <c r="BH727" s="66"/>
      <c r="BI727" s="58" t="str">
        <f aca="false">IF(BH727&lt;&gt;"",VLOOKUP(BH727,Selects!$G:$H,2,0),"")</f>
        <v/>
      </c>
      <c r="BJ727" s="58"/>
      <c r="BK727" s="58"/>
      <c r="BL727" s="59"/>
      <c r="BM727" s="58"/>
      <c r="BN727" s="58"/>
      <c r="BO727" s="58" t="str">
        <f aca="false">IF(BN727&lt;&gt;"",VLOOKUP(BN727,Selects!$J$4:$K$1000,2,0),"")</f>
        <v/>
      </c>
      <c r="BP727" s="76"/>
      <c r="BQ727" s="59"/>
      <c r="BR727" s="77"/>
      <c r="BS727" s="59"/>
      <c r="BT727" s="77"/>
      <c r="BU727" s="58"/>
      <c r="BV727" s="58"/>
      <c r="BW727" s="58"/>
      <c r="BX727" s="58"/>
      <c r="BY727" s="58"/>
      <c r="BZ727" s="58"/>
      <c r="CA727" s="58"/>
      <c r="CB727" s="72" t="str">
        <f aca="false">IF(AC727&lt;&gt;"",VLOOKUP(AC727,Selects!$B:$E,4,0),"")</f>
        <v/>
      </c>
      <c r="CC727" s="58"/>
      <c r="CD727" s="58"/>
      <c r="CE727" s="58"/>
    </row>
    <row r="728" customFormat="false" ht="15.75" hidden="false" customHeight="true" outlineLevel="0" collapsed="false">
      <c r="A728" s="17"/>
      <c r="B728" s="58"/>
      <c r="C728" s="58"/>
      <c r="D728" s="59"/>
      <c r="E728" s="60" t="str">
        <f aca="false">IF(LEN(D728)=11,"PF",IF(LEN(D728)=14,"PJ",""))</f>
        <v/>
      </c>
      <c r="F728" s="59"/>
      <c r="G728" s="59"/>
      <c r="H728" s="61" t="str">
        <f aca="false">IF(G728&lt;&gt;"",VLOOKUP(G728,'Cnae  mcc  id'!$A:$M,9,0),"")</f>
        <v/>
      </c>
      <c r="I728" s="62"/>
      <c r="J728" s="63" t="str">
        <f aca="false">IF(I728&lt;&gt;"",VLOOKUP(I728,'Legal Nature'!$E$2:$G$84,3,0),"")</f>
        <v/>
      </c>
      <c r="K728" s="64"/>
      <c r="L728" s="65"/>
      <c r="M728" s="66"/>
      <c r="N728" s="66"/>
      <c r="O728" s="79"/>
      <c r="P728" s="26"/>
      <c r="Q728" s="58"/>
      <c r="R728" s="58"/>
      <c r="S728" s="80"/>
      <c r="T728" s="68" t="str">
        <f aca="false">IF(LEFT(S728,1)="9","Celular",IF(S728="","","Fixo"))</f>
        <v/>
      </c>
      <c r="U728" s="58" t="str">
        <f aca="false">IF( T728&lt;&gt;"",VLOOKUP(T728,Selects!$M$4:$N$1000,2,0),"")</f>
        <v/>
      </c>
      <c r="V728" s="26"/>
      <c r="W728" s="58"/>
      <c r="X728" s="58"/>
      <c r="Y728" s="58"/>
      <c r="Z728" s="58"/>
      <c r="AA728" s="69"/>
      <c r="AB728" s="58"/>
      <c r="AC728" s="58"/>
      <c r="AD728" s="70" t="str">
        <f aca="false">IF(AC728&lt;&gt;"",VLOOKUP(AC728,Selects!$B$4:$C$100,2,0),"")</f>
        <v/>
      </c>
      <c r="AE728" s="26"/>
      <c r="AF728" s="58"/>
      <c r="AG728" s="59"/>
      <c r="AH728" s="65"/>
      <c r="AI728" s="66"/>
      <c r="AJ728" s="66"/>
      <c r="AK728" s="58"/>
      <c r="AL728" s="58"/>
      <c r="AM728" s="68" t="str">
        <f aca="false">IF(LEFT(AL728,1)="9","Celular",IF(AL728="","","Fixo"))</f>
        <v/>
      </c>
      <c r="AN728" s="58" t="str">
        <f aca="false">IF( AM728&lt;&gt;"",VLOOKUP(AM728,Selects!$M$4:$N$1000,2,0),"")</f>
        <v/>
      </c>
      <c r="AO728" s="58"/>
      <c r="AP728" s="59"/>
      <c r="AQ728" s="65"/>
      <c r="AR728" s="58"/>
      <c r="AS728" s="58"/>
      <c r="AT728" s="26"/>
      <c r="AU728" s="58"/>
      <c r="AV728" s="58"/>
      <c r="AW728" s="58"/>
      <c r="AX728" s="58"/>
      <c r="AY728" s="71"/>
      <c r="AZ728" s="58"/>
      <c r="BA728" s="58"/>
      <c r="BB728" s="72" t="str">
        <f aca="false">IF(BA728&lt;&gt;"",VLOOKUP(BA728,Selects!$B$4:$C$100,2,0),"")</f>
        <v/>
      </c>
      <c r="BC728" s="26"/>
      <c r="BD728" s="26"/>
      <c r="BE728" s="73"/>
      <c r="BF728" s="74"/>
      <c r="BG728" s="75" t="str">
        <f aca="false">IF(LEN(BF728)=11,"PF",IF(LEN(BF728)=14,"PJ",""))</f>
        <v/>
      </c>
      <c r="BH728" s="66"/>
      <c r="BI728" s="58" t="str">
        <f aca="false">IF(BH728&lt;&gt;"",VLOOKUP(BH728,Selects!$G:$H,2,0),"")</f>
        <v/>
      </c>
      <c r="BJ728" s="58"/>
      <c r="BK728" s="58"/>
      <c r="BL728" s="59"/>
      <c r="BM728" s="58"/>
      <c r="BN728" s="58"/>
      <c r="BO728" s="58" t="str">
        <f aca="false">IF(BN728&lt;&gt;"",VLOOKUP(BN728,Selects!$J$4:$K$1000,2,0),"")</f>
        <v/>
      </c>
      <c r="BP728" s="76"/>
      <c r="BQ728" s="59"/>
      <c r="BR728" s="77"/>
      <c r="BS728" s="59"/>
      <c r="BT728" s="77"/>
      <c r="BU728" s="58"/>
      <c r="BV728" s="58"/>
      <c r="BW728" s="58"/>
      <c r="BX728" s="58"/>
      <c r="BY728" s="58"/>
      <c r="BZ728" s="58"/>
      <c r="CA728" s="58"/>
      <c r="CB728" s="72" t="str">
        <f aca="false">IF(AC728&lt;&gt;"",VLOOKUP(AC728,Selects!$B:$E,4,0),"")</f>
        <v/>
      </c>
      <c r="CC728" s="58"/>
      <c r="CD728" s="58"/>
      <c r="CE728" s="58"/>
    </row>
    <row r="729" customFormat="false" ht="15.75" hidden="false" customHeight="true" outlineLevel="0" collapsed="false">
      <c r="A729" s="17"/>
      <c r="B729" s="58"/>
      <c r="C729" s="58"/>
      <c r="D729" s="59"/>
      <c r="E729" s="60" t="str">
        <f aca="false">IF(LEN(D729)=11,"PF",IF(LEN(D729)=14,"PJ",""))</f>
        <v/>
      </c>
      <c r="F729" s="59"/>
      <c r="G729" s="59"/>
      <c r="H729" s="61" t="str">
        <f aca="false">IF(G729&lt;&gt;"",VLOOKUP(G729,'Cnae  mcc  id'!$A:$M,9,0),"")</f>
        <v/>
      </c>
      <c r="I729" s="62"/>
      <c r="J729" s="63" t="str">
        <f aca="false">IF(I729&lt;&gt;"",VLOOKUP(I729,'Legal Nature'!$E$2:$G$84,3,0),"")</f>
        <v/>
      </c>
      <c r="K729" s="64"/>
      <c r="L729" s="65"/>
      <c r="M729" s="66"/>
      <c r="N729" s="66"/>
      <c r="O729" s="79"/>
      <c r="P729" s="26"/>
      <c r="Q729" s="58"/>
      <c r="R729" s="58"/>
      <c r="S729" s="80"/>
      <c r="T729" s="68" t="str">
        <f aca="false">IF(LEFT(S729,1)="9","Celular",IF(S729="","","Fixo"))</f>
        <v/>
      </c>
      <c r="U729" s="58" t="str">
        <f aca="false">IF( T729&lt;&gt;"",VLOOKUP(T729,Selects!$M$4:$N$1000,2,0),"")</f>
        <v/>
      </c>
      <c r="V729" s="26"/>
      <c r="W729" s="58"/>
      <c r="X729" s="58"/>
      <c r="Y729" s="58"/>
      <c r="Z729" s="58"/>
      <c r="AA729" s="69"/>
      <c r="AB729" s="58"/>
      <c r="AC729" s="58"/>
      <c r="AD729" s="70" t="str">
        <f aca="false">IF(AC729&lt;&gt;"",VLOOKUP(AC729,Selects!$B$4:$C$100,2,0),"")</f>
        <v/>
      </c>
      <c r="AE729" s="26"/>
      <c r="AF729" s="58"/>
      <c r="AG729" s="59"/>
      <c r="AH729" s="65"/>
      <c r="AI729" s="66"/>
      <c r="AJ729" s="66"/>
      <c r="AK729" s="58"/>
      <c r="AL729" s="58"/>
      <c r="AM729" s="68" t="str">
        <f aca="false">IF(LEFT(AL729,1)="9","Celular",IF(AL729="","","Fixo"))</f>
        <v/>
      </c>
      <c r="AN729" s="58" t="str">
        <f aca="false">IF( AM729&lt;&gt;"",VLOOKUP(AM729,Selects!$M$4:$N$1000,2,0),"")</f>
        <v/>
      </c>
      <c r="AO729" s="58"/>
      <c r="AP729" s="59"/>
      <c r="AQ729" s="65"/>
      <c r="AR729" s="58"/>
      <c r="AS729" s="58"/>
      <c r="AT729" s="26"/>
      <c r="AU729" s="58"/>
      <c r="AV729" s="58"/>
      <c r="AW729" s="58"/>
      <c r="AX729" s="58"/>
      <c r="AY729" s="71"/>
      <c r="AZ729" s="58"/>
      <c r="BA729" s="58"/>
      <c r="BB729" s="72" t="str">
        <f aca="false">IF(BA729&lt;&gt;"",VLOOKUP(BA729,Selects!$B$4:$C$100,2,0),"")</f>
        <v/>
      </c>
      <c r="BC729" s="26"/>
      <c r="BD729" s="26"/>
      <c r="BE729" s="73"/>
      <c r="BF729" s="74"/>
      <c r="BG729" s="75" t="str">
        <f aca="false">IF(LEN(BF729)=11,"PF",IF(LEN(BF729)=14,"PJ",""))</f>
        <v/>
      </c>
      <c r="BH729" s="66"/>
      <c r="BI729" s="58" t="str">
        <f aca="false">IF(BH729&lt;&gt;"",VLOOKUP(BH729,Selects!$G:$H,2,0),"")</f>
        <v/>
      </c>
      <c r="BJ729" s="58"/>
      <c r="BK729" s="58"/>
      <c r="BL729" s="59"/>
      <c r="BM729" s="58"/>
      <c r="BN729" s="58"/>
      <c r="BO729" s="58" t="str">
        <f aca="false">IF(BN729&lt;&gt;"",VLOOKUP(BN729,Selects!$J$4:$K$1000,2,0),"")</f>
        <v/>
      </c>
      <c r="BP729" s="76"/>
      <c r="BQ729" s="59"/>
      <c r="BR729" s="77"/>
      <c r="BS729" s="59"/>
      <c r="BT729" s="77"/>
      <c r="BU729" s="58"/>
      <c r="BV729" s="58"/>
      <c r="BW729" s="58"/>
      <c r="BX729" s="58"/>
      <c r="BY729" s="58"/>
      <c r="BZ729" s="58"/>
      <c r="CA729" s="58"/>
      <c r="CB729" s="72" t="str">
        <f aca="false">IF(AC729&lt;&gt;"",VLOOKUP(AC729,Selects!$B:$E,4,0),"")</f>
        <v/>
      </c>
      <c r="CC729" s="58"/>
      <c r="CD729" s="58"/>
      <c r="CE729" s="58"/>
    </row>
    <row r="730" customFormat="false" ht="15.75" hidden="false" customHeight="true" outlineLevel="0" collapsed="false">
      <c r="A730" s="17"/>
      <c r="B730" s="58"/>
      <c r="C730" s="58"/>
      <c r="D730" s="59"/>
      <c r="E730" s="60" t="str">
        <f aca="false">IF(LEN(D730)=11,"PF",IF(LEN(D730)=14,"PJ",""))</f>
        <v/>
      </c>
      <c r="F730" s="59"/>
      <c r="G730" s="59"/>
      <c r="H730" s="61" t="str">
        <f aca="false">IF(G730&lt;&gt;"",VLOOKUP(G730,'Cnae  mcc  id'!$A:$M,9,0),"")</f>
        <v/>
      </c>
      <c r="I730" s="62"/>
      <c r="J730" s="63" t="str">
        <f aca="false">IF(I730&lt;&gt;"",VLOOKUP(I730,'Legal Nature'!$E$2:$G$84,3,0),"")</f>
        <v/>
      </c>
      <c r="K730" s="64"/>
      <c r="L730" s="65"/>
      <c r="M730" s="66"/>
      <c r="N730" s="66"/>
      <c r="O730" s="79"/>
      <c r="P730" s="26"/>
      <c r="Q730" s="58"/>
      <c r="R730" s="58"/>
      <c r="S730" s="80"/>
      <c r="T730" s="68" t="str">
        <f aca="false">IF(LEFT(S730,1)="9","Celular",IF(S730="","","Fixo"))</f>
        <v/>
      </c>
      <c r="U730" s="58" t="str">
        <f aca="false">IF( T730&lt;&gt;"",VLOOKUP(T730,Selects!$M$4:$N$1000,2,0),"")</f>
        <v/>
      </c>
      <c r="V730" s="26"/>
      <c r="W730" s="58"/>
      <c r="X730" s="58"/>
      <c r="Y730" s="58"/>
      <c r="Z730" s="58"/>
      <c r="AA730" s="69"/>
      <c r="AB730" s="58"/>
      <c r="AC730" s="58"/>
      <c r="AD730" s="70" t="str">
        <f aca="false">IF(AC730&lt;&gt;"",VLOOKUP(AC730,Selects!$B$4:$C$100,2,0),"")</f>
        <v/>
      </c>
      <c r="AE730" s="26"/>
      <c r="AF730" s="58"/>
      <c r="AG730" s="59"/>
      <c r="AH730" s="65"/>
      <c r="AI730" s="66"/>
      <c r="AJ730" s="66"/>
      <c r="AK730" s="58"/>
      <c r="AL730" s="58"/>
      <c r="AM730" s="68" t="str">
        <f aca="false">IF(LEFT(AL730,1)="9","Celular",IF(AL730="","","Fixo"))</f>
        <v/>
      </c>
      <c r="AN730" s="58" t="str">
        <f aca="false">IF( AM730&lt;&gt;"",VLOOKUP(AM730,Selects!$M$4:$N$1000,2,0),"")</f>
        <v/>
      </c>
      <c r="AO730" s="58"/>
      <c r="AP730" s="59"/>
      <c r="AQ730" s="65"/>
      <c r="AR730" s="58"/>
      <c r="AS730" s="58"/>
      <c r="AT730" s="26"/>
      <c r="AU730" s="58"/>
      <c r="AV730" s="58"/>
      <c r="AW730" s="58"/>
      <c r="AX730" s="58"/>
      <c r="AY730" s="71"/>
      <c r="AZ730" s="58"/>
      <c r="BA730" s="58"/>
      <c r="BB730" s="72" t="str">
        <f aca="false">IF(BA730&lt;&gt;"",VLOOKUP(BA730,Selects!$B$4:$C$100,2,0),"")</f>
        <v/>
      </c>
      <c r="BC730" s="26"/>
      <c r="BD730" s="26"/>
      <c r="BE730" s="73"/>
      <c r="BF730" s="74"/>
      <c r="BG730" s="75" t="str">
        <f aca="false">IF(LEN(BF730)=11,"PF",IF(LEN(BF730)=14,"PJ",""))</f>
        <v/>
      </c>
      <c r="BH730" s="66"/>
      <c r="BI730" s="58" t="str">
        <f aca="false">IF(BH730&lt;&gt;"",VLOOKUP(BH730,Selects!$G:$H,2,0),"")</f>
        <v/>
      </c>
      <c r="BJ730" s="58"/>
      <c r="BK730" s="58"/>
      <c r="BL730" s="59"/>
      <c r="BM730" s="58"/>
      <c r="BN730" s="58"/>
      <c r="BO730" s="58" t="str">
        <f aca="false">IF(BN730&lt;&gt;"",VLOOKUP(BN730,Selects!$J$4:$K$1000,2,0),"")</f>
        <v/>
      </c>
      <c r="BP730" s="76"/>
      <c r="BQ730" s="59"/>
      <c r="BR730" s="77"/>
      <c r="BS730" s="59"/>
      <c r="BT730" s="77"/>
      <c r="BU730" s="58"/>
      <c r="BV730" s="58"/>
      <c r="BW730" s="58"/>
      <c r="BX730" s="58"/>
      <c r="BY730" s="58"/>
      <c r="BZ730" s="58"/>
      <c r="CA730" s="58"/>
      <c r="CB730" s="72" t="str">
        <f aca="false">IF(AC730&lt;&gt;"",VLOOKUP(AC730,Selects!$B:$E,4,0),"")</f>
        <v/>
      </c>
      <c r="CC730" s="58"/>
      <c r="CD730" s="58"/>
      <c r="CE730" s="58"/>
    </row>
    <row r="731" customFormat="false" ht="15.75" hidden="false" customHeight="true" outlineLevel="0" collapsed="false">
      <c r="A731" s="17"/>
      <c r="B731" s="58"/>
      <c r="C731" s="58"/>
      <c r="D731" s="59"/>
      <c r="E731" s="60" t="str">
        <f aca="false">IF(LEN(D731)=11,"PF",IF(LEN(D731)=14,"PJ",""))</f>
        <v/>
      </c>
      <c r="F731" s="59"/>
      <c r="G731" s="59"/>
      <c r="H731" s="61" t="str">
        <f aca="false">IF(G731&lt;&gt;"",VLOOKUP(G731,'Cnae  mcc  id'!$A:$M,9,0),"")</f>
        <v/>
      </c>
      <c r="I731" s="62"/>
      <c r="J731" s="63" t="str">
        <f aca="false">IF(I731&lt;&gt;"",VLOOKUP(I731,'Legal Nature'!$E$2:$G$84,3,0),"")</f>
        <v/>
      </c>
      <c r="K731" s="64"/>
      <c r="L731" s="65"/>
      <c r="M731" s="66"/>
      <c r="N731" s="66"/>
      <c r="O731" s="79"/>
      <c r="P731" s="26"/>
      <c r="Q731" s="58"/>
      <c r="R731" s="58"/>
      <c r="S731" s="80"/>
      <c r="T731" s="68" t="str">
        <f aca="false">IF(LEFT(S731,1)="9","Celular",IF(S731="","","Fixo"))</f>
        <v/>
      </c>
      <c r="U731" s="58" t="str">
        <f aca="false">IF( T731&lt;&gt;"",VLOOKUP(T731,Selects!$M$4:$N$1000,2,0),"")</f>
        <v/>
      </c>
      <c r="V731" s="26"/>
      <c r="W731" s="58"/>
      <c r="X731" s="58"/>
      <c r="Y731" s="58"/>
      <c r="Z731" s="58"/>
      <c r="AA731" s="69"/>
      <c r="AB731" s="58"/>
      <c r="AC731" s="58"/>
      <c r="AD731" s="70" t="str">
        <f aca="false">IF(AC731&lt;&gt;"",VLOOKUP(AC731,Selects!$B$4:$C$100,2,0),"")</f>
        <v/>
      </c>
      <c r="AE731" s="26"/>
      <c r="AF731" s="58"/>
      <c r="AG731" s="59"/>
      <c r="AH731" s="65"/>
      <c r="AI731" s="66"/>
      <c r="AJ731" s="66"/>
      <c r="AK731" s="58"/>
      <c r="AL731" s="58"/>
      <c r="AM731" s="68" t="str">
        <f aca="false">IF(LEFT(AL731,1)="9","Celular",IF(AL731="","","Fixo"))</f>
        <v/>
      </c>
      <c r="AN731" s="58" t="str">
        <f aca="false">IF( AM731&lt;&gt;"",VLOOKUP(AM731,Selects!$M$4:$N$1000,2,0),"")</f>
        <v/>
      </c>
      <c r="AO731" s="58"/>
      <c r="AP731" s="59"/>
      <c r="AQ731" s="65"/>
      <c r="AR731" s="58"/>
      <c r="AS731" s="58"/>
      <c r="AT731" s="26"/>
      <c r="AU731" s="58"/>
      <c r="AV731" s="58"/>
      <c r="AW731" s="58"/>
      <c r="AX731" s="58"/>
      <c r="AY731" s="71"/>
      <c r="AZ731" s="58"/>
      <c r="BA731" s="58"/>
      <c r="BB731" s="72" t="str">
        <f aca="false">IF(BA731&lt;&gt;"",VLOOKUP(BA731,Selects!$B$4:$C$100,2,0),"")</f>
        <v/>
      </c>
      <c r="BC731" s="26"/>
      <c r="BD731" s="26"/>
      <c r="BE731" s="73"/>
      <c r="BF731" s="74"/>
      <c r="BG731" s="75" t="str">
        <f aca="false">IF(LEN(BF731)=11,"PF",IF(LEN(BF731)=14,"PJ",""))</f>
        <v/>
      </c>
      <c r="BH731" s="66"/>
      <c r="BI731" s="58" t="str">
        <f aca="false">IF(BH731&lt;&gt;"",VLOOKUP(BH731,Selects!$G:$H,2,0),"")</f>
        <v/>
      </c>
      <c r="BJ731" s="58"/>
      <c r="BK731" s="58"/>
      <c r="BL731" s="59"/>
      <c r="BM731" s="58"/>
      <c r="BN731" s="58"/>
      <c r="BO731" s="58" t="str">
        <f aca="false">IF(BN731&lt;&gt;"",VLOOKUP(BN731,Selects!$J$4:$K$1000,2,0),"")</f>
        <v/>
      </c>
      <c r="BP731" s="76"/>
      <c r="BQ731" s="59"/>
      <c r="BR731" s="77"/>
      <c r="BS731" s="59"/>
      <c r="BT731" s="77"/>
      <c r="BU731" s="58"/>
      <c r="BV731" s="58"/>
      <c r="BW731" s="58"/>
      <c r="BX731" s="58"/>
      <c r="BY731" s="58"/>
      <c r="BZ731" s="58"/>
      <c r="CA731" s="58"/>
      <c r="CB731" s="72" t="str">
        <f aca="false">IF(AC731&lt;&gt;"",VLOOKUP(AC731,Selects!$B:$E,4,0),"")</f>
        <v/>
      </c>
      <c r="CC731" s="58"/>
      <c r="CD731" s="58"/>
      <c r="CE731" s="58"/>
    </row>
    <row r="732" customFormat="false" ht="15.75" hidden="false" customHeight="true" outlineLevel="0" collapsed="false">
      <c r="A732" s="17"/>
      <c r="B732" s="58"/>
      <c r="C732" s="58"/>
      <c r="D732" s="59"/>
      <c r="E732" s="60" t="str">
        <f aca="false">IF(LEN(D732)=11,"PF",IF(LEN(D732)=14,"PJ",""))</f>
        <v/>
      </c>
      <c r="F732" s="59"/>
      <c r="G732" s="59"/>
      <c r="H732" s="61" t="str">
        <f aca="false">IF(G732&lt;&gt;"",VLOOKUP(G732,'Cnae  mcc  id'!$A:$M,9,0),"")</f>
        <v/>
      </c>
      <c r="I732" s="62"/>
      <c r="J732" s="63" t="str">
        <f aca="false">IF(I732&lt;&gt;"",VLOOKUP(I732,'Legal Nature'!$E$2:$G$84,3,0),"")</f>
        <v/>
      </c>
      <c r="K732" s="64"/>
      <c r="L732" s="65"/>
      <c r="M732" s="66"/>
      <c r="N732" s="66"/>
      <c r="O732" s="79"/>
      <c r="P732" s="26"/>
      <c r="Q732" s="58"/>
      <c r="R732" s="58"/>
      <c r="S732" s="80"/>
      <c r="T732" s="68" t="str">
        <f aca="false">IF(LEFT(S732,1)="9","Celular",IF(S732="","","Fixo"))</f>
        <v/>
      </c>
      <c r="U732" s="58" t="str">
        <f aca="false">IF( T732&lt;&gt;"",VLOOKUP(T732,Selects!$M$4:$N$1000,2,0),"")</f>
        <v/>
      </c>
      <c r="V732" s="26"/>
      <c r="W732" s="58"/>
      <c r="X732" s="58"/>
      <c r="Y732" s="58"/>
      <c r="Z732" s="58"/>
      <c r="AA732" s="69"/>
      <c r="AB732" s="58"/>
      <c r="AC732" s="58"/>
      <c r="AD732" s="70" t="str">
        <f aca="false">IF(AC732&lt;&gt;"",VLOOKUP(AC732,Selects!$B$4:$C$100,2,0),"")</f>
        <v/>
      </c>
      <c r="AE732" s="26"/>
      <c r="AF732" s="58"/>
      <c r="AG732" s="59"/>
      <c r="AH732" s="65"/>
      <c r="AI732" s="66"/>
      <c r="AJ732" s="66"/>
      <c r="AK732" s="58"/>
      <c r="AL732" s="58"/>
      <c r="AM732" s="68" t="str">
        <f aca="false">IF(LEFT(AL732,1)="9","Celular",IF(AL732="","","Fixo"))</f>
        <v/>
      </c>
      <c r="AN732" s="58" t="str">
        <f aca="false">IF( AM732&lt;&gt;"",VLOOKUP(AM732,Selects!$M$4:$N$1000,2,0),"")</f>
        <v/>
      </c>
      <c r="AO732" s="58"/>
      <c r="AP732" s="59"/>
      <c r="AQ732" s="65"/>
      <c r="AR732" s="58"/>
      <c r="AS732" s="58"/>
      <c r="AT732" s="26"/>
      <c r="AU732" s="58"/>
      <c r="AV732" s="58"/>
      <c r="AW732" s="58"/>
      <c r="AX732" s="58"/>
      <c r="AY732" s="71"/>
      <c r="AZ732" s="58"/>
      <c r="BA732" s="58"/>
      <c r="BB732" s="72" t="str">
        <f aca="false">IF(BA732&lt;&gt;"",VLOOKUP(BA732,Selects!$B$4:$C$100,2,0),"")</f>
        <v/>
      </c>
      <c r="BC732" s="26"/>
      <c r="BD732" s="26"/>
      <c r="BE732" s="73"/>
      <c r="BF732" s="74"/>
      <c r="BG732" s="75" t="str">
        <f aca="false">IF(LEN(BF732)=11,"PF",IF(LEN(BF732)=14,"PJ",""))</f>
        <v/>
      </c>
      <c r="BH732" s="66"/>
      <c r="BI732" s="58" t="str">
        <f aca="false">IF(BH732&lt;&gt;"",VLOOKUP(BH732,Selects!$G:$H,2,0),"")</f>
        <v/>
      </c>
      <c r="BJ732" s="58"/>
      <c r="BK732" s="58"/>
      <c r="BL732" s="59"/>
      <c r="BM732" s="58"/>
      <c r="BN732" s="58"/>
      <c r="BO732" s="58" t="str">
        <f aca="false">IF(BN732&lt;&gt;"",VLOOKUP(BN732,Selects!$J$4:$K$1000,2,0),"")</f>
        <v/>
      </c>
      <c r="BP732" s="76"/>
      <c r="BQ732" s="59"/>
      <c r="BR732" s="77"/>
      <c r="BS732" s="59"/>
      <c r="BT732" s="77"/>
      <c r="BU732" s="58"/>
      <c r="BV732" s="58"/>
      <c r="BW732" s="58"/>
      <c r="BX732" s="58"/>
      <c r="BY732" s="58"/>
      <c r="BZ732" s="58"/>
      <c r="CA732" s="58"/>
      <c r="CB732" s="72" t="str">
        <f aca="false">IF(AC732&lt;&gt;"",VLOOKUP(AC732,Selects!$B:$E,4,0),"")</f>
        <v/>
      </c>
      <c r="CC732" s="58"/>
      <c r="CD732" s="58"/>
      <c r="CE732" s="58"/>
    </row>
    <row r="733" customFormat="false" ht="15.75" hidden="false" customHeight="true" outlineLevel="0" collapsed="false">
      <c r="A733" s="17"/>
      <c r="B733" s="58"/>
      <c r="C733" s="58"/>
      <c r="D733" s="59"/>
      <c r="E733" s="60" t="str">
        <f aca="false">IF(LEN(D733)=11,"PF",IF(LEN(D733)=14,"PJ",""))</f>
        <v/>
      </c>
      <c r="F733" s="59"/>
      <c r="G733" s="59"/>
      <c r="H733" s="61" t="str">
        <f aca="false">IF(G733&lt;&gt;"",VLOOKUP(G733,'Cnae  mcc  id'!$A:$M,9,0),"")</f>
        <v/>
      </c>
      <c r="I733" s="62"/>
      <c r="J733" s="63" t="str">
        <f aca="false">IF(I733&lt;&gt;"",VLOOKUP(I733,'Legal Nature'!$E$2:$G$84,3,0),"")</f>
        <v/>
      </c>
      <c r="K733" s="64"/>
      <c r="L733" s="65"/>
      <c r="M733" s="66"/>
      <c r="N733" s="66"/>
      <c r="O733" s="79"/>
      <c r="P733" s="26"/>
      <c r="Q733" s="58"/>
      <c r="R733" s="58"/>
      <c r="S733" s="80"/>
      <c r="T733" s="68" t="str">
        <f aca="false">IF(LEFT(S733,1)="9","Celular",IF(S733="","","Fixo"))</f>
        <v/>
      </c>
      <c r="U733" s="58" t="str">
        <f aca="false">IF( T733&lt;&gt;"",VLOOKUP(T733,Selects!$M$4:$N$1000,2,0),"")</f>
        <v/>
      </c>
      <c r="V733" s="26"/>
      <c r="W733" s="58"/>
      <c r="X733" s="58"/>
      <c r="Y733" s="58"/>
      <c r="Z733" s="58"/>
      <c r="AA733" s="69"/>
      <c r="AB733" s="58"/>
      <c r="AC733" s="58"/>
      <c r="AD733" s="70" t="str">
        <f aca="false">IF(AC733&lt;&gt;"",VLOOKUP(AC733,Selects!$B$4:$C$100,2,0),"")</f>
        <v/>
      </c>
      <c r="AE733" s="26"/>
      <c r="AF733" s="58"/>
      <c r="AG733" s="59"/>
      <c r="AH733" s="65"/>
      <c r="AI733" s="66"/>
      <c r="AJ733" s="66"/>
      <c r="AK733" s="58"/>
      <c r="AL733" s="58"/>
      <c r="AM733" s="68" t="str">
        <f aca="false">IF(LEFT(AL733,1)="9","Celular",IF(AL733="","","Fixo"))</f>
        <v/>
      </c>
      <c r="AN733" s="58" t="str">
        <f aca="false">IF( AM733&lt;&gt;"",VLOOKUP(AM733,Selects!$M$4:$N$1000,2,0),"")</f>
        <v/>
      </c>
      <c r="AO733" s="58"/>
      <c r="AP733" s="59"/>
      <c r="AQ733" s="65"/>
      <c r="AR733" s="58"/>
      <c r="AS733" s="58"/>
      <c r="AT733" s="26"/>
      <c r="AU733" s="58"/>
      <c r="AV733" s="58"/>
      <c r="AW733" s="58"/>
      <c r="AX733" s="58"/>
      <c r="AY733" s="71"/>
      <c r="AZ733" s="58"/>
      <c r="BA733" s="58"/>
      <c r="BB733" s="72" t="str">
        <f aca="false">IF(BA733&lt;&gt;"",VLOOKUP(BA733,Selects!$B$4:$C$100,2,0),"")</f>
        <v/>
      </c>
      <c r="BC733" s="26"/>
      <c r="BD733" s="26"/>
      <c r="BE733" s="73"/>
      <c r="BF733" s="74"/>
      <c r="BG733" s="75" t="str">
        <f aca="false">IF(LEN(BF733)=11,"PF",IF(LEN(BF733)=14,"PJ",""))</f>
        <v/>
      </c>
      <c r="BH733" s="66"/>
      <c r="BI733" s="58" t="str">
        <f aca="false">IF(BH733&lt;&gt;"",VLOOKUP(BH733,Selects!$G:$H,2,0),"")</f>
        <v/>
      </c>
      <c r="BJ733" s="58"/>
      <c r="BK733" s="58"/>
      <c r="BL733" s="59"/>
      <c r="BM733" s="58"/>
      <c r="BN733" s="58"/>
      <c r="BO733" s="58" t="str">
        <f aca="false">IF(BN733&lt;&gt;"",VLOOKUP(BN733,Selects!$J$4:$K$1000,2,0),"")</f>
        <v/>
      </c>
      <c r="BP733" s="76"/>
      <c r="BQ733" s="59"/>
      <c r="BR733" s="77"/>
      <c r="BS733" s="59"/>
      <c r="BT733" s="77"/>
      <c r="BU733" s="58"/>
      <c r="BV733" s="58"/>
      <c r="BW733" s="58"/>
      <c r="BX733" s="58"/>
      <c r="BY733" s="58"/>
      <c r="BZ733" s="58"/>
      <c r="CA733" s="58"/>
      <c r="CB733" s="72" t="str">
        <f aca="false">IF(AC733&lt;&gt;"",VLOOKUP(AC733,Selects!$B:$E,4,0),"")</f>
        <v/>
      </c>
      <c r="CC733" s="58"/>
      <c r="CD733" s="58"/>
      <c r="CE733" s="58"/>
    </row>
    <row r="734" customFormat="false" ht="15.75" hidden="false" customHeight="true" outlineLevel="0" collapsed="false">
      <c r="A734" s="17"/>
      <c r="B734" s="58"/>
      <c r="C734" s="58"/>
      <c r="D734" s="59"/>
      <c r="E734" s="60" t="str">
        <f aca="false">IF(LEN(D734)=11,"PF",IF(LEN(D734)=14,"PJ",""))</f>
        <v/>
      </c>
      <c r="F734" s="59"/>
      <c r="G734" s="59"/>
      <c r="H734" s="61" t="str">
        <f aca="false">IF(G734&lt;&gt;"",VLOOKUP(G734,'Cnae  mcc  id'!$A:$M,9,0),"")</f>
        <v/>
      </c>
      <c r="I734" s="62"/>
      <c r="J734" s="63" t="str">
        <f aca="false">IF(I734&lt;&gt;"",VLOOKUP(I734,'Legal Nature'!$E$2:$G$84,3,0),"")</f>
        <v/>
      </c>
      <c r="K734" s="64"/>
      <c r="L734" s="65"/>
      <c r="M734" s="66"/>
      <c r="N734" s="66"/>
      <c r="O734" s="79"/>
      <c r="P734" s="26"/>
      <c r="Q734" s="58"/>
      <c r="R734" s="58"/>
      <c r="S734" s="80"/>
      <c r="T734" s="68" t="str">
        <f aca="false">IF(LEFT(S734,1)="9","Celular",IF(S734="","","Fixo"))</f>
        <v/>
      </c>
      <c r="U734" s="58" t="str">
        <f aca="false">IF( T734&lt;&gt;"",VLOOKUP(T734,Selects!$M$4:$N$1000,2,0),"")</f>
        <v/>
      </c>
      <c r="V734" s="26"/>
      <c r="W734" s="58"/>
      <c r="X734" s="58"/>
      <c r="Y734" s="58"/>
      <c r="Z734" s="58"/>
      <c r="AA734" s="69"/>
      <c r="AB734" s="58"/>
      <c r="AC734" s="58"/>
      <c r="AD734" s="70" t="str">
        <f aca="false">IF(AC734&lt;&gt;"",VLOOKUP(AC734,Selects!$B$4:$C$100,2,0),"")</f>
        <v/>
      </c>
      <c r="AE734" s="26"/>
      <c r="AF734" s="58"/>
      <c r="AG734" s="59"/>
      <c r="AH734" s="65"/>
      <c r="AI734" s="66"/>
      <c r="AJ734" s="66"/>
      <c r="AK734" s="58"/>
      <c r="AL734" s="58"/>
      <c r="AM734" s="68" t="str">
        <f aca="false">IF(LEFT(AL734,1)="9","Celular",IF(AL734="","","Fixo"))</f>
        <v/>
      </c>
      <c r="AN734" s="58" t="str">
        <f aca="false">IF( AM734&lt;&gt;"",VLOOKUP(AM734,Selects!$M$4:$N$1000,2,0),"")</f>
        <v/>
      </c>
      <c r="AO734" s="58"/>
      <c r="AP734" s="59"/>
      <c r="AQ734" s="65"/>
      <c r="AR734" s="58"/>
      <c r="AS734" s="58"/>
      <c r="AT734" s="26"/>
      <c r="AU734" s="58"/>
      <c r="AV734" s="58"/>
      <c r="AW734" s="58"/>
      <c r="AX734" s="58"/>
      <c r="AY734" s="71"/>
      <c r="AZ734" s="58"/>
      <c r="BA734" s="58"/>
      <c r="BB734" s="72" t="str">
        <f aca="false">IF(BA734&lt;&gt;"",VLOOKUP(BA734,Selects!$B$4:$C$100,2,0),"")</f>
        <v/>
      </c>
      <c r="BC734" s="26"/>
      <c r="BD734" s="26"/>
      <c r="BE734" s="73"/>
      <c r="BF734" s="74"/>
      <c r="BG734" s="75" t="str">
        <f aca="false">IF(LEN(BF734)=11,"PF",IF(LEN(BF734)=14,"PJ",""))</f>
        <v/>
      </c>
      <c r="BH734" s="66"/>
      <c r="BI734" s="58" t="str">
        <f aca="false">IF(BH734&lt;&gt;"",VLOOKUP(BH734,Selects!$G:$H,2,0),"")</f>
        <v/>
      </c>
      <c r="BJ734" s="58"/>
      <c r="BK734" s="58"/>
      <c r="BL734" s="59"/>
      <c r="BM734" s="58"/>
      <c r="BN734" s="58"/>
      <c r="BO734" s="58" t="str">
        <f aca="false">IF(BN734&lt;&gt;"",VLOOKUP(BN734,Selects!$J$4:$K$1000,2,0),"")</f>
        <v/>
      </c>
      <c r="BP734" s="76"/>
      <c r="BQ734" s="59"/>
      <c r="BR734" s="77"/>
      <c r="BS734" s="59"/>
      <c r="BT734" s="77"/>
      <c r="BU734" s="58"/>
      <c r="BV734" s="58"/>
      <c r="BW734" s="58"/>
      <c r="BX734" s="58"/>
      <c r="BY734" s="58"/>
      <c r="BZ734" s="58"/>
      <c r="CA734" s="58"/>
      <c r="CB734" s="72" t="str">
        <f aca="false">IF(AC734&lt;&gt;"",VLOOKUP(AC734,Selects!$B:$E,4,0),"")</f>
        <v/>
      </c>
      <c r="CC734" s="58"/>
      <c r="CD734" s="58"/>
      <c r="CE734" s="58"/>
    </row>
    <row r="735" customFormat="false" ht="15.75" hidden="false" customHeight="true" outlineLevel="0" collapsed="false">
      <c r="A735" s="17"/>
      <c r="B735" s="58"/>
      <c r="C735" s="58"/>
      <c r="D735" s="59"/>
      <c r="E735" s="60" t="str">
        <f aca="false">IF(LEN(D735)=11,"PF",IF(LEN(D735)=14,"PJ",""))</f>
        <v/>
      </c>
      <c r="F735" s="59"/>
      <c r="G735" s="59"/>
      <c r="H735" s="61" t="str">
        <f aca="false">IF(G735&lt;&gt;"",VLOOKUP(G735,'Cnae  mcc  id'!$A:$M,9,0),"")</f>
        <v/>
      </c>
      <c r="I735" s="62"/>
      <c r="J735" s="63" t="str">
        <f aca="false">IF(I735&lt;&gt;"",VLOOKUP(I735,'Legal Nature'!$E$2:$G$84,3,0),"")</f>
        <v/>
      </c>
      <c r="K735" s="64"/>
      <c r="L735" s="65"/>
      <c r="M735" s="66"/>
      <c r="N735" s="66"/>
      <c r="O735" s="79"/>
      <c r="P735" s="26"/>
      <c r="Q735" s="58"/>
      <c r="R735" s="58"/>
      <c r="S735" s="80"/>
      <c r="T735" s="68" t="str">
        <f aca="false">IF(LEFT(S735,1)="9","Celular",IF(S735="","","Fixo"))</f>
        <v/>
      </c>
      <c r="U735" s="58" t="str">
        <f aca="false">IF( T735&lt;&gt;"",VLOOKUP(T735,Selects!$M$4:$N$1000,2,0),"")</f>
        <v/>
      </c>
      <c r="V735" s="26"/>
      <c r="W735" s="58"/>
      <c r="X735" s="58"/>
      <c r="Y735" s="58"/>
      <c r="Z735" s="58"/>
      <c r="AA735" s="69"/>
      <c r="AB735" s="58"/>
      <c r="AC735" s="58"/>
      <c r="AD735" s="70" t="str">
        <f aca="false">IF(AC735&lt;&gt;"",VLOOKUP(AC735,Selects!$B$4:$C$100,2,0),"")</f>
        <v/>
      </c>
      <c r="AE735" s="26"/>
      <c r="AF735" s="58"/>
      <c r="AG735" s="59"/>
      <c r="AH735" s="65"/>
      <c r="AI735" s="66"/>
      <c r="AJ735" s="66"/>
      <c r="AK735" s="58"/>
      <c r="AL735" s="58"/>
      <c r="AM735" s="68" t="str">
        <f aca="false">IF(LEFT(AL735,1)="9","Celular",IF(AL735="","","Fixo"))</f>
        <v/>
      </c>
      <c r="AN735" s="58" t="str">
        <f aca="false">IF( AM735&lt;&gt;"",VLOOKUP(AM735,Selects!$M$4:$N$1000,2,0),"")</f>
        <v/>
      </c>
      <c r="AO735" s="58"/>
      <c r="AP735" s="59"/>
      <c r="AQ735" s="65"/>
      <c r="AR735" s="58"/>
      <c r="AS735" s="58"/>
      <c r="AT735" s="26"/>
      <c r="AU735" s="58"/>
      <c r="AV735" s="58"/>
      <c r="AW735" s="58"/>
      <c r="AX735" s="58"/>
      <c r="AY735" s="71"/>
      <c r="AZ735" s="58"/>
      <c r="BA735" s="58"/>
      <c r="BB735" s="72" t="str">
        <f aca="false">IF(BA735&lt;&gt;"",VLOOKUP(BA735,Selects!$B$4:$C$100,2,0),"")</f>
        <v/>
      </c>
      <c r="BC735" s="26"/>
      <c r="BD735" s="26"/>
      <c r="BE735" s="73"/>
      <c r="BF735" s="74"/>
      <c r="BG735" s="75" t="str">
        <f aca="false">IF(LEN(BF735)=11,"PF",IF(LEN(BF735)=14,"PJ",""))</f>
        <v/>
      </c>
      <c r="BH735" s="66"/>
      <c r="BI735" s="58" t="str">
        <f aca="false">IF(BH735&lt;&gt;"",VLOOKUP(BH735,Selects!$G:$H,2,0),"")</f>
        <v/>
      </c>
      <c r="BJ735" s="58"/>
      <c r="BK735" s="58"/>
      <c r="BL735" s="59"/>
      <c r="BM735" s="58"/>
      <c r="BN735" s="58"/>
      <c r="BO735" s="58" t="str">
        <f aca="false">IF(BN735&lt;&gt;"",VLOOKUP(BN735,Selects!$J$4:$K$1000,2,0),"")</f>
        <v/>
      </c>
      <c r="BP735" s="76"/>
      <c r="BQ735" s="59"/>
      <c r="BR735" s="77"/>
      <c r="BS735" s="59"/>
      <c r="BT735" s="77"/>
      <c r="BU735" s="58"/>
      <c r="BV735" s="58"/>
      <c r="BW735" s="58"/>
      <c r="BX735" s="58"/>
      <c r="BY735" s="58"/>
      <c r="BZ735" s="58"/>
      <c r="CA735" s="58"/>
      <c r="CB735" s="72" t="str">
        <f aca="false">IF(AC735&lt;&gt;"",VLOOKUP(AC735,Selects!$B:$E,4,0),"")</f>
        <v/>
      </c>
      <c r="CC735" s="58"/>
      <c r="CD735" s="58"/>
      <c r="CE735" s="58"/>
    </row>
    <row r="736" customFormat="false" ht="15.75" hidden="false" customHeight="true" outlineLevel="0" collapsed="false">
      <c r="A736" s="17"/>
      <c r="B736" s="58"/>
      <c r="C736" s="58"/>
      <c r="D736" s="59"/>
      <c r="E736" s="60" t="str">
        <f aca="false">IF(LEN(D736)=11,"PF",IF(LEN(D736)=14,"PJ",""))</f>
        <v/>
      </c>
      <c r="F736" s="59"/>
      <c r="G736" s="59"/>
      <c r="H736" s="61" t="str">
        <f aca="false">IF(G736&lt;&gt;"",VLOOKUP(G736,'Cnae  mcc  id'!$A:$M,9,0),"")</f>
        <v/>
      </c>
      <c r="I736" s="62"/>
      <c r="J736" s="63" t="str">
        <f aca="false">IF(I736&lt;&gt;"",VLOOKUP(I736,'Legal Nature'!$E$2:$G$84,3,0),"")</f>
        <v/>
      </c>
      <c r="K736" s="64"/>
      <c r="L736" s="65"/>
      <c r="M736" s="66"/>
      <c r="N736" s="66"/>
      <c r="O736" s="79"/>
      <c r="P736" s="26"/>
      <c r="Q736" s="58"/>
      <c r="R736" s="58"/>
      <c r="S736" s="80"/>
      <c r="T736" s="68" t="str">
        <f aca="false">IF(LEFT(S736,1)="9","Celular",IF(S736="","","Fixo"))</f>
        <v/>
      </c>
      <c r="U736" s="58" t="str">
        <f aca="false">IF( T736&lt;&gt;"",VLOOKUP(T736,Selects!$M$4:$N$1000,2,0),"")</f>
        <v/>
      </c>
      <c r="V736" s="26"/>
      <c r="W736" s="58"/>
      <c r="X736" s="58"/>
      <c r="Y736" s="58"/>
      <c r="Z736" s="58"/>
      <c r="AA736" s="69"/>
      <c r="AB736" s="58"/>
      <c r="AC736" s="58"/>
      <c r="AD736" s="70" t="str">
        <f aca="false">IF(AC736&lt;&gt;"",VLOOKUP(AC736,Selects!$B$4:$C$100,2,0),"")</f>
        <v/>
      </c>
      <c r="AE736" s="26"/>
      <c r="AF736" s="58"/>
      <c r="AG736" s="59"/>
      <c r="AH736" s="65"/>
      <c r="AI736" s="66"/>
      <c r="AJ736" s="66"/>
      <c r="AK736" s="58"/>
      <c r="AL736" s="58"/>
      <c r="AM736" s="68" t="str">
        <f aca="false">IF(LEFT(AL736,1)="9","Celular",IF(AL736="","","Fixo"))</f>
        <v/>
      </c>
      <c r="AN736" s="58" t="str">
        <f aca="false">IF( AM736&lt;&gt;"",VLOOKUP(AM736,Selects!$M$4:$N$1000,2,0),"")</f>
        <v/>
      </c>
      <c r="AO736" s="58"/>
      <c r="AP736" s="59"/>
      <c r="AQ736" s="65"/>
      <c r="AR736" s="58"/>
      <c r="AS736" s="58"/>
      <c r="AT736" s="26"/>
      <c r="AU736" s="58"/>
      <c r="AV736" s="58"/>
      <c r="AW736" s="58"/>
      <c r="AX736" s="58"/>
      <c r="AY736" s="71"/>
      <c r="AZ736" s="58"/>
      <c r="BA736" s="58"/>
      <c r="BB736" s="72" t="str">
        <f aca="false">IF(BA736&lt;&gt;"",VLOOKUP(BA736,Selects!$B$4:$C$100,2,0),"")</f>
        <v/>
      </c>
      <c r="BC736" s="26"/>
      <c r="BD736" s="26"/>
      <c r="BE736" s="73"/>
      <c r="BF736" s="74"/>
      <c r="BG736" s="75" t="str">
        <f aca="false">IF(LEN(BF736)=11,"PF",IF(LEN(BF736)=14,"PJ",""))</f>
        <v/>
      </c>
      <c r="BH736" s="66"/>
      <c r="BI736" s="58" t="str">
        <f aca="false">IF(BH736&lt;&gt;"",VLOOKUP(BH736,Selects!$G:$H,2,0),"")</f>
        <v/>
      </c>
      <c r="BJ736" s="58"/>
      <c r="BK736" s="58"/>
      <c r="BL736" s="59"/>
      <c r="BM736" s="58"/>
      <c r="BN736" s="58"/>
      <c r="BO736" s="58" t="str">
        <f aca="false">IF(BN736&lt;&gt;"",VLOOKUP(BN736,Selects!$J$4:$K$1000,2,0),"")</f>
        <v/>
      </c>
      <c r="BP736" s="76"/>
      <c r="BQ736" s="59"/>
      <c r="BR736" s="77"/>
      <c r="BS736" s="59"/>
      <c r="BT736" s="77"/>
      <c r="BU736" s="58"/>
      <c r="BV736" s="58"/>
      <c r="BW736" s="58"/>
      <c r="BX736" s="58"/>
      <c r="BY736" s="58"/>
      <c r="BZ736" s="58"/>
      <c r="CA736" s="58"/>
      <c r="CB736" s="72" t="str">
        <f aca="false">IF(AC736&lt;&gt;"",VLOOKUP(AC736,Selects!$B:$E,4,0),"")</f>
        <v/>
      </c>
      <c r="CC736" s="58"/>
      <c r="CD736" s="58"/>
      <c r="CE736" s="58"/>
    </row>
    <row r="737" customFormat="false" ht="15.75" hidden="false" customHeight="true" outlineLevel="0" collapsed="false">
      <c r="A737" s="17"/>
      <c r="B737" s="58"/>
      <c r="C737" s="58"/>
      <c r="D737" s="59"/>
      <c r="E737" s="60" t="str">
        <f aca="false">IF(LEN(D737)=11,"PF",IF(LEN(D737)=14,"PJ",""))</f>
        <v/>
      </c>
      <c r="F737" s="59"/>
      <c r="G737" s="59"/>
      <c r="H737" s="61" t="str">
        <f aca="false">IF(G737&lt;&gt;"",VLOOKUP(G737,'Cnae  mcc  id'!$A:$M,9,0),"")</f>
        <v/>
      </c>
      <c r="I737" s="62"/>
      <c r="J737" s="63" t="str">
        <f aca="false">IF(I737&lt;&gt;"",VLOOKUP(I737,'Legal Nature'!$E$2:$G$84,3,0),"")</f>
        <v/>
      </c>
      <c r="K737" s="64"/>
      <c r="L737" s="65"/>
      <c r="M737" s="66"/>
      <c r="N737" s="66"/>
      <c r="O737" s="79"/>
      <c r="P737" s="26"/>
      <c r="Q737" s="58"/>
      <c r="R737" s="58"/>
      <c r="S737" s="80"/>
      <c r="T737" s="68" t="str">
        <f aca="false">IF(LEFT(S737,1)="9","Celular",IF(S737="","","Fixo"))</f>
        <v/>
      </c>
      <c r="U737" s="58" t="str">
        <f aca="false">IF( T737&lt;&gt;"",VLOOKUP(T737,Selects!$M$4:$N$1000,2,0),"")</f>
        <v/>
      </c>
      <c r="V737" s="26"/>
      <c r="W737" s="58"/>
      <c r="X737" s="58"/>
      <c r="Y737" s="58"/>
      <c r="Z737" s="58"/>
      <c r="AA737" s="69"/>
      <c r="AB737" s="58"/>
      <c r="AC737" s="58"/>
      <c r="AD737" s="70" t="str">
        <f aca="false">IF(AC737&lt;&gt;"",VLOOKUP(AC737,Selects!$B$4:$C$100,2,0),"")</f>
        <v/>
      </c>
      <c r="AE737" s="26"/>
      <c r="AF737" s="58"/>
      <c r="AG737" s="59"/>
      <c r="AH737" s="65"/>
      <c r="AI737" s="66"/>
      <c r="AJ737" s="66"/>
      <c r="AK737" s="58"/>
      <c r="AL737" s="58"/>
      <c r="AM737" s="68" t="str">
        <f aca="false">IF(LEFT(AL737,1)="9","Celular",IF(AL737="","","Fixo"))</f>
        <v/>
      </c>
      <c r="AN737" s="58" t="str">
        <f aca="false">IF( AM737&lt;&gt;"",VLOOKUP(AM737,Selects!$M$4:$N$1000,2,0),"")</f>
        <v/>
      </c>
      <c r="AO737" s="58"/>
      <c r="AP737" s="59"/>
      <c r="AQ737" s="65"/>
      <c r="AR737" s="58"/>
      <c r="AS737" s="58"/>
      <c r="AT737" s="26"/>
      <c r="AU737" s="58"/>
      <c r="AV737" s="58"/>
      <c r="AW737" s="58"/>
      <c r="AX737" s="58"/>
      <c r="AY737" s="71"/>
      <c r="AZ737" s="58"/>
      <c r="BA737" s="58"/>
      <c r="BB737" s="72" t="str">
        <f aca="false">IF(BA737&lt;&gt;"",VLOOKUP(BA737,Selects!$B$4:$C$100,2,0),"")</f>
        <v/>
      </c>
      <c r="BC737" s="26"/>
      <c r="BD737" s="26"/>
      <c r="BE737" s="73"/>
      <c r="BF737" s="74"/>
      <c r="BG737" s="75" t="str">
        <f aca="false">IF(LEN(BF737)=11,"PF",IF(LEN(BF737)=14,"PJ",""))</f>
        <v/>
      </c>
      <c r="BH737" s="66"/>
      <c r="BI737" s="58" t="str">
        <f aca="false">IF(BH737&lt;&gt;"",VLOOKUP(BH737,Selects!$G:$H,2,0),"")</f>
        <v/>
      </c>
      <c r="BJ737" s="58"/>
      <c r="BK737" s="58"/>
      <c r="BL737" s="59"/>
      <c r="BM737" s="58"/>
      <c r="BN737" s="58"/>
      <c r="BO737" s="58" t="str">
        <f aca="false">IF(BN737&lt;&gt;"",VLOOKUP(BN737,Selects!$J$4:$K$1000,2,0),"")</f>
        <v/>
      </c>
      <c r="BP737" s="76"/>
      <c r="BQ737" s="59"/>
      <c r="BR737" s="77"/>
      <c r="BS737" s="59"/>
      <c r="BT737" s="77"/>
      <c r="BU737" s="58"/>
      <c r="BV737" s="58"/>
      <c r="BW737" s="58"/>
      <c r="BX737" s="58"/>
      <c r="BY737" s="58"/>
      <c r="BZ737" s="58"/>
      <c r="CA737" s="58"/>
      <c r="CB737" s="72" t="str">
        <f aca="false">IF(AC737&lt;&gt;"",VLOOKUP(AC737,Selects!$B:$E,4,0),"")</f>
        <v/>
      </c>
      <c r="CC737" s="58"/>
      <c r="CD737" s="58"/>
      <c r="CE737" s="58"/>
    </row>
    <row r="738" customFormat="false" ht="15.75" hidden="false" customHeight="true" outlineLevel="0" collapsed="false">
      <c r="A738" s="17"/>
      <c r="B738" s="58"/>
      <c r="C738" s="58"/>
      <c r="D738" s="59"/>
      <c r="E738" s="60" t="str">
        <f aca="false">IF(LEN(D738)=11,"PF",IF(LEN(D738)=14,"PJ",""))</f>
        <v/>
      </c>
      <c r="F738" s="59"/>
      <c r="G738" s="59"/>
      <c r="H738" s="61" t="str">
        <f aca="false">IF(G738&lt;&gt;"",VLOOKUP(G738,'Cnae  mcc  id'!$A:$M,9,0),"")</f>
        <v/>
      </c>
      <c r="I738" s="62"/>
      <c r="J738" s="63" t="str">
        <f aca="false">IF(I738&lt;&gt;"",VLOOKUP(I738,'Legal Nature'!$E$2:$G$84,3,0),"")</f>
        <v/>
      </c>
      <c r="K738" s="64"/>
      <c r="L738" s="65"/>
      <c r="M738" s="66"/>
      <c r="N738" s="66"/>
      <c r="O738" s="79"/>
      <c r="P738" s="26"/>
      <c r="Q738" s="58"/>
      <c r="R738" s="58"/>
      <c r="S738" s="80"/>
      <c r="T738" s="68" t="str">
        <f aca="false">IF(LEFT(S738,1)="9","Celular",IF(S738="","","Fixo"))</f>
        <v/>
      </c>
      <c r="U738" s="58" t="str">
        <f aca="false">IF( T738&lt;&gt;"",VLOOKUP(T738,Selects!$M$4:$N$1000,2,0),"")</f>
        <v/>
      </c>
      <c r="V738" s="26"/>
      <c r="W738" s="58"/>
      <c r="X738" s="58"/>
      <c r="Y738" s="58"/>
      <c r="Z738" s="58"/>
      <c r="AA738" s="69"/>
      <c r="AB738" s="58"/>
      <c r="AC738" s="58"/>
      <c r="AD738" s="70" t="str">
        <f aca="false">IF(AC738&lt;&gt;"",VLOOKUP(AC738,Selects!$B$4:$C$100,2,0),"")</f>
        <v/>
      </c>
      <c r="AE738" s="26"/>
      <c r="AF738" s="58"/>
      <c r="AG738" s="59"/>
      <c r="AH738" s="65"/>
      <c r="AI738" s="66"/>
      <c r="AJ738" s="66"/>
      <c r="AK738" s="58"/>
      <c r="AL738" s="58"/>
      <c r="AM738" s="68" t="str">
        <f aca="false">IF(LEFT(AL738,1)="9","Celular",IF(AL738="","","Fixo"))</f>
        <v/>
      </c>
      <c r="AN738" s="58" t="str">
        <f aca="false">IF( AM738&lt;&gt;"",VLOOKUP(AM738,Selects!$M$4:$N$1000,2,0),"")</f>
        <v/>
      </c>
      <c r="AO738" s="58"/>
      <c r="AP738" s="59"/>
      <c r="AQ738" s="65"/>
      <c r="AR738" s="58"/>
      <c r="AS738" s="58"/>
      <c r="AT738" s="26"/>
      <c r="AU738" s="58"/>
      <c r="AV738" s="58"/>
      <c r="AW738" s="58"/>
      <c r="AX738" s="58"/>
      <c r="AY738" s="71"/>
      <c r="AZ738" s="58"/>
      <c r="BA738" s="58"/>
      <c r="BB738" s="72" t="str">
        <f aca="false">IF(BA738&lt;&gt;"",VLOOKUP(BA738,Selects!$B$4:$C$100,2,0),"")</f>
        <v/>
      </c>
      <c r="BC738" s="26"/>
      <c r="BD738" s="26"/>
      <c r="BE738" s="73"/>
      <c r="BF738" s="74"/>
      <c r="BG738" s="75" t="str">
        <f aca="false">IF(LEN(BF738)=11,"PF",IF(LEN(BF738)=14,"PJ",""))</f>
        <v/>
      </c>
      <c r="BH738" s="66"/>
      <c r="BI738" s="58" t="str">
        <f aca="false">IF(BH738&lt;&gt;"",VLOOKUP(BH738,Selects!$G:$H,2,0),"")</f>
        <v/>
      </c>
      <c r="BJ738" s="58"/>
      <c r="BK738" s="58"/>
      <c r="BL738" s="59"/>
      <c r="BM738" s="58"/>
      <c r="BN738" s="58"/>
      <c r="BO738" s="58" t="str">
        <f aca="false">IF(BN738&lt;&gt;"",VLOOKUP(BN738,Selects!$J$4:$K$1000,2,0),"")</f>
        <v/>
      </c>
      <c r="BP738" s="76"/>
      <c r="BQ738" s="59"/>
      <c r="BR738" s="77"/>
      <c r="BS738" s="59"/>
      <c r="BT738" s="77"/>
      <c r="BU738" s="58"/>
      <c r="BV738" s="58"/>
      <c r="BW738" s="58"/>
      <c r="BX738" s="58"/>
      <c r="BY738" s="58"/>
      <c r="BZ738" s="58"/>
      <c r="CA738" s="58"/>
      <c r="CB738" s="72" t="str">
        <f aca="false">IF(AC738&lt;&gt;"",VLOOKUP(AC738,Selects!$B:$E,4,0),"")</f>
        <v/>
      </c>
      <c r="CC738" s="58"/>
      <c r="CD738" s="58"/>
      <c r="CE738" s="58"/>
    </row>
    <row r="739" customFormat="false" ht="15.75" hidden="false" customHeight="true" outlineLevel="0" collapsed="false">
      <c r="A739" s="17"/>
      <c r="B739" s="58"/>
      <c r="C739" s="58"/>
      <c r="D739" s="59"/>
      <c r="E739" s="60" t="str">
        <f aca="false">IF(LEN(D739)=11,"PF",IF(LEN(D739)=14,"PJ",""))</f>
        <v/>
      </c>
      <c r="F739" s="59"/>
      <c r="G739" s="59"/>
      <c r="H739" s="61" t="str">
        <f aca="false">IF(G739&lt;&gt;"",VLOOKUP(G739,'Cnae  mcc  id'!$A:$M,9,0),"")</f>
        <v/>
      </c>
      <c r="I739" s="62"/>
      <c r="J739" s="63" t="str">
        <f aca="false">IF(I739&lt;&gt;"",VLOOKUP(I739,'Legal Nature'!$E$2:$G$84,3,0),"")</f>
        <v/>
      </c>
      <c r="K739" s="64"/>
      <c r="L739" s="65"/>
      <c r="M739" s="66"/>
      <c r="N739" s="66"/>
      <c r="O739" s="79"/>
      <c r="P739" s="26"/>
      <c r="Q739" s="58"/>
      <c r="R739" s="58"/>
      <c r="S739" s="80"/>
      <c r="T739" s="68" t="str">
        <f aca="false">IF(LEFT(S739,1)="9","Celular",IF(S739="","","Fixo"))</f>
        <v/>
      </c>
      <c r="U739" s="58" t="str">
        <f aca="false">IF( T739&lt;&gt;"",VLOOKUP(T739,Selects!$M$4:$N$1000,2,0),"")</f>
        <v/>
      </c>
      <c r="V739" s="26"/>
      <c r="W739" s="58"/>
      <c r="X739" s="58"/>
      <c r="Y739" s="58"/>
      <c r="Z739" s="58"/>
      <c r="AA739" s="69"/>
      <c r="AB739" s="58"/>
      <c r="AC739" s="58"/>
      <c r="AD739" s="70" t="str">
        <f aca="false">IF(AC739&lt;&gt;"",VLOOKUP(AC739,Selects!$B$4:$C$100,2,0),"")</f>
        <v/>
      </c>
      <c r="AE739" s="26"/>
      <c r="AF739" s="58"/>
      <c r="AG739" s="59"/>
      <c r="AH739" s="65"/>
      <c r="AI739" s="66"/>
      <c r="AJ739" s="66"/>
      <c r="AK739" s="58"/>
      <c r="AL739" s="58"/>
      <c r="AM739" s="68" t="str">
        <f aca="false">IF(LEFT(AL739,1)="9","Celular",IF(AL739="","","Fixo"))</f>
        <v/>
      </c>
      <c r="AN739" s="58" t="str">
        <f aca="false">IF( AM739&lt;&gt;"",VLOOKUP(AM739,Selects!$M$4:$N$1000,2,0),"")</f>
        <v/>
      </c>
      <c r="AO739" s="58"/>
      <c r="AP739" s="59"/>
      <c r="AQ739" s="65"/>
      <c r="AR739" s="58"/>
      <c r="AS739" s="58"/>
      <c r="AT739" s="26"/>
      <c r="AU739" s="58"/>
      <c r="AV739" s="58"/>
      <c r="AW739" s="58"/>
      <c r="AX739" s="58"/>
      <c r="AY739" s="71"/>
      <c r="AZ739" s="58"/>
      <c r="BA739" s="58"/>
      <c r="BB739" s="72" t="str">
        <f aca="false">IF(BA739&lt;&gt;"",VLOOKUP(BA739,Selects!$B$4:$C$100,2,0),"")</f>
        <v/>
      </c>
      <c r="BC739" s="26"/>
      <c r="BD739" s="26"/>
      <c r="BE739" s="73"/>
      <c r="BF739" s="74"/>
      <c r="BG739" s="75" t="str">
        <f aca="false">IF(LEN(BF739)=11,"PF",IF(LEN(BF739)=14,"PJ",""))</f>
        <v/>
      </c>
      <c r="BH739" s="66"/>
      <c r="BI739" s="58" t="str">
        <f aca="false">IF(BH739&lt;&gt;"",VLOOKUP(BH739,Selects!$G:$H,2,0),"")</f>
        <v/>
      </c>
      <c r="BJ739" s="58"/>
      <c r="BK739" s="58"/>
      <c r="BL739" s="59"/>
      <c r="BM739" s="58"/>
      <c r="BN739" s="58"/>
      <c r="BO739" s="58" t="str">
        <f aca="false">IF(BN739&lt;&gt;"",VLOOKUP(BN739,Selects!$J$4:$K$1000,2,0),"")</f>
        <v/>
      </c>
      <c r="BP739" s="76"/>
      <c r="BQ739" s="59"/>
      <c r="BR739" s="77"/>
      <c r="BS739" s="59"/>
      <c r="BT739" s="77"/>
      <c r="BU739" s="58"/>
      <c r="BV739" s="58"/>
      <c r="BW739" s="58"/>
      <c r="BX739" s="58"/>
      <c r="BY739" s="58"/>
      <c r="BZ739" s="58"/>
      <c r="CA739" s="58"/>
      <c r="CB739" s="72" t="str">
        <f aca="false">IF(AC739&lt;&gt;"",VLOOKUP(AC739,Selects!$B:$E,4,0),"")</f>
        <v/>
      </c>
      <c r="CC739" s="58"/>
      <c r="CD739" s="58"/>
      <c r="CE739" s="58"/>
    </row>
    <row r="740" customFormat="false" ht="15.75" hidden="false" customHeight="true" outlineLevel="0" collapsed="false">
      <c r="A740" s="17"/>
      <c r="B740" s="58"/>
      <c r="C740" s="58"/>
      <c r="D740" s="59"/>
      <c r="E740" s="60" t="str">
        <f aca="false">IF(LEN(D740)=11,"PF",IF(LEN(D740)=14,"PJ",""))</f>
        <v/>
      </c>
      <c r="F740" s="59"/>
      <c r="G740" s="59"/>
      <c r="H740" s="61" t="str">
        <f aca="false">IF(G740&lt;&gt;"",VLOOKUP(G740,'Cnae  mcc  id'!$A:$M,9,0),"")</f>
        <v/>
      </c>
      <c r="I740" s="62"/>
      <c r="J740" s="63" t="str">
        <f aca="false">IF(I740&lt;&gt;"",VLOOKUP(I740,'Legal Nature'!$E$2:$G$84,3,0),"")</f>
        <v/>
      </c>
      <c r="K740" s="64"/>
      <c r="L740" s="65"/>
      <c r="M740" s="66"/>
      <c r="N740" s="66"/>
      <c r="O740" s="79"/>
      <c r="P740" s="26"/>
      <c r="Q740" s="58"/>
      <c r="R740" s="58"/>
      <c r="S740" s="80"/>
      <c r="T740" s="68" t="str">
        <f aca="false">IF(LEFT(S740,1)="9","Celular",IF(S740="","","Fixo"))</f>
        <v/>
      </c>
      <c r="U740" s="58" t="str">
        <f aca="false">IF( T740&lt;&gt;"",VLOOKUP(T740,Selects!$M$4:$N$1000,2,0),"")</f>
        <v/>
      </c>
      <c r="V740" s="26"/>
      <c r="W740" s="58"/>
      <c r="X740" s="58"/>
      <c r="Y740" s="58"/>
      <c r="Z740" s="58"/>
      <c r="AA740" s="69"/>
      <c r="AB740" s="58"/>
      <c r="AC740" s="58"/>
      <c r="AD740" s="70" t="str">
        <f aca="false">IF(AC740&lt;&gt;"",VLOOKUP(AC740,Selects!$B$4:$C$100,2,0),"")</f>
        <v/>
      </c>
      <c r="AE740" s="26"/>
      <c r="AF740" s="58"/>
      <c r="AG740" s="59"/>
      <c r="AH740" s="65"/>
      <c r="AI740" s="66"/>
      <c r="AJ740" s="66"/>
      <c r="AK740" s="58"/>
      <c r="AL740" s="58"/>
      <c r="AM740" s="68" t="str">
        <f aca="false">IF(LEFT(AL740,1)="9","Celular",IF(AL740="","","Fixo"))</f>
        <v/>
      </c>
      <c r="AN740" s="58" t="str">
        <f aca="false">IF( AM740&lt;&gt;"",VLOOKUP(AM740,Selects!$M$4:$N$1000,2,0),"")</f>
        <v/>
      </c>
      <c r="AO740" s="58"/>
      <c r="AP740" s="59"/>
      <c r="AQ740" s="65"/>
      <c r="AR740" s="58"/>
      <c r="AS740" s="58"/>
      <c r="AT740" s="26"/>
      <c r="AU740" s="58"/>
      <c r="AV740" s="58"/>
      <c r="AW740" s="58"/>
      <c r="AX740" s="58"/>
      <c r="AY740" s="71"/>
      <c r="AZ740" s="58"/>
      <c r="BA740" s="58"/>
      <c r="BB740" s="72" t="str">
        <f aca="false">IF(BA740&lt;&gt;"",VLOOKUP(BA740,Selects!$B$4:$C$100,2,0),"")</f>
        <v/>
      </c>
      <c r="BC740" s="26"/>
      <c r="BD740" s="26"/>
      <c r="BE740" s="73"/>
      <c r="BF740" s="74"/>
      <c r="BG740" s="75" t="str">
        <f aca="false">IF(LEN(BF740)=11,"PF",IF(LEN(BF740)=14,"PJ",""))</f>
        <v/>
      </c>
      <c r="BH740" s="66"/>
      <c r="BI740" s="58" t="str">
        <f aca="false">IF(BH740&lt;&gt;"",VLOOKUP(BH740,Selects!$G:$H,2,0),"")</f>
        <v/>
      </c>
      <c r="BJ740" s="58"/>
      <c r="BK740" s="58"/>
      <c r="BL740" s="59"/>
      <c r="BM740" s="58"/>
      <c r="BN740" s="58"/>
      <c r="BO740" s="58" t="str">
        <f aca="false">IF(BN740&lt;&gt;"",VLOOKUP(BN740,Selects!$J$4:$K$1000,2,0),"")</f>
        <v/>
      </c>
      <c r="BP740" s="76"/>
      <c r="BQ740" s="59"/>
      <c r="BR740" s="77"/>
      <c r="BS740" s="59"/>
      <c r="BT740" s="77"/>
      <c r="BU740" s="58"/>
      <c r="BV740" s="58"/>
      <c r="BW740" s="58"/>
      <c r="BX740" s="58"/>
      <c r="BY740" s="58"/>
      <c r="BZ740" s="58"/>
      <c r="CA740" s="58"/>
      <c r="CB740" s="72" t="str">
        <f aca="false">IF(AC740&lt;&gt;"",VLOOKUP(AC740,Selects!$B:$E,4,0),"")</f>
        <v/>
      </c>
      <c r="CC740" s="58"/>
      <c r="CD740" s="58"/>
      <c r="CE740" s="58"/>
    </row>
    <row r="741" customFormat="false" ht="15.75" hidden="false" customHeight="true" outlineLevel="0" collapsed="false">
      <c r="A741" s="17"/>
      <c r="B741" s="58"/>
      <c r="C741" s="58"/>
      <c r="D741" s="59"/>
      <c r="E741" s="60" t="str">
        <f aca="false">IF(LEN(D741)=11,"PF",IF(LEN(D741)=14,"PJ",""))</f>
        <v/>
      </c>
      <c r="F741" s="59"/>
      <c r="G741" s="59"/>
      <c r="H741" s="61" t="str">
        <f aca="false">IF(G741&lt;&gt;"",VLOOKUP(G741,'Cnae  mcc  id'!$A:$M,9,0),"")</f>
        <v/>
      </c>
      <c r="I741" s="62"/>
      <c r="J741" s="63" t="str">
        <f aca="false">IF(I741&lt;&gt;"",VLOOKUP(I741,'Legal Nature'!$E$2:$G$84,3,0),"")</f>
        <v/>
      </c>
      <c r="K741" s="64"/>
      <c r="L741" s="65"/>
      <c r="M741" s="66"/>
      <c r="N741" s="66"/>
      <c r="O741" s="79"/>
      <c r="P741" s="26"/>
      <c r="Q741" s="58"/>
      <c r="R741" s="58"/>
      <c r="S741" s="80"/>
      <c r="T741" s="68" t="str">
        <f aca="false">IF(LEFT(S741,1)="9","Celular",IF(S741="","","Fixo"))</f>
        <v/>
      </c>
      <c r="U741" s="58" t="str">
        <f aca="false">IF( T741&lt;&gt;"",VLOOKUP(T741,Selects!$M$4:$N$1000,2,0),"")</f>
        <v/>
      </c>
      <c r="V741" s="26"/>
      <c r="W741" s="58"/>
      <c r="X741" s="58"/>
      <c r="Y741" s="58"/>
      <c r="Z741" s="58"/>
      <c r="AA741" s="69"/>
      <c r="AB741" s="58"/>
      <c r="AC741" s="58"/>
      <c r="AD741" s="70" t="str">
        <f aca="false">IF(AC741&lt;&gt;"",VLOOKUP(AC741,Selects!$B$4:$C$100,2,0),"")</f>
        <v/>
      </c>
      <c r="AE741" s="26"/>
      <c r="AF741" s="58"/>
      <c r="AG741" s="59"/>
      <c r="AH741" s="65"/>
      <c r="AI741" s="66"/>
      <c r="AJ741" s="66"/>
      <c r="AK741" s="58"/>
      <c r="AL741" s="58"/>
      <c r="AM741" s="68" t="str">
        <f aca="false">IF(LEFT(AL741,1)="9","Celular",IF(AL741="","","Fixo"))</f>
        <v/>
      </c>
      <c r="AN741" s="58" t="str">
        <f aca="false">IF( AM741&lt;&gt;"",VLOOKUP(AM741,Selects!$M$4:$N$1000,2,0),"")</f>
        <v/>
      </c>
      <c r="AO741" s="58"/>
      <c r="AP741" s="59"/>
      <c r="AQ741" s="65"/>
      <c r="AR741" s="58"/>
      <c r="AS741" s="58"/>
      <c r="AT741" s="26"/>
      <c r="AU741" s="58"/>
      <c r="AV741" s="58"/>
      <c r="AW741" s="58"/>
      <c r="AX741" s="58"/>
      <c r="AY741" s="71"/>
      <c r="AZ741" s="58"/>
      <c r="BA741" s="58"/>
      <c r="BB741" s="72" t="str">
        <f aca="false">IF(BA741&lt;&gt;"",VLOOKUP(BA741,Selects!$B$4:$C$100,2,0),"")</f>
        <v/>
      </c>
      <c r="BC741" s="26"/>
      <c r="BD741" s="26"/>
      <c r="BE741" s="73"/>
      <c r="BF741" s="74"/>
      <c r="BG741" s="75" t="str">
        <f aca="false">IF(LEN(BF741)=11,"PF",IF(LEN(BF741)=14,"PJ",""))</f>
        <v/>
      </c>
      <c r="BH741" s="66"/>
      <c r="BI741" s="58" t="str">
        <f aca="false">IF(BH741&lt;&gt;"",VLOOKUP(BH741,Selects!$G:$H,2,0),"")</f>
        <v/>
      </c>
      <c r="BJ741" s="58"/>
      <c r="BK741" s="58"/>
      <c r="BL741" s="59"/>
      <c r="BM741" s="58"/>
      <c r="BN741" s="58"/>
      <c r="BO741" s="58" t="str">
        <f aca="false">IF(BN741&lt;&gt;"",VLOOKUP(BN741,Selects!$J$4:$K$1000,2,0),"")</f>
        <v/>
      </c>
      <c r="BP741" s="76"/>
      <c r="BQ741" s="59"/>
      <c r="BR741" s="77"/>
      <c r="BS741" s="59"/>
      <c r="BT741" s="77"/>
      <c r="BU741" s="58"/>
      <c r="BV741" s="58"/>
      <c r="BW741" s="58"/>
      <c r="BX741" s="58"/>
      <c r="BY741" s="58"/>
      <c r="BZ741" s="58"/>
      <c r="CA741" s="58"/>
      <c r="CB741" s="72" t="str">
        <f aca="false">IF(AC741&lt;&gt;"",VLOOKUP(AC741,Selects!$B:$E,4,0),"")</f>
        <v/>
      </c>
      <c r="CC741" s="58"/>
      <c r="CD741" s="58"/>
      <c r="CE741" s="58"/>
    </row>
    <row r="742" customFormat="false" ht="15.75" hidden="false" customHeight="true" outlineLevel="0" collapsed="false">
      <c r="A742" s="17"/>
      <c r="B742" s="58"/>
      <c r="C742" s="58"/>
      <c r="D742" s="59"/>
      <c r="E742" s="60" t="str">
        <f aca="false">IF(LEN(D742)=11,"PF",IF(LEN(D742)=14,"PJ",""))</f>
        <v/>
      </c>
      <c r="F742" s="59"/>
      <c r="G742" s="59"/>
      <c r="H742" s="61" t="str">
        <f aca="false">IF(G742&lt;&gt;"",VLOOKUP(G742,'Cnae  mcc  id'!$A:$M,9,0),"")</f>
        <v/>
      </c>
      <c r="I742" s="62"/>
      <c r="J742" s="63" t="str">
        <f aca="false">IF(I742&lt;&gt;"",VLOOKUP(I742,'Legal Nature'!$E$2:$G$84,3,0),"")</f>
        <v/>
      </c>
      <c r="K742" s="64"/>
      <c r="L742" s="65"/>
      <c r="M742" s="66"/>
      <c r="N742" s="66"/>
      <c r="O742" s="79"/>
      <c r="P742" s="26"/>
      <c r="Q742" s="58"/>
      <c r="R742" s="58"/>
      <c r="S742" s="80"/>
      <c r="T742" s="68" t="str">
        <f aca="false">IF(LEFT(S742,1)="9","Celular",IF(S742="","","Fixo"))</f>
        <v/>
      </c>
      <c r="U742" s="58" t="str">
        <f aca="false">IF( T742&lt;&gt;"",VLOOKUP(T742,Selects!$M$4:$N$1000,2,0),"")</f>
        <v/>
      </c>
      <c r="V742" s="26"/>
      <c r="W742" s="58"/>
      <c r="X742" s="58"/>
      <c r="Y742" s="58"/>
      <c r="Z742" s="58"/>
      <c r="AA742" s="69"/>
      <c r="AB742" s="58"/>
      <c r="AC742" s="58"/>
      <c r="AD742" s="70" t="str">
        <f aca="false">IF(AC742&lt;&gt;"",VLOOKUP(AC742,Selects!$B$4:$C$100,2,0),"")</f>
        <v/>
      </c>
      <c r="AE742" s="26"/>
      <c r="AF742" s="58"/>
      <c r="AG742" s="59"/>
      <c r="AH742" s="65"/>
      <c r="AI742" s="66"/>
      <c r="AJ742" s="66"/>
      <c r="AK742" s="58"/>
      <c r="AL742" s="58"/>
      <c r="AM742" s="68" t="str">
        <f aca="false">IF(LEFT(AL742,1)="9","Celular",IF(AL742="","","Fixo"))</f>
        <v/>
      </c>
      <c r="AN742" s="58" t="str">
        <f aca="false">IF( AM742&lt;&gt;"",VLOOKUP(AM742,Selects!$M$4:$N$1000,2,0),"")</f>
        <v/>
      </c>
      <c r="AO742" s="58"/>
      <c r="AP742" s="59"/>
      <c r="AQ742" s="65"/>
      <c r="AR742" s="58"/>
      <c r="AS742" s="58"/>
      <c r="AT742" s="26"/>
      <c r="AU742" s="58"/>
      <c r="AV742" s="58"/>
      <c r="AW742" s="58"/>
      <c r="AX742" s="58"/>
      <c r="AY742" s="71"/>
      <c r="AZ742" s="58"/>
      <c r="BA742" s="58"/>
      <c r="BB742" s="72" t="str">
        <f aca="false">IF(BA742&lt;&gt;"",VLOOKUP(BA742,Selects!$B$4:$C$100,2,0),"")</f>
        <v/>
      </c>
      <c r="BC742" s="26"/>
      <c r="BD742" s="26"/>
      <c r="BE742" s="73"/>
      <c r="BF742" s="74"/>
      <c r="BG742" s="75" t="str">
        <f aca="false">IF(LEN(BF742)=11,"PF",IF(LEN(BF742)=14,"PJ",""))</f>
        <v/>
      </c>
      <c r="BH742" s="66"/>
      <c r="BI742" s="58" t="str">
        <f aca="false">IF(BH742&lt;&gt;"",VLOOKUP(BH742,Selects!$G:$H,2,0),"")</f>
        <v/>
      </c>
      <c r="BJ742" s="58"/>
      <c r="BK742" s="58"/>
      <c r="BL742" s="59"/>
      <c r="BM742" s="58"/>
      <c r="BN742" s="58"/>
      <c r="BO742" s="58" t="str">
        <f aca="false">IF(BN742&lt;&gt;"",VLOOKUP(BN742,Selects!$J$4:$K$1000,2,0),"")</f>
        <v/>
      </c>
      <c r="BP742" s="76"/>
      <c r="BQ742" s="59"/>
      <c r="BR742" s="77"/>
      <c r="BS742" s="59"/>
      <c r="BT742" s="77"/>
      <c r="BU742" s="58"/>
      <c r="BV742" s="58"/>
      <c r="BW742" s="58"/>
      <c r="BX742" s="58"/>
      <c r="BY742" s="58"/>
      <c r="BZ742" s="58"/>
      <c r="CA742" s="58"/>
      <c r="CB742" s="72" t="str">
        <f aca="false">IF(AC742&lt;&gt;"",VLOOKUP(AC742,Selects!$B:$E,4,0),"")</f>
        <v/>
      </c>
      <c r="CC742" s="58"/>
      <c r="CD742" s="58"/>
      <c r="CE742" s="58"/>
    </row>
    <row r="743" customFormat="false" ht="15.75" hidden="false" customHeight="true" outlineLevel="0" collapsed="false">
      <c r="A743" s="17"/>
      <c r="B743" s="58"/>
      <c r="C743" s="58"/>
      <c r="D743" s="59"/>
      <c r="E743" s="60" t="str">
        <f aca="false">IF(LEN(D743)=11,"PF",IF(LEN(D743)=14,"PJ",""))</f>
        <v/>
      </c>
      <c r="F743" s="59"/>
      <c r="G743" s="59"/>
      <c r="H743" s="61" t="str">
        <f aca="false">IF(G743&lt;&gt;"",VLOOKUP(G743,'Cnae  mcc  id'!$A:$M,9,0),"")</f>
        <v/>
      </c>
      <c r="I743" s="62"/>
      <c r="J743" s="63" t="str">
        <f aca="false">IF(I743&lt;&gt;"",VLOOKUP(I743,'Legal Nature'!$E$2:$G$84,3,0),"")</f>
        <v/>
      </c>
      <c r="K743" s="64"/>
      <c r="L743" s="65"/>
      <c r="M743" s="66"/>
      <c r="N743" s="66"/>
      <c r="O743" s="79"/>
      <c r="P743" s="26"/>
      <c r="Q743" s="58"/>
      <c r="R743" s="58"/>
      <c r="S743" s="80"/>
      <c r="T743" s="68" t="str">
        <f aca="false">IF(LEFT(S743,1)="9","Celular",IF(S743="","","Fixo"))</f>
        <v/>
      </c>
      <c r="U743" s="58" t="str">
        <f aca="false">IF( T743&lt;&gt;"",VLOOKUP(T743,Selects!$M$4:$N$1000,2,0),"")</f>
        <v/>
      </c>
      <c r="V743" s="26"/>
      <c r="W743" s="58"/>
      <c r="X743" s="58"/>
      <c r="Y743" s="58"/>
      <c r="Z743" s="58"/>
      <c r="AA743" s="69"/>
      <c r="AB743" s="58"/>
      <c r="AC743" s="58"/>
      <c r="AD743" s="70" t="str">
        <f aca="false">IF(AC743&lt;&gt;"",VLOOKUP(AC743,Selects!$B$4:$C$100,2,0),"")</f>
        <v/>
      </c>
      <c r="AE743" s="26"/>
      <c r="AF743" s="58"/>
      <c r="AG743" s="59"/>
      <c r="AH743" s="65"/>
      <c r="AI743" s="66"/>
      <c r="AJ743" s="66"/>
      <c r="AK743" s="58"/>
      <c r="AL743" s="58"/>
      <c r="AM743" s="68" t="str">
        <f aca="false">IF(LEFT(AL743,1)="9","Celular",IF(AL743="","","Fixo"))</f>
        <v/>
      </c>
      <c r="AN743" s="58" t="str">
        <f aca="false">IF( AM743&lt;&gt;"",VLOOKUP(AM743,Selects!$M$4:$N$1000,2,0),"")</f>
        <v/>
      </c>
      <c r="AO743" s="58"/>
      <c r="AP743" s="59"/>
      <c r="AQ743" s="65"/>
      <c r="AR743" s="58"/>
      <c r="AS743" s="58"/>
      <c r="AT743" s="26"/>
      <c r="AU743" s="58"/>
      <c r="AV743" s="58"/>
      <c r="AW743" s="58"/>
      <c r="AX743" s="58"/>
      <c r="AY743" s="71"/>
      <c r="AZ743" s="58"/>
      <c r="BA743" s="58"/>
      <c r="BB743" s="72" t="str">
        <f aca="false">IF(BA743&lt;&gt;"",VLOOKUP(BA743,Selects!$B$4:$C$100,2,0),"")</f>
        <v/>
      </c>
      <c r="BC743" s="26"/>
      <c r="BD743" s="26"/>
      <c r="BE743" s="73"/>
      <c r="BF743" s="74"/>
      <c r="BG743" s="75" t="str">
        <f aca="false">IF(LEN(BF743)=11,"PF",IF(LEN(BF743)=14,"PJ",""))</f>
        <v/>
      </c>
      <c r="BH743" s="66"/>
      <c r="BI743" s="58" t="str">
        <f aca="false">IF(BH743&lt;&gt;"",VLOOKUP(BH743,Selects!$G:$H,2,0),"")</f>
        <v/>
      </c>
      <c r="BJ743" s="58"/>
      <c r="BK743" s="58"/>
      <c r="BL743" s="59"/>
      <c r="BM743" s="58"/>
      <c r="BN743" s="58"/>
      <c r="BO743" s="58" t="str">
        <f aca="false">IF(BN743&lt;&gt;"",VLOOKUP(BN743,Selects!$J$4:$K$1000,2,0),"")</f>
        <v/>
      </c>
      <c r="BP743" s="76"/>
      <c r="BQ743" s="59"/>
      <c r="BR743" s="77"/>
      <c r="BS743" s="59"/>
      <c r="BT743" s="77"/>
      <c r="BU743" s="58"/>
      <c r="BV743" s="58"/>
      <c r="BW743" s="58"/>
      <c r="BX743" s="58"/>
      <c r="BY743" s="58"/>
      <c r="BZ743" s="58"/>
      <c r="CA743" s="58"/>
      <c r="CB743" s="72" t="str">
        <f aca="false">IF(AC743&lt;&gt;"",VLOOKUP(AC743,Selects!$B:$E,4,0),"")</f>
        <v/>
      </c>
      <c r="CC743" s="58"/>
      <c r="CD743" s="58"/>
      <c r="CE743" s="58"/>
    </row>
    <row r="744" customFormat="false" ht="15.75" hidden="false" customHeight="true" outlineLevel="0" collapsed="false">
      <c r="A744" s="17"/>
      <c r="B744" s="58"/>
      <c r="C744" s="58"/>
      <c r="D744" s="59"/>
      <c r="E744" s="60" t="str">
        <f aca="false">IF(LEN(D744)=11,"PF",IF(LEN(D744)=14,"PJ",""))</f>
        <v/>
      </c>
      <c r="F744" s="59"/>
      <c r="G744" s="59"/>
      <c r="H744" s="61" t="str">
        <f aca="false">IF(G744&lt;&gt;"",VLOOKUP(G744,'Cnae  mcc  id'!$A:$M,9,0),"")</f>
        <v/>
      </c>
      <c r="I744" s="62"/>
      <c r="J744" s="63" t="str">
        <f aca="false">IF(I744&lt;&gt;"",VLOOKUP(I744,'Legal Nature'!$E$2:$G$84,3,0),"")</f>
        <v/>
      </c>
      <c r="K744" s="64"/>
      <c r="L744" s="65"/>
      <c r="M744" s="66"/>
      <c r="N744" s="66"/>
      <c r="O744" s="79"/>
      <c r="P744" s="26"/>
      <c r="Q744" s="58"/>
      <c r="R744" s="58"/>
      <c r="S744" s="80"/>
      <c r="T744" s="68" t="str">
        <f aca="false">IF(LEFT(S744,1)="9","Celular",IF(S744="","","Fixo"))</f>
        <v/>
      </c>
      <c r="U744" s="58" t="str">
        <f aca="false">IF( T744&lt;&gt;"",VLOOKUP(T744,Selects!$M$4:$N$1000,2,0),"")</f>
        <v/>
      </c>
      <c r="V744" s="26"/>
      <c r="W744" s="58"/>
      <c r="X744" s="58"/>
      <c r="Y744" s="58"/>
      <c r="Z744" s="58"/>
      <c r="AA744" s="69"/>
      <c r="AB744" s="58"/>
      <c r="AC744" s="58"/>
      <c r="AD744" s="70" t="str">
        <f aca="false">IF(AC744&lt;&gt;"",VLOOKUP(AC744,Selects!$B$4:$C$100,2,0),"")</f>
        <v/>
      </c>
      <c r="AE744" s="26"/>
      <c r="AF744" s="58"/>
      <c r="AG744" s="59"/>
      <c r="AH744" s="65"/>
      <c r="AI744" s="66"/>
      <c r="AJ744" s="66"/>
      <c r="AK744" s="58"/>
      <c r="AL744" s="58"/>
      <c r="AM744" s="68" t="str">
        <f aca="false">IF(LEFT(AL744,1)="9","Celular",IF(AL744="","","Fixo"))</f>
        <v/>
      </c>
      <c r="AN744" s="58" t="str">
        <f aca="false">IF( AM744&lt;&gt;"",VLOOKUP(AM744,Selects!$M$4:$N$1000,2,0),"")</f>
        <v/>
      </c>
      <c r="AO744" s="58"/>
      <c r="AP744" s="59"/>
      <c r="AQ744" s="65"/>
      <c r="AR744" s="58"/>
      <c r="AS744" s="58"/>
      <c r="AT744" s="26"/>
      <c r="AU744" s="58"/>
      <c r="AV744" s="58"/>
      <c r="AW744" s="58"/>
      <c r="AX744" s="58"/>
      <c r="AY744" s="71"/>
      <c r="AZ744" s="58"/>
      <c r="BA744" s="58"/>
      <c r="BB744" s="72" t="str">
        <f aca="false">IF(BA744&lt;&gt;"",VLOOKUP(BA744,Selects!$B$4:$C$100,2,0),"")</f>
        <v/>
      </c>
      <c r="BC744" s="26"/>
      <c r="BD744" s="26"/>
      <c r="BE744" s="73"/>
      <c r="BF744" s="74"/>
      <c r="BG744" s="75" t="str">
        <f aca="false">IF(LEN(BF744)=11,"PF",IF(LEN(BF744)=14,"PJ",""))</f>
        <v/>
      </c>
      <c r="BH744" s="66"/>
      <c r="BI744" s="58" t="str">
        <f aca="false">IF(BH744&lt;&gt;"",VLOOKUP(BH744,Selects!$G:$H,2,0),"")</f>
        <v/>
      </c>
      <c r="BJ744" s="58"/>
      <c r="BK744" s="58"/>
      <c r="BL744" s="59"/>
      <c r="BM744" s="58"/>
      <c r="BN744" s="58"/>
      <c r="BO744" s="58" t="str">
        <f aca="false">IF(BN744&lt;&gt;"",VLOOKUP(BN744,Selects!$J$4:$K$1000,2,0),"")</f>
        <v/>
      </c>
      <c r="BP744" s="76"/>
      <c r="BQ744" s="59"/>
      <c r="BR744" s="77"/>
      <c r="BS744" s="59"/>
      <c r="BT744" s="77"/>
      <c r="BU744" s="58"/>
      <c r="BV744" s="58"/>
      <c r="BW744" s="58"/>
      <c r="BX744" s="58"/>
      <c r="BY744" s="58"/>
      <c r="BZ744" s="58"/>
      <c r="CA744" s="58"/>
      <c r="CB744" s="72" t="str">
        <f aca="false">IF(AC744&lt;&gt;"",VLOOKUP(AC744,Selects!$B:$E,4,0),"")</f>
        <v/>
      </c>
      <c r="CC744" s="58"/>
      <c r="CD744" s="58"/>
      <c r="CE744" s="58"/>
    </row>
    <row r="745" customFormat="false" ht="15.75" hidden="false" customHeight="true" outlineLevel="0" collapsed="false">
      <c r="A745" s="17"/>
      <c r="B745" s="58"/>
      <c r="C745" s="58"/>
      <c r="D745" s="59"/>
      <c r="E745" s="60" t="str">
        <f aca="false">IF(LEN(D745)=11,"PF",IF(LEN(D745)=14,"PJ",""))</f>
        <v/>
      </c>
      <c r="F745" s="59"/>
      <c r="G745" s="59"/>
      <c r="H745" s="61" t="str">
        <f aca="false">IF(G745&lt;&gt;"",VLOOKUP(G745,'Cnae  mcc  id'!$A:$M,9,0),"")</f>
        <v/>
      </c>
      <c r="I745" s="62"/>
      <c r="J745" s="63" t="str">
        <f aca="false">IF(I745&lt;&gt;"",VLOOKUP(I745,'Legal Nature'!$E$2:$G$84,3,0),"")</f>
        <v/>
      </c>
      <c r="K745" s="64"/>
      <c r="L745" s="65"/>
      <c r="M745" s="66"/>
      <c r="N745" s="66"/>
      <c r="O745" s="79"/>
      <c r="P745" s="26"/>
      <c r="Q745" s="58"/>
      <c r="R745" s="58"/>
      <c r="S745" s="80"/>
      <c r="T745" s="68" t="str">
        <f aca="false">IF(LEFT(S745,1)="9","Celular",IF(S745="","","Fixo"))</f>
        <v/>
      </c>
      <c r="U745" s="58" t="str">
        <f aca="false">IF( T745&lt;&gt;"",VLOOKUP(T745,Selects!$M$4:$N$1000,2,0),"")</f>
        <v/>
      </c>
      <c r="V745" s="26"/>
      <c r="W745" s="58"/>
      <c r="X745" s="58"/>
      <c r="Y745" s="58"/>
      <c r="Z745" s="58"/>
      <c r="AA745" s="69"/>
      <c r="AB745" s="58"/>
      <c r="AC745" s="58"/>
      <c r="AD745" s="70" t="str">
        <f aca="false">IF(AC745&lt;&gt;"",VLOOKUP(AC745,Selects!$B$4:$C$100,2,0),"")</f>
        <v/>
      </c>
      <c r="AE745" s="26"/>
      <c r="AF745" s="58"/>
      <c r="AG745" s="59"/>
      <c r="AH745" s="65"/>
      <c r="AI745" s="66"/>
      <c r="AJ745" s="66"/>
      <c r="AK745" s="58"/>
      <c r="AL745" s="58"/>
      <c r="AM745" s="68" t="str">
        <f aca="false">IF(LEFT(AL745,1)="9","Celular",IF(AL745="","","Fixo"))</f>
        <v/>
      </c>
      <c r="AN745" s="58" t="str">
        <f aca="false">IF( AM745&lt;&gt;"",VLOOKUP(AM745,Selects!$M$4:$N$1000,2,0),"")</f>
        <v/>
      </c>
      <c r="AO745" s="58"/>
      <c r="AP745" s="59"/>
      <c r="AQ745" s="65"/>
      <c r="AR745" s="58"/>
      <c r="AS745" s="58"/>
      <c r="AT745" s="26"/>
      <c r="AU745" s="58"/>
      <c r="AV745" s="58"/>
      <c r="AW745" s="58"/>
      <c r="AX745" s="58"/>
      <c r="AY745" s="71"/>
      <c r="AZ745" s="58"/>
      <c r="BA745" s="58"/>
      <c r="BB745" s="72" t="str">
        <f aca="false">IF(BA745&lt;&gt;"",VLOOKUP(BA745,Selects!$B$4:$C$100,2,0),"")</f>
        <v/>
      </c>
      <c r="BC745" s="26"/>
      <c r="BD745" s="26"/>
      <c r="BE745" s="73"/>
      <c r="BF745" s="74"/>
      <c r="BG745" s="75" t="str">
        <f aca="false">IF(LEN(BF745)=11,"PF",IF(LEN(BF745)=14,"PJ",""))</f>
        <v/>
      </c>
      <c r="BH745" s="66"/>
      <c r="BI745" s="58" t="str">
        <f aca="false">IF(BH745&lt;&gt;"",VLOOKUP(BH745,Selects!$G:$H,2,0),"")</f>
        <v/>
      </c>
      <c r="BJ745" s="58"/>
      <c r="BK745" s="58"/>
      <c r="BL745" s="59"/>
      <c r="BM745" s="58"/>
      <c r="BN745" s="58"/>
      <c r="BO745" s="58" t="str">
        <f aca="false">IF(BN745&lt;&gt;"",VLOOKUP(BN745,Selects!$J$4:$K$1000,2,0),"")</f>
        <v/>
      </c>
      <c r="BP745" s="76"/>
      <c r="BQ745" s="59"/>
      <c r="BR745" s="77"/>
      <c r="BS745" s="59"/>
      <c r="BT745" s="77"/>
      <c r="BU745" s="58"/>
      <c r="BV745" s="58"/>
      <c r="BW745" s="58"/>
      <c r="BX745" s="58"/>
      <c r="BY745" s="58"/>
      <c r="BZ745" s="58"/>
      <c r="CA745" s="58"/>
      <c r="CB745" s="72" t="str">
        <f aca="false">IF(AC745&lt;&gt;"",VLOOKUP(AC745,Selects!$B:$E,4,0),"")</f>
        <v/>
      </c>
      <c r="CC745" s="58"/>
      <c r="CD745" s="58"/>
      <c r="CE745" s="58"/>
    </row>
    <row r="746" customFormat="false" ht="15.75" hidden="false" customHeight="true" outlineLevel="0" collapsed="false">
      <c r="A746" s="17"/>
      <c r="B746" s="58"/>
      <c r="C746" s="58"/>
      <c r="D746" s="59"/>
      <c r="E746" s="60" t="str">
        <f aca="false">IF(LEN(D746)=11,"PF",IF(LEN(D746)=14,"PJ",""))</f>
        <v/>
      </c>
      <c r="F746" s="59"/>
      <c r="G746" s="59"/>
      <c r="H746" s="61" t="str">
        <f aca="false">IF(G746&lt;&gt;"",VLOOKUP(G746,'Cnae  mcc  id'!$A:$M,9,0),"")</f>
        <v/>
      </c>
      <c r="I746" s="62"/>
      <c r="J746" s="63" t="str">
        <f aca="false">IF(I746&lt;&gt;"",VLOOKUP(I746,'Legal Nature'!$E$2:$G$84,3,0),"")</f>
        <v/>
      </c>
      <c r="K746" s="64"/>
      <c r="L746" s="65"/>
      <c r="M746" s="66"/>
      <c r="N746" s="66"/>
      <c r="O746" s="79"/>
      <c r="P746" s="26"/>
      <c r="Q746" s="58"/>
      <c r="R746" s="58"/>
      <c r="S746" s="80"/>
      <c r="T746" s="68" t="str">
        <f aca="false">IF(LEFT(S746,1)="9","Celular",IF(S746="","","Fixo"))</f>
        <v/>
      </c>
      <c r="U746" s="58" t="str">
        <f aca="false">IF( T746&lt;&gt;"",VLOOKUP(T746,Selects!$M$4:$N$1000,2,0),"")</f>
        <v/>
      </c>
      <c r="V746" s="26"/>
      <c r="W746" s="58"/>
      <c r="X746" s="58"/>
      <c r="Y746" s="58"/>
      <c r="Z746" s="58"/>
      <c r="AA746" s="69"/>
      <c r="AB746" s="58"/>
      <c r="AC746" s="58"/>
      <c r="AD746" s="70" t="str">
        <f aca="false">IF(AC746&lt;&gt;"",VLOOKUP(AC746,Selects!$B$4:$C$100,2,0),"")</f>
        <v/>
      </c>
      <c r="AE746" s="26"/>
      <c r="AF746" s="58"/>
      <c r="AG746" s="59"/>
      <c r="AH746" s="65"/>
      <c r="AI746" s="66"/>
      <c r="AJ746" s="66"/>
      <c r="AK746" s="58"/>
      <c r="AL746" s="58"/>
      <c r="AM746" s="68" t="str">
        <f aca="false">IF(LEFT(AL746,1)="9","Celular",IF(AL746="","","Fixo"))</f>
        <v/>
      </c>
      <c r="AN746" s="58" t="str">
        <f aca="false">IF( AM746&lt;&gt;"",VLOOKUP(AM746,Selects!$M$4:$N$1000,2,0),"")</f>
        <v/>
      </c>
      <c r="AO746" s="58"/>
      <c r="AP746" s="59"/>
      <c r="AQ746" s="65"/>
      <c r="AR746" s="58"/>
      <c r="AS746" s="58"/>
      <c r="AT746" s="26"/>
      <c r="AU746" s="58"/>
      <c r="AV746" s="58"/>
      <c r="AW746" s="58"/>
      <c r="AX746" s="58"/>
      <c r="AY746" s="71"/>
      <c r="AZ746" s="58"/>
      <c r="BA746" s="58"/>
      <c r="BB746" s="72" t="str">
        <f aca="false">IF(BA746&lt;&gt;"",VLOOKUP(BA746,Selects!$B$4:$C$100,2,0),"")</f>
        <v/>
      </c>
      <c r="BC746" s="26"/>
      <c r="BD746" s="26"/>
      <c r="BE746" s="73"/>
      <c r="BF746" s="74"/>
      <c r="BG746" s="75" t="str">
        <f aca="false">IF(LEN(BF746)=11,"PF",IF(LEN(BF746)=14,"PJ",""))</f>
        <v/>
      </c>
      <c r="BH746" s="66"/>
      <c r="BI746" s="58" t="str">
        <f aca="false">IF(BH746&lt;&gt;"",VLOOKUP(BH746,Selects!$G:$H,2,0),"")</f>
        <v/>
      </c>
      <c r="BJ746" s="58"/>
      <c r="BK746" s="58"/>
      <c r="BL746" s="59"/>
      <c r="BM746" s="58"/>
      <c r="BN746" s="58"/>
      <c r="BO746" s="58" t="str">
        <f aca="false">IF(BN746&lt;&gt;"",VLOOKUP(BN746,Selects!$J$4:$K$1000,2,0),"")</f>
        <v/>
      </c>
      <c r="BP746" s="76"/>
      <c r="BQ746" s="59"/>
      <c r="BR746" s="77"/>
      <c r="BS746" s="59"/>
      <c r="BT746" s="77"/>
      <c r="BU746" s="58"/>
      <c r="BV746" s="58"/>
      <c r="BW746" s="58"/>
      <c r="BX746" s="58"/>
      <c r="BY746" s="58"/>
      <c r="BZ746" s="58"/>
      <c r="CA746" s="58"/>
      <c r="CB746" s="72" t="str">
        <f aca="false">IF(AC746&lt;&gt;"",VLOOKUP(AC746,Selects!$B:$E,4,0),"")</f>
        <v/>
      </c>
      <c r="CC746" s="58"/>
      <c r="CD746" s="58"/>
      <c r="CE746" s="58"/>
    </row>
    <row r="747" customFormat="false" ht="15.75" hidden="false" customHeight="true" outlineLevel="0" collapsed="false">
      <c r="A747" s="17"/>
      <c r="B747" s="58"/>
      <c r="C747" s="58"/>
      <c r="D747" s="59"/>
      <c r="E747" s="60" t="str">
        <f aca="false">IF(LEN(D747)=11,"PF",IF(LEN(D747)=14,"PJ",""))</f>
        <v/>
      </c>
      <c r="F747" s="59"/>
      <c r="G747" s="59"/>
      <c r="H747" s="61" t="str">
        <f aca="false">IF(G747&lt;&gt;"",VLOOKUP(G747,'Cnae  mcc  id'!$A:$M,9,0),"")</f>
        <v/>
      </c>
      <c r="I747" s="62"/>
      <c r="J747" s="63" t="str">
        <f aca="false">IF(I747&lt;&gt;"",VLOOKUP(I747,'Legal Nature'!$E$2:$G$84,3,0),"")</f>
        <v/>
      </c>
      <c r="K747" s="64"/>
      <c r="L747" s="65"/>
      <c r="M747" s="66"/>
      <c r="N747" s="66"/>
      <c r="O747" s="79"/>
      <c r="P747" s="26"/>
      <c r="Q747" s="58"/>
      <c r="R747" s="58"/>
      <c r="S747" s="80"/>
      <c r="T747" s="68" t="str">
        <f aca="false">IF(LEFT(S747,1)="9","Celular",IF(S747="","","Fixo"))</f>
        <v/>
      </c>
      <c r="U747" s="58" t="str">
        <f aca="false">IF( T747&lt;&gt;"",VLOOKUP(T747,Selects!$M$4:$N$1000,2,0),"")</f>
        <v/>
      </c>
      <c r="V747" s="26"/>
      <c r="W747" s="58"/>
      <c r="X747" s="58"/>
      <c r="Y747" s="58"/>
      <c r="Z747" s="58"/>
      <c r="AA747" s="69"/>
      <c r="AB747" s="58"/>
      <c r="AC747" s="58"/>
      <c r="AD747" s="70" t="str">
        <f aca="false">IF(AC747&lt;&gt;"",VLOOKUP(AC747,Selects!$B$4:$C$100,2,0),"")</f>
        <v/>
      </c>
      <c r="AE747" s="26"/>
      <c r="AF747" s="58"/>
      <c r="AG747" s="59"/>
      <c r="AH747" s="65"/>
      <c r="AI747" s="66"/>
      <c r="AJ747" s="66"/>
      <c r="AK747" s="58"/>
      <c r="AL747" s="58"/>
      <c r="AM747" s="68" t="str">
        <f aca="false">IF(LEFT(AL747,1)="9","Celular",IF(AL747="","","Fixo"))</f>
        <v/>
      </c>
      <c r="AN747" s="58" t="str">
        <f aca="false">IF( AM747&lt;&gt;"",VLOOKUP(AM747,Selects!$M$4:$N$1000,2,0),"")</f>
        <v/>
      </c>
      <c r="AO747" s="58"/>
      <c r="AP747" s="59"/>
      <c r="AQ747" s="65"/>
      <c r="AR747" s="58"/>
      <c r="AS747" s="58"/>
      <c r="AT747" s="26"/>
      <c r="AU747" s="58"/>
      <c r="AV747" s="58"/>
      <c r="AW747" s="58"/>
      <c r="AX747" s="58"/>
      <c r="AY747" s="71"/>
      <c r="AZ747" s="58"/>
      <c r="BA747" s="58"/>
      <c r="BB747" s="72" t="str">
        <f aca="false">IF(BA747&lt;&gt;"",VLOOKUP(BA747,Selects!$B$4:$C$100,2,0),"")</f>
        <v/>
      </c>
      <c r="BC747" s="26"/>
      <c r="BD747" s="26"/>
      <c r="BE747" s="73"/>
      <c r="BF747" s="74"/>
      <c r="BG747" s="75" t="str">
        <f aca="false">IF(LEN(BF747)=11,"PF",IF(LEN(BF747)=14,"PJ",""))</f>
        <v/>
      </c>
      <c r="BH747" s="66"/>
      <c r="BI747" s="58" t="str">
        <f aca="false">IF(BH747&lt;&gt;"",VLOOKUP(BH747,Selects!$G:$H,2,0),"")</f>
        <v/>
      </c>
      <c r="BJ747" s="58"/>
      <c r="BK747" s="58"/>
      <c r="BL747" s="59"/>
      <c r="BM747" s="58"/>
      <c r="BN747" s="58"/>
      <c r="BO747" s="58" t="str">
        <f aca="false">IF(BN747&lt;&gt;"",VLOOKUP(BN747,Selects!$J$4:$K$1000,2,0),"")</f>
        <v/>
      </c>
      <c r="BP747" s="76"/>
      <c r="BQ747" s="59"/>
      <c r="BR747" s="77"/>
      <c r="BS747" s="59"/>
      <c r="BT747" s="77"/>
      <c r="BU747" s="58"/>
      <c r="BV747" s="58"/>
      <c r="BW747" s="58"/>
      <c r="BX747" s="58"/>
      <c r="BY747" s="58"/>
      <c r="BZ747" s="58"/>
      <c r="CA747" s="58"/>
      <c r="CB747" s="72" t="str">
        <f aca="false">IF(AC747&lt;&gt;"",VLOOKUP(AC747,Selects!$B:$E,4,0),"")</f>
        <v/>
      </c>
      <c r="CC747" s="58"/>
      <c r="CD747" s="58"/>
      <c r="CE747" s="58"/>
    </row>
    <row r="748" customFormat="false" ht="15.75" hidden="false" customHeight="true" outlineLevel="0" collapsed="false">
      <c r="A748" s="17"/>
      <c r="B748" s="58"/>
      <c r="C748" s="58"/>
      <c r="D748" s="59"/>
      <c r="E748" s="60" t="str">
        <f aca="false">IF(LEN(D748)=11,"PF",IF(LEN(D748)=14,"PJ",""))</f>
        <v/>
      </c>
      <c r="F748" s="59"/>
      <c r="G748" s="59"/>
      <c r="H748" s="61" t="str">
        <f aca="false">IF(G748&lt;&gt;"",VLOOKUP(G748,'Cnae  mcc  id'!$A:$M,9,0),"")</f>
        <v/>
      </c>
      <c r="I748" s="62"/>
      <c r="J748" s="63" t="str">
        <f aca="false">IF(I748&lt;&gt;"",VLOOKUP(I748,'Legal Nature'!$E$2:$G$84,3,0),"")</f>
        <v/>
      </c>
      <c r="K748" s="64"/>
      <c r="L748" s="65"/>
      <c r="M748" s="66"/>
      <c r="N748" s="66"/>
      <c r="O748" s="79"/>
      <c r="P748" s="26"/>
      <c r="Q748" s="58"/>
      <c r="R748" s="58"/>
      <c r="S748" s="80"/>
      <c r="T748" s="68" t="str">
        <f aca="false">IF(LEFT(S748,1)="9","Celular",IF(S748="","","Fixo"))</f>
        <v/>
      </c>
      <c r="U748" s="58" t="str">
        <f aca="false">IF( T748&lt;&gt;"",VLOOKUP(T748,Selects!$M$4:$N$1000,2,0),"")</f>
        <v/>
      </c>
      <c r="V748" s="26"/>
      <c r="W748" s="58"/>
      <c r="X748" s="58"/>
      <c r="Y748" s="58"/>
      <c r="Z748" s="58"/>
      <c r="AA748" s="69"/>
      <c r="AB748" s="58"/>
      <c r="AC748" s="58"/>
      <c r="AD748" s="70" t="str">
        <f aca="false">IF(AC748&lt;&gt;"",VLOOKUP(AC748,Selects!$B$4:$C$100,2,0),"")</f>
        <v/>
      </c>
      <c r="AE748" s="26"/>
      <c r="AF748" s="58"/>
      <c r="AG748" s="59"/>
      <c r="AH748" s="65"/>
      <c r="AI748" s="66"/>
      <c r="AJ748" s="66"/>
      <c r="AK748" s="58"/>
      <c r="AL748" s="58"/>
      <c r="AM748" s="68" t="str">
        <f aca="false">IF(LEFT(AL748,1)="9","Celular",IF(AL748="","","Fixo"))</f>
        <v/>
      </c>
      <c r="AN748" s="58" t="str">
        <f aca="false">IF( AM748&lt;&gt;"",VLOOKUP(AM748,Selects!$M$4:$N$1000,2,0),"")</f>
        <v/>
      </c>
      <c r="AO748" s="58"/>
      <c r="AP748" s="59"/>
      <c r="AQ748" s="65"/>
      <c r="AR748" s="58"/>
      <c r="AS748" s="58"/>
      <c r="AT748" s="26"/>
      <c r="AU748" s="58"/>
      <c r="AV748" s="58"/>
      <c r="AW748" s="58"/>
      <c r="AX748" s="58"/>
      <c r="AY748" s="71"/>
      <c r="AZ748" s="58"/>
      <c r="BA748" s="58"/>
      <c r="BB748" s="72" t="str">
        <f aca="false">IF(BA748&lt;&gt;"",VLOOKUP(BA748,Selects!$B$4:$C$100,2,0),"")</f>
        <v/>
      </c>
      <c r="BC748" s="26"/>
      <c r="BD748" s="26"/>
      <c r="BE748" s="73"/>
      <c r="BF748" s="74"/>
      <c r="BG748" s="75" t="str">
        <f aca="false">IF(LEN(BF748)=11,"PF",IF(LEN(BF748)=14,"PJ",""))</f>
        <v/>
      </c>
      <c r="BH748" s="66"/>
      <c r="BI748" s="58" t="str">
        <f aca="false">IF(BH748&lt;&gt;"",VLOOKUP(BH748,Selects!$G:$H,2,0),"")</f>
        <v/>
      </c>
      <c r="BJ748" s="58"/>
      <c r="BK748" s="58"/>
      <c r="BL748" s="59"/>
      <c r="BM748" s="58"/>
      <c r="BN748" s="58"/>
      <c r="BO748" s="58" t="str">
        <f aca="false">IF(BN748&lt;&gt;"",VLOOKUP(BN748,Selects!$J$4:$K$1000,2,0),"")</f>
        <v/>
      </c>
      <c r="BP748" s="76"/>
      <c r="BQ748" s="59"/>
      <c r="BR748" s="77"/>
      <c r="BS748" s="59"/>
      <c r="BT748" s="77"/>
      <c r="BU748" s="58"/>
      <c r="BV748" s="58"/>
      <c r="BW748" s="58"/>
      <c r="BX748" s="58"/>
      <c r="BY748" s="58"/>
      <c r="BZ748" s="58"/>
      <c r="CA748" s="58"/>
      <c r="CB748" s="72" t="str">
        <f aca="false">IF(AC748&lt;&gt;"",VLOOKUP(AC748,Selects!$B:$E,4,0),"")</f>
        <v/>
      </c>
      <c r="CC748" s="58"/>
      <c r="CD748" s="58"/>
      <c r="CE748" s="58"/>
    </row>
    <row r="749" customFormat="false" ht="15.75" hidden="false" customHeight="true" outlineLevel="0" collapsed="false">
      <c r="A749" s="17"/>
      <c r="B749" s="58"/>
      <c r="C749" s="58"/>
      <c r="D749" s="59"/>
      <c r="E749" s="60" t="str">
        <f aca="false">IF(LEN(D749)=11,"PF",IF(LEN(D749)=14,"PJ",""))</f>
        <v/>
      </c>
      <c r="F749" s="59"/>
      <c r="G749" s="59"/>
      <c r="H749" s="61" t="str">
        <f aca="false">IF(G749&lt;&gt;"",VLOOKUP(G749,'Cnae  mcc  id'!$A:$M,9,0),"")</f>
        <v/>
      </c>
      <c r="I749" s="62"/>
      <c r="J749" s="63" t="str">
        <f aca="false">IF(I749&lt;&gt;"",VLOOKUP(I749,'Legal Nature'!$E$2:$G$84,3,0),"")</f>
        <v/>
      </c>
      <c r="K749" s="64"/>
      <c r="L749" s="65"/>
      <c r="M749" s="66"/>
      <c r="N749" s="66"/>
      <c r="O749" s="79"/>
      <c r="P749" s="26"/>
      <c r="Q749" s="58"/>
      <c r="R749" s="58"/>
      <c r="S749" s="80"/>
      <c r="T749" s="68" t="str">
        <f aca="false">IF(LEFT(S749,1)="9","Celular",IF(S749="","","Fixo"))</f>
        <v/>
      </c>
      <c r="U749" s="58" t="str">
        <f aca="false">IF( T749&lt;&gt;"",VLOOKUP(T749,Selects!$M$4:$N$1000,2,0),"")</f>
        <v/>
      </c>
      <c r="V749" s="26"/>
      <c r="W749" s="58"/>
      <c r="X749" s="58"/>
      <c r="Y749" s="58"/>
      <c r="Z749" s="58"/>
      <c r="AA749" s="69"/>
      <c r="AB749" s="58"/>
      <c r="AC749" s="58"/>
      <c r="AD749" s="70" t="str">
        <f aca="false">IF(AC749&lt;&gt;"",VLOOKUP(AC749,Selects!$B$4:$C$100,2,0),"")</f>
        <v/>
      </c>
      <c r="AE749" s="26"/>
      <c r="AF749" s="58"/>
      <c r="AG749" s="59"/>
      <c r="AH749" s="65"/>
      <c r="AI749" s="66"/>
      <c r="AJ749" s="66"/>
      <c r="AK749" s="58"/>
      <c r="AL749" s="58"/>
      <c r="AM749" s="68" t="str">
        <f aca="false">IF(LEFT(AL749,1)="9","Celular",IF(AL749="","","Fixo"))</f>
        <v/>
      </c>
      <c r="AN749" s="58" t="str">
        <f aca="false">IF( AM749&lt;&gt;"",VLOOKUP(AM749,Selects!$M$4:$N$1000,2,0),"")</f>
        <v/>
      </c>
      <c r="AO749" s="58"/>
      <c r="AP749" s="59"/>
      <c r="AQ749" s="65"/>
      <c r="AR749" s="58"/>
      <c r="AS749" s="58"/>
      <c r="AT749" s="26"/>
      <c r="AU749" s="58"/>
      <c r="AV749" s="58"/>
      <c r="AW749" s="58"/>
      <c r="AX749" s="58"/>
      <c r="AY749" s="71"/>
      <c r="AZ749" s="58"/>
      <c r="BA749" s="58"/>
      <c r="BB749" s="72" t="str">
        <f aca="false">IF(BA749&lt;&gt;"",VLOOKUP(BA749,Selects!$B$4:$C$100,2,0),"")</f>
        <v/>
      </c>
      <c r="BC749" s="26"/>
      <c r="BD749" s="26"/>
      <c r="BE749" s="73"/>
      <c r="BF749" s="74"/>
      <c r="BG749" s="75" t="str">
        <f aca="false">IF(LEN(BF749)=11,"PF",IF(LEN(BF749)=14,"PJ",""))</f>
        <v/>
      </c>
      <c r="BH749" s="66"/>
      <c r="BI749" s="58" t="str">
        <f aca="false">IF(BH749&lt;&gt;"",VLOOKUP(BH749,Selects!$G:$H,2,0),"")</f>
        <v/>
      </c>
      <c r="BJ749" s="58"/>
      <c r="BK749" s="58"/>
      <c r="BL749" s="59"/>
      <c r="BM749" s="58"/>
      <c r="BN749" s="58"/>
      <c r="BO749" s="58" t="str">
        <f aca="false">IF(BN749&lt;&gt;"",VLOOKUP(BN749,Selects!$J$4:$K$1000,2,0),"")</f>
        <v/>
      </c>
      <c r="BP749" s="76"/>
      <c r="BQ749" s="59"/>
      <c r="BR749" s="77"/>
      <c r="BS749" s="59"/>
      <c r="BT749" s="77"/>
      <c r="BU749" s="58"/>
      <c r="BV749" s="58"/>
      <c r="BW749" s="58"/>
      <c r="BX749" s="58"/>
      <c r="BY749" s="58"/>
      <c r="BZ749" s="58"/>
      <c r="CA749" s="58"/>
      <c r="CB749" s="72" t="str">
        <f aca="false">IF(AC749&lt;&gt;"",VLOOKUP(AC749,Selects!$B:$E,4,0),"")</f>
        <v/>
      </c>
      <c r="CC749" s="58"/>
      <c r="CD749" s="58"/>
      <c r="CE749" s="58"/>
    </row>
    <row r="750" customFormat="false" ht="15.75" hidden="false" customHeight="true" outlineLevel="0" collapsed="false">
      <c r="A750" s="17"/>
      <c r="B750" s="58"/>
      <c r="C750" s="58"/>
      <c r="D750" s="59"/>
      <c r="E750" s="60" t="str">
        <f aca="false">IF(LEN(D750)=11,"PF",IF(LEN(D750)=14,"PJ",""))</f>
        <v/>
      </c>
      <c r="F750" s="59"/>
      <c r="G750" s="59"/>
      <c r="H750" s="61" t="str">
        <f aca="false">IF(G750&lt;&gt;"",VLOOKUP(G750,'Cnae  mcc  id'!$A:$M,9,0),"")</f>
        <v/>
      </c>
      <c r="I750" s="62"/>
      <c r="J750" s="63" t="str">
        <f aca="false">IF(I750&lt;&gt;"",VLOOKUP(I750,'Legal Nature'!$E$2:$G$84,3,0),"")</f>
        <v/>
      </c>
      <c r="K750" s="64"/>
      <c r="L750" s="65"/>
      <c r="M750" s="66"/>
      <c r="N750" s="66"/>
      <c r="O750" s="79"/>
      <c r="P750" s="26"/>
      <c r="Q750" s="58"/>
      <c r="R750" s="58"/>
      <c r="S750" s="80"/>
      <c r="T750" s="68" t="str">
        <f aca="false">IF(LEFT(S750,1)="9","Celular",IF(S750="","","Fixo"))</f>
        <v/>
      </c>
      <c r="U750" s="58" t="str">
        <f aca="false">IF( T750&lt;&gt;"",VLOOKUP(T750,Selects!$M$4:$N$1000,2,0),"")</f>
        <v/>
      </c>
      <c r="V750" s="26"/>
      <c r="W750" s="58"/>
      <c r="X750" s="58"/>
      <c r="Y750" s="58"/>
      <c r="Z750" s="58"/>
      <c r="AA750" s="69"/>
      <c r="AB750" s="58"/>
      <c r="AC750" s="58"/>
      <c r="AD750" s="70" t="str">
        <f aca="false">IF(AC750&lt;&gt;"",VLOOKUP(AC750,Selects!$B$4:$C$100,2,0),"")</f>
        <v/>
      </c>
      <c r="AE750" s="26"/>
      <c r="AF750" s="58"/>
      <c r="AG750" s="59"/>
      <c r="AH750" s="65"/>
      <c r="AI750" s="66"/>
      <c r="AJ750" s="66"/>
      <c r="AK750" s="58"/>
      <c r="AL750" s="58"/>
      <c r="AM750" s="68" t="str">
        <f aca="false">IF(LEFT(AL750,1)="9","Celular",IF(AL750="","","Fixo"))</f>
        <v/>
      </c>
      <c r="AN750" s="58" t="str">
        <f aca="false">IF( AM750&lt;&gt;"",VLOOKUP(AM750,Selects!$M$4:$N$1000,2,0),"")</f>
        <v/>
      </c>
      <c r="AO750" s="58"/>
      <c r="AP750" s="59"/>
      <c r="AQ750" s="65"/>
      <c r="AR750" s="58"/>
      <c r="AS750" s="58"/>
      <c r="AT750" s="26"/>
      <c r="AU750" s="58"/>
      <c r="AV750" s="58"/>
      <c r="AW750" s="58"/>
      <c r="AX750" s="58"/>
      <c r="AY750" s="71"/>
      <c r="AZ750" s="58"/>
      <c r="BA750" s="58"/>
      <c r="BB750" s="72" t="str">
        <f aca="false">IF(BA750&lt;&gt;"",VLOOKUP(BA750,Selects!$B$4:$C$100,2,0),"")</f>
        <v/>
      </c>
      <c r="BC750" s="26"/>
      <c r="BD750" s="26"/>
      <c r="BE750" s="73"/>
      <c r="BF750" s="74"/>
      <c r="BG750" s="75" t="str">
        <f aca="false">IF(LEN(BF750)=11,"PF",IF(LEN(BF750)=14,"PJ",""))</f>
        <v/>
      </c>
      <c r="BH750" s="66"/>
      <c r="BI750" s="58" t="str">
        <f aca="false">IF(BH750&lt;&gt;"",VLOOKUP(BH750,Selects!$G:$H,2,0),"")</f>
        <v/>
      </c>
      <c r="BJ750" s="58"/>
      <c r="BK750" s="58"/>
      <c r="BL750" s="59"/>
      <c r="BM750" s="58"/>
      <c r="BN750" s="58"/>
      <c r="BO750" s="58" t="str">
        <f aca="false">IF(BN750&lt;&gt;"",VLOOKUP(BN750,Selects!$J$4:$K$1000,2,0),"")</f>
        <v/>
      </c>
      <c r="BP750" s="76"/>
      <c r="BQ750" s="59"/>
      <c r="BR750" s="77"/>
      <c r="BS750" s="59"/>
      <c r="BT750" s="77"/>
      <c r="BU750" s="58"/>
      <c r="BV750" s="58"/>
      <c r="BW750" s="58"/>
      <c r="BX750" s="58"/>
      <c r="BY750" s="58"/>
      <c r="BZ750" s="58"/>
      <c r="CA750" s="58"/>
      <c r="CB750" s="72" t="str">
        <f aca="false">IF(AC750&lt;&gt;"",VLOOKUP(AC750,Selects!$B:$E,4,0),"")</f>
        <v/>
      </c>
      <c r="CC750" s="58"/>
      <c r="CD750" s="58"/>
      <c r="CE750" s="58"/>
    </row>
    <row r="751" customFormat="false" ht="15.75" hidden="false" customHeight="true" outlineLevel="0" collapsed="false">
      <c r="A751" s="17"/>
      <c r="B751" s="58"/>
      <c r="C751" s="58"/>
      <c r="D751" s="59"/>
      <c r="E751" s="60" t="str">
        <f aca="false">IF(LEN(D751)=11,"PF",IF(LEN(D751)=14,"PJ",""))</f>
        <v/>
      </c>
      <c r="F751" s="59"/>
      <c r="G751" s="59"/>
      <c r="H751" s="61" t="str">
        <f aca="false">IF(G751&lt;&gt;"",VLOOKUP(G751,'Cnae  mcc  id'!$A:$M,9,0),"")</f>
        <v/>
      </c>
      <c r="I751" s="62"/>
      <c r="J751" s="63" t="str">
        <f aca="false">IF(I751&lt;&gt;"",VLOOKUP(I751,'Legal Nature'!$E$2:$G$84,3,0),"")</f>
        <v/>
      </c>
      <c r="K751" s="64"/>
      <c r="L751" s="65"/>
      <c r="M751" s="66"/>
      <c r="N751" s="66"/>
      <c r="O751" s="79"/>
      <c r="P751" s="26"/>
      <c r="Q751" s="58"/>
      <c r="R751" s="58"/>
      <c r="S751" s="80"/>
      <c r="T751" s="68" t="str">
        <f aca="false">IF(LEFT(S751,1)="9","Celular",IF(S751="","","Fixo"))</f>
        <v/>
      </c>
      <c r="U751" s="58" t="str">
        <f aca="false">IF( T751&lt;&gt;"",VLOOKUP(T751,Selects!$M$4:$N$1000,2,0),"")</f>
        <v/>
      </c>
      <c r="V751" s="26"/>
      <c r="W751" s="58"/>
      <c r="X751" s="58"/>
      <c r="Y751" s="58"/>
      <c r="Z751" s="58"/>
      <c r="AA751" s="69"/>
      <c r="AB751" s="58"/>
      <c r="AC751" s="58"/>
      <c r="AD751" s="70" t="str">
        <f aca="false">IF(AC751&lt;&gt;"",VLOOKUP(AC751,Selects!$B$4:$C$100,2,0),"")</f>
        <v/>
      </c>
      <c r="AE751" s="26"/>
      <c r="AF751" s="58"/>
      <c r="AG751" s="59"/>
      <c r="AH751" s="65"/>
      <c r="AI751" s="66"/>
      <c r="AJ751" s="66"/>
      <c r="AK751" s="58"/>
      <c r="AL751" s="58"/>
      <c r="AM751" s="68" t="str">
        <f aca="false">IF(LEFT(AL751,1)="9","Celular",IF(AL751="","","Fixo"))</f>
        <v/>
      </c>
      <c r="AN751" s="58" t="str">
        <f aca="false">IF( AM751&lt;&gt;"",VLOOKUP(AM751,Selects!$M$4:$N$1000,2,0),"")</f>
        <v/>
      </c>
      <c r="AO751" s="58"/>
      <c r="AP751" s="59"/>
      <c r="AQ751" s="65"/>
      <c r="AR751" s="58"/>
      <c r="AS751" s="58"/>
      <c r="AT751" s="26"/>
      <c r="AU751" s="58"/>
      <c r="AV751" s="58"/>
      <c r="AW751" s="58"/>
      <c r="AX751" s="58"/>
      <c r="AY751" s="71"/>
      <c r="AZ751" s="58"/>
      <c r="BA751" s="58"/>
      <c r="BB751" s="72" t="str">
        <f aca="false">IF(BA751&lt;&gt;"",VLOOKUP(BA751,Selects!$B$4:$C$100,2,0),"")</f>
        <v/>
      </c>
      <c r="BC751" s="26"/>
      <c r="BD751" s="26"/>
      <c r="BE751" s="73"/>
      <c r="BF751" s="74"/>
      <c r="BG751" s="75" t="str">
        <f aca="false">IF(LEN(BF751)=11,"PF",IF(LEN(BF751)=14,"PJ",""))</f>
        <v/>
      </c>
      <c r="BH751" s="66"/>
      <c r="BI751" s="58" t="str">
        <f aca="false">IF(BH751&lt;&gt;"",VLOOKUP(BH751,Selects!$G:$H,2,0),"")</f>
        <v/>
      </c>
      <c r="BJ751" s="58"/>
      <c r="BK751" s="58"/>
      <c r="BL751" s="59"/>
      <c r="BM751" s="58"/>
      <c r="BN751" s="58"/>
      <c r="BO751" s="58" t="str">
        <f aca="false">IF(BN751&lt;&gt;"",VLOOKUP(BN751,Selects!$J$4:$K$1000,2,0),"")</f>
        <v/>
      </c>
      <c r="BP751" s="76"/>
      <c r="BQ751" s="59"/>
      <c r="BR751" s="77"/>
      <c r="BS751" s="59"/>
      <c r="BT751" s="77"/>
      <c r="BU751" s="58"/>
      <c r="BV751" s="58"/>
      <c r="BW751" s="58"/>
      <c r="BX751" s="58"/>
      <c r="BY751" s="58"/>
      <c r="BZ751" s="58"/>
      <c r="CA751" s="58"/>
      <c r="CB751" s="72" t="str">
        <f aca="false">IF(AC751&lt;&gt;"",VLOOKUP(AC751,Selects!$B:$E,4,0),"")</f>
        <v/>
      </c>
      <c r="CC751" s="58"/>
      <c r="CD751" s="58"/>
      <c r="CE751" s="58"/>
    </row>
    <row r="752" customFormat="false" ht="15.75" hidden="false" customHeight="true" outlineLevel="0" collapsed="false">
      <c r="A752" s="17"/>
      <c r="B752" s="58"/>
      <c r="C752" s="58"/>
      <c r="D752" s="59"/>
      <c r="E752" s="60" t="str">
        <f aca="false">IF(LEN(D752)=11,"PF",IF(LEN(D752)=14,"PJ",""))</f>
        <v/>
      </c>
      <c r="F752" s="59"/>
      <c r="G752" s="59"/>
      <c r="H752" s="61" t="str">
        <f aca="false">IF(G752&lt;&gt;"",VLOOKUP(G752,'Cnae  mcc  id'!$A:$M,9,0),"")</f>
        <v/>
      </c>
      <c r="I752" s="62"/>
      <c r="J752" s="63" t="str">
        <f aca="false">IF(I752&lt;&gt;"",VLOOKUP(I752,'Legal Nature'!$E$2:$G$84,3,0),"")</f>
        <v/>
      </c>
      <c r="K752" s="64"/>
      <c r="L752" s="65"/>
      <c r="M752" s="66"/>
      <c r="N752" s="66"/>
      <c r="O752" s="79"/>
      <c r="P752" s="26"/>
      <c r="Q752" s="58"/>
      <c r="R752" s="58"/>
      <c r="S752" s="80"/>
      <c r="T752" s="68" t="str">
        <f aca="false">IF(LEFT(S752,1)="9","Celular",IF(S752="","","Fixo"))</f>
        <v/>
      </c>
      <c r="U752" s="58" t="str">
        <f aca="false">IF( T752&lt;&gt;"",VLOOKUP(T752,Selects!$M$4:$N$1000,2,0),"")</f>
        <v/>
      </c>
      <c r="V752" s="26"/>
      <c r="W752" s="58"/>
      <c r="X752" s="58"/>
      <c r="Y752" s="58"/>
      <c r="Z752" s="58"/>
      <c r="AA752" s="69"/>
      <c r="AB752" s="58"/>
      <c r="AC752" s="58"/>
      <c r="AD752" s="70" t="str">
        <f aca="false">IF(AC752&lt;&gt;"",VLOOKUP(AC752,Selects!$B$4:$C$100,2,0),"")</f>
        <v/>
      </c>
      <c r="AE752" s="26"/>
      <c r="AF752" s="58"/>
      <c r="AG752" s="59"/>
      <c r="AH752" s="65"/>
      <c r="AI752" s="66"/>
      <c r="AJ752" s="66"/>
      <c r="AK752" s="58"/>
      <c r="AL752" s="58"/>
      <c r="AM752" s="68" t="str">
        <f aca="false">IF(LEFT(AL752,1)="9","Celular",IF(AL752="","","Fixo"))</f>
        <v/>
      </c>
      <c r="AN752" s="58" t="str">
        <f aca="false">IF( AM752&lt;&gt;"",VLOOKUP(AM752,Selects!$M$4:$N$1000,2,0),"")</f>
        <v/>
      </c>
      <c r="AO752" s="58"/>
      <c r="AP752" s="59"/>
      <c r="AQ752" s="65"/>
      <c r="AR752" s="58"/>
      <c r="AS752" s="58"/>
      <c r="AT752" s="26"/>
      <c r="AU752" s="58"/>
      <c r="AV752" s="58"/>
      <c r="AW752" s="58"/>
      <c r="AX752" s="58"/>
      <c r="AY752" s="71"/>
      <c r="AZ752" s="58"/>
      <c r="BA752" s="58"/>
      <c r="BB752" s="72" t="str">
        <f aca="false">IF(BA752&lt;&gt;"",VLOOKUP(BA752,Selects!$B$4:$C$100,2,0),"")</f>
        <v/>
      </c>
      <c r="BC752" s="26"/>
      <c r="BD752" s="26"/>
      <c r="BE752" s="73"/>
      <c r="BF752" s="74"/>
      <c r="BG752" s="75" t="str">
        <f aca="false">IF(LEN(BF752)=11,"PF",IF(LEN(BF752)=14,"PJ",""))</f>
        <v/>
      </c>
      <c r="BH752" s="66"/>
      <c r="BI752" s="58" t="str">
        <f aca="false">IF(BH752&lt;&gt;"",VLOOKUP(BH752,Selects!$G:$H,2,0),"")</f>
        <v/>
      </c>
      <c r="BJ752" s="58"/>
      <c r="BK752" s="58"/>
      <c r="BL752" s="59"/>
      <c r="BM752" s="58"/>
      <c r="BN752" s="58"/>
      <c r="BO752" s="58" t="str">
        <f aca="false">IF(BN752&lt;&gt;"",VLOOKUP(BN752,Selects!$J$4:$K$1000,2,0),"")</f>
        <v/>
      </c>
      <c r="BP752" s="76"/>
      <c r="BQ752" s="59"/>
      <c r="BR752" s="77"/>
      <c r="BS752" s="59"/>
      <c r="BT752" s="77"/>
      <c r="BU752" s="58"/>
      <c r="BV752" s="58"/>
      <c r="BW752" s="58"/>
      <c r="BX752" s="58"/>
      <c r="BY752" s="58"/>
      <c r="BZ752" s="58"/>
      <c r="CA752" s="58"/>
      <c r="CB752" s="72" t="str">
        <f aca="false">IF(AC752&lt;&gt;"",VLOOKUP(AC752,Selects!$B:$E,4,0),"")</f>
        <v/>
      </c>
      <c r="CC752" s="58"/>
      <c r="CD752" s="58"/>
      <c r="CE752" s="58"/>
    </row>
    <row r="753" customFormat="false" ht="15.75" hidden="false" customHeight="true" outlineLevel="0" collapsed="false">
      <c r="A753" s="17"/>
      <c r="B753" s="58"/>
      <c r="C753" s="58"/>
      <c r="D753" s="59"/>
      <c r="E753" s="60" t="str">
        <f aca="false">IF(LEN(D753)=11,"PF",IF(LEN(D753)=14,"PJ",""))</f>
        <v/>
      </c>
      <c r="F753" s="59"/>
      <c r="G753" s="59"/>
      <c r="H753" s="61" t="str">
        <f aca="false">IF(G753&lt;&gt;"",VLOOKUP(G753,'Cnae  mcc  id'!$A:$M,9,0),"")</f>
        <v/>
      </c>
      <c r="I753" s="62"/>
      <c r="J753" s="63" t="str">
        <f aca="false">IF(I753&lt;&gt;"",VLOOKUP(I753,'Legal Nature'!$E$2:$G$84,3,0),"")</f>
        <v/>
      </c>
      <c r="K753" s="64"/>
      <c r="L753" s="65"/>
      <c r="M753" s="66"/>
      <c r="N753" s="66"/>
      <c r="O753" s="79"/>
      <c r="P753" s="26"/>
      <c r="Q753" s="58"/>
      <c r="R753" s="58"/>
      <c r="S753" s="80"/>
      <c r="T753" s="68" t="str">
        <f aca="false">IF(LEFT(S753,1)="9","Celular",IF(S753="","","Fixo"))</f>
        <v/>
      </c>
      <c r="U753" s="58" t="str">
        <f aca="false">IF( T753&lt;&gt;"",VLOOKUP(T753,Selects!$M$4:$N$1000,2,0),"")</f>
        <v/>
      </c>
      <c r="V753" s="26"/>
      <c r="W753" s="58"/>
      <c r="X753" s="58"/>
      <c r="Y753" s="58"/>
      <c r="Z753" s="58"/>
      <c r="AA753" s="69"/>
      <c r="AB753" s="58"/>
      <c r="AC753" s="58"/>
      <c r="AD753" s="70" t="str">
        <f aca="false">IF(AC753&lt;&gt;"",VLOOKUP(AC753,Selects!$B$4:$C$100,2,0),"")</f>
        <v/>
      </c>
      <c r="AE753" s="26"/>
      <c r="AF753" s="58"/>
      <c r="AG753" s="59"/>
      <c r="AH753" s="65"/>
      <c r="AI753" s="66"/>
      <c r="AJ753" s="66"/>
      <c r="AK753" s="58"/>
      <c r="AL753" s="58"/>
      <c r="AM753" s="68" t="str">
        <f aca="false">IF(LEFT(AL753,1)="9","Celular",IF(AL753="","","Fixo"))</f>
        <v/>
      </c>
      <c r="AN753" s="58" t="str">
        <f aca="false">IF( AM753&lt;&gt;"",VLOOKUP(AM753,Selects!$M$4:$N$1000,2,0),"")</f>
        <v/>
      </c>
      <c r="AO753" s="58"/>
      <c r="AP753" s="59"/>
      <c r="AQ753" s="65"/>
      <c r="AR753" s="58"/>
      <c r="AS753" s="58"/>
      <c r="AT753" s="26"/>
      <c r="AU753" s="58"/>
      <c r="AV753" s="58"/>
      <c r="AW753" s="58"/>
      <c r="AX753" s="58"/>
      <c r="AY753" s="71"/>
      <c r="AZ753" s="58"/>
      <c r="BA753" s="58"/>
      <c r="BB753" s="72" t="str">
        <f aca="false">IF(BA753&lt;&gt;"",VLOOKUP(BA753,Selects!$B$4:$C$100,2,0),"")</f>
        <v/>
      </c>
      <c r="BC753" s="26"/>
      <c r="BD753" s="26"/>
      <c r="BE753" s="73"/>
      <c r="BF753" s="74"/>
      <c r="BG753" s="75" t="str">
        <f aca="false">IF(LEN(BF753)=11,"PF",IF(LEN(BF753)=14,"PJ",""))</f>
        <v/>
      </c>
      <c r="BH753" s="66"/>
      <c r="BI753" s="58" t="str">
        <f aca="false">IF(BH753&lt;&gt;"",VLOOKUP(BH753,Selects!$G:$H,2,0),"")</f>
        <v/>
      </c>
      <c r="BJ753" s="58"/>
      <c r="BK753" s="58"/>
      <c r="BL753" s="59"/>
      <c r="BM753" s="58"/>
      <c r="BN753" s="58"/>
      <c r="BO753" s="58" t="str">
        <f aca="false">IF(BN753&lt;&gt;"",VLOOKUP(BN753,Selects!$J$4:$K$1000,2,0),"")</f>
        <v/>
      </c>
      <c r="BP753" s="76"/>
      <c r="BQ753" s="59"/>
      <c r="BR753" s="77"/>
      <c r="BS753" s="59"/>
      <c r="BT753" s="77"/>
      <c r="BU753" s="58"/>
      <c r="BV753" s="58"/>
      <c r="BW753" s="58"/>
      <c r="BX753" s="58"/>
      <c r="BY753" s="58"/>
      <c r="BZ753" s="58"/>
      <c r="CA753" s="58"/>
      <c r="CB753" s="72" t="str">
        <f aca="false">IF(AC753&lt;&gt;"",VLOOKUP(AC753,Selects!$B:$E,4,0),"")</f>
        <v/>
      </c>
      <c r="CC753" s="58"/>
      <c r="CD753" s="58"/>
      <c r="CE753" s="58"/>
    </row>
    <row r="754" customFormat="false" ht="15.75" hidden="false" customHeight="true" outlineLevel="0" collapsed="false">
      <c r="A754" s="17"/>
      <c r="B754" s="58"/>
      <c r="C754" s="58"/>
      <c r="D754" s="59"/>
      <c r="E754" s="60" t="str">
        <f aca="false">IF(LEN(D754)=11,"PF",IF(LEN(D754)=14,"PJ",""))</f>
        <v/>
      </c>
      <c r="F754" s="59"/>
      <c r="G754" s="59"/>
      <c r="H754" s="61" t="str">
        <f aca="false">IF(G754&lt;&gt;"",VLOOKUP(G754,'Cnae  mcc  id'!$A:$M,9,0),"")</f>
        <v/>
      </c>
      <c r="I754" s="62"/>
      <c r="J754" s="63" t="str">
        <f aca="false">IF(I754&lt;&gt;"",VLOOKUP(I754,'Legal Nature'!$E$2:$G$84,3,0),"")</f>
        <v/>
      </c>
      <c r="K754" s="64"/>
      <c r="L754" s="65"/>
      <c r="M754" s="66"/>
      <c r="N754" s="66"/>
      <c r="O754" s="79"/>
      <c r="P754" s="26"/>
      <c r="Q754" s="58"/>
      <c r="R754" s="58"/>
      <c r="S754" s="80"/>
      <c r="T754" s="68" t="str">
        <f aca="false">IF(LEFT(S754,1)="9","Celular",IF(S754="","","Fixo"))</f>
        <v/>
      </c>
      <c r="U754" s="58" t="str">
        <f aca="false">IF( T754&lt;&gt;"",VLOOKUP(T754,Selects!$M$4:$N$1000,2,0),"")</f>
        <v/>
      </c>
      <c r="V754" s="26"/>
      <c r="W754" s="58"/>
      <c r="X754" s="58"/>
      <c r="Y754" s="58"/>
      <c r="Z754" s="58"/>
      <c r="AA754" s="69"/>
      <c r="AB754" s="58"/>
      <c r="AC754" s="58"/>
      <c r="AD754" s="70" t="str">
        <f aca="false">IF(AC754&lt;&gt;"",VLOOKUP(AC754,Selects!$B$4:$C$100,2,0),"")</f>
        <v/>
      </c>
      <c r="AE754" s="26"/>
      <c r="AF754" s="58"/>
      <c r="AG754" s="59"/>
      <c r="AH754" s="65"/>
      <c r="AI754" s="66"/>
      <c r="AJ754" s="66"/>
      <c r="AK754" s="58"/>
      <c r="AL754" s="58"/>
      <c r="AM754" s="68" t="str">
        <f aca="false">IF(LEFT(AL754,1)="9","Celular",IF(AL754="","","Fixo"))</f>
        <v/>
      </c>
      <c r="AN754" s="58" t="str">
        <f aca="false">IF( AM754&lt;&gt;"",VLOOKUP(AM754,Selects!$M$4:$N$1000,2,0),"")</f>
        <v/>
      </c>
      <c r="AO754" s="58"/>
      <c r="AP754" s="59"/>
      <c r="AQ754" s="65"/>
      <c r="AR754" s="58"/>
      <c r="AS754" s="58"/>
      <c r="AT754" s="26"/>
      <c r="AU754" s="58"/>
      <c r="AV754" s="58"/>
      <c r="AW754" s="58"/>
      <c r="AX754" s="58"/>
      <c r="AY754" s="71"/>
      <c r="AZ754" s="58"/>
      <c r="BA754" s="58"/>
      <c r="BB754" s="72" t="str">
        <f aca="false">IF(BA754&lt;&gt;"",VLOOKUP(BA754,Selects!$B$4:$C$100,2,0),"")</f>
        <v/>
      </c>
      <c r="BC754" s="26"/>
      <c r="BD754" s="26"/>
      <c r="BE754" s="73"/>
      <c r="BF754" s="74"/>
      <c r="BG754" s="75" t="str">
        <f aca="false">IF(LEN(BF754)=11,"PF",IF(LEN(BF754)=14,"PJ",""))</f>
        <v/>
      </c>
      <c r="BH754" s="66"/>
      <c r="BI754" s="58" t="str">
        <f aca="false">IF(BH754&lt;&gt;"",VLOOKUP(BH754,Selects!$G:$H,2,0),"")</f>
        <v/>
      </c>
      <c r="BJ754" s="58"/>
      <c r="BK754" s="58"/>
      <c r="BL754" s="59"/>
      <c r="BM754" s="58"/>
      <c r="BN754" s="58"/>
      <c r="BO754" s="58" t="str">
        <f aca="false">IF(BN754&lt;&gt;"",VLOOKUP(BN754,Selects!$J$4:$K$1000,2,0),"")</f>
        <v/>
      </c>
      <c r="BP754" s="76"/>
      <c r="BQ754" s="59"/>
      <c r="BR754" s="77"/>
      <c r="BS754" s="59"/>
      <c r="BT754" s="77"/>
      <c r="BU754" s="58"/>
      <c r="BV754" s="58"/>
      <c r="BW754" s="58"/>
      <c r="BX754" s="58"/>
      <c r="BY754" s="58"/>
      <c r="BZ754" s="58"/>
      <c r="CA754" s="58"/>
      <c r="CB754" s="72" t="str">
        <f aca="false">IF(AC754&lt;&gt;"",VLOOKUP(AC754,Selects!$B:$E,4,0),"")</f>
        <v/>
      </c>
      <c r="CC754" s="58"/>
      <c r="CD754" s="58"/>
      <c r="CE754" s="58"/>
    </row>
    <row r="755" customFormat="false" ht="15.75" hidden="false" customHeight="true" outlineLevel="0" collapsed="false">
      <c r="A755" s="17"/>
      <c r="B755" s="58"/>
      <c r="C755" s="58"/>
      <c r="D755" s="59"/>
      <c r="E755" s="60" t="str">
        <f aca="false">IF(LEN(D755)=11,"PF",IF(LEN(D755)=14,"PJ",""))</f>
        <v/>
      </c>
      <c r="F755" s="59"/>
      <c r="G755" s="59"/>
      <c r="H755" s="61" t="str">
        <f aca="false">IF(G755&lt;&gt;"",VLOOKUP(G755,'Cnae  mcc  id'!$A:$M,9,0),"")</f>
        <v/>
      </c>
      <c r="I755" s="62"/>
      <c r="J755" s="63" t="str">
        <f aca="false">IF(I755&lt;&gt;"",VLOOKUP(I755,'Legal Nature'!$E$2:$G$84,3,0),"")</f>
        <v/>
      </c>
      <c r="K755" s="64"/>
      <c r="L755" s="65"/>
      <c r="M755" s="66"/>
      <c r="N755" s="66"/>
      <c r="O755" s="79"/>
      <c r="P755" s="26"/>
      <c r="Q755" s="58"/>
      <c r="R755" s="58"/>
      <c r="S755" s="80"/>
      <c r="T755" s="68" t="str">
        <f aca="false">IF(LEFT(S755,1)="9","Celular",IF(S755="","","Fixo"))</f>
        <v/>
      </c>
      <c r="U755" s="58" t="str">
        <f aca="false">IF( T755&lt;&gt;"",VLOOKUP(T755,Selects!$M$4:$N$1000,2,0),"")</f>
        <v/>
      </c>
      <c r="V755" s="26"/>
      <c r="W755" s="58"/>
      <c r="X755" s="58"/>
      <c r="Y755" s="58"/>
      <c r="Z755" s="58"/>
      <c r="AA755" s="69"/>
      <c r="AB755" s="58"/>
      <c r="AC755" s="58"/>
      <c r="AD755" s="70" t="str">
        <f aca="false">IF(AC755&lt;&gt;"",VLOOKUP(AC755,Selects!$B$4:$C$100,2,0),"")</f>
        <v/>
      </c>
      <c r="AE755" s="26"/>
      <c r="AF755" s="58"/>
      <c r="AG755" s="59"/>
      <c r="AH755" s="65"/>
      <c r="AI755" s="66"/>
      <c r="AJ755" s="66"/>
      <c r="AK755" s="58"/>
      <c r="AL755" s="58"/>
      <c r="AM755" s="68" t="str">
        <f aca="false">IF(LEFT(AL755,1)="9","Celular",IF(AL755="","","Fixo"))</f>
        <v/>
      </c>
      <c r="AN755" s="58" t="str">
        <f aca="false">IF( AM755&lt;&gt;"",VLOOKUP(AM755,Selects!$M$4:$N$1000,2,0),"")</f>
        <v/>
      </c>
      <c r="AO755" s="58"/>
      <c r="AP755" s="59"/>
      <c r="AQ755" s="65"/>
      <c r="AR755" s="58"/>
      <c r="AS755" s="58"/>
      <c r="AT755" s="26"/>
      <c r="AU755" s="58"/>
      <c r="AV755" s="58"/>
      <c r="AW755" s="58"/>
      <c r="AX755" s="58"/>
      <c r="AY755" s="71"/>
      <c r="AZ755" s="58"/>
      <c r="BA755" s="58"/>
      <c r="BB755" s="72" t="str">
        <f aca="false">IF(BA755&lt;&gt;"",VLOOKUP(BA755,Selects!$B$4:$C$100,2,0),"")</f>
        <v/>
      </c>
      <c r="BC755" s="26"/>
      <c r="BD755" s="26"/>
      <c r="BE755" s="73"/>
      <c r="BF755" s="74"/>
      <c r="BG755" s="75" t="str">
        <f aca="false">IF(LEN(BF755)=11,"PF",IF(LEN(BF755)=14,"PJ",""))</f>
        <v/>
      </c>
      <c r="BH755" s="66"/>
      <c r="BI755" s="58" t="str">
        <f aca="false">IF(BH755&lt;&gt;"",VLOOKUP(BH755,Selects!$G:$H,2,0),"")</f>
        <v/>
      </c>
      <c r="BJ755" s="58"/>
      <c r="BK755" s="58"/>
      <c r="BL755" s="59"/>
      <c r="BM755" s="58"/>
      <c r="BN755" s="58"/>
      <c r="BO755" s="58" t="str">
        <f aca="false">IF(BN755&lt;&gt;"",VLOOKUP(BN755,Selects!$J$4:$K$1000,2,0),"")</f>
        <v/>
      </c>
      <c r="BP755" s="76"/>
      <c r="BQ755" s="59"/>
      <c r="BR755" s="77"/>
      <c r="BS755" s="59"/>
      <c r="BT755" s="77"/>
      <c r="BU755" s="58"/>
      <c r="BV755" s="58"/>
      <c r="BW755" s="58"/>
      <c r="BX755" s="58"/>
      <c r="BY755" s="58"/>
      <c r="BZ755" s="58"/>
      <c r="CA755" s="58"/>
      <c r="CB755" s="72" t="str">
        <f aca="false">IF(AC755&lt;&gt;"",VLOOKUP(AC755,Selects!$B:$E,4,0),"")</f>
        <v/>
      </c>
      <c r="CC755" s="58"/>
      <c r="CD755" s="58"/>
      <c r="CE755" s="58"/>
    </row>
    <row r="756" customFormat="false" ht="15.75" hidden="false" customHeight="true" outlineLevel="0" collapsed="false">
      <c r="A756" s="17"/>
      <c r="B756" s="58"/>
      <c r="C756" s="58"/>
      <c r="D756" s="59"/>
      <c r="E756" s="60" t="str">
        <f aca="false">IF(LEN(D756)=11,"PF",IF(LEN(D756)=14,"PJ",""))</f>
        <v/>
      </c>
      <c r="F756" s="59"/>
      <c r="G756" s="59"/>
      <c r="H756" s="61" t="str">
        <f aca="false">IF(G756&lt;&gt;"",VLOOKUP(G756,'Cnae  mcc  id'!$A:$M,9,0),"")</f>
        <v/>
      </c>
      <c r="I756" s="62"/>
      <c r="J756" s="63" t="str">
        <f aca="false">IF(I756&lt;&gt;"",VLOOKUP(I756,'Legal Nature'!$E$2:$G$84,3,0),"")</f>
        <v/>
      </c>
      <c r="K756" s="64"/>
      <c r="L756" s="65"/>
      <c r="M756" s="66"/>
      <c r="N756" s="66"/>
      <c r="O756" s="79"/>
      <c r="P756" s="26"/>
      <c r="Q756" s="58"/>
      <c r="R756" s="58"/>
      <c r="S756" s="80"/>
      <c r="T756" s="68" t="str">
        <f aca="false">IF(LEFT(S756,1)="9","Celular",IF(S756="","","Fixo"))</f>
        <v/>
      </c>
      <c r="U756" s="58" t="str">
        <f aca="false">IF( T756&lt;&gt;"",VLOOKUP(T756,Selects!$M$4:$N$1000,2,0),"")</f>
        <v/>
      </c>
      <c r="V756" s="26"/>
      <c r="W756" s="58"/>
      <c r="X756" s="58"/>
      <c r="Y756" s="58"/>
      <c r="Z756" s="58"/>
      <c r="AA756" s="69"/>
      <c r="AB756" s="58"/>
      <c r="AC756" s="58"/>
      <c r="AD756" s="70" t="str">
        <f aca="false">IF(AC756&lt;&gt;"",VLOOKUP(AC756,Selects!$B$4:$C$100,2,0),"")</f>
        <v/>
      </c>
      <c r="AE756" s="26"/>
      <c r="AF756" s="58"/>
      <c r="AG756" s="59"/>
      <c r="AH756" s="65"/>
      <c r="AI756" s="66"/>
      <c r="AJ756" s="66"/>
      <c r="AK756" s="58"/>
      <c r="AL756" s="58"/>
      <c r="AM756" s="68" t="str">
        <f aca="false">IF(LEFT(AL756,1)="9","Celular",IF(AL756="","","Fixo"))</f>
        <v/>
      </c>
      <c r="AN756" s="58" t="str">
        <f aca="false">IF( AM756&lt;&gt;"",VLOOKUP(AM756,Selects!$M$4:$N$1000,2,0),"")</f>
        <v/>
      </c>
      <c r="AO756" s="58"/>
      <c r="AP756" s="59"/>
      <c r="AQ756" s="65"/>
      <c r="AR756" s="58"/>
      <c r="AS756" s="58"/>
      <c r="AT756" s="26"/>
      <c r="AU756" s="58"/>
      <c r="AV756" s="58"/>
      <c r="AW756" s="58"/>
      <c r="AX756" s="58"/>
      <c r="AY756" s="71"/>
      <c r="AZ756" s="58"/>
      <c r="BA756" s="58"/>
      <c r="BB756" s="72" t="str">
        <f aca="false">IF(BA756&lt;&gt;"",VLOOKUP(BA756,Selects!$B$4:$C$100,2,0),"")</f>
        <v/>
      </c>
      <c r="BC756" s="26"/>
      <c r="BD756" s="26"/>
      <c r="BE756" s="73"/>
      <c r="BF756" s="74"/>
      <c r="BG756" s="75" t="str">
        <f aca="false">IF(LEN(BF756)=11,"PF",IF(LEN(BF756)=14,"PJ",""))</f>
        <v/>
      </c>
      <c r="BH756" s="66"/>
      <c r="BI756" s="58" t="str">
        <f aca="false">IF(BH756&lt;&gt;"",VLOOKUP(BH756,Selects!$G:$H,2,0),"")</f>
        <v/>
      </c>
      <c r="BJ756" s="58"/>
      <c r="BK756" s="58"/>
      <c r="BL756" s="59"/>
      <c r="BM756" s="58"/>
      <c r="BN756" s="58"/>
      <c r="BO756" s="58" t="str">
        <f aca="false">IF(BN756&lt;&gt;"",VLOOKUP(BN756,Selects!$J$4:$K$1000,2,0),"")</f>
        <v/>
      </c>
      <c r="BP756" s="76"/>
      <c r="BQ756" s="59"/>
      <c r="BR756" s="77"/>
      <c r="BS756" s="59"/>
      <c r="BT756" s="77"/>
      <c r="BU756" s="58"/>
      <c r="BV756" s="58"/>
      <c r="BW756" s="58"/>
      <c r="BX756" s="58"/>
      <c r="BY756" s="58"/>
      <c r="BZ756" s="58"/>
      <c r="CA756" s="58"/>
      <c r="CB756" s="72" t="str">
        <f aca="false">IF(AC756&lt;&gt;"",VLOOKUP(AC756,Selects!$B:$E,4,0),"")</f>
        <v/>
      </c>
      <c r="CC756" s="58"/>
      <c r="CD756" s="58"/>
      <c r="CE756" s="58"/>
    </row>
    <row r="757" customFormat="false" ht="15.75" hidden="false" customHeight="true" outlineLevel="0" collapsed="false">
      <c r="A757" s="17"/>
      <c r="B757" s="58"/>
      <c r="C757" s="58"/>
      <c r="D757" s="59"/>
      <c r="E757" s="60" t="str">
        <f aca="false">IF(LEN(D757)=11,"PF",IF(LEN(D757)=14,"PJ",""))</f>
        <v/>
      </c>
      <c r="F757" s="59"/>
      <c r="G757" s="59"/>
      <c r="H757" s="61" t="str">
        <f aca="false">IF(G757&lt;&gt;"",VLOOKUP(G757,'Cnae  mcc  id'!$A:$M,9,0),"")</f>
        <v/>
      </c>
      <c r="I757" s="62"/>
      <c r="J757" s="63" t="str">
        <f aca="false">IF(I757&lt;&gt;"",VLOOKUP(I757,'Legal Nature'!$E$2:$G$84,3,0),"")</f>
        <v/>
      </c>
      <c r="K757" s="64"/>
      <c r="L757" s="65"/>
      <c r="M757" s="66"/>
      <c r="N757" s="66"/>
      <c r="O757" s="79"/>
      <c r="P757" s="26"/>
      <c r="Q757" s="58"/>
      <c r="R757" s="58"/>
      <c r="S757" s="80"/>
      <c r="T757" s="68" t="str">
        <f aca="false">IF(LEFT(S757,1)="9","Celular",IF(S757="","","Fixo"))</f>
        <v/>
      </c>
      <c r="U757" s="58" t="str">
        <f aca="false">IF( T757&lt;&gt;"",VLOOKUP(T757,Selects!$M$4:$N$1000,2,0),"")</f>
        <v/>
      </c>
      <c r="V757" s="26"/>
      <c r="W757" s="58"/>
      <c r="X757" s="58"/>
      <c r="Y757" s="58"/>
      <c r="Z757" s="58"/>
      <c r="AA757" s="69"/>
      <c r="AB757" s="58"/>
      <c r="AC757" s="58"/>
      <c r="AD757" s="70" t="str">
        <f aca="false">IF(AC757&lt;&gt;"",VLOOKUP(AC757,Selects!$B$4:$C$100,2,0),"")</f>
        <v/>
      </c>
      <c r="AE757" s="26"/>
      <c r="AF757" s="58"/>
      <c r="AG757" s="59"/>
      <c r="AH757" s="65"/>
      <c r="AI757" s="66"/>
      <c r="AJ757" s="66"/>
      <c r="AK757" s="58"/>
      <c r="AL757" s="58"/>
      <c r="AM757" s="68" t="str">
        <f aca="false">IF(LEFT(AL757,1)="9","Celular",IF(AL757="","","Fixo"))</f>
        <v/>
      </c>
      <c r="AN757" s="58" t="str">
        <f aca="false">IF( AM757&lt;&gt;"",VLOOKUP(AM757,Selects!$M$4:$N$1000,2,0),"")</f>
        <v/>
      </c>
      <c r="AO757" s="58"/>
      <c r="AP757" s="59"/>
      <c r="AQ757" s="65"/>
      <c r="AR757" s="58"/>
      <c r="AS757" s="58"/>
      <c r="AT757" s="26"/>
      <c r="AU757" s="58"/>
      <c r="AV757" s="58"/>
      <c r="AW757" s="58"/>
      <c r="AX757" s="58"/>
      <c r="AY757" s="71"/>
      <c r="AZ757" s="58"/>
      <c r="BA757" s="58"/>
      <c r="BB757" s="72" t="str">
        <f aca="false">IF(BA757&lt;&gt;"",VLOOKUP(BA757,Selects!$B$4:$C$100,2,0),"")</f>
        <v/>
      </c>
      <c r="BC757" s="26"/>
      <c r="BD757" s="26"/>
      <c r="BE757" s="73"/>
      <c r="BF757" s="74"/>
      <c r="BG757" s="75" t="str">
        <f aca="false">IF(LEN(BF757)=11,"PF",IF(LEN(BF757)=14,"PJ",""))</f>
        <v/>
      </c>
      <c r="BH757" s="66"/>
      <c r="BI757" s="58" t="str">
        <f aca="false">IF(BH757&lt;&gt;"",VLOOKUP(BH757,Selects!$G:$H,2,0),"")</f>
        <v/>
      </c>
      <c r="BJ757" s="58"/>
      <c r="BK757" s="58"/>
      <c r="BL757" s="59"/>
      <c r="BM757" s="58"/>
      <c r="BN757" s="58"/>
      <c r="BO757" s="58" t="str">
        <f aca="false">IF(BN757&lt;&gt;"",VLOOKUP(BN757,Selects!$J$4:$K$1000,2,0),"")</f>
        <v/>
      </c>
      <c r="BP757" s="76"/>
      <c r="BQ757" s="59"/>
      <c r="BR757" s="77"/>
      <c r="BS757" s="59"/>
      <c r="BT757" s="77"/>
      <c r="BU757" s="58"/>
      <c r="BV757" s="58"/>
      <c r="BW757" s="58"/>
      <c r="BX757" s="58"/>
      <c r="BY757" s="58"/>
      <c r="BZ757" s="58"/>
      <c r="CA757" s="58"/>
      <c r="CB757" s="72" t="str">
        <f aca="false">IF(AC757&lt;&gt;"",VLOOKUP(AC757,Selects!$B:$E,4,0),"")</f>
        <v/>
      </c>
      <c r="CC757" s="58"/>
      <c r="CD757" s="58"/>
      <c r="CE757" s="58"/>
    </row>
    <row r="758" customFormat="false" ht="15.75" hidden="false" customHeight="true" outlineLevel="0" collapsed="false">
      <c r="A758" s="17"/>
      <c r="B758" s="58"/>
      <c r="C758" s="58"/>
      <c r="D758" s="59"/>
      <c r="E758" s="60" t="str">
        <f aca="false">IF(LEN(D758)=11,"PF",IF(LEN(D758)=14,"PJ",""))</f>
        <v/>
      </c>
      <c r="F758" s="59"/>
      <c r="G758" s="59"/>
      <c r="H758" s="61" t="str">
        <f aca="false">IF(G758&lt;&gt;"",VLOOKUP(G758,'Cnae  mcc  id'!$A:$M,9,0),"")</f>
        <v/>
      </c>
      <c r="I758" s="62"/>
      <c r="J758" s="63" t="str">
        <f aca="false">IF(I758&lt;&gt;"",VLOOKUP(I758,'Legal Nature'!$E$2:$G$84,3,0),"")</f>
        <v/>
      </c>
      <c r="K758" s="64"/>
      <c r="L758" s="65"/>
      <c r="M758" s="66"/>
      <c r="N758" s="66"/>
      <c r="O758" s="79"/>
      <c r="P758" s="26"/>
      <c r="Q758" s="58"/>
      <c r="R758" s="58"/>
      <c r="S758" s="80"/>
      <c r="T758" s="68" t="str">
        <f aca="false">IF(LEFT(S758,1)="9","Celular",IF(S758="","","Fixo"))</f>
        <v/>
      </c>
      <c r="U758" s="58" t="str">
        <f aca="false">IF( T758&lt;&gt;"",VLOOKUP(T758,Selects!$M$4:$N$1000,2,0),"")</f>
        <v/>
      </c>
      <c r="V758" s="26"/>
      <c r="W758" s="58"/>
      <c r="X758" s="58"/>
      <c r="Y758" s="58"/>
      <c r="Z758" s="58"/>
      <c r="AA758" s="69"/>
      <c r="AB758" s="58"/>
      <c r="AC758" s="58"/>
      <c r="AD758" s="70" t="str">
        <f aca="false">IF(AC758&lt;&gt;"",VLOOKUP(AC758,Selects!$B$4:$C$100,2,0),"")</f>
        <v/>
      </c>
      <c r="AE758" s="26"/>
      <c r="AF758" s="58"/>
      <c r="AG758" s="59"/>
      <c r="AH758" s="65"/>
      <c r="AI758" s="66"/>
      <c r="AJ758" s="66"/>
      <c r="AK758" s="58"/>
      <c r="AL758" s="58"/>
      <c r="AM758" s="68" t="str">
        <f aca="false">IF(LEFT(AL758,1)="9","Celular",IF(AL758="","","Fixo"))</f>
        <v/>
      </c>
      <c r="AN758" s="58" t="str">
        <f aca="false">IF( AM758&lt;&gt;"",VLOOKUP(AM758,Selects!$M$4:$N$1000,2,0),"")</f>
        <v/>
      </c>
      <c r="AO758" s="58"/>
      <c r="AP758" s="59"/>
      <c r="AQ758" s="65"/>
      <c r="AR758" s="58"/>
      <c r="AS758" s="58"/>
      <c r="AT758" s="26"/>
      <c r="AU758" s="58"/>
      <c r="AV758" s="58"/>
      <c r="AW758" s="58"/>
      <c r="AX758" s="58"/>
      <c r="AY758" s="71"/>
      <c r="AZ758" s="58"/>
      <c r="BA758" s="58"/>
      <c r="BB758" s="72" t="str">
        <f aca="false">IF(BA758&lt;&gt;"",VLOOKUP(BA758,Selects!$B$4:$C$100,2,0),"")</f>
        <v/>
      </c>
      <c r="BC758" s="26"/>
      <c r="BD758" s="26"/>
      <c r="BE758" s="73"/>
      <c r="BF758" s="74"/>
      <c r="BG758" s="75" t="str">
        <f aca="false">IF(LEN(BF758)=11,"PF",IF(LEN(BF758)=14,"PJ",""))</f>
        <v/>
      </c>
      <c r="BH758" s="66"/>
      <c r="BI758" s="58" t="str">
        <f aca="false">IF(BH758&lt;&gt;"",VLOOKUP(BH758,Selects!$G:$H,2,0),"")</f>
        <v/>
      </c>
      <c r="BJ758" s="58"/>
      <c r="BK758" s="58"/>
      <c r="BL758" s="59"/>
      <c r="BM758" s="58"/>
      <c r="BN758" s="58"/>
      <c r="BO758" s="58" t="str">
        <f aca="false">IF(BN758&lt;&gt;"",VLOOKUP(BN758,Selects!$J$4:$K$1000,2,0),"")</f>
        <v/>
      </c>
      <c r="BP758" s="76"/>
      <c r="BQ758" s="59"/>
      <c r="BR758" s="77"/>
      <c r="BS758" s="59"/>
      <c r="BT758" s="77"/>
      <c r="BU758" s="58"/>
      <c r="BV758" s="58"/>
      <c r="BW758" s="58"/>
      <c r="BX758" s="58"/>
      <c r="BY758" s="58"/>
      <c r="BZ758" s="58"/>
      <c r="CA758" s="58"/>
      <c r="CB758" s="72" t="str">
        <f aca="false">IF(AC758&lt;&gt;"",VLOOKUP(AC758,Selects!$B:$E,4,0),"")</f>
        <v/>
      </c>
      <c r="CC758" s="58"/>
      <c r="CD758" s="58"/>
      <c r="CE758" s="58"/>
    </row>
    <row r="759" customFormat="false" ht="15.75" hidden="false" customHeight="true" outlineLevel="0" collapsed="false">
      <c r="A759" s="17"/>
      <c r="B759" s="58"/>
      <c r="C759" s="58"/>
      <c r="D759" s="59"/>
      <c r="E759" s="60" t="str">
        <f aca="false">IF(LEN(D759)=11,"PF",IF(LEN(D759)=14,"PJ",""))</f>
        <v/>
      </c>
      <c r="F759" s="59"/>
      <c r="G759" s="59"/>
      <c r="H759" s="61" t="str">
        <f aca="false">IF(G759&lt;&gt;"",VLOOKUP(G759,'Cnae  mcc  id'!$A:$M,9,0),"")</f>
        <v/>
      </c>
      <c r="I759" s="62"/>
      <c r="J759" s="63" t="str">
        <f aca="false">IF(I759&lt;&gt;"",VLOOKUP(I759,'Legal Nature'!$E$2:$G$84,3,0),"")</f>
        <v/>
      </c>
      <c r="K759" s="64"/>
      <c r="L759" s="65"/>
      <c r="M759" s="66"/>
      <c r="N759" s="66"/>
      <c r="O759" s="79"/>
      <c r="P759" s="26"/>
      <c r="Q759" s="58"/>
      <c r="R759" s="58"/>
      <c r="S759" s="80"/>
      <c r="T759" s="68" t="str">
        <f aca="false">IF(LEFT(S759,1)="9","Celular",IF(S759="","","Fixo"))</f>
        <v/>
      </c>
      <c r="U759" s="58" t="str">
        <f aca="false">IF( T759&lt;&gt;"",VLOOKUP(T759,Selects!$M$4:$N$1000,2,0),"")</f>
        <v/>
      </c>
      <c r="V759" s="26"/>
      <c r="W759" s="58"/>
      <c r="X759" s="58"/>
      <c r="Y759" s="58"/>
      <c r="Z759" s="58"/>
      <c r="AA759" s="69"/>
      <c r="AB759" s="58"/>
      <c r="AC759" s="58"/>
      <c r="AD759" s="70" t="str">
        <f aca="false">IF(AC759&lt;&gt;"",VLOOKUP(AC759,Selects!$B$4:$C$100,2,0),"")</f>
        <v/>
      </c>
      <c r="AE759" s="26"/>
      <c r="AF759" s="58"/>
      <c r="AG759" s="59"/>
      <c r="AH759" s="65"/>
      <c r="AI759" s="66"/>
      <c r="AJ759" s="66"/>
      <c r="AK759" s="58"/>
      <c r="AL759" s="58"/>
      <c r="AM759" s="68" t="str">
        <f aca="false">IF(LEFT(AL759,1)="9","Celular",IF(AL759="","","Fixo"))</f>
        <v/>
      </c>
      <c r="AN759" s="58" t="str">
        <f aca="false">IF( AM759&lt;&gt;"",VLOOKUP(AM759,Selects!$M$4:$N$1000,2,0),"")</f>
        <v/>
      </c>
      <c r="AO759" s="58"/>
      <c r="AP759" s="59"/>
      <c r="AQ759" s="65"/>
      <c r="AR759" s="58"/>
      <c r="AS759" s="58"/>
      <c r="AT759" s="26"/>
      <c r="AU759" s="58"/>
      <c r="AV759" s="58"/>
      <c r="AW759" s="58"/>
      <c r="AX759" s="58"/>
      <c r="AY759" s="71"/>
      <c r="AZ759" s="58"/>
      <c r="BA759" s="58"/>
      <c r="BB759" s="72" t="str">
        <f aca="false">IF(BA759&lt;&gt;"",VLOOKUP(BA759,Selects!$B$4:$C$100,2,0),"")</f>
        <v/>
      </c>
      <c r="BC759" s="26"/>
      <c r="BD759" s="26"/>
      <c r="BE759" s="73"/>
      <c r="BF759" s="74"/>
      <c r="BG759" s="75" t="str">
        <f aca="false">IF(LEN(BF759)=11,"PF",IF(LEN(BF759)=14,"PJ",""))</f>
        <v/>
      </c>
      <c r="BH759" s="66"/>
      <c r="BI759" s="58" t="str">
        <f aca="false">IF(BH759&lt;&gt;"",VLOOKUP(BH759,Selects!$G:$H,2,0),"")</f>
        <v/>
      </c>
      <c r="BJ759" s="58"/>
      <c r="BK759" s="58"/>
      <c r="BL759" s="59"/>
      <c r="BM759" s="58"/>
      <c r="BN759" s="58"/>
      <c r="BO759" s="58" t="str">
        <f aca="false">IF(BN759&lt;&gt;"",VLOOKUP(BN759,Selects!$J$4:$K$1000,2,0),"")</f>
        <v/>
      </c>
      <c r="BP759" s="76"/>
      <c r="BQ759" s="59"/>
      <c r="BR759" s="77"/>
      <c r="BS759" s="59"/>
      <c r="BT759" s="77"/>
      <c r="BU759" s="58"/>
      <c r="BV759" s="58"/>
      <c r="BW759" s="58"/>
      <c r="BX759" s="58"/>
      <c r="BY759" s="58"/>
      <c r="BZ759" s="58"/>
      <c r="CA759" s="58"/>
      <c r="CB759" s="72" t="str">
        <f aca="false">IF(AC759&lt;&gt;"",VLOOKUP(AC759,Selects!$B:$E,4,0),"")</f>
        <v/>
      </c>
      <c r="CC759" s="58"/>
      <c r="CD759" s="58"/>
      <c r="CE759" s="58"/>
    </row>
    <row r="760" customFormat="false" ht="15.75" hidden="false" customHeight="true" outlineLevel="0" collapsed="false">
      <c r="A760" s="17"/>
      <c r="B760" s="58"/>
      <c r="C760" s="58"/>
      <c r="D760" s="59"/>
      <c r="E760" s="60" t="str">
        <f aca="false">IF(LEN(D760)=11,"PF",IF(LEN(D760)=14,"PJ",""))</f>
        <v/>
      </c>
      <c r="F760" s="59"/>
      <c r="G760" s="59"/>
      <c r="H760" s="61" t="str">
        <f aca="false">IF(G760&lt;&gt;"",VLOOKUP(G760,'Cnae  mcc  id'!$A:$M,9,0),"")</f>
        <v/>
      </c>
      <c r="I760" s="62"/>
      <c r="J760" s="63" t="str">
        <f aca="false">IF(I760&lt;&gt;"",VLOOKUP(I760,'Legal Nature'!$E$2:$G$84,3,0),"")</f>
        <v/>
      </c>
      <c r="K760" s="64"/>
      <c r="L760" s="65"/>
      <c r="M760" s="66"/>
      <c r="N760" s="66"/>
      <c r="O760" s="79"/>
      <c r="P760" s="26"/>
      <c r="Q760" s="58"/>
      <c r="R760" s="58"/>
      <c r="S760" s="80"/>
      <c r="T760" s="68" t="str">
        <f aca="false">IF(LEFT(S760,1)="9","Celular",IF(S760="","","Fixo"))</f>
        <v/>
      </c>
      <c r="U760" s="58" t="str">
        <f aca="false">IF( T760&lt;&gt;"",VLOOKUP(T760,Selects!$M$4:$N$1000,2,0),"")</f>
        <v/>
      </c>
      <c r="V760" s="26"/>
      <c r="W760" s="58"/>
      <c r="X760" s="58"/>
      <c r="Y760" s="58"/>
      <c r="Z760" s="58"/>
      <c r="AA760" s="69"/>
      <c r="AB760" s="58"/>
      <c r="AC760" s="58"/>
      <c r="AD760" s="70" t="str">
        <f aca="false">IF(AC760&lt;&gt;"",VLOOKUP(AC760,Selects!$B$4:$C$100,2,0),"")</f>
        <v/>
      </c>
      <c r="AE760" s="26"/>
      <c r="AF760" s="58"/>
      <c r="AG760" s="59"/>
      <c r="AH760" s="65"/>
      <c r="AI760" s="66"/>
      <c r="AJ760" s="66"/>
      <c r="AK760" s="58"/>
      <c r="AL760" s="58"/>
      <c r="AM760" s="68" t="str">
        <f aca="false">IF(LEFT(AL760,1)="9","Celular",IF(AL760="","","Fixo"))</f>
        <v/>
      </c>
      <c r="AN760" s="58" t="str">
        <f aca="false">IF( AM760&lt;&gt;"",VLOOKUP(AM760,Selects!$M$4:$N$1000,2,0),"")</f>
        <v/>
      </c>
      <c r="AO760" s="58"/>
      <c r="AP760" s="59"/>
      <c r="AQ760" s="65"/>
      <c r="AR760" s="58"/>
      <c r="AS760" s="58"/>
      <c r="AT760" s="26"/>
      <c r="AU760" s="58"/>
      <c r="AV760" s="58"/>
      <c r="AW760" s="58"/>
      <c r="AX760" s="58"/>
      <c r="AY760" s="71"/>
      <c r="AZ760" s="58"/>
      <c r="BA760" s="58"/>
      <c r="BB760" s="72" t="str">
        <f aca="false">IF(BA760&lt;&gt;"",VLOOKUP(BA760,Selects!$B$4:$C$100,2,0),"")</f>
        <v/>
      </c>
      <c r="BC760" s="26"/>
      <c r="BD760" s="26"/>
      <c r="BE760" s="73"/>
      <c r="BF760" s="74"/>
      <c r="BG760" s="75" t="str">
        <f aca="false">IF(LEN(BF760)=11,"PF",IF(LEN(BF760)=14,"PJ",""))</f>
        <v/>
      </c>
      <c r="BH760" s="66"/>
      <c r="BI760" s="58" t="str">
        <f aca="false">IF(BH760&lt;&gt;"",VLOOKUP(BH760,Selects!$G:$H,2,0),"")</f>
        <v/>
      </c>
      <c r="BJ760" s="58"/>
      <c r="BK760" s="58"/>
      <c r="BL760" s="59"/>
      <c r="BM760" s="58"/>
      <c r="BN760" s="58"/>
      <c r="BO760" s="58" t="str">
        <f aca="false">IF(BN760&lt;&gt;"",VLOOKUP(BN760,Selects!$J$4:$K$1000,2,0),"")</f>
        <v/>
      </c>
      <c r="BP760" s="76"/>
      <c r="BQ760" s="59"/>
      <c r="BR760" s="77"/>
      <c r="BS760" s="59"/>
      <c r="BT760" s="77"/>
      <c r="BU760" s="58"/>
      <c r="BV760" s="58"/>
      <c r="BW760" s="58"/>
      <c r="BX760" s="58"/>
      <c r="BY760" s="58"/>
      <c r="BZ760" s="58"/>
      <c r="CA760" s="58"/>
      <c r="CB760" s="72" t="str">
        <f aca="false">IF(AC760&lt;&gt;"",VLOOKUP(AC760,Selects!$B:$E,4,0),"")</f>
        <v/>
      </c>
      <c r="CC760" s="58"/>
      <c r="CD760" s="58"/>
      <c r="CE760" s="58"/>
    </row>
    <row r="761" customFormat="false" ht="15.75" hidden="false" customHeight="true" outlineLevel="0" collapsed="false">
      <c r="A761" s="17"/>
      <c r="B761" s="58"/>
      <c r="C761" s="58"/>
      <c r="D761" s="59"/>
      <c r="E761" s="60" t="str">
        <f aca="false">IF(LEN(D761)=11,"PF",IF(LEN(D761)=14,"PJ",""))</f>
        <v/>
      </c>
      <c r="F761" s="59"/>
      <c r="G761" s="59"/>
      <c r="H761" s="61" t="str">
        <f aca="false">IF(G761&lt;&gt;"",VLOOKUP(G761,'Cnae  mcc  id'!$A:$M,9,0),"")</f>
        <v/>
      </c>
      <c r="I761" s="62"/>
      <c r="J761" s="63" t="str">
        <f aca="false">IF(I761&lt;&gt;"",VLOOKUP(I761,'Legal Nature'!$E$2:$G$84,3,0),"")</f>
        <v/>
      </c>
      <c r="K761" s="64"/>
      <c r="L761" s="65"/>
      <c r="M761" s="66"/>
      <c r="N761" s="66"/>
      <c r="O761" s="79"/>
      <c r="P761" s="26"/>
      <c r="Q761" s="58"/>
      <c r="R761" s="58"/>
      <c r="S761" s="80"/>
      <c r="T761" s="68" t="str">
        <f aca="false">IF(LEFT(S761,1)="9","Celular",IF(S761="","","Fixo"))</f>
        <v/>
      </c>
      <c r="U761" s="58" t="str">
        <f aca="false">IF( T761&lt;&gt;"",VLOOKUP(T761,Selects!$M$4:$N$1000,2,0),"")</f>
        <v/>
      </c>
      <c r="V761" s="26"/>
      <c r="W761" s="58"/>
      <c r="X761" s="58"/>
      <c r="Y761" s="58"/>
      <c r="Z761" s="58"/>
      <c r="AA761" s="69"/>
      <c r="AB761" s="58"/>
      <c r="AC761" s="58"/>
      <c r="AD761" s="70" t="str">
        <f aca="false">IF(AC761&lt;&gt;"",VLOOKUP(AC761,Selects!$B$4:$C$100,2,0),"")</f>
        <v/>
      </c>
      <c r="AE761" s="26"/>
      <c r="AF761" s="58"/>
      <c r="AG761" s="59"/>
      <c r="AH761" s="65"/>
      <c r="AI761" s="66"/>
      <c r="AJ761" s="66"/>
      <c r="AK761" s="58"/>
      <c r="AL761" s="58"/>
      <c r="AM761" s="68" t="str">
        <f aca="false">IF(LEFT(AL761,1)="9","Celular",IF(AL761="","","Fixo"))</f>
        <v/>
      </c>
      <c r="AN761" s="58" t="str">
        <f aca="false">IF( AM761&lt;&gt;"",VLOOKUP(AM761,Selects!$M$4:$N$1000,2,0),"")</f>
        <v/>
      </c>
      <c r="AO761" s="58"/>
      <c r="AP761" s="59"/>
      <c r="AQ761" s="65"/>
      <c r="AR761" s="58"/>
      <c r="AS761" s="58"/>
      <c r="AT761" s="26"/>
      <c r="AU761" s="58"/>
      <c r="AV761" s="58"/>
      <c r="AW761" s="58"/>
      <c r="AX761" s="58"/>
      <c r="AY761" s="71"/>
      <c r="AZ761" s="58"/>
      <c r="BA761" s="58"/>
      <c r="BB761" s="72" t="str">
        <f aca="false">IF(BA761&lt;&gt;"",VLOOKUP(BA761,Selects!$B$4:$C$100,2,0),"")</f>
        <v/>
      </c>
      <c r="BC761" s="26"/>
      <c r="BD761" s="26"/>
      <c r="BE761" s="73"/>
      <c r="BF761" s="74"/>
      <c r="BG761" s="75" t="str">
        <f aca="false">IF(LEN(BF761)=11,"PF",IF(LEN(BF761)=14,"PJ",""))</f>
        <v/>
      </c>
      <c r="BH761" s="66"/>
      <c r="BI761" s="58" t="str">
        <f aca="false">IF(BH761&lt;&gt;"",VLOOKUP(BH761,Selects!$G:$H,2,0),"")</f>
        <v/>
      </c>
      <c r="BJ761" s="58"/>
      <c r="BK761" s="58"/>
      <c r="BL761" s="59"/>
      <c r="BM761" s="58"/>
      <c r="BN761" s="58"/>
      <c r="BO761" s="58" t="str">
        <f aca="false">IF(BN761&lt;&gt;"",VLOOKUP(BN761,Selects!$J$4:$K$1000,2,0),"")</f>
        <v/>
      </c>
      <c r="BP761" s="76"/>
      <c r="BQ761" s="59"/>
      <c r="BR761" s="77"/>
      <c r="BS761" s="59"/>
      <c r="BT761" s="77"/>
      <c r="BU761" s="58"/>
      <c r="BV761" s="58"/>
      <c r="BW761" s="58"/>
      <c r="BX761" s="58"/>
      <c r="BY761" s="58"/>
      <c r="BZ761" s="58"/>
      <c r="CA761" s="58"/>
      <c r="CB761" s="72" t="str">
        <f aca="false">IF(AC761&lt;&gt;"",VLOOKUP(AC761,Selects!$B:$E,4,0),"")</f>
        <v/>
      </c>
      <c r="CC761" s="58"/>
      <c r="CD761" s="58"/>
      <c r="CE761" s="58"/>
    </row>
    <row r="762" customFormat="false" ht="15.75" hidden="false" customHeight="true" outlineLevel="0" collapsed="false">
      <c r="A762" s="17"/>
      <c r="B762" s="58"/>
      <c r="C762" s="58"/>
      <c r="D762" s="59"/>
      <c r="E762" s="60" t="str">
        <f aca="false">IF(LEN(D762)=11,"PF",IF(LEN(D762)=14,"PJ",""))</f>
        <v/>
      </c>
      <c r="F762" s="59"/>
      <c r="G762" s="59"/>
      <c r="H762" s="61" t="str">
        <f aca="false">IF(G762&lt;&gt;"",VLOOKUP(G762,'Cnae  mcc  id'!$A:$M,9,0),"")</f>
        <v/>
      </c>
      <c r="I762" s="62"/>
      <c r="J762" s="63" t="str">
        <f aca="false">IF(I762&lt;&gt;"",VLOOKUP(I762,'Legal Nature'!$E$2:$G$84,3,0),"")</f>
        <v/>
      </c>
      <c r="K762" s="64"/>
      <c r="L762" s="65"/>
      <c r="M762" s="66"/>
      <c r="N762" s="66"/>
      <c r="O762" s="79"/>
      <c r="P762" s="26"/>
      <c r="Q762" s="58"/>
      <c r="R762" s="58"/>
      <c r="S762" s="80"/>
      <c r="T762" s="68" t="str">
        <f aca="false">IF(LEFT(S762,1)="9","Celular",IF(S762="","","Fixo"))</f>
        <v/>
      </c>
      <c r="U762" s="58" t="str">
        <f aca="false">IF( T762&lt;&gt;"",VLOOKUP(T762,Selects!$M$4:$N$1000,2,0),"")</f>
        <v/>
      </c>
      <c r="V762" s="26"/>
      <c r="W762" s="58"/>
      <c r="X762" s="58"/>
      <c r="Y762" s="58"/>
      <c r="Z762" s="58"/>
      <c r="AA762" s="69"/>
      <c r="AB762" s="58"/>
      <c r="AC762" s="58"/>
      <c r="AD762" s="70" t="str">
        <f aca="false">IF(AC762&lt;&gt;"",VLOOKUP(AC762,Selects!$B$4:$C$100,2,0),"")</f>
        <v/>
      </c>
      <c r="AE762" s="26"/>
      <c r="AF762" s="58"/>
      <c r="AG762" s="59"/>
      <c r="AH762" s="65"/>
      <c r="AI762" s="66"/>
      <c r="AJ762" s="66"/>
      <c r="AK762" s="58"/>
      <c r="AL762" s="58"/>
      <c r="AM762" s="68" t="str">
        <f aca="false">IF(LEFT(AL762,1)="9","Celular",IF(AL762="","","Fixo"))</f>
        <v/>
      </c>
      <c r="AN762" s="58" t="str">
        <f aca="false">IF( AM762&lt;&gt;"",VLOOKUP(AM762,Selects!$M$4:$N$1000,2,0),"")</f>
        <v/>
      </c>
      <c r="AO762" s="58"/>
      <c r="AP762" s="59"/>
      <c r="AQ762" s="65"/>
      <c r="AR762" s="58"/>
      <c r="AS762" s="58"/>
      <c r="AT762" s="26"/>
      <c r="AU762" s="58"/>
      <c r="AV762" s="58"/>
      <c r="AW762" s="58"/>
      <c r="AX762" s="58"/>
      <c r="AY762" s="71"/>
      <c r="AZ762" s="58"/>
      <c r="BA762" s="58"/>
      <c r="BB762" s="72" t="str">
        <f aca="false">IF(BA762&lt;&gt;"",VLOOKUP(BA762,Selects!$B$4:$C$100,2,0),"")</f>
        <v/>
      </c>
      <c r="BC762" s="26"/>
      <c r="BD762" s="26"/>
      <c r="BE762" s="73"/>
      <c r="BF762" s="74"/>
      <c r="BG762" s="75" t="str">
        <f aca="false">IF(LEN(BF762)=11,"PF",IF(LEN(BF762)=14,"PJ",""))</f>
        <v/>
      </c>
      <c r="BH762" s="66"/>
      <c r="BI762" s="58" t="str">
        <f aca="false">IF(BH762&lt;&gt;"",VLOOKUP(BH762,Selects!$G:$H,2,0),"")</f>
        <v/>
      </c>
      <c r="BJ762" s="58"/>
      <c r="BK762" s="58"/>
      <c r="BL762" s="59"/>
      <c r="BM762" s="58"/>
      <c r="BN762" s="58"/>
      <c r="BO762" s="58" t="str">
        <f aca="false">IF(BN762&lt;&gt;"",VLOOKUP(BN762,Selects!$J$4:$K$1000,2,0),"")</f>
        <v/>
      </c>
      <c r="BP762" s="76"/>
      <c r="BQ762" s="59"/>
      <c r="BR762" s="77"/>
      <c r="BS762" s="59"/>
      <c r="BT762" s="77"/>
      <c r="BU762" s="58"/>
      <c r="BV762" s="58"/>
      <c r="BW762" s="58"/>
      <c r="BX762" s="58"/>
      <c r="BY762" s="58"/>
      <c r="BZ762" s="58"/>
      <c r="CA762" s="58"/>
      <c r="CB762" s="72" t="str">
        <f aca="false">IF(AC762&lt;&gt;"",VLOOKUP(AC762,Selects!$B:$E,4,0),"")</f>
        <v/>
      </c>
      <c r="CC762" s="58"/>
      <c r="CD762" s="58"/>
      <c r="CE762" s="58"/>
    </row>
    <row r="763" customFormat="false" ht="15.75" hidden="false" customHeight="true" outlineLevel="0" collapsed="false">
      <c r="A763" s="17"/>
      <c r="B763" s="58"/>
      <c r="C763" s="58"/>
      <c r="D763" s="59"/>
      <c r="E763" s="60" t="str">
        <f aca="false">IF(LEN(D763)=11,"PF",IF(LEN(D763)=14,"PJ",""))</f>
        <v/>
      </c>
      <c r="F763" s="59"/>
      <c r="G763" s="59"/>
      <c r="H763" s="61" t="str">
        <f aca="false">IF(G763&lt;&gt;"",VLOOKUP(G763,'Cnae  mcc  id'!$A:$M,9,0),"")</f>
        <v/>
      </c>
      <c r="I763" s="62"/>
      <c r="J763" s="63" t="str">
        <f aca="false">IF(I763&lt;&gt;"",VLOOKUP(I763,'Legal Nature'!$E$2:$G$84,3,0),"")</f>
        <v/>
      </c>
      <c r="K763" s="64"/>
      <c r="L763" s="65"/>
      <c r="M763" s="66"/>
      <c r="N763" s="66"/>
      <c r="O763" s="79"/>
      <c r="P763" s="26"/>
      <c r="Q763" s="58"/>
      <c r="R763" s="58"/>
      <c r="S763" s="80"/>
      <c r="T763" s="68" t="str">
        <f aca="false">IF(LEFT(S763,1)="9","Celular",IF(S763="","","Fixo"))</f>
        <v/>
      </c>
      <c r="U763" s="58" t="str">
        <f aca="false">IF( T763&lt;&gt;"",VLOOKUP(T763,Selects!$M$4:$N$1000,2,0),"")</f>
        <v/>
      </c>
      <c r="V763" s="26"/>
      <c r="W763" s="58"/>
      <c r="X763" s="58"/>
      <c r="Y763" s="58"/>
      <c r="Z763" s="58"/>
      <c r="AA763" s="69"/>
      <c r="AB763" s="58"/>
      <c r="AC763" s="58"/>
      <c r="AD763" s="70" t="str">
        <f aca="false">IF(AC763&lt;&gt;"",VLOOKUP(AC763,Selects!$B$4:$C$100,2,0),"")</f>
        <v/>
      </c>
      <c r="AE763" s="26"/>
      <c r="AF763" s="58"/>
      <c r="AG763" s="59"/>
      <c r="AH763" s="65"/>
      <c r="AI763" s="66"/>
      <c r="AJ763" s="66"/>
      <c r="AK763" s="58"/>
      <c r="AL763" s="58"/>
      <c r="AM763" s="68" t="str">
        <f aca="false">IF(LEFT(AL763,1)="9","Celular",IF(AL763="","","Fixo"))</f>
        <v/>
      </c>
      <c r="AN763" s="58" t="str">
        <f aca="false">IF( AM763&lt;&gt;"",VLOOKUP(AM763,Selects!$M$4:$N$1000,2,0),"")</f>
        <v/>
      </c>
      <c r="AO763" s="58"/>
      <c r="AP763" s="59"/>
      <c r="AQ763" s="65"/>
      <c r="AR763" s="58"/>
      <c r="AS763" s="58"/>
      <c r="AT763" s="26"/>
      <c r="AU763" s="58"/>
      <c r="AV763" s="58"/>
      <c r="AW763" s="58"/>
      <c r="AX763" s="58"/>
      <c r="AY763" s="71"/>
      <c r="AZ763" s="58"/>
      <c r="BA763" s="58"/>
      <c r="BB763" s="72" t="str">
        <f aca="false">IF(BA763&lt;&gt;"",VLOOKUP(BA763,Selects!$B$4:$C$100,2,0),"")</f>
        <v/>
      </c>
      <c r="BC763" s="26"/>
      <c r="BD763" s="26"/>
      <c r="BE763" s="73"/>
      <c r="BF763" s="74"/>
      <c r="BG763" s="75" t="str">
        <f aca="false">IF(LEN(BF763)=11,"PF",IF(LEN(BF763)=14,"PJ",""))</f>
        <v/>
      </c>
      <c r="BH763" s="66"/>
      <c r="BI763" s="58" t="str">
        <f aca="false">IF(BH763&lt;&gt;"",VLOOKUP(BH763,Selects!$G:$H,2,0),"")</f>
        <v/>
      </c>
      <c r="BJ763" s="58"/>
      <c r="BK763" s="58"/>
      <c r="BL763" s="59"/>
      <c r="BM763" s="58"/>
      <c r="BN763" s="58"/>
      <c r="BO763" s="58" t="str">
        <f aca="false">IF(BN763&lt;&gt;"",VLOOKUP(BN763,Selects!$J$4:$K$1000,2,0),"")</f>
        <v/>
      </c>
      <c r="BP763" s="76"/>
      <c r="BQ763" s="59"/>
      <c r="BR763" s="77"/>
      <c r="BS763" s="59"/>
      <c r="BT763" s="77"/>
      <c r="BU763" s="58"/>
      <c r="BV763" s="58"/>
      <c r="BW763" s="58"/>
      <c r="BX763" s="58"/>
      <c r="BY763" s="58"/>
      <c r="BZ763" s="58"/>
      <c r="CA763" s="58"/>
      <c r="CB763" s="72" t="str">
        <f aca="false">IF(AC763&lt;&gt;"",VLOOKUP(AC763,Selects!$B:$E,4,0),"")</f>
        <v/>
      </c>
      <c r="CC763" s="58"/>
      <c r="CD763" s="58"/>
      <c r="CE763" s="58"/>
    </row>
    <row r="764" customFormat="false" ht="15.75" hidden="false" customHeight="true" outlineLevel="0" collapsed="false">
      <c r="A764" s="17"/>
      <c r="B764" s="58"/>
      <c r="C764" s="58"/>
      <c r="D764" s="59"/>
      <c r="E764" s="60" t="str">
        <f aca="false">IF(LEN(D764)=11,"PF",IF(LEN(D764)=14,"PJ",""))</f>
        <v/>
      </c>
      <c r="F764" s="59"/>
      <c r="G764" s="59"/>
      <c r="H764" s="61" t="str">
        <f aca="false">IF(G764&lt;&gt;"",VLOOKUP(G764,'Cnae  mcc  id'!$A:$M,9,0),"")</f>
        <v/>
      </c>
      <c r="I764" s="62"/>
      <c r="J764" s="63" t="str">
        <f aca="false">IF(I764&lt;&gt;"",VLOOKUP(I764,'Legal Nature'!$E$2:$G$84,3,0),"")</f>
        <v/>
      </c>
      <c r="K764" s="64"/>
      <c r="L764" s="65"/>
      <c r="M764" s="66"/>
      <c r="N764" s="66"/>
      <c r="O764" s="79"/>
      <c r="P764" s="26"/>
      <c r="Q764" s="58"/>
      <c r="R764" s="58"/>
      <c r="S764" s="80"/>
      <c r="T764" s="68" t="str">
        <f aca="false">IF(LEFT(S764,1)="9","Celular",IF(S764="","","Fixo"))</f>
        <v/>
      </c>
      <c r="U764" s="58" t="str">
        <f aca="false">IF( T764&lt;&gt;"",VLOOKUP(T764,Selects!$M$4:$N$1000,2,0),"")</f>
        <v/>
      </c>
      <c r="V764" s="26"/>
      <c r="W764" s="58"/>
      <c r="X764" s="58"/>
      <c r="Y764" s="58"/>
      <c r="Z764" s="58"/>
      <c r="AA764" s="69"/>
      <c r="AB764" s="58"/>
      <c r="AC764" s="58"/>
      <c r="AD764" s="70" t="str">
        <f aca="false">IF(AC764&lt;&gt;"",VLOOKUP(AC764,Selects!$B$4:$C$100,2,0),"")</f>
        <v/>
      </c>
      <c r="AE764" s="26"/>
      <c r="AF764" s="58"/>
      <c r="AG764" s="59"/>
      <c r="AH764" s="65"/>
      <c r="AI764" s="66"/>
      <c r="AJ764" s="66"/>
      <c r="AK764" s="58"/>
      <c r="AL764" s="58"/>
      <c r="AM764" s="68" t="str">
        <f aca="false">IF(LEFT(AL764,1)="9","Celular",IF(AL764="","","Fixo"))</f>
        <v/>
      </c>
      <c r="AN764" s="58" t="str">
        <f aca="false">IF( AM764&lt;&gt;"",VLOOKUP(AM764,Selects!$M$4:$N$1000,2,0),"")</f>
        <v/>
      </c>
      <c r="AO764" s="58"/>
      <c r="AP764" s="59"/>
      <c r="AQ764" s="65"/>
      <c r="AR764" s="58"/>
      <c r="AS764" s="58"/>
      <c r="AT764" s="26"/>
      <c r="AU764" s="58"/>
      <c r="AV764" s="58"/>
      <c r="AW764" s="58"/>
      <c r="AX764" s="58"/>
      <c r="AY764" s="71"/>
      <c r="AZ764" s="58"/>
      <c r="BA764" s="58"/>
      <c r="BB764" s="72" t="str">
        <f aca="false">IF(BA764&lt;&gt;"",VLOOKUP(BA764,Selects!$B$4:$C$100,2,0),"")</f>
        <v/>
      </c>
      <c r="BC764" s="26"/>
      <c r="BD764" s="26"/>
      <c r="BE764" s="73"/>
      <c r="BF764" s="74"/>
      <c r="BG764" s="75" t="str">
        <f aca="false">IF(LEN(BF764)=11,"PF",IF(LEN(BF764)=14,"PJ",""))</f>
        <v/>
      </c>
      <c r="BH764" s="66"/>
      <c r="BI764" s="58" t="str">
        <f aca="false">IF(BH764&lt;&gt;"",VLOOKUP(BH764,Selects!$G:$H,2,0),"")</f>
        <v/>
      </c>
      <c r="BJ764" s="58"/>
      <c r="BK764" s="58"/>
      <c r="BL764" s="59"/>
      <c r="BM764" s="58"/>
      <c r="BN764" s="58"/>
      <c r="BO764" s="58" t="str">
        <f aca="false">IF(BN764&lt;&gt;"",VLOOKUP(BN764,Selects!$J$4:$K$1000,2,0),"")</f>
        <v/>
      </c>
      <c r="BP764" s="76"/>
      <c r="BQ764" s="59"/>
      <c r="BR764" s="77"/>
      <c r="BS764" s="59"/>
      <c r="BT764" s="77"/>
      <c r="BU764" s="58"/>
      <c r="BV764" s="58"/>
      <c r="BW764" s="58"/>
      <c r="BX764" s="58"/>
      <c r="BY764" s="58"/>
      <c r="BZ764" s="58"/>
      <c r="CA764" s="58"/>
      <c r="CB764" s="72" t="str">
        <f aca="false">IF(AC764&lt;&gt;"",VLOOKUP(AC764,Selects!$B:$E,4,0),"")</f>
        <v/>
      </c>
      <c r="CC764" s="58"/>
      <c r="CD764" s="58"/>
      <c r="CE764" s="58"/>
    </row>
    <row r="765" customFormat="false" ht="15.75" hidden="false" customHeight="true" outlineLevel="0" collapsed="false">
      <c r="A765" s="17"/>
      <c r="B765" s="58"/>
      <c r="C765" s="58"/>
      <c r="D765" s="59"/>
      <c r="E765" s="60" t="str">
        <f aca="false">IF(LEN(D765)=11,"PF",IF(LEN(D765)=14,"PJ",""))</f>
        <v/>
      </c>
      <c r="F765" s="59"/>
      <c r="G765" s="59"/>
      <c r="H765" s="61" t="str">
        <f aca="false">IF(G765&lt;&gt;"",VLOOKUP(G765,'Cnae  mcc  id'!$A:$M,9,0),"")</f>
        <v/>
      </c>
      <c r="I765" s="62"/>
      <c r="J765" s="63" t="str">
        <f aca="false">IF(I765&lt;&gt;"",VLOOKUP(I765,'Legal Nature'!$E$2:$G$84,3,0),"")</f>
        <v/>
      </c>
      <c r="K765" s="64"/>
      <c r="L765" s="65"/>
      <c r="M765" s="66"/>
      <c r="N765" s="66"/>
      <c r="O765" s="79"/>
      <c r="P765" s="26"/>
      <c r="Q765" s="58"/>
      <c r="R765" s="58"/>
      <c r="S765" s="80"/>
      <c r="T765" s="68" t="str">
        <f aca="false">IF(LEFT(S765,1)="9","Celular",IF(S765="","","Fixo"))</f>
        <v/>
      </c>
      <c r="U765" s="58" t="str">
        <f aca="false">IF( T765&lt;&gt;"",VLOOKUP(T765,Selects!$M$4:$N$1000,2,0),"")</f>
        <v/>
      </c>
      <c r="V765" s="26"/>
      <c r="W765" s="58"/>
      <c r="X765" s="58"/>
      <c r="Y765" s="58"/>
      <c r="Z765" s="58"/>
      <c r="AA765" s="69"/>
      <c r="AB765" s="58"/>
      <c r="AC765" s="58"/>
      <c r="AD765" s="70" t="str">
        <f aca="false">IF(AC765&lt;&gt;"",VLOOKUP(AC765,Selects!$B$4:$C$100,2,0),"")</f>
        <v/>
      </c>
      <c r="AE765" s="26"/>
      <c r="AF765" s="58"/>
      <c r="AG765" s="59"/>
      <c r="AH765" s="65"/>
      <c r="AI765" s="66"/>
      <c r="AJ765" s="66"/>
      <c r="AK765" s="58"/>
      <c r="AL765" s="58"/>
      <c r="AM765" s="68" t="str">
        <f aca="false">IF(LEFT(AL765,1)="9","Celular",IF(AL765="","","Fixo"))</f>
        <v/>
      </c>
      <c r="AN765" s="58" t="str">
        <f aca="false">IF( AM765&lt;&gt;"",VLOOKUP(AM765,Selects!$M$4:$N$1000,2,0),"")</f>
        <v/>
      </c>
      <c r="AO765" s="58"/>
      <c r="AP765" s="59"/>
      <c r="AQ765" s="65"/>
      <c r="AR765" s="58"/>
      <c r="AS765" s="58"/>
      <c r="AT765" s="26"/>
      <c r="AU765" s="58"/>
      <c r="AV765" s="58"/>
      <c r="AW765" s="58"/>
      <c r="AX765" s="58"/>
      <c r="AY765" s="71"/>
      <c r="AZ765" s="58"/>
      <c r="BA765" s="58"/>
      <c r="BB765" s="72" t="str">
        <f aca="false">IF(BA765&lt;&gt;"",VLOOKUP(BA765,Selects!$B$4:$C$100,2,0),"")</f>
        <v/>
      </c>
      <c r="BC765" s="26"/>
      <c r="BD765" s="26"/>
      <c r="BE765" s="73"/>
      <c r="BF765" s="74"/>
      <c r="BG765" s="75" t="str">
        <f aca="false">IF(LEN(BF765)=11,"PF",IF(LEN(BF765)=14,"PJ",""))</f>
        <v/>
      </c>
      <c r="BH765" s="66"/>
      <c r="BI765" s="58" t="str">
        <f aca="false">IF(BH765&lt;&gt;"",VLOOKUP(BH765,Selects!$G:$H,2,0),"")</f>
        <v/>
      </c>
      <c r="BJ765" s="58"/>
      <c r="BK765" s="58"/>
      <c r="BL765" s="59"/>
      <c r="BM765" s="58"/>
      <c r="BN765" s="58"/>
      <c r="BO765" s="58" t="str">
        <f aca="false">IF(BN765&lt;&gt;"",VLOOKUP(BN765,Selects!$J$4:$K$1000,2,0),"")</f>
        <v/>
      </c>
      <c r="BP765" s="76"/>
      <c r="BQ765" s="59"/>
      <c r="BR765" s="77"/>
      <c r="BS765" s="59"/>
      <c r="BT765" s="77"/>
      <c r="BU765" s="58"/>
      <c r="BV765" s="58"/>
      <c r="BW765" s="58"/>
      <c r="BX765" s="58"/>
      <c r="BY765" s="58"/>
      <c r="BZ765" s="58"/>
      <c r="CA765" s="58"/>
      <c r="CB765" s="72" t="str">
        <f aca="false">IF(AC765&lt;&gt;"",VLOOKUP(AC765,Selects!$B:$E,4,0),"")</f>
        <v/>
      </c>
      <c r="CC765" s="58"/>
      <c r="CD765" s="58"/>
      <c r="CE765" s="58"/>
    </row>
    <row r="766" customFormat="false" ht="15.75" hidden="false" customHeight="true" outlineLevel="0" collapsed="false">
      <c r="A766" s="17"/>
      <c r="B766" s="58"/>
      <c r="C766" s="58"/>
      <c r="D766" s="59"/>
      <c r="E766" s="60" t="str">
        <f aca="false">IF(LEN(D766)=11,"PF",IF(LEN(D766)=14,"PJ",""))</f>
        <v/>
      </c>
      <c r="F766" s="59"/>
      <c r="G766" s="59"/>
      <c r="H766" s="61" t="str">
        <f aca="false">IF(G766&lt;&gt;"",VLOOKUP(G766,'Cnae  mcc  id'!$A:$M,9,0),"")</f>
        <v/>
      </c>
      <c r="I766" s="62"/>
      <c r="J766" s="63" t="str">
        <f aca="false">IF(I766&lt;&gt;"",VLOOKUP(I766,'Legal Nature'!$E$2:$G$84,3,0),"")</f>
        <v/>
      </c>
      <c r="K766" s="64"/>
      <c r="L766" s="65"/>
      <c r="M766" s="66"/>
      <c r="N766" s="66"/>
      <c r="O766" s="79"/>
      <c r="P766" s="26"/>
      <c r="Q766" s="58"/>
      <c r="R766" s="58"/>
      <c r="S766" s="80"/>
      <c r="T766" s="68" t="str">
        <f aca="false">IF(LEFT(S766,1)="9","Celular",IF(S766="","","Fixo"))</f>
        <v/>
      </c>
      <c r="U766" s="58" t="str">
        <f aca="false">IF( T766&lt;&gt;"",VLOOKUP(T766,Selects!$M$4:$N$1000,2,0),"")</f>
        <v/>
      </c>
      <c r="V766" s="26"/>
      <c r="W766" s="58"/>
      <c r="X766" s="58"/>
      <c r="Y766" s="58"/>
      <c r="Z766" s="58"/>
      <c r="AA766" s="69"/>
      <c r="AB766" s="58"/>
      <c r="AC766" s="58"/>
      <c r="AD766" s="70" t="str">
        <f aca="false">IF(AC766&lt;&gt;"",VLOOKUP(AC766,Selects!$B$4:$C$100,2,0),"")</f>
        <v/>
      </c>
      <c r="AE766" s="26"/>
      <c r="AF766" s="58"/>
      <c r="AG766" s="59"/>
      <c r="AH766" s="65"/>
      <c r="AI766" s="66"/>
      <c r="AJ766" s="66"/>
      <c r="AK766" s="58"/>
      <c r="AL766" s="58"/>
      <c r="AM766" s="68" t="str">
        <f aca="false">IF(LEFT(AL766,1)="9","Celular",IF(AL766="","","Fixo"))</f>
        <v/>
      </c>
      <c r="AN766" s="58" t="str">
        <f aca="false">IF( AM766&lt;&gt;"",VLOOKUP(AM766,Selects!$M$4:$N$1000,2,0),"")</f>
        <v/>
      </c>
      <c r="AO766" s="58"/>
      <c r="AP766" s="59"/>
      <c r="AQ766" s="65"/>
      <c r="AR766" s="58"/>
      <c r="AS766" s="58"/>
      <c r="AT766" s="26"/>
      <c r="AU766" s="58"/>
      <c r="AV766" s="58"/>
      <c r="AW766" s="58"/>
      <c r="AX766" s="58"/>
      <c r="AY766" s="71"/>
      <c r="AZ766" s="58"/>
      <c r="BA766" s="58"/>
      <c r="BB766" s="72" t="str">
        <f aca="false">IF(BA766&lt;&gt;"",VLOOKUP(BA766,Selects!$B$4:$C$100,2,0),"")</f>
        <v/>
      </c>
      <c r="BC766" s="26"/>
      <c r="BD766" s="26"/>
      <c r="BE766" s="73"/>
      <c r="BF766" s="74"/>
      <c r="BG766" s="75" t="str">
        <f aca="false">IF(LEN(BF766)=11,"PF",IF(LEN(BF766)=14,"PJ",""))</f>
        <v/>
      </c>
      <c r="BH766" s="66"/>
      <c r="BI766" s="58" t="str">
        <f aca="false">IF(BH766&lt;&gt;"",VLOOKUP(BH766,Selects!$G:$H,2,0),"")</f>
        <v/>
      </c>
      <c r="BJ766" s="58"/>
      <c r="BK766" s="58"/>
      <c r="BL766" s="59"/>
      <c r="BM766" s="58"/>
      <c r="BN766" s="58"/>
      <c r="BO766" s="58" t="str">
        <f aca="false">IF(BN766&lt;&gt;"",VLOOKUP(BN766,Selects!$J$4:$K$1000,2,0),"")</f>
        <v/>
      </c>
      <c r="BP766" s="76"/>
      <c r="BQ766" s="59"/>
      <c r="BR766" s="77"/>
      <c r="BS766" s="59"/>
      <c r="BT766" s="77"/>
      <c r="BU766" s="58"/>
      <c r="BV766" s="58"/>
      <c r="BW766" s="58"/>
      <c r="BX766" s="58"/>
      <c r="BY766" s="58"/>
      <c r="BZ766" s="58"/>
      <c r="CA766" s="58"/>
      <c r="CB766" s="72" t="str">
        <f aca="false">IF(AC766&lt;&gt;"",VLOOKUP(AC766,Selects!$B:$E,4,0),"")</f>
        <v/>
      </c>
      <c r="CC766" s="58"/>
      <c r="CD766" s="58"/>
      <c r="CE766" s="58"/>
    </row>
    <row r="767" customFormat="false" ht="15.75" hidden="false" customHeight="true" outlineLevel="0" collapsed="false">
      <c r="A767" s="17"/>
      <c r="B767" s="58"/>
      <c r="C767" s="58"/>
      <c r="D767" s="59"/>
      <c r="E767" s="60" t="str">
        <f aca="false">IF(LEN(D767)=11,"PF",IF(LEN(D767)=14,"PJ",""))</f>
        <v/>
      </c>
      <c r="F767" s="59"/>
      <c r="G767" s="59"/>
      <c r="H767" s="61" t="str">
        <f aca="false">IF(G767&lt;&gt;"",VLOOKUP(G767,'Cnae  mcc  id'!$A:$M,9,0),"")</f>
        <v/>
      </c>
      <c r="I767" s="62"/>
      <c r="J767" s="63" t="str">
        <f aca="false">IF(I767&lt;&gt;"",VLOOKUP(I767,'Legal Nature'!$E$2:$G$84,3,0),"")</f>
        <v/>
      </c>
      <c r="K767" s="64"/>
      <c r="L767" s="65"/>
      <c r="M767" s="66"/>
      <c r="N767" s="66"/>
      <c r="O767" s="79"/>
      <c r="P767" s="26"/>
      <c r="Q767" s="58"/>
      <c r="R767" s="58"/>
      <c r="S767" s="80"/>
      <c r="T767" s="68" t="str">
        <f aca="false">IF(LEFT(S767,1)="9","Celular",IF(S767="","","Fixo"))</f>
        <v/>
      </c>
      <c r="U767" s="58" t="str">
        <f aca="false">IF( T767&lt;&gt;"",VLOOKUP(T767,Selects!$M$4:$N$1000,2,0),"")</f>
        <v/>
      </c>
      <c r="V767" s="26"/>
      <c r="W767" s="58"/>
      <c r="X767" s="58"/>
      <c r="Y767" s="58"/>
      <c r="Z767" s="58"/>
      <c r="AA767" s="69"/>
      <c r="AB767" s="58"/>
      <c r="AC767" s="58"/>
      <c r="AD767" s="70" t="str">
        <f aca="false">IF(AC767&lt;&gt;"",VLOOKUP(AC767,Selects!$B$4:$C$100,2,0),"")</f>
        <v/>
      </c>
      <c r="AE767" s="26"/>
      <c r="AF767" s="58"/>
      <c r="AG767" s="59"/>
      <c r="AH767" s="65"/>
      <c r="AI767" s="66"/>
      <c r="AJ767" s="66"/>
      <c r="AK767" s="58"/>
      <c r="AL767" s="58"/>
      <c r="AM767" s="68" t="str">
        <f aca="false">IF(LEFT(AL767,1)="9","Celular",IF(AL767="","","Fixo"))</f>
        <v/>
      </c>
      <c r="AN767" s="58" t="str">
        <f aca="false">IF( AM767&lt;&gt;"",VLOOKUP(AM767,Selects!$M$4:$N$1000,2,0),"")</f>
        <v/>
      </c>
      <c r="AO767" s="58"/>
      <c r="AP767" s="59"/>
      <c r="AQ767" s="65"/>
      <c r="AR767" s="58"/>
      <c r="AS767" s="58"/>
      <c r="AT767" s="26"/>
      <c r="AU767" s="58"/>
      <c r="AV767" s="58"/>
      <c r="AW767" s="58"/>
      <c r="AX767" s="58"/>
      <c r="AY767" s="71"/>
      <c r="AZ767" s="58"/>
      <c r="BA767" s="58"/>
      <c r="BB767" s="72" t="str">
        <f aca="false">IF(BA767&lt;&gt;"",VLOOKUP(BA767,Selects!$B$4:$C$100,2,0),"")</f>
        <v/>
      </c>
      <c r="BC767" s="26"/>
      <c r="BD767" s="26"/>
      <c r="BE767" s="73"/>
      <c r="BF767" s="74"/>
      <c r="BG767" s="75" t="str">
        <f aca="false">IF(LEN(BF767)=11,"PF",IF(LEN(BF767)=14,"PJ",""))</f>
        <v/>
      </c>
      <c r="BH767" s="66"/>
      <c r="BI767" s="58" t="str">
        <f aca="false">IF(BH767&lt;&gt;"",VLOOKUP(BH767,Selects!$G:$H,2,0),"")</f>
        <v/>
      </c>
      <c r="BJ767" s="58"/>
      <c r="BK767" s="58"/>
      <c r="BL767" s="59"/>
      <c r="BM767" s="58"/>
      <c r="BN767" s="58"/>
      <c r="BO767" s="58" t="str">
        <f aca="false">IF(BN767&lt;&gt;"",VLOOKUP(BN767,Selects!$J$4:$K$1000,2,0),"")</f>
        <v/>
      </c>
      <c r="BP767" s="76"/>
      <c r="BQ767" s="59"/>
      <c r="BR767" s="77"/>
      <c r="BS767" s="59"/>
      <c r="BT767" s="77"/>
      <c r="BU767" s="58"/>
      <c r="BV767" s="58"/>
      <c r="BW767" s="58"/>
      <c r="BX767" s="58"/>
      <c r="BY767" s="58"/>
      <c r="BZ767" s="58"/>
      <c r="CA767" s="58"/>
      <c r="CB767" s="72" t="str">
        <f aca="false">IF(AC767&lt;&gt;"",VLOOKUP(AC767,Selects!$B:$E,4,0),"")</f>
        <v/>
      </c>
      <c r="CC767" s="58"/>
      <c r="CD767" s="58"/>
      <c r="CE767" s="58"/>
    </row>
    <row r="768" customFormat="false" ht="15.75" hidden="false" customHeight="true" outlineLevel="0" collapsed="false">
      <c r="A768" s="17"/>
      <c r="B768" s="58"/>
      <c r="C768" s="58"/>
      <c r="D768" s="59"/>
      <c r="E768" s="60" t="str">
        <f aca="false">IF(LEN(D768)=11,"PF",IF(LEN(D768)=14,"PJ",""))</f>
        <v/>
      </c>
      <c r="F768" s="59"/>
      <c r="G768" s="59"/>
      <c r="H768" s="61" t="str">
        <f aca="false">IF(G768&lt;&gt;"",VLOOKUP(G768,'Cnae  mcc  id'!$A:$M,9,0),"")</f>
        <v/>
      </c>
      <c r="I768" s="62"/>
      <c r="J768" s="63" t="str">
        <f aca="false">IF(I768&lt;&gt;"",VLOOKUP(I768,'Legal Nature'!$E$2:$G$84,3,0),"")</f>
        <v/>
      </c>
      <c r="K768" s="64"/>
      <c r="L768" s="65"/>
      <c r="M768" s="66"/>
      <c r="N768" s="66"/>
      <c r="O768" s="79"/>
      <c r="P768" s="26"/>
      <c r="Q768" s="58"/>
      <c r="R768" s="58"/>
      <c r="S768" s="80"/>
      <c r="T768" s="68" t="str">
        <f aca="false">IF(LEFT(S768,1)="9","Celular",IF(S768="","","Fixo"))</f>
        <v/>
      </c>
      <c r="U768" s="58" t="str">
        <f aca="false">IF( T768&lt;&gt;"",VLOOKUP(T768,Selects!$M$4:$N$1000,2,0),"")</f>
        <v/>
      </c>
      <c r="V768" s="26"/>
      <c r="W768" s="58"/>
      <c r="X768" s="58"/>
      <c r="Y768" s="58"/>
      <c r="Z768" s="58"/>
      <c r="AA768" s="69"/>
      <c r="AB768" s="58"/>
      <c r="AC768" s="58"/>
      <c r="AD768" s="70" t="str">
        <f aca="false">IF(AC768&lt;&gt;"",VLOOKUP(AC768,Selects!$B$4:$C$100,2,0),"")</f>
        <v/>
      </c>
      <c r="AE768" s="26"/>
      <c r="AF768" s="58"/>
      <c r="AG768" s="59"/>
      <c r="AH768" s="65"/>
      <c r="AI768" s="66"/>
      <c r="AJ768" s="66"/>
      <c r="AK768" s="58"/>
      <c r="AL768" s="58"/>
      <c r="AM768" s="68" t="str">
        <f aca="false">IF(LEFT(AL768,1)="9","Celular",IF(AL768="","","Fixo"))</f>
        <v/>
      </c>
      <c r="AN768" s="58" t="str">
        <f aca="false">IF( AM768&lt;&gt;"",VLOOKUP(AM768,Selects!$M$4:$N$1000,2,0),"")</f>
        <v/>
      </c>
      <c r="AO768" s="58"/>
      <c r="AP768" s="59"/>
      <c r="AQ768" s="65"/>
      <c r="AR768" s="58"/>
      <c r="AS768" s="58"/>
      <c r="AT768" s="26"/>
      <c r="AU768" s="58"/>
      <c r="AV768" s="58"/>
      <c r="AW768" s="58"/>
      <c r="AX768" s="58"/>
      <c r="AY768" s="71"/>
      <c r="AZ768" s="58"/>
      <c r="BA768" s="58"/>
      <c r="BB768" s="72" t="str">
        <f aca="false">IF(BA768&lt;&gt;"",VLOOKUP(BA768,Selects!$B$4:$C$100,2,0),"")</f>
        <v/>
      </c>
      <c r="BC768" s="26"/>
      <c r="BD768" s="26"/>
      <c r="BE768" s="73"/>
      <c r="BF768" s="74"/>
      <c r="BG768" s="75" t="str">
        <f aca="false">IF(LEN(BF768)=11,"PF",IF(LEN(BF768)=14,"PJ",""))</f>
        <v/>
      </c>
      <c r="BH768" s="66"/>
      <c r="BI768" s="58" t="str">
        <f aca="false">IF(BH768&lt;&gt;"",VLOOKUP(BH768,Selects!$G:$H,2,0),"")</f>
        <v/>
      </c>
      <c r="BJ768" s="58"/>
      <c r="BK768" s="58"/>
      <c r="BL768" s="59"/>
      <c r="BM768" s="58"/>
      <c r="BN768" s="58"/>
      <c r="BO768" s="58" t="str">
        <f aca="false">IF(BN768&lt;&gt;"",VLOOKUP(BN768,Selects!$J$4:$K$1000,2,0),"")</f>
        <v/>
      </c>
      <c r="BP768" s="76"/>
      <c r="BQ768" s="59"/>
      <c r="BR768" s="77"/>
      <c r="BS768" s="59"/>
      <c r="BT768" s="77"/>
      <c r="BU768" s="58"/>
      <c r="BV768" s="58"/>
      <c r="BW768" s="58"/>
      <c r="BX768" s="58"/>
      <c r="BY768" s="58"/>
      <c r="BZ768" s="58"/>
      <c r="CA768" s="58"/>
      <c r="CB768" s="72" t="str">
        <f aca="false">IF(AC768&lt;&gt;"",VLOOKUP(AC768,Selects!$B:$E,4,0),"")</f>
        <v/>
      </c>
      <c r="CC768" s="58"/>
      <c r="CD768" s="58"/>
      <c r="CE768" s="58"/>
    </row>
    <row r="769" customFormat="false" ht="15.75" hidden="false" customHeight="true" outlineLevel="0" collapsed="false">
      <c r="A769" s="17"/>
      <c r="B769" s="58"/>
      <c r="C769" s="58"/>
      <c r="D769" s="59"/>
      <c r="E769" s="60" t="str">
        <f aca="false">IF(LEN(D769)=11,"PF",IF(LEN(D769)=14,"PJ",""))</f>
        <v/>
      </c>
      <c r="F769" s="59"/>
      <c r="G769" s="59"/>
      <c r="H769" s="61" t="str">
        <f aca="false">IF(G769&lt;&gt;"",VLOOKUP(G769,'Cnae  mcc  id'!$A:$M,9,0),"")</f>
        <v/>
      </c>
      <c r="I769" s="62"/>
      <c r="J769" s="63" t="str">
        <f aca="false">IF(I769&lt;&gt;"",VLOOKUP(I769,'Legal Nature'!$E$2:$G$84,3,0),"")</f>
        <v/>
      </c>
      <c r="K769" s="64"/>
      <c r="L769" s="65"/>
      <c r="M769" s="66"/>
      <c r="N769" s="66"/>
      <c r="O769" s="79"/>
      <c r="P769" s="26"/>
      <c r="Q769" s="58"/>
      <c r="R769" s="58"/>
      <c r="S769" s="80"/>
      <c r="T769" s="68" t="str">
        <f aca="false">IF(LEFT(S769,1)="9","Celular",IF(S769="","","Fixo"))</f>
        <v/>
      </c>
      <c r="U769" s="58" t="str">
        <f aca="false">IF( T769&lt;&gt;"",VLOOKUP(T769,Selects!$M$4:$N$1000,2,0),"")</f>
        <v/>
      </c>
      <c r="V769" s="26"/>
      <c r="W769" s="58"/>
      <c r="X769" s="58"/>
      <c r="Y769" s="58"/>
      <c r="Z769" s="58"/>
      <c r="AA769" s="69"/>
      <c r="AB769" s="58"/>
      <c r="AC769" s="58"/>
      <c r="AD769" s="70" t="str">
        <f aca="false">IF(AC769&lt;&gt;"",VLOOKUP(AC769,Selects!$B$4:$C$100,2,0),"")</f>
        <v/>
      </c>
      <c r="AE769" s="26"/>
      <c r="AF769" s="58"/>
      <c r="AG769" s="59"/>
      <c r="AH769" s="65"/>
      <c r="AI769" s="66"/>
      <c r="AJ769" s="66"/>
      <c r="AK769" s="58"/>
      <c r="AL769" s="58"/>
      <c r="AM769" s="68" t="str">
        <f aca="false">IF(LEFT(AL769,1)="9","Celular",IF(AL769="","","Fixo"))</f>
        <v/>
      </c>
      <c r="AN769" s="58" t="str">
        <f aca="false">IF( AM769&lt;&gt;"",VLOOKUP(AM769,Selects!$M$4:$N$1000,2,0),"")</f>
        <v/>
      </c>
      <c r="AO769" s="58"/>
      <c r="AP769" s="59"/>
      <c r="AQ769" s="65"/>
      <c r="AR769" s="58"/>
      <c r="AS769" s="58"/>
      <c r="AT769" s="26"/>
      <c r="AU769" s="58"/>
      <c r="AV769" s="58"/>
      <c r="AW769" s="58"/>
      <c r="AX769" s="58"/>
      <c r="AY769" s="71"/>
      <c r="AZ769" s="58"/>
      <c r="BA769" s="58"/>
      <c r="BB769" s="72" t="str">
        <f aca="false">IF(BA769&lt;&gt;"",VLOOKUP(BA769,Selects!$B$4:$C$100,2,0),"")</f>
        <v/>
      </c>
      <c r="BC769" s="26"/>
      <c r="BD769" s="26"/>
      <c r="BE769" s="73"/>
      <c r="BF769" s="74"/>
      <c r="BG769" s="75" t="str">
        <f aca="false">IF(LEN(BF769)=11,"PF",IF(LEN(BF769)=14,"PJ",""))</f>
        <v/>
      </c>
      <c r="BH769" s="66"/>
      <c r="BI769" s="58" t="str">
        <f aca="false">IF(BH769&lt;&gt;"",VLOOKUP(BH769,Selects!$G:$H,2,0),"")</f>
        <v/>
      </c>
      <c r="BJ769" s="58"/>
      <c r="BK769" s="58"/>
      <c r="BL769" s="59"/>
      <c r="BM769" s="58"/>
      <c r="BN769" s="58"/>
      <c r="BO769" s="58" t="str">
        <f aca="false">IF(BN769&lt;&gt;"",VLOOKUP(BN769,Selects!$J$4:$K$1000,2,0),"")</f>
        <v/>
      </c>
      <c r="BP769" s="76"/>
      <c r="BQ769" s="59"/>
      <c r="BR769" s="77"/>
      <c r="BS769" s="59"/>
      <c r="BT769" s="77"/>
      <c r="BU769" s="58"/>
      <c r="BV769" s="58"/>
      <c r="BW769" s="58"/>
      <c r="BX769" s="58"/>
      <c r="BY769" s="58"/>
      <c r="BZ769" s="58"/>
      <c r="CA769" s="58"/>
      <c r="CB769" s="72" t="str">
        <f aca="false">IF(AC769&lt;&gt;"",VLOOKUP(AC769,Selects!$B:$E,4,0),"")</f>
        <v/>
      </c>
      <c r="CC769" s="58"/>
      <c r="CD769" s="58"/>
      <c r="CE769" s="58"/>
    </row>
    <row r="770" customFormat="false" ht="15.75" hidden="false" customHeight="true" outlineLevel="0" collapsed="false">
      <c r="A770" s="17"/>
      <c r="B770" s="58"/>
      <c r="C770" s="58"/>
      <c r="D770" s="59"/>
      <c r="E770" s="60" t="str">
        <f aca="false">IF(LEN(D770)=11,"PF",IF(LEN(D770)=14,"PJ",""))</f>
        <v/>
      </c>
      <c r="F770" s="59"/>
      <c r="G770" s="59"/>
      <c r="H770" s="61" t="str">
        <f aca="false">IF(G770&lt;&gt;"",VLOOKUP(G770,'Cnae  mcc  id'!$A:$M,9,0),"")</f>
        <v/>
      </c>
      <c r="I770" s="62"/>
      <c r="J770" s="63" t="str">
        <f aca="false">IF(I770&lt;&gt;"",VLOOKUP(I770,'Legal Nature'!$E$2:$G$84,3,0),"")</f>
        <v/>
      </c>
      <c r="K770" s="64"/>
      <c r="L770" s="65"/>
      <c r="M770" s="66"/>
      <c r="N770" s="66"/>
      <c r="O770" s="79"/>
      <c r="P770" s="26"/>
      <c r="Q770" s="58"/>
      <c r="R770" s="58"/>
      <c r="S770" s="80"/>
      <c r="T770" s="68" t="str">
        <f aca="false">IF(LEFT(S770,1)="9","Celular",IF(S770="","","Fixo"))</f>
        <v/>
      </c>
      <c r="U770" s="58" t="str">
        <f aca="false">IF( T770&lt;&gt;"",VLOOKUP(T770,Selects!$M$4:$N$1000,2,0),"")</f>
        <v/>
      </c>
      <c r="V770" s="26"/>
      <c r="W770" s="58"/>
      <c r="X770" s="58"/>
      <c r="Y770" s="58"/>
      <c r="Z770" s="58"/>
      <c r="AA770" s="69"/>
      <c r="AB770" s="58"/>
      <c r="AC770" s="58"/>
      <c r="AD770" s="70" t="str">
        <f aca="false">IF(AC770&lt;&gt;"",VLOOKUP(AC770,Selects!$B$4:$C$100,2,0),"")</f>
        <v/>
      </c>
      <c r="AE770" s="26"/>
      <c r="AF770" s="58"/>
      <c r="AG770" s="59"/>
      <c r="AH770" s="65"/>
      <c r="AI770" s="66"/>
      <c r="AJ770" s="66"/>
      <c r="AK770" s="58"/>
      <c r="AL770" s="58"/>
      <c r="AM770" s="68" t="str">
        <f aca="false">IF(LEFT(AL770,1)="9","Celular",IF(AL770="","","Fixo"))</f>
        <v/>
      </c>
      <c r="AN770" s="58" t="str">
        <f aca="false">IF( AM770&lt;&gt;"",VLOOKUP(AM770,Selects!$M$4:$N$1000,2,0),"")</f>
        <v/>
      </c>
      <c r="AO770" s="58"/>
      <c r="AP770" s="59"/>
      <c r="AQ770" s="65"/>
      <c r="AR770" s="58"/>
      <c r="AS770" s="58"/>
      <c r="AT770" s="26"/>
      <c r="AU770" s="58"/>
      <c r="AV770" s="58"/>
      <c r="AW770" s="58"/>
      <c r="AX770" s="58"/>
      <c r="AY770" s="71"/>
      <c r="AZ770" s="58"/>
      <c r="BA770" s="58"/>
      <c r="BB770" s="72" t="str">
        <f aca="false">IF(BA770&lt;&gt;"",VLOOKUP(BA770,Selects!$B$4:$C$100,2,0),"")</f>
        <v/>
      </c>
      <c r="BC770" s="26"/>
      <c r="BD770" s="26"/>
      <c r="BE770" s="73"/>
      <c r="BF770" s="74"/>
      <c r="BG770" s="75" t="str">
        <f aca="false">IF(LEN(BF770)=11,"PF",IF(LEN(BF770)=14,"PJ",""))</f>
        <v/>
      </c>
      <c r="BH770" s="66"/>
      <c r="BI770" s="58" t="str">
        <f aca="false">IF(BH770&lt;&gt;"",VLOOKUP(BH770,Selects!$G:$H,2,0),"")</f>
        <v/>
      </c>
      <c r="BJ770" s="58"/>
      <c r="BK770" s="58"/>
      <c r="BL770" s="59"/>
      <c r="BM770" s="58"/>
      <c r="BN770" s="58"/>
      <c r="BO770" s="58" t="str">
        <f aca="false">IF(BN770&lt;&gt;"",VLOOKUP(BN770,Selects!$J$4:$K$1000,2,0),"")</f>
        <v/>
      </c>
      <c r="BP770" s="76"/>
      <c r="BQ770" s="59"/>
      <c r="BR770" s="77"/>
      <c r="BS770" s="59"/>
      <c r="BT770" s="77"/>
      <c r="BU770" s="58"/>
      <c r="BV770" s="58"/>
      <c r="BW770" s="58"/>
      <c r="BX770" s="58"/>
      <c r="BY770" s="58"/>
      <c r="BZ770" s="58"/>
      <c r="CA770" s="58"/>
      <c r="CB770" s="72" t="str">
        <f aca="false">IF(AC770&lt;&gt;"",VLOOKUP(AC770,Selects!$B:$E,4,0),"")</f>
        <v/>
      </c>
      <c r="CC770" s="58"/>
      <c r="CD770" s="58"/>
      <c r="CE770" s="58"/>
    </row>
    <row r="771" customFormat="false" ht="15.75" hidden="false" customHeight="true" outlineLevel="0" collapsed="false">
      <c r="A771" s="17"/>
      <c r="B771" s="58"/>
      <c r="C771" s="58"/>
      <c r="D771" s="59"/>
      <c r="E771" s="60" t="str">
        <f aca="false">IF(LEN(D771)=11,"PF",IF(LEN(D771)=14,"PJ",""))</f>
        <v/>
      </c>
      <c r="F771" s="59"/>
      <c r="G771" s="59"/>
      <c r="H771" s="61" t="str">
        <f aca="false">IF(G771&lt;&gt;"",VLOOKUP(G771,'Cnae  mcc  id'!$A:$M,9,0),"")</f>
        <v/>
      </c>
      <c r="I771" s="62"/>
      <c r="J771" s="63" t="str">
        <f aca="false">IF(I771&lt;&gt;"",VLOOKUP(I771,'Legal Nature'!$E$2:$G$84,3,0),"")</f>
        <v/>
      </c>
      <c r="K771" s="64"/>
      <c r="L771" s="65"/>
      <c r="M771" s="66"/>
      <c r="N771" s="66"/>
      <c r="O771" s="79"/>
      <c r="P771" s="26"/>
      <c r="Q771" s="58"/>
      <c r="R771" s="58"/>
      <c r="S771" s="80"/>
      <c r="T771" s="68" t="str">
        <f aca="false">IF(LEFT(S771,1)="9","Celular",IF(S771="","","Fixo"))</f>
        <v/>
      </c>
      <c r="U771" s="58" t="str">
        <f aca="false">IF( T771&lt;&gt;"",VLOOKUP(T771,Selects!$M$4:$N$1000,2,0),"")</f>
        <v/>
      </c>
      <c r="V771" s="26"/>
      <c r="W771" s="58"/>
      <c r="X771" s="58"/>
      <c r="Y771" s="58"/>
      <c r="Z771" s="58"/>
      <c r="AA771" s="69"/>
      <c r="AB771" s="58"/>
      <c r="AC771" s="58"/>
      <c r="AD771" s="70" t="str">
        <f aca="false">IF(AC771&lt;&gt;"",VLOOKUP(AC771,Selects!$B$4:$C$100,2,0),"")</f>
        <v/>
      </c>
      <c r="AE771" s="26"/>
      <c r="AF771" s="58"/>
      <c r="AG771" s="59"/>
      <c r="AH771" s="65"/>
      <c r="AI771" s="66"/>
      <c r="AJ771" s="66"/>
      <c r="AK771" s="58"/>
      <c r="AL771" s="58"/>
      <c r="AM771" s="68" t="str">
        <f aca="false">IF(LEFT(AL771,1)="9","Celular",IF(AL771="","","Fixo"))</f>
        <v/>
      </c>
      <c r="AN771" s="58" t="str">
        <f aca="false">IF( AM771&lt;&gt;"",VLOOKUP(AM771,Selects!$M$4:$N$1000,2,0),"")</f>
        <v/>
      </c>
      <c r="AO771" s="58"/>
      <c r="AP771" s="59"/>
      <c r="AQ771" s="65"/>
      <c r="AR771" s="58"/>
      <c r="AS771" s="58"/>
      <c r="AT771" s="26"/>
      <c r="AU771" s="58"/>
      <c r="AV771" s="58"/>
      <c r="AW771" s="58"/>
      <c r="AX771" s="58"/>
      <c r="AY771" s="71"/>
      <c r="AZ771" s="58"/>
      <c r="BA771" s="58"/>
      <c r="BB771" s="72" t="str">
        <f aca="false">IF(BA771&lt;&gt;"",VLOOKUP(BA771,Selects!$B$4:$C$100,2,0),"")</f>
        <v/>
      </c>
      <c r="BC771" s="26"/>
      <c r="BD771" s="26"/>
      <c r="BE771" s="73"/>
      <c r="BF771" s="74"/>
      <c r="BG771" s="75" t="str">
        <f aca="false">IF(LEN(BF771)=11,"PF",IF(LEN(BF771)=14,"PJ",""))</f>
        <v/>
      </c>
      <c r="BH771" s="66"/>
      <c r="BI771" s="58" t="str">
        <f aca="false">IF(BH771&lt;&gt;"",VLOOKUP(BH771,Selects!$G:$H,2,0),"")</f>
        <v/>
      </c>
      <c r="BJ771" s="58"/>
      <c r="BK771" s="58"/>
      <c r="BL771" s="59"/>
      <c r="BM771" s="58"/>
      <c r="BN771" s="58"/>
      <c r="BO771" s="58" t="str">
        <f aca="false">IF(BN771&lt;&gt;"",VLOOKUP(BN771,Selects!$J$4:$K$1000,2,0),"")</f>
        <v/>
      </c>
      <c r="BP771" s="76"/>
      <c r="BQ771" s="59"/>
      <c r="BR771" s="77"/>
      <c r="BS771" s="59"/>
      <c r="BT771" s="77"/>
      <c r="BU771" s="58"/>
      <c r="BV771" s="58"/>
      <c r="BW771" s="58"/>
      <c r="BX771" s="58"/>
      <c r="BY771" s="58"/>
      <c r="BZ771" s="58"/>
      <c r="CA771" s="58"/>
      <c r="CB771" s="72" t="str">
        <f aca="false">IF(AC771&lt;&gt;"",VLOOKUP(AC771,Selects!$B:$E,4,0),"")</f>
        <v/>
      </c>
      <c r="CC771" s="58"/>
      <c r="CD771" s="58"/>
      <c r="CE771" s="58"/>
    </row>
    <row r="772" customFormat="false" ht="15.75" hidden="false" customHeight="true" outlineLevel="0" collapsed="false">
      <c r="A772" s="17"/>
      <c r="B772" s="58"/>
      <c r="C772" s="58"/>
      <c r="D772" s="59"/>
      <c r="E772" s="60" t="str">
        <f aca="false">IF(LEN(D772)=11,"PF",IF(LEN(D772)=14,"PJ",""))</f>
        <v/>
      </c>
      <c r="F772" s="59"/>
      <c r="G772" s="59"/>
      <c r="H772" s="61" t="str">
        <f aca="false">IF(G772&lt;&gt;"",VLOOKUP(G772,'Cnae  mcc  id'!$A:$M,9,0),"")</f>
        <v/>
      </c>
      <c r="I772" s="62"/>
      <c r="J772" s="63" t="str">
        <f aca="false">IF(I772&lt;&gt;"",VLOOKUP(I772,'Legal Nature'!$E$2:$G$84,3,0),"")</f>
        <v/>
      </c>
      <c r="K772" s="64"/>
      <c r="L772" s="65"/>
      <c r="M772" s="66"/>
      <c r="N772" s="66"/>
      <c r="O772" s="79"/>
      <c r="P772" s="26"/>
      <c r="Q772" s="58"/>
      <c r="R772" s="58"/>
      <c r="S772" s="80"/>
      <c r="T772" s="68" t="str">
        <f aca="false">IF(LEFT(S772,1)="9","Celular",IF(S772="","","Fixo"))</f>
        <v/>
      </c>
      <c r="U772" s="58" t="str">
        <f aca="false">IF( T772&lt;&gt;"",VLOOKUP(T772,Selects!$M$4:$N$1000,2,0),"")</f>
        <v/>
      </c>
      <c r="V772" s="26"/>
      <c r="W772" s="58"/>
      <c r="X772" s="58"/>
      <c r="Y772" s="58"/>
      <c r="Z772" s="58"/>
      <c r="AA772" s="69"/>
      <c r="AB772" s="58"/>
      <c r="AC772" s="58"/>
      <c r="AD772" s="70" t="str">
        <f aca="false">IF(AC772&lt;&gt;"",VLOOKUP(AC772,Selects!$B$4:$C$100,2,0),"")</f>
        <v/>
      </c>
      <c r="AE772" s="26"/>
      <c r="AF772" s="58"/>
      <c r="AG772" s="59"/>
      <c r="AH772" s="65"/>
      <c r="AI772" s="66"/>
      <c r="AJ772" s="66"/>
      <c r="AK772" s="58"/>
      <c r="AL772" s="58"/>
      <c r="AM772" s="68" t="str">
        <f aca="false">IF(LEFT(AL772,1)="9","Celular",IF(AL772="","","Fixo"))</f>
        <v/>
      </c>
      <c r="AN772" s="58" t="str">
        <f aca="false">IF( AM772&lt;&gt;"",VLOOKUP(AM772,Selects!$M$4:$N$1000,2,0),"")</f>
        <v/>
      </c>
      <c r="AO772" s="58"/>
      <c r="AP772" s="59"/>
      <c r="AQ772" s="65"/>
      <c r="AR772" s="58"/>
      <c r="AS772" s="58"/>
      <c r="AT772" s="26"/>
      <c r="AU772" s="58"/>
      <c r="AV772" s="58"/>
      <c r="AW772" s="58"/>
      <c r="AX772" s="58"/>
      <c r="AY772" s="71"/>
      <c r="AZ772" s="58"/>
      <c r="BA772" s="58"/>
      <c r="BB772" s="72" t="str">
        <f aca="false">IF(BA772&lt;&gt;"",VLOOKUP(BA772,Selects!$B$4:$C$100,2,0),"")</f>
        <v/>
      </c>
      <c r="BC772" s="26"/>
      <c r="BD772" s="26"/>
      <c r="BE772" s="73"/>
      <c r="BF772" s="74"/>
      <c r="BG772" s="75" t="str">
        <f aca="false">IF(LEN(BF772)=11,"PF",IF(LEN(BF772)=14,"PJ",""))</f>
        <v/>
      </c>
      <c r="BH772" s="66"/>
      <c r="BI772" s="58" t="str">
        <f aca="false">IF(BH772&lt;&gt;"",VLOOKUP(BH772,Selects!$G:$H,2,0),"")</f>
        <v/>
      </c>
      <c r="BJ772" s="58"/>
      <c r="BK772" s="58"/>
      <c r="BL772" s="59"/>
      <c r="BM772" s="58"/>
      <c r="BN772" s="58"/>
      <c r="BO772" s="58" t="str">
        <f aca="false">IF(BN772&lt;&gt;"",VLOOKUP(BN772,Selects!$J$4:$K$1000,2,0),"")</f>
        <v/>
      </c>
      <c r="BP772" s="76"/>
      <c r="BQ772" s="59"/>
      <c r="BR772" s="77"/>
      <c r="BS772" s="59"/>
      <c r="BT772" s="77"/>
      <c r="BU772" s="58"/>
      <c r="BV772" s="58"/>
      <c r="BW772" s="58"/>
      <c r="BX772" s="58"/>
      <c r="BY772" s="58"/>
      <c r="BZ772" s="58"/>
      <c r="CA772" s="58"/>
      <c r="CB772" s="72" t="str">
        <f aca="false">IF(AC772&lt;&gt;"",VLOOKUP(AC772,Selects!$B:$E,4,0),"")</f>
        <v/>
      </c>
      <c r="CC772" s="58"/>
      <c r="CD772" s="58"/>
      <c r="CE772" s="58"/>
    </row>
    <row r="773" customFormat="false" ht="15.75" hidden="false" customHeight="true" outlineLevel="0" collapsed="false">
      <c r="A773" s="17"/>
      <c r="B773" s="58"/>
      <c r="C773" s="58"/>
      <c r="D773" s="59"/>
      <c r="E773" s="60" t="str">
        <f aca="false">IF(LEN(D773)=11,"PF",IF(LEN(D773)=14,"PJ",""))</f>
        <v/>
      </c>
      <c r="F773" s="59"/>
      <c r="G773" s="59"/>
      <c r="H773" s="61" t="str">
        <f aca="false">IF(G773&lt;&gt;"",VLOOKUP(G773,'Cnae  mcc  id'!$A:$M,9,0),"")</f>
        <v/>
      </c>
      <c r="I773" s="62"/>
      <c r="J773" s="63" t="str">
        <f aca="false">IF(I773&lt;&gt;"",VLOOKUP(I773,'Legal Nature'!$E$2:$G$84,3,0),"")</f>
        <v/>
      </c>
      <c r="K773" s="64"/>
      <c r="L773" s="65"/>
      <c r="M773" s="66"/>
      <c r="N773" s="66"/>
      <c r="O773" s="79"/>
      <c r="P773" s="26"/>
      <c r="Q773" s="58"/>
      <c r="R773" s="58"/>
      <c r="S773" s="80"/>
      <c r="T773" s="68" t="str">
        <f aca="false">IF(LEFT(S773,1)="9","Celular",IF(S773="","","Fixo"))</f>
        <v/>
      </c>
      <c r="U773" s="58" t="str">
        <f aca="false">IF( T773&lt;&gt;"",VLOOKUP(T773,Selects!$M$4:$N$1000,2,0),"")</f>
        <v/>
      </c>
      <c r="V773" s="26"/>
      <c r="W773" s="58"/>
      <c r="X773" s="58"/>
      <c r="Y773" s="58"/>
      <c r="Z773" s="58"/>
      <c r="AA773" s="69"/>
      <c r="AB773" s="58"/>
      <c r="AC773" s="58"/>
      <c r="AD773" s="70" t="str">
        <f aca="false">IF(AC773&lt;&gt;"",VLOOKUP(AC773,Selects!$B$4:$C$100,2,0),"")</f>
        <v/>
      </c>
      <c r="AE773" s="26"/>
      <c r="AF773" s="58"/>
      <c r="AG773" s="59"/>
      <c r="AH773" s="65"/>
      <c r="AI773" s="66"/>
      <c r="AJ773" s="66"/>
      <c r="AK773" s="58"/>
      <c r="AL773" s="58"/>
      <c r="AM773" s="68" t="str">
        <f aca="false">IF(LEFT(AL773,1)="9","Celular",IF(AL773="","","Fixo"))</f>
        <v/>
      </c>
      <c r="AN773" s="58" t="str">
        <f aca="false">IF( AM773&lt;&gt;"",VLOOKUP(AM773,Selects!$M$4:$N$1000,2,0),"")</f>
        <v/>
      </c>
      <c r="AO773" s="58"/>
      <c r="AP773" s="59"/>
      <c r="AQ773" s="65"/>
      <c r="AR773" s="58"/>
      <c r="AS773" s="58"/>
      <c r="AT773" s="26"/>
      <c r="AU773" s="58"/>
      <c r="AV773" s="58"/>
      <c r="AW773" s="58"/>
      <c r="AX773" s="58"/>
      <c r="AY773" s="71"/>
      <c r="AZ773" s="58"/>
      <c r="BA773" s="58"/>
      <c r="BB773" s="72" t="str">
        <f aca="false">IF(BA773&lt;&gt;"",VLOOKUP(BA773,Selects!$B$4:$C$100,2,0),"")</f>
        <v/>
      </c>
      <c r="BC773" s="26"/>
      <c r="BD773" s="26"/>
      <c r="BE773" s="73"/>
      <c r="BF773" s="74"/>
      <c r="BG773" s="75" t="str">
        <f aca="false">IF(LEN(BF773)=11,"PF",IF(LEN(BF773)=14,"PJ",""))</f>
        <v/>
      </c>
      <c r="BH773" s="66"/>
      <c r="BI773" s="58" t="str">
        <f aca="false">IF(BH773&lt;&gt;"",VLOOKUP(BH773,Selects!$G:$H,2,0),"")</f>
        <v/>
      </c>
      <c r="BJ773" s="58"/>
      <c r="BK773" s="58"/>
      <c r="BL773" s="59"/>
      <c r="BM773" s="58"/>
      <c r="BN773" s="58"/>
      <c r="BO773" s="58" t="str">
        <f aca="false">IF(BN773&lt;&gt;"",VLOOKUP(BN773,Selects!$J$4:$K$1000,2,0),"")</f>
        <v/>
      </c>
      <c r="BP773" s="76"/>
      <c r="BQ773" s="59"/>
      <c r="BR773" s="77"/>
      <c r="BS773" s="59"/>
      <c r="BT773" s="77"/>
      <c r="BU773" s="58"/>
      <c r="BV773" s="58"/>
      <c r="BW773" s="58"/>
      <c r="BX773" s="58"/>
      <c r="BY773" s="58"/>
      <c r="BZ773" s="58"/>
      <c r="CA773" s="58"/>
      <c r="CB773" s="72" t="str">
        <f aca="false">IF(AC773&lt;&gt;"",VLOOKUP(AC773,Selects!$B:$E,4,0),"")</f>
        <v/>
      </c>
      <c r="CC773" s="58"/>
      <c r="CD773" s="58"/>
      <c r="CE773" s="58"/>
    </row>
    <row r="774" customFormat="false" ht="15.75" hidden="false" customHeight="true" outlineLevel="0" collapsed="false">
      <c r="A774" s="17"/>
      <c r="B774" s="58"/>
      <c r="C774" s="58"/>
      <c r="D774" s="59"/>
      <c r="E774" s="60" t="str">
        <f aca="false">IF(LEN(D774)=11,"PF",IF(LEN(D774)=14,"PJ",""))</f>
        <v/>
      </c>
      <c r="F774" s="59"/>
      <c r="G774" s="59"/>
      <c r="H774" s="61" t="str">
        <f aca="false">IF(G774&lt;&gt;"",VLOOKUP(G774,'Cnae  mcc  id'!$A:$M,9,0),"")</f>
        <v/>
      </c>
      <c r="I774" s="62"/>
      <c r="J774" s="63" t="str">
        <f aca="false">IF(I774&lt;&gt;"",VLOOKUP(I774,'Legal Nature'!$E$2:$G$84,3,0),"")</f>
        <v/>
      </c>
      <c r="K774" s="64"/>
      <c r="L774" s="65"/>
      <c r="M774" s="66"/>
      <c r="N774" s="66"/>
      <c r="O774" s="79"/>
      <c r="P774" s="26"/>
      <c r="Q774" s="58"/>
      <c r="R774" s="58"/>
      <c r="S774" s="80"/>
      <c r="T774" s="68" t="str">
        <f aca="false">IF(LEFT(S774,1)="9","Celular",IF(S774="","","Fixo"))</f>
        <v/>
      </c>
      <c r="U774" s="58" t="str">
        <f aca="false">IF( T774&lt;&gt;"",VLOOKUP(T774,Selects!$M$4:$N$1000,2,0),"")</f>
        <v/>
      </c>
      <c r="V774" s="26"/>
      <c r="W774" s="58"/>
      <c r="X774" s="58"/>
      <c r="Y774" s="58"/>
      <c r="Z774" s="58"/>
      <c r="AA774" s="69"/>
      <c r="AB774" s="58"/>
      <c r="AC774" s="58"/>
      <c r="AD774" s="70" t="str">
        <f aca="false">IF(AC774&lt;&gt;"",VLOOKUP(AC774,Selects!$B$4:$C$100,2,0),"")</f>
        <v/>
      </c>
      <c r="AE774" s="26"/>
      <c r="AF774" s="58"/>
      <c r="AG774" s="59"/>
      <c r="AH774" s="65"/>
      <c r="AI774" s="66"/>
      <c r="AJ774" s="66"/>
      <c r="AK774" s="58"/>
      <c r="AL774" s="58"/>
      <c r="AM774" s="68" t="str">
        <f aca="false">IF(LEFT(AL774,1)="9","Celular",IF(AL774="","","Fixo"))</f>
        <v/>
      </c>
      <c r="AN774" s="58" t="str">
        <f aca="false">IF( AM774&lt;&gt;"",VLOOKUP(AM774,Selects!$M$4:$N$1000,2,0),"")</f>
        <v/>
      </c>
      <c r="AO774" s="58"/>
      <c r="AP774" s="59"/>
      <c r="AQ774" s="65"/>
      <c r="AR774" s="58"/>
      <c r="AS774" s="58"/>
      <c r="AT774" s="26"/>
      <c r="AU774" s="58"/>
      <c r="AV774" s="58"/>
      <c r="AW774" s="58"/>
      <c r="AX774" s="58"/>
      <c r="AY774" s="71"/>
      <c r="AZ774" s="58"/>
      <c r="BA774" s="58"/>
      <c r="BB774" s="72" t="str">
        <f aca="false">IF(BA774&lt;&gt;"",VLOOKUP(BA774,Selects!$B$4:$C$100,2,0),"")</f>
        <v/>
      </c>
      <c r="BC774" s="26"/>
      <c r="BD774" s="26"/>
      <c r="BE774" s="73"/>
      <c r="BF774" s="74"/>
      <c r="BG774" s="75" t="str">
        <f aca="false">IF(LEN(BF774)=11,"PF",IF(LEN(BF774)=14,"PJ",""))</f>
        <v/>
      </c>
      <c r="BH774" s="66"/>
      <c r="BI774" s="58" t="str">
        <f aca="false">IF(BH774&lt;&gt;"",VLOOKUP(BH774,Selects!$G:$H,2,0),"")</f>
        <v/>
      </c>
      <c r="BJ774" s="58"/>
      <c r="BK774" s="58"/>
      <c r="BL774" s="59"/>
      <c r="BM774" s="58"/>
      <c r="BN774" s="58"/>
      <c r="BO774" s="58" t="str">
        <f aca="false">IF(BN774&lt;&gt;"",VLOOKUP(BN774,Selects!$J$4:$K$1000,2,0),"")</f>
        <v/>
      </c>
      <c r="BP774" s="76"/>
      <c r="BQ774" s="59"/>
      <c r="BR774" s="77"/>
      <c r="BS774" s="59"/>
      <c r="BT774" s="77"/>
      <c r="BU774" s="58"/>
      <c r="BV774" s="58"/>
      <c r="BW774" s="58"/>
      <c r="BX774" s="58"/>
      <c r="BY774" s="58"/>
      <c r="BZ774" s="58"/>
      <c r="CA774" s="58"/>
      <c r="CB774" s="72" t="str">
        <f aca="false">IF(AC774&lt;&gt;"",VLOOKUP(AC774,Selects!$B:$E,4,0),"")</f>
        <v/>
      </c>
      <c r="CC774" s="58"/>
      <c r="CD774" s="58"/>
      <c r="CE774" s="58"/>
    </row>
    <row r="775" customFormat="false" ht="15.75" hidden="false" customHeight="true" outlineLevel="0" collapsed="false">
      <c r="A775" s="17"/>
      <c r="B775" s="58"/>
      <c r="C775" s="58"/>
      <c r="D775" s="59"/>
      <c r="E775" s="60" t="str">
        <f aca="false">IF(LEN(D775)=11,"PF",IF(LEN(D775)=14,"PJ",""))</f>
        <v/>
      </c>
      <c r="F775" s="59"/>
      <c r="G775" s="59"/>
      <c r="H775" s="61" t="str">
        <f aca="false">IF(G775&lt;&gt;"",VLOOKUP(G775,'Cnae  mcc  id'!$A:$M,9,0),"")</f>
        <v/>
      </c>
      <c r="I775" s="62"/>
      <c r="J775" s="63" t="str">
        <f aca="false">IF(I775&lt;&gt;"",VLOOKUP(I775,'Legal Nature'!$E$2:$G$84,3,0),"")</f>
        <v/>
      </c>
      <c r="K775" s="64"/>
      <c r="L775" s="65"/>
      <c r="M775" s="66"/>
      <c r="N775" s="66"/>
      <c r="O775" s="79"/>
      <c r="P775" s="26"/>
      <c r="Q775" s="58"/>
      <c r="R775" s="58"/>
      <c r="S775" s="80"/>
      <c r="T775" s="68" t="str">
        <f aca="false">IF(LEFT(S775,1)="9","Celular",IF(S775="","","Fixo"))</f>
        <v/>
      </c>
      <c r="U775" s="58" t="str">
        <f aca="false">IF( T775&lt;&gt;"",VLOOKUP(T775,Selects!$M$4:$N$1000,2,0),"")</f>
        <v/>
      </c>
      <c r="V775" s="26"/>
      <c r="W775" s="58"/>
      <c r="X775" s="58"/>
      <c r="Y775" s="58"/>
      <c r="Z775" s="58"/>
      <c r="AA775" s="69"/>
      <c r="AB775" s="58"/>
      <c r="AC775" s="58"/>
      <c r="AD775" s="70" t="str">
        <f aca="false">IF(AC775&lt;&gt;"",VLOOKUP(AC775,Selects!$B$4:$C$100,2,0),"")</f>
        <v/>
      </c>
      <c r="AE775" s="26"/>
      <c r="AF775" s="58"/>
      <c r="AG775" s="59"/>
      <c r="AH775" s="65"/>
      <c r="AI775" s="66"/>
      <c r="AJ775" s="66"/>
      <c r="AK775" s="58"/>
      <c r="AL775" s="58"/>
      <c r="AM775" s="68" t="str">
        <f aca="false">IF(LEFT(AL775,1)="9","Celular",IF(AL775="","","Fixo"))</f>
        <v/>
      </c>
      <c r="AN775" s="58" t="str">
        <f aca="false">IF( AM775&lt;&gt;"",VLOOKUP(AM775,Selects!$M$4:$N$1000,2,0),"")</f>
        <v/>
      </c>
      <c r="AO775" s="58"/>
      <c r="AP775" s="59"/>
      <c r="AQ775" s="65"/>
      <c r="AR775" s="58"/>
      <c r="AS775" s="58"/>
      <c r="AT775" s="26"/>
      <c r="AU775" s="58"/>
      <c r="AV775" s="58"/>
      <c r="AW775" s="58"/>
      <c r="AX775" s="58"/>
      <c r="AY775" s="71"/>
      <c r="AZ775" s="58"/>
      <c r="BA775" s="58"/>
      <c r="BB775" s="72" t="str">
        <f aca="false">IF(BA775&lt;&gt;"",VLOOKUP(BA775,Selects!$B$4:$C$100,2,0),"")</f>
        <v/>
      </c>
      <c r="BC775" s="26"/>
      <c r="BD775" s="26"/>
      <c r="BE775" s="73"/>
      <c r="BF775" s="74"/>
      <c r="BG775" s="75" t="str">
        <f aca="false">IF(LEN(BF775)=11,"PF",IF(LEN(BF775)=14,"PJ",""))</f>
        <v/>
      </c>
      <c r="BH775" s="66"/>
      <c r="BI775" s="58" t="str">
        <f aca="false">IF(BH775&lt;&gt;"",VLOOKUP(BH775,Selects!$G:$H,2,0),"")</f>
        <v/>
      </c>
      <c r="BJ775" s="58"/>
      <c r="BK775" s="58"/>
      <c r="BL775" s="59"/>
      <c r="BM775" s="58"/>
      <c r="BN775" s="58"/>
      <c r="BO775" s="58" t="str">
        <f aca="false">IF(BN775&lt;&gt;"",VLOOKUP(BN775,Selects!$J$4:$K$1000,2,0),"")</f>
        <v/>
      </c>
      <c r="BP775" s="76"/>
      <c r="BQ775" s="59"/>
      <c r="BR775" s="77"/>
      <c r="BS775" s="59"/>
      <c r="BT775" s="77"/>
      <c r="BU775" s="58"/>
      <c r="BV775" s="58"/>
      <c r="BW775" s="58"/>
      <c r="BX775" s="58"/>
      <c r="BY775" s="58"/>
      <c r="BZ775" s="58"/>
      <c r="CA775" s="58"/>
      <c r="CB775" s="72" t="str">
        <f aca="false">IF(AC775&lt;&gt;"",VLOOKUP(AC775,Selects!$B:$E,4,0),"")</f>
        <v/>
      </c>
      <c r="CC775" s="58"/>
      <c r="CD775" s="58"/>
      <c r="CE775" s="58"/>
    </row>
    <row r="776" customFormat="false" ht="15.75" hidden="false" customHeight="true" outlineLevel="0" collapsed="false">
      <c r="A776" s="17"/>
      <c r="B776" s="58"/>
      <c r="C776" s="58"/>
      <c r="D776" s="59"/>
      <c r="E776" s="60" t="str">
        <f aca="false">IF(LEN(D776)=11,"PF",IF(LEN(D776)=14,"PJ",""))</f>
        <v/>
      </c>
      <c r="F776" s="59"/>
      <c r="G776" s="59"/>
      <c r="H776" s="61" t="str">
        <f aca="false">IF(G776&lt;&gt;"",VLOOKUP(G776,'Cnae  mcc  id'!$A:$M,9,0),"")</f>
        <v/>
      </c>
      <c r="I776" s="62"/>
      <c r="J776" s="63" t="str">
        <f aca="false">IF(I776&lt;&gt;"",VLOOKUP(I776,'Legal Nature'!$E$2:$G$84,3,0),"")</f>
        <v/>
      </c>
      <c r="K776" s="64"/>
      <c r="L776" s="65"/>
      <c r="M776" s="66"/>
      <c r="N776" s="66"/>
      <c r="O776" s="79"/>
      <c r="P776" s="26"/>
      <c r="Q776" s="58"/>
      <c r="R776" s="58"/>
      <c r="S776" s="80"/>
      <c r="T776" s="68" t="str">
        <f aca="false">IF(LEFT(S776,1)="9","Celular",IF(S776="","","Fixo"))</f>
        <v/>
      </c>
      <c r="U776" s="58" t="str">
        <f aca="false">IF( T776&lt;&gt;"",VLOOKUP(T776,Selects!$M$4:$N$1000,2,0),"")</f>
        <v/>
      </c>
      <c r="V776" s="26"/>
      <c r="W776" s="58"/>
      <c r="X776" s="58"/>
      <c r="Y776" s="58"/>
      <c r="Z776" s="58"/>
      <c r="AA776" s="69"/>
      <c r="AB776" s="58"/>
      <c r="AC776" s="58"/>
      <c r="AD776" s="70" t="str">
        <f aca="false">IF(AC776&lt;&gt;"",VLOOKUP(AC776,Selects!$B$4:$C$100,2,0),"")</f>
        <v/>
      </c>
      <c r="AE776" s="26"/>
      <c r="AF776" s="58"/>
      <c r="AG776" s="59"/>
      <c r="AH776" s="65"/>
      <c r="AI776" s="66"/>
      <c r="AJ776" s="66"/>
      <c r="AK776" s="58"/>
      <c r="AL776" s="58"/>
      <c r="AM776" s="68" t="str">
        <f aca="false">IF(LEFT(AL776,1)="9","Celular",IF(AL776="","","Fixo"))</f>
        <v/>
      </c>
      <c r="AN776" s="58" t="str">
        <f aca="false">IF( AM776&lt;&gt;"",VLOOKUP(AM776,Selects!$M$4:$N$1000,2,0),"")</f>
        <v/>
      </c>
      <c r="AO776" s="58"/>
      <c r="AP776" s="59"/>
      <c r="AQ776" s="65"/>
      <c r="AR776" s="58"/>
      <c r="AS776" s="58"/>
      <c r="AT776" s="26"/>
      <c r="AU776" s="58"/>
      <c r="AV776" s="58"/>
      <c r="AW776" s="58"/>
      <c r="AX776" s="58"/>
      <c r="AY776" s="71"/>
      <c r="AZ776" s="58"/>
      <c r="BA776" s="58"/>
      <c r="BB776" s="72" t="str">
        <f aca="false">IF(BA776&lt;&gt;"",VLOOKUP(BA776,Selects!$B$4:$C$100,2,0),"")</f>
        <v/>
      </c>
      <c r="BC776" s="26"/>
      <c r="BD776" s="26"/>
      <c r="BE776" s="73"/>
      <c r="BF776" s="74"/>
      <c r="BG776" s="75" t="str">
        <f aca="false">IF(LEN(BF776)=11,"PF",IF(LEN(BF776)=14,"PJ",""))</f>
        <v/>
      </c>
      <c r="BH776" s="66"/>
      <c r="BI776" s="58" t="str">
        <f aca="false">IF(BH776&lt;&gt;"",VLOOKUP(BH776,Selects!$G:$H,2,0),"")</f>
        <v/>
      </c>
      <c r="BJ776" s="58"/>
      <c r="BK776" s="58"/>
      <c r="BL776" s="59"/>
      <c r="BM776" s="58"/>
      <c r="BN776" s="58"/>
      <c r="BO776" s="58" t="str">
        <f aca="false">IF(BN776&lt;&gt;"",VLOOKUP(BN776,Selects!$J$4:$K$1000,2,0),"")</f>
        <v/>
      </c>
      <c r="BP776" s="76"/>
      <c r="BQ776" s="59"/>
      <c r="BR776" s="77"/>
      <c r="BS776" s="59"/>
      <c r="BT776" s="77"/>
      <c r="BU776" s="58"/>
      <c r="BV776" s="58"/>
      <c r="BW776" s="58"/>
      <c r="BX776" s="58"/>
      <c r="BY776" s="58"/>
      <c r="BZ776" s="58"/>
      <c r="CA776" s="58"/>
      <c r="CB776" s="72" t="str">
        <f aca="false">IF(AC776&lt;&gt;"",VLOOKUP(AC776,Selects!$B:$E,4,0),"")</f>
        <v/>
      </c>
      <c r="CC776" s="58"/>
      <c r="CD776" s="58"/>
      <c r="CE776" s="58"/>
    </row>
    <row r="777" customFormat="false" ht="15.75" hidden="false" customHeight="true" outlineLevel="0" collapsed="false">
      <c r="A777" s="17"/>
      <c r="B777" s="58"/>
      <c r="C777" s="58"/>
      <c r="D777" s="59"/>
      <c r="E777" s="60" t="str">
        <f aca="false">IF(LEN(D777)=11,"PF",IF(LEN(D777)=14,"PJ",""))</f>
        <v/>
      </c>
      <c r="F777" s="59"/>
      <c r="G777" s="59"/>
      <c r="H777" s="61" t="str">
        <f aca="false">IF(G777&lt;&gt;"",VLOOKUP(G777,'Cnae  mcc  id'!$A:$M,9,0),"")</f>
        <v/>
      </c>
      <c r="I777" s="62"/>
      <c r="J777" s="63" t="str">
        <f aca="false">IF(I777&lt;&gt;"",VLOOKUP(I777,'Legal Nature'!$E$2:$G$84,3,0),"")</f>
        <v/>
      </c>
      <c r="K777" s="64"/>
      <c r="L777" s="65"/>
      <c r="M777" s="66"/>
      <c r="N777" s="66"/>
      <c r="O777" s="79"/>
      <c r="P777" s="26"/>
      <c r="Q777" s="58"/>
      <c r="R777" s="58"/>
      <c r="S777" s="80"/>
      <c r="T777" s="68" t="str">
        <f aca="false">IF(LEFT(S777,1)="9","Celular",IF(S777="","","Fixo"))</f>
        <v/>
      </c>
      <c r="U777" s="58" t="str">
        <f aca="false">IF( T777&lt;&gt;"",VLOOKUP(T777,Selects!$M$4:$N$1000,2,0),"")</f>
        <v/>
      </c>
      <c r="V777" s="26"/>
      <c r="W777" s="58"/>
      <c r="X777" s="58"/>
      <c r="Y777" s="58"/>
      <c r="Z777" s="58"/>
      <c r="AA777" s="69"/>
      <c r="AB777" s="58"/>
      <c r="AC777" s="58"/>
      <c r="AD777" s="70" t="str">
        <f aca="false">IF(AC777&lt;&gt;"",VLOOKUP(AC777,Selects!$B$4:$C$100,2,0),"")</f>
        <v/>
      </c>
      <c r="AE777" s="26"/>
      <c r="AF777" s="58"/>
      <c r="AG777" s="59"/>
      <c r="AH777" s="65"/>
      <c r="AI777" s="66"/>
      <c r="AJ777" s="66"/>
      <c r="AK777" s="58"/>
      <c r="AL777" s="58"/>
      <c r="AM777" s="68" t="str">
        <f aca="false">IF(LEFT(AL777,1)="9","Celular",IF(AL777="","","Fixo"))</f>
        <v/>
      </c>
      <c r="AN777" s="58" t="str">
        <f aca="false">IF( AM777&lt;&gt;"",VLOOKUP(AM777,Selects!$M$4:$N$1000,2,0),"")</f>
        <v/>
      </c>
      <c r="AO777" s="58"/>
      <c r="AP777" s="59"/>
      <c r="AQ777" s="65"/>
      <c r="AR777" s="58"/>
      <c r="AS777" s="58"/>
      <c r="AT777" s="26"/>
      <c r="AU777" s="58"/>
      <c r="AV777" s="58"/>
      <c r="AW777" s="58"/>
      <c r="AX777" s="58"/>
      <c r="AY777" s="71"/>
      <c r="AZ777" s="58"/>
      <c r="BA777" s="58"/>
      <c r="BB777" s="72" t="str">
        <f aca="false">IF(BA777&lt;&gt;"",VLOOKUP(BA777,Selects!$B$4:$C$100,2,0),"")</f>
        <v/>
      </c>
      <c r="BC777" s="26"/>
      <c r="BD777" s="26"/>
      <c r="BE777" s="73"/>
      <c r="BF777" s="74"/>
      <c r="BG777" s="75" t="str">
        <f aca="false">IF(LEN(BF777)=11,"PF",IF(LEN(BF777)=14,"PJ",""))</f>
        <v/>
      </c>
      <c r="BH777" s="66"/>
      <c r="BI777" s="58" t="str">
        <f aca="false">IF(BH777&lt;&gt;"",VLOOKUP(BH777,Selects!$G:$H,2,0),"")</f>
        <v/>
      </c>
      <c r="BJ777" s="58"/>
      <c r="BK777" s="58"/>
      <c r="BL777" s="59"/>
      <c r="BM777" s="58"/>
      <c r="BN777" s="58"/>
      <c r="BO777" s="58" t="str">
        <f aca="false">IF(BN777&lt;&gt;"",VLOOKUP(BN777,Selects!$J$4:$K$1000,2,0),"")</f>
        <v/>
      </c>
      <c r="BP777" s="76"/>
      <c r="BQ777" s="59"/>
      <c r="BR777" s="77"/>
      <c r="BS777" s="59"/>
      <c r="BT777" s="77"/>
      <c r="BU777" s="58"/>
      <c r="BV777" s="58"/>
      <c r="BW777" s="58"/>
      <c r="BX777" s="58"/>
      <c r="BY777" s="58"/>
      <c r="BZ777" s="58"/>
      <c r="CA777" s="58"/>
      <c r="CB777" s="72" t="str">
        <f aca="false">IF(AC777&lt;&gt;"",VLOOKUP(AC777,Selects!$B:$E,4,0),"")</f>
        <v/>
      </c>
      <c r="CC777" s="58"/>
      <c r="CD777" s="58"/>
      <c r="CE777" s="58"/>
    </row>
    <row r="778" customFormat="false" ht="15.75" hidden="false" customHeight="true" outlineLevel="0" collapsed="false">
      <c r="A778" s="17"/>
      <c r="B778" s="58"/>
      <c r="C778" s="58"/>
      <c r="D778" s="59"/>
      <c r="E778" s="60" t="str">
        <f aca="false">IF(LEN(D778)=11,"PF",IF(LEN(D778)=14,"PJ",""))</f>
        <v/>
      </c>
      <c r="F778" s="59"/>
      <c r="G778" s="59"/>
      <c r="H778" s="61" t="str">
        <f aca="false">IF(G778&lt;&gt;"",VLOOKUP(G778,'Cnae  mcc  id'!$A:$M,9,0),"")</f>
        <v/>
      </c>
      <c r="I778" s="62"/>
      <c r="J778" s="63" t="str">
        <f aca="false">IF(I778&lt;&gt;"",VLOOKUP(I778,'Legal Nature'!$E$2:$G$84,3,0),"")</f>
        <v/>
      </c>
      <c r="K778" s="64"/>
      <c r="L778" s="65"/>
      <c r="M778" s="66"/>
      <c r="N778" s="66"/>
      <c r="O778" s="79"/>
      <c r="P778" s="26"/>
      <c r="Q778" s="58"/>
      <c r="R778" s="58"/>
      <c r="S778" s="80"/>
      <c r="T778" s="68" t="str">
        <f aca="false">IF(LEFT(S778,1)="9","Celular",IF(S778="","","Fixo"))</f>
        <v/>
      </c>
      <c r="U778" s="58" t="str">
        <f aca="false">IF( T778&lt;&gt;"",VLOOKUP(T778,Selects!$M$4:$N$1000,2,0),"")</f>
        <v/>
      </c>
      <c r="V778" s="26"/>
      <c r="W778" s="58"/>
      <c r="X778" s="58"/>
      <c r="Y778" s="58"/>
      <c r="Z778" s="58"/>
      <c r="AA778" s="69"/>
      <c r="AB778" s="58"/>
      <c r="AC778" s="58"/>
      <c r="AD778" s="70" t="str">
        <f aca="false">IF(AC778&lt;&gt;"",VLOOKUP(AC778,Selects!$B$4:$C$100,2,0),"")</f>
        <v/>
      </c>
      <c r="AE778" s="26"/>
      <c r="AF778" s="58"/>
      <c r="AG778" s="59"/>
      <c r="AH778" s="65"/>
      <c r="AI778" s="66"/>
      <c r="AJ778" s="66"/>
      <c r="AK778" s="58"/>
      <c r="AL778" s="58"/>
      <c r="AM778" s="68" t="str">
        <f aca="false">IF(LEFT(AL778,1)="9","Celular",IF(AL778="","","Fixo"))</f>
        <v/>
      </c>
      <c r="AN778" s="58" t="str">
        <f aca="false">IF( AM778&lt;&gt;"",VLOOKUP(AM778,Selects!$M$4:$N$1000,2,0),"")</f>
        <v/>
      </c>
      <c r="AO778" s="58"/>
      <c r="AP778" s="59"/>
      <c r="AQ778" s="65"/>
      <c r="AR778" s="58"/>
      <c r="AS778" s="58"/>
      <c r="AT778" s="26"/>
      <c r="AU778" s="58"/>
      <c r="AV778" s="58"/>
      <c r="AW778" s="58"/>
      <c r="AX778" s="58"/>
      <c r="AY778" s="71"/>
      <c r="AZ778" s="58"/>
      <c r="BA778" s="58"/>
      <c r="BB778" s="72" t="str">
        <f aca="false">IF(BA778&lt;&gt;"",VLOOKUP(BA778,Selects!$B$4:$C$100,2,0),"")</f>
        <v/>
      </c>
      <c r="BC778" s="26"/>
      <c r="BD778" s="26"/>
      <c r="BE778" s="73"/>
      <c r="BF778" s="74"/>
      <c r="BG778" s="75" t="str">
        <f aca="false">IF(LEN(BF778)=11,"PF",IF(LEN(BF778)=14,"PJ",""))</f>
        <v/>
      </c>
      <c r="BH778" s="66"/>
      <c r="BI778" s="58" t="str">
        <f aca="false">IF(BH778&lt;&gt;"",VLOOKUP(BH778,Selects!$G:$H,2,0),"")</f>
        <v/>
      </c>
      <c r="BJ778" s="58"/>
      <c r="BK778" s="58"/>
      <c r="BL778" s="59"/>
      <c r="BM778" s="58"/>
      <c r="BN778" s="58"/>
      <c r="BO778" s="58" t="str">
        <f aca="false">IF(BN778&lt;&gt;"",VLOOKUP(BN778,Selects!$J$4:$K$1000,2,0),"")</f>
        <v/>
      </c>
      <c r="BP778" s="76"/>
      <c r="BQ778" s="59"/>
      <c r="BR778" s="77"/>
      <c r="BS778" s="59"/>
      <c r="BT778" s="77"/>
      <c r="BU778" s="58"/>
      <c r="BV778" s="58"/>
      <c r="BW778" s="58"/>
      <c r="BX778" s="58"/>
      <c r="BY778" s="58"/>
      <c r="BZ778" s="58"/>
      <c r="CA778" s="58"/>
      <c r="CB778" s="72" t="str">
        <f aca="false">IF(AC778&lt;&gt;"",VLOOKUP(AC778,Selects!$B:$E,4,0),"")</f>
        <v/>
      </c>
      <c r="CC778" s="58"/>
      <c r="CD778" s="58"/>
      <c r="CE778" s="58"/>
    </row>
    <row r="779" customFormat="false" ht="15.75" hidden="false" customHeight="true" outlineLevel="0" collapsed="false">
      <c r="A779" s="17"/>
      <c r="B779" s="58"/>
      <c r="C779" s="58"/>
      <c r="D779" s="59"/>
      <c r="E779" s="60" t="str">
        <f aca="false">IF(LEN(D779)=11,"PF",IF(LEN(D779)=14,"PJ",""))</f>
        <v/>
      </c>
      <c r="F779" s="59"/>
      <c r="G779" s="59"/>
      <c r="H779" s="61" t="str">
        <f aca="false">IF(G779&lt;&gt;"",VLOOKUP(G779,'Cnae  mcc  id'!$A:$M,9,0),"")</f>
        <v/>
      </c>
      <c r="I779" s="62"/>
      <c r="J779" s="63" t="str">
        <f aca="false">IF(I779&lt;&gt;"",VLOOKUP(I779,'Legal Nature'!$E$2:$G$84,3,0),"")</f>
        <v/>
      </c>
      <c r="K779" s="64"/>
      <c r="L779" s="65"/>
      <c r="M779" s="66"/>
      <c r="N779" s="66"/>
      <c r="O779" s="79"/>
      <c r="P779" s="26"/>
      <c r="Q779" s="58"/>
      <c r="R779" s="58"/>
      <c r="S779" s="80"/>
      <c r="T779" s="68" t="str">
        <f aca="false">IF(LEFT(S779,1)="9","Celular",IF(S779="","","Fixo"))</f>
        <v/>
      </c>
      <c r="U779" s="58" t="str">
        <f aca="false">IF( T779&lt;&gt;"",VLOOKUP(T779,Selects!$M$4:$N$1000,2,0),"")</f>
        <v/>
      </c>
      <c r="V779" s="26"/>
      <c r="W779" s="58"/>
      <c r="X779" s="58"/>
      <c r="Y779" s="58"/>
      <c r="Z779" s="58"/>
      <c r="AA779" s="69"/>
      <c r="AB779" s="58"/>
      <c r="AC779" s="58"/>
      <c r="AD779" s="70" t="str">
        <f aca="false">IF(AC779&lt;&gt;"",VLOOKUP(AC779,Selects!$B$4:$C$100,2,0),"")</f>
        <v/>
      </c>
      <c r="AE779" s="26"/>
      <c r="AF779" s="58"/>
      <c r="AG779" s="59"/>
      <c r="AH779" s="65"/>
      <c r="AI779" s="66"/>
      <c r="AJ779" s="66"/>
      <c r="AK779" s="58"/>
      <c r="AL779" s="58"/>
      <c r="AM779" s="68" t="str">
        <f aca="false">IF(LEFT(AL779,1)="9","Celular",IF(AL779="","","Fixo"))</f>
        <v/>
      </c>
      <c r="AN779" s="58" t="str">
        <f aca="false">IF( AM779&lt;&gt;"",VLOOKUP(AM779,Selects!$M$4:$N$1000,2,0),"")</f>
        <v/>
      </c>
      <c r="AO779" s="58"/>
      <c r="AP779" s="59"/>
      <c r="AQ779" s="65"/>
      <c r="AR779" s="58"/>
      <c r="AS779" s="58"/>
      <c r="AT779" s="26"/>
      <c r="AU779" s="58"/>
      <c r="AV779" s="58"/>
      <c r="AW779" s="58"/>
      <c r="AX779" s="58"/>
      <c r="AY779" s="71"/>
      <c r="AZ779" s="58"/>
      <c r="BA779" s="58"/>
      <c r="BB779" s="72" t="str">
        <f aca="false">IF(BA779&lt;&gt;"",VLOOKUP(BA779,Selects!$B$4:$C$100,2,0),"")</f>
        <v/>
      </c>
      <c r="BC779" s="26"/>
      <c r="BD779" s="26"/>
      <c r="BE779" s="73"/>
      <c r="BF779" s="74"/>
      <c r="BG779" s="75" t="str">
        <f aca="false">IF(LEN(BF779)=11,"PF",IF(LEN(BF779)=14,"PJ",""))</f>
        <v/>
      </c>
      <c r="BH779" s="66"/>
      <c r="BI779" s="58" t="str">
        <f aca="false">IF(BH779&lt;&gt;"",VLOOKUP(BH779,Selects!$G:$H,2,0),"")</f>
        <v/>
      </c>
      <c r="BJ779" s="58"/>
      <c r="BK779" s="58"/>
      <c r="BL779" s="59"/>
      <c r="BM779" s="58"/>
      <c r="BN779" s="58"/>
      <c r="BO779" s="58" t="str">
        <f aca="false">IF(BN779&lt;&gt;"",VLOOKUP(BN779,Selects!$J$4:$K$1000,2,0),"")</f>
        <v/>
      </c>
      <c r="BP779" s="76"/>
      <c r="BQ779" s="59"/>
      <c r="BR779" s="77"/>
      <c r="BS779" s="59"/>
      <c r="BT779" s="77"/>
      <c r="BU779" s="58"/>
      <c r="BV779" s="58"/>
      <c r="BW779" s="58"/>
      <c r="BX779" s="58"/>
      <c r="BY779" s="58"/>
      <c r="BZ779" s="58"/>
      <c r="CA779" s="58"/>
      <c r="CB779" s="72" t="str">
        <f aca="false">IF(AC779&lt;&gt;"",VLOOKUP(AC779,Selects!$B:$E,4,0),"")</f>
        <v/>
      </c>
      <c r="CC779" s="58"/>
      <c r="CD779" s="58"/>
      <c r="CE779" s="58"/>
    </row>
    <row r="780" customFormat="false" ht="15.75" hidden="false" customHeight="true" outlineLevel="0" collapsed="false">
      <c r="A780" s="17"/>
      <c r="B780" s="58"/>
      <c r="C780" s="58"/>
      <c r="D780" s="59"/>
      <c r="E780" s="60" t="str">
        <f aca="false">IF(LEN(D780)=11,"PF",IF(LEN(D780)=14,"PJ",""))</f>
        <v/>
      </c>
      <c r="F780" s="59"/>
      <c r="G780" s="59"/>
      <c r="H780" s="61" t="str">
        <f aca="false">IF(G780&lt;&gt;"",VLOOKUP(G780,'Cnae  mcc  id'!$A:$M,9,0),"")</f>
        <v/>
      </c>
      <c r="I780" s="62"/>
      <c r="J780" s="63" t="str">
        <f aca="false">IF(I780&lt;&gt;"",VLOOKUP(I780,'Legal Nature'!$E$2:$G$84,3,0),"")</f>
        <v/>
      </c>
      <c r="K780" s="64"/>
      <c r="L780" s="65"/>
      <c r="M780" s="66"/>
      <c r="N780" s="66"/>
      <c r="O780" s="79"/>
      <c r="P780" s="26"/>
      <c r="Q780" s="58"/>
      <c r="R780" s="58"/>
      <c r="S780" s="80"/>
      <c r="T780" s="68" t="str">
        <f aca="false">IF(LEFT(S780,1)="9","Celular",IF(S780="","","Fixo"))</f>
        <v/>
      </c>
      <c r="U780" s="58" t="str">
        <f aca="false">IF( T780&lt;&gt;"",VLOOKUP(T780,Selects!$M$4:$N$1000,2,0),"")</f>
        <v/>
      </c>
      <c r="V780" s="26"/>
      <c r="W780" s="58"/>
      <c r="X780" s="58"/>
      <c r="Y780" s="58"/>
      <c r="Z780" s="58"/>
      <c r="AA780" s="69"/>
      <c r="AB780" s="58"/>
      <c r="AC780" s="58"/>
      <c r="AD780" s="70" t="str">
        <f aca="false">IF(AC780&lt;&gt;"",VLOOKUP(AC780,Selects!$B$4:$C$100,2,0),"")</f>
        <v/>
      </c>
      <c r="AE780" s="26"/>
      <c r="AF780" s="58"/>
      <c r="AG780" s="59"/>
      <c r="AH780" s="65"/>
      <c r="AI780" s="66"/>
      <c r="AJ780" s="66"/>
      <c r="AK780" s="58"/>
      <c r="AL780" s="58"/>
      <c r="AM780" s="68" t="str">
        <f aca="false">IF(LEFT(AL780,1)="9","Celular",IF(AL780="","","Fixo"))</f>
        <v/>
      </c>
      <c r="AN780" s="58" t="str">
        <f aca="false">IF( AM780&lt;&gt;"",VLOOKUP(AM780,Selects!$M$4:$N$1000,2,0),"")</f>
        <v/>
      </c>
      <c r="AO780" s="58"/>
      <c r="AP780" s="59"/>
      <c r="AQ780" s="65"/>
      <c r="AR780" s="58"/>
      <c r="AS780" s="58"/>
      <c r="AT780" s="26"/>
      <c r="AU780" s="58"/>
      <c r="AV780" s="58"/>
      <c r="AW780" s="58"/>
      <c r="AX780" s="58"/>
      <c r="AY780" s="71"/>
      <c r="AZ780" s="58"/>
      <c r="BA780" s="58"/>
      <c r="BB780" s="72" t="str">
        <f aca="false">IF(BA780&lt;&gt;"",VLOOKUP(BA780,Selects!$B$4:$C$100,2,0),"")</f>
        <v/>
      </c>
      <c r="BC780" s="26"/>
      <c r="BD780" s="26"/>
      <c r="BE780" s="73"/>
      <c r="BF780" s="74"/>
      <c r="BG780" s="75" t="str">
        <f aca="false">IF(LEN(BF780)=11,"PF",IF(LEN(BF780)=14,"PJ",""))</f>
        <v/>
      </c>
      <c r="BH780" s="66"/>
      <c r="BI780" s="58" t="str">
        <f aca="false">IF(BH780&lt;&gt;"",VLOOKUP(BH780,Selects!$G:$H,2,0),"")</f>
        <v/>
      </c>
      <c r="BJ780" s="58"/>
      <c r="BK780" s="58"/>
      <c r="BL780" s="59"/>
      <c r="BM780" s="58"/>
      <c r="BN780" s="58"/>
      <c r="BO780" s="58" t="str">
        <f aca="false">IF(BN780&lt;&gt;"",VLOOKUP(BN780,Selects!$J$4:$K$1000,2,0),"")</f>
        <v/>
      </c>
      <c r="BP780" s="76"/>
      <c r="BQ780" s="59"/>
      <c r="BR780" s="77"/>
      <c r="BS780" s="59"/>
      <c r="BT780" s="77"/>
      <c r="BU780" s="58"/>
      <c r="BV780" s="58"/>
      <c r="BW780" s="58"/>
      <c r="BX780" s="58"/>
      <c r="BY780" s="58"/>
      <c r="BZ780" s="58"/>
      <c r="CA780" s="58"/>
      <c r="CB780" s="72" t="str">
        <f aca="false">IF(AC780&lt;&gt;"",VLOOKUP(AC780,Selects!$B:$E,4,0),"")</f>
        <v/>
      </c>
      <c r="CC780" s="58"/>
      <c r="CD780" s="58"/>
      <c r="CE780" s="58"/>
    </row>
    <row r="781" customFormat="false" ht="15.75" hidden="false" customHeight="true" outlineLevel="0" collapsed="false">
      <c r="A781" s="17"/>
      <c r="B781" s="58"/>
      <c r="C781" s="58"/>
      <c r="D781" s="59"/>
      <c r="E781" s="60" t="str">
        <f aca="false">IF(LEN(D781)=11,"PF",IF(LEN(D781)=14,"PJ",""))</f>
        <v/>
      </c>
      <c r="F781" s="59"/>
      <c r="G781" s="59"/>
      <c r="H781" s="61" t="str">
        <f aca="false">IF(G781&lt;&gt;"",VLOOKUP(G781,'Cnae  mcc  id'!$A:$M,9,0),"")</f>
        <v/>
      </c>
      <c r="I781" s="62"/>
      <c r="J781" s="63" t="str">
        <f aca="false">IF(I781&lt;&gt;"",VLOOKUP(I781,'Legal Nature'!$E$2:$G$84,3,0),"")</f>
        <v/>
      </c>
      <c r="K781" s="64"/>
      <c r="L781" s="65"/>
      <c r="M781" s="66"/>
      <c r="N781" s="66"/>
      <c r="O781" s="79"/>
      <c r="P781" s="26"/>
      <c r="Q781" s="58"/>
      <c r="R781" s="58"/>
      <c r="S781" s="80"/>
      <c r="T781" s="68" t="str">
        <f aca="false">IF(LEFT(S781,1)="9","Celular",IF(S781="","","Fixo"))</f>
        <v/>
      </c>
      <c r="U781" s="58" t="str">
        <f aca="false">IF( T781&lt;&gt;"",VLOOKUP(T781,Selects!$M$4:$N$1000,2,0),"")</f>
        <v/>
      </c>
      <c r="V781" s="26"/>
      <c r="W781" s="58"/>
      <c r="X781" s="58"/>
      <c r="Y781" s="58"/>
      <c r="Z781" s="58"/>
      <c r="AA781" s="69"/>
      <c r="AB781" s="58"/>
      <c r="AC781" s="58"/>
      <c r="AD781" s="70" t="str">
        <f aca="false">IF(AC781&lt;&gt;"",VLOOKUP(AC781,Selects!$B$4:$C$100,2,0),"")</f>
        <v/>
      </c>
      <c r="AE781" s="26"/>
      <c r="AF781" s="58"/>
      <c r="AG781" s="59"/>
      <c r="AH781" s="65"/>
      <c r="AI781" s="66"/>
      <c r="AJ781" s="66"/>
      <c r="AK781" s="58"/>
      <c r="AL781" s="58"/>
      <c r="AM781" s="68" t="str">
        <f aca="false">IF(LEFT(AL781,1)="9","Celular",IF(AL781="","","Fixo"))</f>
        <v/>
      </c>
      <c r="AN781" s="58" t="str">
        <f aca="false">IF( AM781&lt;&gt;"",VLOOKUP(AM781,Selects!$M$4:$N$1000,2,0),"")</f>
        <v/>
      </c>
      <c r="AO781" s="58"/>
      <c r="AP781" s="59"/>
      <c r="AQ781" s="65"/>
      <c r="AR781" s="58"/>
      <c r="AS781" s="58"/>
      <c r="AT781" s="26"/>
      <c r="AU781" s="58"/>
      <c r="AV781" s="58"/>
      <c r="AW781" s="58"/>
      <c r="AX781" s="58"/>
      <c r="AY781" s="71"/>
      <c r="AZ781" s="58"/>
      <c r="BA781" s="58"/>
      <c r="BB781" s="72" t="str">
        <f aca="false">IF(BA781&lt;&gt;"",VLOOKUP(BA781,Selects!$B$4:$C$100,2,0),"")</f>
        <v/>
      </c>
      <c r="BC781" s="26"/>
      <c r="BD781" s="26"/>
      <c r="BE781" s="73"/>
      <c r="BF781" s="74"/>
      <c r="BG781" s="75" t="str">
        <f aca="false">IF(LEN(BF781)=11,"PF",IF(LEN(BF781)=14,"PJ",""))</f>
        <v/>
      </c>
      <c r="BH781" s="66"/>
      <c r="BI781" s="58" t="str">
        <f aca="false">IF(BH781&lt;&gt;"",VLOOKUP(BH781,Selects!$G:$H,2,0),"")</f>
        <v/>
      </c>
      <c r="BJ781" s="58"/>
      <c r="BK781" s="58"/>
      <c r="BL781" s="59"/>
      <c r="BM781" s="58"/>
      <c r="BN781" s="58"/>
      <c r="BO781" s="58" t="str">
        <f aca="false">IF(BN781&lt;&gt;"",VLOOKUP(BN781,Selects!$J$4:$K$1000,2,0),"")</f>
        <v/>
      </c>
      <c r="BP781" s="76"/>
      <c r="BQ781" s="59"/>
      <c r="BR781" s="77"/>
      <c r="BS781" s="59"/>
      <c r="BT781" s="77"/>
      <c r="BU781" s="58"/>
      <c r="BV781" s="58"/>
      <c r="BW781" s="58"/>
      <c r="BX781" s="58"/>
      <c r="BY781" s="58"/>
      <c r="BZ781" s="58"/>
      <c r="CA781" s="58"/>
      <c r="CB781" s="72" t="str">
        <f aca="false">IF(AC781&lt;&gt;"",VLOOKUP(AC781,Selects!$B:$E,4,0),"")</f>
        <v/>
      </c>
      <c r="CC781" s="58"/>
      <c r="CD781" s="58"/>
      <c r="CE781" s="58"/>
    </row>
    <row r="782" customFormat="false" ht="15.75" hidden="false" customHeight="true" outlineLevel="0" collapsed="false">
      <c r="A782" s="17"/>
      <c r="B782" s="58"/>
      <c r="C782" s="58"/>
      <c r="D782" s="59"/>
      <c r="E782" s="60" t="str">
        <f aca="false">IF(LEN(D782)=11,"PF",IF(LEN(D782)=14,"PJ",""))</f>
        <v/>
      </c>
      <c r="F782" s="59"/>
      <c r="G782" s="59"/>
      <c r="H782" s="61" t="str">
        <f aca="false">IF(G782&lt;&gt;"",VLOOKUP(G782,'Cnae  mcc  id'!$A:$M,9,0),"")</f>
        <v/>
      </c>
      <c r="I782" s="62"/>
      <c r="J782" s="63" t="str">
        <f aca="false">IF(I782&lt;&gt;"",VLOOKUP(I782,'Legal Nature'!$E$2:$G$84,3,0),"")</f>
        <v/>
      </c>
      <c r="K782" s="64"/>
      <c r="L782" s="65"/>
      <c r="M782" s="66"/>
      <c r="N782" s="66"/>
      <c r="O782" s="79"/>
      <c r="P782" s="26"/>
      <c r="Q782" s="58"/>
      <c r="R782" s="58"/>
      <c r="S782" s="80"/>
      <c r="T782" s="68" t="str">
        <f aca="false">IF(LEFT(S782,1)="9","Celular",IF(S782="","","Fixo"))</f>
        <v/>
      </c>
      <c r="U782" s="58" t="str">
        <f aca="false">IF( T782&lt;&gt;"",VLOOKUP(T782,Selects!$M$4:$N$1000,2,0),"")</f>
        <v/>
      </c>
      <c r="V782" s="26"/>
      <c r="W782" s="58"/>
      <c r="X782" s="58"/>
      <c r="Y782" s="58"/>
      <c r="Z782" s="58"/>
      <c r="AA782" s="69"/>
      <c r="AB782" s="58"/>
      <c r="AC782" s="58"/>
      <c r="AD782" s="70" t="str">
        <f aca="false">IF(AC782&lt;&gt;"",VLOOKUP(AC782,Selects!$B$4:$C$100,2,0),"")</f>
        <v/>
      </c>
      <c r="AE782" s="26"/>
      <c r="AF782" s="58"/>
      <c r="AG782" s="59"/>
      <c r="AH782" s="65"/>
      <c r="AI782" s="66"/>
      <c r="AJ782" s="66"/>
      <c r="AK782" s="58"/>
      <c r="AL782" s="58"/>
      <c r="AM782" s="68" t="str">
        <f aca="false">IF(LEFT(AL782,1)="9","Celular",IF(AL782="","","Fixo"))</f>
        <v/>
      </c>
      <c r="AN782" s="58" t="str">
        <f aca="false">IF( AM782&lt;&gt;"",VLOOKUP(AM782,Selects!$M$4:$N$1000,2,0),"")</f>
        <v/>
      </c>
      <c r="AO782" s="58"/>
      <c r="AP782" s="59"/>
      <c r="AQ782" s="65"/>
      <c r="AR782" s="58"/>
      <c r="AS782" s="58"/>
      <c r="AT782" s="26"/>
      <c r="AU782" s="58"/>
      <c r="AV782" s="58"/>
      <c r="AW782" s="58"/>
      <c r="AX782" s="58"/>
      <c r="AY782" s="71"/>
      <c r="AZ782" s="58"/>
      <c r="BA782" s="58"/>
      <c r="BB782" s="72" t="str">
        <f aca="false">IF(BA782&lt;&gt;"",VLOOKUP(BA782,Selects!$B$4:$C$100,2,0),"")</f>
        <v/>
      </c>
      <c r="BC782" s="26"/>
      <c r="BD782" s="26"/>
      <c r="BE782" s="73"/>
      <c r="BF782" s="74"/>
      <c r="BG782" s="75" t="str">
        <f aca="false">IF(LEN(BF782)=11,"PF",IF(LEN(BF782)=14,"PJ",""))</f>
        <v/>
      </c>
      <c r="BH782" s="66"/>
      <c r="BI782" s="58" t="str">
        <f aca="false">IF(BH782&lt;&gt;"",VLOOKUP(BH782,Selects!$G:$H,2,0),"")</f>
        <v/>
      </c>
      <c r="BJ782" s="58"/>
      <c r="BK782" s="58"/>
      <c r="BL782" s="59"/>
      <c r="BM782" s="58"/>
      <c r="BN782" s="58"/>
      <c r="BO782" s="58" t="str">
        <f aca="false">IF(BN782&lt;&gt;"",VLOOKUP(BN782,Selects!$J$4:$K$1000,2,0),"")</f>
        <v/>
      </c>
      <c r="BP782" s="76"/>
      <c r="BQ782" s="59"/>
      <c r="BR782" s="77"/>
      <c r="BS782" s="59"/>
      <c r="BT782" s="77"/>
      <c r="BU782" s="58"/>
      <c r="BV782" s="58"/>
      <c r="BW782" s="58"/>
      <c r="BX782" s="58"/>
      <c r="BY782" s="58"/>
      <c r="BZ782" s="58"/>
      <c r="CA782" s="58"/>
      <c r="CB782" s="72" t="str">
        <f aca="false">IF(AC782&lt;&gt;"",VLOOKUP(AC782,Selects!$B:$E,4,0),"")</f>
        <v/>
      </c>
      <c r="CC782" s="58"/>
      <c r="CD782" s="58"/>
      <c r="CE782" s="58"/>
    </row>
    <row r="783" customFormat="false" ht="15.75" hidden="false" customHeight="true" outlineLevel="0" collapsed="false">
      <c r="A783" s="17"/>
      <c r="B783" s="58"/>
      <c r="C783" s="58"/>
      <c r="D783" s="59"/>
      <c r="E783" s="60" t="str">
        <f aca="false">IF(LEN(D783)=11,"PF",IF(LEN(D783)=14,"PJ",""))</f>
        <v/>
      </c>
      <c r="F783" s="59"/>
      <c r="G783" s="59"/>
      <c r="H783" s="61" t="str">
        <f aca="false">IF(G783&lt;&gt;"",VLOOKUP(G783,'Cnae  mcc  id'!$A:$M,9,0),"")</f>
        <v/>
      </c>
      <c r="I783" s="62"/>
      <c r="J783" s="63" t="str">
        <f aca="false">IF(I783&lt;&gt;"",VLOOKUP(I783,'Legal Nature'!$E$2:$G$84,3,0),"")</f>
        <v/>
      </c>
      <c r="K783" s="64"/>
      <c r="L783" s="65"/>
      <c r="M783" s="66"/>
      <c r="N783" s="66"/>
      <c r="O783" s="79"/>
      <c r="P783" s="26"/>
      <c r="Q783" s="58"/>
      <c r="R783" s="58"/>
      <c r="S783" s="80"/>
      <c r="T783" s="68" t="str">
        <f aca="false">IF(LEFT(S783,1)="9","Celular",IF(S783="","","Fixo"))</f>
        <v/>
      </c>
      <c r="U783" s="58" t="str">
        <f aca="false">IF( T783&lt;&gt;"",VLOOKUP(T783,Selects!$M$4:$N$1000,2,0),"")</f>
        <v/>
      </c>
      <c r="V783" s="26"/>
      <c r="W783" s="58"/>
      <c r="X783" s="58"/>
      <c r="Y783" s="58"/>
      <c r="Z783" s="58"/>
      <c r="AA783" s="69"/>
      <c r="AB783" s="58"/>
      <c r="AC783" s="58"/>
      <c r="AD783" s="70" t="str">
        <f aca="false">IF(AC783&lt;&gt;"",VLOOKUP(AC783,Selects!$B$4:$C$100,2,0),"")</f>
        <v/>
      </c>
      <c r="AE783" s="26"/>
      <c r="AF783" s="58"/>
      <c r="AG783" s="59"/>
      <c r="AH783" s="65"/>
      <c r="AI783" s="66"/>
      <c r="AJ783" s="66"/>
      <c r="AK783" s="58"/>
      <c r="AL783" s="58"/>
      <c r="AM783" s="68" t="str">
        <f aca="false">IF(LEFT(AL783,1)="9","Celular",IF(AL783="","","Fixo"))</f>
        <v/>
      </c>
      <c r="AN783" s="58" t="str">
        <f aca="false">IF( AM783&lt;&gt;"",VLOOKUP(AM783,Selects!$M$4:$N$1000,2,0),"")</f>
        <v/>
      </c>
      <c r="AO783" s="58"/>
      <c r="AP783" s="59"/>
      <c r="AQ783" s="65"/>
      <c r="AR783" s="58"/>
      <c r="AS783" s="58"/>
      <c r="AT783" s="26"/>
      <c r="AU783" s="58"/>
      <c r="AV783" s="58"/>
      <c r="AW783" s="58"/>
      <c r="AX783" s="58"/>
      <c r="AY783" s="71"/>
      <c r="AZ783" s="58"/>
      <c r="BA783" s="58"/>
      <c r="BB783" s="72" t="str">
        <f aca="false">IF(BA783&lt;&gt;"",VLOOKUP(BA783,Selects!$B$4:$C$100,2,0),"")</f>
        <v/>
      </c>
      <c r="BC783" s="26"/>
      <c r="BD783" s="26"/>
      <c r="BE783" s="73"/>
      <c r="BF783" s="74"/>
      <c r="BG783" s="75" t="str">
        <f aca="false">IF(LEN(BF783)=11,"PF",IF(LEN(BF783)=14,"PJ",""))</f>
        <v/>
      </c>
      <c r="BH783" s="66"/>
      <c r="BI783" s="58" t="str">
        <f aca="false">IF(BH783&lt;&gt;"",VLOOKUP(BH783,Selects!$G:$H,2,0),"")</f>
        <v/>
      </c>
      <c r="BJ783" s="58"/>
      <c r="BK783" s="58"/>
      <c r="BL783" s="59"/>
      <c r="BM783" s="58"/>
      <c r="BN783" s="58"/>
      <c r="BO783" s="58" t="str">
        <f aca="false">IF(BN783&lt;&gt;"",VLOOKUP(BN783,Selects!$J$4:$K$1000,2,0),"")</f>
        <v/>
      </c>
      <c r="BP783" s="76"/>
      <c r="BQ783" s="59"/>
      <c r="BR783" s="77"/>
      <c r="BS783" s="59"/>
      <c r="BT783" s="77"/>
      <c r="BU783" s="58"/>
      <c r="BV783" s="58"/>
      <c r="BW783" s="58"/>
      <c r="BX783" s="58"/>
      <c r="BY783" s="58"/>
      <c r="BZ783" s="58"/>
      <c r="CA783" s="58"/>
      <c r="CB783" s="72" t="str">
        <f aca="false">IF(AC783&lt;&gt;"",VLOOKUP(AC783,Selects!$B:$E,4,0),"")</f>
        <v/>
      </c>
      <c r="CC783" s="58"/>
      <c r="CD783" s="58"/>
      <c r="CE783" s="58"/>
    </row>
    <row r="784" customFormat="false" ht="15.75" hidden="false" customHeight="true" outlineLevel="0" collapsed="false">
      <c r="A784" s="17"/>
      <c r="B784" s="58"/>
      <c r="C784" s="58"/>
      <c r="D784" s="59"/>
      <c r="E784" s="60" t="str">
        <f aca="false">IF(LEN(D784)=11,"PF",IF(LEN(D784)=14,"PJ",""))</f>
        <v/>
      </c>
      <c r="F784" s="59"/>
      <c r="G784" s="59"/>
      <c r="H784" s="61" t="str">
        <f aca="false">IF(G784&lt;&gt;"",VLOOKUP(G784,'Cnae  mcc  id'!$A:$M,9,0),"")</f>
        <v/>
      </c>
      <c r="I784" s="62"/>
      <c r="J784" s="63" t="str">
        <f aca="false">IF(I784&lt;&gt;"",VLOOKUP(I784,'Legal Nature'!$E$2:$G$84,3,0),"")</f>
        <v/>
      </c>
      <c r="K784" s="64"/>
      <c r="L784" s="65"/>
      <c r="M784" s="66"/>
      <c r="N784" s="66"/>
      <c r="O784" s="79"/>
      <c r="P784" s="26"/>
      <c r="Q784" s="58"/>
      <c r="R784" s="58"/>
      <c r="S784" s="80"/>
      <c r="T784" s="68" t="str">
        <f aca="false">IF(LEFT(S784,1)="9","Celular",IF(S784="","","Fixo"))</f>
        <v/>
      </c>
      <c r="U784" s="58" t="str">
        <f aca="false">IF( T784&lt;&gt;"",VLOOKUP(T784,Selects!$M$4:$N$1000,2,0),"")</f>
        <v/>
      </c>
      <c r="V784" s="26"/>
      <c r="W784" s="58"/>
      <c r="X784" s="58"/>
      <c r="Y784" s="58"/>
      <c r="Z784" s="58"/>
      <c r="AA784" s="69"/>
      <c r="AB784" s="58"/>
      <c r="AC784" s="58"/>
      <c r="AD784" s="70" t="str">
        <f aca="false">IF(AC784&lt;&gt;"",VLOOKUP(AC784,Selects!$B$4:$C$100,2,0),"")</f>
        <v/>
      </c>
      <c r="AE784" s="26"/>
      <c r="AF784" s="58"/>
      <c r="AG784" s="59"/>
      <c r="AH784" s="65"/>
      <c r="AI784" s="66"/>
      <c r="AJ784" s="66"/>
      <c r="AK784" s="58"/>
      <c r="AL784" s="58"/>
      <c r="AM784" s="68" t="str">
        <f aca="false">IF(LEFT(AL784,1)="9","Celular",IF(AL784="","","Fixo"))</f>
        <v/>
      </c>
      <c r="AN784" s="58" t="str">
        <f aca="false">IF( AM784&lt;&gt;"",VLOOKUP(AM784,Selects!$M$4:$N$1000,2,0),"")</f>
        <v/>
      </c>
      <c r="AO784" s="58"/>
      <c r="AP784" s="59"/>
      <c r="AQ784" s="65"/>
      <c r="AR784" s="58"/>
      <c r="AS784" s="58"/>
      <c r="AT784" s="26"/>
      <c r="AU784" s="58"/>
      <c r="AV784" s="58"/>
      <c r="AW784" s="58"/>
      <c r="AX784" s="58"/>
      <c r="AY784" s="71"/>
      <c r="AZ784" s="58"/>
      <c r="BA784" s="58"/>
      <c r="BB784" s="72" t="str">
        <f aca="false">IF(BA784&lt;&gt;"",VLOOKUP(BA784,Selects!$B$4:$C$100,2,0),"")</f>
        <v/>
      </c>
      <c r="BC784" s="26"/>
      <c r="BD784" s="26"/>
      <c r="BE784" s="73"/>
      <c r="BF784" s="74"/>
      <c r="BG784" s="75" t="str">
        <f aca="false">IF(LEN(BF784)=11,"PF",IF(LEN(BF784)=14,"PJ",""))</f>
        <v/>
      </c>
      <c r="BH784" s="66"/>
      <c r="BI784" s="58" t="str">
        <f aca="false">IF(BH784&lt;&gt;"",VLOOKUP(BH784,Selects!$G:$H,2,0),"")</f>
        <v/>
      </c>
      <c r="BJ784" s="58"/>
      <c r="BK784" s="58"/>
      <c r="BL784" s="59"/>
      <c r="BM784" s="58"/>
      <c r="BN784" s="58"/>
      <c r="BO784" s="58" t="str">
        <f aca="false">IF(BN784&lt;&gt;"",VLOOKUP(BN784,Selects!$J$4:$K$1000,2,0),"")</f>
        <v/>
      </c>
      <c r="BP784" s="76"/>
      <c r="BQ784" s="59"/>
      <c r="BR784" s="77"/>
      <c r="BS784" s="59"/>
      <c r="BT784" s="77"/>
      <c r="BU784" s="58"/>
      <c r="BV784" s="58"/>
      <c r="BW784" s="58"/>
      <c r="BX784" s="58"/>
      <c r="BY784" s="58"/>
      <c r="BZ784" s="58"/>
      <c r="CA784" s="58"/>
      <c r="CB784" s="72" t="str">
        <f aca="false">IF(AC784&lt;&gt;"",VLOOKUP(AC784,Selects!$B:$E,4,0),"")</f>
        <v/>
      </c>
      <c r="CC784" s="58"/>
      <c r="CD784" s="58"/>
      <c r="CE784" s="58"/>
    </row>
    <row r="785" customFormat="false" ht="15.75" hidden="false" customHeight="true" outlineLevel="0" collapsed="false">
      <c r="A785" s="17"/>
      <c r="B785" s="58"/>
      <c r="C785" s="58"/>
      <c r="D785" s="59"/>
      <c r="E785" s="60" t="str">
        <f aca="false">IF(LEN(D785)=11,"PF",IF(LEN(D785)=14,"PJ",""))</f>
        <v/>
      </c>
      <c r="F785" s="59"/>
      <c r="G785" s="59"/>
      <c r="H785" s="61" t="str">
        <f aca="false">IF(G785&lt;&gt;"",VLOOKUP(G785,'Cnae  mcc  id'!$A:$M,9,0),"")</f>
        <v/>
      </c>
      <c r="I785" s="62"/>
      <c r="J785" s="63" t="str">
        <f aca="false">IF(I785&lt;&gt;"",VLOOKUP(I785,'Legal Nature'!$E$2:$G$84,3,0),"")</f>
        <v/>
      </c>
      <c r="K785" s="64"/>
      <c r="L785" s="65"/>
      <c r="M785" s="66"/>
      <c r="N785" s="66"/>
      <c r="O785" s="79"/>
      <c r="P785" s="26"/>
      <c r="Q785" s="58"/>
      <c r="R785" s="58"/>
      <c r="S785" s="80"/>
      <c r="T785" s="68" t="str">
        <f aca="false">IF(LEFT(S785,1)="9","Celular",IF(S785="","","Fixo"))</f>
        <v/>
      </c>
      <c r="U785" s="58" t="str">
        <f aca="false">IF( T785&lt;&gt;"",VLOOKUP(T785,Selects!$M$4:$N$1000,2,0),"")</f>
        <v/>
      </c>
      <c r="V785" s="26"/>
      <c r="W785" s="58"/>
      <c r="X785" s="58"/>
      <c r="Y785" s="58"/>
      <c r="Z785" s="58"/>
      <c r="AA785" s="69"/>
      <c r="AB785" s="58"/>
      <c r="AC785" s="58"/>
      <c r="AD785" s="70" t="str">
        <f aca="false">IF(AC785&lt;&gt;"",VLOOKUP(AC785,Selects!$B$4:$C$100,2,0),"")</f>
        <v/>
      </c>
      <c r="AE785" s="26"/>
      <c r="AF785" s="58"/>
      <c r="AG785" s="59"/>
      <c r="AH785" s="65"/>
      <c r="AI785" s="66"/>
      <c r="AJ785" s="66"/>
      <c r="AK785" s="58"/>
      <c r="AL785" s="58"/>
      <c r="AM785" s="68" t="str">
        <f aca="false">IF(LEFT(AL785,1)="9","Celular",IF(AL785="","","Fixo"))</f>
        <v/>
      </c>
      <c r="AN785" s="58" t="str">
        <f aca="false">IF( AM785&lt;&gt;"",VLOOKUP(AM785,Selects!$M$4:$N$1000,2,0),"")</f>
        <v/>
      </c>
      <c r="AO785" s="58"/>
      <c r="AP785" s="59"/>
      <c r="AQ785" s="65"/>
      <c r="AR785" s="58"/>
      <c r="AS785" s="58"/>
      <c r="AT785" s="26"/>
      <c r="AU785" s="58"/>
      <c r="AV785" s="58"/>
      <c r="AW785" s="58"/>
      <c r="AX785" s="58"/>
      <c r="AY785" s="71"/>
      <c r="AZ785" s="58"/>
      <c r="BA785" s="58"/>
      <c r="BB785" s="72" t="str">
        <f aca="false">IF(BA785&lt;&gt;"",VLOOKUP(BA785,Selects!$B$4:$C$100,2,0),"")</f>
        <v/>
      </c>
      <c r="BC785" s="26"/>
      <c r="BD785" s="26"/>
      <c r="BE785" s="73"/>
      <c r="BF785" s="74"/>
      <c r="BG785" s="75" t="str">
        <f aca="false">IF(LEN(BF785)=11,"PF",IF(LEN(BF785)=14,"PJ",""))</f>
        <v/>
      </c>
      <c r="BH785" s="66"/>
      <c r="BI785" s="58" t="str">
        <f aca="false">IF(BH785&lt;&gt;"",VLOOKUP(BH785,Selects!$G:$H,2,0),"")</f>
        <v/>
      </c>
      <c r="BJ785" s="58"/>
      <c r="BK785" s="58"/>
      <c r="BL785" s="59"/>
      <c r="BM785" s="58"/>
      <c r="BN785" s="58"/>
      <c r="BO785" s="58" t="str">
        <f aca="false">IF(BN785&lt;&gt;"",VLOOKUP(BN785,Selects!$J$4:$K$1000,2,0),"")</f>
        <v/>
      </c>
      <c r="BP785" s="76"/>
      <c r="BQ785" s="59"/>
      <c r="BR785" s="77"/>
      <c r="BS785" s="59"/>
      <c r="BT785" s="77"/>
      <c r="BU785" s="58"/>
      <c r="BV785" s="58"/>
      <c r="BW785" s="58"/>
      <c r="BX785" s="58"/>
      <c r="BY785" s="58"/>
      <c r="BZ785" s="58"/>
      <c r="CA785" s="58"/>
      <c r="CB785" s="72" t="str">
        <f aca="false">IF(AC785&lt;&gt;"",VLOOKUP(AC785,Selects!$B:$E,4,0),"")</f>
        <v/>
      </c>
      <c r="CC785" s="58"/>
      <c r="CD785" s="58"/>
      <c r="CE785" s="58"/>
    </row>
    <row r="786" customFormat="false" ht="15.75" hidden="false" customHeight="true" outlineLevel="0" collapsed="false">
      <c r="A786" s="17"/>
      <c r="B786" s="58"/>
      <c r="C786" s="58"/>
      <c r="D786" s="59"/>
      <c r="E786" s="60" t="str">
        <f aca="false">IF(LEN(D786)=11,"PF",IF(LEN(D786)=14,"PJ",""))</f>
        <v/>
      </c>
      <c r="F786" s="59"/>
      <c r="G786" s="59"/>
      <c r="H786" s="61" t="str">
        <f aca="false">IF(G786&lt;&gt;"",VLOOKUP(G786,'Cnae  mcc  id'!$A:$M,9,0),"")</f>
        <v/>
      </c>
      <c r="I786" s="62"/>
      <c r="J786" s="63" t="str">
        <f aca="false">IF(I786&lt;&gt;"",VLOOKUP(I786,'Legal Nature'!$E$2:$G$84,3,0),"")</f>
        <v/>
      </c>
      <c r="K786" s="64"/>
      <c r="L786" s="65"/>
      <c r="M786" s="66"/>
      <c r="N786" s="66"/>
      <c r="O786" s="79"/>
      <c r="P786" s="26"/>
      <c r="Q786" s="58"/>
      <c r="R786" s="58"/>
      <c r="S786" s="80"/>
      <c r="T786" s="68" t="str">
        <f aca="false">IF(LEFT(S786,1)="9","Celular",IF(S786="","","Fixo"))</f>
        <v/>
      </c>
      <c r="U786" s="58" t="str">
        <f aca="false">IF( T786&lt;&gt;"",VLOOKUP(T786,Selects!$M$4:$N$1000,2,0),"")</f>
        <v/>
      </c>
      <c r="V786" s="26"/>
      <c r="W786" s="58"/>
      <c r="X786" s="58"/>
      <c r="Y786" s="58"/>
      <c r="Z786" s="58"/>
      <c r="AA786" s="69"/>
      <c r="AB786" s="58"/>
      <c r="AC786" s="58"/>
      <c r="AD786" s="70" t="str">
        <f aca="false">IF(AC786&lt;&gt;"",VLOOKUP(AC786,Selects!$B$4:$C$100,2,0),"")</f>
        <v/>
      </c>
      <c r="AE786" s="26"/>
      <c r="AF786" s="58"/>
      <c r="AG786" s="59"/>
      <c r="AH786" s="65"/>
      <c r="AI786" s="66"/>
      <c r="AJ786" s="66"/>
      <c r="AK786" s="58"/>
      <c r="AL786" s="58"/>
      <c r="AM786" s="68" t="str">
        <f aca="false">IF(LEFT(AL786,1)="9","Celular",IF(AL786="","","Fixo"))</f>
        <v/>
      </c>
      <c r="AN786" s="58" t="str">
        <f aca="false">IF( AM786&lt;&gt;"",VLOOKUP(AM786,Selects!$M$4:$N$1000,2,0),"")</f>
        <v/>
      </c>
      <c r="AO786" s="58"/>
      <c r="AP786" s="59"/>
      <c r="AQ786" s="65"/>
      <c r="AR786" s="58"/>
      <c r="AS786" s="58"/>
      <c r="AT786" s="26"/>
      <c r="AU786" s="58"/>
      <c r="AV786" s="58"/>
      <c r="AW786" s="58"/>
      <c r="AX786" s="58"/>
      <c r="AY786" s="71"/>
      <c r="AZ786" s="58"/>
      <c r="BA786" s="58"/>
      <c r="BB786" s="72" t="str">
        <f aca="false">IF(BA786&lt;&gt;"",VLOOKUP(BA786,Selects!$B$4:$C$100,2,0),"")</f>
        <v/>
      </c>
      <c r="BC786" s="26"/>
      <c r="BD786" s="26"/>
      <c r="BE786" s="73"/>
      <c r="BF786" s="74"/>
      <c r="BG786" s="75" t="str">
        <f aca="false">IF(LEN(BF786)=11,"PF",IF(LEN(BF786)=14,"PJ",""))</f>
        <v/>
      </c>
      <c r="BH786" s="66"/>
      <c r="BI786" s="58" t="str">
        <f aca="false">IF(BH786&lt;&gt;"",VLOOKUP(BH786,Selects!$G:$H,2,0),"")</f>
        <v/>
      </c>
      <c r="BJ786" s="58"/>
      <c r="BK786" s="58"/>
      <c r="BL786" s="59"/>
      <c r="BM786" s="58"/>
      <c r="BN786" s="58"/>
      <c r="BO786" s="58" t="str">
        <f aca="false">IF(BN786&lt;&gt;"",VLOOKUP(BN786,Selects!$J$4:$K$1000,2,0),"")</f>
        <v/>
      </c>
      <c r="BP786" s="76"/>
      <c r="BQ786" s="59"/>
      <c r="BR786" s="77"/>
      <c r="BS786" s="59"/>
      <c r="BT786" s="77"/>
      <c r="BU786" s="58"/>
      <c r="BV786" s="58"/>
      <c r="BW786" s="58"/>
      <c r="BX786" s="58"/>
      <c r="BY786" s="58"/>
      <c r="BZ786" s="58"/>
      <c r="CA786" s="58"/>
      <c r="CB786" s="72" t="str">
        <f aca="false">IF(AC786&lt;&gt;"",VLOOKUP(AC786,Selects!$B:$E,4,0),"")</f>
        <v/>
      </c>
      <c r="CC786" s="58"/>
      <c r="CD786" s="58"/>
      <c r="CE786" s="58"/>
    </row>
    <row r="787" customFormat="false" ht="15.75" hidden="false" customHeight="true" outlineLevel="0" collapsed="false">
      <c r="A787" s="17"/>
      <c r="B787" s="58"/>
      <c r="C787" s="58"/>
      <c r="D787" s="59"/>
      <c r="E787" s="60" t="str">
        <f aca="false">IF(LEN(D787)=11,"PF",IF(LEN(D787)=14,"PJ",""))</f>
        <v/>
      </c>
      <c r="F787" s="59"/>
      <c r="G787" s="59"/>
      <c r="H787" s="61" t="str">
        <f aca="false">IF(G787&lt;&gt;"",VLOOKUP(G787,'Cnae  mcc  id'!$A:$M,9,0),"")</f>
        <v/>
      </c>
      <c r="I787" s="62"/>
      <c r="J787" s="63" t="str">
        <f aca="false">IF(I787&lt;&gt;"",VLOOKUP(I787,'Legal Nature'!$E$2:$G$84,3,0),"")</f>
        <v/>
      </c>
      <c r="K787" s="64"/>
      <c r="L787" s="65"/>
      <c r="M787" s="66"/>
      <c r="N787" s="66"/>
      <c r="O787" s="79"/>
      <c r="P787" s="26"/>
      <c r="Q787" s="58"/>
      <c r="R787" s="58"/>
      <c r="S787" s="80"/>
      <c r="T787" s="68" t="str">
        <f aca="false">IF(LEFT(S787,1)="9","Celular",IF(S787="","","Fixo"))</f>
        <v/>
      </c>
      <c r="U787" s="58" t="str">
        <f aca="false">IF( T787&lt;&gt;"",VLOOKUP(T787,Selects!$M$4:$N$1000,2,0),"")</f>
        <v/>
      </c>
      <c r="V787" s="26"/>
      <c r="W787" s="58"/>
      <c r="X787" s="58"/>
      <c r="Y787" s="58"/>
      <c r="Z787" s="58"/>
      <c r="AA787" s="69"/>
      <c r="AB787" s="58"/>
      <c r="AC787" s="58"/>
      <c r="AD787" s="70" t="str">
        <f aca="false">IF(AC787&lt;&gt;"",VLOOKUP(AC787,Selects!$B$4:$C$100,2,0),"")</f>
        <v/>
      </c>
      <c r="AE787" s="26"/>
      <c r="AF787" s="58"/>
      <c r="AG787" s="59"/>
      <c r="AH787" s="65"/>
      <c r="AI787" s="66"/>
      <c r="AJ787" s="66"/>
      <c r="AK787" s="58"/>
      <c r="AL787" s="58"/>
      <c r="AM787" s="68" t="str">
        <f aca="false">IF(LEFT(AL787,1)="9","Celular",IF(AL787="","","Fixo"))</f>
        <v/>
      </c>
      <c r="AN787" s="58" t="str">
        <f aca="false">IF( AM787&lt;&gt;"",VLOOKUP(AM787,Selects!$M$4:$N$1000,2,0),"")</f>
        <v/>
      </c>
      <c r="AO787" s="58"/>
      <c r="AP787" s="59"/>
      <c r="AQ787" s="65"/>
      <c r="AR787" s="58"/>
      <c r="AS787" s="58"/>
      <c r="AT787" s="26"/>
      <c r="AU787" s="58"/>
      <c r="AV787" s="58"/>
      <c r="AW787" s="58"/>
      <c r="AX787" s="58"/>
      <c r="AY787" s="71"/>
      <c r="AZ787" s="58"/>
      <c r="BA787" s="58"/>
      <c r="BB787" s="72" t="str">
        <f aca="false">IF(BA787&lt;&gt;"",VLOOKUP(BA787,Selects!$B$4:$C$100,2,0),"")</f>
        <v/>
      </c>
      <c r="BC787" s="26"/>
      <c r="BD787" s="26"/>
      <c r="BE787" s="73"/>
      <c r="BF787" s="74"/>
      <c r="BG787" s="75" t="str">
        <f aca="false">IF(LEN(BF787)=11,"PF",IF(LEN(BF787)=14,"PJ",""))</f>
        <v/>
      </c>
      <c r="BH787" s="66"/>
      <c r="BI787" s="58" t="str">
        <f aca="false">IF(BH787&lt;&gt;"",VLOOKUP(BH787,Selects!$G:$H,2,0),"")</f>
        <v/>
      </c>
      <c r="BJ787" s="58"/>
      <c r="BK787" s="58"/>
      <c r="BL787" s="59"/>
      <c r="BM787" s="58"/>
      <c r="BN787" s="58"/>
      <c r="BO787" s="58" t="str">
        <f aca="false">IF(BN787&lt;&gt;"",VLOOKUP(BN787,Selects!$J$4:$K$1000,2,0),"")</f>
        <v/>
      </c>
      <c r="BP787" s="76"/>
      <c r="BQ787" s="59"/>
      <c r="BR787" s="77"/>
      <c r="BS787" s="59"/>
      <c r="BT787" s="77"/>
      <c r="BU787" s="58"/>
      <c r="BV787" s="58"/>
      <c r="BW787" s="58"/>
      <c r="BX787" s="58"/>
      <c r="BY787" s="58"/>
      <c r="BZ787" s="58"/>
      <c r="CA787" s="58"/>
      <c r="CB787" s="72" t="str">
        <f aca="false">IF(AC787&lt;&gt;"",VLOOKUP(AC787,Selects!$B:$E,4,0),"")</f>
        <v/>
      </c>
      <c r="CC787" s="58"/>
      <c r="CD787" s="58"/>
      <c r="CE787" s="58"/>
    </row>
    <row r="788" customFormat="false" ht="15.75" hidden="false" customHeight="true" outlineLevel="0" collapsed="false">
      <c r="A788" s="17"/>
      <c r="B788" s="58"/>
      <c r="C788" s="58"/>
      <c r="D788" s="59"/>
      <c r="E788" s="60" t="str">
        <f aca="false">IF(LEN(D788)=11,"PF",IF(LEN(D788)=14,"PJ",""))</f>
        <v/>
      </c>
      <c r="F788" s="59"/>
      <c r="G788" s="59"/>
      <c r="H788" s="61" t="str">
        <f aca="false">IF(G788&lt;&gt;"",VLOOKUP(G788,'Cnae  mcc  id'!$A:$M,9,0),"")</f>
        <v/>
      </c>
      <c r="I788" s="62"/>
      <c r="J788" s="63" t="str">
        <f aca="false">IF(I788&lt;&gt;"",VLOOKUP(I788,'Legal Nature'!$E$2:$G$84,3,0),"")</f>
        <v/>
      </c>
      <c r="K788" s="64"/>
      <c r="L788" s="65"/>
      <c r="M788" s="66"/>
      <c r="N788" s="66"/>
      <c r="O788" s="79"/>
      <c r="P788" s="26"/>
      <c r="Q788" s="58"/>
      <c r="R788" s="58"/>
      <c r="S788" s="80"/>
      <c r="T788" s="68" t="str">
        <f aca="false">IF(LEFT(S788,1)="9","Celular",IF(S788="","","Fixo"))</f>
        <v/>
      </c>
      <c r="U788" s="58" t="str">
        <f aca="false">IF( T788&lt;&gt;"",VLOOKUP(T788,Selects!$M$4:$N$1000,2,0),"")</f>
        <v/>
      </c>
      <c r="V788" s="26"/>
      <c r="W788" s="58"/>
      <c r="X788" s="58"/>
      <c r="Y788" s="58"/>
      <c r="Z788" s="58"/>
      <c r="AA788" s="69"/>
      <c r="AB788" s="58"/>
      <c r="AC788" s="58"/>
      <c r="AD788" s="70" t="str">
        <f aca="false">IF(AC788&lt;&gt;"",VLOOKUP(AC788,Selects!$B$4:$C$100,2,0),"")</f>
        <v/>
      </c>
      <c r="AE788" s="26"/>
      <c r="AF788" s="58"/>
      <c r="AG788" s="59"/>
      <c r="AH788" s="65"/>
      <c r="AI788" s="66"/>
      <c r="AJ788" s="66"/>
      <c r="AK788" s="58"/>
      <c r="AL788" s="58"/>
      <c r="AM788" s="68" t="str">
        <f aca="false">IF(LEFT(AL788,1)="9","Celular",IF(AL788="","","Fixo"))</f>
        <v/>
      </c>
      <c r="AN788" s="58" t="str">
        <f aca="false">IF( AM788&lt;&gt;"",VLOOKUP(AM788,Selects!$M$4:$N$1000,2,0),"")</f>
        <v/>
      </c>
      <c r="AO788" s="58"/>
      <c r="AP788" s="59"/>
      <c r="AQ788" s="65"/>
      <c r="AR788" s="58"/>
      <c r="AS788" s="58"/>
      <c r="AT788" s="26"/>
      <c r="AU788" s="58"/>
      <c r="AV788" s="58"/>
      <c r="AW788" s="58"/>
      <c r="AX788" s="58"/>
      <c r="AY788" s="71"/>
      <c r="AZ788" s="58"/>
      <c r="BA788" s="58"/>
      <c r="BB788" s="72" t="str">
        <f aca="false">IF(BA788&lt;&gt;"",VLOOKUP(BA788,Selects!$B$4:$C$100,2,0),"")</f>
        <v/>
      </c>
      <c r="BC788" s="26"/>
      <c r="BD788" s="26"/>
      <c r="BE788" s="73"/>
      <c r="BF788" s="74"/>
      <c r="BG788" s="75" t="str">
        <f aca="false">IF(LEN(BF788)=11,"PF",IF(LEN(BF788)=14,"PJ",""))</f>
        <v/>
      </c>
      <c r="BH788" s="66"/>
      <c r="BI788" s="58" t="str">
        <f aca="false">IF(BH788&lt;&gt;"",VLOOKUP(BH788,Selects!$G:$H,2,0),"")</f>
        <v/>
      </c>
      <c r="BJ788" s="58"/>
      <c r="BK788" s="58"/>
      <c r="BL788" s="59"/>
      <c r="BM788" s="58"/>
      <c r="BN788" s="58"/>
      <c r="BO788" s="58" t="str">
        <f aca="false">IF(BN788&lt;&gt;"",VLOOKUP(BN788,Selects!$J$4:$K$1000,2,0),"")</f>
        <v/>
      </c>
      <c r="BP788" s="76"/>
      <c r="BQ788" s="59"/>
      <c r="BR788" s="77"/>
      <c r="BS788" s="59"/>
      <c r="BT788" s="77"/>
      <c r="BU788" s="58"/>
      <c r="BV788" s="58"/>
      <c r="BW788" s="58"/>
      <c r="BX788" s="58"/>
      <c r="BY788" s="58"/>
      <c r="BZ788" s="58"/>
      <c r="CA788" s="58"/>
      <c r="CB788" s="72" t="str">
        <f aca="false">IF(AC788&lt;&gt;"",VLOOKUP(AC788,Selects!$B:$E,4,0),"")</f>
        <v/>
      </c>
      <c r="CC788" s="58"/>
      <c r="CD788" s="58"/>
      <c r="CE788" s="58"/>
    </row>
    <row r="789" customFormat="false" ht="15.75" hidden="false" customHeight="true" outlineLevel="0" collapsed="false">
      <c r="A789" s="17"/>
      <c r="B789" s="58"/>
      <c r="C789" s="58"/>
      <c r="D789" s="59"/>
      <c r="E789" s="60" t="str">
        <f aca="false">IF(LEN(D789)=11,"PF",IF(LEN(D789)=14,"PJ",""))</f>
        <v/>
      </c>
      <c r="F789" s="59"/>
      <c r="G789" s="59"/>
      <c r="H789" s="61" t="str">
        <f aca="false">IF(G789&lt;&gt;"",VLOOKUP(G789,'Cnae  mcc  id'!$A:$M,9,0),"")</f>
        <v/>
      </c>
      <c r="I789" s="62"/>
      <c r="J789" s="63" t="str">
        <f aca="false">IF(I789&lt;&gt;"",VLOOKUP(I789,'Legal Nature'!$E$2:$G$84,3,0),"")</f>
        <v/>
      </c>
      <c r="K789" s="64"/>
      <c r="L789" s="65"/>
      <c r="M789" s="66"/>
      <c r="N789" s="66"/>
      <c r="O789" s="79"/>
      <c r="P789" s="26"/>
      <c r="Q789" s="58"/>
      <c r="R789" s="58"/>
      <c r="S789" s="80"/>
      <c r="T789" s="68" t="str">
        <f aca="false">IF(LEFT(S789,1)="9","Celular",IF(S789="","","Fixo"))</f>
        <v/>
      </c>
      <c r="U789" s="58" t="str">
        <f aca="false">IF( T789&lt;&gt;"",VLOOKUP(T789,Selects!$M$4:$N$1000,2,0),"")</f>
        <v/>
      </c>
      <c r="V789" s="26"/>
      <c r="W789" s="58"/>
      <c r="X789" s="58"/>
      <c r="Y789" s="58"/>
      <c r="Z789" s="58"/>
      <c r="AA789" s="69"/>
      <c r="AB789" s="58"/>
      <c r="AC789" s="58"/>
      <c r="AD789" s="70" t="str">
        <f aca="false">IF(AC789&lt;&gt;"",VLOOKUP(AC789,Selects!$B$4:$C$100,2,0),"")</f>
        <v/>
      </c>
      <c r="AE789" s="26"/>
      <c r="AF789" s="58"/>
      <c r="AG789" s="59"/>
      <c r="AH789" s="65"/>
      <c r="AI789" s="66"/>
      <c r="AJ789" s="66"/>
      <c r="AK789" s="58"/>
      <c r="AL789" s="58"/>
      <c r="AM789" s="68" t="str">
        <f aca="false">IF(LEFT(AL789,1)="9","Celular",IF(AL789="","","Fixo"))</f>
        <v/>
      </c>
      <c r="AN789" s="58" t="str">
        <f aca="false">IF( AM789&lt;&gt;"",VLOOKUP(AM789,Selects!$M$4:$N$1000,2,0),"")</f>
        <v/>
      </c>
      <c r="AO789" s="58"/>
      <c r="AP789" s="59"/>
      <c r="AQ789" s="65"/>
      <c r="AR789" s="58"/>
      <c r="AS789" s="58"/>
      <c r="AT789" s="26"/>
      <c r="AU789" s="58"/>
      <c r="AV789" s="58"/>
      <c r="AW789" s="58"/>
      <c r="AX789" s="58"/>
      <c r="AY789" s="71"/>
      <c r="AZ789" s="58"/>
      <c r="BA789" s="58"/>
      <c r="BB789" s="72" t="str">
        <f aca="false">IF(BA789&lt;&gt;"",VLOOKUP(BA789,Selects!$B$4:$C$100,2,0),"")</f>
        <v/>
      </c>
      <c r="BC789" s="26"/>
      <c r="BD789" s="26"/>
      <c r="BE789" s="73"/>
      <c r="BF789" s="74"/>
      <c r="BG789" s="75" t="str">
        <f aca="false">IF(LEN(BF789)=11,"PF",IF(LEN(BF789)=14,"PJ",""))</f>
        <v/>
      </c>
      <c r="BH789" s="66"/>
      <c r="BI789" s="58" t="str">
        <f aca="false">IF(BH789&lt;&gt;"",VLOOKUP(BH789,Selects!$G:$H,2,0),"")</f>
        <v/>
      </c>
      <c r="BJ789" s="58"/>
      <c r="BK789" s="58"/>
      <c r="BL789" s="59"/>
      <c r="BM789" s="58"/>
      <c r="BN789" s="58"/>
      <c r="BO789" s="58" t="str">
        <f aca="false">IF(BN789&lt;&gt;"",VLOOKUP(BN789,Selects!$J$4:$K$1000,2,0),"")</f>
        <v/>
      </c>
      <c r="BP789" s="76"/>
      <c r="BQ789" s="59"/>
      <c r="BR789" s="77"/>
      <c r="BS789" s="59"/>
      <c r="BT789" s="77"/>
      <c r="BU789" s="58"/>
      <c r="BV789" s="58"/>
      <c r="BW789" s="58"/>
      <c r="BX789" s="58"/>
      <c r="BY789" s="58"/>
      <c r="BZ789" s="58"/>
      <c r="CA789" s="58"/>
      <c r="CB789" s="72" t="str">
        <f aca="false">IF(AC789&lt;&gt;"",VLOOKUP(AC789,Selects!$B:$E,4,0),"")</f>
        <v/>
      </c>
      <c r="CC789" s="58"/>
      <c r="CD789" s="58"/>
      <c r="CE789" s="58"/>
    </row>
    <row r="790" customFormat="false" ht="15.75" hidden="false" customHeight="true" outlineLevel="0" collapsed="false">
      <c r="A790" s="17"/>
      <c r="B790" s="58"/>
      <c r="C790" s="58"/>
      <c r="D790" s="59"/>
      <c r="E790" s="60" t="str">
        <f aca="false">IF(LEN(D790)=11,"PF",IF(LEN(D790)=14,"PJ",""))</f>
        <v/>
      </c>
      <c r="F790" s="59"/>
      <c r="G790" s="59"/>
      <c r="H790" s="61" t="str">
        <f aca="false">IF(G790&lt;&gt;"",VLOOKUP(G790,'Cnae  mcc  id'!$A:$M,9,0),"")</f>
        <v/>
      </c>
      <c r="I790" s="62"/>
      <c r="J790" s="63" t="str">
        <f aca="false">IF(I790&lt;&gt;"",VLOOKUP(I790,'Legal Nature'!$E$2:$G$84,3,0),"")</f>
        <v/>
      </c>
      <c r="K790" s="64"/>
      <c r="L790" s="65"/>
      <c r="M790" s="66"/>
      <c r="N790" s="66"/>
      <c r="O790" s="79"/>
      <c r="P790" s="26"/>
      <c r="Q790" s="58"/>
      <c r="R790" s="58"/>
      <c r="S790" s="80"/>
      <c r="T790" s="68" t="str">
        <f aca="false">IF(LEFT(S790,1)="9","Celular",IF(S790="","","Fixo"))</f>
        <v/>
      </c>
      <c r="U790" s="58" t="str">
        <f aca="false">IF( T790&lt;&gt;"",VLOOKUP(T790,Selects!$M$4:$N$1000,2,0),"")</f>
        <v/>
      </c>
      <c r="V790" s="26"/>
      <c r="W790" s="58"/>
      <c r="X790" s="58"/>
      <c r="Y790" s="58"/>
      <c r="Z790" s="58"/>
      <c r="AA790" s="69"/>
      <c r="AB790" s="58"/>
      <c r="AC790" s="58"/>
      <c r="AD790" s="70" t="str">
        <f aca="false">IF(AC790&lt;&gt;"",VLOOKUP(AC790,Selects!$B$4:$C$100,2,0),"")</f>
        <v/>
      </c>
      <c r="AE790" s="26"/>
      <c r="AF790" s="58"/>
      <c r="AG790" s="59"/>
      <c r="AH790" s="65"/>
      <c r="AI790" s="66"/>
      <c r="AJ790" s="66"/>
      <c r="AK790" s="58"/>
      <c r="AL790" s="58"/>
      <c r="AM790" s="68" t="str">
        <f aca="false">IF(LEFT(AL790,1)="9","Celular",IF(AL790="","","Fixo"))</f>
        <v/>
      </c>
      <c r="AN790" s="58" t="str">
        <f aca="false">IF( AM790&lt;&gt;"",VLOOKUP(AM790,Selects!$M$4:$N$1000,2,0),"")</f>
        <v/>
      </c>
      <c r="AO790" s="58"/>
      <c r="AP790" s="59"/>
      <c r="AQ790" s="65"/>
      <c r="AR790" s="58"/>
      <c r="AS790" s="58"/>
      <c r="AT790" s="26"/>
      <c r="AU790" s="58"/>
      <c r="AV790" s="58"/>
      <c r="AW790" s="58"/>
      <c r="AX790" s="58"/>
      <c r="AY790" s="71"/>
      <c r="AZ790" s="58"/>
      <c r="BA790" s="58"/>
      <c r="BB790" s="72" t="str">
        <f aca="false">IF(BA790&lt;&gt;"",VLOOKUP(BA790,Selects!$B$4:$C$100,2,0),"")</f>
        <v/>
      </c>
      <c r="BC790" s="26"/>
      <c r="BD790" s="26"/>
      <c r="BE790" s="73"/>
      <c r="BF790" s="74"/>
      <c r="BG790" s="75" t="str">
        <f aca="false">IF(LEN(BF790)=11,"PF",IF(LEN(BF790)=14,"PJ",""))</f>
        <v/>
      </c>
      <c r="BH790" s="66"/>
      <c r="BI790" s="58" t="str">
        <f aca="false">IF(BH790&lt;&gt;"",VLOOKUP(BH790,Selects!$G:$H,2,0),"")</f>
        <v/>
      </c>
      <c r="BJ790" s="58"/>
      <c r="BK790" s="58"/>
      <c r="BL790" s="59"/>
      <c r="BM790" s="58"/>
      <c r="BN790" s="58"/>
      <c r="BO790" s="58" t="str">
        <f aca="false">IF(BN790&lt;&gt;"",VLOOKUP(BN790,Selects!$J$4:$K$1000,2,0),"")</f>
        <v/>
      </c>
      <c r="BP790" s="76"/>
      <c r="BQ790" s="59"/>
      <c r="BR790" s="77"/>
      <c r="BS790" s="59"/>
      <c r="BT790" s="77"/>
      <c r="BU790" s="58"/>
      <c r="BV790" s="58"/>
      <c r="BW790" s="58"/>
      <c r="BX790" s="58"/>
      <c r="BY790" s="58"/>
      <c r="BZ790" s="58"/>
      <c r="CA790" s="58"/>
      <c r="CB790" s="72" t="str">
        <f aca="false">IF(AC790&lt;&gt;"",VLOOKUP(AC790,Selects!$B:$E,4,0),"")</f>
        <v/>
      </c>
      <c r="CC790" s="58"/>
      <c r="CD790" s="58"/>
      <c r="CE790" s="58"/>
    </row>
    <row r="791" customFormat="false" ht="15.75" hidden="false" customHeight="true" outlineLevel="0" collapsed="false">
      <c r="A791" s="17"/>
      <c r="B791" s="58"/>
      <c r="C791" s="58"/>
      <c r="D791" s="59"/>
      <c r="E791" s="60" t="str">
        <f aca="false">IF(LEN(D791)=11,"PF",IF(LEN(D791)=14,"PJ",""))</f>
        <v/>
      </c>
      <c r="F791" s="59"/>
      <c r="G791" s="59"/>
      <c r="H791" s="61" t="str">
        <f aca="false">IF(G791&lt;&gt;"",VLOOKUP(G791,'Cnae  mcc  id'!$A:$M,9,0),"")</f>
        <v/>
      </c>
      <c r="I791" s="62"/>
      <c r="J791" s="63" t="str">
        <f aca="false">IF(I791&lt;&gt;"",VLOOKUP(I791,'Legal Nature'!$E$2:$G$84,3,0),"")</f>
        <v/>
      </c>
      <c r="K791" s="64"/>
      <c r="L791" s="65"/>
      <c r="M791" s="66"/>
      <c r="N791" s="66"/>
      <c r="O791" s="79"/>
      <c r="P791" s="26"/>
      <c r="Q791" s="58"/>
      <c r="R791" s="58"/>
      <c r="S791" s="80"/>
      <c r="T791" s="68" t="str">
        <f aca="false">IF(LEFT(S791,1)="9","Celular",IF(S791="","","Fixo"))</f>
        <v/>
      </c>
      <c r="U791" s="58" t="str">
        <f aca="false">IF( T791&lt;&gt;"",VLOOKUP(T791,Selects!$M$4:$N$1000,2,0),"")</f>
        <v/>
      </c>
      <c r="V791" s="26"/>
      <c r="W791" s="58"/>
      <c r="X791" s="58"/>
      <c r="Y791" s="58"/>
      <c r="Z791" s="58"/>
      <c r="AA791" s="69"/>
      <c r="AB791" s="58"/>
      <c r="AC791" s="58"/>
      <c r="AD791" s="70" t="str">
        <f aca="false">IF(AC791&lt;&gt;"",VLOOKUP(AC791,Selects!$B$4:$C$100,2,0),"")</f>
        <v/>
      </c>
      <c r="AE791" s="26"/>
      <c r="AF791" s="58"/>
      <c r="AG791" s="59"/>
      <c r="AH791" s="65"/>
      <c r="AI791" s="66"/>
      <c r="AJ791" s="66"/>
      <c r="AK791" s="58"/>
      <c r="AL791" s="58"/>
      <c r="AM791" s="68" t="str">
        <f aca="false">IF(LEFT(AL791,1)="9","Celular",IF(AL791="","","Fixo"))</f>
        <v/>
      </c>
      <c r="AN791" s="58" t="str">
        <f aca="false">IF( AM791&lt;&gt;"",VLOOKUP(AM791,Selects!$M$4:$N$1000,2,0),"")</f>
        <v/>
      </c>
      <c r="AO791" s="58"/>
      <c r="AP791" s="59"/>
      <c r="AQ791" s="65"/>
      <c r="AR791" s="58"/>
      <c r="AS791" s="58"/>
      <c r="AT791" s="26"/>
      <c r="AU791" s="58"/>
      <c r="AV791" s="58"/>
      <c r="AW791" s="58"/>
      <c r="AX791" s="58"/>
      <c r="AY791" s="71"/>
      <c r="AZ791" s="58"/>
      <c r="BA791" s="58"/>
      <c r="BB791" s="72" t="str">
        <f aca="false">IF(BA791&lt;&gt;"",VLOOKUP(BA791,Selects!$B$4:$C$100,2,0),"")</f>
        <v/>
      </c>
      <c r="BC791" s="26"/>
      <c r="BD791" s="26"/>
      <c r="BE791" s="73"/>
      <c r="BF791" s="74"/>
      <c r="BG791" s="75" t="str">
        <f aca="false">IF(LEN(BF791)=11,"PF",IF(LEN(BF791)=14,"PJ",""))</f>
        <v/>
      </c>
      <c r="BH791" s="66"/>
      <c r="BI791" s="58" t="str">
        <f aca="false">IF(BH791&lt;&gt;"",VLOOKUP(BH791,Selects!$G:$H,2,0),"")</f>
        <v/>
      </c>
      <c r="BJ791" s="58"/>
      <c r="BK791" s="58"/>
      <c r="BL791" s="59"/>
      <c r="BM791" s="58"/>
      <c r="BN791" s="58"/>
      <c r="BO791" s="58" t="str">
        <f aca="false">IF(BN791&lt;&gt;"",VLOOKUP(BN791,Selects!$J$4:$K$1000,2,0),"")</f>
        <v/>
      </c>
      <c r="BP791" s="76"/>
      <c r="BQ791" s="59"/>
      <c r="BR791" s="77"/>
      <c r="BS791" s="59"/>
      <c r="BT791" s="77"/>
      <c r="BU791" s="58"/>
      <c r="BV791" s="58"/>
      <c r="BW791" s="58"/>
      <c r="BX791" s="58"/>
      <c r="BY791" s="58"/>
      <c r="BZ791" s="58"/>
      <c r="CA791" s="58"/>
      <c r="CB791" s="72" t="str">
        <f aca="false">IF(AC791&lt;&gt;"",VLOOKUP(AC791,Selects!$B:$E,4,0),"")</f>
        <v/>
      </c>
      <c r="CC791" s="58"/>
      <c r="CD791" s="58"/>
      <c r="CE791" s="58"/>
    </row>
    <row r="792" customFormat="false" ht="15.75" hidden="false" customHeight="true" outlineLevel="0" collapsed="false">
      <c r="A792" s="17"/>
      <c r="B792" s="58"/>
      <c r="C792" s="58"/>
      <c r="D792" s="59"/>
      <c r="E792" s="60" t="str">
        <f aca="false">IF(LEN(D792)=11,"PF",IF(LEN(D792)=14,"PJ",""))</f>
        <v/>
      </c>
      <c r="F792" s="59"/>
      <c r="G792" s="59"/>
      <c r="H792" s="61" t="str">
        <f aca="false">IF(G792&lt;&gt;"",VLOOKUP(G792,'Cnae  mcc  id'!$A:$M,9,0),"")</f>
        <v/>
      </c>
      <c r="I792" s="62"/>
      <c r="J792" s="63" t="str">
        <f aca="false">IF(I792&lt;&gt;"",VLOOKUP(I792,'Legal Nature'!$E$2:$G$84,3,0),"")</f>
        <v/>
      </c>
      <c r="K792" s="64"/>
      <c r="L792" s="65"/>
      <c r="M792" s="66"/>
      <c r="N792" s="66"/>
      <c r="O792" s="79"/>
      <c r="P792" s="26"/>
      <c r="Q792" s="58"/>
      <c r="R792" s="58"/>
      <c r="S792" s="80"/>
      <c r="T792" s="68" t="str">
        <f aca="false">IF(LEFT(S792,1)="9","Celular",IF(S792="","","Fixo"))</f>
        <v/>
      </c>
      <c r="U792" s="58" t="str">
        <f aca="false">IF( T792&lt;&gt;"",VLOOKUP(T792,Selects!$M$4:$N$1000,2,0),"")</f>
        <v/>
      </c>
      <c r="V792" s="26"/>
      <c r="W792" s="58"/>
      <c r="X792" s="58"/>
      <c r="Y792" s="58"/>
      <c r="Z792" s="58"/>
      <c r="AA792" s="69"/>
      <c r="AB792" s="58"/>
      <c r="AC792" s="58"/>
      <c r="AD792" s="70" t="str">
        <f aca="false">IF(AC792&lt;&gt;"",VLOOKUP(AC792,Selects!$B$4:$C$100,2,0),"")</f>
        <v/>
      </c>
      <c r="AE792" s="26"/>
      <c r="AF792" s="58"/>
      <c r="AG792" s="59"/>
      <c r="AH792" s="65"/>
      <c r="AI792" s="66"/>
      <c r="AJ792" s="66"/>
      <c r="AK792" s="58"/>
      <c r="AL792" s="58"/>
      <c r="AM792" s="68" t="str">
        <f aca="false">IF(LEFT(AL792,1)="9","Celular",IF(AL792="","","Fixo"))</f>
        <v/>
      </c>
      <c r="AN792" s="58" t="str">
        <f aca="false">IF( AM792&lt;&gt;"",VLOOKUP(AM792,Selects!$M$4:$N$1000,2,0),"")</f>
        <v/>
      </c>
      <c r="AO792" s="58"/>
      <c r="AP792" s="59"/>
      <c r="AQ792" s="65"/>
      <c r="AR792" s="58"/>
      <c r="AS792" s="58"/>
      <c r="AT792" s="26"/>
      <c r="AU792" s="58"/>
      <c r="AV792" s="58"/>
      <c r="AW792" s="58"/>
      <c r="AX792" s="58"/>
      <c r="AY792" s="71"/>
      <c r="AZ792" s="58"/>
      <c r="BA792" s="58"/>
      <c r="BB792" s="72" t="str">
        <f aca="false">IF(BA792&lt;&gt;"",VLOOKUP(BA792,Selects!$B$4:$C$100,2,0),"")</f>
        <v/>
      </c>
      <c r="BC792" s="26"/>
      <c r="BD792" s="26"/>
      <c r="BE792" s="73"/>
      <c r="BF792" s="74"/>
      <c r="BG792" s="75" t="str">
        <f aca="false">IF(LEN(BF792)=11,"PF",IF(LEN(BF792)=14,"PJ",""))</f>
        <v/>
      </c>
      <c r="BH792" s="66"/>
      <c r="BI792" s="58" t="str">
        <f aca="false">IF(BH792&lt;&gt;"",VLOOKUP(BH792,Selects!$G:$H,2,0),"")</f>
        <v/>
      </c>
      <c r="BJ792" s="58"/>
      <c r="BK792" s="58"/>
      <c r="BL792" s="59"/>
      <c r="BM792" s="58"/>
      <c r="BN792" s="58"/>
      <c r="BO792" s="58" t="str">
        <f aca="false">IF(BN792&lt;&gt;"",VLOOKUP(BN792,Selects!$J$4:$K$1000,2,0),"")</f>
        <v/>
      </c>
      <c r="BP792" s="76"/>
      <c r="BQ792" s="59"/>
      <c r="BR792" s="77"/>
      <c r="BS792" s="59"/>
      <c r="BT792" s="77"/>
      <c r="BU792" s="58"/>
      <c r="BV792" s="58"/>
      <c r="BW792" s="58"/>
      <c r="BX792" s="58"/>
      <c r="BY792" s="58"/>
      <c r="BZ792" s="58"/>
      <c r="CA792" s="58"/>
      <c r="CB792" s="72" t="str">
        <f aca="false">IF(AC792&lt;&gt;"",VLOOKUP(AC792,Selects!$B:$E,4,0),"")</f>
        <v/>
      </c>
      <c r="CC792" s="58"/>
      <c r="CD792" s="58"/>
      <c r="CE792" s="58"/>
    </row>
    <row r="793" customFormat="false" ht="15.75" hidden="false" customHeight="true" outlineLevel="0" collapsed="false">
      <c r="A793" s="17"/>
      <c r="B793" s="58"/>
      <c r="C793" s="58"/>
      <c r="D793" s="59"/>
      <c r="E793" s="60" t="str">
        <f aca="false">IF(LEN(D793)=11,"PF",IF(LEN(D793)=14,"PJ",""))</f>
        <v/>
      </c>
      <c r="F793" s="59"/>
      <c r="G793" s="59"/>
      <c r="H793" s="61" t="str">
        <f aca="false">IF(G793&lt;&gt;"",VLOOKUP(G793,'Cnae  mcc  id'!$A:$M,9,0),"")</f>
        <v/>
      </c>
      <c r="I793" s="62"/>
      <c r="J793" s="63" t="str">
        <f aca="false">IF(I793&lt;&gt;"",VLOOKUP(I793,'Legal Nature'!$E$2:$G$84,3,0),"")</f>
        <v/>
      </c>
      <c r="K793" s="64"/>
      <c r="L793" s="65"/>
      <c r="M793" s="66"/>
      <c r="N793" s="66"/>
      <c r="O793" s="79"/>
      <c r="P793" s="26"/>
      <c r="Q793" s="58"/>
      <c r="R793" s="58"/>
      <c r="S793" s="80"/>
      <c r="T793" s="68" t="str">
        <f aca="false">IF(LEFT(S793,1)="9","Celular",IF(S793="","","Fixo"))</f>
        <v/>
      </c>
      <c r="U793" s="58" t="str">
        <f aca="false">IF( T793&lt;&gt;"",VLOOKUP(T793,Selects!$M$4:$N$1000,2,0),"")</f>
        <v/>
      </c>
      <c r="V793" s="26"/>
      <c r="W793" s="58"/>
      <c r="X793" s="58"/>
      <c r="Y793" s="58"/>
      <c r="Z793" s="58"/>
      <c r="AA793" s="69"/>
      <c r="AB793" s="58"/>
      <c r="AC793" s="58"/>
      <c r="AD793" s="70" t="str">
        <f aca="false">IF(AC793&lt;&gt;"",VLOOKUP(AC793,Selects!$B$4:$C$100,2,0),"")</f>
        <v/>
      </c>
      <c r="AE793" s="26"/>
      <c r="AF793" s="58"/>
      <c r="AG793" s="59"/>
      <c r="AH793" s="65"/>
      <c r="AI793" s="66"/>
      <c r="AJ793" s="66"/>
      <c r="AK793" s="58"/>
      <c r="AL793" s="58"/>
      <c r="AM793" s="68" t="str">
        <f aca="false">IF(LEFT(AL793,1)="9","Celular",IF(AL793="","","Fixo"))</f>
        <v/>
      </c>
      <c r="AN793" s="58" t="str">
        <f aca="false">IF( AM793&lt;&gt;"",VLOOKUP(AM793,Selects!$M$4:$N$1000,2,0),"")</f>
        <v/>
      </c>
      <c r="AO793" s="58"/>
      <c r="AP793" s="59"/>
      <c r="AQ793" s="65"/>
      <c r="AR793" s="58"/>
      <c r="AS793" s="58"/>
      <c r="AT793" s="26"/>
      <c r="AU793" s="58"/>
      <c r="AV793" s="58"/>
      <c r="AW793" s="58"/>
      <c r="AX793" s="58"/>
      <c r="AY793" s="71"/>
      <c r="AZ793" s="58"/>
      <c r="BA793" s="58"/>
      <c r="BB793" s="72" t="str">
        <f aca="false">IF(BA793&lt;&gt;"",VLOOKUP(BA793,Selects!$B$4:$C$100,2,0),"")</f>
        <v/>
      </c>
      <c r="BC793" s="26"/>
      <c r="BD793" s="26"/>
      <c r="BE793" s="73"/>
      <c r="BF793" s="74"/>
      <c r="BG793" s="75" t="str">
        <f aca="false">IF(LEN(BF793)=11,"PF",IF(LEN(BF793)=14,"PJ",""))</f>
        <v/>
      </c>
      <c r="BH793" s="66"/>
      <c r="BI793" s="58" t="str">
        <f aca="false">IF(BH793&lt;&gt;"",VLOOKUP(BH793,Selects!$G:$H,2,0),"")</f>
        <v/>
      </c>
      <c r="BJ793" s="58"/>
      <c r="BK793" s="58"/>
      <c r="BL793" s="59"/>
      <c r="BM793" s="58"/>
      <c r="BN793" s="58"/>
      <c r="BO793" s="58" t="str">
        <f aca="false">IF(BN793&lt;&gt;"",VLOOKUP(BN793,Selects!$J$4:$K$1000,2,0),"")</f>
        <v/>
      </c>
      <c r="BP793" s="76"/>
      <c r="BQ793" s="59"/>
      <c r="BR793" s="77"/>
      <c r="BS793" s="59"/>
      <c r="BT793" s="77"/>
      <c r="BU793" s="58"/>
      <c r="BV793" s="58"/>
      <c r="BW793" s="58"/>
      <c r="BX793" s="58"/>
      <c r="BY793" s="58"/>
      <c r="BZ793" s="58"/>
      <c r="CA793" s="58"/>
      <c r="CB793" s="72" t="str">
        <f aca="false">IF(AC793&lt;&gt;"",VLOOKUP(AC793,Selects!$B:$E,4,0),"")</f>
        <v/>
      </c>
      <c r="CC793" s="58"/>
      <c r="CD793" s="58"/>
      <c r="CE793" s="58"/>
    </row>
    <row r="794" customFormat="false" ht="15.75" hidden="false" customHeight="true" outlineLevel="0" collapsed="false">
      <c r="A794" s="17"/>
      <c r="B794" s="58"/>
      <c r="C794" s="58"/>
      <c r="D794" s="59"/>
      <c r="E794" s="60" t="str">
        <f aca="false">IF(LEN(D794)=11,"PF",IF(LEN(D794)=14,"PJ",""))</f>
        <v/>
      </c>
      <c r="F794" s="59"/>
      <c r="G794" s="59"/>
      <c r="H794" s="61" t="str">
        <f aca="false">IF(G794&lt;&gt;"",VLOOKUP(G794,'Cnae  mcc  id'!$A:$M,9,0),"")</f>
        <v/>
      </c>
      <c r="I794" s="62"/>
      <c r="J794" s="63" t="str">
        <f aca="false">IF(I794&lt;&gt;"",VLOOKUP(I794,'Legal Nature'!$E$2:$G$84,3,0),"")</f>
        <v/>
      </c>
      <c r="K794" s="64"/>
      <c r="L794" s="65"/>
      <c r="M794" s="66"/>
      <c r="N794" s="66"/>
      <c r="O794" s="79"/>
      <c r="P794" s="26"/>
      <c r="Q794" s="58"/>
      <c r="R794" s="58"/>
      <c r="S794" s="80"/>
      <c r="T794" s="68" t="str">
        <f aca="false">IF(LEFT(S794,1)="9","Celular",IF(S794="","","Fixo"))</f>
        <v/>
      </c>
      <c r="U794" s="58" t="str">
        <f aca="false">IF( T794&lt;&gt;"",VLOOKUP(T794,Selects!$M$4:$N$1000,2,0),"")</f>
        <v/>
      </c>
      <c r="V794" s="26"/>
      <c r="W794" s="58"/>
      <c r="X794" s="58"/>
      <c r="Y794" s="58"/>
      <c r="Z794" s="58"/>
      <c r="AA794" s="69"/>
      <c r="AB794" s="58"/>
      <c r="AC794" s="58"/>
      <c r="AD794" s="70" t="str">
        <f aca="false">IF(AC794&lt;&gt;"",VLOOKUP(AC794,Selects!$B$4:$C$100,2,0),"")</f>
        <v/>
      </c>
      <c r="AE794" s="26"/>
      <c r="AF794" s="58"/>
      <c r="AG794" s="59"/>
      <c r="AH794" s="65"/>
      <c r="AI794" s="66"/>
      <c r="AJ794" s="66"/>
      <c r="AK794" s="58"/>
      <c r="AL794" s="58"/>
      <c r="AM794" s="68" t="str">
        <f aca="false">IF(LEFT(AL794,1)="9","Celular",IF(AL794="","","Fixo"))</f>
        <v/>
      </c>
      <c r="AN794" s="58" t="str">
        <f aca="false">IF( AM794&lt;&gt;"",VLOOKUP(AM794,Selects!$M$4:$N$1000,2,0),"")</f>
        <v/>
      </c>
      <c r="AO794" s="58"/>
      <c r="AP794" s="59"/>
      <c r="AQ794" s="65"/>
      <c r="AR794" s="58"/>
      <c r="AS794" s="58"/>
      <c r="AT794" s="26"/>
      <c r="AU794" s="58"/>
      <c r="AV794" s="58"/>
      <c r="AW794" s="58"/>
      <c r="AX794" s="58"/>
      <c r="AY794" s="71"/>
      <c r="AZ794" s="58"/>
      <c r="BA794" s="58"/>
      <c r="BB794" s="72" t="str">
        <f aca="false">IF(BA794&lt;&gt;"",VLOOKUP(BA794,Selects!$B$4:$C$100,2,0),"")</f>
        <v/>
      </c>
      <c r="BC794" s="26"/>
      <c r="BD794" s="26"/>
      <c r="BE794" s="73"/>
      <c r="BF794" s="74"/>
      <c r="BG794" s="75" t="str">
        <f aca="false">IF(LEN(BF794)=11,"PF",IF(LEN(BF794)=14,"PJ",""))</f>
        <v/>
      </c>
      <c r="BH794" s="66"/>
      <c r="BI794" s="58" t="str">
        <f aca="false">IF(BH794&lt;&gt;"",VLOOKUP(BH794,Selects!$G:$H,2,0),"")</f>
        <v/>
      </c>
      <c r="BJ794" s="58"/>
      <c r="BK794" s="58"/>
      <c r="BL794" s="59"/>
      <c r="BM794" s="58"/>
      <c r="BN794" s="58"/>
      <c r="BO794" s="58" t="str">
        <f aca="false">IF(BN794&lt;&gt;"",VLOOKUP(BN794,Selects!$J$4:$K$1000,2,0),"")</f>
        <v/>
      </c>
      <c r="BP794" s="76"/>
      <c r="BQ794" s="59"/>
      <c r="BR794" s="77"/>
      <c r="BS794" s="59"/>
      <c r="BT794" s="77"/>
      <c r="BU794" s="58"/>
      <c r="BV794" s="58"/>
      <c r="BW794" s="58"/>
      <c r="BX794" s="58"/>
      <c r="BY794" s="58"/>
      <c r="BZ794" s="58"/>
      <c r="CA794" s="58"/>
      <c r="CB794" s="72" t="str">
        <f aca="false">IF(AC794&lt;&gt;"",VLOOKUP(AC794,Selects!$B:$E,4,0),"")</f>
        <v/>
      </c>
      <c r="CC794" s="58"/>
      <c r="CD794" s="58"/>
      <c r="CE794" s="58"/>
    </row>
    <row r="795" customFormat="false" ht="15.75" hidden="false" customHeight="true" outlineLevel="0" collapsed="false">
      <c r="A795" s="17"/>
      <c r="B795" s="58"/>
      <c r="C795" s="58"/>
      <c r="D795" s="59"/>
      <c r="E795" s="60" t="str">
        <f aca="false">IF(LEN(D795)=11,"PF",IF(LEN(D795)=14,"PJ",""))</f>
        <v/>
      </c>
      <c r="F795" s="59"/>
      <c r="G795" s="59"/>
      <c r="H795" s="61" t="str">
        <f aca="false">IF(G795&lt;&gt;"",VLOOKUP(G795,'Cnae  mcc  id'!$A:$M,9,0),"")</f>
        <v/>
      </c>
      <c r="I795" s="62"/>
      <c r="J795" s="63" t="str">
        <f aca="false">IF(I795&lt;&gt;"",VLOOKUP(I795,'Legal Nature'!$E$2:$G$84,3,0),"")</f>
        <v/>
      </c>
      <c r="K795" s="64"/>
      <c r="L795" s="65"/>
      <c r="M795" s="66"/>
      <c r="N795" s="66"/>
      <c r="O795" s="79"/>
      <c r="P795" s="26"/>
      <c r="Q795" s="58"/>
      <c r="R795" s="58"/>
      <c r="S795" s="80"/>
      <c r="T795" s="68" t="str">
        <f aca="false">IF(LEFT(S795,1)="9","Celular",IF(S795="","","Fixo"))</f>
        <v/>
      </c>
      <c r="U795" s="58" t="str">
        <f aca="false">IF( T795&lt;&gt;"",VLOOKUP(T795,Selects!$M$4:$N$1000,2,0),"")</f>
        <v/>
      </c>
      <c r="V795" s="26"/>
      <c r="W795" s="58"/>
      <c r="X795" s="58"/>
      <c r="Y795" s="58"/>
      <c r="Z795" s="58"/>
      <c r="AA795" s="69"/>
      <c r="AB795" s="58"/>
      <c r="AC795" s="58"/>
      <c r="AD795" s="70" t="str">
        <f aca="false">IF(AC795&lt;&gt;"",VLOOKUP(AC795,Selects!$B$4:$C$100,2,0),"")</f>
        <v/>
      </c>
      <c r="AE795" s="26"/>
      <c r="AF795" s="58"/>
      <c r="AG795" s="59"/>
      <c r="AH795" s="65"/>
      <c r="AI795" s="66"/>
      <c r="AJ795" s="66"/>
      <c r="AK795" s="58"/>
      <c r="AL795" s="58"/>
      <c r="AM795" s="68" t="str">
        <f aca="false">IF(LEFT(AL795,1)="9","Celular",IF(AL795="","","Fixo"))</f>
        <v/>
      </c>
      <c r="AN795" s="58" t="str">
        <f aca="false">IF( AM795&lt;&gt;"",VLOOKUP(AM795,Selects!$M$4:$N$1000,2,0),"")</f>
        <v/>
      </c>
      <c r="AO795" s="58"/>
      <c r="AP795" s="59"/>
      <c r="AQ795" s="65"/>
      <c r="AR795" s="58"/>
      <c r="AS795" s="58"/>
      <c r="AT795" s="26"/>
      <c r="AU795" s="58"/>
      <c r="AV795" s="58"/>
      <c r="AW795" s="58"/>
      <c r="AX795" s="58"/>
      <c r="AY795" s="71"/>
      <c r="AZ795" s="58"/>
      <c r="BA795" s="58"/>
      <c r="BB795" s="72" t="str">
        <f aca="false">IF(BA795&lt;&gt;"",VLOOKUP(BA795,Selects!$B$4:$C$100,2,0),"")</f>
        <v/>
      </c>
      <c r="BC795" s="26"/>
      <c r="BD795" s="26"/>
      <c r="BE795" s="73"/>
      <c r="BF795" s="74"/>
      <c r="BG795" s="75" t="str">
        <f aca="false">IF(LEN(BF795)=11,"PF",IF(LEN(BF795)=14,"PJ",""))</f>
        <v/>
      </c>
      <c r="BH795" s="66"/>
      <c r="BI795" s="58" t="str">
        <f aca="false">IF(BH795&lt;&gt;"",VLOOKUP(BH795,Selects!$G:$H,2,0),"")</f>
        <v/>
      </c>
      <c r="BJ795" s="58"/>
      <c r="BK795" s="58"/>
      <c r="BL795" s="59"/>
      <c r="BM795" s="58"/>
      <c r="BN795" s="58"/>
      <c r="BO795" s="58" t="str">
        <f aca="false">IF(BN795&lt;&gt;"",VLOOKUP(BN795,Selects!$J$4:$K$1000,2,0),"")</f>
        <v/>
      </c>
      <c r="BP795" s="76"/>
      <c r="BQ795" s="59"/>
      <c r="BR795" s="77"/>
      <c r="BS795" s="59"/>
      <c r="BT795" s="77"/>
      <c r="BU795" s="58"/>
      <c r="BV795" s="58"/>
      <c r="BW795" s="58"/>
      <c r="BX795" s="58"/>
      <c r="BY795" s="58"/>
      <c r="BZ795" s="58"/>
      <c r="CA795" s="58"/>
      <c r="CB795" s="72" t="str">
        <f aca="false">IF(AC795&lt;&gt;"",VLOOKUP(AC795,Selects!$B:$E,4,0),"")</f>
        <v/>
      </c>
      <c r="CC795" s="58"/>
      <c r="CD795" s="58"/>
      <c r="CE795" s="58"/>
    </row>
    <row r="796" customFormat="false" ht="15.75" hidden="false" customHeight="true" outlineLevel="0" collapsed="false">
      <c r="A796" s="17"/>
      <c r="B796" s="58"/>
      <c r="C796" s="58"/>
      <c r="D796" s="59"/>
      <c r="E796" s="60" t="str">
        <f aca="false">IF(LEN(D796)=11,"PF",IF(LEN(D796)=14,"PJ",""))</f>
        <v/>
      </c>
      <c r="F796" s="59"/>
      <c r="G796" s="59"/>
      <c r="H796" s="61" t="str">
        <f aca="false">IF(G796&lt;&gt;"",VLOOKUP(G796,'Cnae  mcc  id'!$A:$M,9,0),"")</f>
        <v/>
      </c>
      <c r="I796" s="62"/>
      <c r="J796" s="63" t="str">
        <f aca="false">IF(I796&lt;&gt;"",VLOOKUP(I796,'Legal Nature'!$E$2:$G$84,3,0),"")</f>
        <v/>
      </c>
      <c r="K796" s="64"/>
      <c r="L796" s="65"/>
      <c r="M796" s="66"/>
      <c r="N796" s="66"/>
      <c r="O796" s="79"/>
      <c r="P796" s="26"/>
      <c r="Q796" s="58"/>
      <c r="R796" s="58"/>
      <c r="S796" s="80"/>
      <c r="T796" s="68" t="str">
        <f aca="false">IF(LEFT(S796,1)="9","Celular",IF(S796="","","Fixo"))</f>
        <v/>
      </c>
      <c r="U796" s="58" t="str">
        <f aca="false">IF( T796&lt;&gt;"",VLOOKUP(T796,Selects!$M$4:$N$1000,2,0),"")</f>
        <v/>
      </c>
      <c r="V796" s="26"/>
      <c r="W796" s="58"/>
      <c r="X796" s="58"/>
      <c r="Y796" s="58"/>
      <c r="Z796" s="58"/>
      <c r="AA796" s="69"/>
      <c r="AB796" s="58"/>
      <c r="AC796" s="58"/>
      <c r="AD796" s="70" t="str">
        <f aca="false">IF(AC796&lt;&gt;"",VLOOKUP(AC796,Selects!$B$4:$C$100,2,0),"")</f>
        <v/>
      </c>
      <c r="AE796" s="26"/>
      <c r="AF796" s="58"/>
      <c r="AG796" s="59"/>
      <c r="AH796" s="65"/>
      <c r="AI796" s="66"/>
      <c r="AJ796" s="66"/>
      <c r="AK796" s="58"/>
      <c r="AL796" s="58"/>
      <c r="AM796" s="68" t="str">
        <f aca="false">IF(LEFT(AL796,1)="9","Celular",IF(AL796="","","Fixo"))</f>
        <v/>
      </c>
      <c r="AN796" s="58" t="str">
        <f aca="false">IF( AM796&lt;&gt;"",VLOOKUP(AM796,Selects!$M$4:$N$1000,2,0),"")</f>
        <v/>
      </c>
      <c r="AO796" s="58"/>
      <c r="AP796" s="59"/>
      <c r="AQ796" s="65"/>
      <c r="AR796" s="58"/>
      <c r="AS796" s="58"/>
      <c r="AT796" s="26"/>
      <c r="AU796" s="58"/>
      <c r="AV796" s="58"/>
      <c r="AW796" s="58"/>
      <c r="AX796" s="58"/>
      <c r="AY796" s="71"/>
      <c r="AZ796" s="58"/>
      <c r="BA796" s="58"/>
      <c r="BB796" s="72" t="str">
        <f aca="false">IF(BA796&lt;&gt;"",VLOOKUP(BA796,Selects!$B$4:$C$100,2,0),"")</f>
        <v/>
      </c>
      <c r="BC796" s="26"/>
      <c r="BD796" s="26"/>
      <c r="BE796" s="73"/>
      <c r="BF796" s="74"/>
      <c r="BG796" s="75" t="str">
        <f aca="false">IF(LEN(BF796)=11,"PF",IF(LEN(BF796)=14,"PJ",""))</f>
        <v/>
      </c>
      <c r="BH796" s="66"/>
      <c r="BI796" s="58" t="str">
        <f aca="false">IF(BH796&lt;&gt;"",VLOOKUP(BH796,Selects!$G:$H,2,0),"")</f>
        <v/>
      </c>
      <c r="BJ796" s="58"/>
      <c r="BK796" s="58"/>
      <c r="BL796" s="59"/>
      <c r="BM796" s="58"/>
      <c r="BN796" s="58"/>
      <c r="BO796" s="58" t="str">
        <f aca="false">IF(BN796&lt;&gt;"",VLOOKUP(BN796,Selects!$J$4:$K$1000,2,0),"")</f>
        <v/>
      </c>
      <c r="BP796" s="76"/>
      <c r="BQ796" s="59"/>
      <c r="BR796" s="77"/>
      <c r="BS796" s="59"/>
      <c r="BT796" s="77"/>
      <c r="BU796" s="58"/>
      <c r="BV796" s="58"/>
      <c r="BW796" s="58"/>
      <c r="BX796" s="58"/>
      <c r="BY796" s="58"/>
      <c r="BZ796" s="58"/>
      <c r="CA796" s="58"/>
      <c r="CB796" s="72" t="str">
        <f aca="false">IF(AC796&lt;&gt;"",VLOOKUP(AC796,Selects!$B:$E,4,0),"")</f>
        <v/>
      </c>
      <c r="CC796" s="58"/>
      <c r="CD796" s="58"/>
      <c r="CE796" s="58"/>
    </row>
    <row r="797" customFormat="false" ht="15.75" hidden="false" customHeight="true" outlineLevel="0" collapsed="false">
      <c r="A797" s="17"/>
      <c r="B797" s="58"/>
      <c r="C797" s="58"/>
      <c r="D797" s="59"/>
      <c r="E797" s="60" t="str">
        <f aca="false">IF(LEN(D797)=11,"PF",IF(LEN(D797)=14,"PJ",""))</f>
        <v/>
      </c>
      <c r="F797" s="59"/>
      <c r="G797" s="59"/>
      <c r="H797" s="61" t="str">
        <f aca="false">IF(G797&lt;&gt;"",VLOOKUP(G797,'Cnae  mcc  id'!$A:$M,9,0),"")</f>
        <v/>
      </c>
      <c r="I797" s="62"/>
      <c r="J797" s="63" t="str">
        <f aca="false">IF(I797&lt;&gt;"",VLOOKUP(I797,'Legal Nature'!$E$2:$G$84,3,0),"")</f>
        <v/>
      </c>
      <c r="K797" s="64"/>
      <c r="L797" s="65"/>
      <c r="M797" s="66"/>
      <c r="N797" s="66"/>
      <c r="O797" s="79"/>
      <c r="P797" s="26"/>
      <c r="Q797" s="58"/>
      <c r="R797" s="58"/>
      <c r="S797" s="80"/>
      <c r="T797" s="68" t="str">
        <f aca="false">IF(LEFT(S797,1)="9","Celular",IF(S797="","","Fixo"))</f>
        <v/>
      </c>
      <c r="U797" s="58" t="str">
        <f aca="false">IF( T797&lt;&gt;"",VLOOKUP(T797,Selects!$M$4:$N$1000,2,0),"")</f>
        <v/>
      </c>
      <c r="V797" s="26"/>
      <c r="W797" s="58"/>
      <c r="X797" s="58"/>
      <c r="Y797" s="58"/>
      <c r="Z797" s="58"/>
      <c r="AA797" s="69"/>
      <c r="AB797" s="58"/>
      <c r="AC797" s="58"/>
      <c r="AD797" s="70" t="str">
        <f aca="false">IF(AC797&lt;&gt;"",VLOOKUP(AC797,Selects!$B$4:$C$100,2,0),"")</f>
        <v/>
      </c>
      <c r="AE797" s="26"/>
      <c r="AF797" s="58"/>
      <c r="AG797" s="59"/>
      <c r="AH797" s="65"/>
      <c r="AI797" s="66"/>
      <c r="AJ797" s="66"/>
      <c r="AK797" s="58"/>
      <c r="AL797" s="58"/>
      <c r="AM797" s="68" t="str">
        <f aca="false">IF(LEFT(AL797,1)="9","Celular",IF(AL797="","","Fixo"))</f>
        <v/>
      </c>
      <c r="AN797" s="58" t="str">
        <f aca="false">IF( AM797&lt;&gt;"",VLOOKUP(AM797,Selects!$M$4:$N$1000,2,0),"")</f>
        <v/>
      </c>
      <c r="AO797" s="58"/>
      <c r="AP797" s="59"/>
      <c r="AQ797" s="65"/>
      <c r="AR797" s="58"/>
      <c r="AS797" s="58"/>
      <c r="AT797" s="26"/>
      <c r="AU797" s="58"/>
      <c r="AV797" s="58"/>
      <c r="AW797" s="58"/>
      <c r="AX797" s="58"/>
      <c r="AY797" s="71"/>
      <c r="AZ797" s="58"/>
      <c r="BA797" s="58"/>
      <c r="BB797" s="72" t="str">
        <f aca="false">IF(BA797&lt;&gt;"",VLOOKUP(BA797,Selects!$B$4:$C$100,2,0),"")</f>
        <v/>
      </c>
      <c r="BC797" s="26"/>
      <c r="BD797" s="26"/>
      <c r="BE797" s="73"/>
      <c r="BF797" s="74"/>
      <c r="BG797" s="75" t="str">
        <f aca="false">IF(LEN(BF797)=11,"PF",IF(LEN(BF797)=14,"PJ",""))</f>
        <v/>
      </c>
      <c r="BH797" s="66"/>
      <c r="BI797" s="58" t="str">
        <f aca="false">IF(BH797&lt;&gt;"",VLOOKUP(BH797,Selects!$G:$H,2,0),"")</f>
        <v/>
      </c>
      <c r="BJ797" s="58"/>
      <c r="BK797" s="58"/>
      <c r="BL797" s="59"/>
      <c r="BM797" s="58"/>
      <c r="BN797" s="58"/>
      <c r="BO797" s="58" t="str">
        <f aca="false">IF(BN797&lt;&gt;"",VLOOKUP(BN797,Selects!$J$4:$K$1000,2,0),"")</f>
        <v/>
      </c>
      <c r="BP797" s="76"/>
      <c r="BQ797" s="59"/>
      <c r="BR797" s="77"/>
      <c r="BS797" s="59"/>
      <c r="BT797" s="77"/>
      <c r="BU797" s="58"/>
      <c r="BV797" s="58"/>
      <c r="BW797" s="58"/>
      <c r="BX797" s="58"/>
      <c r="BY797" s="58"/>
      <c r="BZ797" s="58"/>
      <c r="CA797" s="58"/>
      <c r="CB797" s="72" t="str">
        <f aca="false">IF(AC797&lt;&gt;"",VLOOKUP(AC797,Selects!$B:$E,4,0),"")</f>
        <v/>
      </c>
      <c r="CC797" s="58"/>
      <c r="CD797" s="58"/>
      <c r="CE797" s="58"/>
    </row>
    <row r="798" customFormat="false" ht="15.75" hidden="false" customHeight="true" outlineLevel="0" collapsed="false">
      <c r="A798" s="17"/>
      <c r="B798" s="58"/>
      <c r="C798" s="58"/>
      <c r="D798" s="59"/>
      <c r="E798" s="60" t="str">
        <f aca="false">IF(LEN(D798)=11,"PF",IF(LEN(D798)=14,"PJ",""))</f>
        <v/>
      </c>
      <c r="F798" s="59"/>
      <c r="G798" s="59"/>
      <c r="H798" s="61" t="str">
        <f aca="false">IF(G798&lt;&gt;"",VLOOKUP(G798,'Cnae  mcc  id'!$A:$M,9,0),"")</f>
        <v/>
      </c>
      <c r="I798" s="62"/>
      <c r="J798" s="63" t="str">
        <f aca="false">IF(I798&lt;&gt;"",VLOOKUP(I798,'Legal Nature'!$E$2:$G$84,3,0),"")</f>
        <v/>
      </c>
      <c r="K798" s="64"/>
      <c r="L798" s="65"/>
      <c r="M798" s="66"/>
      <c r="N798" s="66"/>
      <c r="O798" s="79"/>
      <c r="P798" s="26"/>
      <c r="Q798" s="58"/>
      <c r="R798" s="58"/>
      <c r="S798" s="80"/>
      <c r="T798" s="68" t="str">
        <f aca="false">IF(LEFT(S798,1)="9","Celular",IF(S798="","","Fixo"))</f>
        <v/>
      </c>
      <c r="U798" s="58" t="str">
        <f aca="false">IF( T798&lt;&gt;"",VLOOKUP(T798,Selects!$M$4:$N$1000,2,0),"")</f>
        <v/>
      </c>
      <c r="V798" s="26"/>
      <c r="W798" s="58"/>
      <c r="X798" s="58"/>
      <c r="Y798" s="58"/>
      <c r="Z798" s="58"/>
      <c r="AA798" s="69"/>
      <c r="AB798" s="58"/>
      <c r="AC798" s="58"/>
      <c r="AD798" s="70" t="str">
        <f aca="false">IF(AC798&lt;&gt;"",VLOOKUP(AC798,Selects!$B$4:$C$100,2,0),"")</f>
        <v/>
      </c>
      <c r="AE798" s="26"/>
      <c r="AF798" s="58"/>
      <c r="AG798" s="59"/>
      <c r="AH798" s="65"/>
      <c r="AI798" s="66"/>
      <c r="AJ798" s="66"/>
      <c r="AK798" s="58"/>
      <c r="AL798" s="58"/>
      <c r="AM798" s="68" t="str">
        <f aca="false">IF(LEFT(AL798,1)="9","Celular",IF(AL798="","","Fixo"))</f>
        <v/>
      </c>
      <c r="AN798" s="58" t="str">
        <f aca="false">IF( AM798&lt;&gt;"",VLOOKUP(AM798,Selects!$M$4:$N$1000,2,0),"")</f>
        <v/>
      </c>
      <c r="AO798" s="58"/>
      <c r="AP798" s="59"/>
      <c r="AQ798" s="65"/>
      <c r="AR798" s="58"/>
      <c r="AS798" s="58"/>
      <c r="AT798" s="26"/>
      <c r="AU798" s="58"/>
      <c r="AV798" s="58"/>
      <c r="AW798" s="58"/>
      <c r="AX798" s="58"/>
      <c r="AY798" s="71"/>
      <c r="AZ798" s="58"/>
      <c r="BA798" s="58"/>
      <c r="BB798" s="72" t="str">
        <f aca="false">IF(BA798&lt;&gt;"",VLOOKUP(BA798,Selects!$B$4:$C$100,2,0),"")</f>
        <v/>
      </c>
      <c r="BC798" s="26"/>
      <c r="BD798" s="26"/>
      <c r="BE798" s="73"/>
      <c r="BF798" s="74"/>
      <c r="BG798" s="75" t="str">
        <f aca="false">IF(LEN(BF798)=11,"PF",IF(LEN(BF798)=14,"PJ",""))</f>
        <v/>
      </c>
      <c r="BH798" s="66"/>
      <c r="BI798" s="58" t="str">
        <f aca="false">IF(BH798&lt;&gt;"",VLOOKUP(BH798,Selects!$G:$H,2,0),"")</f>
        <v/>
      </c>
      <c r="BJ798" s="58"/>
      <c r="BK798" s="58"/>
      <c r="BL798" s="59"/>
      <c r="BM798" s="58"/>
      <c r="BN798" s="58"/>
      <c r="BO798" s="58" t="str">
        <f aca="false">IF(BN798&lt;&gt;"",VLOOKUP(BN798,Selects!$J$4:$K$1000,2,0),"")</f>
        <v/>
      </c>
      <c r="BP798" s="76"/>
      <c r="BQ798" s="59"/>
      <c r="BR798" s="77"/>
      <c r="BS798" s="59"/>
      <c r="BT798" s="77"/>
      <c r="BU798" s="58"/>
      <c r="BV798" s="58"/>
      <c r="BW798" s="58"/>
      <c r="BX798" s="58"/>
      <c r="BY798" s="58"/>
      <c r="BZ798" s="58"/>
      <c r="CA798" s="58"/>
      <c r="CB798" s="72" t="str">
        <f aca="false">IF(AC798&lt;&gt;"",VLOOKUP(AC798,Selects!$B:$E,4,0),"")</f>
        <v/>
      </c>
      <c r="CC798" s="58"/>
      <c r="CD798" s="58"/>
      <c r="CE798" s="58"/>
    </row>
    <row r="799" customFormat="false" ht="15.75" hidden="false" customHeight="true" outlineLevel="0" collapsed="false">
      <c r="A799" s="17"/>
      <c r="B799" s="58"/>
      <c r="C799" s="58"/>
      <c r="D799" s="59"/>
      <c r="E799" s="60" t="str">
        <f aca="false">IF(LEN(D799)=11,"PF",IF(LEN(D799)=14,"PJ",""))</f>
        <v/>
      </c>
      <c r="F799" s="59"/>
      <c r="G799" s="59"/>
      <c r="H799" s="61" t="str">
        <f aca="false">IF(G799&lt;&gt;"",VLOOKUP(G799,'Cnae  mcc  id'!$A:$M,9,0),"")</f>
        <v/>
      </c>
      <c r="I799" s="62"/>
      <c r="J799" s="63" t="str">
        <f aca="false">IF(I799&lt;&gt;"",VLOOKUP(I799,'Legal Nature'!$E$2:$G$84,3,0),"")</f>
        <v/>
      </c>
      <c r="K799" s="64"/>
      <c r="L799" s="65"/>
      <c r="M799" s="66"/>
      <c r="N799" s="66"/>
      <c r="O799" s="79"/>
      <c r="P799" s="26"/>
      <c r="Q799" s="58"/>
      <c r="R799" s="58"/>
      <c r="S799" s="80"/>
      <c r="T799" s="68" t="str">
        <f aca="false">IF(LEFT(S799,1)="9","Celular",IF(S799="","","Fixo"))</f>
        <v/>
      </c>
      <c r="U799" s="58" t="str">
        <f aca="false">IF( T799&lt;&gt;"",VLOOKUP(T799,Selects!$M$4:$N$1000,2,0),"")</f>
        <v/>
      </c>
      <c r="V799" s="26"/>
      <c r="W799" s="58"/>
      <c r="X799" s="58"/>
      <c r="Y799" s="58"/>
      <c r="Z799" s="58"/>
      <c r="AA799" s="69"/>
      <c r="AB799" s="58"/>
      <c r="AC799" s="58"/>
      <c r="AD799" s="70" t="str">
        <f aca="false">IF(AC799&lt;&gt;"",VLOOKUP(AC799,Selects!$B$4:$C$100,2,0),"")</f>
        <v/>
      </c>
      <c r="AE799" s="26"/>
      <c r="AF799" s="58"/>
      <c r="AG799" s="59"/>
      <c r="AH799" s="65"/>
      <c r="AI799" s="66"/>
      <c r="AJ799" s="66"/>
      <c r="AK799" s="58"/>
      <c r="AL799" s="58"/>
      <c r="AM799" s="68" t="str">
        <f aca="false">IF(LEFT(AL799,1)="9","Celular",IF(AL799="","","Fixo"))</f>
        <v/>
      </c>
      <c r="AN799" s="58" t="str">
        <f aca="false">IF( AM799&lt;&gt;"",VLOOKUP(AM799,Selects!$M$4:$N$1000,2,0),"")</f>
        <v/>
      </c>
      <c r="AO799" s="58"/>
      <c r="AP799" s="59"/>
      <c r="AQ799" s="65"/>
      <c r="AR799" s="58"/>
      <c r="AS799" s="58"/>
      <c r="AT799" s="26"/>
      <c r="AU799" s="58"/>
      <c r="AV799" s="58"/>
      <c r="AW799" s="58"/>
      <c r="AX799" s="58"/>
      <c r="AY799" s="71"/>
      <c r="AZ799" s="58"/>
      <c r="BA799" s="58"/>
      <c r="BB799" s="72" t="str">
        <f aca="false">IF(BA799&lt;&gt;"",VLOOKUP(BA799,Selects!$B$4:$C$100,2,0),"")</f>
        <v/>
      </c>
      <c r="BC799" s="26"/>
      <c r="BD799" s="26"/>
      <c r="BE799" s="73"/>
      <c r="BF799" s="74"/>
      <c r="BG799" s="75" t="str">
        <f aca="false">IF(LEN(BF799)=11,"PF",IF(LEN(BF799)=14,"PJ",""))</f>
        <v/>
      </c>
      <c r="BH799" s="66"/>
      <c r="BI799" s="58" t="str">
        <f aca="false">IF(BH799&lt;&gt;"",VLOOKUP(BH799,Selects!$G:$H,2,0),"")</f>
        <v/>
      </c>
      <c r="BJ799" s="58"/>
      <c r="BK799" s="58"/>
      <c r="BL799" s="59"/>
      <c r="BM799" s="58"/>
      <c r="BN799" s="58"/>
      <c r="BO799" s="58" t="str">
        <f aca="false">IF(BN799&lt;&gt;"",VLOOKUP(BN799,Selects!$J$4:$K$1000,2,0),"")</f>
        <v/>
      </c>
      <c r="BP799" s="76"/>
      <c r="BQ799" s="59"/>
      <c r="BR799" s="77"/>
      <c r="BS799" s="59"/>
      <c r="BT799" s="77"/>
      <c r="BU799" s="58"/>
      <c r="BV799" s="58"/>
      <c r="BW799" s="58"/>
      <c r="BX799" s="58"/>
      <c r="BY799" s="58"/>
      <c r="BZ799" s="58"/>
      <c r="CA799" s="58"/>
      <c r="CB799" s="72" t="str">
        <f aca="false">IF(AC799&lt;&gt;"",VLOOKUP(AC799,Selects!$B:$E,4,0),"")</f>
        <v/>
      </c>
      <c r="CC799" s="58"/>
      <c r="CD799" s="58"/>
      <c r="CE799" s="58"/>
    </row>
    <row r="800" customFormat="false" ht="15.75" hidden="false" customHeight="true" outlineLevel="0" collapsed="false">
      <c r="A800" s="17"/>
      <c r="B800" s="58"/>
      <c r="C800" s="58"/>
      <c r="D800" s="59"/>
      <c r="E800" s="60" t="str">
        <f aca="false">IF(LEN(D800)=11,"PF",IF(LEN(D800)=14,"PJ",""))</f>
        <v/>
      </c>
      <c r="F800" s="59"/>
      <c r="G800" s="59"/>
      <c r="H800" s="61" t="str">
        <f aca="false">IF(G800&lt;&gt;"",VLOOKUP(G800,'Cnae  mcc  id'!$A:$M,9,0),"")</f>
        <v/>
      </c>
      <c r="I800" s="62"/>
      <c r="J800" s="63" t="str">
        <f aca="false">IF(I800&lt;&gt;"",VLOOKUP(I800,'Legal Nature'!$E$2:$G$84,3,0),"")</f>
        <v/>
      </c>
      <c r="K800" s="64"/>
      <c r="L800" s="65"/>
      <c r="M800" s="66"/>
      <c r="N800" s="66"/>
      <c r="O800" s="79"/>
      <c r="P800" s="26"/>
      <c r="Q800" s="58"/>
      <c r="R800" s="58"/>
      <c r="S800" s="80"/>
      <c r="T800" s="68" t="str">
        <f aca="false">IF(LEFT(S800,1)="9","Celular",IF(S800="","","Fixo"))</f>
        <v/>
      </c>
      <c r="U800" s="58" t="str">
        <f aca="false">IF( T800&lt;&gt;"",VLOOKUP(T800,Selects!$M$4:$N$1000,2,0),"")</f>
        <v/>
      </c>
      <c r="V800" s="26"/>
      <c r="W800" s="58"/>
      <c r="X800" s="58"/>
      <c r="Y800" s="58"/>
      <c r="Z800" s="58"/>
      <c r="AA800" s="69"/>
      <c r="AB800" s="58"/>
      <c r="AC800" s="58"/>
      <c r="AD800" s="70" t="str">
        <f aca="false">IF(AC800&lt;&gt;"",VLOOKUP(AC800,Selects!$B$4:$C$100,2,0),"")</f>
        <v/>
      </c>
      <c r="AE800" s="26"/>
      <c r="AF800" s="58"/>
      <c r="AG800" s="59"/>
      <c r="AH800" s="65"/>
      <c r="AI800" s="66"/>
      <c r="AJ800" s="66"/>
      <c r="AK800" s="58"/>
      <c r="AL800" s="58"/>
      <c r="AM800" s="68" t="str">
        <f aca="false">IF(LEFT(AL800,1)="9","Celular",IF(AL800="","","Fixo"))</f>
        <v/>
      </c>
      <c r="AN800" s="58" t="str">
        <f aca="false">IF( AM800&lt;&gt;"",VLOOKUP(AM800,Selects!$M$4:$N$1000,2,0),"")</f>
        <v/>
      </c>
      <c r="AO800" s="58"/>
      <c r="AP800" s="59"/>
      <c r="AQ800" s="65"/>
      <c r="AR800" s="58"/>
      <c r="AS800" s="58"/>
      <c r="AT800" s="26"/>
      <c r="AU800" s="58"/>
      <c r="AV800" s="58"/>
      <c r="AW800" s="58"/>
      <c r="AX800" s="58"/>
      <c r="AY800" s="71"/>
      <c r="AZ800" s="58"/>
      <c r="BA800" s="58"/>
      <c r="BB800" s="72" t="str">
        <f aca="false">IF(BA800&lt;&gt;"",VLOOKUP(BA800,Selects!$B$4:$C$100,2,0),"")</f>
        <v/>
      </c>
      <c r="BC800" s="26"/>
      <c r="BD800" s="26"/>
      <c r="BE800" s="73"/>
      <c r="BF800" s="74"/>
      <c r="BG800" s="75" t="str">
        <f aca="false">IF(LEN(BF800)=11,"PF",IF(LEN(BF800)=14,"PJ",""))</f>
        <v/>
      </c>
      <c r="BH800" s="66"/>
      <c r="BI800" s="58" t="str">
        <f aca="false">IF(BH800&lt;&gt;"",VLOOKUP(BH800,Selects!$G:$H,2,0),"")</f>
        <v/>
      </c>
      <c r="BJ800" s="58"/>
      <c r="BK800" s="58"/>
      <c r="BL800" s="59"/>
      <c r="BM800" s="58"/>
      <c r="BN800" s="58"/>
      <c r="BO800" s="58" t="str">
        <f aca="false">IF(BN800&lt;&gt;"",VLOOKUP(BN800,Selects!$J$4:$K$1000,2,0),"")</f>
        <v/>
      </c>
      <c r="BP800" s="76"/>
      <c r="BQ800" s="59"/>
      <c r="BR800" s="77"/>
      <c r="BS800" s="59"/>
      <c r="BT800" s="77"/>
      <c r="BU800" s="58"/>
      <c r="BV800" s="58"/>
      <c r="BW800" s="58"/>
      <c r="BX800" s="58"/>
      <c r="BY800" s="58"/>
      <c r="BZ800" s="58"/>
      <c r="CA800" s="58"/>
      <c r="CB800" s="72" t="str">
        <f aca="false">IF(AC800&lt;&gt;"",VLOOKUP(AC800,Selects!$B:$E,4,0),"")</f>
        <v/>
      </c>
      <c r="CC800" s="58"/>
      <c r="CD800" s="58"/>
      <c r="CE800" s="58"/>
    </row>
    <row r="801" customFormat="false" ht="15.75" hidden="false" customHeight="true" outlineLevel="0" collapsed="false">
      <c r="A801" s="17"/>
      <c r="B801" s="58"/>
      <c r="C801" s="58"/>
      <c r="D801" s="59"/>
      <c r="E801" s="60" t="str">
        <f aca="false">IF(LEN(D801)=11,"PF",IF(LEN(D801)=14,"PJ",""))</f>
        <v/>
      </c>
      <c r="F801" s="59"/>
      <c r="G801" s="59"/>
      <c r="H801" s="61" t="str">
        <f aca="false">IF(G801&lt;&gt;"",VLOOKUP(G801,'Cnae  mcc  id'!$A:$M,9,0),"")</f>
        <v/>
      </c>
      <c r="I801" s="62"/>
      <c r="J801" s="63" t="str">
        <f aca="false">IF(I801&lt;&gt;"",VLOOKUP(I801,'Legal Nature'!$E$2:$G$84,3,0),"")</f>
        <v/>
      </c>
      <c r="K801" s="64"/>
      <c r="L801" s="65"/>
      <c r="M801" s="66"/>
      <c r="N801" s="66"/>
      <c r="O801" s="79"/>
      <c r="P801" s="26"/>
      <c r="Q801" s="58"/>
      <c r="R801" s="58"/>
      <c r="S801" s="80"/>
      <c r="T801" s="68" t="str">
        <f aca="false">IF(LEFT(S801,1)="9","Celular",IF(S801="","","Fixo"))</f>
        <v/>
      </c>
      <c r="U801" s="58" t="str">
        <f aca="false">IF( T801&lt;&gt;"",VLOOKUP(T801,Selects!$M$4:$N$1000,2,0),"")</f>
        <v/>
      </c>
      <c r="V801" s="26"/>
      <c r="W801" s="58"/>
      <c r="X801" s="58"/>
      <c r="Y801" s="58"/>
      <c r="Z801" s="58"/>
      <c r="AA801" s="69"/>
      <c r="AB801" s="58"/>
      <c r="AC801" s="58"/>
      <c r="AD801" s="70" t="str">
        <f aca="false">IF(AC801&lt;&gt;"",VLOOKUP(AC801,Selects!$B$4:$C$100,2,0),"")</f>
        <v/>
      </c>
      <c r="AE801" s="26"/>
      <c r="AF801" s="58"/>
      <c r="AG801" s="59"/>
      <c r="AH801" s="65"/>
      <c r="AI801" s="66"/>
      <c r="AJ801" s="66"/>
      <c r="AK801" s="58"/>
      <c r="AL801" s="58"/>
      <c r="AM801" s="68" t="str">
        <f aca="false">IF(LEFT(AL801,1)="9","Celular",IF(AL801="","","Fixo"))</f>
        <v/>
      </c>
      <c r="AN801" s="58" t="str">
        <f aca="false">IF( AM801&lt;&gt;"",VLOOKUP(AM801,Selects!$M$4:$N$1000,2,0),"")</f>
        <v/>
      </c>
      <c r="AO801" s="58"/>
      <c r="AP801" s="59"/>
      <c r="AQ801" s="65"/>
      <c r="AR801" s="58"/>
      <c r="AS801" s="58"/>
      <c r="AT801" s="26"/>
      <c r="AU801" s="58"/>
      <c r="AV801" s="58"/>
      <c r="AW801" s="58"/>
      <c r="AX801" s="58"/>
      <c r="AY801" s="71"/>
      <c r="AZ801" s="58"/>
      <c r="BA801" s="58"/>
      <c r="BB801" s="72" t="str">
        <f aca="false">IF(BA801&lt;&gt;"",VLOOKUP(BA801,Selects!$B$4:$C$100,2,0),"")</f>
        <v/>
      </c>
      <c r="BC801" s="26"/>
      <c r="BD801" s="26"/>
      <c r="BE801" s="73"/>
      <c r="BF801" s="74"/>
      <c r="BG801" s="75" t="str">
        <f aca="false">IF(LEN(BF801)=11,"PF",IF(LEN(BF801)=14,"PJ",""))</f>
        <v/>
      </c>
      <c r="BH801" s="66"/>
      <c r="BI801" s="58" t="str">
        <f aca="false">IF(BH801&lt;&gt;"",VLOOKUP(BH801,Selects!$G:$H,2,0),"")</f>
        <v/>
      </c>
      <c r="BJ801" s="58"/>
      <c r="BK801" s="58"/>
      <c r="BL801" s="59"/>
      <c r="BM801" s="58"/>
      <c r="BN801" s="58"/>
      <c r="BO801" s="58" t="str">
        <f aca="false">IF(BN801&lt;&gt;"",VLOOKUP(BN801,Selects!$J$4:$K$1000,2,0),"")</f>
        <v/>
      </c>
      <c r="BP801" s="76"/>
      <c r="BQ801" s="59"/>
      <c r="BR801" s="77"/>
      <c r="BS801" s="59"/>
      <c r="BT801" s="77"/>
      <c r="BU801" s="58"/>
      <c r="BV801" s="58"/>
      <c r="BW801" s="58"/>
      <c r="BX801" s="58"/>
      <c r="BY801" s="58"/>
      <c r="BZ801" s="58"/>
      <c r="CA801" s="58"/>
      <c r="CB801" s="72" t="str">
        <f aca="false">IF(AC801&lt;&gt;"",VLOOKUP(AC801,Selects!$B:$E,4,0),"")</f>
        <v/>
      </c>
      <c r="CC801" s="58"/>
      <c r="CD801" s="58"/>
      <c r="CE801" s="58"/>
    </row>
    <row r="802" customFormat="false" ht="15.75" hidden="false" customHeight="true" outlineLevel="0" collapsed="false">
      <c r="A802" s="17"/>
      <c r="B802" s="58"/>
      <c r="C802" s="58"/>
      <c r="D802" s="59"/>
      <c r="E802" s="60" t="str">
        <f aca="false">IF(LEN(D802)=11,"PF",IF(LEN(D802)=14,"PJ",""))</f>
        <v/>
      </c>
      <c r="F802" s="59"/>
      <c r="G802" s="59"/>
      <c r="H802" s="61" t="str">
        <f aca="false">IF(G802&lt;&gt;"",VLOOKUP(G802,'Cnae  mcc  id'!$A:$M,9,0),"")</f>
        <v/>
      </c>
      <c r="I802" s="62"/>
      <c r="J802" s="63" t="str">
        <f aca="false">IF(I802&lt;&gt;"",VLOOKUP(I802,'Legal Nature'!$E$2:$G$84,3,0),"")</f>
        <v/>
      </c>
      <c r="K802" s="64"/>
      <c r="L802" s="65"/>
      <c r="M802" s="66"/>
      <c r="N802" s="66"/>
      <c r="O802" s="79"/>
      <c r="P802" s="26"/>
      <c r="Q802" s="58"/>
      <c r="R802" s="58"/>
      <c r="S802" s="80"/>
      <c r="T802" s="68" t="str">
        <f aca="false">IF(LEFT(S802,1)="9","Celular",IF(S802="","","Fixo"))</f>
        <v/>
      </c>
      <c r="U802" s="58" t="str">
        <f aca="false">IF( T802&lt;&gt;"",VLOOKUP(T802,Selects!$M$4:$N$1000,2,0),"")</f>
        <v/>
      </c>
      <c r="V802" s="26"/>
      <c r="W802" s="58"/>
      <c r="X802" s="58"/>
      <c r="Y802" s="58"/>
      <c r="Z802" s="58"/>
      <c r="AA802" s="69"/>
      <c r="AB802" s="58"/>
      <c r="AC802" s="58"/>
      <c r="AD802" s="70" t="str">
        <f aca="false">IF(AC802&lt;&gt;"",VLOOKUP(AC802,Selects!$B$4:$C$100,2,0),"")</f>
        <v/>
      </c>
      <c r="AE802" s="26"/>
      <c r="AF802" s="58"/>
      <c r="AG802" s="59"/>
      <c r="AH802" s="65"/>
      <c r="AI802" s="66"/>
      <c r="AJ802" s="66"/>
      <c r="AK802" s="58"/>
      <c r="AL802" s="58"/>
      <c r="AM802" s="68" t="str">
        <f aca="false">IF(LEFT(AL802,1)="9","Celular",IF(AL802="","","Fixo"))</f>
        <v/>
      </c>
      <c r="AN802" s="58" t="str">
        <f aca="false">IF( AM802&lt;&gt;"",VLOOKUP(AM802,Selects!$M$4:$N$1000,2,0),"")</f>
        <v/>
      </c>
      <c r="AO802" s="58"/>
      <c r="AP802" s="59"/>
      <c r="AQ802" s="65"/>
      <c r="AR802" s="58"/>
      <c r="AS802" s="58"/>
      <c r="AT802" s="26"/>
      <c r="AU802" s="58"/>
      <c r="AV802" s="58"/>
      <c r="AW802" s="58"/>
      <c r="AX802" s="58"/>
      <c r="AY802" s="71"/>
      <c r="AZ802" s="58"/>
      <c r="BA802" s="58"/>
      <c r="BB802" s="72" t="str">
        <f aca="false">IF(BA802&lt;&gt;"",VLOOKUP(BA802,Selects!$B$4:$C$100,2,0),"")</f>
        <v/>
      </c>
      <c r="BC802" s="26"/>
      <c r="BD802" s="26"/>
      <c r="BE802" s="73"/>
      <c r="BF802" s="74"/>
      <c r="BG802" s="75" t="str">
        <f aca="false">IF(LEN(BF802)=11,"PF",IF(LEN(BF802)=14,"PJ",""))</f>
        <v/>
      </c>
      <c r="BH802" s="66"/>
      <c r="BI802" s="58" t="str">
        <f aca="false">IF(BH802&lt;&gt;"",VLOOKUP(BH802,Selects!$G:$H,2,0),"")</f>
        <v/>
      </c>
      <c r="BJ802" s="58"/>
      <c r="BK802" s="58"/>
      <c r="BL802" s="59"/>
      <c r="BM802" s="58"/>
      <c r="BN802" s="58"/>
      <c r="BO802" s="58" t="str">
        <f aca="false">IF(BN802&lt;&gt;"",VLOOKUP(BN802,Selects!$J$4:$K$1000,2,0),"")</f>
        <v/>
      </c>
      <c r="BP802" s="76"/>
      <c r="BQ802" s="59"/>
      <c r="BR802" s="77"/>
      <c r="BS802" s="59"/>
      <c r="BT802" s="77"/>
      <c r="BU802" s="58"/>
      <c r="BV802" s="58"/>
      <c r="BW802" s="58"/>
      <c r="BX802" s="58"/>
      <c r="BY802" s="58"/>
      <c r="BZ802" s="58"/>
      <c r="CA802" s="58"/>
      <c r="CB802" s="72" t="str">
        <f aca="false">IF(AC802&lt;&gt;"",VLOOKUP(AC802,Selects!$B:$E,4,0),"")</f>
        <v/>
      </c>
      <c r="CC802" s="58"/>
      <c r="CD802" s="58"/>
      <c r="CE802" s="58"/>
    </row>
    <row r="803" customFormat="false" ht="15.75" hidden="false" customHeight="true" outlineLevel="0" collapsed="false">
      <c r="A803" s="17"/>
      <c r="B803" s="58"/>
      <c r="C803" s="58"/>
      <c r="D803" s="59"/>
      <c r="E803" s="60" t="str">
        <f aca="false">IF(LEN(D803)=11,"PF",IF(LEN(D803)=14,"PJ",""))</f>
        <v/>
      </c>
      <c r="F803" s="59"/>
      <c r="G803" s="59"/>
      <c r="H803" s="61" t="str">
        <f aca="false">IF(G803&lt;&gt;"",VLOOKUP(G803,'Cnae  mcc  id'!$A:$M,9,0),"")</f>
        <v/>
      </c>
      <c r="I803" s="62"/>
      <c r="J803" s="63" t="str">
        <f aca="false">IF(I803&lt;&gt;"",VLOOKUP(I803,'Legal Nature'!$E$2:$G$84,3,0),"")</f>
        <v/>
      </c>
      <c r="K803" s="64"/>
      <c r="L803" s="65"/>
      <c r="M803" s="66"/>
      <c r="N803" s="66"/>
      <c r="O803" s="79"/>
      <c r="P803" s="26"/>
      <c r="Q803" s="58"/>
      <c r="R803" s="58"/>
      <c r="S803" s="80"/>
      <c r="T803" s="68" t="str">
        <f aca="false">IF(LEFT(S803,1)="9","Celular",IF(S803="","","Fixo"))</f>
        <v/>
      </c>
      <c r="U803" s="58" t="str">
        <f aca="false">IF( T803&lt;&gt;"",VLOOKUP(T803,Selects!$M$4:$N$1000,2,0),"")</f>
        <v/>
      </c>
      <c r="V803" s="26"/>
      <c r="W803" s="58"/>
      <c r="X803" s="58"/>
      <c r="Y803" s="58"/>
      <c r="Z803" s="58"/>
      <c r="AA803" s="69"/>
      <c r="AB803" s="58"/>
      <c r="AC803" s="58"/>
      <c r="AD803" s="70" t="str">
        <f aca="false">IF(AC803&lt;&gt;"",VLOOKUP(AC803,Selects!$B$4:$C$100,2,0),"")</f>
        <v/>
      </c>
      <c r="AE803" s="26"/>
      <c r="AF803" s="58"/>
      <c r="AG803" s="59"/>
      <c r="AH803" s="65"/>
      <c r="AI803" s="66"/>
      <c r="AJ803" s="66"/>
      <c r="AK803" s="58"/>
      <c r="AL803" s="58"/>
      <c r="AM803" s="68" t="str">
        <f aca="false">IF(LEFT(AL803,1)="9","Celular",IF(AL803="","","Fixo"))</f>
        <v/>
      </c>
      <c r="AN803" s="58" t="str">
        <f aca="false">IF( AM803&lt;&gt;"",VLOOKUP(AM803,Selects!$M$4:$N$1000,2,0),"")</f>
        <v/>
      </c>
      <c r="AO803" s="58"/>
      <c r="AP803" s="59"/>
      <c r="AQ803" s="65"/>
      <c r="AR803" s="58"/>
      <c r="AS803" s="58"/>
      <c r="AT803" s="26"/>
      <c r="AU803" s="58"/>
      <c r="AV803" s="58"/>
      <c r="AW803" s="58"/>
      <c r="AX803" s="58"/>
      <c r="AY803" s="71"/>
      <c r="AZ803" s="58"/>
      <c r="BA803" s="58"/>
      <c r="BB803" s="72" t="str">
        <f aca="false">IF(BA803&lt;&gt;"",VLOOKUP(BA803,Selects!$B$4:$C$100,2,0),"")</f>
        <v/>
      </c>
      <c r="BC803" s="26"/>
      <c r="BD803" s="26"/>
      <c r="BE803" s="73"/>
      <c r="BF803" s="74"/>
      <c r="BG803" s="75" t="str">
        <f aca="false">IF(LEN(BF803)=11,"PF",IF(LEN(BF803)=14,"PJ",""))</f>
        <v/>
      </c>
      <c r="BH803" s="66"/>
      <c r="BI803" s="58" t="str">
        <f aca="false">IF(BH803&lt;&gt;"",VLOOKUP(BH803,Selects!$G:$H,2,0),"")</f>
        <v/>
      </c>
      <c r="BJ803" s="58"/>
      <c r="BK803" s="58"/>
      <c r="BL803" s="59"/>
      <c r="BM803" s="58"/>
      <c r="BN803" s="58"/>
      <c r="BO803" s="58" t="str">
        <f aca="false">IF(BN803&lt;&gt;"",VLOOKUP(BN803,Selects!$J$4:$K$1000,2,0),"")</f>
        <v/>
      </c>
      <c r="BP803" s="76"/>
      <c r="BQ803" s="59"/>
      <c r="BR803" s="77"/>
      <c r="BS803" s="59"/>
      <c r="BT803" s="77"/>
      <c r="BU803" s="58"/>
      <c r="BV803" s="58"/>
      <c r="BW803" s="58"/>
      <c r="BX803" s="58"/>
      <c r="BY803" s="58"/>
      <c r="BZ803" s="58"/>
      <c r="CA803" s="58"/>
      <c r="CB803" s="72" t="str">
        <f aca="false">IF(AC803&lt;&gt;"",VLOOKUP(AC803,Selects!$B:$E,4,0),"")</f>
        <v/>
      </c>
      <c r="CC803" s="58"/>
      <c r="CD803" s="58"/>
      <c r="CE803" s="58"/>
    </row>
    <row r="804" customFormat="false" ht="15.75" hidden="false" customHeight="true" outlineLevel="0" collapsed="false">
      <c r="A804" s="17"/>
      <c r="B804" s="58"/>
      <c r="C804" s="58"/>
      <c r="D804" s="59"/>
      <c r="E804" s="60" t="str">
        <f aca="false">IF(LEN(D804)=11,"PF",IF(LEN(D804)=14,"PJ",""))</f>
        <v/>
      </c>
      <c r="F804" s="59"/>
      <c r="G804" s="59"/>
      <c r="H804" s="61" t="str">
        <f aca="false">IF(G804&lt;&gt;"",VLOOKUP(G804,'Cnae  mcc  id'!$A:$M,9,0),"")</f>
        <v/>
      </c>
      <c r="I804" s="62"/>
      <c r="J804" s="63" t="str">
        <f aca="false">IF(I804&lt;&gt;"",VLOOKUP(I804,'Legal Nature'!$E$2:$G$84,3,0),"")</f>
        <v/>
      </c>
      <c r="K804" s="64"/>
      <c r="L804" s="65"/>
      <c r="M804" s="66"/>
      <c r="N804" s="66"/>
      <c r="O804" s="79"/>
      <c r="P804" s="26"/>
      <c r="Q804" s="58"/>
      <c r="R804" s="58"/>
      <c r="S804" s="80"/>
      <c r="T804" s="68" t="str">
        <f aca="false">IF(LEFT(S804,1)="9","Celular",IF(S804="","","Fixo"))</f>
        <v/>
      </c>
      <c r="U804" s="58" t="str">
        <f aca="false">IF( T804&lt;&gt;"",VLOOKUP(T804,Selects!$M$4:$N$1000,2,0),"")</f>
        <v/>
      </c>
      <c r="V804" s="26"/>
      <c r="W804" s="58"/>
      <c r="X804" s="58"/>
      <c r="Y804" s="58"/>
      <c r="Z804" s="58"/>
      <c r="AA804" s="69"/>
      <c r="AB804" s="58"/>
      <c r="AC804" s="58"/>
      <c r="AD804" s="70" t="str">
        <f aca="false">IF(AC804&lt;&gt;"",VLOOKUP(AC804,Selects!$B$4:$C$100,2,0),"")</f>
        <v/>
      </c>
      <c r="AE804" s="26"/>
      <c r="AF804" s="58"/>
      <c r="AG804" s="59"/>
      <c r="AH804" s="65"/>
      <c r="AI804" s="66"/>
      <c r="AJ804" s="66"/>
      <c r="AK804" s="58"/>
      <c r="AL804" s="58"/>
      <c r="AM804" s="68" t="str">
        <f aca="false">IF(LEFT(AL804,1)="9","Celular",IF(AL804="","","Fixo"))</f>
        <v/>
      </c>
      <c r="AN804" s="58" t="str">
        <f aca="false">IF( AM804&lt;&gt;"",VLOOKUP(AM804,Selects!$M$4:$N$1000,2,0),"")</f>
        <v/>
      </c>
      <c r="AO804" s="58"/>
      <c r="AP804" s="59"/>
      <c r="AQ804" s="65"/>
      <c r="AR804" s="58"/>
      <c r="AS804" s="58"/>
      <c r="AT804" s="26"/>
      <c r="AU804" s="58"/>
      <c r="AV804" s="58"/>
      <c r="AW804" s="58"/>
      <c r="AX804" s="58"/>
      <c r="AY804" s="71"/>
      <c r="AZ804" s="58"/>
      <c r="BA804" s="58"/>
      <c r="BB804" s="72" t="str">
        <f aca="false">IF(BA804&lt;&gt;"",VLOOKUP(BA804,Selects!$B$4:$C$100,2,0),"")</f>
        <v/>
      </c>
      <c r="BC804" s="26"/>
      <c r="BD804" s="26"/>
      <c r="BE804" s="73"/>
      <c r="BF804" s="74"/>
      <c r="BG804" s="75" t="str">
        <f aca="false">IF(LEN(BF804)=11,"PF",IF(LEN(BF804)=14,"PJ",""))</f>
        <v/>
      </c>
      <c r="BH804" s="66"/>
      <c r="BI804" s="58" t="str">
        <f aca="false">IF(BH804&lt;&gt;"",VLOOKUP(BH804,Selects!$G:$H,2,0),"")</f>
        <v/>
      </c>
      <c r="BJ804" s="58"/>
      <c r="BK804" s="58"/>
      <c r="BL804" s="59"/>
      <c r="BM804" s="58"/>
      <c r="BN804" s="58"/>
      <c r="BO804" s="58" t="str">
        <f aca="false">IF(BN804&lt;&gt;"",VLOOKUP(BN804,Selects!$J$4:$K$1000,2,0),"")</f>
        <v/>
      </c>
      <c r="BP804" s="76"/>
      <c r="BQ804" s="59"/>
      <c r="BR804" s="77"/>
      <c r="BS804" s="59"/>
      <c r="BT804" s="77"/>
      <c r="BU804" s="58"/>
      <c r="BV804" s="58"/>
      <c r="BW804" s="58"/>
      <c r="BX804" s="58"/>
      <c r="BY804" s="58"/>
      <c r="BZ804" s="58"/>
      <c r="CA804" s="58"/>
      <c r="CB804" s="72" t="str">
        <f aca="false">IF(AC804&lt;&gt;"",VLOOKUP(AC804,Selects!$B:$E,4,0),"")</f>
        <v/>
      </c>
      <c r="CC804" s="58"/>
      <c r="CD804" s="58"/>
      <c r="CE804" s="58"/>
    </row>
    <row r="805" customFormat="false" ht="15.75" hidden="false" customHeight="true" outlineLevel="0" collapsed="false">
      <c r="A805" s="17"/>
      <c r="B805" s="58"/>
      <c r="C805" s="58"/>
      <c r="D805" s="59"/>
      <c r="E805" s="60" t="str">
        <f aca="false">IF(LEN(D805)=11,"PF",IF(LEN(D805)=14,"PJ",""))</f>
        <v/>
      </c>
      <c r="F805" s="59"/>
      <c r="G805" s="59"/>
      <c r="H805" s="61" t="str">
        <f aca="false">IF(G805&lt;&gt;"",VLOOKUP(G805,'Cnae  mcc  id'!$A:$M,9,0),"")</f>
        <v/>
      </c>
      <c r="I805" s="62"/>
      <c r="J805" s="63" t="str">
        <f aca="false">IF(I805&lt;&gt;"",VLOOKUP(I805,'Legal Nature'!$E$2:$G$84,3,0),"")</f>
        <v/>
      </c>
      <c r="K805" s="64"/>
      <c r="L805" s="65"/>
      <c r="M805" s="66"/>
      <c r="N805" s="66"/>
      <c r="O805" s="79"/>
      <c r="P805" s="26"/>
      <c r="Q805" s="58"/>
      <c r="R805" s="58"/>
      <c r="S805" s="80"/>
      <c r="T805" s="68" t="str">
        <f aca="false">IF(LEFT(S805,1)="9","Celular",IF(S805="","","Fixo"))</f>
        <v/>
      </c>
      <c r="U805" s="58" t="str">
        <f aca="false">IF( T805&lt;&gt;"",VLOOKUP(T805,Selects!$M$4:$N$1000,2,0),"")</f>
        <v/>
      </c>
      <c r="V805" s="26"/>
      <c r="W805" s="58"/>
      <c r="X805" s="58"/>
      <c r="Y805" s="58"/>
      <c r="Z805" s="58"/>
      <c r="AA805" s="69"/>
      <c r="AB805" s="58"/>
      <c r="AC805" s="58"/>
      <c r="AD805" s="70" t="str">
        <f aca="false">IF(AC805&lt;&gt;"",VLOOKUP(AC805,Selects!$B$4:$C$100,2,0),"")</f>
        <v/>
      </c>
      <c r="AE805" s="26"/>
      <c r="AF805" s="58"/>
      <c r="AG805" s="59"/>
      <c r="AH805" s="65"/>
      <c r="AI805" s="66"/>
      <c r="AJ805" s="66"/>
      <c r="AK805" s="58"/>
      <c r="AL805" s="58"/>
      <c r="AM805" s="68" t="str">
        <f aca="false">IF(LEFT(AL805,1)="9","Celular",IF(AL805="","","Fixo"))</f>
        <v/>
      </c>
      <c r="AN805" s="58" t="str">
        <f aca="false">IF( AM805&lt;&gt;"",VLOOKUP(AM805,Selects!$M$4:$N$1000,2,0),"")</f>
        <v/>
      </c>
      <c r="AO805" s="58"/>
      <c r="AP805" s="59"/>
      <c r="AQ805" s="65"/>
      <c r="AR805" s="58"/>
      <c r="AS805" s="58"/>
      <c r="AT805" s="26"/>
      <c r="AU805" s="58"/>
      <c r="AV805" s="58"/>
      <c r="AW805" s="58"/>
      <c r="AX805" s="58"/>
      <c r="AY805" s="71"/>
      <c r="AZ805" s="58"/>
      <c r="BA805" s="58"/>
      <c r="BB805" s="72" t="str">
        <f aca="false">IF(BA805&lt;&gt;"",VLOOKUP(BA805,Selects!$B$4:$C$100,2,0),"")</f>
        <v/>
      </c>
      <c r="BC805" s="26"/>
      <c r="BD805" s="26"/>
      <c r="BE805" s="73"/>
      <c r="BF805" s="74"/>
      <c r="BG805" s="75" t="str">
        <f aca="false">IF(LEN(BF805)=11,"PF",IF(LEN(BF805)=14,"PJ",""))</f>
        <v/>
      </c>
      <c r="BH805" s="66"/>
      <c r="BI805" s="58" t="str">
        <f aca="false">IF(BH805&lt;&gt;"",VLOOKUP(BH805,Selects!$G:$H,2,0),"")</f>
        <v/>
      </c>
      <c r="BJ805" s="58"/>
      <c r="BK805" s="58"/>
      <c r="BL805" s="59"/>
      <c r="BM805" s="58"/>
      <c r="BN805" s="58"/>
      <c r="BO805" s="58" t="str">
        <f aca="false">IF(BN805&lt;&gt;"",VLOOKUP(BN805,Selects!$J$4:$K$1000,2,0),"")</f>
        <v/>
      </c>
      <c r="BP805" s="76"/>
      <c r="BQ805" s="59"/>
      <c r="BR805" s="77"/>
      <c r="BS805" s="59"/>
      <c r="BT805" s="77"/>
      <c r="BU805" s="58"/>
      <c r="BV805" s="58"/>
      <c r="BW805" s="58"/>
      <c r="BX805" s="58"/>
      <c r="BY805" s="58"/>
      <c r="BZ805" s="58"/>
      <c r="CA805" s="58"/>
      <c r="CB805" s="72" t="str">
        <f aca="false">IF(AC805&lt;&gt;"",VLOOKUP(AC805,Selects!$B:$E,4,0),"")</f>
        <v/>
      </c>
      <c r="CC805" s="58"/>
      <c r="CD805" s="58"/>
      <c r="CE805" s="58"/>
    </row>
    <row r="806" customFormat="false" ht="15.75" hidden="false" customHeight="true" outlineLevel="0" collapsed="false">
      <c r="A806" s="17"/>
      <c r="B806" s="58"/>
      <c r="C806" s="58"/>
      <c r="D806" s="59"/>
      <c r="E806" s="60" t="str">
        <f aca="false">IF(LEN(D806)=11,"PF",IF(LEN(D806)=14,"PJ",""))</f>
        <v/>
      </c>
      <c r="F806" s="59"/>
      <c r="G806" s="59"/>
      <c r="H806" s="61" t="str">
        <f aca="false">IF(G806&lt;&gt;"",VLOOKUP(G806,'Cnae  mcc  id'!$A:$M,9,0),"")</f>
        <v/>
      </c>
      <c r="I806" s="62"/>
      <c r="J806" s="63" t="str">
        <f aca="false">IF(I806&lt;&gt;"",VLOOKUP(I806,'Legal Nature'!$E$2:$G$84,3,0),"")</f>
        <v/>
      </c>
      <c r="K806" s="64"/>
      <c r="L806" s="65"/>
      <c r="M806" s="66"/>
      <c r="N806" s="66"/>
      <c r="O806" s="79"/>
      <c r="P806" s="26"/>
      <c r="Q806" s="58"/>
      <c r="R806" s="58"/>
      <c r="S806" s="80"/>
      <c r="T806" s="68" t="str">
        <f aca="false">IF(LEFT(S806,1)="9","Celular",IF(S806="","","Fixo"))</f>
        <v/>
      </c>
      <c r="U806" s="58" t="str">
        <f aca="false">IF( T806&lt;&gt;"",VLOOKUP(T806,Selects!$M$4:$N$1000,2,0),"")</f>
        <v/>
      </c>
      <c r="V806" s="26"/>
      <c r="W806" s="58"/>
      <c r="X806" s="58"/>
      <c r="Y806" s="58"/>
      <c r="Z806" s="58"/>
      <c r="AA806" s="69"/>
      <c r="AB806" s="58"/>
      <c r="AC806" s="58"/>
      <c r="AD806" s="70" t="str">
        <f aca="false">IF(AC806&lt;&gt;"",VLOOKUP(AC806,Selects!$B$4:$C$100,2,0),"")</f>
        <v/>
      </c>
      <c r="AE806" s="26"/>
      <c r="AF806" s="58"/>
      <c r="AG806" s="59"/>
      <c r="AH806" s="65"/>
      <c r="AI806" s="66"/>
      <c r="AJ806" s="66"/>
      <c r="AK806" s="58"/>
      <c r="AL806" s="58"/>
      <c r="AM806" s="68" t="str">
        <f aca="false">IF(LEFT(AL806,1)="9","Celular",IF(AL806="","","Fixo"))</f>
        <v/>
      </c>
      <c r="AN806" s="58" t="str">
        <f aca="false">IF( AM806&lt;&gt;"",VLOOKUP(AM806,Selects!$M$4:$N$1000,2,0),"")</f>
        <v/>
      </c>
      <c r="AO806" s="58"/>
      <c r="AP806" s="59"/>
      <c r="AQ806" s="65"/>
      <c r="AR806" s="58"/>
      <c r="AS806" s="58"/>
      <c r="AT806" s="26"/>
      <c r="AU806" s="58"/>
      <c r="AV806" s="58"/>
      <c r="AW806" s="58"/>
      <c r="AX806" s="58"/>
      <c r="AY806" s="71"/>
      <c r="AZ806" s="58"/>
      <c r="BA806" s="58"/>
      <c r="BB806" s="72" t="str">
        <f aca="false">IF(BA806&lt;&gt;"",VLOOKUP(BA806,Selects!$B$4:$C$100,2,0),"")</f>
        <v/>
      </c>
      <c r="BC806" s="26"/>
      <c r="BD806" s="26"/>
      <c r="BE806" s="73"/>
      <c r="BF806" s="74"/>
      <c r="BG806" s="75" t="str">
        <f aca="false">IF(LEN(BF806)=11,"PF",IF(LEN(BF806)=14,"PJ",""))</f>
        <v/>
      </c>
      <c r="BH806" s="66"/>
      <c r="BI806" s="58" t="str">
        <f aca="false">IF(BH806&lt;&gt;"",VLOOKUP(BH806,Selects!$G:$H,2,0),"")</f>
        <v/>
      </c>
      <c r="BJ806" s="58"/>
      <c r="BK806" s="58"/>
      <c r="BL806" s="59"/>
      <c r="BM806" s="58"/>
      <c r="BN806" s="58"/>
      <c r="BO806" s="58" t="str">
        <f aca="false">IF(BN806&lt;&gt;"",VLOOKUP(BN806,Selects!$J$4:$K$1000,2,0),"")</f>
        <v/>
      </c>
      <c r="BP806" s="76"/>
      <c r="BQ806" s="59"/>
      <c r="BR806" s="77"/>
      <c r="BS806" s="59"/>
      <c r="BT806" s="77"/>
      <c r="BU806" s="58"/>
      <c r="BV806" s="58"/>
      <c r="BW806" s="58"/>
      <c r="BX806" s="58"/>
      <c r="BY806" s="58"/>
      <c r="BZ806" s="58"/>
      <c r="CA806" s="58"/>
      <c r="CB806" s="72" t="str">
        <f aca="false">IF(AC806&lt;&gt;"",VLOOKUP(AC806,Selects!$B:$E,4,0),"")</f>
        <v/>
      </c>
      <c r="CC806" s="58"/>
      <c r="CD806" s="58"/>
      <c r="CE806" s="58"/>
    </row>
    <row r="807" customFormat="false" ht="15.75" hidden="false" customHeight="true" outlineLevel="0" collapsed="false">
      <c r="A807" s="17"/>
      <c r="B807" s="58"/>
      <c r="C807" s="58"/>
      <c r="D807" s="59"/>
      <c r="E807" s="60" t="str">
        <f aca="false">IF(LEN(D807)=11,"PF",IF(LEN(D807)=14,"PJ",""))</f>
        <v/>
      </c>
      <c r="F807" s="59"/>
      <c r="G807" s="59"/>
      <c r="H807" s="61" t="str">
        <f aca="false">IF(G807&lt;&gt;"",VLOOKUP(G807,'Cnae  mcc  id'!$A:$M,9,0),"")</f>
        <v/>
      </c>
      <c r="I807" s="62"/>
      <c r="J807" s="63" t="str">
        <f aca="false">IF(I807&lt;&gt;"",VLOOKUP(I807,'Legal Nature'!$E$2:$G$84,3,0),"")</f>
        <v/>
      </c>
      <c r="K807" s="64"/>
      <c r="L807" s="65"/>
      <c r="M807" s="66"/>
      <c r="N807" s="66"/>
      <c r="O807" s="79"/>
      <c r="P807" s="26"/>
      <c r="Q807" s="58"/>
      <c r="R807" s="58"/>
      <c r="S807" s="80"/>
      <c r="T807" s="68" t="str">
        <f aca="false">IF(LEFT(S807,1)="9","Celular",IF(S807="","","Fixo"))</f>
        <v/>
      </c>
      <c r="U807" s="58" t="str">
        <f aca="false">IF( T807&lt;&gt;"",VLOOKUP(T807,Selects!$M$4:$N$1000,2,0),"")</f>
        <v/>
      </c>
      <c r="V807" s="26"/>
      <c r="W807" s="58"/>
      <c r="X807" s="58"/>
      <c r="Y807" s="58"/>
      <c r="Z807" s="58"/>
      <c r="AA807" s="69"/>
      <c r="AB807" s="58"/>
      <c r="AC807" s="58"/>
      <c r="AD807" s="70" t="str">
        <f aca="false">IF(AC807&lt;&gt;"",VLOOKUP(AC807,Selects!$B$4:$C$100,2,0),"")</f>
        <v/>
      </c>
      <c r="AE807" s="26"/>
      <c r="AF807" s="58"/>
      <c r="AG807" s="59"/>
      <c r="AH807" s="65"/>
      <c r="AI807" s="66"/>
      <c r="AJ807" s="66"/>
      <c r="AK807" s="58"/>
      <c r="AL807" s="58"/>
      <c r="AM807" s="68" t="str">
        <f aca="false">IF(LEFT(AL807,1)="9","Celular",IF(AL807="","","Fixo"))</f>
        <v/>
      </c>
      <c r="AN807" s="58" t="str">
        <f aca="false">IF( AM807&lt;&gt;"",VLOOKUP(AM807,Selects!$M$4:$N$1000,2,0),"")</f>
        <v/>
      </c>
      <c r="AO807" s="58"/>
      <c r="AP807" s="59"/>
      <c r="AQ807" s="65"/>
      <c r="AR807" s="58"/>
      <c r="AS807" s="58"/>
      <c r="AT807" s="26"/>
      <c r="AU807" s="58"/>
      <c r="AV807" s="58"/>
      <c r="AW807" s="58"/>
      <c r="AX807" s="58"/>
      <c r="AY807" s="71"/>
      <c r="AZ807" s="58"/>
      <c r="BA807" s="58"/>
      <c r="BB807" s="72" t="str">
        <f aca="false">IF(BA807&lt;&gt;"",VLOOKUP(BA807,Selects!$B$4:$C$100,2,0),"")</f>
        <v/>
      </c>
      <c r="BC807" s="26"/>
      <c r="BD807" s="26"/>
      <c r="BE807" s="73"/>
      <c r="BF807" s="74"/>
      <c r="BG807" s="75" t="str">
        <f aca="false">IF(LEN(BF807)=11,"PF",IF(LEN(BF807)=14,"PJ",""))</f>
        <v/>
      </c>
      <c r="BH807" s="66"/>
      <c r="BI807" s="58" t="str">
        <f aca="false">IF(BH807&lt;&gt;"",VLOOKUP(BH807,Selects!$G:$H,2,0),"")</f>
        <v/>
      </c>
      <c r="BJ807" s="58"/>
      <c r="BK807" s="58"/>
      <c r="BL807" s="59"/>
      <c r="BM807" s="58"/>
      <c r="BN807" s="58"/>
      <c r="BO807" s="58" t="str">
        <f aca="false">IF(BN807&lt;&gt;"",VLOOKUP(BN807,Selects!$J$4:$K$1000,2,0),"")</f>
        <v/>
      </c>
      <c r="BP807" s="76"/>
      <c r="BQ807" s="59"/>
      <c r="BR807" s="77"/>
      <c r="BS807" s="59"/>
      <c r="BT807" s="77"/>
      <c r="BU807" s="58"/>
      <c r="BV807" s="58"/>
      <c r="BW807" s="58"/>
      <c r="BX807" s="58"/>
      <c r="BY807" s="58"/>
      <c r="BZ807" s="58"/>
      <c r="CA807" s="58"/>
      <c r="CB807" s="72" t="str">
        <f aca="false">IF(AC807&lt;&gt;"",VLOOKUP(AC807,Selects!$B:$E,4,0),"")</f>
        <v/>
      </c>
      <c r="CC807" s="58"/>
      <c r="CD807" s="58"/>
      <c r="CE807" s="58"/>
    </row>
    <row r="808" customFormat="false" ht="15.75" hidden="false" customHeight="true" outlineLevel="0" collapsed="false">
      <c r="A808" s="17"/>
      <c r="B808" s="58"/>
      <c r="C808" s="58"/>
      <c r="D808" s="59"/>
      <c r="E808" s="60" t="str">
        <f aca="false">IF(LEN(D808)=11,"PF",IF(LEN(D808)=14,"PJ",""))</f>
        <v/>
      </c>
      <c r="F808" s="59"/>
      <c r="G808" s="59"/>
      <c r="H808" s="61" t="str">
        <f aca="false">IF(G808&lt;&gt;"",VLOOKUP(G808,'Cnae  mcc  id'!$A:$M,9,0),"")</f>
        <v/>
      </c>
      <c r="I808" s="62"/>
      <c r="J808" s="63" t="str">
        <f aca="false">IF(I808&lt;&gt;"",VLOOKUP(I808,'Legal Nature'!$E$2:$G$84,3,0),"")</f>
        <v/>
      </c>
      <c r="K808" s="64"/>
      <c r="L808" s="65"/>
      <c r="M808" s="66"/>
      <c r="N808" s="66"/>
      <c r="O808" s="79"/>
      <c r="P808" s="26"/>
      <c r="Q808" s="58"/>
      <c r="R808" s="58"/>
      <c r="S808" s="80"/>
      <c r="T808" s="68" t="str">
        <f aca="false">IF(LEFT(S808,1)="9","Celular",IF(S808="","","Fixo"))</f>
        <v/>
      </c>
      <c r="U808" s="58" t="str">
        <f aca="false">IF( T808&lt;&gt;"",VLOOKUP(T808,Selects!$M$4:$N$1000,2,0),"")</f>
        <v/>
      </c>
      <c r="V808" s="26"/>
      <c r="W808" s="58"/>
      <c r="X808" s="58"/>
      <c r="Y808" s="58"/>
      <c r="Z808" s="58"/>
      <c r="AA808" s="69"/>
      <c r="AB808" s="58"/>
      <c r="AC808" s="58"/>
      <c r="AD808" s="70" t="str">
        <f aca="false">IF(AC808&lt;&gt;"",VLOOKUP(AC808,Selects!$B$4:$C$100,2,0),"")</f>
        <v/>
      </c>
      <c r="AE808" s="26"/>
      <c r="AF808" s="58"/>
      <c r="AG808" s="59"/>
      <c r="AH808" s="65"/>
      <c r="AI808" s="66"/>
      <c r="AJ808" s="66"/>
      <c r="AK808" s="58"/>
      <c r="AL808" s="58"/>
      <c r="AM808" s="68" t="str">
        <f aca="false">IF(LEFT(AL808,1)="9","Celular",IF(AL808="","","Fixo"))</f>
        <v/>
      </c>
      <c r="AN808" s="58" t="str">
        <f aca="false">IF( AM808&lt;&gt;"",VLOOKUP(AM808,Selects!$M$4:$N$1000,2,0),"")</f>
        <v/>
      </c>
      <c r="AO808" s="58"/>
      <c r="AP808" s="59"/>
      <c r="AQ808" s="65"/>
      <c r="AR808" s="58"/>
      <c r="AS808" s="58"/>
      <c r="AT808" s="26"/>
      <c r="AU808" s="58"/>
      <c r="AV808" s="58"/>
      <c r="AW808" s="58"/>
      <c r="AX808" s="58"/>
      <c r="AY808" s="71"/>
      <c r="AZ808" s="58"/>
      <c r="BA808" s="58"/>
      <c r="BB808" s="72" t="str">
        <f aca="false">IF(BA808&lt;&gt;"",VLOOKUP(BA808,Selects!$B$4:$C$100,2,0),"")</f>
        <v/>
      </c>
      <c r="BC808" s="26"/>
      <c r="BD808" s="26"/>
      <c r="BE808" s="73"/>
      <c r="BF808" s="74"/>
      <c r="BG808" s="75" t="str">
        <f aca="false">IF(LEN(BF808)=11,"PF",IF(LEN(BF808)=14,"PJ",""))</f>
        <v/>
      </c>
      <c r="BH808" s="66"/>
      <c r="BI808" s="58" t="str">
        <f aca="false">IF(BH808&lt;&gt;"",VLOOKUP(BH808,Selects!$G:$H,2,0),"")</f>
        <v/>
      </c>
      <c r="BJ808" s="58"/>
      <c r="BK808" s="58"/>
      <c r="BL808" s="59"/>
      <c r="BM808" s="58"/>
      <c r="BN808" s="58"/>
      <c r="BO808" s="58" t="str">
        <f aca="false">IF(BN808&lt;&gt;"",VLOOKUP(BN808,Selects!$J$4:$K$1000,2,0),"")</f>
        <v/>
      </c>
      <c r="BP808" s="76"/>
      <c r="BQ808" s="59"/>
      <c r="BR808" s="77"/>
      <c r="BS808" s="59"/>
      <c r="BT808" s="77"/>
      <c r="BU808" s="58"/>
      <c r="BV808" s="58"/>
      <c r="BW808" s="58"/>
      <c r="BX808" s="58"/>
      <c r="BY808" s="58"/>
      <c r="BZ808" s="58"/>
      <c r="CA808" s="58"/>
      <c r="CB808" s="72" t="str">
        <f aca="false">IF(AC808&lt;&gt;"",VLOOKUP(AC808,Selects!$B:$E,4,0),"")</f>
        <v/>
      </c>
      <c r="CC808" s="58"/>
      <c r="CD808" s="58"/>
      <c r="CE808" s="58"/>
    </row>
    <row r="809" customFormat="false" ht="15.75" hidden="false" customHeight="true" outlineLevel="0" collapsed="false">
      <c r="A809" s="17"/>
      <c r="B809" s="58"/>
      <c r="C809" s="58"/>
      <c r="D809" s="59"/>
      <c r="E809" s="60" t="str">
        <f aca="false">IF(LEN(D809)=11,"PF",IF(LEN(D809)=14,"PJ",""))</f>
        <v/>
      </c>
      <c r="F809" s="59"/>
      <c r="G809" s="59"/>
      <c r="H809" s="61" t="str">
        <f aca="false">IF(G809&lt;&gt;"",VLOOKUP(G809,'Cnae  mcc  id'!$A:$M,9,0),"")</f>
        <v/>
      </c>
      <c r="I809" s="62"/>
      <c r="J809" s="63" t="str">
        <f aca="false">IF(I809&lt;&gt;"",VLOOKUP(I809,'Legal Nature'!$E$2:$G$84,3,0),"")</f>
        <v/>
      </c>
      <c r="K809" s="64"/>
      <c r="L809" s="65"/>
      <c r="M809" s="66"/>
      <c r="N809" s="66"/>
      <c r="O809" s="79"/>
      <c r="P809" s="26"/>
      <c r="Q809" s="58"/>
      <c r="R809" s="58"/>
      <c r="S809" s="80"/>
      <c r="T809" s="68" t="str">
        <f aca="false">IF(LEFT(S809,1)="9","Celular",IF(S809="","","Fixo"))</f>
        <v/>
      </c>
      <c r="U809" s="58" t="str">
        <f aca="false">IF( T809&lt;&gt;"",VLOOKUP(T809,Selects!$M$4:$N$1000,2,0),"")</f>
        <v/>
      </c>
      <c r="V809" s="26"/>
      <c r="W809" s="58"/>
      <c r="X809" s="58"/>
      <c r="Y809" s="58"/>
      <c r="Z809" s="58"/>
      <c r="AA809" s="69"/>
      <c r="AB809" s="58"/>
      <c r="AC809" s="58"/>
      <c r="AD809" s="70" t="str">
        <f aca="false">IF(AC809&lt;&gt;"",VLOOKUP(AC809,Selects!$B$4:$C$100,2,0),"")</f>
        <v/>
      </c>
      <c r="AE809" s="26"/>
      <c r="AF809" s="58"/>
      <c r="AG809" s="59"/>
      <c r="AH809" s="65"/>
      <c r="AI809" s="66"/>
      <c r="AJ809" s="66"/>
      <c r="AK809" s="58"/>
      <c r="AL809" s="58"/>
      <c r="AM809" s="68" t="str">
        <f aca="false">IF(LEFT(AL809,1)="9","Celular",IF(AL809="","","Fixo"))</f>
        <v/>
      </c>
      <c r="AN809" s="58" t="str">
        <f aca="false">IF( AM809&lt;&gt;"",VLOOKUP(AM809,Selects!$M$4:$N$1000,2,0),"")</f>
        <v/>
      </c>
      <c r="AO809" s="58"/>
      <c r="AP809" s="59"/>
      <c r="AQ809" s="65"/>
      <c r="AR809" s="58"/>
      <c r="AS809" s="58"/>
      <c r="AT809" s="26"/>
      <c r="AU809" s="58"/>
      <c r="AV809" s="58"/>
      <c r="AW809" s="58"/>
      <c r="AX809" s="58"/>
      <c r="AY809" s="71"/>
      <c r="AZ809" s="58"/>
      <c r="BA809" s="58"/>
      <c r="BB809" s="72" t="str">
        <f aca="false">IF(BA809&lt;&gt;"",VLOOKUP(BA809,Selects!$B$4:$C$100,2,0),"")</f>
        <v/>
      </c>
      <c r="BC809" s="26"/>
      <c r="BD809" s="26"/>
      <c r="BE809" s="73"/>
      <c r="BF809" s="74"/>
      <c r="BG809" s="75" t="str">
        <f aca="false">IF(LEN(BF809)=11,"PF",IF(LEN(BF809)=14,"PJ",""))</f>
        <v/>
      </c>
      <c r="BH809" s="66"/>
      <c r="BI809" s="58" t="str">
        <f aca="false">IF(BH809&lt;&gt;"",VLOOKUP(BH809,Selects!$G:$H,2,0),"")</f>
        <v/>
      </c>
      <c r="BJ809" s="58"/>
      <c r="BK809" s="58"/>
      <c r="BL809" s="59"/>
      <c r="BM809" s="58"/>
      <c r="BN809" s="58"/>
      <c r="BO809" s="58" t="str">
        <f aca="false">IF(BN809&lt;&gt;"",VLOOKUP(BN809,Selects!$J$4:$K$1000,2,0),"")</f>
        <v/>
      </c>
      <c r="BP809" s="76"/>
      <c r="BQ809" s="59"/>
      <c r="BR809" s="77"/>
      <c r="BS809" s="59"/>
      <c r="BT809" s="77"/>
      <c r="BU809" s="58"/>
      <c r="BV809" s="58"/>
      <c r="BW809" s="58"/>
      <c r="BX809" s="58"/>
      <c r="BY809" s="58"/>
      <c r="BZ809" s="58"/>
      <c r="CA809" s="58"/>
      <c r="CB809" s="72" t="str">
        <f aca="false">IF(AC809&lt;&gt;"",VLOOKUP(AC809,Selects!$B:$E,4,0),"")</f>
        <v/>
      </c>
      <c r="CC809" s="58"/>
      <c r="CD809" s="58"/>
      <c r="CE809" s="58"/>
    </row>
    <row r="810" customFormat="false" ht="15.75" hidden="false" customHeight="true" outlineLevel="0" collapsed="false">
      <c r="A810" s="17"/>
      <c r="B810" s="58"/>
      <c r="C810" s="58"/>
      <c r="D810" s="59"/>
      <c r="E810" s="60" t="str">
        <f aca="false">IF(LEN(D810)=11,"PF",IF(LEN(D810)=14,"PJ",""))</f>
        <v/>
      </c>
      <c r="F810" s="59"/>
      <c r="G810" s="59"/>
      <c r="H810" s="61" t="str">
        <f aca="false">IF(G810&lt;&gt;"",VLOOKUP(G810,'Cnae  mcc  id'!$A:$M,9,0),"")</f>
        <v/>
      </c>
      <c r="I810" s="62"/>
      <c r="J810" s="63" t="str">
        <f aca="false">IF(I810&lt;&gt;"",VLOOKUP(I810,'Legal Nature'!$E$2:$G$84,3,0),"")</f>
        <v/>
      </c>
      <c r="K810" s="64"/>
      <c r="L810" s="65"/>
      <c r="M810" s="66"/>
      <c r="N810" s="66"/>
      <c r="O810" s="79"/>
      <c r="P810" s="26"/>
      <c r="Q810" s="58"/>
      <c r="R810" s="58"/>
      <c r="S810" s="80"/>
      <c r="T810" s="68" t="str">
        <f aca="false">IF(LEFT(S810,1)="9","Celular",IF(S810="","","Fixo"))</f>
        <v/>
      </c>
      <c r="U810" s="58" t="str">
        <f aca="false">IF( T810&lt;&gt;"",VLOOKUP(T810,Selects!$M$4:$N$1000,2,0),"")</f>
        <v/>
      </c>
      <c r="V810" s="26"/>
      <c r="W810" s="58"/>
      <c r="X810" s="58"/>
      <c r="Y810" s="58"/>
      <c r="Z810" s="58"/>
      <c r="AA810" s="69"/>
      <c r="AB810" s="58"/>
      <c r="AC810" s="58"/>
      <c r="AD810" s="70" t="str">
        <f aca="false">IF(AC810&lt;&gt;"",VLOOKUP(AC810,Selects!$B$4:$C$100,2,0),"")</f>
        <v/>
      </c>
      <c r="AE810" s="26"/>
      <c r="AF810" s="58"/>
      <c r="AG810" s="59"/>
      <c r="AH810" s="65"/>
      <c r="AI810" s="66"/>
      <c r="AJ810" s="66"/>
      <c r="AK810" s="58"/>
      <c r="AL810" s="58"/>
      <c r="AM810" s="68" t="str">
        <f aca="false">IF(LEFT(AL810,1)="9","Celular",IF(AL810="","","Fixo"))</f>
        <v/>
      </c>
      <c r="AN810" s="58" t="str">
        <f aca="false">IF( AM810&lt;&gt;"",VLOOKUP(AM810,Selects!$M$4:$N$1000,2,0),"")</f>
        <v/>
      </c>
      <c r="AO810" s="58"/>
      <c r="AP810" s="59"/>
      <c r="AQ810" s="65"/>
      <c r="AR810" s="58"/>
      <c r="AS810" s="58"/>
      <c r="AT810" s="26"/>
      <c r="AU810" s="58"/>
      <c r="AV810" s="58"/>
      <c r="AW810" s="58"/>
      <c r="AX810" s="58"/>
      <c r="AY810" s="71"/>
      <c r="AZ810" s="58"/>
      <c r="BA810" s="58"/>
      <c r="BB810" s="72" t="str">
        <f aca="false">IF(BA810&lt;&gt;"",VLOOKUP(BA810,Selects!$B$4:$C$100,2,0),"")</f>
        <v/>
      </c>
      <c r="BC810" s="26"/>
      <c r="BD810" s="26"/>
      <c r="BE810" s="73"/>
      <c r="BF810" s="74"/>
      <c r="BG810" s="75" t="str">
        <f aca="false">IF(LEN(BF810)=11,"PF",IF(LEN(BF810)=14,"PJ",""))</f>
        <v/>
      </c>
      <c r="BH810" s="66"/>
      <c r="BI810" s="58" t="str">
        <f aca="false">IF(BH810&lt;&gt;"",VLOOKUP(BH810,Selects!$G:$H,2,0),"")</f>
        <v/>
      </c>
      <c r="BJ810" s="58"/>
      <c r="BK810" s="58"/>
      <c r="BL810" s="59"/>
      <c r="BM810" s="58"/>
      <c r="BN810" s="58"/>
      <c r="BO810" s="58" t="str">
        <f aca="false">IF(BN810&lt;&gt;"",VLOOKUP(BN810,Selects!$J$4:$K$1000,2,0),"")</f>
        <v/>
      </c>
      <c r="BP810" s="76"/>
      <c r="BQ810" s="59"/>
      <c r="BR810" s="77"/>
      <c r="BS810" s="59"/>
      <c r="BT810" s="77"/>
      <c r="BU810" s="58"/>
      <c r="BV810" s="58"/>
      <c r="BW810" s="58"/>
      <c r="BX810" s="58"/>
      <c r="BY810" s="58"/>
      <c r="BZ810" s="58"/>
      <c r="CA810" s="58"/>
      <c r="CB810" s="72" t="str">
        <f aca="false">IF(AC810&lt;&gt;"",VLOOKUP(AC810,Selects!$B:$E,4,0),"")</f>
        <v/>
      </c>
      <c r="CC810" s="58"/>
      <c r="CD810" s="58"/>
      <c r="CE810" s="58"/>
    </row>
    <row r="811" customFormat="false" ht="15.75" hidden="false" customHeight="true" outlineLevel="0" collapsed="false">
      <c r="A811" s="17"/>
      <c r="B811" s="58"/>
      <c r="C811" s="58"/>
      <c r="D811" s="59"/>
      <c r="E811" s="60" t="str">
        <f aca="false">IF(LEN(D811)=11,"PF",IF(LEN(D811)=14,"PJ",""))</f>
        <v/>
      </c>
      <c r="F811" s="59"/>
      <c r="G811" s="59"/>
      <c r="H811" s="61" t="str">
        <f aca="false">IF(G811&lt;&gt;"",VLOOKUP(G811,'Cnae  mcc  id'!$A:$M,9,0),"")</f>
        <v/>
      </c>
      <c r="I811" s="62"/>
      <c r="J811" s="63" t="str">
        <f aca="false">IF(I811&lt;&gt;"",VLOOKUP(I811,'Legal Nature'!$E$2:$G$84,3,0),"")</f>
        <v/>
      </c>
      <c r="K811" s="64"/>
      <c r="L811" s="65"/>
      <c r="M811" s="66"/>
      <c r="N811" s="66"/>
      <c r="O811" s="79"/>
      <c r="P811" s="26"/>
      <c r="Q811" s="58"/>
      <c r="R811" s="58"/>
      <c r="S811" s="80"/>
      <c r="T811" s="68" t="str">
        <f aca="false">IF(LEFT(S811,1)="9","Celular",IF(S811="","","Fixo"))</f>
        <v/>
      </c>
      <c r="U811" s="58" t="str">
        <f aca="false">IF( T811&lt;&gt;"",VLOOKUP(T811,Selects!$M$4:$N$1000,2,0),"")</f>
        <v/>
      </c>
      <c r="V811" s="26"/>
      <c r="W811" s="58"/>
      <c r="X811" s="58"/>
      <c r="Y811" s="58"/>
      <c r="Z811" s="58"/>
      <c r="AA811" s="69"/>
      <c r="AB811" s="58"/>
      <c r="AC811" s="58"/>
      <c r="AD811" s="70" t="str">
        <f aca="false">IF(AC811&lt;&gt;"",VLOOKUP(AC811,Selects!$B$4:$C$100,2,0),"")</f>
        <v/>
      </c>
      <c r="AE811" s="26"/>
      <c r="AF811" s="58"/>
      <c r="AG811" s="59"/>
      <c r="AH811" s="65"/>
      <c r="AI811" s="66"/>
      <c r="AJ811" s="66"/>
      <c r="AK811" s="58"/>
      <c r="AL811" s="58"/>
      <c r="AM811" s="68" t="str">
        <f aca="false">IF(LEFT(AL811,1)="9","Celular",IF(AL811="","","Fixo"))</f>
        <v/>
      </c>
      <c r="AN811" s="58" t="str">
        <f aca="false">IF( AM811&lt;&gt;"",VLOOKUP(AM811,Selects!$M$4:$N$1000,2,0),"")</f>
        <v/>
      </c>
      <c r="AO811" s="58"/>
      <c r="AP811" s="59"/>
      <c r="AQ811" s="65"/>
      <c r="AR811" s="58"/>
      <c r="AS811" s="58"/>
      <c r="AT811" s="26"/>
      <c r="AU811" s="58"/>
      <c r="AV811" s="58"/>
      <c r="AW811" s="58"/>
      <c r="AX811" s="58"/>
      <c r="AY811" s="71"/>
      <c r="AZ811" s="58"/>
      <c r="BA811" s="58"/>
      <c r="BB811" s="72" t="str">
        <f aca="false">IF(BA811&lt;&gt;"",VLOOKUP(BA811,Selects!$B$4:$C$100,2,0),"")</f>
        <v/>
      </c>
      <c r="BC811" s="26"/>
      <c r="BD811" s="26"/>
      <c r="BE811" s="73"/>
      <c r="BF811" s="74"/>
      <c r="BG811" s="75" t="str">
        <f aca="false">IF(LEN(BF811)=11,"PF",IF(LEN(BF811)=14,"PJ",""))</f>
        <v/>
      </c>
      <c r="BH811" s="66"/>
      <c r="BI811" s="58" t="str">
        <f aca="false">IF(BH811&lt;&gt;"",VLOOKUP(BH811,Selects!$G:$H,2,0),"")</f>
        <v/>
      </c>
      <c r="BJ811" s="58"/>
      <c r="BK811" s="58"/>
      <c r="BL811" s="59"/>
      <c r="BM811" s="58"/>
      <c r="BN811" s="58"/>
      <c r="BO811" s="58" t="str">
        <f aca="false">IF(BN811&lt;&gt;"",VLOOKUP(BN811,Selects!$J$4:$K$1000,2,0),"")</f>
        <v/>
      </c>
      <c r="BP811" s="76"/>
      <c r="BQ811" s="59"/>
      <c r="BR811" s="77"/>
      <c r="BS811" s="59"/>
      <c r="BT811" s="77"/>
      <c r="BU811" s="58"/>
      <c r="BV811" s="58"/>
      <c r="BW811" s="58"/>
      <c r="BX811" s="58"/>
      <c r="BY811" s="58"/>
      <c r="BZ811" s="58"/>
      <c r="CA811" s="58"/>
      <c r="CB811" s="72" t="str">
        <f aca="false">IF(AC811&lt;&gt;"",VLOOKUP(AC811,Selects!$B:$E,4,0),"")</f>
        <v/>
      </c>
      <c r="CC811" s="58"/>
      <c r="CD811" s="58"/>
      <c r="CE811" s="58"/>
    </row>
    <row r="812" customFormat="false" ht="15.75" hidden="false" customHeight="true" outlineLevel="0" collapsed="false">
      <c r="A812" s="17"/>
      <c r="B812" s="58"/>
      <c r="C812" s="58"/>
      <c r="D812" s="59"/>
      <c r="E812" s="60" t="str">
        <f aca="false">IF(LEN(D812)=11,"PF",IF(LEN(D812)=14,"PJ",""))</f>
        <v/>
      </c>
      <c r="F812" s="59"/>
      <c r="G812" s="59"/>
      <c r="H812" s="61" t="str">
        <f aca="false">IF(G812&lt;&gt;"",VLOOKUP(G812,'Cnae  mcc  id'!$A:$M,9,0),"")</f>
        <v/>
      </c>
      <c r="I812" s="62"/>
      <c r="J812" s="63" t="str">
        <f aca="false">IF(I812&lt;&gt;"",VLOOKUP(I812,'Legal Nature'!$E$2:$G$84,3,0),"")</f>
        <v/>
      </c>
      <c r="K812" s="64"/>
      <c r="L812" s="65"/>
      <c r="M812" s="66"/>
      <c r="N812" s="66"/>
      <c r="O812" s="79"/>
      <c r="P812" s="26"/>
      <c r="Q812" s="58"/>
      <c r="R812" s="58"/>
      <c r="S812" s="80"/>
      <c r="T812" s="68" t="str">
        <f aca="false">IF(LEFT(S812,1)="9","Celular",IF(S812="","","Fixo"))</f>
        <v/>
      </c>
      <c r="U812" s="58" t="str">
        <f aca="false">IF( T812&lt;&gt;"",VLOOKUP(T812,Selects!$M$4:$N$1000,2,0),"")</f>
        <v/>
      </c>
      <c r="V812" s="26"/>
      <c r="W812" s="58"/>
      <c r="X812" s="58"/>
      <c r="Y812" s="58"/>
      <c r="Z812" s="58"/>
      <c r="AA812" s="69"/>
      <c r="AB812" s="58"/>
      <c r="AC812" s="58"/>
      <c r="AD812" s="70" t="str">
        <f aca="false">IF(AC812&lt;&gt;"",VLOOKUP(AC812,Selects!$B$4:$C$100,2,0),"")</f>
        <v/>
      </c>
      <c r="AE812" s="26"/>
      <c r="AF812" s="58"/>
      <c r="AG812" s="59"/>
      <c r="AH812" s="65"/>
      <c r="AI812" s="66"/>
      <c r="AJ812" s="66"/>
      <c r="AK812" s="58"/>
      <c r="AL812" s="58"/>
      <c r="AM812" s="68" t="str">
        <f aca="false">IF(LEFT(AL812,1)="9","Celular",IF(AL812="","","Fixo"))</f>
        <v/>
      </c>
      <c r="AN812" s="58" t="str">
        <f aca="false">IF( AM812&lt;&gt;"",VLOOKUP(AM812,Selects!$M$4:$N$1000,2,0),"")</f>
        <v/>
      </c>
      <c r="AO812" s="58"/>
      <c r="AP812" s="59"/>
      <c r="AQ812" s="65"/>
      <c r="AR812" s="58"/>
      <c r="AS812" s="58"/>
      <c r="AT812" s="26"/>
      <c r="AU812" s="58"/>
      <c r="AV812" s="58"/>
      <c r="AW812" s="58"/>
      <c r="AX812" s="58"/>
      <c r="AY812" s="71"/>
      <c r="AZ812" s="58"/>
      <c r="BA812" s="58"/>
      <c r="BB812" s="72" t="str">
        <f aca="false">IF(BA812&lt;&gt;"",VLOOKUP(BA812,Selects!$B$4:$C$100,2,0),"")</f>
        <v/>
      </c>
      <c r="BC812" s="26"/>
      <c r="BD812" s="26"/>
      <c r="BE812" s="73"/>
      <c r="BF812" s="74"/>
      <c r="BG812" s="75" t="str">
        <f aca="false">IF(LEN(BF812)=11,"PF",IF(LEN(BF812)=14,"PJ",""))</f>
        <v/>
      </c>
      <c r="BH812" s="66"/>
      <c r="BI812" s="58" t="str">
        <f aca="false">IF(BH812&lt;&gt;"",VLOOKUP(BH812,Selects!$G:$H,2,0),"")</f>
        <v/>
      </c>
      <c r="BJ812" s="58"/>
      <c r="BK812" s="58"/>
      <c r="BL812" s="59"/>
      <c r="BM812" s="58"/>
      <c r="BN812" s="58"/>
      <c r="BO812" s="58" t="str">
        <f aca="false">IF(BN812&lt;&gt;"",VLOOKUP(BN812,Selects!$J$4:$K$1000,2,0),"")</f>
        <v/>
      </c>
      <c r="BP812" s="76"/>
      <c r="BQ812" s="59"/>
      <c r="BR812" s="77"/>
      <c r="BS812" s="59"/>
      <c r="BT812" s="77"/>
      <c r="BU812" s="58"/>
      <c r="BV812" s="58"/>
      <c r="BW812" s="58"/>
      <c r="BX812" s="58"/>
      <c r="BY812" s="58"/>
      <c r="BZ812" s="58"/>
      <c r="CA812" s="58"/>
      <c r="CB812" s="72" t="str">
        <f aca="false">IF(AC812&lt;&gt;"",VLOOKUP(AC812,Selects!$B:$E,4,0),"")</f>
        <v/>
      </c>
      <c r="CC812" s="58"/>
      <c r="CD812" s="58"/>
      <c r="CE812" s="58"/>
    </row>
    <row r="813" customFormat="false" ht="15.75" hidden="false" customHeight="true" outlineLevel="0" collapsed="false">
      <c r="A813" s="17"/>
      <c r="B813" s="58"/>
      <c r="C813" s="58"/>
      <c r="D813" s="59"/>
      <c r="E813" s="60" t="str">
        <f aca="false">IF(LEN(D813)=11,"PF",IF(LEN(D813)=14,"PJ",""))</f>
        <v/>
      </c>
      <c r="F813" s="59"/>
      <c r="G813" s="59"/>
      <c r="H813" s="61" t="str">
        <f aca="false">IF(G813&lt;&gt;"",VLOOKUP(G813,'Cnae  mcc  id'!$A:$M,9,0),"")</f>
        <v/>
      </c>
      <c r="I813" s="62"/>
      <c r="J813" s="63" t="str">
        <f aca="false">IF(I813&lt;&gt;"",VLOOKUP(I813,'Legal Nature'!$E$2:$G$84,3,0),"")</f>
        <v/>
      </c>
      <c r="K813" s="64"/>
      <c r="L813" s="65"/>
      <c r="M813" s="66"/>
      <c r="N813" s="66"/>
      <c r="O813" s="79"/>
      <c r="P813" s="26"/>
      <c r="Q813" s="58"/>
      <c r="R813" s="58"/>
      <c r="S813" s="80"/>
      <c r="T813" s="68" t="str">
        <f aca="false">IF(LEFT(S813,1)="9","Celular",IF(S813="","","Fixo"))</f>
        <v/>
      </c>
      <c r="U813" s="58" t="str">
        <f aca="false">IF( T813&lt;&gt;"",VLOOKUP(T813,Selects!$M$4:$N$1000,2,0),"")</f>
        <v/>
      </c>
      <c r="V813" s="26"/>
      <c r="W813" s="58"/>
      <c r="X813" s="58"/>
      <c r="Y813" s="58"/>
      <c r="Z813" s="58"/>
      <c r="AA813" s="69"/>
      <c r="AB813" s="58"/>
      <c r="AC813" s="58"/>
      <c r="AD813" s="70" t="str">
        <f aca="false">IF(AC813&lt;&gt;"",VLOOKUP(AC813,Selects!$B$4:$C$100,2,0),"")</f>
        <v/>
      </c>
      <c r="AE813" s="26"/>
      <c r="AF813" s="58"/>
      <c r="AG813" s="59"/>
      <c r="AH813" s="65"/>
      <c r="AI813" s="66"/>
      <c r="AJ813" s="66"/>
      <c r="AK813" s="58"/>
      <c r="AL813" s="58"/>
      <c r="AM813" s="68" t="str">
        <f aca="false">IF(LEFT(AL813,1)="9","Celular",IF(AL813="","","Fixo"))</f>
        <v/>
      </c>
      <c r="AN813" s="58" t="str">
        <f aca="false">IF( AM813&lt;&gt;"",VLOOKUP(AM813,Selects!$M$4:$N$1000,2,0),"")</f>
        <v/>
      </c>
      <c r="AO813" s="58"/>
      <c r="AP813" s="59"/>
      <c r="AQ813" s="65"/>
      <c r="AR813" s="58"/>
      <c r="AS813" s="58"/>
      <c r="AT813" s="26"/>
      <c r="AU813" s="58"/>
      <c r="AV813" s="58"/>
      <c r="AW813" s="58"/>
      <c r="AX813" s="58"/>
      <c r="AY813" s="71"/>
      <c r="AZ813" s="58"/>
      <c r="BA813" s="58"/>
      <c r="BB813" s="72" t="str">
        <f aca="false">IF(BA813&lt;&gt;"",VLOOKUP(BA813,Selects!$B$4:$C$100,2,0),"")</f>
        <v/>
      </c>
      <c r="BC813" s="26"/>
      <c r="BD813" s="26"/>
      <c r="BE813" s="73"/>
      <c r="BF813" s="74"/>
      <c r="BG813" s="75" t="str">
        <f aca="false">IF(LEN(BF813)=11,"PF",IF(LEN(BF813)=14,"PJ",""))</f>
        <v/>
      </c>
      <c r="BH813" s="66"/>
      <c r="BI813" s="58" t="str">
        <f aca="false">IF(BH813&lt;&gt;"",VLOOKUP(BH813,Selects!$G:$H,2,0),"")</f>
        <v/>
      </c>
      <c r="BJ813" s="58"/>
      <c r="BK813" s="58"/>
      <c r="BL813" s="59"/>
      <c r="BM813" s="58"/>
      <c r="BN813" s="58"/>
      <c r="BO813" s="58" t="str">
        <f aca="false">IF(BN813&lt;&gt;"",VLOOKUP(BN813,Selects!$J$4:$K$1000,2,0),"")</f>
        <v/>
      </c>
      <c r="BP813" s="76"/>
      <c r="BQ813" s="59"/>
      <c r="BR813" s="77"/>
      <c r="BS813" s="59"/>
      <c r="BT813" s="77"/>
      <c r="BU813" s="58"/>
      <c r="BV813" s="58"/>
      <c r="BW813" s="58"/>
      <c r="BX813" s="58"/>
      <c r="BY813" s="58"/>
      <c r="BZ813" s="58"/>
      <c r="CA813" s="58"/>
      <c r="CB813" s="72" t="str">
        <f aca="false">IF(AC813&lt;&gt;"",VLOOKUP(AC813,Selects!$B:$E,4,0),"")</f>
        <v/>
      </c>
      <c r="CC813" s="58"/>
      <c r="CD813" s="58"/>
      <c r="CE813" s="58"/>
    </row>
    <row r="814" customFormat="false" ht="15.75" hidden="false" customHeight="true" outlineLevel="0" collapsed="false">
      <c r="A814" s="17"/>
      <c r="B814" s="58"/>
      <c r="C814" s="58"/>
      <c r="D814" s="59"/>
      <c r="E814" s="60" t="str">
        <f aca="false">IF(LEN(D814)=11,"PF",IF(LEN(D814)=14,"PJ",""))</f>
        <v/>
      </c>
      <c r="F814" s="59"/>
      <c r="G814" s="59"/>
      <c r="H814" s="61" t="str">
        <f aca="false">IF(G814&lt;&gt;"",VLOOKUP(G814,'Cnae  mcc  id'!$A:$M,9,0),"")</f>
        <v/>
      </c>
      <c r="I814" s="62"/>
      <c r="J814" s="63" t="str">
        <f aca="false">IF(I814&lt;&gt;"",VLOOKUP(I814,'Legal Nature'!$E$2:$G$84,3,0),"")</f>
        <v/>
      </c>
      <c r="K814" s="64"/>
      <c r="L814" s="65"/>
      <c r="M814" s="66"/>
      <c r="N814" s="66"/>
      <c r="O814" s="79"/>
      <c r="P814" s="26"/>
      <c r="Q814" s="58"/>
      <c r="R814" s="58"/>
      <c r="S814" s="80"/>
      <c r="T814" s="68" t="str">
        <f aca="false">IF(LEFT(S814,1)="9","Celular",IF(S814="","","Fixo"))</f>
        <v/>
      </c>
      <c r="U814" s="58" t="str">
        <f aca="false">IF( T814&lt;&gt;"",VLOOKUP(T814,Selects!$M$4:$N$1000,2,0),"")</f>
        <v/>
      </c>
      <c r="V814" s="26"/>
      <c r="W814" s="58"/>
      <c r="X814" s="58"/>
      <c r="Y814" s="58"/>
      <c r="Z814" s="58"/>
      <c r="AA814" s="69"/>
      <c r="AB814" s="58"/>
      <c r="AC814" s="58"/>
      <c r="AD814" s="70" t="str">
        <f aca="false">IF(AC814&lt;&gt;"",VLOOKUP(AC814,Selects!$B$4:$C$100,2,0),"")</f>
        <v/>
      </c>
      <c r="AE814" s="26"/>
      <c r="AF814" s="58"/>
      <c r="AG814" s="59"/>
      <c r="AH814" s="65"/>
      <c r="AI814" s="66"/>
      <c r="AJ814" s="66"/>
      <c r="AK814" s="58"/>
      <c r="AL814" s="58"/>
      <c r="AM814" s="68" t="str">
        <f aca="false">IF(LEFT(AL814,1)="9","Celular",IF(AL814="","","Fixo"))</f>
        <v/>
      </c>
      <c r="AN814" s="58" t="str">
        <f aca="false">IF( AM814&lt;&gt;"",VLOOKUP(AM814,Selects!$M$4:$N$1000,2,0),"")</f>
        <v/>
      </c>
      <c r="AO814" s="58"/>
      <c r="AP814" s="59"/>
      <c r="AQ814" s="65"/>
      <c r="AR814" s="58"/>
      <c r="AS814" s="58"/>
      <c r="AT814" s="26"/>
      <c r="AU814" s="58"/>
      <c r="AV814" s="58"/>
      <c r="AW814" s="58"/>
      <c r="AX814" s="58"/>
      <c r="AY814" s="71"/>
      <c r="AZ814" s="58"/>
      <c r="BA814" s="58"/>
      <c r="BB814" s="72" t="str">
        <f aca="false">IF(BA814&lt;&gt;"",VLOOKUP(BA814,Selects!$B$4:$C$100,2,0),"")</f>
        <v/>
      </c>
      <c r="BC814" s="26"/>
      <c r="BD814" s="26"/>
      <c r="BE814" s="73"/>
      <c r="BF814" s="74"/>
      <c r="BG814" s="75" t="str">
        <f aca="false">IF(LEN(BF814)=11,"PF",IF(LEN(BF814)=14,"PJ",""))</f>
        <v/>
      </c>
      <c r="BH814" s="66"/>
      <c r="BI814" s="58" t="str">
        <f aca="false">IF(BH814&lt;&gt;"",VLOOKUP(BH814,Selects!$G:$H,2,0),"")</f>
        <v/>
      </c>
      <c r="BJ814" s="58"/>
      <c r="BK814" s="58"/>
      <c r="BL814" s="59"/>
      <c r="BM814" s="58"/>
      <c r="BN814" s="58"/>
      <c r="BO814" s="58" t="str">
        <f aca="false">IF(BN814&lt;&gt;"",VLOOKUP(BN814,Selects!$J$4:$K$1000,2,0),"")</f>
        <v/>
      </c>
      <c r="BP814" s="76"/>
      <c r="BQ814" s="59"/>
      <c r="BR814" s="77"/>
      <c r="BS814" s="59"/>
      <c r="BT814" s="77"/>
      <c r="BU814" s="58"/>
      <c r="BV814" s="58"/>
      <c r="BW814" s="58"/>
      <c r="BX814" s="58"/>
      <c r="BY814" s="58"/>
      <c r="BZ814" s="58"/>
      <c r="CA814" s="58"/>
      <c r="CB814" s="72" t="str">
        <f aca="false">IF(AC814&lt;&gt;"",VLOOKUP(AC814,Selects!$B:$E,4,0),"")</f>
        <v/>
      </c>
      <c r="CC814" s="58"/>
      <c r="CD814" s="58"/>
      <c r="CE814" s="58"/>
    </row>
    <row r="815" customFormat="false" ht="15.75" hidden="false" customHeight="true" outlineLevel="0" collapsed="false">
      <c r="A815" s="17"/>
      <c r="B815" s="58"/>
      <c r="C815" s="58"/>
      <c r="D815" s="59"/>
      <c r="E815" s="60" t="str">
        <f aca="false">IF(LEN(D815)=11,"PF",IF(LEN(D815)=14,"PJ",""))</f>
        <v/>
      </c>
      <c r="F815" s="59"/>
      <c r="G815" s="59"/>
      <c r="H815" s="61" t="str">
        <f aca="false">IF(G815&lt;&gt;"",VLOOKUP(G815,'Cnae  mcc  id'!$A:$M,9,0),"")</f>
        <v/>
      </c>
      <c r="I815" s="62"/>
      <c r="J815" s="63" t="str">
        <f aca="false">IF(I815&lt;&gt;"",VLOOKUP(I815,'Legal Nature'!$E$2:$G$84,3,0),"")</f>
        <v/>
      </c>
      <c r="K815" s="64"/>
      <c r="L815" s="65"/>
      <c r="M815" s="66"/>
      <c r="N815" s="66"/>
      <c r="O815" s="79"/>
      <c r="P815" s="26"/>
      <c r="Q815" s="58"/>
      <c r="R815" s="58"/>
      <c r="S815" s="80"/>
      <c r="T815" s="68" t="str">
        <f aca="false">IF(LEFT(S815,1)="9","Celular",IF(S815="","","Fixo"))</f>
        <v/>
      </c>
      <c r="U815" s="58" t="str">
        <f aca="false">IF( T815&lt;&gt;"",VLOOKUP(T815,Selects!$M$4:$N$1000,2,0),"")</f>
        <v/>
      </c>
      <c r="V815" s="26"/>
      <c r="W815" s="58"/>
      <c r="X815" s="58"/>
      <c r="Y815" s="58"/>
      <c r="Z815" s="58"/>
      <c r="AA815" s="69"/>
      <c r="AB815" s="58"/>
      <c r="AC815" s="58"/>
      <c r="AD815" s="70" t="str">
        <f aca="false">IF(AC815&lt;&gt;"",VLOOKUP(AC815,Selects!$B$4:$C$100,2,0),"")</f>
        <v/>
      </c>
      <c r="AE815" s="26"/>
      <c r="AF815" s="58"/>
      <c r="AG815" s="59"/>
      <c r="AH815" s="65"/>
      <c r="AI815" s="66"/>
      <c r="AJ815" s="66"/>
      <c r="AK815" s="58"/>
      <c r="AL815" s="58"/>
      <c r="AM815" s="68" t="str">
        <f aca="false">IF(LEFT(AL815,1)="9","Celular",IF(AL815="","","Fixo"))</f>
        <v/>
      </c>
      <c r="AN815" s="58" t="str">
        <f aca="false">IF( AM815&lt;&gt;"",VLOOKUP(AM815,Selects!$M$4:$N$1000,2,0),"")</f>
        <v/>
      </c>
      <c r="AO815" s="58"/>
      <c r="AP815" s="59"/>
      <c r="AQ815" s="65"/>
      <c r="AR815" s="58"/>
      <c r="AS815" s="58"/>
      <c r="AT815" s="26"/>
      <c r="AU815" s="58"/>
      <c r="AV815" s="58"/>
      <c r="AW815" s="58"/>
      <c r="AX815" s="58"/>
      <c r="AY815" s="71"/>
      <c r="AZ815" s="58"/>
      <c r="BA815" s="58"/>
      <c r="BB815" s="72" t="str">
        <f aca="false">IF(BA815&lt;&gt;"",VLOOKUP(BA815,Selects!$B$4:$C$100,2,0),"")</f>
        <v/>
      </c>
      <c r="BC815" s="26"/>
      <c r="BD815" s="26"/>
      <c r="BE815" s="73"/>
      <c r="BF815" s="74"/>
      <c r="BG815" s="75" t="str">
        <f aca="false">IF(LEN(BF815)=11,"PF",IF(LEN(BF815)=14,"PJ",""))</f>
        <v/>
      </c>
      <c r="BH815" s="66"/>
      <c r="BI815" s="58" t="str">
        <f aca="false">IF(BH815&lt;&gt;"",VLOOKUP(BH815,Selects!$G:$H,2,0),"")</f>
        <v/>
      </c>
      <c r="BJ815" s="58"/>
      <c r="BK815" s="58"/>
      <c r="BL815" s="59"/>
      <c r="BM815" s="58"/>
      <c r="BN815" s="58"/>
      <c r="BO815" s="58" t="str">
        <f aca="false">IF(BN815&lt;&gt;"",VLOOKUP(BN815,Selects!$J$4:$K$1000,2,0),"")</f>
        <v/>
      </c>
      <c r="BP815" s="76"/>
      <c r="BQ815" s="59"/>
      <c r="BR815" s="77"/>
      <c r="BS815" s="59"/>
      <c r="BT815" s="77"/>
      <c r="BU815" s="58"/>
      <c r="BV815" s="58"/>
      <c r="BW815" s="58"/>
      <c r="BX815" s="58"/>
      <c r="BY815" s="58"/>
      <c r="BZ815" s="58"/>
      <c r="CA815" s="58"/>
      <c r="CB815" s="72" t="str">
        <f aca="false">IF(AC815&lt;&gt;"",VLOOKUP(AC815,Selects!$B:$E,4,0),"")</f>
        <v/>
      </c>
      <c r="CC815" s="58"/>
      <c r="CD815" s="58"/>
      <c r="CE815" s="58"/>
    </row>
    <row r="816" customFormat="false" ht="15.75" hidden="false" customHeight="true" outlineLevel="0" collapsed="false">
      <c r="A816" s="17"/>
      <c r="B816" s="58"/>
      <c r="C816" s="58"/>
      <c r="D816" s="59"/>
      <c r="E816" s="60" t="str">
        <f aca="false">IF(LEN(D816)=11,"PF",IF(LEN(D816)=14,"PJ",""))</f>
        <v/>
      </c>
      <c r="F816" s="59"/>
      <c r="G816" s="59"/>
      <c r="H816" s="61" t="str">
        <f aca="false">IF(G816&lt;&gt;"",VLOOKUP(G816,'Cnae  mcc  id'!$A:$M,9,0),"")</f>
        <v/>
      </c>
      <c r="I816" s="62"/>
      <c r="J816" s="63" t="str">
        <f aca="false">IF(I816&lt;&gt;"",VLOOKUP(I816,'Legal Nature'!$E$2:$G$84,3,0),"")</f>
        <v/>
      </c>
      <c r="K816" s="64"/>
      <c r="L816" s="65"/>
      <c r="M816" s="66"/>
      <c r="N816" s="66"/>
      <c r="O816" s="79"/>
      <c r="P816" s="26"/>
      <c r="Q816" s="58"/>
      <c r="R816" s="58"/>
      <c r="S816" s="80"/>
      <c r="T816" s="68" t="str">
        <f aca="false">IF(LEFT(S816,1)="9","Celular",IF(S816="","","Fixo"))</f>
        <v/>
      </c>
      <c r="U816" s="58" t="str">
        <f aca="false">IF( T816&lt;&gt;"",VLOOKUP(T816,Selects!$M$4:$N$1000,2,0),"")</f>
        <v/>
      </c>
      <c r="V816" s="26"/>
      <c r="W816" s="58"/>
      <c r="X816" s="58"/>
      <c r="Y816" s="58"/>
      <c r="Z816" s="58"/>
      <c r="AA816" s="69"/>
      <c r="AB816" s="58"/>
      <c r="AC816" s="58"/>
      <c r="AD816" s="70" t="str">
        <f aca="false">IF(AC816&lt;&gt;"",VLOOKUP(AC816,Selects!$B$4:$C$100,2,0),"")</f>
        <v/>
      </c>
      <c r="AE816" s="26"/>
      <c r="AF816" s="58"/>
      <c r="AG816" s="59"/>
      <c r="AH816" s="65"/>
      <c r="AI816" s="66"/>
      <c r="AJ816" s="66"/>
      <c r="AK816" s="58"/>
      <c r="AL816" s="58"/>
      <c r="AM816" s="68" t="str">
        <f aca="false">IF(LEFT(AL816,1)="9","Celular",IF(AL816="","","Fixo"))</f>
        <v/>
      </c>
      <c r="AN816" s="58" t="str">
        <f aca="false">IF( AM816&lt;&gt;"",VLOOKUP(AM816,Selects!$M$4:$N$1000,2,0),"")</f>
        <v/>
      </c>
      <c r="AO816" s="58"/>
      <c r="AP816" s="59"/>
      <c r="AQ816" s="65"/>
      <c r="AR816" s="58"/>
      <c r="AS816" s="58"/>
      <c r="AT816" s="26"/>
      <c r="AU816" s="58"/>
      <c r="AV816" s="58"/>
      <c r="AW816" s="58"/>
      <c r="AX816" s="58"/>
      <c r="AY816" s="71"/>
      <c r="AZ816" s="58"/>
      <c r="BA816" s="58"/>
      <c r="BB816" s="72" t="str">
        <f aca="false">IF(BA816&lt;&gt;"",VLOOKUP(BA816,Selects!$B$4:$C$100,2,0),"")</f>
        <v/>
      </c>
      <c r="BC816" s="26"/>
      <c r="BD816" s="26"/>
      <c r="BE816" s="73"/>
      <c r="BF816" s="74"/>
      <c r="BG816" s="75" t="str">
        <f aca="false">IF(LEN(BF816)=11,"PF",IF(LEN(BF816)=14,"PJ",""))</f>
        <v/>
      </c>
      <c r="BH816" s="66"/>
      <c r="BI816" s="58" t="str">
        <f aca="false">IF(BH816&lt;&gt;"",VLOOKUP(BH816,Selects!$G:$H,2,0),"")</f>
        <v/>
      </c>
      <c r="BJ816" s="58"/>
      <c r="BK816" s="58"/>
      <c r="BL816" s="59"/>
      <c r="BM816" s="58"/>
      <c r="BN816" s="58"/>
      <c r="BO816" s="58" t="str">
        <f aca="false">IF(BN816&lt;&gt;"",VLOOKUP(BN816,Selects!$J$4:$K$1000,2,0),"")</f>
        <v/>
      </c>
      <c r="BP816" s="76"/>
      <c r="BQ816" s="59"/>
      <c r="BR816" s="77"/>
      <c r="BS816" s="59"/>
      <c r="BT816" s="77"/>
      <c r="BU816" s="58"/>
      <c r="BV816" s="58"/>
      <c r="BW816" s="58"/>
      <c r="BX816" s="58"/>
      <c r="BY816" s="58"/>
      <c r="BZ816" s="58"/>
      <c r="CA816" s="58"/>
      <c r="CB816" s="72" t="str">
        <f aca="false">IF(AC816&lt;&gt;"",VLOOKUP(AC816,Selects!$B:$E,4,0),"")</f>
        <v/>
      </c>
      <c r="CC816" s="58"/>
      <c r="CD816" s="58"/>
      <c r="CE816" s="58"/>
    </row>
    <row r="817" customFormat="false" ht="15.75" hidden="false" customHeight="true" outlineLevel="0" collapsed="false">
      <c r="A817" s="17"/>
      <c r="B817" s="58"/>
      <c r="C817" s="58"/>
      <c r="D817" s="59"/>
      <c r="E817" s="60" t="str">
        <f aca="false">IF(LEN(D817)=11,"PF",IF(LEN(D817)=14,"PJ",""))</f>
        <v/>
      </c>
      <c r="F817" s="59"/>
      <c r="G817" s="59"/>
      <c r="H817" s="61" t="str">
        <f aca="false">IF(G817&lt;&gt;"",VLOOKUP(G817,'Cnae  mcc  id'!$A:$M,9,0),"")</f>
        <v/>
      </c>
      <c r="I817" s="62"/>
      <c r="J817" s="63" t="str">
        <f aca="false">IF(I817&lt;&gt;"",VLOOKUP(I817,'Legal Nature'!$E$2:$G$84,3,0),"")</f>
        <v/>
      </c>
      <c r="K817" s="64"/>
      <c r="L817" s="65"/>
      <c r="M817" s="66"/>
      <c r="N817" s="66"/>
      <c r="O817" s="79"/>
      <c r="P817" s="26"/>
      <c r="Q817" s="58"/>
      <c r="R817" s="58"/>
      <c r="S817" s="80"/>
      <c r="T817" s="68" t="str">
        <f aca="false">IF(LEFT(S817,1)="9","Celular",IF(S817="","","Fixo"))</f>
        <v/>
      </c>
      <c r="U817" s="58" t="str">
        <f aca="false">IF( T817&lt;&gt;"",VLOOKUP(T817,Selects!$M$4:$N$1000,2,0),"")</f>
        <v/>
      </c>
      <c r="V817" s="26"/>
      <c r="W817" s="58"/>
      <c r="X817" s="58"/>
      <c r="Y817" s="58"/>
      <c r="Z817" s="58"/>
      <c r="AA817" s="69"/>
      <c r="AB817" s="58"/>
      <c r="AC817" s="58"/>
      <c r="AD817" s="70" t="str">
        <f aca="false">IF(AC817&lt;&gt;"",VLOOKUP(AC817,Selects!$B$4:$C$100,2,0),"")</f>
        <v/>
      </c>
      <c r="AE817" s="26"/>
      <c r="AF817" s="58"/>
      <c r="AG817" s="59"/>
      <c r="AH817" s="65"/>
      <c r="AI817" s="66"/>
      <c r="AJ817" s="66"/>
      <c r="AK817" s="58"/>
      <c r="AL817" s="58"/>
      <c r="AM817" s="68" t="str">
        <f aca="false">IF(LEFT(AL817,1)="9","Celular",IF(AL817="","","Fixo"))</f>
        <v/>
      </c>
      <c r="AN817" s="58" t="str">
        <f aca="false">IF( AM817&lt;&gt;"",VLOOKUP(AM817,Selects!$M$4:$N$1000,2,0),"")</f>
        <v/>
      </c>
      <c r="AO817" s="58"/>
      <c r="AP817" s="59"/>
      <c r="AQ817" s="65"/>
      <c r="AR817" s="58"/>
      <c r="AS817" s="58"/>
      <c r="AT817" s="26"/>
      <c r="AU817" s="58"/>
      <c r="AV817" s="58"/>
      <c r="AW817" s="58"/>
      <c r="AX817" s="58"/>
      <c r="AY817" s="71"/>
      <c r="AZ817" s="58"/>
      <c r="BA817" s="58"/>
      <c r="BB817" s="72" t="str">
        <f aca="false">IF(BA817&lt;&gt;"",VLOOKUP(BA817,Selects!$B$4:$C$100,2,0),"")</f>
        <v/>
      </c>
      <c r="BC817" s="26"/>
      <c r="BD817" s="26"/>
      <c r="BE817" s="73"/>
      <c r="BF817" s="74"/>
      <c r="BG817" s="75" t="str">
        <f aca="false">IF(LEN(BF817)=11,"PF",IF(LEN(BF817)=14,"PJ",""))</f>
        <v/>
      </c>
      <c r="BH817" s="66"/>
      <c r="BI817" s="58" t="str">
        <f aca="false">IF(BH817&lt;&gt;"",VLOOKUP(BH817,Selects!$G:$H,2,0),"")</f>
        <v/>
      </c>
      <c r="BJ817" s="58"/>
      <c r="BK817" s="58"/>
      <c r="BL817" s="59"/>
      <c r="BM817" s="58"/>
      <c r="BN817" s="58"/>
      <c r="BO817" s="58" t="str">
        <f aca="false">IF(BN817&lt;&gt;"",VLOOKUP(BN817,Selects!$J$4:$K$1000,2,0),"")</f>
        <v/>
      </c>
      <c r="BP817" s="76"/>
      <c r="BQ817" s="59"/>
      <c r="BR817" s="77"/>
      <c r="BS817" s="59"/>
      <c r="BT817" s="77"/>
      <c r="BU817" s="58"/>
      <c r="BV817" s="58"/>
      <c r="BW817" s="58"/>
      <c r="BX817" s="58"/>
      <c r="BY817" s="58"/>
      <c r="BZ817" s="58"/>
      <c r="CA817" s="58"/>
      <c r="CB817" s="72" t="str">
        <f aca="false">IF(AC817&lt;&gt;"",VLOOKUP(AC817,Selects!$B:$E,4,0),"")</f>
        <v/>
      </c>
      <c r="CC817" s="58"/>
      <c r="CD817" s="58"/>
      <c r="CE817" s="58"/>
    </row>
    <row r="818" customFormat="false" ht="15.75" hidden="false" customHeight="true" outlineLevel="0" collapsed="false">
      <c r="A818" s="17"/>
      <c r="B818" s="58"/>
      <c r="C818" s="58"/>
      <c r="D818" s="59"/>
      <c r="E818" s="60" t="str">
        <f aca="false">IF(LEN(D818)=11,"PF",IF(LEN(D818)=14,"PJ",""))</f>
        <v/>
      </c>
      <c r="F818" s="59"/>
      <c r="G818" s="59"/>
      <c r="H818" s="61" t="str">
        <f aca="false">IF(G818&lt;&gt;"",VLOOKUP(G818,'Cnae  mcc  id'!$A:$M,9,0),"")</f>
        <v/>
      </c>
      <c r="I818" s="62"/>
      <c r="J818" s="63" t="str">
        <f aca="false">IF(I818&lt;&gt;"",VLOOKUP(I818,'Legal Nature'!$E$2:$G$84,3,0),"")</f>
        <v/>
      </c>
      <c r="K818" s="64"/>
      <c r="L818" s="65"/>
      <c r="M818" s="66"/>
      <c r="N818" s="66"/>
      <c r="O818" s="79"/>
      <c r="P818" s="26"/>
      <c r="Q818" s="58"/>
      <c r="R818" s="58"/>
      <c r="S818" s="80"/>
      <c r="T818" s="68" t="str">
        <f aca="false">IF(LEFT(S818,1)="9","Celular",IF(S818="","","Fixo"))</f>
        <v/>
      </c>
      <c r="U818" s="58" t="str">
        <f aca="false">IF( T818&lt;&gt;"",VLOOKUP(T818,Selects!$M$4:$N$1000,2,0),"")</f>
        <v/>
      </c>
      <c r="V818" s="26"/>
      <c r="W818" s="58"/>
      <c r="X818" s="58"/>
      <c r="Y818" s="58"/>
      <c r="Z818" s="58"/>
      <c r="AA818" s="69"/>
      <c r="AB818" s="58"/>
      <c r="AC818" s="58"/>
      <c r="AD818" s="70" t="str">
        <f aca="false">IF(AC818&lt;&gt;"",VLOOKUP(AC818,Selects!$B$4:$C$100,2,0),"")</f>
        <v/>
      </c>
      <c r="AE818" s="26"/>
      <c r="AF818" s="58"/>
      <c r="AG818" s="59"/>
      <c r="AH818" s="65"/>
      <c r="AI818" s="66"/>
      <c r="AJ818" s="66"/>
      <c r="AK818" s="58"/>
      <c r="AL818" s="58"/>
      <c r="AM818" s="68" t="str">
        <f aca="false">IF(LEFT(AL818,1)="9","Celular",IF(AL818="","","Fixo"))</f>
        <v/>
      </c>
      <c r="AN818" s="58" t="str">
        <f aca="false">IF( AM818&lt;&gt;"",VLOOKUP(AM818,Selects!$M$4:$N$1000,2,0),"")</f>
        <v/>
      </c>
      <c r="AO818" s="58"/>
      <c r="AP818" s="59"/>
      <c r="AQ818" s="65"/>
      <c r="AR818" s="58"/>
      <c r="AS818" s="58"/>
      <c r="AT818" s="26"/>
      <c r="AU818" s="58"/>
      <c r="AV818" s="58"/>
      <c r="AW818" s="58"/>
      <c r="AX818" s="58"/>
      <c r="AY818" s="71"/>
      <c r="AZ818" s="58"/>
      <c r="BA818" s="58"/>
      <c r="BB818" s="72" t="str">
        <f aca="false">IF(BA818&lt;&gt;"",VLOOKUP(BA818,Selects!$B$4:$C$100,2,0),"")</f>
        <v/>
      </c>
      <c r="BC818" s="26"/>
      <c r="BD818" s="26"/>
      <c r="BE818" s="73"/>
      <c r="BF818" s="74"/>
      <c r="BG818" s="75" t="str">
        <f aca="false">IF(LEN(BF818)=11,"PF",IF(LEN(BF818)=14,"PJ",""))</f>
        <v/>
      </c>
      <c r="BH818" s="66"/>
      <c r="BI818" s="58" t="str">
        <f aca="false">IF(BH818&lt;&gt;"",VLOOKUP(BH818,Selects!$G:$H,2,0),"")</f>
        <v/>
      </c>
      <c r="BJ818" s="58"/>
      <c r="BK818" s="58"/>
      <c r="BL818" s="59"/>
      <c r="BM818" s="58"/>
      <c r="BN818" s="58"/>
      <c r="BO818" s="58" t="str">
        <f aca="false">IF(BN818&lt;&gt;"",VLOOKUP(BN818,Selects!$J$4:$K$1000,2,0),"")</f>
        <v/>
      </c>
      <c r="BP818" s="76"/>
      <c r="BQ818" s="59"/>
      <c r="BR818" s="77"/>
      <c r="BS818" s="59"/>
      <c r="BT818" s="77"/>
      <c r="BU818" s="58"/>
      <c r="BV818" s="58"/>
      <c r="BW818" s="58"/>
      <c r="BX818" s="58"/>
      <c r="BY818" s="58"/>
      <c r="BZ818" s="58"/>
      <c r="CA818" s="58"/>
      <c r="CB818" s="72" t="str">
        <f aca="false">IF(AC818&lt;&gt;"",VLOOKUP(AC818,Selects!$B:$E,4,0),"")</f>
        <v/>
      </c>
      <c r="CC818" s="58"/>
      <c r="CD818" s="58"/>
      <c r="CE818" s="58"/>
    </row>
    <row r="819" customFormat="false" ht="15.75" hidden="false" customHeight="true" outlineLevel="0" collapsed="false">
      <c r="A819" s="17"/>
      <c r="B819" s="58"/>
      <c r="C819" s="58"/>
      <c r="D819" s="59"/>
      <c r="E819" s="60" t="str">
        <f aca="false">IF(LEN(D819)=11,"PF",IF(LEN(D819)=14,"PJ",""))</f>
        <v/>
      </c>
      <c r="F819" s="59"/>
      <c r="G819" s="59"/>
      <c r="H819" s="61" t="str">
        <f aca="false">IF(G819&lt;&gt;"",VLOOKUP(G819,'Cnae  mcc  id'!$A:$M,9,0),"")</f>
        <v/>
      </c>
      <c r="I819" s="62"/>
      <c r="J819" s="63" t="str">
        <f aca="false">IF(I819&lt;&gt;"",VLOOKUP(I819,'Legal Nature'!$E$2:$G$84,3,0),"")</f>
        <v/>
      </c>
      <c r="K819" s="64"/>
      <c r="L819" s="65"/>
      <c r="M819" s="66"/>
      <c r="N819" s="66"/>
      <c r="O819" s="79"/>
      <c r="P819" s="26"/>
      <c r="Q819" s="58"/>
      <c r="R819" s="58"/>
      <c r="S819" s="80"/>
      <c r="T819" s="68" t="str">
        <f aca="false">IF(LEFT(S819,1)="9","Celular",IF(S819="","","Fixo"))</f>
        <v/>
      </c>
      <c r="U819" s="58" t="str">
        <f aca="false">IF( T819&lt;&gt;"",VLOOKUP(T819,Selects!$M$4:$N$1000,2,0),"")</f>
        <v/>
      </c>
      <c r="V819" s="26"/>
      <c r="W819" s="58"/>
      <c r="X819" s="58"/>
      <c r="Y819" s="58"/>
      <c r="Z819" s="58"/>
      <c r="AA819" s="69"/>
      <c r="AB819" s="58"/>
      <c r="AC819" s="58"/>
      <c r="AD819" s="70" t="str">
        <f aca="false">IF(AC819&lt;&gt;"",VLOOKUP(AC819,Selects!$B$4:$C$100,2,0),"")</f>
        <v/>
      </c>
      <c r="AE819" s="26"/>
      <c r="AF819" s="58"/>
      <c r="AG819" s="59"/>
      <c r="AH819" s="65"/>
      <c r="AI819" s="66"/>
      <c r="AJ819" s="66"/>
      <c r="AK819" s="58"/>
      <c r="AL819" s="58"/>
      <c r="AM819" s="68" t="str">
        <f aca="false">IF(LEFT(AL819,1)="9","Celular",IF(AL819="","","Fixo"))</f>
        <v/>
      </c>
      <c r="AN819" s="58" t="str">
        <f aca="false">IF( AM819&lt;&gt;"",VLOOKUP(AM819,Selects!$M$4:$N$1000,2,0),"")</f>
        <v/>
      </c>
      <c r="AO819" s="58"/>
      <c r="AP819" s="59"/>
      <c r="AQ819" s="65"/>
      <c r="AR819" s="58"/>
      <c r="AS819" s="58"/>
      <c r="AT819" s="26"/>
      <c r="AU819" s="58"/>
      <c r="AV819" s="58"/>
      <c r="AW819" s="58"/>
      <c r="AX819" s="58"/>
      <c r="AY819" s="71"/>
      <c r="AZ819" s="58"/>
      <c r="BA819" s="58"/>
      <c r="BB819" s="72" t="str">
        <f aca="false">IF(BA819&lt;&gt;"",VLOOKUP(BA819,Selects!$B$4:$C$100,2,0),"")</f>
        <v/>
      </c>
      <c r="BC819" s="26"/>
      <c r="BD819" s="26"/>
      <c r="BE819" s="73"/>
      <c r="BF819" s="74"/>
      <c r="BG819" s="75" t="str">
        <f aca="false">IF(LEN(BF819)=11,"PF",IF(LEN(BF819)=14,"PJ",""))</f>
        <v/>
      </c>
      <c r="BH819" s="66"/>
      <c r="BI819" s="58" t="str">
        <f aca="false">IF(BH819&lt;&gt;"",VLOOKUP(BH819,Selects!$G:$H,2,0),"")</f>
        <v/>
      </c>
      <c r="BJ819" s="58"/>
      <c r="BK819" s="58"/>
      <c r="BL819" s="59"/>
      <c r="BM819" s="58"/>
      <c r="BN819" s="58"/>
      <c r="BO819" s="58" t="str">
        <f aca="false">IF(BN819&lt;&gt;"",VLOOKUP(BN819,Selects!$J$4:$K$1000,2,0),"")</f>
        <v/>
      </c>
      <c r="BP819" s="76"/>
      <c r="BQ819" s="59"/>
      <c r="BR819" s="77"/>
      <c r="BS819" s="59"/>
      <c r="BT819" s="77"/>
      <c r="BU819" s="58"/>
      <c r="BV819" s="58"/>
      <c r="BW819" s="58"/>
      <c r="BX819" s="58"/>
      <c r="BY819" s="58"/>
      <c r="BZ819" s="58"/>
      <c r="CA819" s="58"/>
      <c r="CB819" s="72" t="str">
        <f aca="false">IF(AC819&lt;&gt;"",VLOOKUP(AC819,Selects!$B:$E,4,0),"")</f>
        <v/>
      </c>
      <c r="CC819" s="58"/>
      <c r="CD819" s="58"/>
      <c r="CE819" s="58"/>
    </row>
    <row r="820" customFormat="false" ht="15.75" hidden="false" customHeight="true" outlineLevel="0" collapsed="false">
      <c r="A820" s="17"/>
      <c r="B820" s="58"/>
      <c r="C820" s="58"/>
      <c r="D820" s="59"/>
      <c r="E820" s="60" t="str">
        <f aca="false">IF(LEN(D820)=11,"PF",IF(LEN(D820)=14,"PJ",""))</f>
        <v/>
      </c>
      <c r="F820" s="59"/>
      <c r="G820" s="59"/>
      <c r="H820" s="61" t="str">
        <f aca="false">IF(G820&lt;&gt;"",VLOOKUP(G820,'Cnae  mcc  id'!$A:$M,9,0),"")</f>
        <v/>
      </c>
      <c r="I820" s="62"/>
      <c r="J820" s="63" t="str">
        <f aca="false">IF(I820&lt;&gt;"",VLOOKUP(I820,'Legal Nature'!$E$2:$G$84,3,0),"")</f>
        <v/>
      </c>
      <c r="K820" s="64"/>
      <c r="L820" s="65"/>
      <c r="M820" s="66"/>
      <c r="N820" s="66"/>
      <c r="O820" s="79"/>
      <c r="P820" s="26"/>
      <c r="Q820" s="58"/>
      <c r="R820" s="58"/>
      <c r="S820" s="80"/>
      <c r="T820" s="68" t="str">
        <f aca="false">IF(LEFT(S820,1)="9","Celular",IF(S820="","","Fixo"))</f>
        <v/>
      </c>
      <c r="U820" s="58" t="str">
        <f aca="false">IF( T820&lt;&gt;"",VLOOKUP(T820,Selects!$M$4:$N$1000,2,0),"")</f>
        <v/>
      </c>
      <c r="V820" s="26"/>
      <c r="W820" s="58"/>
      <c r="X820" s="58"/>
      <c r="Y820" s="58"/>
      <c r="Z820" s="58"/>
      <c r="AA820" s="69"/>
      <c r="AB820" s="58"/>
      <c r="AC820" s="58"/>
      <c r="AD820" s="70" t="str">
        <f aca="false">IF(AC820&lt;&gt;"",VLOOKUP(AC820,Selects!$B$4:$C$100,2,0),"")</f>
        <v/>
      </c>
      <c r="AE820" s="26"/>
      <c r="AF820" s="58"/>
      <c r="AG820" s="59"/>
      <c r="AH820" s="65"/>
      <c r="AI820" s="66"/>
      <c r="AJ820" s="66"/>
      <c r="AK820" s="58"/>
      <c r="AL820" s="58"/>
      <c r="AM820" s="68" t="str">
        <f aca="false">IF(LEFT(AL820,1)="9","Celular",IF(AL820="","","Fixo"))</f>
        <v/>
      </c>
      <c r="AN820" s="58" t="str">
        <f aca="false">IF( AM820&lt;&gt;"",VLOOKUP(AM820,Selects!$M$4:$N$1000,2,0),"")</f>
        <v/>
      </c>
      <c r="AO820" s="58"/>
      <c r="AP820" s="59"/>
      <c r="AQ820" s="65"/>
      <c r="AR820" s="58"/>
      <c r="AS820" s="58"/>
      <c r="AT820" s="26"/>
      <c r="AU820" s="58"/>
      <c r="AV820" s="58"/>
      <c r="AW820" s="58"/>
      <c r="AX820" s="58"/>
      <c r="AY820" s="71"/>
      <c r="AZ820" s="58"/>
      <c r="BA820" s="58"/>
      <c r="BB820" s="72" t="str">
        <f aca="false">IF(BA820&lt;&gt;"",VLOOKUP(BA820,Selects!$B$4:$C$100,2,0),"")</f>
        <v/>
      </c>
      <c r="BC820" s="26"/>
      <c r="BD820" s="26"/>
      <c r="BE820" s="73"/>
      <c r="BF820" s="74"/>
      <c r="BG820" s="75" t="str">
        <f aca="false">IF(LEN(BF820)=11,"PF",IF(LEN(BF820)=14,"PJ",""))</f>
        <v/>
      </c>
      <c r="BH820" s="66"/>
      <c r="BI820" s="58" t="str">
        <f aca="false">IF(BH820&lt;&gt;"",VLOOKUP(BH820,Selects!$G:$H,2,0),"")</f>
        <v/>
      </c>
      <c r="BJ820" s="58"/>
      <c r="BK820" s="58"/>
      <c r="BL820" s="59"/>
      <c r="BM820" s="58"/>
      <c r="BN820" s="58"/>
      <c r="BO820" s="58" t="str">
        <f aca="false">IF(BN820&lt;&gt;"",VLOOKUP(BN820,Selects!$J$4:$K$1000,2,0),"")</f>
        <v/>
      </c>
      <c r="BP820" s="76"/>
      <c r="BQ820" s="59"/>
      <c r="BR820" s="77"/>
      <c r="BS820" s="59"/>
      <c r="BT820" s="77"/>
      <c r="BU820" s="58"/>
      <c r="BV820" s="58"/>
      <c r="BW820" s="58"/>
      <c r="BX820" s="58"/>
      <c r="BY820" s="58"/>
      <c r="BZ820" s="58"/>
      <c r="CA820" s="58"/>
      <c r="CB820" s="72" t="str">
        <f aca="false">IF(AC820&lt;&gt;"",VLOOKUP(AC820,Selects!$B:$E,4,0),"")</f>
        <v/>
      </c>
      <c r="CC820" s="58"/>
      <c r="CD820" s="58"/>
      <c r="CE820" s="58"/>
    </row>
    <row r="821" customFormat="false" ht="15.75" hidden="false" customHeight="true" outlineLevel="0" collapsed="false">
      <c r="A821" s="17"/>
      <c r="B821" s="58"/>
      <c r="C821" s="58"/>
      <c r="D821" s="59"/>
      <c r="E821" s="60" t="str">
        <f aca="false">IF(LEN(D821)=11,"PF",IF(LEN(D821)=14,"PJ",""))</f>
        <v/>
      </c>
      <c r="F821" s="59"/>
      <c r="G821" s="59"/>
      <c r="H821" s="61" t="str">
        <f aca="false">IF(G821&lt;&gt;"",VLOOKUP(G821,'Cnae  mcc  id'!$A:$M,9,0),"")</f>
        <v/>
      </c>
      <c r="I821" s="62"/>
      <c r="J821" s="63" t="str">
        <f aca="false">IF(I821&lt;&gt;"",VLOOKUP(I821,'Legal Nature'!$E$2:$G$84,3,0),"")</f>
        <v/>
      </c>
      <c r="K821" s="64"/>
      <c r="L821" s="65"/>
      <c r="M821" s="66"/>
      <c r="N821" s="66"/>
      <c r="O821" s="79"/>
      <c r="P821" s="26"/>
      <c r="Q821" s="58"/>
      <c r="R821" s="58"/>
      <c r="S821" s="80"/>
      <c r="T821" s="68" t="str">
        <f aca="false">IF(LEFT(S821,1)="9","Celular",IF(S821="","","Fixo"))</f>
        <v/>
      </c>
      <c r="U821" s="58" t="str">
        <f aca="false">IF( T821&lt;&gt;"",VLOOKUP(T821,Selects!$M$4:$N$1000,2,0),"")</f>
        <v/>
      </c>
      <c r="V821" s="26"/>
      <c r="W821" s="58"/>
      <c r="X821" s="58"/>
      <c r="Y821" s="58"/>
      <c r="Z821" s="58"/>
      <c r="AA821" s="69"/>
      <c r="AB821" s="58"/>
      <c r="AC821" s="58"/>
      <c r="AD821" s="70" t="str">
        <f aca="false">IF(AC821&lt;&gt;"",VLOOKUP(AC821,Selects!$B$4:$C$100,2,0),"")</f>
        <v/>
      </c>
      <c r="AE821" s="26"/>
      <c r="AF821" s="58"/>
      <c r="AG821" s="59"/>
      <c r="AH821" s="65"/>
      <c r="AI821" s="66"/>
      <c r="AJ821" s="66"/>
      <c r="AK821" s="58"/>
      <c r="AL821" s="58"/>
      <c r="AM821" s="68" t="str">
        <f aca="false">IF(LEFT(AL821,1)="9","Celular",IF(AL821="","","Fixo"))</f>
        <v/>
      </c>
      <c r="AN821" s="58" t="str">
        <f aca="false">IF( AM821&lt;&gt;"",VLOOKUP(AM821,Selects!$M$4:$N$1000,2,0),"")</f>
        <v/>
      </c>
      <c r="AO821" s="58"/>
      <c r="AP821" s="59"/>
      <c r="AQ821" s="65"/>
      <c r="AR821" s="58"/>
      <c r="AS821" s="58"/>
      <c r="AT821" s="26"/>
      <c r="AU821" s="58"/>
      <c r="AV821" s="58"/>
      <c r="AW821" s="58"/>
      <c r="AX821" s="58"/>
      <c r="AY821" s="71"/>
      <c r="AZ821" s="58"/>
      <c r="BA821" s="58"/>
      <c r="BB821" s="72" t="str">
        <f aca="false">IF(BA821&lt;&gt;"",VLOOKUP(BA821,Selects!$B$4:$C$100,2,0),"")</f>
        <v/>
      </c>
      <c r="BC821" s="26"/>
      <c r="BD821" s="26"/>
      <c r="BE821" s="73"/>
      <c r="BF821" s="74"/>
      <c r="BG821" s="75" t="str">
        <f aca="false">IF(LEN(BF821)=11,"PF",IF(LEN(BF821)=14,"PJ",""))</f>
        <v/>
      </c>
      <c r="BH821" s="66"/>
      <c r="BI821" s="58" t="str">
        <f aca="false">IF(BH821&lt;&gt;"",VLOOKUP(BH821,Selects!$G:$H,2,0),"")</f>
        <v/>
      </c>
      <c r="BJ821" s="58"/>
      <c r="BK821" s="58"/>
      <c r="BL821" s="59"/>
      <c r="BM821" s="58"/>
      <c r="BN821" s="58"/>
      <c r="BO821" s="58" t="str">
        <f aca="false">IF(BN821&lt;&gt;"",VLOOKUP(BN821,Selects!$J$4:$K$1000,2,0),"")</f>
        <v/>
      </c>
      <c r="BP821" s="76"/>
      <c r="BQ821" s="59"/>
      <c r="BR821" s="77"/>
      <c r="BS821" s="59"/>
      <c r="BT821" s="77"/>
      <c r="BU821" s="58"/>
      <c r="BV821" s="58"/>
      <c r="BW821" s="58"/>
      <c r="BX821" s="58"/>
      <c r="BY821" s="58"/>
      <c r="BZ821" s="58"/>
      <c r="CA821" s="58"/>
      <c r="CB821" s="72" t="str">
        <f aca="false">IF(AC821&lt;&gt;"",VLOOKUP(AC821,Selects!$B:$E,4,0),"")</f>
        <v/>
      </c>
      <c r="CC821" s="58"/>
      <c r="CD821" s="58"/>
      <c r="CE821" s="58"/>
    </row>
    <row r="822" customFormat="false" ht="15.75" hidden="false" customHeight="true" outlineLevel="0" collapsed="false">
      <c r="A822" s="17"/>
      <c r="B822" s="58"/>
      <c r="C822" s="58"/>
      <c r="D822" s="59"/>
      <c r="E822" s="60" t="str">
        <f aca="false">IF(LEN(D822)=11,"PF",IF(LEN(D822)=14,"PJ",""))</f>
        <v/>
      </c>
      <c r="F822" s="59"/>
      <c r="G822" s="59"/>
      <c r="H822" s="61" t="str">
        <f aca="false">IF(G822&lt;&gt;"",VLOOKUP(G822,'Cnae  mcc  id'!$A:$M,9,0),"")</f>
        <v/>
      </c>
      <c r="I822" s="62"/>
      <c r="J822" s="63" t="str">
        <f aca="false">IF(I822&lt;&gt;"",VLOOKUP(I822,'Legal Nature'!$E$2:$G$84,3,0),"")</f>
        <v/>
      </c>
      <c r="K822" s="64"/>
      <c r="L822" s="65"/>
      <c r="M822" s="66"/>
      <c r="N822" s="66"/>
      <c r="O822" s="79"/>
      <c r="P822" s="26"/>
      <c r="Q822" s="58"/>
      <c r="R822" s="58"/>
      <c r="S822" s="80"/>
      <c r="T822" s="68" t="str">
        <f aca="false">IF(LEFT(S822,1)="9","Celular",IF(S822="","","Fixo"))</f>
        <v/>
      </c>
      <c r="U822" s="58" t="str">
        <f aca="false">IF( T822&lt;&gt;"",VLOOKUP(T822,Selects!$M$4:$N$1000,2,0),"")</f>
        <v/>
      </c>
      <c r="V822" s="26"/>
      <c r="W822" s="58"/>
      <c r="X822" s="58"/>
      <c r="Y822" s="58"/>
      <c r="Z822" s="58"/>
      <c r="AA822" s="69"/>
      <c r="AB822" s="58"/>
      <c r="AC822" s="58"/>
      <c r="AD822" s="70" t="str">
        <f aca="false">IF(AC822&lt;&gt;"",VLOOKUP(AC822,Selects!$B$4:$C$100,2,0),"")</f>
        <v/>
      </c>
      <c r="AE822" s="26"/>
      <c r="AF822" s="58"/>
      <c r="AG822" s="59"/>
      <c r="AH822" s="65"/>
      <c r="AI822" s="66"/>
      <c r="AJ822" s="66"/>
      <c r="AK822" s="58"/>
      <c r="AL822" s="58"/>
      <c r="AM822" s="68" t="str">
        <f aca="false">IF(LEFT(AL822,1)="9","Celular",IF(AL822="","","Fixo"))</f>
        <v/>
      </c>
      <c r="AN822" s="58" t="str">
        <f aca="false">IF( AM822&lt;&gt;"",VLOOKUP(AM822,Selects!$M$4:$N$1000,2,0),"")</f>
        <v/>
      </c>
      <c r="AO822" s="58"/>
      <c r="AP822" s="59"/>
      <c r="AQ822" s="65"/>
      <c r="AR822" s="58"/>
      <c r="AS822" s="58"/>
      <c r="AT822" s="26"/>
      <c r="AU822" s="58"/>
      <c r="AV822" s="58"/>
      <c r="AW822" s="58"/>
      <c r="AX822" s="58"/>
      <c r="AY822" s="71"/>
      <c r="AZ822" s="58"/>
      <c r="BA822" s="58"/>
      <c r="BB822" s="72" t="str">
        <f aca="false">IF(BA822&lt;&gt;"",VLOOKUP(BA822,Selects!$B$4:$C$100,2,0),"")</f>
        <v/>
      </c>
      <c r="BC822" s="26"/>
      <c r="BD822" s="26"/>
      <c r="BE822" s="73"/>
      <c r="BF822" s="74"/>
      <c r="BG822" s="75" t="str">
        <f aca="false">IF(LEN(BF822)=11,"PF",IF(LEN(BF822)=14,"PJ",""))</f>
        <v/>
      </c>
      <c r="BH822" s="66"/>
      <c r="BI822" s="58" t="str">
        <f aca="false">IF(BH822&lt;&gt;"",VLOOKUP(BH822,Selects!$G:$H,2,0),"")</f>
        <v/>
      </c>
      <c r="BJ822" s="58"/>
      <c r="BK822" s="58"/>
      <c r="BL822" s="59"/>
      <c r="BM822" s="58"/>
      <c r="BN822" s="58"/>
      <c r="BO822" s="58" t="str">
        <f aca="false">IF(BN822&lt;&gt;"",VLOOKUP(BN822,Selects!$J$4:$K$1000,2,0),"")</f>
        <v/>
      </c>
      <c r="BP822" s="76"/>
      <c r="BQ822" s="59"/>
      <c r="BR822" s="77"/>
      <c r="BS822" s="59"/>
      <c r="BT822" s="77"/>
      <c r="BU822" s="58"/>
      <c r="BV822" s="58"/>
      <c r="BW822" s="58"/>
      <c r="BX822" s="58"/>
      <c r="BY822" s="58"/>
      <c r="BZ822" s="58"/>
      <c r="CA822" s="58"/>
      <c r="CB822" s="72" t="str">
        <f aca="false">IF(AC822&lt;&gt;"",VLOOKUP(AC822,Selects!$B:$E,4,0),"")</f>
        <v/>
      </c>
      <c r="CC822" s="58"/>
      <c r="CD822" s="58"/>
      <c r="CE822" s="58"/>
    </row>
    <row r="823" customFormat="false" ht="15.75" hidden="false" customHeight="true" outlineLevel="0" collapsed="false">
      <c r="A823" s="17"/>
      <c r="B823" s="58"/>
      <c r="C823" s="58"/>
      <c r="D823" s="59"/>
      <c r="E823" s="60" t="str">
        <f aca="false">IF(LEN(D823)=11,"PF",IF(LEN(D823)=14,"PJ",""))</f>
        <v/>
      </c>
      <c r="F823" s="59"/>
      <c r="G823" s="59"/>
      <c r="H823" s="61" t="str">
        <f aca="false">IF(G823&lt;&gt;"",VLOOKUP(G823,'Cnae  mcc  id'!$A:$M,9,0),"")</f>
        <v/>
      </c>
      <c r="I823" s="62"/>
      <c r="J823" s="63" t="str">
        <f aca="false">IF(I823&lt;&gt;"",VLOOKUP(I823,'Legal Nature'!$E$2:$G$84,3,0),"")</f>
        <v/>
      </c>
      <c r="K823" s="64"/>
      <c r="L823" s="65"/>
      <c r="M823" s="66"/>
      <c r="N823" s="66"/>
      <c r="O823" s="79"/>
      <c r="P823" s="26"/>
      <c r="Q823" s="58"/>
      <c r="R823" s="58"/>
      <c r="S823" s="80"/>
      <c r="T823" s="68" t="str">
        <f aca="false">IF(LEFT(S823,1)="9","Celular",IF(S823="","","Fixo"))</f>
        <v/>
      </c>
      <c r="U823" s="58" t="str">
        <f aca="false">IF( T823&lt;&gt;"",VLOOKUP(T823,Selects!$M$4:$N$1000,2,0),"")</f>
        <v/>
      </c>
      <c r="V823" s="26"/>
      <c r="W823" s="58"/>
      <c r="X823" s="58"/>
      <c r="Y823" s="58"/>
      <c r="Z823" s="58"/>
      <c r="AA823" s="69"/>
      <c r="AB823" s="58"/>
      <c r="AC823" s="58"/>
      <c r="AD823" s="70" t="str">
        <f aca="false">IF(AC823&lt;&gt;"",VLOOKUP(AC823,Selects!$B$4:$C$100,2,0),"")</f>
        <v/>
      </c>
      <c r="AE823" s="26"/>
      <c r="AF823" s="58"/>
      <c r="AG823" s="59"/>
      <c r="AH823" s="65"/>
      <c r="AI823" s="66"/>
      <c r="AJ823" s="66"/>
      <c r="AK823" s="58"/>
      <c r="AL823" s="58"/>
      <c r="AM823" s="68" t="str">
        <f aca="false">IF(LEFT(AL823,1)="9","Celular",IF(AL823="","","Fixo"))</f>
        <v/>
      </c>
      <c r="AN823" s="58" t="str">
        <f aca="false">IF( AM823&lt;&gt;"",VLOOKUP(AM823,Selects!$M$4:$N$1000,2,0),"")</f>
        <v/>
      </c>
      <c r="AO823" s="58"/>
      <c r="AP823" s="59"/>
      <c r="AQ823" s="65"/>
      <c r="AR823" s="58"/>
      <c r="AS823" s="58"/>
      <c r="AT823" s="26"/>
      <c r="AU823" s="58"/>
      <c r="AV823" s="58"/>
      <c r="AW823" s="58"/>
      <c r="AX823" s="58"/>
      <c r="AY823" s="71"/>
      <c r="AZ823" s="58"/>
      <c r="BA823" s="58"/>
      <c r="BB823" s="72" t="str">
        <f aca="false">IF(BA823&lt;&gt;"",VLOOKUP(BA823,Selects!$B$4:$C$100,2,0),"")</f>
        <v/>
      </c>
      <c r="BC823" s="26"/>
      <c r="BD823" s="26"/>
      <c r="BE823" s="73"/>
      <c r="BF823" s="74"/>
      <c r="BG823" s="75" t="str">
        <f aca="false">IF(LEN(BF823)=11,"PF",IF(LEN(BF823)=14,"PJ",""))</f>
        <v/>
      </c>
      <c r="BH823" s="66"/>
      <c r="BI823" s="58" t="str">
        <f aca="false">IF(BH823&lt;&gt;"",VLOOKUP(BH823,Selects!$G:$H,2,0),"")</f>
        <v/>
      </c>
      <c r="BJ823" s="58"/>
      <c r="BK823" s="58"/>
      <c r="BL823" s="59"/>
      <c r="BM823" s="58"/>
      <c r="BN823" s="58"/>
      <c r="BO823" s="58" t="str">
        <f aca="false">IF(BN823&lt;&gt;"",VLOOKUP(BN823,Selects!$J$4:$K$1000,2,0),"")</f>
        <v/>
      </c>
      <c r="BP823" s="76"/>
      <c r="BQ823" s="59"/>
      <c r="BR823" s="77"/>
      <c r="BS823" s="59"/>
      <c r="BT823" s="77"/>
      <c r="BU823" s="58"/>
      <c r="BV823" s="58"/>
      <c r="BW823" s="58"/>
      <c r="BX823" s="58"/>
      <c r="BY823" s="58"/>
      <c r="BZ823" s="58"/>
      <c r="CA823" s="58"/>
      <c r="CB823" s="72" t="str">
        <f aca="false">IF(AC823&lt;&gt;"",VLOOKUP(AC823,Selects!$B:$E,4,0),"")</f>
        <v/>
      </c>
      <c r="CC823" s="58"/>
      <c r="CD823" s="58"/>
      <c r="CE823" s="58"/>
    </row>
    <row r="824" customFormat="false" ht="15.75" hidden="false" customHeight="true" outlineLevel="0" collapsed="false">
      <c r="A824" s="17"/>
      <c r="B824" s="58"/>
      <c r="C824" s="58"/>
      <c r="D824" s="59"/>
      <c r="E824" s="60" t="str">
        <f aca="false">IF(LEN(D824)=11,"PF",IF(LEN(D824)=14,"PJ",""))</f>
        <v/>
      </c>
      <c r="F824" s="59"/>
      <c r="G824" s="59"/>
      <c r="H824" s="61" t="str">
        <f aca="false">IF(G824&lt;&gt;"",VLOOKUP(G824,'Cnae  mcc  id'!$A:$M,9,0),"")</f>
        <v/>
      </c>
      <c r="I824" s="62"/>
      <c r="J824" s="63" t="str">
        <f aca="false">IF(I824&lt;&gt;"",VLOOKUP(I824,'Legal Nature'!$E$2:$G$84,3,0),"")</f>
        <v/>
      </c>
      <c r="K824" s="64"/>
      <c r="L824" s="65"/>
      <c r="M824" s="66"/>
      <c r="N824" s="66"/>
      <c r="O824" s="79"/>
      <c r="P824" s="26"/>
      <c r="Q824" s="58"/>
      <c r="R824" s="58"/>
      <c r="S824" s="80"/>
      <c r="T824" s="68" t="str">
        <f aca="false">IF(LEFT(S824,1)="9","Celular",IF(S824="","","Fixo"))</f>
        <v/>
      </c>
      <c r="U824" s="58" t="str">
        <f aca="false">IF( T824&lt;&gt;"",VLOOKUP(T824,Selects!$M$4:$N$1000,2,0),"")</f>
        <v/>
      </c>
      <c r="V824" s="26"/>
      <c r="W824" s="58"/>
      <c r="X824" s="58"/>
      <c r="Y824" s="58"/>
      <c r="Z824" s="58"/>
      <c r="AA824" s="69"/>
      <c r="AB824" s="58"/>
      <c r="AC824" s="58"/>
      <c r="AD824" s="70" t="str">
        <f aca="false">IF(AC824&lt;&gt;"",VLOOKUP(AC824,Selects!$B$4:$C$100,2,0),"")</f>
        <v/>
      </c>
      <c r="AE824" s="26"/>
      <c r="AF824" s="58"/>
      <c r="AG824" s="59"/>
      <c r="AH824" s="65"/>
      <c r="AI824" s="66"/>
      <c r="AJ824" s="66"/>
      <c r="AK824" s="58"/>
      <c r="AL824" s="58"/>
      <c r="AM824" s="68" t="str">
        <f aca="false">IF(LEFT(AL824,1)="9","Celular",IF(AL824="","","Fixo"))</f>
        <v/>
      </c>
      <c r="AN824" s="58" t="str">
        <f aca="false">IF( AM824&lt;&gt;"",VLOOKUP(AM824,Selects!$M$4:$N$1000,2,0),"")</f>
        <v/>
      </c>
      <c r="AO824" s="58"/>
      <c r="AP824" s="59"/>
      <c r="AQ824" s="65"/>
      <c r="AR824" s="58"/>
      <c r="AS824" s="58"/>
      <c r="AT824" s="26"/>
      <c r="AU824" s="58"/>
      <c r="AV824" s="58"/>
      <c r="AW824" s="58"/>
      <c r="AX824" s="58"/>
      <c r="AY824" s="71"/>
      <c r="AZ824" s="58"/>
      <c r="BA824" s="58"/>
      <c r="BB824" s="72" t="str">
        <f aca="false">IF(BA824&lt;&gt;"",VLOOKUP(BA824,Selects!$B$4:$C$100,2,0),"")</f>
        <v/>
      </c>
      <c r="BC824" s="26"/>
      <c r="BD824" s="26"/>
      <c r="BE824" s="73"/>
      <c r="BF824" s="74"/>
      <c r="BG824" s="75" t="str">
        <f aca="false">IF(LEN(BF824)=11,"PF",IF(LEN(BF824)=14,"PJ",""))</f>
        <v/>
      </c>
      <c r="BH824" s="66"/>
      <c r="BI824" s="58" t="str">
        <f aca="false">IF(BH824&lt;&gt;"",VLOOKUP(BH824,Selects!$G:$H,2,0),"")</f>
        <v/>
      </c>
      <c r="BJ824" s="58"/>
      <c r="BK824" s="58"/>
      <c r="BL824" s="59"/>
      <c r="BM824" s="58"/>
      <c r="BN824" s="58"/>
      <c r="BO824" s="58" t="str">
        <f aca="false">IF(BN824&lt;&gt;"",VLOOKUP(BN824,Selects!$J$4:$K$1000,2,0),"")</f>
        <v/>
      </c>
      <c r="BP824" s="76"/>
      <c r="BQ824" s="59"/>
      <c r="BR824" s="77"/>
      <c r="BS824" s="59"/>
      <c r="BT824" s="77"/>
      <c r="BU824" s="58"/>
      <c r="BV824" s="58"/>
      <c r="BW824" s="58"/>
      <c r="BX824" s="58"/>
      <c r="BY824" s="58"/>
      <c r="BZ824" s="58"/>
      <c r="CA824" s="58"/>
      <c r="CB824" s="72" t="str">
        <f aca="false">IF(AC824&lt;&gt;"",VLOOKUP(AC824,Selects!$B:$E,4,0),"")</f>
        <v/>
      </c>
      <c r="CC824" s="58"/>
      <c r="CD824" s="58"/>
      <c r="CE824" s="58"/>
    </row>
    <row r="825" customFormat="false" ht="15.75" hidden="false" customHeight="true" outlineLevel="0" collapsed="false">
      <c r="A825" s="17"/>
      <c r="B825" s="58"/>
      <c r="C825" s="58"/>
      <c r="D825" s="59"/>
      <c r="E825" s="60" t="str">
        <f aca="false">IF(LEN(D825)=11,"PF",IF(LEN(D825)=14,"PJ",""))</f>
        <v/>
      </c>
      <c r="F825" s="59"/>
      <c r="G825" s="59"/>
      <c r="H825" s="61" t="str">
        <f aca="false">IF(G825&lt;&gt;"",VLOOKUP(G825,'Cnae  mcc  id'!$A:$M,9,0),"")</f>
        <v/>
      </c>
      <c r="I825" s="62"/>
      <c r="J825" s="63" t="str">
        <f aca="false">IF(I825&lt;&gt;"",VLOOKUP(I825,'Legal Nature'!$E$2:$G$84,3,0),"")</f>
        <v/>
      </c>
      <c r="K825" s="64"/>
      <c r="L825" s="65"/>
      <c r="M825" s="66"/>
      <c r="N825" s="66"/>
      <c r="O825" s="79"/>
      <c r="P825" s="26"/>
      <c r="Q825" s="58"/>
      <c r="R825" s="58"/>
      <c r="S825" s="80"/>
      <c r="T825" s="68" t="str">
        <f aca="false">IF(LEFT(S825,1)="9","Celular",IF(S825="","","Fixo"))</f>
        <v/>
      </c>
      <c r="U825" s="58" t="str">
        <f aca="false">IF( T825&lt;&gt;"",VLOOKUP(T825,Selects!$M$4:$N$1000,2,0),"")</f>
        <v/>
      </c>
      <c r="V825" s="26"/>
      <c r="W825" s="58"/>
      <c r="X825" s="58"/>
      <c r="Y825" s="58"/>
      <c r="Z825" s="58"/>
      <c r="AA825" s="69"/>
      <c r="AB825" s="58"/>
      <c r="AC825" s="58"/>
      <c r="AD825" s="70" t="str">
        <f aca="false">IF(AC825&lt;&gt;"",VLOOKUP(AC825,Selects!$B$4:$C$100,2,0),"")</f>
        <v/>
      </c>
      <c r="AE825" s="26"/>
      <c r="AF825" s="58"/>
      <c r="AG825" s="59"/>
      <c r="AH825" s="65"/>
      <c r="AI825" s="66"/>
      <c r="AJ825" s="66"/>
      <c r="AK825" s="58"/>
      <c r="AL825" s="58"/>
      <c r="AM825" s="68" t="str">
        <f aca="false">IF(LEFT(AL825,1)="9","Celular",IF(AL825="","","Fixo"))</f>
        <v/>
      </c>
      <c r="AN825" s="58" t="str">
        <f aca="false">IF( AM825&lt;&gt;"",VLOOKUP(AM825,Selects!$M$4:$N$1000,2,0),"")</f>
        <v/>
      </c>
      <c r="AO825" s="58"/>
      <c r="AP825" s="59"/>
      <c r="AQ825" s="65"/>
      <c r="AR825" s="58"/>
      <c r="AS825" s="58"/>
      <c r="AT825" s="26"/>
      <c r="AU825" s="58"/>
      <c r="AV825" s="58"/>
      <c r="AW825" s="58"/>
      <c r="AX825" s="58"/>
      <c r="AY825" s="71"/>
      <c r="AZ825" s="58"/>
      <c r="BA825" s="58"/>
      <c r="BB825" s="72" t="str">
        <f aca="false">IF(BA825&lt;&gt;"",VLOOKUP(BA825,Selects!$B$4:$C$100,2,0),"")</f>
        <v/>
      </c>
      <c r="BC825" s="26"/>
      <c r="BD825" s="26"/>
      <c r="BE825" s="73"/>
      <c r="BF825" s="74"/>
      <c r="BG825" s="75" t="str">
        <f aca="false">IF(LEN(BF825)=11,"PF",IF(LEN(BF825)=14,"PJ",""))</f>
        <v/>
      </c>
      <c r="BH825" s="66"/>
      <c r="BI825" s="58" t="str">
        <f aca="false">IF(BH825&lt;&gt;"",VLOOKUP(BH825,Selects!$G:$H,2,0),"")</f>
        <v/>
      </c>
      <c r="BJ825" s="58"/>
      <c r="BK825" s="58"/>
      <c r="BL825" s="59"/>
      <c r="BM825" s="58"/>
      <c r="BN825" s="58"/>
      <c r="BO825" s="58" t="str">
        <f aca="false">IF(BN825&lt;&gt;"",VLOOKUP(BN825,Selects!$J$4:$K$1000,2,0),"")</f>
        <v/>
      </c>
      <c r="BP825" s="76"/>
      <c r="BQ825" s="59"/>
      <c r="BR825" s="77"/>
      <c r="BS825" s="59"/>
      <c r="BT825" s="77"/>
      <c r="BU825" s="58"/>
      <c r="BV825" s="58"/>
      <c r="BW825" s="58"/>
      <c r="BX825" s="58"/>
      <c r="BY825" s="58"/>
      <c r="BZ825" s="58"/>
      <c r="CA825" s="58"/>
      <c r="CB825" s="72" t="str">
        <f aca="false">IF(AC825&lt;&gt;"",VLOOKUP(AC825,Selects!$B:$E,4,0),"")</f>
        <v/>
      </c>
      <c r="CC825" s="58"/>
      <c r="CD825" s="58"/>
      <c r="CE825" s="58"/>
    </row>
    <row r="826" customFormat="false" ht="15.75" hidden="false" customHeight="true" outlineLevel="0" collapsed="false">
      <c r="A826" s="17"/>
      <c r="B826" s="58"/>
      <c r="C826" s="58"/>
      <c r="D826" s="59"/>
      <c r="E826" s="60" t="str">
        <f aca="false">IF(LEN(D826)=11,"PF",IF(LEN(D826)=14,"PJ",""))</f>
        <v/>
      </c>
      <c r="F826" s="59"/>
      <c r="G826" s="59"/>
      <c r="H826" s="61" t="str">
        <f aca="false">IF(G826&lt;&gt;"",VLOOKUP(G826,'Cnae  mcc  id'!$A:$M,9,0),"")</f>
        <v/>
      </c>
      <c r="I826" s="62"/>
      <c r="J826" s="63" t="str">
        <f aca="false">IF(I826&lt;&gt;"",VLOOKUP(I826,'Legal Nature'!$E$2:$G$84,3,0),"")</f>
        <v/>
      </c>
      <c r="K826" s="64"/>
      <c r="L826" s="65"/>
      <c r="M826" s="66"/>
      <c r="N826" s="66"/>
      <c r="O826" s="79"/>
      <c r="P826" s="26"/>
      <c r="Q826" s="58"/>
      <c r="R826" s="58"/>
      <c r="S826" s="80"/>
      <c r="T826" s="68" t="str">
        <f aca="false">IF(LEFT(S826,1)="9","Celular",IF(S826="","","Fixo"))</f>
        <v/>
      </c>
      <c r="U826" s="58" t="str">
        <f aca="false">IF( T826&lt;&gt;"",VLOOKUP(T826,Selects!$M$4:$N$1000,2,0),"")</f>
        <v/>
      </c>
      <c r="V826" s="26"/>
      <c r="W826" s="58"/>
      <c r="X826" s="58"/>
      <c r="Y826" s="58"/>
      <c r="Z826" s="58"/>
      <c r="AA826" s="69"/>
      <c r="AB826" s="58"/>
      <c r="AC826" s="58"/>
      <c r="AD826" s="70" t="str">
        <f aca="false">IF(AC826&lt;&gt;"",VLOOKUP(AC826,Selects!$B$4:$C$100,2,0),"")</f>
        <v/>
      </c>
      <c r="AE826" s="26"/>
      <c r="AF826" s="58"/>
      <c r="AG826" s="59"/>
      <c r="AH826" s="65"/>
      <c r="AI826" s="66"/>
      <c r="AJ826" s="66"/>
      <c r="AK826" s="58"/>
      <c r="AL826" s="58"/>
      <c r="AM826" s="68" t="str">
        <f aca="false">IF(LEFT(AL826,1)="9","Celular",IF(AL826="","","Fixo"))</f>
        <v/>
      </c>
      <c r="AN826" s="58" t="str">
        <f aca="false">IF( AM826&lt;&gt;"",VLOOKUP(AM826,Selects!$M$4:$N$1000,2,0),"")</f>
        <v/>
      </c>
      <c r="AO826" s="58"/>
      <c r="AP826" s="59"/>
      <c r="AQ826" s="65"/>
      <c r="AR826" s="58"/>
      <c r="AS826" s="58"/>
      <c r="AT826" s="26"/>
      <c r="AU826" s="58"/>
      <c r="AV826" s="58"/>
      <c r="AW826" s="58"/>
      <c r="AX826" s="58"/>
      <c r="AY826" s="71"/>
      <c r="AZ826" s="58"/>
      <c r="BA826" s="58"/>
      <c r="BB826" s="72" t="str">
        <f aca="false">IF(BA826&lt;&gt;"",VLOOKUP(BA826,Selects!$B$4:$C$100,2,0),"")</f>
        <v/>
      </c>
      <c r="BC826" s="26"/>
      <c r="BD826" s="26"/>
      <c r="BE826" s="73"/>
      <c r="BF826" s="74"/>
      <c r="BG826" s="75" t="str">
        <f aca="false">IF(LEN(BF826)=11,"PF",IF(LEN(BF826)=14,"PJ",""))</f>
        <v/>
      </c>
      <c r="BH826" s="66"/>
      <c r="BI826" s="58" t="str">
        <f aca="false">IF(BH826&lt;&gt;"",VLOOKUP(BH826,Selects!$G:$H,2,0),"")</f>
        <v/>
      </c>
      <c r="BJ826" s="58"/>
      <c r="BK826" s="58"/>
      <c r="BL826" s="59"/>
      <c r="BM826" s="58"/>
      <c r="BN826" s="58"/>
      <c r="BO826" s="58" t="str">
        <f aca="false">IF(BN826&lt;&gt;"",VLOOKUP(BN826,Selects!$J$4:$K$1000,2,0),"")</f>
        <v/>
      </c>
      <c r="BP826" s="76"/>
      <c r="BQ826" s="59"/>
      <c r="BR826" s="77"/>
      <c r="BS826" s="59"/>
      <c r="BT826" s="77"/>
      <c r="BU826" s="58"/>
      <c r="BV826" s="58"/>
      <c r="BW826" s="58"/>
      <c r="BX826" s="58"/>
      <c r="BY826" s="58"/>
      <c r="BZ826" s="58"/>
      <c r="CA826" s="58"/>
      <c r="CB826" s="72" t="str">
        <f aca="false">IF(AC826&lt;&gt;"",VLOOKUP(AC826,Selects!$B:$E,4,0),"")</f>
        <v/>
      </c>
      <c r="CC826" s="58"/>
      <c r="CD826" s="58"/>
      <c r="CE826" s="58"/>
    </row>
    <row r="827" customFormat="false" ht="15.75" hidden="false" customHeight="true" outlineLevel="0" collapsed="false">
      <c r="A827" s="17"/>
      <c r="B827" s="58"/>
      <c r="C827" s="58"/>
      <c r="D827" s="59"/>
      <c r="E827" s="60" t="str">
        <f aca="false">IF(LEN(D827)=11,"PF",IF(LEN(D827)=14,"PJ",""))</f>
        <v/>
      </c>
      <c r="F827" s="59"/>
      <c r="G827" s="59"/>
      <c r="H827" s="61" t="str">
        <f aca="false">IF(G827&lt;&gt;"",VLOOKUP(G827,'Cnae  mcc  id'!$A:$M,9,0),"")</f>
        <v/>
      </c>
      <c r="I827" s="62"/>
      <c r="J827" s="63" t="str">
        <f aca="false">IF(I827&lt;&gt;"",VLOOKUP(I827,'Legal Nature'!$E$2:$G$84,3,0),"")</f>
        <v/>
      </c>
      <c r="K827" s="64"/>
      <c r="L827" s="65"/>
      <c r="M827" s="66"/>
      <c r="N827" s="66"/>
      <c r="O827" s="79"/>
      <c r="P827" s="26"/>
      <c r="Q827" s="58"/>
      <c r="R827" s="58"/>
      <c r="S827" s="80"/>
      <c r="T827" s="68" t="str">
        <f aca="false">IF(LEFT(S827,1)="9","Celular",IF(S827="","","Fixo"))</f>
        <v/>
      </c>
      <c r="U827" s="58" t="str">
        <f aca="false">IF( T827&lt;&gt;"",VLOOKUP(T827,Selects!$M$4:$N$1000,2,0),"")</f>
        <v/>
      </c>
      <c r="V827" s="26"/>
      <c r="W827" s="58"/>
      <c r="X827" s="58"/>
      <c r="Y827" s="58"/>
      <c r="Z827" s="58"/>
      <c r="AA827" s="69"/>
      <c r="AB827" s="58"/>
      <c r="AC827" s="58"/>
      <c r="AD827" s="70" t="str">
        <f aca="false">IF(AC827&lt;&gt;"",VLOOKUP(AC827,Selects!$B$4:$C$100,2,0),"")</f>
        <v/>
      </c>
      <c r="AE827" s="26"/>
      <c r="AF827" s="58"/>
      <c r="AG827" s="59"/>
      <c r="AH827" s="65"/>
      <c r="AI827" s="66"/>
      <c r="AJ827" s="66"/>
      <c r="AK827" s="58"/>
      <c r="AL827" s="58"/>
      <c r="AM827" s="68" t="str">
        <f aca="false">IF(LEFT(AL827,1)="9","Celular",IF(AL827="","","Fixo"))</f>
        <v/>
      </c>
      <c r="AN827" s="58" t="str">
        <f aca="false">IF( AM827&lt;&gt;"",VLOOKUP(AM827,Selects!$M$4:$N$1000,2,0),"")</f>
        <v/>
      </c>
      <c r="AO827" s="58"/>
      <c r="AP827" s="59"/>
      <c r="AQ827" s="65"/>
      <c r="AR827" s="58"/>
      <c r="AS827" s="58"/>
      <c r="AT827" s="26"/>
      <c r="AU827" s="58"/>
      <c r="AV827" s="58"/>
      <c r="AW827" s="58"/>
      <c r="AX827" s="58"/>
      <c r="AY827" s="71"/>
      <c r="AZ827" s="58"/>
      <c r="BA827" s="58"/>
      <c r="BB827" s="72" t="str">
        <f aca="false">IF(BA827&lt;&gt;"",VLOOKUP(BA827,Selects!$B$4:$C$100,2,0),"")</f>
        <v/>
      </c>
      <c r="BC827" s="26"/>
      <c r="BD827" s="26"/>
      <c r="BE827" s="73"/>
      <c r="BF827" s="74"/>
      <c r="BG827" s="75" t="str">
        <f aca="false">IF(LEN(BF827)=11,"PF",IF(LEN(BF827)=14,"PJ",""))</f>
        <v/>
      </c>
      <c r="BH827" s="66"/>
      <c r="BI827" s="58" t="str">
        <f aca="false">IF(BH827&lt;&gt;"",VLOOKUP(BH827,Selects!$G:$H,2,0),"")</f>
        <v/>
      </c>
      <c r="BJ827" s="58"/>
      <c r="BK827" s="58"/>
      <c r="BL827" s="59"/>
      <c r="BM827" s="58"/>
      <c r="BN827" s="58"/>
      <c r="BO827" s="58" t="str">
        <f aca="false">IF(BN827&lt;&gt;"",VLOOKUP(BN827,Selects!$J$4:$K$1000,2,0),"")</f>
        <v/>
      </c>
      <c r="BP827" s="76"/>
      <c r="BQ827" s="59"/>
      <c r="BR827" s="77"/>
      <c r="BS827" s="59"/>
      <c r="BT827" s="77"/>
      <c r="BU827" s="58"/>
      <c r="BV827" s="58"/>
      <c r="BW827" s="58"/>
      <c r="BX827" s="58"/>
      <c r="BY827" s="58"/>
      <c r="BZ827" s="58"/>
      <c r="CA827" s="58"/>
      <c r="CB827" s="72" t="str">
        <f aca="false">IF(AC827&lt;&gt;"",VLOOKUP(AC827,Selects!$B:$E,4,0),"")</f>
        <v/>
      </c>
      <c r="CC827" s="58"/>
      <c r="CD827" s="58"/>
      <c r="CE827" s="58"/>
    </row>
    <row r="828" customFormat="false" ht="15.75" hidden="false" customHeight="true" outlineLevel="0" collapsed="false">
      <c r="A828" s="17"/>
      <c r="B828" s="58"/>
      <c r="C828" s="58"/>
      <c r="D828" s="59"/>
      <c r="E828" s="60" t="str">
        <f aca="false">IF(LEN(D828)=11,"PF",IF(LEN(D828)=14,"PJ",""))</f>
        <v/>
      </c>
      <c r="F828" s="59"/>
      <c r="G828" s="59"/>
      <c r="H828" s="61" t="str">
        <f aca="false">IF(G828&lt;&gt;"",VLOOKUP(G828,'Cnae  mcc  id'!$A:$M,9,0),"")</f>
        <v/>
      </c>
      <c r="I828" s="62"/>
      <c r="J828" s="63" t="str">
        <f aca="false">IF(I828&lt;&gt;"",VLOOKUP(I828,'Legal Nature'!$E$2:$G$84,3,0),"")</f>
        <v/>
      </c>
      <c r="K828" s="64"/>
      <c r="L828" s="65"/>
      <c r="M828" s="66"/>
      <c r="N828" s="66"/>
      <c r="O828" s="79"/>
      <c r="P828" s="26"/>
      <c r="Q828" s="58"/>
      <c r="R828" s="58"/>
      <c r="S828" s="80"/>
      <c r="T828" s="68" t="str">
        <f aca="false">IF(LEFT(S828,1)="9","Celular",IF(S828="","","Fixo"))</f>
        <v/>
      </c>
      <c r="U828" s="58" t="str">
        <f aca="false">IF( T828&lt;&gt;"",VLOOKUP(T828,Selects!$M$4:$N$1000,2,0),"")</f>
        <v/>
      </c>
      <c r="V828" s="26"/>
      <c r="W828" s="58"/>
      <c r="X828" s="58"/>
      <c r="Y828" s="58"/>
      <c r="Z828" s="58"/>
      <c r="AA828" s="69"/>
      <c r="AB828" s="58"/>
      <c r="AC828" s="58"/>
      <c r="AD828" s="70" t="str">
        <f aca="false">IF(AC828&lt;&gt;"",VLOOKUP(AC828,Selects!$B$4:$C$100,2,0),"")</f>
        <v/>
      </c>
      <c r="AE828" s="26"/>
      <c r="AF828" s="58"/>
      <c r="AG828" s="59"/>
      <c r="AH828" s="65"/>
      <c r="AI828" s="66"/>
      <c r="AJ828" s="66"/>
      <c r="AK828" s="58"/>
      <c r="AL828" s="58"/>
      <c r="AM828" s="68" t="str">
        <f aca="false">IF(LEFT(AL828,1)="9","Celular",IF(AL828="","","Fixo"))</f>
        <v/>
      </c>
      <c r="AN828" s="58" t="str">
        <f aca="false">IF( AM828&lt;&gt;"",VLOOKUP(AM828,Selects!$M$4:$N$1000,2,0),"")</f>
        <v/>
      </c>
      <c r="AO828" s="58"/>
      <c r="AP828" s="59"/>
      <c r="AQ828" s="65"/>
      <c r="AR828" s="58"/>
      <c r="AS828" s="58"/>
      <c r="AT828" s="26"/>
      <c r="AU828" s="58"/>
      <c r="AV828" s="58"/>
      <c r="AW828" s="58"/>
      <c r="AX828" s="58"/>
      <c r="AY828" s="71"/>
      <c r="AZ828" s="58"/>
      <c r="BA828" s="58"/>
      <c r="BB828" s="72" t="str">
        <f aca="false">IF(BA828&lt;&gt;"",VLOOKUP(BA828,Selects!$B$4:$C$100,2,0),"")</f>
        <v/>
      </c>
      <c r="BC828" s="26"/>
      <c r="BD828" s="26"/>
      <c r="BE828" s="73"/>
      <c r="BF828" s="74"/>
      <c r="BG828" s="75" t="str">
        <f aca="false">IF(LEN(BF828)=11,"PF",IF(LEN(BF828)=14,"PJ",""))</f>
        <v/>
      </c>
      <c r="BH828" s="66"/>
      <c r="BI828" s="58" t="str">
        <f aca="false">IF(BH828&lt;&gt;"",VLOOKUP(BH828,Selects!$G:$H,2,0),"")</f>
        <v/>
      </c>
      <c r="BJ828" s="58"/>
      <c r="BK828" s="58"/>
      <c r="BL828" s="59"/>
      <c r="BM828" s="58"/>
      <c r="BN828" s="58"/>
      <c r="BO828" s="58" t="str">
        <f aca="false">IF(BN828&lt;&gt;"",VLOOKUP(BN828,Selects!$J$4:$K$1000,2,0),"")</f>
        <v/>
      </c>
      <c r="BP828" s="76"/>
      <c r="BQ828" s="59"/>
      <c r="BR828" s="77"/>
      <c r="BS828" s="59"/>
      <c r="BT828" s="77"/>
      <c r="BU828" s="58"/>
      <c r="BV828" s="58"/>
      <c r="BW828" s="58"/>
      <c r="BX828" s="58"/>
      <c r="BY828" s="58"/>
      <c r="BZ828" s="58"/>
      <c r="CA828" s="58"/>
      <c r="CB828" s="72" t="str">
        <f aca="false">IF(AC828&lt;&gt;"",VLOOKUP(AC828,Selects!$B:$E,4,0),"")</f>
        <v/>
      </c>
      <c r="CC828" s="58"/>
      <c r="CD828" s="58"/>
      <c r="CE828" s="58"/>
    </row>
    <row r="829" customFormat="false" ht="15.75" hidden="false" customHeight="true" outlineLevel="0" collapsed="false">
      <c r="A829" s="17"/>
      <c r="B829" s="58"/>
      <c r="C829" s="58"/>
      <c r="D829" s="59"/>
      <c r="E829" s="60" t="str">
        <f aca="false">IF(LEN(D829)=11,"PF",IF(LEN(D829)=14,"PJ",""))</f>
        <v/>
      </c>
      <c r="F829" s="59"/>
      <c r="G829" s="59"/>
      <c r="H829" s="61" t="str">
        <f aca="false">IF(G829&lt;&gt;"",VLOOKUP(G829,'Cnae  mcc  id'!$A:$M,9,0),"")</f>
        <v/>
      </c>
      <c r="I829" s="62"/>
      <c r="J829" s="63" t="str">
        <f aca="false">IF(I829&lt;&gt;"",VLOOKUP(I829,'Legal Nature'!$E$2:$G$84,3,0),"")</f>
        <v/>
      </c>
      <c r="K829" s="64"/>
      <c r="L829" s="65"/>
      <c r="M829" s="66"/>
      <c r="N829" s="66"/>
      <c r="O829" s="79"/>
      <c r="P829" s="26"/>
      <c r="Q829" s="58"/>
      <c r="R829" s="58"/>
      <c r="S829" s="80"/>
      <c r="T829" s="68" t="str">
        <f aca="false">IF(LEFT(S829,1)="9","Celular",IF(S829="","","Fixo"))</f>
        <v/>
      </c>
      <c r="U829" s="58" t="str">
        <f aca="false">IF( T829&lt;&gt;"",VLOOKUP(T829,Selects!$M$4:$N$1000,2,0),"")</f>
        <v/>
      </c>
      <c r="V829" s="26"/>
      <c r="W829" s="58"/>
      <c r="X829" s="58"/>
      <c r="Y829" s="58"/>
      <c r="Z829" s="58"/>
      <c r="AA829" s="69"/>
      <c r="AB829" s="58"/>
      <c r="AC829" s="58"/>
      <c r="AD829" s="70" t="str">
        <f aca="false">IF(AC829&lt;&gt;"",VLOOKUP(AC829,Selects!$B$4:$C$100,2,0),"")</f>
        <v/>
      </c>
      <c r="AE829" s="26"/>
      <c r="AF829" s="58"/>
      <c r="AG829" s="59"/>
      <c r="AH829" s="65"/>
      <c r="AI829" s="66"/>
      <c r="AJ829" s="66"/>
      <c r="AK829" s="58"/>
      <c r="AL829" s="58"/>
      <c r="AM829" s="68" t="str">
        <f aca="false">IF(LEFT(AL829,1)="9","Celular",IF(AL829="","","Fixo"))</f>
        <v/>
      </c>
      <c r="AN829" s="58" t="str">
        <f aca="false">IF( AM829&lt;&gt;"",VLOOKUP(AM829,Selects!$M$4:$N$1000,2,0),"")</f>
        <v/>
      </c>
      <c r="AO829" s="58"/>
      <c r="AP829" s="59"/>
      <c r="AQ829" s="65"/>
      <c r="AR829" s="58"/>
      <c r="AS829" s="58"/>
      <c r="AT829" s="26"/>
      <c r="AU829" s="58"/>
      <c r="AV829" s="58"/>
      <c r="AW829" s="58"/>
      <c r="AX829" s="58"/>
      <c r="AY829" s="71"/>
      <c r="AZ829" s="58"/>
      <c r="BA829" s="58"/>
      <c r="BB829" s="72" t="str">
        <f aca="false">IF(BA829&lt;&gt;"",VLOOKUP(BA829,Selects!$B$4:$C$100,2,0),"")</f>
        <v/>
      </c>
      <c r="BC829" s="26"/>
      <c r="BD829" s="26"/>
      <c r="BE829" s="73"/>
      <c r="BF829" s="74"/>
      <c r="BG829" s="75" t="str">
        <f aca="false">IF(LEN(BF829)=11,"PF",IF(LEN(BF829)=14,"PJ",""))</f>
        <v/>
      </c>
      <c r="BH829" s="66"/>
      <c r="BI829" s="58" t="str">
        <f aca="false">IF(BH829&lt;&gt;"",VLOOKUP(BH829,Selects!$G:$H,2,0),"")</f>
        <v/>
      </c>
      <c r="BJ829" s="58"/>
      <c r="BK829" s="58"/>
      <c r="BL829" s="59"/>
      <c r="BM829" s="58"/>
      <c r="BN829" s="58"/>
      <c r="BO829" s="58" t="str">
        <f aca="false">IF(BN829&lt;&gt;"",VLOOKUP(BN829,Selects!$J$4:$K$1000,2,0),"")</f>
        <v/>
      </c>
      <c r="BP829" s="76"/>
      <c r="BQ829" s="59"/>
      <c r="BR829" s="77"/>
      <c r="BS829" s="59"/>
      <c r="BT829" s="77"/>
      <c r="BU829" s="58"/>
      <c r="BV829" s="58"/>
      <c r="BW829" s="58"/>
      <c r="BX829" s="58"/>
      <c r="BY829" s="58"/>
      <c r="BZ829" s="58"/>
      <c r="CA829" s="58"/>
      <c r="CB829" s="72" t="str">
        <f aca="false">IF(AC829&lt;&gt;"",VLOOKUP(AC829,Selects!$B:$E,4,0),"")</f>
        <v/>
      </c>
      <c r="CC829" s="58"/>
      <c r="CD829" s="58"/>
      <c r="CE829" s="58"/>
    </row>
    <row r="830" customFormat="false" ht="15.75" hidden="false" customHeight="true" outlineLevel="0" collapsed="false">
      <c r="A830" s="17"/>
      <c r="B830" s="58"/>
      <c r="C830" s="58"/>
      <c r="D830" s="59"/>
      <c r="E830" s="60" t="str">
        <f aca="false">IF(LEN(D830)=11,"PF",IF(LEN(D830)=14,"PJ",""))</f>
        <v/>
      </c>
      <c r="F830" s="59"/>
      <c r="G830" s="59"/>
      <c r="H830" s="61" t="str">
        <f aca="false">IF(G830&lt;&gt;"",VLOOKUP(G830,'Cnae  mcc  id'!$A:$M,9,0),"")</f>
        <v/>
      </c>
      <c r="I830" s="62"/>
      <c r="J830" s="63" t="str">
        <f aca="false">IF(I830&lt;&gt;"",VLOOKUP(I830,'Legal Nature'!$E$2:$G$84,3,0),"")</f>
        <v/>
      </c>
      <c r="K830" s="64"/>
      <c r="L830" s="65"/>
      <c r="M830" s="66"/>
      <c r="N830" s="66"/>
      <c r="O830" s="79"/>
      <c r="P830" s="26"/>
      <c r="Q830" s="58"/>
      <c r="R830" s="58"/>
      <c r="S830" s="80"/>
      <c r="T830" s="68" t="str">
        <f aca="false">IF(LEFT(S830,1)="9","Celular",IF(S830="","","Fixo"))</f>
        <v/>
      </c>
      <c r="U830" s="58" t="str">
        <f aca="false">IF( T830&lt;&gt;"",VLOOKUP(T830,Selects!$M$4:$N$1000,2,0),"")</f>
        <v/>
      </c>
      <c r="V830" s="26"/>
      <c r="W830" s="58"/>
      <c r="X830" s="58"/>
      <c r="Y830" s="58"/>
      <c r="Z830" s="58"/>
      <c r="AA830" s="69"/>
      <c r="AB830" s="58"/>
      <c r="AC830" s="58"/>
      <c r="AD830" s="70" t="str">
        <f aca="false">IF(AC830&lt;&gt;"",VLOOKUP(AC830,Selects!$B$4:$C$100,2,0),"")</f>
        <v/>
      </c>
      <c r="AE830" s="26"/>
      <c r="AF830" s="58"/>
      <c r="AG830" s="59"/>
      <c r="AH830" s="65"/>
      <c r="AI830" s="66"/>
      <c r="AJ830" s="66"/>
      <c r="AK830" s="58"/>
      <c r="AL830" s="58"/>
      <c r="AM830" s="68" t="str">
        <f aca="false">IF(LEFT(AL830,1)="9","Celular",IF(AL830="","","Fixo"))</f>
        <v/>
      </c>
      <c r="AN830" s="58" t="str">
        <f aca="false">IF( AM830&lt;&gt;"",VLOOKUP(AM830,Selects!$M$4:$N$1000,2,0),"")</f>
        <v/>
      </c>
      <c r="AO830" s="58"/>
      <c r="AP830" s="59"/>
      <c r="AQ830" s="65"/>
      <c r="AR830" s="58"/>
      <c r="AS830" s="58"/>
      <c r="AT830" s="26"/>
      <c r="AU830" s="58"/>
      <c r="AV830" s="58"/>
      <c r="AW830" s="58"/>
      <c r="AX830" s="58"/>
      <c r="AY830" s="71"/>
      <c r="AZ830" s="58"/>
      <c r="BA830" s="58"/>
      <c r="BB830" s="72" t="str">
        <f aca="false">IF(BA830&lt;&gt;"",VLOOKUP(BA830,Selects!$B$4:$C$100,2,0),"")</f>
        <v/>
      </c>
      <c r="BC830" s="26"/>
      <c r="BD830" s="26"/>
      <c r="BE830" s="73"/>
      <c r="BF830" s="74"/>
      <c r="BG830" s="75" t="str">
        <f aca="false">IF(LEN(BF830)=11,"PF",IF(LEN(BF830)=14,"PJ",""))</f>
        <v/>
      </c>
      <c r="BH830" s="66"/>
      <c r="BI830" s="58" t="str">
        <f aca="false">IF(BH830&lt;&gt;"",VLOOKUP(BH830,Selects!$G:$H,2,0),"")</f>
        <v/>
      </c>
      <c r="BJ830" s="58"/>
      <c r="BK830" s="58"/>
      <c r="BL830" s="59"/>
      <c r="BM830" s="58"/>
      <c r="BN830" s="58"/>
      <c r="BO830" s="58" t="str">
        <f aca="false">IF(BN830&lt;&gt;"",VLOOKUP(BN830,Selects!$J$4:$K$1000,2,0),"")</f>
        <v/>
      </c>
      <c r="BP830" s="76"/>
      <c r="BQ830" s="59"/>
      <c r="BR830" s="77"/>
      <c r="BS830" s="59"/>
      <c r="BT830" s="77"/>
      <c r="BU830" s="58"/>
      <c r="BV830" s="58"/>
      <c r="BW830" s="58"/>
      <c r="BX830" s="58"/>
      <c r="BY830" s="58"/>
      <c r="BZ830" s="58"/>
      <c r="CA830" s="58"/>
      <c r="CB830" s="72" t="str">
        <f aca="false">IF(AC830&lt;&gt;"",VLOOKUP(AC830,Selects!$B:$E,4,0),"")</f>
        <v/>
      </c>
      <c r="CC830" s="58"/>
      <c r="CD830" s="58"/>
      <c r="CE830" s="58"/>
    </row>
    <row r="831" customFormat="false" ht="15.75" hidden="false" customHeight="true" outlineLevel="0" collapsed="false">
      <c r="A831" s="17"/>
      <c r="B831" s="58"/>
      <c r="C831" s="58"/>
      <c r="D831" s="59"/>
      <c r="E831" s="60" t="str">
        <f aca="false">IF(LEN(D831)=11,"PF",IF(LEN(D831)=14,"PJ",""))</f>
        <v/>
      </c>
      <c r="F831" s="59"/>
      <c r="G831" s="59"/>
      <c r="H831" s="61" t="str">
        <f aca="false">IF(G831&lt;&gt;"",VLOOKUP(G831,'Cnae  mcc  id'!$A:$M,9,0),"")</f>
        <v/>
      </c>
      <c r="I831" s="62"/>
      <c r="J831" s="63" t="str">
        <f aca="false">IF(I831&lt;&gt;"",VLOOKUP(I831,'Legal Nature'!$E$2:$G$84,3,0),"")</f>
        <v/>
      </c>
      <c r="K831" s="64"/>
      <c r="L831" s="65"/>
      <c r="M831" s="66"/>
      <c r="N831" s="66"/>
      <c r="O831" s="79"/>
      <c r="P831" s="26"/>
      <c r="Q831" s="58"/>
      <c r="R831" s="58"/>
      <c r="S831" s="80"/>
      <c r="T831" s="68" t="str">
        <f aca="false">IF(LEFT(S831,1)="9","Celular",IF(S831="","","Fixo"))</f>
        <v/>
      </c>
      <c r="U831" s="58" t="str">
        <f aca="false">IF( T831&lt;&gt;"",VLOOKUP(T831,Selects!$M$4:$N$1000,2,0),"")</f>
        <v/>
      </c>
      <c r="V831" s="26"/>
      <c r="W831" s="58"/>
      <c r="X831" s="58"/>
      <c r="Y831" s="58"/>
      <c r="Z831" s="58"/>
      <c r="AA831" s="69"/>
      <c r="AB831" s="58"/>
      <c r="AC831" s="58"/>
      <c r="AD831" s="70" t="str">
        <f aca="false">IF(AC831&lt;&gt;"",VLOOKUP(AC831,Selects!$B$4:$C$100,2,0),"")</f>
        <v/>
      </c>
      <c r="AE831" s="26"/>
      <c r="AF831" s="58"/>
      <c r="AG831" s="59"/>
      <c r="AH831" s="65"/>
      <c r="AI831" s="66"/>
      <c r="AJ831" s="66"/>
      <c r="AK831" s="58"/>
      <c r="AL831" s="58"/>
      <c r="AM831" s="68" t="str">
        <f aca="false">IF(LEFT(AL831,1)="9","Celular",IF(AL831="","","Fixo"))</f>
        <v/>
      </c>
      <c r="AN831" s="58" t="str">
        <f aca="false">IF( AM831&lt;&gt;"",VLOOKUP(AM831,Selects!$M$4:$N$1000,2,0),"")</f>
        <v/>
      </c>
      <c r="AO831" s="58"/>
      <c r="AP831" s="59"/>
      <c r="AQ831" s="65"/>
      <c r="AR831" s="58"/>
      <c r="AS831" s="58"/>
      <c r="AT831" s="26"/>
      <c r="AU831" s="58"/>
      <c r="AV831" s="58"/>
      <c r="AW831" s="58"/>
      <c r="AX831" s="58"/>
      <c r="AY831" s="71"/>
      <c r="AZ831" s="58"/>
      <c r="BA831" s="58"/>
      <c r="BB831" s="72" t="str">
        <f aca="false">IF(BA831&lt;&gt;"",VLOOKUP(BA831,Selects!$B$4:$C$100,2,0),"")</f>
        <v/>
      </c>
      <c r="BC831" s="26"/>
      <c r="BD831" s="26"/>
      <c r="BE831" s="73"/>
      <c r="BF831" s="74"/>
      <c r="BG831" s="75" t="str">
        <f aca="false">IF(LEN(BF831)=11,"PF",IF(LEN(BF831)=14,"PJ",""))</f>
        <v/>
      </c>
      <c r="BH831" s="66"/>
      <c r="BI831" s="58" t="str">
        <f aca="false">IF(BH831&lt;&gt;"",VLOOKUP(BH831,Selects!$G:$H,2,0),"")</f>
        <v/>
      </c>
      <c r="BJ831" s="58"/>
      <c r="BK831" s="58"/>
      <c r="BL831" s="59"/>
      <c r="BM831" s="58"/>
      <c r="BN831" s="58"/>
      <c r="BO831" s="58" t="str">
        <f aca="false">IF(BN831&lt;&gt;"",VLOOKUP(BN831,Selects!$J$4:$K$1000,2,0),"")</f>
        <v/>
      </c>
      <c r="BP831" s="76"/>
      <c r="BQ831" s="59"/>
      <c r="BR831" s="77"/>
      <c r="BS831" s="59"/>
      <c r="BT831" s="77"/>
      <c r="BU831" s="58"/>
      <c r="BV831" s="58"/>
      <c r="BW831" s="58"/>
      <c r="BX831" s="58"/>
      <c r="BY831" s="58"/>
      <c r="BZ831" s="58"/>
      <c r="CA831" s="58"/>
      <c r="CB831" s="72" t="str">
        <f aca="false">IF(AC831&lt;&gt;"",VLOOKUP(AC831,Selects!$B:$E,4,0),"")</f>
        <v/>
      </c>
      <c r="CC831" s="58"/>
      <c r="CD831" s="58"/>
      <c r="CE831" s="58"/>
    </row>
    <row r="832" customFormat="false" ht="15.75" hidden="false" customHeight="true" outlineLevel="0" collapsed="false">
      <c r="A832" s="17"/>
      <c r="B832" s="58"/>
      <c r="C832" s="58"/>
      <c r="D832" s="59"/>
      <c r="E832" s="60" t="str">
        <f aca="false">IF(LEN(D832)=11,"PF",IF(LEN(D832)=14,"PJ",""))</f>
        <v/>
      </c>
      <c r="F832" s="59"/>
      <c r="G832" s="59"/>
      <c r="H832" s="61" t="str">
        <f aca="false">IF(G832&lt;&gt;"",VLOOKUP(G832,'Cnae  mcc  id'!$A:$M,9,0),"")</f>
        <v/>
      </c>
      <c r="I832" s="62"/>
      <c r="J832" s="63" t="str">
        <f aca="false">IF(I832&lt;&gt;"",VLOOKUP(I832,'Legal Nature'!$E$2:$G$84,3,0),"")</f>
        <v/>
      </c>
      <c r="K832" s="64"/>
      <c r="L832" s="65"/>
      <c r="M832" s="66"/>
      <c r="N832" s="66"/>
      <c r="O832" s="79"/>
      <c r="P832" s="26"/>
      <c r="Q832" s="58"/>
      <c r="R832" s="58"/>
      <c r="S832" s="80"/>
      <c r="T832" s="68" t="str">
        <f aca="false">IF(LEFT(S832,1)="9","Celular",IF(S832="","","Fixo"))</f>
        <v/>
      </c>
      <c r="U832" s="58" t="str">
        <f aca="false">IF( T832&lt;&gt;"",VLOOKUP(T832,Selects!$M$4:$N$1000,2,0),"")</f>
        <v/>
      </c>
      <c r="V832" s="26"/>
      <c r="W832" s="58"/>
      <c r="X832" s="58"/>
      <c r="Y832" s="58"/>
      <c r="Z832" s="58"/>
      <c r="AA832" s="69"/>
      <c r="AB832" s="58"/>
      <c r="AC832" s="58"/>
      <c r="AD832" s="70" t="str">
        <f aca="false">IF(AC832&lt;&gt;"",VLOOKUP(AC832,Selects!$B$4:$C$100,2,0),"")</f>
        <v/>
      </c>
      <c r="AE832" s="26"/>
      <c r="AF832" s="58"/>
      <c r="AG832" s="59"/>
      <c r="AH832" s="65"/>
      <c r="AI832" s="66"/>
      <c r="AJ832" s="66"/>
      <c r="AK832" s="58"/>
      <c r="AL832" s="58"/>
      <c r="AM832" s="68" t="str">
        <f aca="false">IF(LEFT(AL832,1)="9","Celular",IF(AL832="","","Fixo"))</f>
        <v/>
      </c>
      <c r="AN832" s="58" t="str">
        <f aca="false">IF( AM832&lt;&gt;"",VLOOKUP(AM832,Selects!$M$4:$N$1000,2,0),"")</f>
        <v/>
      </c>
      <c r="AO832" s="58"/>
      <c r="AP832" s="59"/>
      <c r="AQ832" s="65"/>
      <c r="AR832" s="58"/>
      <c r="AS832" s="58"/>
      <c r="AT832" s="26"/>
      <c r="AU832" s="58"/>
      <c r="AV832" s="58"/>
      <c r="AW832" s="58"/>
      <c r="AX832" s="58"/>
      <c r="AY832" s="71"/>
      <c r="AZ832" s="58"/>
      <c r="BA832" s="58"/>
      <c r="BB832" s="72" t="str">
        <f aca="false">IF(BA832&lt;&gt;"",VLOOKUP(BA832,Selects!$B$4:$C$100,2,0),"")</f>
        <v/>
      </c>
      <c r="BC832" s="26"/>
      <c r="BD832" s="26"/>
      <c r="BE832" s="73"/>
      <c r="BF832" s="74"/>
      <c r="BG832" s="75" t="str">
        <f aca="false">IF(LEN(BF832)=11,"PF",IF(LEN(BF832)=14,"PJ",""))</f>
        <v/>
      </c>
      <c r="BH832" s="66"/>
      <c r="BI832" s="58" t="str">
        <f aca="false">IF(BH832&lt;&gt;"",VLOOKUP(BH832,Selects!$G:$H,2,0),"")</f>
        <v/>
      </c>
      <c r="BJ832" s="58"/>
      <c r="BK832" s="58"/>
      <c r="BL832" s="59"/>
      <c r="BM832" s="58"/>
      <c r="BN832" s="58"/>
      <c r="BO832" s="58" t="str">
        <f aca="false">IF(BN832&lt;&gt;"",VLOOKUP(BN832,Selects!$J$4:$K$1000,2,0),"")</f>
        <v/>
      </c>
      <c r="BP832" s="76"/>
      <c r="BQ832" s="59"/>
      <c r="BR832" s="77"/>
      <c r="BS832" s="59"/>
      <c r="BT832" s="77"/>
      <c r="BU832" s="58"/>
      <c r="BV832" s="58"/>
      <c r="BW832" s="58"/>
      <c r="BX832" s="58"/>
      <c r="BY832" s="58"/>
      <c r="BZ832" s="58"/>
      <c r="CA832" s="58"/>
      <c r="CB832" s="72" t="str">
        <f aca="false">IF(AC832&lt;&gt;"",VLOOKUP(AC832,Selects!$B:$E,4,0),"")</f>
        <v/>
      </c>
      <c r="CC832" s="58"/>
      <c r="CD832" s="58"/>
      <c r="CE832" s="58"/>
    </row>
    <row r="833" customFormat="false" ht="15.75" hidden="false" customHeight="true" outlineLevel="0" collapsed="false">
      <c r="A833" s="17"/>
      <c r="B833" s="58"/>
      <c r="C833" s="58"/>
      <c r="D833" s="59"/>
      <c r="E833" s="60" t="str">
        <f aca="false">IF(LEN(D833)=11,"PF",IF(LEN(D833)=14,"PJ",""))</f>
        <v/>
      </c>
      <c r="F833" s="59"/>
      <c r="G833" s="59"/>
      <c r="H833" s="61" t="str">
        <f aca="false">IF(G833&lt;&gt;"",VLOOKUP(G833,'Cnae  mcc  id'!$A:$M,9,0),"")</f>
        <v/>
      </c>
      <c r="I833" s="62"/>
      <c r="J833" s="63" t="str">
        <f aca="false">IF(I833&lt;&gt;"",VLOOKUP(I833,'Legal Nature'!$E$2:$G$84,3,0),"")</f>
        <v/>
      </c>
      <c r="K833" s="64"/>
      <c r="L833" s="65"/>
      <c r="M833" s="66"/>
      <c r="N833" s="66"/>
      <c r="O833" s="79"/>
      <c r="P833" s="26"/>
      <c r="Q833" s="58"/>
      <c r="R833" s="58"/>
      <c r="S833" s="80"/>
      <c r="T833" s="68" t="str">
        <f aca="false">IF(LEFT(S833,1)="9","Celular",IF(S833="","","Fixo"))</f>
        <v/>
      </c>
      <c r="U833" s="58" t="str">
        <f aca="false">IF( T833&lt;&gt;"",VLOOKUP(T833,Selects!$M$4:$N$1000,2,0),"")</f>
        <v/>
      </c>
      <c r="V833" s="26"/>
      <c r="W833" s="58"/>
      <c r="X833" s="58"/>
      <c r="Y833" s="58"/>
      <c r="Z833" s="58"/>
      <c r="AA833" s="69"/>
      <c r="AB833" s="58"/>
      <c r="AC833" s="58"/>
      <c r="AD833" s="70" t="str">
        <f aca="false">IF(AC833&lt;&gt;"",VLOOKUP(AC833,Selects!$B$4:$C$100,2,0),"")</f>
        <v/>
      </c>
      <c r="AE833" s="26"/>
      <c r="AF833" s="58"/>
      <c r="AG833" s="59"/>
      <c r="AH833" s="65"/>
      <c r="AI833" s="66"/>
      <c r="AJ833" s="66"/>
      <c r="AK833" s="58"/>
      <c r="AL833" s="58"/>
      <c r="AM833" s="68" t="str">
        <f aca="false">IF(LEFT(AL833,1)="9","Celular",IF(AL833="","","Fixo"))</f>
        <v/>
      </c>
      <c r="AN833" s="58" t="str">
        <f aca="false">IF( AM833&lt;&gt;"",VLOOKUP(AM833,Selects!$M$4:$N$1000,2,0),"")</f>
        <v/>
      </c>
      <c r="AO833" s="58"/>
      <c r="AP833" s="59"/>
      <c r="AQ833" s="65"/>
      <c r="AR833" s="58"/>
      <c r="AS833" s="58"/>
      <c r="AT833" s="26"/>
      <c r="AU833" s="58"/>
      <c r="AV833" s="58"/>
      <c r="AW833" s="58"/>
      <c r="AX833" s="58"/>
      <c r="AY833" s="71"/>
      <c r="AZ833" s="58"/>
      <c r="BA833" s="58"/>
      <c r="BB833" s="72" t="str">
        <f aca="false">IF(BA833&lt;&gt;"",VLOOKUP(BA833,Selects!$B$4:$C$100,2,0),"")</f>
        <v/>
      </c>
      <c r="BC833" s="26"/>
      <c r="BD833" s="26"/>
      <c r="BE833" s="73"/>
      <c r="BF833" s="74"/>
      <c r="BG833" s="75" t="str">
        <f aca="false">IF(LEN(BF833)=11,"PF",IF(LEN(BF833)=14,"PJ",""))</f>
        <v/>
      </c>
      <c r="BH833" s="66"/>
      <c r="BI833" s="58" t="str">
        <f aca="false">IF(BH833&lt;&gt;"",VLOOKUP(BH833,Selects!$G:$H,2,0),"")</f>
        <v/>
      </c>
      <c r="BJ833" s="58"/>
      <c r="BK833" s="58"/>
      <c r="BL833" s="59"/>
      <c r="BM833" s="58"/>
      <c r="BN833" s="58"/>
      <c r="BO833" s="58" t="str">
        <f aca="false">IF(BN833&lt;&gt;"",VLOOKUP(BN833,Selects!$J$4:$K$1000,2,0),"")</f>
        <v/>
      </c>
      <c r="BP833" s="76"/>
      <c r="BQ833" s="59"/>
      <c r="BR833" s="77"/>
      <c r="BS833" s="59"/>
      <c r="BT833" s="77"/>
      <c r="BU833" s="58"/>
      <c r="BV833" s="58"/>
      <c r="BW833" s="58"/>
      <c r="BX833" s="58"/>
      <c r="BY833" s="58"/>
      <c r="BZ833" s="58"/>
      <c r="CA833" s="58"/>
      <c r="CB833" s="72" t="str">
        <f aca="false">IF(AC833&lt;&gt;"",VLOOKUP(AC833,Selects!$B:$E,4,0),"")</f>
        <v/>
      </c>
      <c r="CC833" s="58"/>
      <c r="CD833" s="58"/>
      <c r="CE833" s="58"/>
    </row>
    <row r="834" customFormat="false" ht="15.75" hidden="false" customHeight="true" outlineLevel="0" collapsed="false">
      <c r="A834" s="17"/>
      <c r="B834" s="58"/>
      <c r="C834" s="58"/>
      <c r="D834" s="59"/>
      <c r="E834" s="60" t="str">
        <f aca="false">IF(LEN(D834)=11,"PF",IF(LEN(D834)=14,"PJ",""))</f>
        <v/>
      </c>
      <c r="F834" s="59"/>
      <c r="G834" s="59"/>
      <c r="H834" s="61" t="str">
        <f aca="false">IF(G834&lt;&gt;"",VLOOKUP(G834,'Cnae  mcc  id'!$A:$M,9,0),"")</f>
        <v/>
      </c>
      <c r="I834" s="62"/>
      <c r="J834" s="63" t="str">
        <f aca="false">IF(I834&lt;&gt;"",VLOOKUP(I834,'Legal Nature'!$E$2:$G$84,3,0),"")</f>
        <v/>
      </c>
      <c r="K834" s="64"/>
      <c r="L834" s="65"/>
      <c r="M834" s="66"/>
      <c r="N834" s="66"/>
      <c r="O834" s="79"/>
      <c r="P834" s="26"/>
      <c r="Q834" s="58"/>
      <c r="R834" s="58"/>
      <c r="S834" s="80"/>
      <c r="T834" s="68" t="str">
        <f aca="false">IF(LEFT(S834,1)="9","Celular",IF(S834="","","Fixo"))</f>
        <v/>
      </c>
      <c r="U834" s="58" t="str">
        <f aca="false">IF( T834&lt;&gt;"",VLOOKUP(T834,Selects!$M$4:$N$1000,2,0),"")</f>
        <v/>
      </c>
      <c r="V834" s="26"/>
      <c r="W834" s="58"/>
      <c r="X834" s="58"/>
      <c r="Y834" s="58"/>
      <c r="Z834" s="58"/>
      <c r="AA834" s="69"/>
      <c r="AB834" s="58"/>
      <c r="AC834" s="58"/>
      <c r="AD834" s="70" t="str">
        <f aca="false">IF(AC834&lt;&gt;"",VLOOKUP(AC834,Selects!$B$4:$C$100,2,0),"")</f>
        <v/>
      </c>
      <c r="AE834" s="26"/>
      <c r="AF834" s="58"/>
      <c r="AG834" s="59"/>
      <c r="AH834" s="65"/>
      <c r="AI834" s="66"/>
      <c r="AJ834" s="66"/>
      <c r="AK834" s="58"/>
      <c r="AL834" s="58"/>
      <c r="AM834" s="68" t="str">
        <f aca="false">IF(LEFT(AL834,1)="9","Celular",IF(AL834="","","Fixo"))</f>
        <v/>
      </c>
      <c r="AN834" s="58" t="str">
        <f aca="false">IF( AM834&lt;&gt;"",VLOOKUP(AM834,Selects!$M$4:$N$1000,2,0),"")</f>
        <v/>
      </c>
      <c r="AO834" s="58"/>
      <c r="AP834" s="59"/>
      <c r="AQ834" s="65"/>
      <c r="AR834" s="58"/>
      <c r="AS834" s="58"/>
      <c r="AT834" s="26"/>
      <c r="AU834" s="58"/>
      <c r="AV834" s="58"/>
      <c r="AW834" s="58"/>
      <c r="AX834" s="58"/>
      <c r="AY834" s="71"/>
      <c r="AZ834" s="58"/>
      <c r="BA834" s="58"/>
      <c r="BB834" s="72" t="str">
        <f aca="false">IF(BA834&lt;&gt;"",VLOOKUP(BA834,Selects!$B$4:$C$100,2,0),"")</f>
        <v/>
      </c>
      <c r="BC834" s="26"/>
      <c r="BD834" s="26"/>
      <c r="BE834" s="73"/>
      <c r="BF834" s="74"/>
      <c r="BG834" s="75" t="str">
        <f aca="false">IF(LEN(BF834)=11,"PF",IF(LEN(BF834)=14,"PJ",""))</f>
        <v/>
      </c>
      <c r="BH834" s="66"/>
      <c r="BI834" s="58" t="str">
        <f aca="false">IF(BH834&lt;&gt;"",VLOOKUP(BH834,Selects!$G:$H,2,0),"")</f>
        <v/>
      </c>
      <c r="BJ834" s="58"/>
      <c r="BK834" s="58"/>
      <c r="BL834" s="59"/>
      <c r="BM834" s="58"/>
      <c r="BN834" s="58"/>
      <c r="BO834" s="58" t="str">
        <f aca="false">IF(BN834&lt;&gt;"",VLOOKUP(BN834,Selects!$J$4:$K$1000,2,0),"")</f>
        <v/>
      </c>
      <c r="BP834" s="76"/>
      <c r="BQ834" s="59"/>
      <c r="BR834" s="77"/>
      <c r="BS834" s="59"/>
      <c r="BT834" s="77"/>
      <c r="BU834" s="58"/>
      <c r="BV834" s="58"/>
      <c r="BW834" s="58"/>
      <c r="BX834" s="58"/>
      <c r="BY834" s="58"/>
      <c r="BZ834" s="58"/>
      <c r="CA834" s="58"/>
      <c r="CB834" s="72" t="str">
        <f aca="false">IF(AC834&lt;&gt;"",VLOOKUP(AC834,Selects!$B:$E,4,0),"")</f>
        <v/>
      </c>
      <c r="CC834" s="58"/>
      <c r="CD834" s="58"/>
      <c r="CE834" s="58"/>
    </row>
    <row r="835" customFormat="false" ht="15.75" hidden="false" customHeight="true" outlineLevel="0" collapsed="false">
      <c r="A835" s="17"/>
      <c r="B835" s="58"/>
      <c r="C835" s="58"/>
      <c r="D835" s="59"/>
      <c r="E835" s="60" t="str">
        <f aca="false">IF(LEN(D835)=11,"PF",IF(LEN(D835)=14,"PJ",""))</f>
        <v/>
      </c>
      <c r="F835" s="59"/>
      <c r="G835" s="59"/>
      <c r="H835" s="61" t="str">
        <f aca="false">IF(G835&lt;&gt;"",VLOOKUP(G835,'Cnae  mcc  id'!$A:$M,9,0),"")</f>
        <v/>
      </c>
      <c r="I835" s="62"/>
      <c r="J835" s="63" t="str">
        <f aca="false">IF(I835&lt;&gt;"",VLOOKUP(I835,'Legal Nature'!$E$2:$G$84,3,0),"")</f>
        <v/>
      </c>
      <c r="K835" s="64"/>
      <c r="L835" s="65"/>
      <c r="M835" s="66"/>
      <c r="N835" s="66"/>
      <c r="O835" s="79"/>
      <c r="P835" s="26"/>
      <c r="Q835" s="58"/>
      <c r="R835" s="58"/>
      <c r="S835" s="80"/>
      <c r="T835" s="68" t="str">
        <f aca="false">IF(LEFT(S835,1)="9","Celular",IF(S835="","","Fixo"))</f>
        <v/>
      </c>
      <c r="U835" s="58" t="str">
        <f aca="false">IF( T835&lt;&gt;"",VLOOKUP(T835,Selects!$M$4:$N$1000,2,0),"")</f>
        <v/>
      </c>
      <c r="V835" s="26"/>
      <c r="W835" s="58"/>
      <c r="X835" s="58"/>
      <c r="Y835" s="58"/>
      <c r="Z835" s="58"/>
      <c r="AA835" s="69"/>
      <c r="AB835" s="58"/>
      <c r="AC835" s="58"/>
      <c r="AD835" s="70" t="str">
        <f aca="false">IF(AC835&lt;&gt;"",VLOOKUP(AC835,Selects!$B$4:$C$100,2,0),"")</f>
        <v/>
      </c>
      <c r="AE835" s="26"/>
      <c r="AF835" s="58"/>
      <c r="AG835" s="59"/>
      <c r="AH835" s="65"/>
      <c r="AI835" s="66"/>
      <c r="AJ835" s="66"/>
      <c r="AK835" s="58"/>
      <c r="AL835" s="58"/>
      <c r="AM835" s="68" t="str">
        <f aca="false">IF(LEFT(AL835,1)="9","Celular",IF(AL835="","","Fixo"))</f>
        <v/>
      </c>
      <c r="AN835" s="58" t="str">
        <f aca="false">IF( AM835&lt;&gt;"",VLOOKUP(AM835,Selects!$M$4:$N$1000,2,0),"")</f>
        <v/>
      </c>
      <c r="AO835" s="58"/>
      <c r="AP835" s="59"/>
      <c r="AQ835" s="65"/>
      <c r="AR835" s="58"/>
      <c r="AS835" s="58"/>
      <c r="AT835" s="26"/>
      <c r="AU835" s="58"/>
      <c r="AV835" s="58"/>
      <c r="AW835" s="58"/>
      <c r="AX835" s="58"/>
      <c r="AY835" s="71"/>
      <c r="AZ835" s="58"/>
      <c r="BA835" s="58"/>
      <c r="BB835" s="72" t="str">
        <f aca="false">IF(BA835&lt;&gt;"",VLOOKUP(BA835,Selects!$B$4:$C$100,2,0),"")</f>
        <v/>
      </c>
      <c r="BC835" s="26"/>
      <c r="BD835" s="26"/>
      <c r="BE835" s="73"/>
      <c r="BF835" s="74"/>
      <c r="BG835" s="75" t="str">
        <f aca="false">IF(LEN(BF835)=11,"PF",IF(LEN(BF835)=14,"PJ",""))</f>
        <v/>
      </c>
      <c r="BH835" s="66"/>
      <c r="BI835" s="58" t="str">
        <f aca="false">IF(BH835&lt;&gt;"",VLOOKUP(BH835,Selects!$G:$H,2,0),"")</f>
        <v/>
      </c>
      <c r="BJ835" s="58"/>
      <c r="BK835" s="58"/>
      <c r="BL835" s="59"/>
      <c r="BM835" s="58"/>
      <c r="BN835" s="58"/>
      <c r="BO835" s="58" t="str">
        <f aca="false">IF(BN835&lt;&gt;"",VLOOKUP(BN835,Selects!$J$4:$K$1000,2,0),"")</f>
        <v/>
      </c>
      <c r="BP835" s="76"/>
      <c r="BQ835" s="59"/>
      <c r="BR835" s="77"/>
      <c r="BS835" s="59"/>
      <c r="BT835" s="77"/>
      <c r="BU835" s="58"/>
      <c r="BV835" s="58"/>
      <c r="BW835" s="58"/>
      <c r="BX835" s="58"/>
      <c r="BY835" s="58"/>
      <c r="BZ835" s="58"/>
      <c r="CA835" s="58"/>
      <c r="CB835" s="72" t="str">
        <f aca="false">IF(AC835&lt;&gt;"",VLOOKUP(AC835,Selects!$B:$E,4,0),"")</f>
        <v/>
      </c>
      <c r="CC835" s="58"/>
      <c r="CD835" s="58"/>
      <c r="CE835" s="58"/>
    </row>
    <row r="836" customFormat="false" ht="15.75" hidden="false" customHeight="true" outlineLevel="0" collapsed="false">
      <c r="A836" s="17"/>
      <c r="B836" s="58"/>
      <c r="C836" s="58"/>
      <c r="D836" s="59"/>
      <c r="E836" s="60" t="str">
        <f aca="false">IF(LEN(D836)=11,"PF",IF(LEN(D836)=14,"PJ",""))</f>
        <v/>
      </c>
      <c r="F836" s="59"/>
      <c r="G836" s="59"/>
      <c r="H836" s="61" t="str">
        <f aca="false">IF(G836&lt;&gt;"",VLOOKUP(G836,'Cnae  mcc  id'!$A:$M,9,0),"")</f>
        <v/>
      </c>
      <c r="I836" s="62"/>
      <c r="J836" s="63" t="str">
        <f aca="false">IF(I836&lt;&gt;"",VLOOKUP(I836,'Legal Nature'!$E$2:$G$84,3,0),"")</f>
        <v/>
      </c>
      <c r="K836" s="64"/>
      <c r="L836" s="65"/>
      <c r="M836" s="66"/>
      <c r="N836" s="66"/>
      <c r="O836" s="79"/>
      <c r="P836" s="26"/>
      <c r="Q836" s="58"/>
      <c r="R836" s="58"/>
      <c r="S836" s="80"/>
      <c r="T836" s="68" t="str">
        <f aca="false">IF(LEFT(S836,1)="9","Celular",IF(S836="","","Fixo"))</f>
        <v/>
      </c>
      <c r="U836" s="58" t="str">
        <f aca="false">IF( T836&lt;&gt;"",VLOOKUP(T836,Selects!$M$4:$N$1000,2,0),"")</f>
        <v/>
      </c>
      <c r="V836" s="26"/>
      <c r="W836" s="58"/>
      <c r="X836" s="58"/>
      <c r="Y836" s="58"/>
      <c r="Z836" s="58"/>
      <c r="AA836" s="69"/>
      <c r="AB836" s="58"/>
      <c r="AC836" s="58"/>
      <c r="AD836" s="70" t="str">
        <f aca="false">IF(AC836&lt;&gt;"",VLOOKUP(AC836,Selects!$B$4:$C$100,2,0),"")</f>
        <v/>
      </c>
      <c r="AE836" s="26"/>
      <c r="AF836" s="58"/>
      <c r="AG836" s="59"/>
      <c r="AH836" s="65"/>
      <c r="AI836" s="66"/>
      <c r="AJ836" s="66"/>
      <c r="AK836" s="58"/>
      <c r="AL836" s="58"/>
      <c r="AM836" s="68" t="str">
        <f aca="false">IF(LEFT(AL836,1)="9","Celular",IF(AL836="","","Fixo"))</f>
        <v/>
      </c>
      <c r="AN836" s="58" t="str">
        <f aca="false">IF( AM836&lt;&gt;"",VLOOKUP(AM836,Selects!$M$4:$N$1000,2,0),"")</f>
        <v/>
      </c>
      <c r="AO836" s="58"/>
      <c r="AP836" s="59"/>
      <c r="AQ836" s="65"/>
      <c r="AR836" s="58"/>
      <c r="AS836" s="58"/>
      <c r="AT836" s="26"/>
      <c r="AU836" s="58"/>
      <c r="AV836" s="58"/>
      <c r="AW836" s="58"/>
      <c r="AX836" s="58"/>
      <c r="AY836" s="71"/>
      <c r="AZ836" s="58"/>
      <c r="BA836" s="58"/>
      <c r="BB836" s="72" t="str">
        <f aca="false">IF(BA836&lt;&gt;"",VLOOKUP(BA836,Selects!$B$4:$C$100,2,0),"")</f>
        <v/>
      </c>
      <c r="BC836" s="26"/>
      <c r="BD836" s="26"/>
      <c r="BE836" s="73"/>
      <c r="BF836" s="74"/>
      <c r="BG836" s="75" t="str">
        <f aca="false">IF(LEN(BF836)=11,"PF",IF(LEN(BF836)=14,"PJ",""))</f>
        <v/>
      </c>
      <c r="BH836" s="66"/>
      <c r="BI836" s="58" t="str">
        <f aca="false">IF(BH836&lt;&gt;"",VLOOKUP(BH836,Selects!$G:$H,2,0),"")</f>
        <v/>
      </c>
      <c r="BJ836" s="58"/>
      <c r="BK836" s="58"/>
      <c r="BL836" s="59"/>
      <c r="BM836" s="58"/>
      <c r="BN836" s="58"/>
      <c r="BO836" s="58" t="str">
        <f aca="false">IF(BN836&lt;&gt;"",VLOOKUP(BN836,Selects!$J$4:$K$1000,2,0),"")</f>
        <v/>
      </c>
      <c r="BP836" s="76"/>
      <c r="BQ836" s="59"/>
      <c r="BR836" s="77"/>
      <c r="BS836" s="59"/>
      <c r="BT836" s="77"/>
      <c r="BU836" s="58"/>
      <c r="BV836" s="58"/>
      <c r="BW836" s="58"/>
      <c r="BX836" s="58"/>
      <c r="BY836" s="58"/>
      <c r="BZ836" s="58"/>
      <c r="CA836" s="58"/>
      <c r="CB836" s="72" t="str">
        <f aca="false">IF(AC836&lt;&gt;"",VLOOKUP(AC836,Selects!$B:$E,4,0),"")</f>
        <v/>
      </c>
      <c r="CC836" s="58"/>
      <c r="CD836" s="58"/>
      <c r="CE836" s="58"/>
    </row>
    <row r="837" customFormat="false" ht="15.75" hidden="false" customHeight="true" outlineLevel="0" collapsed="false">
      <c r="A837" s="17"/>
      <c r="B837" s="58"/>
      <c r="C837" s="58"/>
      <c r="D837" s="59"/>
      <c r="E837" s="60" t="str">
        <f aca="false">IF(LEN(D837)=11,"PF",IF(LEN(D837)=14,"PJ",""))</f>
        <v/>
      </c>
      <c r="F837" s="59"/>
      <c r="G837" s="59"/>
      <c r="H837" s="61" t="str">
        <f aca="false">IF(G837&lt;&gt;"",VLOOKUP(G837,'Cnae  mcc  id'!$A:$M,9,0),"")</f>
        <v/>
      </c>
      <c r="I837" s="62"/>
      <c r="J837" s="63" t="str">
        <f aca="false">IF(I837&lt;&gt;"",VLOOKUP(I837,'Legal Nature'!$E$2:$G$84,3,0),"")</f>
        <v/>
      </c>
      <c r="K837" s="64"/>
      <c r="L837" s="65"/>
      <c r="M837" s="66"/>
      <c r="N837" s="66"/>
      <c r="O837" s="79"/>
      <c r="P837" s="26"/>
      <c r="Q837" s="58"/>
      <c r="R837" s="58"/>
      <c r="S837" s="80"/>
      <c r="T837" s="68" t="str">
        <f aca="false">IF(LEFT(S837,1)="9","Celular",IF(S837="","","Fixo"))</f>
        <v/>
      </c>
      <c r="U837" s="58" t="str">
        <f aca="false">IF( T837&lt;&gt;"",VLOOKUP(T837,Selects!$M$4:$N$1000,2,0),"")</f>
        <v/>
      </c>
      <c r="V837" s="26"/>
      <c r="W837" s="58"/>
      <c r="X837" s="58"/>
      <c r="Y837" s="58"/>
      <c r="Z837" s="58"/>
      <c r="AA837" s="69"/>
      <c r="AB837" s="58"/>
      <c r="AC837" s="58"/>
      <c r="AD837" s="70" t="str">
        <f aca="false">IF(AC837&lt;&gt;"",VLOOKUP(AC837,Selects!$B$4:$C$100,2,0),"")</f>
        <v/>
      </c>
      <c r="AE837" s="26"/>
      <c r="AF837" s="58"/>
      <c r="AG837" s="59"/>
      <c r="AH837" s="65"/>
      <c r="AI837" s="66"/>
      <c r="AJ837" s="66"/>
      <c r="AK837" s="58"/>
      <c r="AL837" s="58"/>
      <c r="AM837" s="68" t="str">
        <f aca="false">IF(LEFT(AL837,1)="9","Celular",IF(AL837="","","Fixo"))</f>
        <v/>
      </c>
      <c r="AN837" s="58" t="str">
        <f aca="false">IF( AM837&lt;&gt;"",VLOOKUP(AM837,Selects!$M$4:$N$1000,2,0),"")</f>
        <v/>
      </c>
      <c r="AO837" s="58"/>
      <c r="AP837" s="59"/>
      <c r="AQ837" s="65"/>
      <c r="AR837" s="58"/>
      <c r="AS837" s="58"/>
      <c r="AT837" s="26"/>
      <c r="AU837" s="58"/>
      <c r="AV837" s="58"/>
      <c r="AW837" s="58"/>
      <c r="AX837" s="58"/>
      <c r="AY837" s="71"/>
      <c r="AZ837" s="58"/>
      <c r="BA837" s="58"/>
      <c r="BB837" s="72" t="str">
        <f aca="false">IF(BA837&lt;&gt;"",VLOOKUP(BA837,Selects!$B$4:$C$100,2,0),"")</f>
        <v/>
      </c>
      <c r="BC837" s="26"/>
      <c r="BD837" s="26"/>
      <c r="BE837" s="73"/>
      <c r="BF837" s="74"/>
      <c r="BG837" s="75" t="str">
        <f aca="false">IF(LEN(BF837)=11,"PF",IF(LEN(BF837)=14,"PJ",""))</f>
        <v/>
      </c>
      <c r="BH837" s="66"/>
      <c r="BI837" s="58" t="str">
        <f aca="false">IF(BH837&lt;&gt;"",VLOOKUP(BH837,Selects!$G:$H,2,0),"")</f>
        <v/>
      </c>
      <c r="BJ837" s="58"/>
      <c r="BK837" s="58"/>
      <c r="BL837" s="59"/>
      <c r="BM837" s="58"/>
      <c r="BN837" s="58"/>
      <c r="BO837" s="58" t="str">
        <f aca="false">IF(BN837&lt;&gt;"",VLOOKUP(BN837,Selects!$J$4:$K$1000,2,0),"")</f>
        <v/>
      </c>
      <c r="BP837" s="76"/>
      <c r="BQ837" s="59"/>
      <c r="BR837" s="77"/>
      <c r="BS837" s="59"/>
      <c r="BT837" s="77"/>
      <c r="BU837" s="58"/>
      <c r="BV837" s="58"/>
      <c r="BW837" s="58"/>
      <c r="BX837" s="58"/>
      <c r="BY837" s="58"/>
      <c r="BZ837" s="58"/>
      <c r="CA837" s="58"/>
      <c r="CB837" s="72" t="str">
        <f aca="false">IF(AC837&lt;&gt;"",VLOOKUP(AC837,Selects!$B:$E,4,0),"")</f>
        <v/>
      </c>
      <c r="CC837" s="58"/>
      <c r="CD837" s="58"/>
      <c r="CE837" s="58"/>
    </row>
    <row r="838" customFormat="false" ht="15.75" hidden="false" customHeight="true" outlineLevel="0" collapsed="false">
      <c r="A838" s="17"/>
      <c r="B838" s="58"/>
      <c r="C838" s="58"/>
      <c r="D838" s="59"/>
      <c r="E838" s="60" t="str">
        <f aca="false">IF(LEN(D838)=11,"PF",IF(LEN(D838)=14,"PJ",""))</f>
        <v/>
      </c>
      <c r="F838" s="59"/>
      <c r="G838" s="59"/>
      <c r="H838" s="61" t="str">
        <f aca="false">IF(G838&lt;&gt;"",VLOOKUP(G838,'Cnae  mcc  id'!$A:$M,9,0),"")</f>
        <v/>
      </c>
      <c r="I838" s="62"/>
      <c r="J838" s="63" t="str">
        <f aca="false">IF(I838&lt;&gt;"",VLOOKUP(I838,'Legal Nature'!$E$2:$G$84,3,0),"")</f>
        <v/>
      </c>
      <c r="K838" s="64"/>
      <c r="L838" s="65"/>
      <c r="M838" s="66"/>
      <c r="N838" s="66"/>
      <c r="O838" s="79"/>
      <c r="P838" s="26"/>
      <c r="Q838" s="58"/>
      <c r="R838" s="58"/>
      <c r="S838" s="80"/>
      <c r="T838" s="68" t="str">
        <f aca="false">IF(LEFT(S838,1)="9","Celular",IF(S838="","","Fixo"))</f>
        <v/>
      </c>
      <c r="U838" s="58" t="str">
        <f aca="false">IF( T838&lt;&gt;"",VLOOKUP(T838,Selects!$M$4:$N$1000,2,0),"")</f>
        <v/>
      </c>
      <c r="V838" s="26"/>
      <c r="W838" s="58"/>
      <c r="X838" s="58"/>
      <c r="Y838" s="58"/>
      <c r="Z838" s="58"/>
      <c r="AA838" s="69"/>
      <c r="AB838" s="58"/>
      <c r="AC838" s="58"/>
      <c r="AD838" s="70" t="str">
        <f aca="false">IF(AC838&lt;&gt;"",VLOOKUP(AC838,Selects!$B$4:$C$100,2,0),"")</f>
        <v/>
      </c>
      <c r="AE838" s="26"/>
      <c r="AF838" s="58"/>
      <c r="AG838" s="59"/>
      <c r="AH838" s="65"/>
      <c r="AI838" s="66"/>
      <c r="AJ838" s="66"/>
      <c r="AK838" s="58"/>
      <c r="AL838" s="58"/>
      <c r="AM838" s="68" t="str">
        <f aca="false">IF(LEFT(AL838,1)="9","Celular",IF(AL838="","","Fixo"))</f>
        <v/>
      </c>
      <c r="AN838" s="58" t="str">
        <f aca="false">IF( AM838&lt;&gt;"",VLOOKUP(AM838,Selects!$M$4:$N$1000,2,0),"")</f>
        <v/>
      </c>
      <c r="AO838" s="58"/>
      <c r="AP838" s="59"/>
      <c r="AQ838" s="65"/>
      <c r="AR838" s="58"/>
      <c r="AS838" s="58"/>
      <c r="AT838" s="26"/>
      <c r="AU838" s="58"/>
      <c r="AV838" s="58"/>
      <c r="AW838" s="58"/>
      <c r="AX838" s="58"/>
      <c r="AY838" s="71"/>
      <c r="AZ838" s="58"/>
      <c r="BA838" s="58"/>
      <c r="BB838" s="72" t="str">
        <f aca="false">IF(BA838&lt;&gt;"",VLOOKUP(BA838,Selects!$B$4:$C$100,2,0),"")</f>
        <v/>
      </c>
      <c r="BC838" s="26"/>
      <c r="BD838" s="26"/>
      <c r="BE838" s="73"/>
      <c r="BF838" s="74"/>
      <c r="BG838" s="75" t="str">
        <f aca="false">IF(LEN(BF838)=11,"PF",IF(LEN(BF838)=14,"PJ",""))</f>
        <v/>
      </c>
      <c r="BH838" s="66"/>
      <c r="BI838" s="58" t="str">
        <f aca="false">IF(BH838&lt;&gt;"",VLOOKUP(BH838,Selects!$G:$H,2,0),"")</f>
        <v/>
      </c>
      <c r="BJ838" s="58"/>
      <c r="BK838" s="58"/>
      <c r="BL838" s="59"/>
      <c r="BM838" s="58"/>
      <c r="BN838" s="58"/>
      <c r="BO838" s="58" t="str">
        <f aca="false">IF(BN838&lt;&gt;"",VLOOKUP(BN838,Selects!$J$4:$K$1000,2,0),"")</f>
        <v/>
      </c>
      <c r="BP838" s="76"/>
      <c r="BQ838" s="59"/>
      <c r="BR838" s="77"/>
      <c r="BS838" s="59"/>
      <c r="BT838" s="77"/>
      <c r="BU838" s="58"/>
      <c r="BV838" s="58"/>
      <c r="BW838" s="58"/>
      <c r="BX838" s="58"/>
      <c r="BY838" s="58"/>
      <c r="BZ838" s="58"/>
      <c r="CA838" s="58"/>
      <c r="CB838" s="72" t="str">
        <f aca="false">IF(AC838&lt;&gt;"",VLOOKUP(AC838,Selects!$B:$E,4,0),"")</f>
        <v/>
      </c>
      <c r="CC838" s="58"/>
      <c r="CD838" s="58"/>
      <c r="CE838" s="58"/>
    </row>
    <row r="839" customFormat="false" ht="15.75" hidden="false" customHeight="true" outlineLevel="0" collapsed="false">
      <c r="A839" s="17"/>
      <c r="B839" s="58"/>
      <c r="C839" s="58"/>
      <c r="D839" s="59"/>
      <c r="E839" s="60" t="str">
        <f aca="false">IF(LEN(D839)=11,"PF",IF(LEN(D839)=14,"PJ",""))</f>
        <v/>
      </c>
      <c r="F839" s="59"/>
      <c r="G839" s="59"/>
      <c r="H839" s="61" t="str">
        <f aca="false">IF(G839&lt;&gt;"",VLOOKUP(G839,'Cnae  mcc  id'!$A:$M,9,0),"")</f>
        <v/>
      </c>
      <c r="I839" s="62"/>
      <c r="J839" s="63" t="str">
        <f aca="false">IF(I839&lt;&gt;"",VLOOKUP(I839,'Legal Nature'!$E$2:$G$84,3,0),"")</f>
        <v/>
      </c>
      <c r="K839" s="64"/>
      <c r="L839" s="65"/>
      <c r="M839" s="66"/>
      <c r="N839" s="66"/>
      <c r="O839" s="79"/>
      <c r="P839" s="26"/>
      <c r="Q839" s="58"/>
      <c r="R839" s="58"/>
      <c r="S839" s="80"/>
      <c r="T839" s="68" t="str">
        <f aca="false">IF(LEFT(S839,1)="9","Celular",IF(S839="","","Fixo"))</f>
        <v/>
      </c>
      <c r="U839" s="58" t="str">
        <f aca="false">IF( T839&lt;&gt;"",VLOOKUP(T839,Selects!$M$4:$N$1000,2,0),"")</f>
        <v/>
      </c>
      <c r="V839" s="26"/>
      <c r="W839" s="58"/>
      <c r="X839" s="58"/>
      <c r="Y839" s="58"/>
      <c r="Z839" s="58"/>
      <c r="AA839" s="69"/>
      <c r="AB839" s="58"/>
      <c r="AC839" s="58"/>
      <c r="AD839" s="70" t="str">
        <f aca="false">IF(AC839&lt;&gt;"",VLOOKUP(AC839,Selects!$B$4:$C$100,2,0),"")</f>
        <v/>
      </c>
      <c r="AE839" s="26"/>
      <c r="AF839" s="58"/>
      <c r="AG839" s="59"/>
      <c r="AH839" s="65"/>
      <c r="AI839" s="66"/>
      <c r="AJ839" s="66"/>
      <c r="AK839" s="58"/>
      <c r="AL839" s="58"/>
      <c r="AM839" s="68" t="str">
        <f aca="false">IF(LEFT(AL839,1)="9","Celular",IF(AL839="","","Fixo"))</f>
        <v/>
      </c>
      <c r="AN839" s="58" t="str">
        <f aca="false">IF( AM839&lt;&gt;"",VLOOKUP(AM839,Selects!$M$4:$N$1000,2,0),"")</f>
        <v/>
      </c>
      <c r="AO839" s="58"/>
      <c r="AP839" s="59"/>
      <c r="AQ839" s="65"/>
      <c r="AR839" s="58"/>
      <c r="AS839" s="58"/>
      <c r="AT839" s="26"/>
      <c r="AU839" s="58"/>
      <c r="AV839" s="58"/>
      <c r="AW839" s="58"/>
      <c r="AX839" s="58"/>
      <c r="AY839" s="71"/>
      <c r="AZ839" s="58"/>
      <c r="BA839" s="58"/>
      <c r="BB839" s="72" t="str">
        <f aca="false">IF(BA839&lt;&gt;"",VLOOKUP(BA839,Selects!$B$4:$C$100,2,0),"")</f>
        <v/>
      </c>
      <c r="BC839" s="26"/>
      <c r="BD839" s="26"/>
      <c r="BE839" s="73"/>
      <c r="BF839" s="74"/>
      <c r="BG839" s="75" t="str">
        <f aca="false">IF(LEN(BF839)=11,"PF",IF(LEN(BF839)=14,"PJ",""))</f>
        <v/>
      </c>
      <c r="BH839" s="66"/>
      <c r="BI839" s="58" t="str">
        <f aca="false">IF(BH839&lt;&gt;"",VLOOKUP(BH839,Selects!$G:$H,2,0),"")</f>
        <v/>
      </c>
      <c r="BJ839" s="58"/>
      <c r="BK839" s="58"/>
      <c r="BL839" s="59"/>
      <c r="BM839" s="58"/>
      <c r="BN839" s="58"/>
      <c r="BO839" s="58" t="str">
        <f aca="false">IF(BN839&lt;&gt;"",VLOOKUP(BN839,Selects!$J$4:$K$1000,2,0),"")</f>
        <v/>
      </c>
      <c r="BP839" s="76"/>
      <c r="BQ839" s="59"/>
      <c r="BR839" s="77"/>
      <c r="BS839" s="59"/>
      <c r="BT839" s="77"/>
      <c r="BU839" s="58"/>
      <c r="BV839" s="58"/>
      <c r="BW839" s="58"/>
      <c r="BX839" s="58"/>
      <c r="BY839" s="58"/>
      <c r="BZ839" s="58"/>
      <c r="CA839" s="58"/>
      <c r="CB839" s="72" t="str">
        <f aca="false">IF(AC839&lt;&gt;"",VLOOKUP(AC839,Selects!$B:$E,4,0),"")</f>
        <v/>
      </c>
      <c r="CC839" s="58"/>
      <c r="CD839" s="58"/>
      <c r="CE839" s="58"/>
    </row>
    <row r="840" customFormat="false" ht="15.75" hidden="false" customHeight="true" outlineLevel="0" collapsed="false">
      <c r="A840" s="17"/>
      <c r="B840" s="58"/>
      <c r="C840" s="58"/>
      <c r="D840" s="59"/>
      <c r="E840" s="60" t="str">
        <f aca="false">IF(LEN(D840)=11,"PF",IF(LEN(D840)=14,"PJ",""))</f>
        <v/>
      </c>
      <c r="F840" s="59"/>
      <c r="G840" s="59"/>
      <c r="H840" s="61" t="str">
        <f aca="false">IF(G840&lt;&gt;"",VLOOKUP(G840,'Cnae  mcc  id'!$A:$M,9,0),"")</f>
        <v/>
      </c>
      <c r="I840" s="62"/>
      <c r="J840" s="63" t="str">
        <f aca="false">IF(I840&lt;&gt;"",VLOOKUP(I840,'Legal Nature'!$E$2:$G$84,3,0),"")</f>
        <v/>
      </c>
      <c r="K840" s="64"/>
      <c r="L840" s="65"/>
      <c r="M840" s="66"/>
      <c r="N840" s="66"/>
      <c r="O840" s="79"/>
      <c r="P840" s="26"/>
      <c r="Q840" s="58"/>
      <c r="R840" s="58"/>
      <c r="S840" s="80"/>
      <c r="T840" s="68" t="str">
        <f aca="false">IF(LEFT(S840,1)="9","Celular",IF(S840="","","Fixo"))</f>
        <v/>
      </c>
      <c r="U840" s="58" t="str">
        <f aca="false">IF( T840&lt;&gt;"",VLOOKUP(T840,Selects!$M$4:$N$1000,2,0),"")</f>
        <v/>
      </c>
      <c r="V840" s="26"/>
      <c r="W840" s="58"/>
      <c r="X840" s="58"/>
      <c r="Y840" s="58"/>
      <c r="Z840" s="58"/>
      <c r="AA840" s="69"/>
      <c r="AB840" s="58"/>
      <c r="AC840" s="58"/>
      <c r="AD840" s="70" t="str">
        <f aca="false">IF(AC840&lt;&gt;"",VLOOKUP(AC840,Selects!$B$4:$C$100,2,0),"")</f>
        <v/>
      </c>
      <c r="AE840" s="26"/>
      <c r="AF840" s="58"/>
      <c r="AG840" s="59"/>
      <c r="AH840" s="65"/>
      <c r="AI840" s="66"/>
      <c r="AJ840" s="66"/>
      <c r="AK840" s="58"/>
      <c r="AL840" s="58"/>
      <c r="AM840" s="68" t="str">
        <f aca="false">IF(LEFT(AL840,1)="9","Celular",IF(AL840="","","Fixo"))</f>
        <v/>
      </c>
      <c r="AN840" s="58" t="str">
        <f aca="false">IF( AM840&lt;&gt;"",VLOOKUP(AM840,Selects!$M$4:$N$1000,2,0),"")</f>
        <v/>
      </c>
      <c r="AO840" s="58"/>
      <c r="AP840" s="59"/>
      <c r="AQ840" s="65"/>
      <c r="AR840" s="58"/>
      <c r="AS840" s="58"/>
      <c r="AT840" s="26"/>
      <c r="AU840" s="58"/>
      <c r="AV840" s="58"/>
      <c r="AW840" s="58"/>
      <c r="AX840" s="58"/>
      <c r="AY840" s="71"/>
      <c r="AZ840" s="58"/>
      <c r="BA840" s="58"/>
      <c r="BB840" s="72" t="str">
        <f aca="false">IF(BA840&lt;&gt;"",VLOOKUP(BA840,Selects!$B$4:$C$100,2,0),"")</f>
        <v/>
      </c>
      <c r="BC840" s="26"/>
      <c r="BD840" s="26"/>
      <c r="BE840" s="73"/>
      <c r="BF840" s="74"/>
      <c r="BG840" s="75" t="str">
        <f aca="false">IF(LEN(BF840)=11,"PF",IF(LEN(BF840)=14,"PJ",""))</f>
        <v/>
      </c>
      <c r="BH840" s="66"/>
      <c r="BI840" s="58" t="str">
        <f aca="false">IF(BH840&lt;&gt;"",VLOOKUP(BH840,Selects!$G:$H,2,0),"")</f>
        <v/>
      </c>
      <c r="BJ840" s="58"/>
      <c r="BK840" s="58"/>
      <c r="BL840" s="59"/>
      <c r="BM840" s="58"/>
      <c r="BN840" s="58"/>
      <c r="BO840" s="58" t="str">
        <f aca="false">IF(BN840&lt;&gt;"",VLOOKUP(BN840,Selects!$J$4:$K$1000,2,0),"")</f>
        <v/>
      </c>
      <c r="BP840" s="76"/>
      <c r="BQ840" s="59"/>
      <c r="BR840" s="77"/>
      <c r="BS840" s="59"/>
      <c r="BT840" s="77"/>
      <c r="BU840" s="58"/>
      <c r="BV840" s="58"/>
      <c r="BW840" s="58"/>
      <c r="BX840" s="58"/>
      <c r="BY840" s="58"/>
      <c r="BZ840" s="58"/>
      <c r="CA840" s="58"/>
      <c r="CB840" s="72" t="str">
        <f aca="false">IF(AC840&lt;&gt;"",VLOOKUP(AC840,Selects!$B:$E,4,0),"")</f>
        <v/>
      </c>
      <c r="CC840" s="58"/>
      <c r="CD840" s="58"/>
      <c r="CE840" s="58"/>
    </row>
    <row r="841" customFormat="false" ht="15.75" hidden="false" customHeight="true" outlineLevel="0" collapsed="false">
      <c r="A841" s="17"/>
      <c r="B841" s="58"/>
      <c r="C841" s="58"/>
      <c r="D841" s="59"/>
      <c r="E841" s="60" t="str">
        <f aca="false">IF(LEN(D841)=11,"PF",IF(LEN(D841)=14,"PJ",""))</f>
        <v/>
      </c>
      <c r="F841" s="59"/>
      <c r="G841" s="59"/>
      <c r="H841" s="61" t="str">
        <f aca="false">IF(G841&lt;&gt;"",VLOOKUP(G841,'Cnae  mcc  id'!$A:$M,9,0),"")</f>
        <v/>
      </c>
      <c r="I841" s="62"/>
      <c r="J841" s="63" t="str">
        <f aca="false">IF(I841&lt;&gt;"",VLOOKUP(I841,'Legal Nature'!$E$2:$G$84,3,0),"")</f>
        <v/>
      </c>
      <c r="K841" s="64"/>
      <c r="L841" s="65"/>
      <c r="M841" s="66"/>
      <c r="N841" s="66"/>
      <c r="O841" s="79"/>
      <c r="P841" s="26"/>
      <c r="Q841" s="58"/>
      <c r="R841" s="58"/>
      <c r="S841" s="80"/>
      <c r="T841" s="68" t="str">
        <f aca="false">IF(LEFT(S841,1)="9","Celular",IF(S841="","","Fixo"))</f>
        <v/>
      </c>
      <c r="U841" s="58" t="str">
        <f aca="false">IF( T841&lt;&gt;"",VLOOKUP(T841,Selects!$M$4:$N$1000,2,0),"")</f>
        <v/>
      </c>
      <c r="V841" s="26"/>
      <c r="W841" s="58"/>
      <c r="X841" s="58"/>
      <c r="Y841" s="58"/>
      <c r="Z841" s="58"/>
      <c r="AA841" s="69"/>
      <c r="AB841" s="58"/>
      <c r="AC841" s="58"/>
      <c r="AD841" s="70" t="str">
        <f aca="false">IF(AC841&lt;&gt;"",VLOOKUP(AC841,Selects!$B$4:$C$100,2,0),"")</f>
        <v/>
      </c>
      <c r="AE841" s="26"/>
      <c r="AF841" s="58"/>
      <c r="AG841" s="59"/>
      <c r="AH841" s="65"/>
      <c r="AI841" s="66"/>
      <c r="AJ841" s="66"/>
      <c r="AK841" s="58"/>
      <c r="AL841" s="58"/>
      <c r="AM841" s="68" t="str">
        <f aca="false">IF(LEFT(AL841,1)="9","Celular",IF(AL841="","","Fixo"))</f>
        <v/>
      </c>
      <c r="AN841" s="58" t="str">
        <f aca="false">IF( AM841&lt;&gt;"",VLOOKUP(AM841,Selects!$M$4:$N$1000,2,0),"")</f>
        <v/>
      </c>
      <c r="AO841" s="58"/>
      <c r="AP841" s="59"/>
      <c r="AQ841" s="65"/>
      <c r="AR841" s="58"/>
      <c r="AS841" s="58"/>
      <c r="AT841" s="26"/>
      <c r="AU841" s="58"/>
      <c r="AV841" s="58"/>
      <c r="AW841" s="58"/>
      <c r="AX841" s="58"/>
      <c r="AY841" s="71"/>
      <c r="AZ841" s="58"/>
      <c r="BA841" s="58"/>
      <c r="BB841" s="72" t="str">
        <f aca="false">IF(BA841&lt;&gt;"",VLOOKUP(BA841,Selects!$B$4:$C$100,2,0),"")</f>
        <v/>
      </c>
      <c r="BC841" s="26"/>
      <c r="BD841" s="26"/>
      <c r="BE841" s="73"/>
      <c r="BF841" s="74"/>
      <c r="BG841" s="75" t="str">
        <f aca="false">IF(LEN(BF841)=11,"PF",IF(LEN(BF841)=14,"PJ",""))</f>
        <v/>
      </c>
      <c r="BH841" s="66"/>
      <c r="BI841" s="58" t="str">
        <f aca="false">IF(BH841&lt;&gt;"",VLOOKUP(BH841,Selects!$G:$H,2,0),"")</f>
        <v/>
      </c>
      <c r="BJ841" s="58"/>
      <c r="BK841" s="58"/>
      <c r="BL841" s="59"/>
      <c r="BM841" s="58"/>
      <c r="BN841" s="58"/>
      <c r="BO841" s="58" t="str">
        <f aca="false">IF(BN841&lt;&gt;"",VLOOKUP(BN841,Selects!$J$4:$K$1000,2,0),"")</f>
        <v/>
      </c>
      <c r="BP841" s="76"/>
      <c r="BQ841" s="59"/>
      <c r="BR841" s="77"/>
      <c r="BS841" s="59"/>
      <c r="BT841" s="77"/>
      <c r="BU841" s="58"/>
      <c r="BV841" s="58"/>
      <c r="BW841" s="58"/>
      <c r="BX841" s="58"/>
      <c r="BY841" s="58"/>
      <c r="BZ841" s="58"/>
      <c r="CA841" s="58"/>
      <c r="CB841" s="72" t="str">
        <f aca="false">IF(AC841&lt;&gt;"",VLOOKUP(AC841,Selects!$B:$E,4,0),"")</f>
        <v/>
      </c>
      <c r="CC841" s="58"/>
      <c r="CD841" s="58"/>
      <c r="CE841" s="58"/>
    </row>
    <row r="842" customFormat="false" ht="15.75" hidden="false" customHeight="true" outlineLevel="0" collapsed="false">
      <c r="A842" s="17"/>
      <c r="B842" s="58"/>
      <c r="C842" s="58"/>
      <c r="D842" s="59"/>
      <c r="E842" s="60" t="str">
        <f aca="false">IF(LEN(D842)=11,"PF",IF(LEN(D842)=14,"PJ",""))</f>
        <v/>
      </c>
      <c r="F842" s="59"/>
      <c r="G842" s="59"/>
      <c r="H842" s="61" t="str">
        <f aca="false">IF(G842&lt;&gt;"",VLOOKUP(G842,'Cnae  mcc  id'!$A:$M,9,0),"")</f>
        <v/>
      </c>
      <c r="I842" s="62"/>
      <c r="J842" s="63" t="str">
        <f aca="false">IF(I842&lt;&gt;"",VLOOKUP(I842,'Legal Nature'!$E$2:$G$84,3,0),"")</f>
        <v/>
      </c>
      <c r="K842" s="64"/>
      <c r="L842" s="65"/>
      <c r="M842" s="66"/>
      <c r="N842" s="66"/>
      <c r="O842" s="79"/>
      <c r="P842" s="26"/>
      <c r="Q842" s="58"/>
      <c r="R842" s="58"/>
      <c r="S842" s="80"/>
      <c r="T842" s="68" t="str">
        <f aca="false">IF(LEFT(S842,1)="9","Celular",IF(S842="","","Fixo"))</f>
        <v/>
      </c>
      <c r="U842" s="58" t="str">
        <f aca="false">IF( T842&lt;&gt;"",VLOOKUP(T842,Selects!$M$4:$N$1000,2,0),"")</f>
        <v/>
      </c>
      <c r="V842" s="26"/>
      <c r="W842" s="58"/>
      <c r="X842" s="58"/>
      <c r="Y842" s="58"/>
      <c r="Z842" s="58"/>
      <c r="AA842" s="69"/>
      <c r="AB842" s="58"/>
      <c r="AC842" s="58"/>
      <c r="AD842" s="70" t="str">
        <f aca="false">IF(AC842&lt;&gt;"",VLOOKUP(AC842,Selects!$B$4:$C$100,2,0),"")</f>
        <v/>
      </c>
      <c r="AE842" s="26"/>
      <c r="AF842" s="58"/>
      <c r="AG842" s="59"/>
      <c r="AH842" s="65"/>
      <c r="AI842" s="66"/>
      <c r="AJ842" s="66"/>
      <c r="AK842" s="58"/>
      <c r="AL842" s="58"/>
      <c r="AM842" s="68" t="str">
        <f aca="false">IF(LEFT(AL842,1)="9","Celular",IF(AL842="","","Fixo"))</f>
        <v/>
      </c>
      <c r="AN842" s="58" t="str">
        <f aca="false">IF( AM842&lt;&gt;"",VLOOKUP(AM842,Selects!$M$4:$N$1000,2,0),"")</f>
        <v/>
      </c>
      <c r="AO842" s="58"/>
      <c r="AP842" s="59"/>
      <c r="AQ842" s="65"/>
      <c r="AR842" s="58"/>
      <c r="AS842" s="58"/>
      <c r="AT842" s="26"/>
      <c r="AU842" s="58"/>
      <c r="AV842" s="58"/>
      <c r="AW842" s="58"/>
      <c r="AX842" s="58"/>
      <c r="AY842" s="71"/>
      <c r="AZ842" s="58"/>
      <c r="BA842" s="58"/>
      <c r="BB842" s="72" t="str">
        <f aca="false">IF(BA842&lt;&gt;"",VLOOKUP(BA842,Selects!$B$4:$C$100,2,0),"")</f>
        <v/>
      </c>
      <c r="BC842" s="26"/>
      <c r="BD842" s="26"/>
      <c r="BE842" s="73"/>
      <c r="BF842" s="74"/>
      <c r="BG842" s="75" t="str">
        <f aca="false">IF(LEN(BF842)=11,"PF",IF(LEN(BF842)=14,"PJ",""))</f>
        <v/>
      </c>
      <c r="BH842" s="66"/>
      <c r="BI842" s="58" t="str">
        <f aca="false">IF(BH842&lt;&gt;"",VLOOKUP(BH842,Selects!$G:$H,2,0),"")</f>
        <v/>
      </c>
      <c r="BJ842" s="58"/>
      <c r="BK842" s="58"/>
      <c r="BL842" s="59"/>
      <c r="BM842" s="58"/>
      <c r="BN842" s="58"/>
      <c r="BO842" s="58" t="str">
        <f aca="false">IF(BN842&lt;&gt;"",VLOOKUP(BN842,Selects!$J$4:$K$1000,2,0),"")</f>
        <v/>
      </c>
      <c r="BP842" s="76"/>
      <c r="BQ842" s="59"/>
      <c r="BR842" s="77"/>
      <c r="BS842" s="59"/>
      <c r="BT842" s="77"/>
      <c r="BU842" s="58"/>
      <c r="BV842" s="58"/>
      <c r="BW842" s="58"/>
      <c r="BX842" s="58"/>
      <c r="BY842" s="58"/>
      <c r="BZ842" s="58"/>
      <c r="CA842" s="58"/>
      <c r="CB842" s="72" t="str">
        <f aca="false">IF(AC842&lt;&gt;"",VLOOKUP(AC842,Selects!$B:$E,4,0),"")</f>
        <v/>
      </c>
      <c r="CC842" s="58"/>
      <c r="CD842" s="58"/>
      <c r="CE842" s="58"/>
    </row>
    <row r="843" customFormat="false" ht="15.75" hidden="false" customHeight="true" outlineLevel="0" collapsed="false">
      <c r="A843" s="17"/>
      <c r="B843" s="58"/>
      <c r="C843" s="58"/>
      <c r="D843" s="59"/>
      <c r="E843" s="60" t="str">
        <f aca="false">IF(LEN(D843)=11,"PF",IF(LEN(D843)=14,"PJ",""))</f>
        <v/>
      </c>
      <c r="F843" s="59"/>
      <c r="G843" s="59"/>
      <c r="H843" s="61" t="str">
        <f aca="false">IF(G843&lt;&gt;"",VLOOKUP(G843,'Cnae  mcc  id'!$A:$M,9,0),"")</f>
        <v/>
      </c>
      <c r="I843" s="62"/>
      <c r="J843" s="63" t="str">
        <f aca="false">IF(I843&lt;&gt;"",VLOOKUP(I843,'Legal Nature'!$E$2:$G$84,3,0),"")</f>
        <v/>
      </c>
      <c r="K843" s="64"/>
      <c r="L843" s="65"/>
      <c r="M843" s="66"/>
      <c r="N843" s="66"/>
      <c r="O843" s="79"/>
      <c r="P843" s="26"/>
      <c r="Q843" s="58"/>
      <c r="R843" s="58"/>
      <c r="S843" s="80"/>
      <c r="T843" s="68" t="str">
        <f aca="false">IF(LEFT(S843,1)="9","Celular",IF(S843="","","Fixo"))</f>
        <v/>
      </c>
      <c r="U843" s="58" t="str">
        <f aca="false">IF( T843&lt;&gt;"",VLOOKUP(T843,Selects!$M$4:$N$1000,2,0),"")</f>
        <v/>
      </c>
      <c r="V843" s="26"/>
      <c r="W843" s="58"/>
      <c r="X843" s="58"/>
      <c r="Y843" s="58"/>
      <c r="Z843" s="58"/>
      <c r="AA843" s="69"/>
      <c r="AB843" s="58"/>
      <c r="AC843" s="58"/>
      <c r="AD843" s="70" t="str">
        <f aca="false">IF(AC843&lt;&gt;"",VLOOKUP(AC843,Selects!$B$4:$C$100,2,0),"")</f>
        <v/>
      </c>
      <c r="AE843" s="26"/>
      <c r="AF843" s="58"/>
      <c r="AG843" s="59"/>
      <c r="AH843" s="65"/>
      <c r="AI843" s="66"/>
      <c r="AJ843" s="66"/>
      <c r="AK843" s="58"/>
      <c r="AL843" s="58"/>
      <c r="AM843" s="68" t="str">
        <f aca="false">IF(LEFT(AL843,1)="9","Celular",IF(AL843="","","Fixo"))</f>
        <v/>
      </c>
      <c r="AN843" s="58" t="str">
        <f aca="false">IF( AM843&lt;&gt;"",VLOOKUP(AM843,Selects!$M$4:$N$1000,2,0),"")</f>
        <v/>
      </c>
      <c r="AO843" s="58"/>
      <c r="AP843" s="59"/>
      <c r="AQ843" s="65"/>
      <c r="AR843" s="58"/>
      <c r="AS843" s="58"/>
      <c r="AT843" s="26"/>
      <c r="AU843" s="58"/>
      <c r="AV843" s="58"/>
      <c r="AW843" s="58"/>
      <c r="AX843" s="58"/>
      <c r="AY843" s="71"/>
      <c r="AZ843" s="58"/>
      <c r="BA843" s="58"/>
      <c r="BB843" s="72" t="str">
        <f aca="false">IF(BA843&lt;&gt;"",VLOOKUP(BA843,Selects!$B$4:$C$100,2,0),"")</f>
        <v/>
      </c>
      <c r="BC843" s="26"/>
      <c r="BD843" s="26"/>
      <c r="BE843" s="73"/>
      <c r="BF843" s="74"/>
      <c r="BG843" s="75" t="str">
        <f aca="false">IF(LEN(BF843)=11,"PF",IF(LEN(BF843)=14,"PJ",""))</f>
        <v/>
      </c>
      <c r="BH843" s="66"/>
      <c r="BI843" s="58" t="str">
        <f aca="false">IF(BH843&lt;&gt;"",VLOOKUP(BH843,Selects!$G:$H,2,0),"")</f>
        <v/>
      </c>
      <c r="BJ843" s="58"/>
      <c r="BK843" s="58"/>
      <c r="BL843" s="59"/>
      <c r="BM843" s="58"/>
      <c r="BN843" s="58"/>
      <c r="BO843" s="58" t="str">
        <f aca="false">IF(BN843&lt;&gt;"",VLOOKUP(BN843,Selects!$J$4:$K$1000,2,0),"")</f>
        <v/>
      </c>
      <c r="BP843" s="76"/>
      <c r="BQ843" s="59"/>
      <c r="BR843" s="77"/>
      <c r="BS843" s="59"/>
      <c r="BT843" s="77"/>
      <c r="BU843" s="58"/>
      <c r="BV843" s="58"/>
      <c r="BW843" s="58"/>
      <c r="BX843" s="58"/>
      <c r="BY843" s="58"/>
      <c r="BZ843" s="58"/>
      <c r="CA843" s="58"/>
      <c r="CB843" s="72" t="str">
        <f aca="false">IF(AC843&lt;&gt;"",VLOOKUP(AC843,Selects!$B:$E,4,0),"")</f>
        <v/>
      </c>
      <c r="CC843" s="58"/>
      <c r="CD843" s="58"/>
      <c r="CE843" s="58"/>
    </row>
    <row r="844" customFormat="false" ht="15.75" hidden="false" customHeight="true" outlineLevel="0" collapsed="false">
      <c r="A844" s="17"/>
      <c r="B844" s="58"/>
      <c r="C844" s="58"/>
      <c r="D844" s="59"/>
      <c r="E844" s="60" t="str">
        <f aca="false">IF(LEN(D844)=11,"PF",IF(LEN(D844)=14,"PJ",""))</f>
        <v/>
      </c>
      <c r="F844" s="59"/>
      <c r="G844" s="59"/>
      <c r="H844" s="61" t="str">
        <f aca="false">IF(G844&lt;&gt;"",VLOOKUP(G844,'Cnae  mcc  id'!$A:$M,9,0),"")</f>
        <v/>
      </c>
      <c r="I844" s="62"/>
      <c r="J844" s="63" t="str">
        <f aca="false">IF(I844&lt;&gt;"",VLOOKUP(I844,'Legal Nature'!$E$2:$G$84,3,0),"")</f>
        <v/>
      </c>
      <c r="K844" s="64"/>
      <c r="L844" s="65"/>
      <c r="M844" s="66"/>
      <c r="N844" s="66"/>
      <c r="O844" s="79"/>
      <c r="P844" s="26"/>
      <c r="Q844" s="58"/>
      <c r="R844" s="58"/>
      <c r="S844" s="80"/>
      <c r="T844" s="68" t="str">
        <f aca="false">IF(LEFT(S844,1)="9","Celular",IF(S844="","","Fixo"))</f>
        <v/>
      </c>
      <c r="U844" s="58" t="str">
        <f aca="false">IF( T844&lt;&gt;"",VLOOKUP(T844,Selects!$M$4:$N$1000,2,0),"")</f>
        <v/>
      </c>
      <c r="V844" s="26"/>
      <c r="W844" s="58"/>
      <c r="X844" s="58"/>
      <c r="Y844" s="58"/>
      <c r="Z844" s="58"/>
      <c r="AA844" s="69"/>
      <c r="AB844" s="58"/>
      <c r="AC844" s="58"/>
      <c r="AD844" s="70" t="str">
        <f aca="false">IF(AC844&lt;&gt;"",VLOOKUP(AC844,Selects!$B$4:$C$100,2,0),"")</f>
        <v/>
      </c>
      <c r="AE844" s="26"/>
      <c r="AF844" s="58"/>
      <c r="AG844" s="59"/>
      <c r="AH844" s="65"/>
      <c r="AI844" s="66"/>
      <c r="AJ844" s="66"/>
      <c r="AK844" s="58"/>
      <c r="AL844" s="58"/>
      <c r="AM844" s="68" t="str">
        <f aca="false">IF(LEFT(AL844,1)="9","Celular",IF(AL844="","","Fixo"))</f>
        <v/>
      </c>
      <c r="AN844" s="58" t="str">
        <f aca="false">IF( AM844&lt;&gt;"",VLOOKUP(AM844,Selects!$M$4:$N$1000,2,0),"")</f>
        <v/>
      </c>
      <c r="AO844" s="58"/>
      <c r="AP844" s="59"/>
      <c r="AQ844" s="65"/>
      <c r="AR844" s="58"/>
      <c r="AS844" s="58"/>
      <c r="AT844" s="26"/>
      <c r="AU844" s="58"/>
      <c r="AV844" s="58"/>
      <c r="AW844" s="58"/>
      <c r="AX844" s="58"/>
      <c r="AY844" s="71"/>
      <c r="AZ844" s="58"/>
      <c r="BA844" s="58"/>
      <c r="BB844" s="72" t="str">
        <f aca="false">IF(BA844&lt;&gt;"",VLOOKUP(BA844,Selects!$B$4:$C$100,2,0),"")</f>
        <v/>
      </c>
      <c r="BC844" s="26"/>
      <c r="BD844" s="26"/>
      <c r="BE844" s="73"/>
      <c r="BF844" s="74"/>
      <c r="BG844" s="75" t="str">
        <f aca="false">IF(LEN(BF844)=11,"PF",IF(LEN(BF844)=14,"PJ",""))</f>
        <v/>
      </c>
      <c r="BH844" s="66"/>
      <c r="BI844" s="58" t="str">
        <f aca="false">IF(BH844&lt;&gt;"",VLOOKUP(BH844,Selects!$G:$H,2,0),"")</f>
        <v/>
      </c>
      <c r="BJ844" s="58"/>
      <c r="BK844" s="58"/>
      <c r="BL844" s="59"/>
      <c r="BM844" s="58"/>
      <c r="BN844" s="58"/>
      <c r="BO844" s="58" t="str">
        <f aca="false">IF(BN844&lt;&gt;"",VLOOKUP(BN844,Selects!$J$4:$K$1000,2,0),"")</f>
        <v/>
      </c>
      <c r="BP844" s="76"/>
      <c r="BQ844" s="59"/>
      <c r="BR844" s="77"/>
      <c r="BS844" s="59"/>
      <c r="BT844" s="77"/>
      <c r="BU844" s="58"/>
      <c r="BV844" s="58"/>
      <c r="BW844" s="58"/>
      <c r="BX844" s="58"/>
      <c r="BY844" s="58"/>
      <c r="BZ844" s="58"/>
      <c r="CA844" s="58"/>
      <c r="CB844" s="72" t="str">
        <f aca="false">IF(AC844&lt;&gt;"",VLOOKUP(AC844,Selects!$B:$E,4,0),"")</f>
        <v/>
      </c>
      <c r="CC844" s="58"/>
      <c r="CD844" s="58"/>
      <c r="CE844" s="58"/>
    </row>
    <row r="845" customFormat="false" ht="15.75" hidden="false" customHeight="true" outlineLevel="0" collapsed="false">
      <c r="A845" s="17"/>
      <c r="B845" s="58"/>
      <c r="C845" s="58"/>
      <c r="D845" s="59"/>
      <c r="E845" s="60" t="str">
        <f aca="false">IF(LEN(D845)=11,"PF",IF(LEN(D845)=14,"PJ",""))</f>
        <v/>
      </c>
      <c r="F845" s="59"/>
      <c r="G845" s="59"/>
      <c r="H845" s="61" t="str">
        <f aca="false">IF(G845&lt;&gt;"",VLOOKUP(G845,'Cnae  mcc  id'!$A:$M,9,0),"")</f>
        <v/>
      </c>
      <c r="I845" s="62"/>
      <c r="J845" s="63" t="str">
        <f aca="false">IF(I845&lt;&gt;"",VLOOKUP(I845,'Legal Nature'!$E$2:$G$84,3,0),"")</f>
        <v/>
      </c>
      <c r="K845" s="64"/>
      <c r="L845" s="65"/>
      <c r="M845" s="66"/>
      <c r="N845" s="66"/>
      <c r="O845" s="79"/>
      <c r="P845" s="26"/>
      <c r="Q845" s="58"/>
      <c r="R845" s="58"/>
      <c r="S845" s="80"/>
      <c r="T845" s="68" t="str">
        <f aca="false">IF(LEFT(S845,1)="9","Celular",IF(S845="","","Fixo"))</f>
        <v/>
      </c>
      <c r="U845" s="58" t="str">
        <f aca="false">IF( T845&lt;&gt;"",VLOOKUP(T845,Selects!$M$4:$N$1000,2,0),"")</f>
        <v/>
      </c>
      <c r="V845" s="26"/>
      <c r="W845" s="58"/>
      <c r="X845" s="58"/>
      <c r="Y845" s="58"/>
      <c r="Z845" s="58"/>
      <c r="AA845" s="69"/>
      <c r="AB845" s="58"/>
      <c r="AC845" s="58"/>
      <c r="AD845" s="70" t="str">
        <f aca="false">IF(AC845&lt;&gt;"",VLOOKUP(AC845,Selects!$B$4:$C$100,2,0),"")</f>
        <v/>
      </c>
      <c r="AE845" s="26"/>
      <c r="AF845" s="58"/>
      <c r="AG845" s="59"/>
      <c r="AH845" s="65"/>
      <c r="AI845" s="66"/>
      <c r="AJ845" s="66"/>
      <c r="AK845" s="58"/>
      <c r="AL845" s="58"/>
      <c r="AM845" s="68" t="str">
        <f aca="false">IF(LEFT(AL845,1)="9","Celular",IF(AL845="","","Fixo"))</f>
        <v/>
      </c>
      <c r="AN845" s="58" t="str">
        <f aca="false">IF( AM845&lt;&gt;"",VLOOKUP(AM845,Selects!$M$4:$N$1000,2,0),"")</f>
        <v/>
      </c>
      <c r="AO845" s="58"/>
      <c r="AP845" s="59"/>
      <c r="AQ845" s="65"/>
      <c r="AR845" s="58"/>
      <c r="AS845" s="58"/>
      <c r="AT845" s="26"/>
      <c r="AU845" s="58"/>
      <c r="AV845" s="58"/>
      <c r="AW845" s="58"/>
      <c r="AX845" s="58"/>
      <c r="AY845" s="71"/>
      <c r="AZ845" s="58"/>
      <c r="BA845" s="58"/>
      <c r="BB845" s="72" t="str">
        <f aca="false">IF(BA845&lt;&gt;"",VLOOKUP(BA845,Selects!$B$4:$C$100,2,0),"")</f>
        <v/>
      </c>
      <c r="BC845" s="26"/>
      <c r="BD845" s="26"/>
      <c r="BE845" s="73"/>
      <c r="BF845" s="74"/>
      <c r="BG845" s="75" t="str">
        <f aca="false">IF(LEN(BF845)=11,"PF",IF(LEN(BF845)=14,"PJ",""))</f>
        <v/>
      </c>
      <c r="BH845" s="66"/>
      <c r="BI845" s="58" t="str">
        <f aca="false">IF(BH845&lt;&gt;"",VLOOKUP(BH845,Selects!$G:$H,2,0),"")</f>
        <v/>
      </c>
      <c r="BJ845" s="58"/>
      <c r="BK845" s="58"/>
      <c r="BL845" s="59"/>
      <c r="BM845" s="58"/>
      <c r="BN845" s="58"/>
      <c r="BO845" s="58" t="str">
        <f aca="false">IF(BN845&lt;&gt;"",VLOOKUP(BN845,Selects!$J$4:$K$1000,2,0),"")</f>
        <v/>
      </c>
      <c r="BP845" s="76"/>
      <c r="BQ845" s="59"/>
      <c r="BR845" s="77"/>
      <c r="BS845" s="59"/>
      <c r="BT845" s="77"/>
      <c r="BU845" s="58"/>
      <c r="BV845" s="58"/>
      <c r="BW845" s="58"/>
      <c r="BX845" s="58"/>
      <c r="BY845" s="58"/>
      <c r="BZ845" s="58"/>
      <c r="CA845" s="58"/>
      <c r="CB845" s="72" t="str">
        <f aca="false">IF(AC845&lt;&gt;"",VLOOKUP(AC845,Selects!$B:$E,4,0),"")</f>
        <v/>
      </c>
      <c r="CC845" s="58"/>
      <c r="CD845" s="58"/>
      <c r="CE845" s="58"/>
    </row>
    <row r="846" customFormat="false" ht="15.75" hidden="false" customHeight="true" outlineLevel="0" collapsed="false">
      <c r="A846" s="17"/>
      <c r="B846" s="58"/>
      <c r="C846" s="58"/>
      <c r="D846" s="59"/>
      <c r="E846" s="60" t="str">
        <f aca="false">IF(LEN(D846)=11,"PF",IF(LEN(D846)=14,"PJ",""))</f>
        <v/>
      </c>
      <c r="F846" s="59"/>
      <c r="G846" s="59"/>
      <c r="H846" s="61" t="str">
        <f aca="false">IF(G846&lt;&gt;"",VLOOKUP(G846,'Cnae  mcc  id'!$A:$M,9,0),"")</f>
        <v/>
      </c>
      <c r="I846" s="62"/>
      <c r="J846" s="63" t="str">
        <f aca="false">IF(I846&lt;&gt;"",VLOOKUP(I846,'Legal Nature'!$E$2:$G$84,3,0),"")</f>
        <v/>
      </c>
      <c r="K846" s="64"/>
      <c r="L846" s="65"/>
      <c r="M846" s="66"/>
      <c r="N846" s="66"/>
      <c r="O846" s="79"/>
      <c r="P846" s="26"/>
      <c r="Q846" s="58"/>
      <c r="R846" s="58"/>
      <c r="S846" s="80"/>
      <c r="T846" s="68" t="str">
        <f aca="false">IF(LEFT(S846,1)="9","Celular",IF(S846="","","Fixo"))</f>
        <v/>
      </c>
      <c r="U846" s="58" t="str">
        <f aca="false">IF( T846&lt;&gt;"",VLOOKUP(T846,Selects!$M$4:$N$1000,2,0),"")</f>
        <v/>
      </c>
      <c r="V846" s="26"/>
      <c r="W846" s="58"/>
      <c r="X846" s="58"/>
      <c r="Y846" s="58"/>
      <c r="Z846" s="58"/>
      <c r="AA846" s="69"/>
      <c r="AB846" s="58"/>
      <c r="AC846" s="58"/>
      <c r="AD846" s="70" t="str">
        <f aca="false">IF(AC846&lt;&gt;"",VLOOKUP(AC846,Selects!$B$4:$C$100,2,0),"")</f>
        <v/>
      </c>
      <c r="AE846" s="26"/>
      <c r="AF846" s="58"/>
      <c r="AG846" s="59"/>
      <c r="AH846" s="65"/>
      <c r="AI846" s="66"/>
      <c r="AJ846" s="66"/>
      <c r="AK846" s="58"/>
      <c r="AL846" s="58"/>
      <c r="AM846" s="68" t="str">
        <f aca="false">IF(LEFT(AL846,1)="9","Celular",IF(AL846="","","Fixo"))</f>
        <v/>
      </c>
      <c r="AN846" s="58" t="str">
        <f aca="false">IF( AM846&lt;&gt;"",VLOOKUP(AM846,Selects!$M$4:$N$1000,2,0),"")</f>
        <v/>
      </c>
      <c r="AO846" s="58"/>
      <c r="AP846" s="59"/>
      <c r="AQ846" s="65"/>
      <c r="AR846" s="58"/>
      <c r="AS846" s="58"/>
      <c r="AT846" s="26"/>
      <c r="AU846" s="58"/>
      <c r="AV846" s="58"/>
      <c r="AW846" s="58"/>
      <c r="AX846" s="58"/>
      <c r="AY846" s="71"/>
      <c r="AZ846" s="58"/>
      <c r="BA846" s="58"/>
      <c r="BB846" s="72" t="str">
        <f aca="false">IF(BA846&lt;&gt;"",VLOOKUP(BA846,Selects!$B$4:$C$100,2,0),"")</f>
        <v/>
      </c>
      <c r="BC846" s="26"/>
      <c r="BD846" s="26"/>
      <c r="BE846" s="73"/>
      <c r="BF846" s="74"/>
      <c r="BG846" s="75" t="str">
        <f aca="false">IF(LEN(BF846)=11,"PF",IF(LEN(BF846)=14,"PJ",""))</f>
        <v/>
      </c>
      <c r="BH846" s="66"/>
      <c r="BI846" s="58" t="str">
        <f aca="false">IF(BH846&lt;&gt;"",VLOOKUP(BH846,Selects!$G:$H,2,0),"")</f>
        <v/>
      </c>
      <c r="BJ846" s="58"/>
      <c r="BK846" s="58"/>
      <c r="BL846" s="59"/>
      <c r="BM846" s="58"/>
      <c r="BN846" s="58"/>
      <c r="BO846" s="58" t="str">
        <f aca="false">IF(BN846&lt;&gt;"",VLOOKUP(BN846,Selects!$J$4:$K$1000,2,0),"")</f>
        <v/>
      </c>
      <c r="BP846" s="76"/>
      <c r="BQ846" s="59"/>
      <c r="BR846" s="77"/>
      <c r="BS846" s="59"/>
      <c r="BT846" s="77"/>
      <c r="BU846" s="58"/>
      <c r="BV846" s="58"/>
      <c r="BW846" s="58"/>
      <c r="BX846" s="58"/>
      <c r="BY846" s="58"/>
      <c r="BZ846" s="58"/>
      <c r="CA846" s="58"/>
      <c r="CB846" s="72" t="str">
        <f aca="false">IF(AC846&lt;&gt;"",VLOOKUP(AC846,Selects!$B:$E,4,0),"")</f>
        <v/>
      </c>
      <c r="CC846" s="58"/>
      <c r="CD846" s="58"/>
      <c r="CE846" s="58"/>
    </row>
    <row r="847" customFormat="false" ht="15.75" hidden="false" customHeight="true" outlineLevel="0" collapsed="false">
      <c r="A847" s="17"/>
      <c r="B847" s="58"/>
      <c r="C847" s="58"/>
      <c r="D847" s="59"/>
      <c r="E847" s="60" t="str">
        <f aca="false">IF(LEN(D847)=11,"PF",IF(LEN(D847)=14,"PJ",""))</f>
        <v/>
      </c>
      <c r="F847" s="59"/>
      <c r="G847" s="59"/>
      <c r="H847" s="61" t="str">
        <f aca="false">IF(G847&lt;&gt;"",VLOOKUP(G847,'Cnae  mcc  id'!$A:$M,9,0),"")</f>
        <v/>
      </c>
      <c r="I847" s="62"/>
      <c r="J847" s="63" t="str">
        <f aca="false">IF(I847&lt;&gt;"",VLOOKUP(I847,'Legal Nature'!$E$2:$G$84,3,0),"")</f>
        <v/>
      </c>
      <c r="K847" s="64"/>
      <c r="L847" s="65"/>
      <c r="M847" s="66"/>
      <c r="N847" s="66"/>
      <c r="O847" s="79"/>
      <c r="P847" s="26"/>
      <c r="Q847" s="58"/>
      <c r="R847" s="58"/>
      <c r="S847" s="80"/>
      <c r="T847" s="68" t="str">
        <f aca="false">IF(LEFT(S847,1)="9","Celular",IF(S847="","","Fixo"))</f>
        <v/>
      </c>
      <c r="U847" s="58" t="str">
        <f aca="false">IF( T847&lt;&gt;"",VLOOKUP(T847,Selects!$M$4:$N$1000,2,0),"")</f>
        <v/>
      </c>
      <c r="V847" s="26"/>
      <c r="W847" s="58"/>
      <c r="X847" s="58"/>
      <c r="Y847" s="58"/>
      <c r="Z847" s="58"/>
      <c r="AA847" s="69"/>
      <c r="AB847" s="58"/>
      <c r="AC847" s="58"/>
      <c r="AD847" s="70" t="str">
        <f aca="false">IF(AC847&lt;&gt;"",VLOOKUP(AC847,Selects!$B$4:$C$100,2,0),"")</f>
        <v/>
      </c>
      <c r="AE847" s="26"/>
      <c r="AF847" s="58"/>
      <c r="AG847" s="59"/>
      <c r="AH847" s="65"/>
      <c r="AI847" s="66"/>
      <c r="AJ847" s="66"/>
      <c r="AK847" s="58"/>
      <c r="AL847" s="58"/>
      <c r="AM847" s="68" t="str">
        <f aca="false">IF(LEFT(AL847,1)="9","Celular",IF(AL847="","","Fixo"))</f>
        <v/>
      </c>
      <c r="AN847" s="58" t="str">
        <f aca="false">IF( AM847&lt;&gt;"",VLOOKUP(AM847,Selects!$M$4:$N$1000,2,0),"")</f>
        <v/>
      </c>
      <c r="AO847" s="58"/>
      <c r="AP847" s="59"/>
      <c r="AQ847" s="65"/>
      <c r="AR847" s="58"/>
      <c r="AS847" s="58"/>
      <c r="AT847" s="26"/>
      <c r="AU847" s="58"/>
      <c r="AV847" s="58"/>
      <c r="AW847" s="58"/>
      <c r="AX847" s="58"/>
      <c r="AY847" s="71"/>
      <c r="AZ847" s="58"/>
      <c r="BA847" s="58"/>
      <c r="BB847" s="72" t="str">
        <f aca="false">IF(BA847&lt;&gt;"",VLOOKUP(BA847,Selects!$B$4:$C$100,2,0),"")</f>
        <v/>
      </c>
      <c r="BC847" s="26"/>
      <c r="BD847" s="26"/>
      <c r="BE847" s="73"/>
      <c r="BF847" s="74"/>
      <c r="BG847" s="75" t="str">
        <f aca="false">IF(LEN(BF847)=11,"PF",IF(LEN(BF847)=14,"PJ",""))</f>
        <v/>
      </c>
      <c r="BH847" s="66"/>
      <c r="BI847" s="58" t="str">
        <f aca="false">IF(BH847&lt;&gt;"",VLOOKUP(BH847,Selects!$G:$H,2,0),"")</f>
        <v/>
      </c>
      <c r="BJ847" s="58"/>
      <c r="BK847" s="58"/>
      <c r="BL847" s="59"/>
      <c r="BM847" s="58"/>
      <c r="BN847" s="58"/>
      <c r="BO847" s="58" t="str">
        <f aca="false">IF(BN847&lt;&gt;"",VLOOKUP(BN847,Selects!$J$4:$K$1000,2,0),"")</f>
        <v/>
      </c>
      <c r="BP847" s="76"/>
      <c r="BQ847" s="59"/>
      <c r="BR847" s="77"/>
      <c r="BS847" s="59"/>
      <c r="BT847" s="77"/>
      <c r="BU847" s="58"/>
      <c r="BV847" s="58"/>
      <c r="BW847" s="58"/>
      <c r="BX847" s="58"/>
      <c r="BY847" s="58"/>
      <c r="BZ847" s="58"/>
      <c r="CA847" s="58"/>
      <c r="CB847" s="72" t="str">
        <f aca="false">IF(AC847&lt;&gt;"",VLOOKUP(AC847,Selects!$B:$E,4,0),"")</f>
        <v/>
      </c>
      <c r="CC847" s="58"/>
      <c r="CD847" s="58"/>
      <c r="CE847" s="58"/>
    </row>
    <row r="848" customFormat="false" ht="15.75" hidden="false" customHeight="true" outlineLevel="0" collapsed="false">
      <c r="A848" s="17"/>
      <c r="B848" s="58"/>
      <c r="C848" s="58"/>
      <c r="D848" s="59"/>
      <c r="E848" s="60" t="str">
        <f aca="false">IF(LEN(D848)=11,"PF",IF(LEN(D848)=14,"PJ",""))</f>
        <v/>
      </c>
      <c r="F848" s="59"/>
      <c r="G848" s="59"/>
      <c r="H848" s="61" t="str">
        <f aca="false">IF(G848&lt;&gt;"",VLOOKUP(G848,'Cnae  mcc  id'!$A:$M,9,0),"")</f>
        <v/>
      </c>
      <c r="I848" s="62"/>
      <c r="J848" s="63" t="str">
        <f aca="false">IF(I848&lt;&gt;"",VLOOKUP(I848,'Legal Nature'!$E$2:$G$84,3,0),"")</f>
        <v/>
      </c>
      <c r="K848" s="64"/>
      <c r="L848" s="65"/>
      <c r="M848" s="66"/>
      <c r="N848" s="66"/>
      <c r="O848" s="79"/>
      <c r="P848" s="26"/>
      <c r="Q848" s="58"/>
      <c r="R848" s="58"/>
      <c r="S848" s="80"/>
      <c r="T848" s="68" t="str">
        <f aca="false">IF(LEFT(S848,1)="9","Celular",IF(S848="","","Fixo"))</f>
        <v/>
      </c>
      <c r="U848" s="58" t="str">
        <f aca="false">IF( T848&lt;&gt;"",VLOOKUP(T848,Selects!$M$4:$N$1000,2,0),"")</f>
        <v/>
      </c>
      <c r="V848" s="26"/>
      <c r="W848" s="58"/>
      <c r="X848" s="58"/>
      <c r="Y848" s="58"/>
      <c r="Z848" s="58"/>
      <c r="AA848" s="69"/>
      <c r="AB848" s="58"/>
      <c r="AC848" s="58"/>
      <c r="AD848" s="70" t="str">
        <f aca="false">IF(AC848&lt;&gt;"",VLOOKUP(AC848,Selects!$B$4:$C$100,2,0),"")</f>
        <v/>
      </c>
      <c r="AE848" s="26"/>
      <c r="AF848" s="58"/>
      <c r="AG848" s="59"/>
      <c r="AH848" s="65"/>
      <c r="AI848" s="66"/>
      <c r="AJ848" s="66"/>
      <c r="AK848" s="58"/>
      <c r="AL848" s="58"/>
      <c r="AM848" s="68" t="str">
        <f aca="false">IF(LEFT(AL848,1)="9","Celular",IF(AL848="","","Fixo"))</f>
        <v/>
      </c>
      <c r="AN848" s="58" t="str">
        <f aca="false">IF( AM848&lt;&gt;"",VLOOKUP(AM848,Selects!$M$4:$N$1000,2,0),"")</f>
        <v/>
      </c>
      <c r="AO848" s="58"/>
      <c r="AP848" s="59"/>
      <c r="AQ848" s="65"/>
      <c r="AR848" s="58"/>
      <c r="AS848" s="58"/>
      <c r="AT848" s="26"/>
      <c r="AU848" s="58"/>
      <c r="AV848" s="58"/>
      <c r="AW848" s="58"/>
      <c r="AX848" s="58"/>
      <c r="AY848" s="71"/>
      <c r="AZ848" s="58"/>
      <c r="BA848" s="58"/>
      <c r="BB848" s="72" t="str">
        <f aca="false">IF(BA848&lt;&gt;"",VLOOKUP(BA848,Selects!$B$4:$C$100,2,0),"")</f>
        <v/>
      </c>
      <c r="BC848" s="26"/>
      <c r="BD848" s="26"/>
      <c r="BE848" s="73"/>
      <c r="BF848" s="74"/>
      <c r="BG848" s="75" t="str">
        <f aca="false">IF(LEN(BF848)=11,"PF",IF(LEN(BF848)=14,"PJ",""))</f>
        <v/>
      </c>
      <c r="BH848" s="66"/>
      <c r="BI848" s="58" t="str">
        <f aca="false">IF(BH848&lt;&gt;"",VLOOKUP(BH848,Selects!$G:$H,2,0),"")</f>
        <v/>
      </c>
      <c r="BJ848" s="58"/>
      <c r="BK848" s="58"/>
      <c r="BL848" s="59"/>
      <c r="BM848" s="58"/>
      <c r="BN848" s="58"/>
      <c r="BO848" s="58" t="str">
        <f aca="false">IF(BN848&lt;&gt;"",VLOOKUP(BN848,Selects!$J$4:$K$1000,2,0),"")</f>
        <v/>
      </c>
      <c r="BP848" s="76"/>
      <c r="BQ848" s="59"/>
      <c r="BR848" s="77"/>
      <c r="BS848" s="59"/>
      <c r="BT848" s="77"/>
      <c r="BU848" s="58"/>
      <c r="BV848" s="58"/>
      <c r="BW848" s="58"/>
      <c r="BX848" s="58"/>
      <c r="BY848" s="58"/>
      <c r="BZ848" s="58"/>
      <c r="CA848" s="58"/>
      <c r="CB848" s="72" t="str">
        <f aca="false">IF(AC848&lt;&gt;"",VLOOKUP(AC848,Selects!$B:$E,4,0),"")</f>
        <v/>
      </c>
      <c r="CC848" s="58"/>
      <c r="CD848" s="58"/>
      <c r="CE848" s="58"/>
    </row>
    <row r="849" customFormat="false" ht="15.75" hidden="false" customHeight="true" outlineLevel="0" collapsed="false">
      <c r="A849" s="17"/>
      <c r="B849" s="58"/>
      <c r="C849" s="58"/>
      <c r="D849" s="59"/>
      <c r="E849" s="60" t="str">
        <f aca="false">IF(LEN(D849)=11,"PF",IF(LEN(D849)=14,"PJ",""))</f>
        <v/>
      </c>
      <c r="F849" s="59"/>
      <c r="G849" s="59"/>
      <c r="H849" s="61" t="str">
        <f aca="false">IF(G849&lt;&gt;"",VLOOKUP(G849,'Cnae  mcc  id'!$A:$M,9,0),"")</f>
        <v/>
      </c>
      <c r="I849" s="62"/>
      <c r="J849" s="63" t="str">
        <f aca="false">IF(I849&lt;&gt;"",VLOOKUP(I849,'Legal Nature'!$E$2:$G$84,3,0),"")</f>
        <v/>
      </c>
      <c r="K849" s="64"/>
      <c r="L849" s="65"/>
      <c r="M849" s="66"/>
      <c r="N849" s="66"/>
      <c r="O849" s="79"/>
      <c r="P849" s="26"/>
      <c r="Q849" s="58"/>
      <c r="R849" s="58"/>
      <c r="S849" s="80"/>
      <c r="T849" s="68" t="str">
        <f aca="false">IF(LEFT(S849,1)="9","Celular",IF(S849="","","Fixo"))</f>
        <v/>
      </c>
      <c r="U849" s="58" t="str">
        <f aca="false">IF( T849&lt;&gt;"",VLOOKUP(T849,Selects!$M$4:$N$1000,2,0),"")</f>
        <v/>
      </c>
      <c r="V849" s="26"/>
      <c r="W849" s="58"/>
      <c r="X849" s="58"/>
      <c r="Y849" s="58"/>
      <c r="Z849" s="58"/>
      <c r="AA849" s="69"/>
      <c r="AB849" s="58"/>
      <c r="AC849" s="58"/>
      <c r="AD849" s="70" t="str">
        <f aca="false">IF(AC849&lt;&gt;"",VLOOKUP(AC849,Selects!$B$4:$C$100,2,0),"")</f>
        <v/>
      </c>
      <c r="AE849" s="26"/>
      <c r="AF849" s="58"/>
      <c r="AG849" s="59"/>
      <c r="AH849" s="65"/>
      <c r="AI849" s="66"/>
      <c r="AJ849" s="66"/>
      <c r="AK849" s="58"/>
      <c r="AL849" s="58"/>
      <c r="AM849" s="68" t="str">
        <f aca="false">IF(LEFT(AL849,1)="9","Celular",IF(AL849="","","Fixo"))</f>
        <v/>
      </c>
      <c r="AN849" s="58" t="str">
        <f aca="false">IF( AM849&lt;&gt;"",VLOOKUP(AM849,Selects!$M$4:$N$1000,2,0),"")</f>
        <v/>
      </c>
      <c r="AO849" s="58"/>
      <c r="AP849" s="59"/>
      <c r="AQ849" s="65"/>
      <c r="AR849" s="58"/>
      <c r="AS849" s="58"/>
      <c r="AT849" s="26"/>
      <c r="AU849" s="58"/>
      <c r="AV849" s="58"/>
      <c r="AW849" s="58"/>
      <c r="AX849" s="58"/>
      <c r="AY849" s="71"/>
      <c r="AZ849" s="58"/>
      <c r="BA849" s="58"/>
      <c r="BB849" s="72" t="str">
        <f aca="false">IF(BA849&lt;&gt;"",VLOOKUP(BA849,Selects!$B$4:$C$100,2,0),"")</f>
        <v/>
      </c>
      <c r="BC849" s="26"/>
      <c r="BD849" s="26"/>
      <c r="BE849" s="73"/>
      <c r="BF849" s="74"/>
      <c r="BG849" s="75" t="str">
        <f aca="false">IF(LEN(BF849)=11,"PF",IF(LEN(BF849)=14,"PJ",""))</f>
        <v/>
      </c>
      <c r="BH849" s="66"/>
      <c r="BI849" s="58" t="str">
        <f aca="false">IF(BH849&lt;&gt;"",VLOOKUP(BH849,Selects!$G:$H,2,0),"")</f>
        <v/>
      </c>
      <c r="BJ849" s="58"/>
      <c r="BK849" s="58"/>
      <c r="BL849" s="59"/>
      <c r="BM849" s="58"/>
      <c r="BN849" s="58"/>
      <c r="BO849" s="58" t="str">
        <f aca="false">IF(BN849&lt;&gt;"",VLOOKUP(BN849,Selects!$J$4:$K$1000,2,0),"")</f>
        <v/>
      </c>
      <c r="BP849" s="76"/>
      <c r="BQ849" s="59"/>
      <c r="BR849" s="77"/>
      <c r="BS849" s="59"/>
      <c r="BT849" s="77"/>
      <c r="BU849" s="58"/>
      <c r="BV849" s="58"/>
      <c r="BW849" s="58"/>
      <c r="BX849" s="58"/>
      <c r="BY849" s="58"/>
      <c r="BZ849" s="58"/>
      <c r="CA849" s="58"/>
      <c r="CB849" s="72" t="str">
        <f aca="false">IF(AC849&lt;&gt;"",VLOOKUP(AC849,Selects!$B:$E,4,0),"")</f>
        <v/>
      </c>
      <c r="CC849" s="58"/>
      <c r="CD849" s="58"/>
      <c r="CE849" s="58"/>
    </row>
    <row r="850" customFormat="false" ht="15.75" hidden="false" customHeight="true" outlineLevel="0" collapsed="false">
      <c r="A850" s="17"/>
      <c r="B850" s="58"/>
      <c r="C850" s="58"/>
      <c r="D850" s="59"/>
      <c r="E850" s="60" t="str">
        <f aca="false">IF(LEN(D850)=11,"PF",IF(LEN(D850)=14,"PJ",""))</f>
        <v/>
      </c>
      <c r="F850" s="59"/>
      <c r="G850" s="59"/>
      <c r="H850" s="61" t="str">
        <f aca="false">IF(G850&lt;&gt;"",VLOOKUP(G850,'Cnae  mcc  id'!$A:$M,9,0),"")</f>
        <v/>
      </c>
      <c r="I850" s="62"/>
      <c r="J850" s="63" t="str">
        <f aca="false">IF(I850&lt;&gt;"",VLOOKUP(I850,'Legal Nature'!$E$2:$G$84,3,0),"")</f>
        <v/>
      </c>
      <c r="K850" s="64"/>
      <c r="L850" s="65"/>
      <c r="M850" s="66"/>
      <c r="N850" s="66"/>
      <c r="O850" s="79"/>
      <c r="P850" s="26"/>
      <c r="Q850" s="58"/>
      <c r="R850" s="58"/>
      <c r="S850" s="80"/>
      <c r="T850" s="68" t="str">
        <f aca="false">IF(LEFT(S850,1)="9","Celular",IF(S850="","","Fixo"))</f>
        <v/>
      </c>
      <c r="U850" s="58" t="str">
        <f aca="false">IF( T850&lt;&gt;"",VLOOKUP(T850,Selects!$M$4:$N$1000,2,0),"")</f>
        <v/>
      </c>
      <c r="V850" s="26"/>
      <c r="W850" s="58"/>
      <c r="X850" s="58"/>
      <c r="Y850" s="58"/>
      <c r="Z850" s="58"/>
      <c r="AA850" s="69"/>
      <c r="AB850" s="58"/>
      <c r="AC850" s="58"/>
      <c r="AD850" s="70" t="str">
        <f aca="false">IF(AC850&lt;&gt;"",VLOOKUP(AC850,Selects!$B$4:$C$100,2,0),"")</f>
        <v/>
      </c>
      <c r="AE850" s="26"/>
      <c r="AF850" s="58"/>
      <c r="AG850" s="59"/>
      <c r="AH850" s="65"/>
      <c r="AI850" s="66"/>
      <c r="AJ850" s="66"/>
      <c r="AK850" s="58"/>
      <c r="AL850" s="58"/>
      <c r="AM850" s="68" t="str">
        <f aca="false">IF(LEFT(AL850,1)="9","Celular",IF(AL850="","","Fixo"))</f>
        <v/>
      </c>
      <c r="AN850" s="58" t="str">
        <f aca="false">IF( AM850&lt;&gt;"",VLOOKUP(AM850,Selects!$M$4:$N$1000,2,0),"")</f>
        <v/>
      </c>
      <c r="AO850" s="58"/>
      <c r="AP850" s="59"/>
      <c r="AQ850" s="65"/>
      <c r="AR850" s="58"/>
      <c r="AS850" s="58"/>
      <c r="AT850" s="26"/>
      <c r="AU850" s="58"/>
      <c r="AV850" s="58"/>
      <c r="AW850" s="58"/>
      <c r="AX850" s="58"/>
      <c r="AY850" s="71"/>
      <c r="AZ850" s="58"/>
      <c r="BA850" s="58"/>
      <c r="BB850" s="72" t="str">
        <f aca="false">IF(BA850&lt;&gt;"",VLOOKUP(BA850,Selects!$B$4:$C$100,2,0),"")</f>
        <v/>
      </c>
      <c r="BC850" s="26"/>
      <c r="BD850" s="26"/>
      <c r="BE850" s="73"/>
      <c r="BF850" s="74"/>
      <c r="BG850" s="75" t="str">
        <f aca="false">IF(LEN(BF850)=11,"PF",IF(LEN(BF850)=14,"PJ",""))</f>
        <v/>
      </c>
      <c r="BH850" s="66"/>
      <c r="BI850" s="58" t="str">
        <f aca="false">IF(BH850&lt;&gt;"",VLOOKUP(BH850,Selects!$G:$H,2,0),"")</f>
        <v/>
      </c>
      <c r="BJ850" s="58"/>
      <c r="BK850" s="58"/>
      <c r="BL850" s="59"/>
      <c r="BM850" s="58"/>
      <c r="BN850" s="58"/>
      <c r="BO850" s="58" t="str">
        <f aca="false">IF(BN850&lt;&gt;"",VLOOKUP(BN850,Selects!$J$4:$K$1000,2,0),"")</f>
        <v/>
      </c>
      <c r="BP850" s="76"/>
      <c r="BQ850" s="59"/>
      <c r="BR850" s="77"/>
      <c r="BS850" s="59"/>
      <c r="BT850" s="77"/>
      <c r="BU850" s="58"/>
      <c r="BV850" s="58"/>
      <c r="BW850" s="58"/>
      <c r="BX850" s="58"/>
      <c r="BY850" s="58"/>
      <c r="BZ850" s="58"/>
      <c r="CA850" s="58"/>
      <c r="CB850" s="72" t="str">
        <f aca="false">IF(AC850&lt;&gt;"",VLOOKUP(AC850,Selects!$B:$E,4,0),"")</f>
        <v/>
      </c>
      <c r="CC850" s="58"/>
      <c r="CD850" s="58"/>
      <c r="CE850" s="58"/>
    </row>
    <row r="851" customFormat="false" ht="15.75" hidden="false" customHeight="true" outlineLevel="0" collapsed="false">
      <c r="A851" s="17"/>
      <c r="B851" s="58"/>
      <c r="C851" s="58"/>
      <c r="D851" s="59"/>
      <c r="E851" s="60" t="str">
        <f aca="false">IF(LEN(D851)=11,"PF",IF(LEN(D851)=14,"PJ",""))</f>
        <v/>
      </c>
      <c r="F851" s="59"/>
      <c r="G851" s="59"/>
      <c r="H851" s="61" t="str">
        <f aca="false">IF(G851&lt;&gt;"",VLOOKUP(G851,'Cnae  mcc  id'!$A:$M,9,0),"")</f>
        <v/>
      </c>
      <c r="I851" s="62"/>
      <c r="J851" s="63" t="str">
        <f aca="false">IF(I851&lt;&gt;"",VLOOKUP(I851,'Legal Nature'!$E$2:$G$84,3,0),"")</f>
        <v/>
      </c>
      <c r="K851" s="64"/>
      <c r="L851" s="65"/>
      <c r="M851" s="66"/>
      <c r="N851" s="66"/>
      <c r="O851" s="79"/>
      <c r="P851" s="26"/>
      <c r="Q851" s="58"/>
      <c r="R851" s="58"/>
      <c r="S851" s="80"/>
      <c r="T851" s="68" t="str">
        <f aca="false">IF(LEFT(S851,1)="9","Celular",IF(S851="","","Fixo"))</f>
        <v/>
      </c>
      <c r="U851" s="58" t="str">
        <f aca="false">IF( T851&lt;&gt;"",VLOOKUP(T851,Selects!$M$4:$N$1000,2,0),"")</f>
        <v/>
      </c>
      <c r="V851" s="26"/>
      <c r="W851" s="58"/>
      <c r="X851" s="58"/>
      <c r="Y851" s="58"/>
      <c r="Z851" s="58"/>
      <c r="AA851" s="69"/>
      <c r="AB851" s="58"/>
      <c r="AC851" s="58"/>
      <c r="AD851" s="70" t="str">
        <f aca="false">IF(AC851&lt;&gt;"",VLOOKUP(AC851,Selects!$B$4:$C$100,2,0),"")</f>
        <v/>
      </c>
      <c r="AE851" s="26"/>
      <c r="AF851" s="58"/>
      <c r="AG851" s="59"/>
      <c r="AH851" s="65"/>
      <c r="AI851" s="66"/>
      <c r="AJ851" s="66"/>
      <c r="AK851" s="58"/>
      <c r="AL851" s="58"/>
      <c r="AM851" s="68" t="str">
        <f aca="false">IF(LEFT(AL851,1)="9","Celular",IF(AL851="","","Fixo"))</f>
        <v/>
      </c>
      <c r="AN851" s="58" t="str">
        <f aca="false">IF( AM851&lt;&gt;"",VLOOKUP(AM851,Selects!$M$4:$N$1000,2,0),"")</f>
        <v/>
      </c>
      <c r="AO851" s="58"/>
      <c r="AP851" s="59"/>
      <c r="AQ851" s="65"/>
      <c r="AR851" s="58"/>
      <c r="AS851" s="58"/>
      <c r="AT851" s="26"/>
      <c r="AU851" s="58"/>
      <c r="AV851" s="58"/>
      <c r="AW851" s="58"/>
      <c r="AX851" s="58"/>
      <c r="AY851" s="71"/>
      <c r="AZ851" s="58"/>
      <c r="BA851" s="58"/>
      <c r="BB851" s="72" t="str">
        <f aca="false">IF(BA851&lt;&gt;"",VLOOKUP(BA851,Selects!$B$4:$C$100,2,0),"")</f>
        <v/>
      </c>
      <c r="BC851" s="26"/>
      <c r="BD851" s="26"/>
      <c r="BE851" s="73"/>
      <c r="BF851" s="74"/>
      <c r="BG851" s="75" t="str">
        <f aca="false">IF(LEN(BF851)=11,"PF",IF(LEN(BF851)=14,"PJ",""))</f>
        <v/>
      </c>
      <c r="BH851" s="66"/>
      <c r="BI851" s="58" t="str">
        <f aca="false">IF(BH851&lt;&gt;"",VLOOKUP(BH851,Selects!$G:$H,2,0),"")</f>
        <v/>
      </c>
      <c r="BJ851" s="58"/>
      <c r="BK851" s="58"/>
      <c r="BL851" s="59"/>
      <c r="BM851" s="58"/>
      <c r="BN851" s="58"/>
      <c r="BO851" s="58" t="str">
        <f aca="false">IF(BN851&lt;&gt;"",VLOOKUP(BN851,Selects!$J$4:$K$1000,2,0),"")</f>
        <v/>
      </c>
      <c r="BP851" s="76"/>
      <c r="BQ851" s="59"/>
      <c r="BR851" s="77"/>
      <c r="BS851" s="59"/>
      <c r="BT851" s="77"/>
      <c r="BU851" s="58"/>
      <c r="BV851" s="58"/>
      <c r="BW851" s="58"/>
      <c r="BX851" s="58"/>
      <c r="BY851" s="58"/>
      <c r="BZ851" s="58"/>
      <c r="CA851" s="58"/>
      <c r="CB851" s="72" t="str">
        <f aca="false">IF(AC851&lt;&gt;"",VLOOKUP(AC851,Selects!$B:$E,4,0),"")</f>
        <v/>
      </c>
      <c r="CC851" s="58"/>
      <c r="CD851" s="58"/>
      <c r="CE851" s="58"/>
    </row>
    <row r="852" customFormat="false" ht="15.75" hidden="false" customHeight="true" outlineLevel="0" collapsed="false">
      <c r="A852" s="17"/>
      <c r="B852" s="58"/>
      <c r="C852" s="58"/>
      <c r="D852" s="59"/>
      <c r="E852" s="60" t="str">
        <f aca="false">IF(LEN(D852)=11,"PF",IF(LEN(D852)=14,"PJ",""))</f>
        <v/>
      </c>
      <c r="F852" s="59"/>
      <c r="G852" s="59"/>
      <c r="H852" s="61" t="str">
        <f aca="false">IF(G852&lt;&gt;"",VLOOKUP(G852,'Cnae  mcc  id'!$A:$M,9,0),"")</f>
        <v/>
      </c>
      <c r="I852" s="62"/>
      <c r="J852" s="63" t="str">
        <f aca="false">IF(I852&lt;&gt;"",VLOOKUP(I852,'Legal Nature'!$E$2:$G$84,3,0),"")</f>
        <v/>
      </c>
      <c r="K852" s="64"/>
      <c r="L852" s="65"/>
      <c r="M852" s="66"/>
      <c r="N852" s="66"/>
      <c r="O852" s="79"/>
      <c r="P852" s="26"/>
      <c r="Q852" s="58"/>
      <c r="R852" s="58"/>
      <c r="S852" s="80"/>
      <c r="T852" s="68" t="str">
        <f aca="false">IF(LEFT(S852,1)="9","Celular",IF(S852="","","Fixo"))</f>
        <v/>
      </c>
      <c r="U852" s="58" t="str">
        <f aca="false">IF( T852&lt;&gt;"",VLOOKUP(T852,Selects!$M$4:$N$1000,2,0),"")</f>
        <v/>
      </c>
      <c r="V852" s="26"/>
      <c r="W852" s="58"/>
      <c r="X852" s="58"/>
      <c r="Y852" s="58"/>
      <c r="Z852" s="58"/>
      <c r="AA852" s="69"/>
      <c r="AB852" s="58"/>
      <c r="AC852" s="58"/>
      <c r="AD852" s="70" t="str">
        <f aca="false">IF(AC852&lt;&gt;"",VLOOKUP(AC852,Selects!$B$4:$C$100,2,0),"")</f>
        <v/>
      </c>
      <c r="AE852" s="26"/>
      <c r="AF852" s="58"/>
      <c r="AG852" s="59"/>
      <c r="AH852" s="65"/>
      <c r="AI852" s="66"/>
      <c r="AJ852" s="66"/>
      <c r="AK852" s="58"/>
      <c r="AL852" s="58"/>
      <c r="AM852" s="68" t="str">
        <f aca="false">IF(LEFT(AL852,1)="9","Celular",IF(AL852="","","Fixo"))</f>
        <v/>
      </c>
      <c r="AN852" s="58" t="str">
        <f aca="false">IF( AM852&lt;&gt;"",VLOOKUP(AM852,Selects!$M$4:$N$1000,2,0),"")</f>
        <v/>
      </c>
      <c r="AO852" s="58"/>
      <c r="AP852" s="59"/>
      <c r="AQ852" s="65"/>
      <c r="AR852" s="58"/>
      <c r="AS852" s="58"/>
      <c r="AT852" s="26"/>
      <c r="AU852" s="58"/>
      <c r="AV852" s="58"/>
      <c r="AW852" s="58"/>
      <c r="AX852" s="58"/>
      <c r="AY852" s="71"/>
      <c r="AZ852" s="58"/>
      <c r="BA852" s="58"/>
      <c r="BB852" s="72" t="str">
        <f aca="false">IF(BA852&lt;&gt;"",VLOOKUP(BA852,Selects!$B$4:$C$100,2,0),"")</f>
        <v/>
      </c>
      <c r="BC852" s="26"/>
      <c r="BD852" s="26"/>
      <c r="BE852" s="73"/>
      <c r="BF852" s="74"/>
      <c r="BG852" s="75" t="str">
        <f aca="false">IF(LEN(BF852)=11,"PF",IF(LEN(BF852)=14,"PJ",""))</f>
        <v/>
      </c>
      <c r="BH852" s="66"/>
      <c r="BI852" s="58" t="str">
        <f aca="false">IF(BH852&lt;&gt;"",VLOOKUP(BH852,Selects!$G:$H,2,0),"")</f>
        <v/>
      </c>
      <c r="BJ852" s="58"/>
      <c r="BK852" s="58"/>
      <c r="BL852" s="59"/>
      <c r="BM852" s="58"/>
      <c r="BN852" s="58"/>
      <c r="BO852" s="58" t="str">
        <f aca="false">IF(BN852&lt;&gt;"",VLOOKUP(BN852,Selects!$J$4:$K$1000,2,0),"")</f>
        <v/>
      </c>
      <c r="BP852" s="76"/>
      <c r="BQ852" s="59"/>
      <c r="BR852" s="77"/>
      <c r="BS852" s="59"/>
      <c r="BT852" s="77"/>
      <c r="BU852" s="58"/>
      <c r="BV852" s="58"/>
      <c r="BW852" s="58"/>
      <c r="BX852" s="58"/>
      <c r="BY852" s="58"/>
      <c r="BZ852" s="58"/>
      <c r="CA852" s="58"/>
      <c r="CB852" s="72" t="str">
        <f aca="false">IF(AC852&lt;&gt;"",VLOOKUP(AC852,Selects!$B:$E,4,0),"")</f>
        <v/>
      </c>
      <c r="CC852" s="58"/>
      <c r="CD852" s="58"/>
      <c r="CE852" s="58"/>
    </row>
    <row r="853" customFormat="false" ht="15.75" hidden="false" customHeight="true" outlineLevel="0" collapsed="false">
      <c r="A853" s="17"/>
      <c r="B853" s="58"/>
      <c r="C853" s="58"/>
      <c r="D853" s="59"/>
      <c r="E853" s="60" t="str">
        <f aca="false">IF(LEN(D853)=11,"PF",IF(LEN(D853)=14,"PJ",""))</f>
        <v/>
      </c>
      <c r="F853" s="59"/>
      <c r="G853" s="59"/>
      <c r="H853" s="61" t="str">
        <f aca="false">IF(G853&lt;&gt;"",VLOOKUP(G853,'Cnae  mcc  id'!$A:$M,9,0),"")</f>
        <v/>
      </c>
      <c r="I853" s="62"/>
      <c r="J853" s="63" t="str">
        <f aca="false">IF(I853&lt;&gt;"",VLOOKUP(I853,'Legal Nature'!$E$2:$G$84,3,0),"")</f>
        <v/>
      </c>
      <c r="K853" s="64"/>
      <c r="L853" s="65"/>
      <c r="M853" s="66"/>
      <c r="N853" s="66"/>
      <c r="O853" s="79"/>
      <c r="P853" s="26"/>
      <c r="Q853" s="58"/>
      <c r="R853" s="58"/>
      <c r="S853" s="80"/>
      <c r="T853" s="68" t="str">
        <f aca="false">IF(LEFT(S853,1)="9","Celular",IF(S853="","","Fixo"))</f>
        <v/>
      </c>
      <c r="U853" s="58" t="str">
        <f aca="false">IF( T853&lt;&gt;"",VLOOKUP(T853,Selects!$M$4:$N$1000,2,0),"")</f>
        <v/>
      </c>
      <c r="V853" s="26"/>
      <c r="W853" s="58"/>
      <c r="X853" s="58"/>
      <c r="Y853" s="58"/>
      <c r="Z853" s="58"/>
      <c r="AA853" s="69"/>
      <c r="AB853" s="58"/>
      <c r="AC853" s="58"/>
      <c r="AD853" s="70" t="str">
        <f aca="false">IF(AC853&lt;&gt;"",VLOOKUP(AC853,Selects!$B$4:$C$100,2,0),"")</f>
        <v/>
      </c>
      <c r="AE853" s="26"/>
      <c r="AF853" s="58"/>
      <c r="AG853" s="59"/>
      <c r="AH853" s="65"/>
      <c r="AI853" s="66"/>
      <c r="AJ853" s="66"/>
      <c r="AK853" s="58"/>
      <c r="AL853" s="58"/>
      <c r="AM853" s="68" t="str">
        <f aca="false">IF(LEFT(AL853,1)="9","Celular",IF(AL853="","","Fixo"))</f>
        <v/>
      </c>
      <c r="AN853" s="58" t="str">
        <f aca="false">IF( AM853&lt;&gt;"",VLOOKUP(AM853,Selects!$M$4:$N$1000,2,0),"")</f>
        <v/>
      </c>
      <c r="AO853" s="58"/>
      <c r="AP853" s="59"/>
      <c r="AQ853" s="65"/>
      <c r="AR853" s="58"/>
      <c r="AS853" s="58"/>
      <c r="AT853" s="26"/>
      <c r="AU853" s="58"/>
      <c r="AV853" s="58"/>
      <c r="AW853" s="58"/>
      <c r="AX853" s="58"/>
      <c r="AY853" s="71"/>
      <c r="AZ853" s="58"/>
      <c r="BA853" s="58"/>
      <c r="BB853" s="72" t="str">
        <f aca="false">IF(BA853&lt;&gt;"",VLOOKUP(BA853,Selects!$B$4:$C$100,2,0),"")</f>
        <v/>
      </c>
      <c r="BC853" s="26"/>
      <c r="BD853" s="26"/>
      <c r="BE853" s="73"/>
      <c r="BF853" s="74"/>
      <c r="BG853" s="75" t="str">
        <f aca="false">IF(LEN(BF853)=11,"PF",IF(LEN(BF853)=14,"PJ",""))</f>
        <v/>
      </c>
      <c r="BH853" s="66"/>
      <c r="BI853" s="58" t="str">
        <f aca="false">IF(BH853&lt;&gt;"",VLOOKUP(BH853,Selects!$G:$H,2,0),"")</f>
        <v/>
      </c>
      <c r="BJ853" s="58"/>
      <c r="BK853" s="58"/>
      <c r="BL853" s="59"/>
      <c r="BM853" s="58"/>
      <c r="BN853" s="58"/>
      <c r="BO853" s="58" t="str">
        <f aca="false">IF(BN853&lt;&gt;"",VLOOKUP(BN853,Selects!$J$4:$K$1000,2,0),"")</f>
        <v/>
      </c>
      <c r="BP853" s="76"/>
      <c r="BQ853" s="59"/>
      <c r="BR853" s="77"/>
      <c r="BS853" s="59"/>
      <c r="BT853" s="77"/>
      <c r="BU853" s="58"/>
      <c r="BV853" s="58"/>
      <c r="BW853" s="58"/>
      <c r="BX853" s="58"/>
      <c r="BY853" s="58"/>
      <c r="BZ853" s="58"/>
      <c r="CA853" s="58"/>
      <c r="CB853" s="72" t="str">
        <f aca="false">IF(AC853&lt;&gt;"",VLOOKUP(AC853,Selects!$B:$E,4,0),"")</f>
        <v/>
      </c>
      <c r="CC853" s="58"/>
      <c r="CD853" s="58"/>
      <c r="CE853" s="58"/>
    </row>
    <row r="854" customFormat="false" ht="15.75" hidden="false" customHeight="true" outlineLevel="0" collapsed="false">
      <c r="A854" s="17"/>
      <c r="B854" s="58"/>
      <c r="C854" s="58"/>
      <c r="D854" s="59"/>
      <c r="E854" s="60" t="str">
        <f aca="false">IF(LEN(D854)=11,"PF",IF(LEN(D854)=14,"PJ",""))</f>
        <v/>
      </c>
      <c r="F854" s="59"/>
      <c r="G854" s="59"/>
      <c r="H854" s="61" t="str">
        <f aca="false">IF(G854&lt;&gt;"",VLOOKUP(G854,'Cnae  mcc  id'!$A:$M,9,0),"")</f>
        <v/>
      </c>
      <c r="I854" s="62"/>
      <c r="J854" s="63" t="str">
        <f aca="false">IF(I854&lt;&gt;"",VLOOKUP(I854,'Legal Nature'!$E$2:$G$84,3,0),"")</f>
        <v/>
      </c>
      <c r="K854" s="64"/>
      <c r="L854" s="65"/>
      <c r="M854" s="66"/>
      <c r="N854" s="66"/>
      <c r="O854" s="79"/>
      <c r="P854" s="26"/>
      <c r="Q854" s="58"/>
      <c r="R854" s="58"/>
      <c r="S854" s="80"/>
      <c r="T854" s="68" t="str">
        <f aca="false">IF(LEFT(S854,1)="9","Celular",IF(S854="","","Fixo"))</f>
        <v/>
      </c>
      <c r="U854" s="58" t="str">
        <f aca="false">IF( T854&lt;&gt;"",VLOOKUP(T854,Selects!$M$4:$N$1000,2,0),"")</f>
        <v/>
      </c>
      <c r="V854" s="26"/>
      <c r="W854" s="58"/>
      <c r="X854" s="58"/>
      <c r="Y854" s="58"/>
      <c r="Z854" s="58"/>
      <c r="AA854" s="69"/>
      <c r="AB854" s="58"/>
      <c r="AC854" s="58"/>
      <c r="AD854" s="70" t="str">
        <f aca="false">IF(AC854&lt;&gt;"",VLOOKUP(AC854,Selects!$B$4:$C$100,2,0),"")</f>
        <v/>
      </c>
      <c r="AE854" s="26"/>
      <c r="AF854" s="58"/>
      <c r="AG854" s="59"/>
      <c r="AH854" s="65"/>
      <c r="AI854" s="66"/>
      <c r="AJ854" s="66"/>
      <c r="AK854" s="58"/>
      <c r="AL854" s="58"/>
      <c r="AM854" s="68" t="str">
        <f aca="false">IF(LEFT(AL854,1)="9","Celular",IF(AL854="","","Fixo"))</f>
        <v/>
      </c>
      <c r="AN854" s="58" t="str">
        <f aca="false">IF( AM854&lt;&gt;"",VLOOKUP(AM854,Selects!$M$4:$N$1000,2,0),"")</f>
        <v/>
      </c>
      <c r="AO854" s="58"/>
      <c r="AP854" s="59"/>
      <c r="AQ854" s="65"/>
      <c r="AR854" s="58"/>
      <c r="AS854" s="58"/>
      <c r="AT854" s="26"/>
      <c r="AU854" s="58"/>
      <c r="AV854" s="58"/>
      <c r="AW854" s="58"/>
      <c r="AX854" s="58"/>
      <c r="AY854" s="71"/>
      <c r="AZ854" s="58"/>
      <c r="BA854" s="58"/>
      <c r="BB854" s="72" t="str">
        <f aca="false">IF(BA854&lt;&gt;"",VLOOKUP(BA854,Selects!$B$4:$C$100,2,0),"")</f>
        <v/>
      </c>
      <c r="BC854" s="26"/>
      <c r="BD854" s="26"/>
      <c r="BE854" s="73"/>
      <c r="BF854" s="74"/>
      <c r="BG854" s="75" t="str">
        <f aca="false">IF(LEN(BF854)=11,"PF",IF(LEN(BF854)=14,"PJ",""))</f>
        <v/>
      </c>
      <c r="BH854" s="66"/>
      <c r="BI854" s="58" t="str">
        <f aca="false">IF(BH854&lt;&gt;"",VLOOKUP(BH854,Selects!$G:$H,2,0),"")</f>
        <v/>
      </c>
      <c r="BJ854" s="58"/>
      <c r="BK854" s="58"/>
      <c r="BL854" s="59"/>
      <c r="BM854" s="58"/>
      <c r="BN854" s="58"/>
      <c r="BO854" s="58" t="str">
        <f aca="false">IF(BN854&lt;&gt;"",VLOOKUP(BN854,Selects!$J$4:$K$1000,2,0),"")</f>
        <v/>
      </c>
      <c r="BP854" s="76"/>
      <c r="BQ854" s="59"/>
      <c r="BR854" s="77"/>
      <c r="BS854" s="59"/>
      <c r="BT854" s="77"/>
      <c r="BU854" s="58"/>
      <c r="BV854" s="58"/>
      <c r="BW854" s="58"/>
      <c r="BX854" s="58"/>
      <c r="BY854" s="58"/>
      <c r="BZ854" s="58"/>
      <c r="CA854" s="58"/>
      <c r="CB854" s="72" t="str">
        <f aca="false">IF(AC854&lt;&gt;"",VLOOKUP(AC854,Selects!$B:$E,4,0),"")</f>
        <v/>
      </c>
      <c r="CC854" s="58"/>
      <c r="CD854" s="58"/>
      <c r="CE854" s="58"/>
    </row>
    <row r="855" customFormat="false" ht="15.75" hidden="false" customHeight="true" outlineLevel="0" collapsed="false">
      <c r="A855" s="17"/>
      <c r="B855" s="58"/>
      <c r="C855" s="58"/>
      <c r="D855" s="59"/>
      <c r="E855" s="60" t="str">
        <f aca="false">IF(LEN(D855)=11,"PF",IF(LEN(D855)=14,"PJ",""))</f>
        <v/>
      </c>
      <c r="F855" s="59"/>
      <c r="G855" s="59"/>
      <c r="H855" s="61" t="str">
        <f aca="false">IF(G855&lt;&gt;"",VLOOKUP(G855,'Cnae  mcc  id'!$A:$M,9,0),"")</f>
        <v/>
      </c>
      <c r="I855" s="62"/>
      <c r="J855" s="63" t="str">
        <f aca="false">IF(I855&lt;&gt;"",VLOOKUP(I855,'Legal Nature'!$E$2:$G$84,3,0),"")</f>
        <v/>
      </c>
      <c r="K855" s="64"/>
      <c r="L855" s="65"/>
      <c r="M855" s="66"/>
      <c r="N855" s="66"/>
      <c r="O855" s="79"/>
      <c r="P855" s="26"/>
      <c r="Q855" s="58"/>
      <c r="R855" s="58"/>
      <c r="S855" s="80"/>
      <c r="T855" s="68" t="str">
        <f aca="false">IF(LEFT(S855,1)="9","Celular",IF(S855="","","Fixo"))</f>
        <v/>
      </c>
      <c r="U855" s="58" t="str">
        <f aca="false">IF( T855&lt;&gt;"",VLOOKUP(T855,Selects!$M$4:$N$1000,2,0),"")</f>
        <v/>
      </c>
      <c r="V855" s="26"/>
      <c r="W855" s="58"/>
      <c r="X855" s="58"/>
      <c r="Y855" s="58"/>
      <c r="Z855" s="58"/>
      <c r="AA855" s="69"/>
      <c r="AB855" s="58"/>
      <c r="AC855" s="58"/>
      <c r="AD855" s="70" t="str">
        <f aca="false">IF(AC855&lt;&gt;"",VLOOKUP(AC855,Selects!$B$4:$C$100,2,0),"")</f>
        <v/>
      </c>
      <c r="AE855" s="26"/>
      <c r="AF855" s="58"/>
      <c r="AG855" s="59"/>
      <c r="AH855" s="65"/>
      <c r="AI855" s="66"/>
      <c r="AJ855" s="66"/>
      <c r="AK855" s="58"/>
      <c r="AL855" s="58"/>
      <c r="AM855" s="68" t="str">
        <f aca="false">IF(LEFT(AL855,1)="9","Celular",IF(AL855="","","Fixo"))</f>
        <v/>
      </c>
      <c r="AN855" s="58" t="str">
        <f aca="false">IF( AM855&lt;&gt;"",VLOOKUP(AM855,Selects!$M$4:$N$1000,2,0),"")</f>
        <v/>
      </c>
      <c r="AO855" s="58"/>
      <c r="AP855" s="59"/>
      <c r="AQ855" s="65"/>
      <c r="AR855" s="58"/>
      <c r="AS855" s="58"/>
      <c r="AT855" s="26"/>
      <c r="AU855" s="58"/>
      <c r="AV855" s="58"/>
      <c r="AW855" s="58"/>
      <c r="AX855" s="58"/>
      <c r="AY855" s="71"/>
      <c r="AZ855" s="58"/>
      <c r="BA855" s="58"/>
      <c r="BB855" s="72" t="str">
        <f aca="false">IF(BA855&lt;&gt;"",VLOOKUP(BA855,Selects!$B$4:$C$100,2,0),"")</f>
        <v/>
      </c>
      <c r="BC855" s="26"/>
      <c r="BD855" s="26"/>
      <c r="BE855" s="73"/>
      <c r="BF855" s="74"/>
      <c r="BG855" s="75" t="str">
        <f aca="false">IF(LEN(BF855)=11,"PF",IF(LEN(BF855)=14,"PJ",""))</f>
        <v/>
      </c>
      <c r="BH855" s="66"/>
      <c r="BI855" s="58" t="str">
        <f aca="false">IF(BH855&lt;&gt;"",VLOOKUP(BH855,Selects!$G:$H,2,0),"")</f>
        <v/>
      </c>
      <c r="BJ855" s="58"/>
      <c r="BK855" s="58"/>
      <c r="BL855" s="59"/>
      <c r="BM855" s="58"/>
      <c r="BN855" s="58"/>
      <c r="BO855" s="58" t="str">
        <f aca="false">IF(BN855&lt;&gt;"",VLOOKUP(BN855,Selects!$J$4:$K$1000,2,0),"")</f>
        <v/>
      </c>
      <c r="BP855" s="76"/>
      <c r="BQ855" s="59"/>
      <c r="BR855" s="77"/>
      <c r="BS855" s="59"/>
      <c r="BT855" s="77"/>
      <c r="BU855" s="58"/>
      <c r="BV855" s="58"/>
      <c r="BW855" s="58"/>
      <c r="BX855" s="58"/>
      <c r="BY855" s="58"/>
      <c r="BZ855" s="58"/>
      <c r="CA855" s="58"/>
      <c r="CB855" s="72" t="str">
        <f aca="false">IF(AC855&lt;&gt;"",VLOOKUP(AC855,Selects!$B:$E,4,0),"")</f>
        <v/>
      </c>
      <c r="CC855" s="58"/>
      <c r="CD855" s="58"/>
      <c r="CE855" s="58"/>
    </row>
    <row r="856" customFormat="false" ht="15.75" hidden="false" customHeight="true" outlineLevel="0" collapsed="false">
      <c r="A856" s="17"/>
      <c r="B856" s="58"/>
      <c r="C856" s="58"/>
      <c r="D856" s="59"/>
      <c r="E856" s="60" t="str">
        <f aca="false">IF(LEN(D856)=11,"PF",IF(LEN(D856)=14,"PJ",""))</f>
        <v/>
      </c>
      <c r="F856" s="59"/>
      <c r="G856" s="59"/>
      <c r="H856" s="61" t="str">
        <f aca="false">IF(G856&lt;&gt;"",VLOOKUP(G856,'Cnae  mcc  id'!$A:$M,9,0),"")</f>
        <v/>
      </c>
      <c r="I856" s="62"/>
      <c r="J856" s="63" t="str">
        <f aca="false">IF(I856&lt;&gt;"",VLOOKUP(I856,'Legal Nature'!$E$2:$G$84,3,0),"")</f>
        <v/>
      </c>
      <c r="K856" s="64"/>
      <c r="L856" s="65"/>
      <c r="M856" s="66"/>
      <c r="N856" s="66"/>
      <c r="O856" s="79"/>
      <c r="P856" s="26"/>
      <c r="Q856" s="58"/>
      <c r="R856" s="58"/>
      <c r="S856" s="80"/>
      <c r="T856" s="68" t="str">
        <f aca="false">IF(LEFT(S856,1)="9","Celular",IF(S856="","","Fixo"))</f>
        <v/>
      </c>
      <c r="U856" s="58" t="str">
        <f aca="false">IF( T856&lt;&gt;"",VLOOKUP(T856,Selects!$M$4:$N$1000,2,0),"")</f>
        <v/>
      </c>
      <c r="V856" s="26"/>
      <c r="W856" s="58"/>
      <c r="X856" s="58"/>
      <c r="Y856" s="58"/>
      <c r="Z856" s="58"/>
      <c r="AA856" s="69"/>
      <c r="AB856" s="58"/>
      <c r="AC856" s="58"/>
      <c r="AD856" s="70" t="str">
        <f aca="false">IF(AC856&lt;&gt;"",VLOOKUP(AC856,Selects!$B$4:$C$100,2,0),"")</f>
        <v/>
      </c>
      <c r="AE856" s="26"/>
      <c r="AF856" s="58"/>
      <c r="AG856" s="59"/>
      <c r="AH856" s="65"/>
      <c r="AI856" s="66"/>
      <c r="AJ856" s="66"/>
      <c r="AK856" s="58"/>
      <c r="AL856" s="58"/>
      <c r="AM856" s="68" t="str">
        <f aca="false">IF(LEFT(AL856,1)="9","Celular",IF(AL856="","","Fixo"))</f>
        <v/>
      </c>
      <c r="AN856" s="58" t="str">
        <f aca="false">IF( AM856&lt;&gt;"",VLOOKUP(AM856,Selects!$M$4:$N$1000,2,0),"")</f>
        <v/>
      </c>
      <c r="AO856" s="58"/>
      <c r="AP856" s="59"/>
      <c r="AQ856" s="65"/>
      <c r="AR856" s="58"/>
      <c r="AS856" s="58"/>
      <c r="AT856" s="26"/>
      <c r="AU856" s="58"/>
      <c r="AV856" s="58"/>
      <c r="AW856" s="58"/>
      <c r="AX856" s="58"/>
      <c r="AY856" s="71"/>
      <c r="AZ856" s="58"/>
      <c r="BA856" s="58"/>
      <c r="BB856" s="72" t="str">
        <f aca="false">IF(BA856&lt;&gt;"",VLOOKUP(BA856,Selects!$B$4:$C$100,2,0),"")</f>
        <v/>
      </c>
      <c r="BC856" s="26"/>
      <c r="BD856" s="26"/>
      <c r="BE856" s="73"/>
      <c r="BF856" s="74"/>
      <c r="BG856" s="75" t="str">
        <f aca="false">IF(LEN(BF856)=11,"PF",IF(LEN(BF856)=14,"PJ",""))</f>
        <v/>
      </c>
      <c r="BH856" s="66"/>
      <c r="BI856" s="58" t="str">
        <f aca="false">IF(BH856&lt;&gt;"",VLOOKUP(BH856,Selects!$G:$H,2,0),"")</f>
        <v/>
      </c>
      <c r="BJ856" s="58"/>
      <c r="BK856" s="58"/>
      <c r="BL856" s="59"/>
      <c r="BM856" s="58"/>
      <c r="BN856" s="58"/>
      <c r="BO856" s="58" t="str">
        <f aca="false">IF(BN856&lt;&gt;"",VLOOKUP(BN856,Selects!$J$4:$K$1000,2,0),"")</f>
        <v/>
      </c>
      <c r="BP856" s="76"/>
      <c r="BQ856" s="59"/>
      <c r="BR856" s="77"/>
      <c r="BS856" s="59"/>
      <c r="BT856" s="77"/>
      <c r="BU856" s="58"/>
      <c r="BV856" s="58"/>
      <c r="BW856" s="58"/>
      <c r="BX856" s="58"/>
      <c r="BY856" s="58"/>
      <c r="BZ856" s="58"/>
      <c r="CA856" s="58"/>
      <c r="CB856" s="72" t="str">
        <f aca="false">IF(AC856&lt;&gt;"",VLOOKUP(AC856,Selects!$B:$E,4,0),"")</f>
        <v/>
      </c>
      <c r="CC856" s="58"/>
      <c r="CD856" s="58"/>
      <c r="CE856" s="58"/>
    </row>
    <row r="857" customFormat="false" ht="15.75" hidden="false" customHeight="true" outlineLevel="0" collapsed="false">
      <c r="A857" s="17"/>
      <c r="B857" s="58"/>
      <c r="C857" s="58"/>
      <c r="D857" s="59"/>
      <c r="E857" s="60" t="str">
        <f aca="false">IF(LEN(D857)=11,"PF",IF(LEN(D857)=14,"PJ",""))</f>
        <v/>
      </c>
      <c r="F857" s="59"/>
      <c r="G857" s="59"/>
      <c r="H857" s="61" t="str">
        <f aca="false">IF(G857&lt;&gt;"",VLOOKUP(G857,'Cnae  mcc  id'!$A:$M,9,0),"")</f>
        <v/>
      </c>
      <c r="I857" s="62"/>
      <c r="J857" s="63" t="str">
        <f aca="false">IF(I857&lt;&gt;"",VLOOKUP(I857,'Legal Nature'!$E$2:$G$84,3,0),"")</f>
        <v/>
      </c>
      <c r="K857" s="64"/>
      <c r="L857" s="65"/>
      <c r="M857" s="66"/>
      <c r="N857" s="66"/>
      <c r="O857" s="79"/>
      <c r="P857" s="26"/>
      <c r="Q857" s="58"/>
      <c r="R857" s="58"/>
      <c r="S857" s="80"/>
      <c r="T857" s="68" t="str">
        <f aca="false">IF(LEFT(S857,1)="9","Celular",IF(S857="","","Fixo"))</f>
        <v/>
      </c>
      <c r="U857" s="58" t="str">
        <f aca="false">IF( T857&lt;&gt;"",VLOOKUP(T857,Selects!$M$4:$N$1000,2,0),"")</f>
        <v/>
      </c>
      <c r="V857" s="26"/>
      <c r="W857" s="58"/>
      <c r="X857" s="58"/>
      <c r="Y857" s="58"/>
      <c r="Z857" s="58"/>
      <c r="AA857" s="69"/>
      <c r="AB857" s="58"/>
      <c r="AC857" s="58"/>
      <c r="AD857" s="70" t="str">
        <f aca="false">IF(AC857&lt;&gt;"",VLOOKUP(AC857,Selects!$B$4:$C$100,2,0),"")</f>
        <v/>
      </c>
      <c r="AE857" s="26"/>
      <c r="AF857" s="58"/>
      <c r="AG857" s="59"/>
      <c r="AH857" s="65"/>
      <c r="AI857" s="66"/>
      <c r="AJ857" s="66"/>
      <c r="AK857" s="58"/>
      <c r="AL857" s="58"/>
      <c r="AM857" s="68" t="str">
        <f aca="false">IF(LEFT(AL857,1)="9","Celular",IF(AL857="","","Fixo"))</f>
        <v/>
      </c>
      <c r="AN857" s="58" t="str">
        <f aca="false">IF( AM857&lt;&gt;"",VLOOKUP(AM857,Selects!$M$4:$N$1000,2,0),"")</f>
        <v/>
      </c>
      <c r="AO857" s="58"/>
      <c r="AP857" s="59"/>
      <c r="AQ857" s="65"/>
      <c r="AR857" s="58"/>
      <c r="AS857" s="58"/>
      <c r="AT857" s="26"/>
      <c r="AU857" s="58"/>
      <c r="AV857" s="58"/>
      <c r="AW857" s="58"/>
      <c r="AX857" s="58"/>
      <c r="AY857" s="71"/>
      <c r="AZ857" s="58"/>
      <c r="BA857" s="58"/>
      <c r="BB857" s="72" t="str">
        <f aca="false">IF(BA857&lt;&gt;"",VLOOKUP(BA857,Selects!$B$4:$C$100,2,0),"")</f>
        <v/>
      </c>
      <c r="BC857" s="26"/>
      <c r="BD857" s="26"/>
      <c r="BE857" s="73"/>
      <c r="BF857" s="74"/>
      <c r="BG857" s="75" t="str">
        <f aca="false">IF(LEN(BF857)=11,"PF",IF(LEN(BF857)=14,"PJ",""))</f>
        <v/>
      </c>
      <c r="BH857" s="66"/>
      <c r="BI857" s="58" t="str">
        <f aca="false">IF(BH857&lt;&gt;"",VLOOKUP(BH857,Selects!$G:$H,2,0),"")</f>
        <v/>
      </c>
      <c r="BJ857" s="58"/>
      <c r="BK857" s="58"/>
      <c r="BL857" s="59"/>
      <c r="BM857" s="58"/>
      <c r="BN857" s="58"/>
      <c r="BO857" s="58" t="str">
        <f aca="false">IF(BN857&lt;&gt;"",VLOOKUP(BN857,Selects!$J$4:$K$1000,2,0),"")</f>
        <v/>
      </c>
      <c r="BP857" s="76"/>
      <c r="BQ857" s="59"/>
      <c r="BR857" s="77"/>
      <c r="BS857" s="59"/>
      <c r="BT857" s="77"/>
      <c r="BU857" s="58"/>
      <c r="BV857" s="58"/>
      <c r="BW857" s="58"/>
      <c r="BX857" s="58"/>
      <c r="BY857" s="58"/>
      <c r="BZ857" s="58"/>
      <c r="CA857" s="58"/>
      <c r="CB857" s="72" t="str">
        <f aca="false">IF(AC857&lt;&gt;"",VLOOKUP(AC857,Selects!$B:$E,4,0),"")</f>
        <v/>
      </c>
      <c r="CC857" s="58"/>
      <c r="CD857" s="58"/>
      <c r="CE857" s="58"/>
    </row>
    <row r="858" customFormat="false" ht="15.75" hidden="false" customHeight="true" outlineLevel="0" collapsed="false">
      <c r="A858" s="17"/>
      <c r="B858" s="58"/>
      <c r="C858" s="58"/>
      <c r="D858" s="59"/>
      <c r="E858" s="60" t="str">
        <f aca="false">IF(LEN(D858)=11,"PF",IF(LEN(D858)=14,"PJ",""))</f>
        <v/>
      </c>
      <c r="F858" s="59"/>
      <c r="G858" s="59"/>
      <c r="H858" s="61" t="str">
        <f aca="false">IF(G858&lt;&gt;"",VLOOKUP(G858,'Cnae  mcc  id'!$A:$M,9,0),"")</f>
        <v/>
      </c>
      <c r="I858" s="62"/>
      <c r="J858" s="63" t="str">
        <f aca="false">IF(I858&lt;&gt;"",VLOOKUP(I858,'Legal Nature'!$E$2:$G$84,3,0),"")</f>
        <v/>
      </c>
      <c r="K858" s="64"/>
      <c r="L858" s="65"/>
      <c r="M858" s="66"/>
      <c r="N858" s="66"/>
      <c r="O858" s="79"/>
      <c r="P858" s="26"/>
      <c r="Q858" s="58"/>
      <c r="R858" s="58"/>
      <c r="S858" s="80"/>
      <c r="T858" s="68" t="str">
        <f aca="false">IF(LEFT(S858,1)="9","Celular",IF(S858="","","Fixo"))</f>
        <v/>
      </c>
      <c r="U858" s="58" t="str">
        <f aca="false">IF( T858&lt;&gt;"",VLOOKUP(T858,Selects!$M$4:$N$1000,2,0),"")</f>
        <v/>
      </c>
      <c r="V858" s="26"/>
      <c r="W858" s="58"/>
      <c r="X858" s="58"/>
      <c r="Y858" s="58"/>
      <c r="Z858" s="58"/>
      <c r="AA858" s="69"/>
      <c r="AB858" s="58"/>
      <c r="AC858" s="58"/>
      <c r="AD858" s="70" t="str">
        <f aca="false">IF(AC858&lt;&gt;"",VLOOKUP(AC858,Selects!$B$4:$C$100,2,0),"")</f>
        <v/>
      </c>
      <c r="AE858" s="26"/>
      <c r="AF858" s="58"/>
      <c r="AG858" s="59"/>
      <c r="AH858" s="65"/>
      <c r="AI858" s="66"/>
      <c r="AJ858" s="66"/>
      <c r="AK858" s="58"/>
      <c r="AL858" s="58"/>
      <c r="AM858" s="68" t="str">
        <f aca="false">IF(LEFT(AL858,1)="9","Celular",IF(AL858="","","Fixo"))</f>
        <v/>
      </c>
      <c r="AN858" s="58" t="str">
        <f aca="false">IF( AM858&lt;&gt;"",VLOOKUP(AM858,Selects!$M$4:$N$1000,2,0),"")</f>
        <v/>
      </c>
      <c r="AO858" s="58"/>
      <c r="AP858" s="59"/>
      <c r="AQ858" s="65"/>
      <c r="AR858" s="58"/>
      <c r="AS858" s="58"/>
      <c r="AT858" s="26"/>
      <c r="AU858" s="58"/>
      <c r="AV858" s="58"/>
      <c r="AW858" s="58"/>
      <c r="AX858" s="58"/>
      <c r="AY858" s="71"/>
      <c r="AZ858" s="58"/>
      <c r="BA858" s="58"/>
      <c r="BB858" s="72" t="str">
        <f aca="false">IF(BA858&lt;&gt;"",VLOOKUP(BA858,Selects!$B$4:$C$100,2,0),"")</f>
        <v/>
      </c>
      <c r="BC858" s="26"/>
      <c r="BD858" s="26"/>
      <c r="BE858" s="73"/>
      <c r="BF858" s="74"/>
      <c r="BG858" s="75" t="str">
        <f aca="false">IF(LEN(BF858)=11,"PF",IF(LEN(BF858)=14,"PJ",""))</f>
        <v/>
      </c>
      <c r="BH858" s="66"/>
      <c r="BI858" s="58" t="str">
        <f aca="false">IF(BH858&lt;&gt;"",VLOOKUP(BH858,Selects!$G:$H,2,0),"")</f>
        <v/>
      </c>
      <c r="BJ858" s="58"/>
      <c r="BK858" s="58"/>
      <c r="BL858" s="59"/>
      <c r="BM858" s="58"/>
      <c r="BN858" s="58"/>
      <c r="BO858" s="58" t="str">
        <f aca="false">IF(BN858&lt;&gt;"",VLOOKUP(BN858,Selects!$J$4:$K$1000,2,0),"")</f>
        <v/>
      </c>
      <c r="BP858" s="76"/>
      <c r="BQ858" s="59"/>
      <c r="BR858" s="77"/>
      <c r="BS858" s="59"/>
      <c r="BT858" s="77"/>
      <c r="BU858" s="58"/>
      <c r="BV858" s="58"/>
      <c r="BW858" s="58"/>
      <c r="BX858" s="58"/>
      <c r="BY858" s="58"/>
      <c r="BZ858" s="58"/>
      <c r="CA858" s="58"/>
      <c r="CB858" s="72" t="str">
        <f aca="false">IF(AC858&lt;&gt;"",VLOOKUP(AC858,Selects!$B:$E,4,0),"")</f>
        <v/>
      </c>
      <c r="CC858" s="58"/>
      <c r="CD858" s="58"/>
      <c r="CE858" s="58"/>
    </row>
    <row r="859" customFormat="false" ht="15.75" hidden="false" customHeight="true" outlineLevel="0" collapsed="false">
      <c r="A859" s="17"/>
      <c r="B859" s="58"/>
      <c r="C859" s="58"/>
      <c r="D859" s="59"/>
      <c r="E859" s="60" t="str">
        <f aca="false">IF(LEN(D859)=11,"PF",IF(LEN(D859)=14,"PJ",""))</f>
        <v/>
      </c>
      <c r="F859" s="59"/>
      <c r="G859" s="59"/>
      <c r="H859" s="61" t="str">
        <f aca="false">IF(G859&lt;&gt;"",VLOOKUP(G859,'Cnae  mcc  id'!$A:$M,9,0),"")</f>
        <v/>
      </c>
      <c r="I859" s="62"/>
      <c r="J859" s="63" t="str">
        <f aca="false">IF(I859&lt;&gt;"",VLOOKUP(I859,'Legal Nature'!$E$2:$G$84,3,0),"")</f>
        <v/>
      </c>
      <c r="K859" s="64"/>
      <c r="L859" s="65"/>
      <c r="M859" s="66"/>
      <c r="N859" s="66"/>
      <c r="O859" s="79"/>
      <c r="P859" s="26"/>
      <c r="Q859" s="58"/>
      <c r="R859" s="58"/>
      <c r="S859" s="80"/>
      <c r="T859" s="68" t="str">
        <f aca="false">IF(LEFT(S859,1)="9","Celular",IF(S859="","","Fixo"))</f>
        <v/>
      </c>
      <c r="U859" s="58" t="str">
        <f aca="false">IF( T859&lt;&gt;"",VLOOKUP(T859,Selects!$M$4:$N$1000,2,0),"")</f>
        <v/>
      </c>
      <c r="V859" s="26"/>
      <c r="W859" s="58"/>
      <c r="X859" s="58"/>
      <c r="Y859" s="58"/>
      <c r="Z859" s="58"/>
      <c r="AA859" s="69"/>
      <c r="AB859" s="58"/>
      <c r="AC859" s="58"/>
      <c r="AD859" s="70" t="str">
        <f aca="false">IF(AC859&lt;&gt;"",VLOOKUP(AC859,Selects!$B$4:$C$100,2,0),"")</f>
        <v/>
      </c>
      <c r="AE859" s="26"/>
      <c r="AF859" s="58"/>
      <c r="AG859" s="59"/>
      <c r="AH859" s="65"/>
      <c r="AI859" s="66"/>
      <c r="AJ859" s="66"/>
      <c r="AK859" s="58"/>
      <c r="AL859" s="58"/>
      <c r="AM859" s="68" t="str">
        <f aca="false">IF(LEFT(AL859,1)="9","Celular",IF(AL859="","","Fixo"))</f>
        <v/>
      </c>
      <c r="AN859" s="58" t="str">
        <f aca="false">IF( AM859&lt;&gt;"",VLOOKUP(AM859,Selects!$M$4:$N$1000,2,0),"")</f>
        <v/>
      </c>
      <c r="AO859" s="58"/>
      <c r="AP859" s="59"/>
      <c r="AQ859" s="65"/>
      <c r="AR859" s="58"/>
      <c r="AS859" s="58"/>
      <c r="AT859" s="26"/>
      <c r="AU859" s="58"/>
      <c r="AV859" s="58"/>
      <c r="AW859" s="58"/>
      <c r="AX859" s="58"/>
      <c r="AY859" s="71"/>
      <c r="AZ859" s="58"/>
      <c r="BA859" s="58"/>
      <c r="BB859" s="72" t="str">
        <f aca="false">IF(BA859&lt;&gt;"",VLOOKUP(BA859,Selects!$B$4:$C$100,2,0),"")</f>
        <v/>
      </c>
      <c r="BC859" s="26"/>
      <c r="BD859" s="26"/>
      <c r="BE859" s="73"/>
      <c r="BF859" s="74"/>
      <c r="BG859" s="75" t="str">
        <f aca="false">IF(LEN(BF859)=11,"PF",IF(LEN(BF859)=14,"PJ",""))</f>
        <v/>
      </c>
      <c r="BH859" s="66"/>
      <c r="BI859" s="58" t="str">
        <f aca="false">IF(BH859&lt;&gt;"",VLOOKUP(BH859,Selects!$G:$H,2,0),"")</f>
        <v/>
      </c>
      <c r="BJ859" s="58"/>
      <c r="BK859" s="58"/>
      <c r="BL859" s="59"/>
      <c r="BM859" s="58"/>
      <c r="BN859" s="58"/>
      <c r="BO859" s="58" t="str">
        <f aca="false">IF(BN859&lt;&gt;"",VLOOKUP(BN859,Selects!$J$4:$K$1000,2,0),"")</f>
        <v/>
      </c>
      <c r="BP859" s="76"/>
      <c r="BQ859" s="59"/>
      <c r="BR859" s="77"/>
      <c r="BS859" s="59"/>
      <c r="BT859" s="77"/>
      <c r="BU859" s="58"/>
      <c r="BV859" s="58"/>
      <c r="BW859" s="58"/>
      <c r="BX859" s="58"/>
      <c r="BY859" s="58"/>
      <c r="BZ859" s="58"/>
      <c r="CA859" s="58"/>
      <c r="CB859" s="72" t="str">
        <f aca="false">IF(AC859&lt;&gt;"",VLOOKUP(AC859,Selects!$B:$E,4,0),"")</f>
        <v/>
      </c>
      <c r="CC859" s="58"/>
      <c r="CD859" s="58"/>
      <c r="CE859" s="58"/>
    </row>
    <row r="860" customFormat="false" ht="15.75" hidden="false" customHeight="true" outlineLevel="0" collapsed="false">
      <c r="A860" s="17"/>
      <c r="B860" s="58"/>
      <c r="C860" s="58"/>
      <c r="D860" s="59"/>
      <c r="E860" s="60" t="str">
        <f aca="false">IF(LEN(D860)=11,"PF",IF(LEN(D860)=14,"PJ",""))</f>
        <v/>
      </c>
      <c r="F860" s="59"/>
      <c r="G860" s="59"/>
      <c r="H860" s="61" t="str">
        <f aca="false">IF(G860&lt;&gt;"",VLOOKUP(G860,'Cnae  mcc  id'!$A:$M,9,0),"")</f>
        <v/>
      </c>
      <c r="I860" s="62"/>
      <c r="J860" s="63" t="str">
        <f aca="false">IF(I860&lt;&gt;"",VLOOKUP(I860,'Legal Nature'!$E$2:$G$84,3,0),"")</f>
        <v/>
      </c>
      <c r="K860" s="64"/>
      <c r="L860" s="65"/>
      <c r="M860" s="66"/>
      <c r="N860" s="66"/>
      <c r="O860" s="79"/>
      <c r="P860" s="26"/>
      <c r="Q860" s="58"/>
      <c r="R860" s="58"/>
      <c r="S860" s="80"/>
      <c r="T860" s="68" t="str">
        <f aca="false">IF(LEFT(S860,1)="9","Celular",IF(S860="","","Fixo"))</f>
        <v/>
      </c>
      <c r="U860" s="58" t="str">
        <f aca="false">IF( T860&lt;&gt;"",VLOOKUP(T860,Selects!$M$4:$N$1000,2,0),"")</f>
        <v/>
      </c>
      <c r="V860" s="26"/>
      <c r="W860" s="58"/>
      <c r="X860" s="58"/>
      <c r="Y860" s="58"/>
      <c r="Z860" s="58"/>
      <c r="AA860" s="69"/>
      <c r="AB860" s="58"/>
      <c r="AC860" s="58"/>
      <c r="AD860" s="70" t="str">
        <f aca="false">IF(AC860&lt;&gt;"",VLOOKUP(AC860,Selects!$B$4:$C$100,2,0),"")</f>
        <v/>
      </c>
      <c r="AE860" s="26"/>
      <c r="AF860" s="58"/>
      <c r="AG860" s="59"/>
      <c r="AH860" s="65"/>
      <c r="AI860" s="66"/>
      <c r="AJ860" s="66"/>
      <c r="AK860" s="58"/>
      <c r="AL860" s="58"/>
      <c r="AM860" s="68" t="str">
        <f aca="false">IF(LEFT(AL860,1)="9","Celular",IF(AL860="","","Fixo"))</f>
        <v/>
      </c>
      <c r="AN860" s="58" t="str">
        <f aca="false">IF( AM860&lt;&gt;"",VLOOKUP(AM860,Selects!$M$4:$N$1000,2,0),"")</f>
        <v/>
      </c>
      <c r="AO860" s="58"/>
      <c r="AP860" s="59"/>
      <c r="AQ860" s="65"/>
      <c r="AR860" s="58"/>
      <c r="AS860" s="58"/>
      <c r="AT860" s="26"/>
      <c r="AU860" s="58"/>
      <c r="AV860" s="58"/>
      <c r="AW860" s="58"/>
      <c r="AX860" s="58"/>
      <c r="AY860" s="71"/>
      <c r="AZ860" s="58"/>
      <c r="BA860" s="58"/>
      <c r="BB860" s="72" t="str">
        <f aca="false">IF(BA860&lt;&gt;"",VLOOKUP(BA860,Selects!$B$4:$C$100,2,0),"")</f>
        <v/>
      </c>
      <c r="BC860" s="26"/>
      <c r="BD860" s="26"/>
      <c r="BE860" s="73"/>
      <c r="BF860" s="74"/>
      <c r="BG860" s="75" t="str">
        <f aca="false">IF(LEN(BF860)=11,"PF",IF(LEN(BF860)=14,"PJ",""))</f>
        <v/>
      </c>
      <c r="BH860" s="66"/>
      <c r="BI860" s="58" t="str">
        <f aca="false">IF(BH860&lt;&gt;"",VLOOKUP(BH860,Selects!$G:$H,2,0),"")</f>
        <v/>
      </c>
      <c r="BJ860" s="58"/>
      <c r="BK860" s="58"/>
      <c r="BL860" s="59"/>
      <c r="BM860" s="58"/>
      <c r="BN860" s="58"/>
      <c r="BO860" s="58" t="str">
        <f aca="false">IF(BN860&lt;&gt;"",VLOOKUP(BN860,Selects!$J$4:$K$1000,2,0),"")</f>
        <v/>
      </c>
      <c r="BP860" s="76"/>
      <c r="BQ860" s="59"/>
      <c r="BR860" s="77"/>
      <c r="BS860" s="59"/>
      <c r="BT860" s="77"/>
      <c r="BU860" s="58"/>
      <c r="BV860" s="58"/>
      <c r="BW860" s="58"/>
      <c r="BX860" s="58"/>
      <c r="BY860" s="58"/>
      <c r="BZ860" s="58"/>
      <c r="CA860" s="58"/>
      <c r="CB860" s="72" t="str">
        <f aca="false">IF(AC860&lt;&gt;"",VLOOKUP(AC860,Selects!$B:$E,4,0),"")</f>
        <v/>
      </c>
      <c r="CC860" s="58"/>
      <c r="CD860" s="58"/>
      <c r="CE860" s="58"/>
    </row>
    <row r="861" customFormat="false" ht="15.75" hidden="false" customHeight="true" outlineLevel="0" collapsed="false">
      <c r="A861" s="17"/>
      <c r="B861" s="58"/>
      <c r="C861" s="58"/>
      <c r="D861" s="59"/>
      <c r="E861" s="60" t="str">
        <f aca="false">IF(LEN(D861)=11,"PF",IF(LEN(D861)=14,"PJ",""))</f>
        <v/>
      </c>
      <c r="F861" s="59"/>
      <c r="G861" s="59"/>
      <c r="H861" s="61" t="str">
        <f aca="false">IF(G861&lt;&gt;"",VLOOKUP(G861,'Cnae  mcc  id'!$A:$M,9,0),"")</f>
        <v/>
      </c>
      <c r="I861" s="62"/>
      <c r="J861" s="63" t="str">
        <f aca="false">IF(I861&lt;&gt;"",VLOOKUP(I861,'Legal Nature'!$E$2:$G$84,3,0),"")</f>
        <v/>
      </c>
      <c r="K861" s="64"/>
      <c r="L861" s="65"/>
      <c r="M861" s="66"/>
      <c r="N861" s="66"/>
      <c r="O861" s="79"/>
      <c r="P861" s="26"/>
      <c r="Q861" s="58"/>
      <c r="R861" s="58"/>
      <c r="S861" s="80"/>
      <c r="T861" s="68" t="str">
        <f aca="false">IF(LEFT(S861,1)="9","Celular",IF(S861="","","Fixo"))</f>
        <v/>
      </c>
      <c r="U861" s="58" t="str">
        <f aca="false">IF( T861&lt;&gt;"",VLOOKUP(T861,Selects!$M$4:$N$1000,2,0),"")</f>
        <v/>
      </c>
      <c r="V861" s="26"/>
      <c r="W861" s="58"/>
      <c r="X861" s="58"/>
      <c r="Y861" s="58"/>
      <c r="Z861" s="58"/>
      <c r="AA861" s="69"/>
      <c r="AB861" s="58"/>
      <c r="AC861" s="58"/>
      <c r="AD861" s="70" t="str">
        <f aca="false">IF(AC861&lt;&gt;"",VLOOKUP(AC861,Selects!$B$4:$C$100,2,0),"")</f>
        <v/>
      </c>
      <c r="AE861" s="26"/>
      <c r="AF861" s="58"/>
      <c r="AG861" s="59"/>
      <c r="AH861" s="65"/>
      <c r="AI861" s="66"/>
      <c r="AJ861" s="66"/>
      <c r="AK861" s="58"/>
      <c r="AL861" s="58"/>
      <c r="AM861" s="68" t="str">
        <f aca="false">IF(LEFT(AL861,1)="9","Celular",IF(AL861="","","Fixo"))</f>
        <v/>
      </c>
      <c r="AN861" s="58" t="str">
        <f aca="false">IF( AM861&lt;&gt;"",VLOOKUP(AM861,Selects!$M$4:$N$1000,2,0),"")</f>
        <v/>
      </c>
      <c r="AO861" s="58"/>
      <c r="AP861" s="59"/>
      <c r="AQ861" s="65"/>
      <c r="AR861" s="58"/>
      <c r="AS861" s="58"/>
      <c r="AT861" s="26"/>
      <c r="AU861" s="58"/>
      <c r="AV861" s="58"/>
      <c r="AW861" s="58"/>
      <c r="AX861" s="58"/>
      <c r="AY861" s="71"/>
      <c r="AZ861" s="58"/>
      <c r="BA861" s="58"/>
      <c r="BB861" s="72" t="str">
        <f aca="false">IF(BA861&lt;&gt;"",VLOOKUP(BA861,Selects!$B$4:$C$100,2,0),"")</f>
        <v/>
      </c>
      <c r="BC861" s="26"/>
      <c r="BD861" s="26"/>
      <c r="BE861" s="73"/>
      <c r="BF861" s="74"/>
      <c r="BG861" s="75" t="str">
        <f aca="false">IF(LEN(BF861)=11,"PF",IF(LEN(BF861)=14,"PJ",""))</f>
        <v/>
      </c>
      <c r="BH861" s="66"/>
      <c r="BI861" s="58" t="str">
        <f aca="false">IF(BH861&lt;&gt;"",VLOOKUP(BH861,Selects!$G:$H,2,0),"")</f>
        <v/>
      </c>
      <c r="BJ861" s="58"/>
      <c r="BK861" s="58"/>
      <c r="BL861" s="59"/>
      <c r="BM861" s="58"/>
      <c r="BN861" s="58"/>
      <c r="BO861" s="58" t="str">
        <f aca="false">IF(BN861&lt;&gt;"",VLOOKUP(BN861,Selects!$J$4:$K$1000,2,0),"")</f>
        <v/>
      </c>
      <c r="BP861" s="76"/>
      <c r="BQ861" s="59"/>
      <c r="BR861" s="77"/>
      <c r="BS861" s="59"/>
      <c r="BT861" s="77"/>
      <c r="BU861" s="58"/>
      <c r="BV861" s="58"/>
      <c r="BW861" s="58"/>
      <c r="BX861" s="58"/>
      <c r="BY861" s="58"/>
      <c r="BZ861" s="58"/>
      <c r="CA861" s="58"/>
      <c r="CB861" s="72" t="str">
        <f aca="false">IF(AC861&lt;&gt;"",VLOOKUP(AC861,Selects!$B:$E,4,0),"")</f>
        <v/>
      </c>
      <c r="CC861" s="58"/>
      <c r="CD861" s="58"/>
      <c r="CE861" s="58"/>
    </row>
    <row r="862" customFormat="false" ht="15.75" hidden="false" customHeight="true" outlineLevel="0" collapsed="false">
      <c r="A862" s="17"/>
      <c r="B862" s="58"/>
      <c r="C862" s="58"/>
      <c r="D862" s="59"/>
      <c r="E862" s="60" t="str">
        <f aca="false">IF(LEN(D862)=11,"PF",IF(LEN(D862)=14,"PJ",""))</f>
        <v/>
      </c>
      <c r="F862" s="59"/>
      <c r="G862" s="59"/>
      <c r="H862" s="61" t="str">
        <f aca="false">IF(G862&lt;&gt;"",VLOOKUP(G862,'Cnae  mcc  id'!$A:$M,9,0),"")</f>
        <v/>
      </c>
      <c r="I862" s="62"/>
      <c r="J862" s="63" t="str">
        <f aca="false">IF(I862&lt;&gt;"",VLOOKUP(I862,'Legal Nature'!$E$2:$G$84,3,0),"")</f>
        <v/>
      </c>
      <c r="K862" s="64"/>
      <c r="L862" s="65"/>
      <c r="M862" s="66"/>
      <c r="N862" s="66"/>
      <c r="O862" s="79"/>
      <c r="P862" s="26"/>
      <c r="Q862" s="58"/>
      <c r="R862" s="58"/>
      <c r="S862" s="80"/>
      <c r="T862" s="68" t="str">
        <f aca="false">IF(LEFT(S862,1)="9","Celular",IF(S862="","","Fixo"))</f>
        <v/>
      </c>
      <c r="U862" s="58" t="str">
        <f aca="false">IF( T862&lt;&gt;"",VLOOKUP(T862,Selects!$M$4:$N$1000,2,0),"")</f>
        <v/>
      </c>
      <c r="V862" s="26"/>
      <c r="W862" s="58"/>
      <c r="X862" s="58"/>
      <c r="Y862" s="58"/>
      <c r="Z862" s="58"/>
      <c r="AA862" s="69"/>
      <c r="AB862" s="58"/>
      <c r="AC862" s="58"/>
      <c r="AD862" s="70" t="str">
        <f aca="false">IF(AC862&lt;&gt;"",VLOOKUP(AC862,Selects!$B$4:$C$100,2,0),"")</f>
        <v/>
      </c>
      <c r="AE862" s="26"/>
      <c r="AF862" s="58"/>
      <c r="AG862" s="59"/>
      <c r="AH862" s="65"/>
      <c r="AI862" s="66"/>
      <c r="AJ862" s="66"/>
      <c r="AK862" s="58"/>
      <c r="AL862" s="58"/>
      <c r="AM862" s="68" t="str">
        <f aca="false">IF(LEFT(AL862,1)="9","Celular",IF(AL862="","","Fixo"))</f>
        <v/>
      </c>
      <c r="AN862" s="58" t="str">
        <f aca="false">IF( AM862&lt;&gt;"",VLOOKUP(AM862,Selects!$M$4:$N$1000,2,0),"")</f>
        <v/>
      </c>
      <c r="AO862" s="58"/>
      <c r="AP862" s="59"/>
      <c r="AQ862" s="65"/>
      <c r="AR862" s="58"/>
      <c r="AS862" s="58"/>
      <c r="AT862" s="26"/>
      <c r="AU862" s="58"/>
      <c r="AV862" s="58"/>
      <c r="AW862" s="58"/>
      <c r="AX862" s="58"/>
      <c r="AY862" s="71"/>
      <c r="AZ862" s="58"/>
      <c r="BA862" s="58"/>
      <c r="BB862" s="72" t="str">
        <f aca="false">IF(BA862&lt;&gt;"",VLOOKUP(BA862,Selects!$B$4:$C$100,2,0),"")</f>
        <v/>
      </c>
      <c r="BC862" s="26"/>
      <c r="BD862" s="26"/>
      <c r="BE862" s="73"/>
      <c r="BF862" s="74"/>
      <c r="BG862" s="75" t="str">
        <f aca="false">IF(LEN(BF862)=11,"PF",IF(LEN(BF862)=14,"PJ",""))</f>
        <v/>
      </c>
      <c r="BH862" s="66"/>
      <c r="BI862" s="58" t="str">
        <f aca="false">IF(BH862&lt;&gt;"",VLOOKUP(BH862,Selects!$G:$H,2,0),"")</f>
        <v/>
      </c>
      <c r="BJ862" s="58"/>
      <c r="BK862" s="58"/>
      <c r="BL862" s="59"/>
      <c r="BM862" s="58"/>
      <c r="BN862" s="58"/>
      <c r="BO862" s="58" t="str">
        <f aca="false">IF(BN862&lt;&gt;"",VLOOKUP(BN862,Selects!$J$4:$K$1000,2,0),"")</f>
        <v/>
      </c>
      <c r="BP862" s="76"/>
      <c r="BQ862" s="59"/>
      <c r="BR862" s="77"/>
      <c r="BS862" s="59"/>
      <c r="BT862" s="77"/>
      <c r="BU862" s="58"/>
      <c r="BV862" s="58"/>
      <c r="BW862" s="58"/>
      <c r="BX862" s="58"/>
      <c r="BY862" s="58"/>
      <c r="BZ862" s="58"/>
      <c r="CA862" s="58"/>
      <c r="CB862" s="72" t="str">
        <f aca="false">IF(AC862&lt;&gt;"",VLOOKUP(AC862,Selects!$B:$E,4,0),"")</f>
        <v/>
      </c>
      <c r="CC862" s="58"/>
      <c r="CD862" s="58"/>
      <c r="CE862" s="58"/>
    </row>
    <row r="863" customFormat="false" ht="15.75" hidden="false" customHeight="true" outlineLevel="0" collapsed="false">
      <c r="A863" s="17"/>
      <c r="B863" s="58"/>
      <c r="C863" s="58"/>
      <c r="D863" s="59"/>
      <c r="E863" s="60" t="str">
        <f aca="false">IF(LEN(D863)=11,"PF",IF(LEN(D863)=14,"PJ",""))</f>
        <v/>
      </c>
      <c r="F863" s="59"/>
      <c r="G863" s="59"/>
      <c r="H863" s="61" t="str">
        <f aca="false">IF(G863&lt;&gt;"",VLOOKUP(G863,'Cnae  mcc  id'!$A:$M,9,0),"")</f>
        <v/>
      </c>
      <c r="I863" s="62"/>
      <c r="J863" s="63" t="str">
        <f aca="false">IF(I863&lt;&gt;"",VLOOKUP(I863,'Legal Nature'!$E$2:$G$84,3,0),"")</f>
        <v/>
      </c>
      <c r="K863" s="64"/>
      <c r="L863" s="65"/>
      <c r="M863" s="66"/>
      <c r="N863" s="66"/>
      <c r="O863" s="79"/>
      <c r="P863" s="26"/>
      <c r="Q863" s="58"/>
      <c r="R863" s="58"/>
      <c r="S863" s="80"/>
      <c r="T863" s="68" t="str">
        <f aca="false">IF(LEFT(S863,1)="9","Celular",IF(S863="","","Fixo"))</f>
        <v/>
      </c>
      <c r="U863" s="58" t="str">
        <f aca="false">IF( T863&lt;&gt;"",VLOOKUP(T863,Selects!$M$4:$N$1000,2,0),"")</f>
        <v/>
      </c>
      <c r="V863" s="26"/>
      <c r="W863" s="58"/>
      <c r="X863" s="58"/>
      <c r="Y863" s="58"/>
      <c r="Z863" s="58"/>
      <c r="AA863" s="69"/>
      <c r="AB863" s="58"/>
      <c r="AC863" s="58"/>
      <c r="AD863" s="70" t="str">
        <f aca="false">IF(AC863&lt;&gt;"",VLOOKUP(AC863,Selects!$B$4:$C$100,2,0),"")</f>
        <v/>
      </c>
      <c r="AE863" s="26"/>
      <c r="AF863" s="58"/>
      <c r="AG863" s="59"/>
      <c r="AH863" s="65"/>
      <c r="AI863" s="66"/>
      <c r="AJ863" s="66"/>
      <c r="AK863" s="58"/>
      <c r="AL863" s="58"/>
      <c r="AM863" s="68" t="str">
        <f aca="false">IF(LEFT(AL863,1)="9","Celular",IF(AL863="","","Fixo"))</f>
        <v/>
      </c>
      <c r="AN863" s="58" t="str">
        <f aca="false">IF( AM863&lt;&gt;"",VLOOKUP(AM863,Selects!$M$4:$N$1000,2,0),"")</f>
        <v/>
      </c>
      <c r="AO863" s="58"/>
      <c r="AP863" s="59"/>
      <c r="AQ863" s="65"/>
      <c r="AR863" s="58"/>
      <c r="AS863" s="58"/>
      <c r="AT863" s="26"/>
      <c r="AU863" s="58"/>
      <c r="AV863" s="58"/>
      <c r="AW863" s="58"/>
      <c r="AX863" s="58"/>
      <c r="AY863" s="71"/>
      <c r="AZ863" s="58"/>
      <c r="BA863" s="58"/>
      <c r="BB863" s="72" t="str">
        <f aca="false">IF(BA863&lt;&gt;"",VLOOKUP(BA863,Selects!$B$4:$C$100,2,0),"")</f>
        <v/>
      </c>
      <c r="BC863" s="26"/>
      <c r="BD863" s="26"/>
      <c r="BE863" s="73"/>
      <c r="BF863" s="74"/>
      <c r="BG863" s="75" t="str">
        <f aca="false">IF(LEN(BF863)=11,"PF",IF(LEN(BF863)=14,"PJ",""))</f>
        <v/>
      </c>
      <c r="BH863" s="66"/>
      <c r="BI863" s="58" t="str">
        <f aca="false">IF(BH863&lt;&gt;"",VLOOKUP(BH863,Selects!$G:$H,2,0),"")</f>
        <v/>
      </c>
      <c r="BJ863" s="58"/>
      <c r="BK863" s="58"/>
      <c r="BL863" s="59"/>
      <c r="BM863" s="58"/>
      <c r="BN863" s="58"/>
      <c r="BO863" s="58" t="str">
        <f aca="false">IF(BN863&lt;&gt;"",VLOOKUP(BN863,Selects!$J$4:$K$1000,2,0),"")</f>
        <v/>
      </c>
      <c r="BP863" s="76"/>
      <c r="BQ863" s="59"/>
      <c r="BR863" s="77"/>
      <c r="BS863" s="59"/>
      <c r="BT863" s="77"/>
      <c r="BU863" s="58"/>
      <c r="BV863" s="58"/>
      <c r="BW863" s="58"/>
      <c r="BX863" s="58"/>
      <c r="BY863" s="58"/>
      <c r="BZ863" s="58"/>
      <c r="CA863" s="58"/>
      <c r="CB863" s="72" t="str">
        <f aca="false">IF(AC863&lt;&gt;"",VLOOKUP(AC863,Selects!$B:$E,4,0),"")</f>
        <v/>
      </c>
      <c r="CC863" s="58"/>
      <c r="CD863" s="58"/>
      <c r="CE863" s="58"/>
    </row>
    <row r="864" customFormat="false" ht="15.75" hidden="false" customHeight="true" outlineLevel="0" collapsed="false">
      <c r="A864" s="17"/>
      <c r="B864" s="58"/>
      <c r="C864" s="58"/>
      <c r="D864" s="59"/>
      <c r="E864" s="60" t="str">
        <f aca="false">IF(LEN(D864)=11,"PF",IF(LEN(D864)=14,"PJ",""))</f>
        <v/>
      </c>
      <c r="F864" s="59"/>
      <c r="G864" s="59"/>
      <c r="H864" s="61" t="str">
        <f aca="false">IF(G864&lt;&gt;"",VLOOKUP(G864,'Cnae  mcc  id'!$A:$M,9,0),"")</f>
        <v/>
      </c>
      <c r="I864" s="62"/>
      <c r="J864" s="63" t="str">
        <f aca="false">IF(I864&lt;&gt;"",VLOOKUP(I864,'Legal Nature'!$E$2:$G$84,3,0),"")</f>
        <v/>
      </c>
      <c r="K864" s="64"/>
      <c r="L864" s="65"/>
      <c r="M864" s="66"/>
      <c r="N864" s="66"/>
      <c r="O864" s="79"/>
      <c r="P864" s="26"/>
      <c r="Q864" s="58"/>
      <c r="R864" s="58"/>
      <c r="S864" s="80"/>
      <c r="T864" s="68" t="str">
        <f aca="false">IF(LEFT(S864,1)="9","Celular",IF(S864="","","Fixo"))</f>
        <v/>
      </c>
      <c r="U864" s="58" t="str">
        <f aca="false">IF( T864&lt;&gt;"",VLOOKUP(T864,Selects!$M$4:$N$1000,2,0),"")</f>
        <v/>
      </c>
      <c r="V864" s="26"/>
      <c r="W864" s="58"/>
      <c r="X864" s="58"/>
      <c r="Y864" s="58"/>
      <c r="Z864" s="58"/>
      <c r="AA864" s="69"/>
      <c r="AB864" s="58"/>
      <c r="AC864" s="58"/>
      <c r="AD864" s="70" t="str">
        <f aca="false">IF(AC864&lt;&gt;"",VLOOKUP(AC864,Selects!$B$4:$C$100,2,0),"")</f>
        <v/>
      </c>
      <c r="AE864" s="26"/>
      <c r="AF864" s="58"/>
      <c r="AG864" s="59"/>
      <c r="AH864" s="65"/>
      <c r="AI864" s="66"/>
      <c r="AJ864" s="66"/>
      <c r="AK864" s="58"/>
      <c r="AL864" s="58"/>
      <c r="AM864" s="68" t="str">
        <f aca="false">IF(LEFT(AL864,1)="9","Celular",IF(AL864="","","Fixo"))</f>
        <v/>
      </c>
      <c r="AN864" s="58" t="str">
        <f aca="false">IF( AM864&lt;&gt;"",VLOOKUP(AM864,Selects!$M$4:$N$1000,2,0),"")</f>
        <v/>
      </c>
      <c r="AO864" s="58"/>
      <c r="AP864" s="59"/>
      <c r="AQ864" s="65"/>
      <c r="AR864" s="58"/>
      <c r="AS864" s="58"/>
      <c r="AT864" s="26"/>
      <c r="AU864" s="58"/>
      <c r="AV864" s="58"/>
      <c r="AW864" s="58"/>
      <c r="AX864" s="58"/>
      <c r="AY864" s="71"/>
      <c r="AZ864" s="58"/>
      <c r="BA864" s="58"/>
      <c r="BB864" s="72" t="str">
        <f aca="false">IF(BA864&lt;&gt;"",VLOOKUP(BA864,Selects!$B$4:$C$100,2,0),"")</f>
        <v/>
      </c>
      <c r="BC864" s="26"/>
      <c r="BD864" s="26"/>
      <c r="BE864" s="73"/>
      <c r="BF864" s="74"/>
      <c r="BG864" s="75" t="str">
        <f aca="false">IF(LEN(BF864)=11,"PF",IF(LEN(BF864)=14,"PJ",""))</f>
        <v/>
      </c>
      <c r="BH864" s="66"/>
      <c r="BI864" s="58" t="str">
        <f aca="false">IF(BH864&lt;&gt;"",VLOOKUP(BH864,Selects!$G:$H,2,0),"")</f>
        <v/>
      </c>
      <c r="BJ864" s="58"/>
      <c r="BK864" s="58"/>
      <c r="BL864" s="59"/>
      <c r="BM864" s="58"/>
      <c r="BN864" s="58"/>
      <c r="BO864" s="58" t="str">
        <f aca="false">IF(BN864&lt;&gt;"",VLOOKUP(BN864,Selects!$J$4:$K$1000,2,0),"")</f>
        <v/>
      </c>
      <c r="BP864" s="76"/>
      <c r="BQ864" s="59"/>
      <c r="BR864" s="77"/>
      <c r="BS864" s="59"/>
      <c r="BT864" s="77"/>
      <c r="BU864" s="58"/>
      <c r="BV864" s="58"/>
      <c r="BW864" s="58"/>
      <c r="BX864" s="58"/>
      <c r="BY864" s="58"/>
      <c r="BZ864" s="58"/>
      <c r="CA864" s="58"/>
      <c r="CB864" s="72" t="str">
        <f aca="false">IF(AC864&lt;&gt;"",VLOOKUP(AC864,Selects!$B:$E,4,0),"")</f>
        <v/>
      </c>
      <c r="CC864" s="58"/>
      <c r="CD864" s="58"/>
      <c r="CE864" s="58"/>
    </row>
    <row r="865" customFormat="false" ht="15.75" hidden="false" customHeight="true" outlineLevel="0" collapsed="false">
      <c r="A865" s="17"/>
      <c r="B865" s="58"/>
      <c r="C865" s="58"/>
      <c r="D865" s="59"/>
      <c r="E865" s="60" t="str">
        <f aca="false">IF(LEN(D865)=11,"PF",IF(LEN(D865)=14,"PJ",""))</f>
        <v/>
      </c>
      <c r="F865" s="59"/>
      <c r="G865" s="59"/>
      <c r="H865" s="61" t="str">
        <f aca="false">IF(G865&lt;&gt;"",VLOOKUP(G865,'Cnae  mcc  id'!$A:$M,9,0),"")</f>
        <v/>
      </c>
      <c r="I865" s="62"/>
      <c r="J865" s="63" t="str">
        <f aca="false">IF(I865&lt;&gt;"",VLOOKUP(I865,'Legal Nature'!$E$2:$G$84,3,0),"")</f>
        <v/>
      </c>
      <c r="K865" s="64"/>
      <c r="L865" s="65"/>
      <c r="M865" s="66"/>
      <c r="N865" s="66"/>
      <c r="O865" s="79"/>
      <c r="P865" s="26"/>
      <c r="Q865" s="58"/>
      <c r="R865" s="58"/>
      <c r="S865" s="80"/>
      <c r="T865" s="68" t="str">
        <f aca="false">IF(LEFT(S865,1)="9","Celular",IF(S865="","","Fixo"))</f>
        <v/>
      </c>
      <c r="U865" s="58" t="str">
        <f aca="false">IF( T865&lt;&gt;"",VLOOKUP(T865,Selects!$M$4:$N$1000,2,0),"")</f>
        <v/>
      </c>
      <c r="V865" s="26"/>
      <c r="W865" s="58"/>
      <c r="X865" s="58"/>
      <c r="Y865" s="58"/>
      <c r="Z865" s="58"/>
      <c r="AA865" s="69"/>
      <c r="AB865" s="58"/>
      <c r="AC865" s="58"/>
      <c r="AD865" s="70" t="str">
        <f aca="false">IF(AC865&lt;&gt;"",VLOOKUP(AC865,Selects!$B$4:$C$100,2,0),"")</f>
        <v/>
      </c>
      <c r="AE865" s="26"/>
      <c r="AF865" s="58"/>
      <c r="AG865" s="59"/>
      <c r="AH865" s="65"/>
      <c r="AI865" s="66"/>
      <c r="AJ865" s="66"/>
      <c r="AK865" s="58"/>
      <c r="AL865" s="58"/>
      <c r="AM865" s="68" t="str">
        <f aca="false">IF(LEFT(AL865,1)="9","Celular",IF(AL865="","","Fixo"))</f>
        <v/>
      </c>
      <c r="AN865" s="58" t="str">
        <f aca="false">IF( AM865&lt;&gt;"",VLOOKUP(AM865,Selects!$M$4:$N$1000,2,0),"")</f>
        <v/>
      </c>
      <c r="AO865" s="58"/>
      <c r="AP865" s="59"/>
      <c r="AQ865" s="65"/>
      <c r="AR865" s="58"/>
      <c r="AS865" s="58"/>
      <c r="AT865" s="26"/>
      <c r="AU865" s="58"/>
      <c r="AV865" s="58"/>
      <c r="AW865" s="58"/>
      <c r="AX865" s="58"/>
      <c r="AY865" s="71"/>
      <c r="AZ865" s="58"/>
      <c r="BA865" s="58"/>
      <c r="BB865" s="72" t="str">
        <f aca="false">IF(BA865&lt;&gt;"",VLOOKUP(BA865,Selects!$B$4:$C$100,2,0),"")</f>
        <v/>
      </c>
      <c r="BC865" s="26"/>
      <c r="BD865" s="26"/>
      <c r="BE865" s="73"/>
      <c r="BF865" s="74"/>
      <c r="BG865" s="75" t="str">
        <f aca="false">IF(LEN(BF865)=11,"PF",IF(LEN(BF865)=14,"PJ",""))</f>
        <v/>
      </c>
      <c r="BH865" s="66"/>
      <c r="BI865" s="58" t="str">
        <f aca="false">IF(BH865&lt;&gt;"",VLOOKUP(BH865,Selects!$G:$H,2,0),"")</f>
        <v/>
      </c>
      <c r="BJ865" s="58"/>
      <c r="BK865" s="58"/>
      <c r="BL865" s="59"/>
      <c r="BM865" s="58"/>
      <c r="BN865" s="58"/>
      <c r="BO865" s="58" t="str">
        <f aca="false">IF(BN865&lt;&gt;"",VLOOKUP(BN865,Selects!$J$4:$K$1000,2,0),"")</f>
        <v/>
      </c>
      <c r="BP865" s="76"/>
      <c r="BQ865" s="59"/>
      <c r="BR865" s="77"/>
      <c r="BS865" s="59"/>
      <c r="BT865" s="77"/>
      <c r="BU865" s="58"/>
      <c r="BV865" s="58"/>
      <c r="BW865" s="58"/>
      <c r="BX865" s="58"/>
      <c r="BY865" s="58"/>
      <c r="BZ865" s="58"/>
      <c r="CA865" s="58"/>
      <c r="CB865" s="72" t="str">
        <f aca="false">IF(AC865&lt;&gt;"",VLOOKUP(AC865,Selects!$B:$E,4,0),"")</f>
        <v/>
      </c>
      <c r="CC865" s="58"/>
      <c r="CD865" s="58"/>
      <c r="CE865" s="58"/>
    </row>
    <row r="866" customFormat="false" ht="15.75" hidden="false" customHeight="true" outlineLevel="0" collapsed="false">
      <c r="A866" s="17"/>
      <c r="B866" s="58"/>
      <c r="C866" s="58"/>
      <c r="D866" s="59"/>
      <c r="E866" s="60" t="str">
        <f aca="false">IF(LEN(D866)=11,"PF",IF(LEN(D866)=14,"PJ",""))</f>
        <v/>
      </c>
      <c r="F866" s="59"/>
      <c r="G866" s="59"/>
      <c r="H866" s="61" t="str">
        <f aca="false">IF(G866&lt;&gt;"",VLOOKUP(G866,'Cnae  mcc  id'!$A:$M,9,0),"")</f>
        <v/>
      </c>
      <c r="I866" s="62"/>
      <c r="J866" s="63" t="str">
        <f aca="false">IF(I866&lt;&gt;"",VLOOKUP(I866,'Legal Nature'!$E$2:$G$84,3,0),"")</f>
        <v/>
      </c>
      <c r="K866" s="64"/>
      <c r="L866" s="65"/>
      <c r="M866" s="66"/>
      <c r="N866" s="66"/>
      <c r="O866" s="79"/>
      <c r="P866" s="26"/>
      <c r="Q866" s="58"/>
      <c r="R866" s="58"/>
      <c r="S866" s="80"/>
      <c r="T866" s="68" t="str">
        <f aca="false">IF(LEFT(S866,1)="9","Celular",IF(S866="","","Fixo"))</f>
        <v/>
      </c>
      <c r="U866" s="58" t="str">
        <f aca="false">IF( T866&lt;&gt;"",VLOOKUP(T866,Selects!$M$4:$N$1000,2,0),"")</f>
        <v/>
      </c>
      <c r="V866" s="26"/>
      <c r="W866" s="58"/>
      <c r="X866" s="58"/>
      <c r="Y866" s="58"/>
      <c r="Z866" s="58"/>
      <c r="AA866" s="69"/>
      <c r="AB866" s="58"/>
      <c r="AC866" s="58"/>
      <c r="AD866" s="70" t="str">
        <f aca="false">IF(AC866&lt;&gt;"",VLOOKUP(AC866,Selects!$B$4:$C$100,2,0),"")</f>
        <v/>
      </c>
      <c r="AE866" s="26"/>
      <c r="AF866" s="58"/>
      <c r="AG866" s="59"/>
      <c r="AH866" s="65"/>
      <c r="AI866" s="66"/>
      <c r="AJ866" s="66"/>
      <c r="AK866" s="58"/>
      <c r="AL866" s="58"/>
      <c r="AM866" s="68" t="str">
        <f aca="false">IF(LEFT(AL866,1)="9","Celular",IF(AL866="","","Fixo"))</f>
        <v/>
      </c>
      <c r="AN866" s="58" t="str">
        <f aca="false">IF( AM866&lt;&gt;"",VLOOKUP(AM866,Selects!$M$4:$N$1000,2,0),"")</f>
        <v/>
      </c>
      <c r="AO866" s="58"/>
      <c r="AP866" s="59"/>
      <c r="AQ866" s="65"/>
      <c r="AR866" s="58"/>
      <c r="AS866" s="58"/>
      <c r="AT866" s="26"/>
      <c r="AU866" s="58"/>
      <c r="AV866" s="58"/>
      <c r="AW866" s="58"/>
      <c r="AX866" s="58"/>
      <c r="AY866" s="71"/>
      <c r="AZ866" s="58"/>
      <c r="BA866" s="58"/>
      <c r="BB866" s="72" t="str">
        <f aca="false">IF(BA866&lt;&gt;"",VLOOKUP(BA866,Selects!$B$4:$C$100,2,0),"")</f>
        <v/>
      </c>
      <c r="BC866" s="26"/>
      <c r="BD866" s="26"/>
      <c r="BE866" s="73"/>
      <c r="BF866" s="74"/>
      <c r="BG866" s="75" t="str">
        <f aca="false">IF(LEN(BF866)=11,"PF",IF(LEN(BF866)=14,"PJ",""))</f>
        <v/>
      </c>
      <c r="BH866" s="66"/>
      <c r="BI866" s="58" t="str">
        <f aca="false">IF(BH866&lt;&gt;"",VLOOKUP(BH866,Selects!$G:$H,2,0),"")</f>
        <v/>
      </c>
      <c r="BJ866" s="58"/>
      <c r="BK866" s="58"/>
      <c r="BL866" s="59"/>
      <c r="BM866" s="58"/>
      <c r="BN866" s="58"/>
      <c r="BO866" s="58" t="str">
        <f aca="false">IF(BN866&lt;&gt;"",VLOOKUP(BN866,Selects!$J$4:$K$1000,2,0),"")</f>
        <v/>
      </c>
      <c r="BP866" s="76"/>
      <c r="BQ866" s="59"/>
      <c r="BR866" s="77"/>
      <c r="BS866" s="59"/>
      <c r="BT866" s="77"/>
      <c r="BU866" s="58"/>
      <c r="BV866" s="58"/>
      <c r="BW866" s="58"/>
      <c r="BX866" s="58"/>
      <c r="BY866" s="58"/>
      <c r="BZ866" s="58"/>
      <c r="CA866" s="58"/>
      <c r="CB866" s="72" t="str">
        <f aca="false">IF(AC866&lt;&gt;"",VLOOKUP(AC866,Selects!$B:$E,4,0),"")</f>
        <v/>
      </c>
      <c r="CC866" s="58"/>
      <c r="CD866" s="58"/>
      <c r="CE866" s="58"/>
    </row>
    <row r="867" customFormat="false" ht="15.75" hidden="false" customHeight="true" outlineLevel="0" collapsed="false">
      <c r="A867" s="17"/>
      <c r="B867" s="58"/>
      <c r="C867" s="58"/>
      <c r="D867" s="59"/>
      <c r="E867" s="60" t="str">
        <f aca="false">IF(LEN(D867)=11,"PF",IF(LEN(D867)=14,"PJ",""))</f>
        <v/>
      </c>
      <c r="F867" s="59"/>
      <c r="G867" s="59"/>
      <c r="H867" s="61" t="str">
        <f aca="false">IF(G867&lt;&gt;"",VLOOKUP(G867,'Cnae  mcc  id'!$A:$M,9,0),"")</f>
        <v/>
      </c>
      <c r="I867" s="62"/>
      <c r="J867" s="63" t="str">
        <f aca="false">IF(I867&lt;&gt;"",VLOOKUP(I867,'Legal Nature'!$E$2:$G$84,3,0),"")</f>
        <v/>
      </c>
      <c r="K867" s="64"/>
      <c r="L867" s="65"/>
      <c r="M867" s="66"/>
      <c r="N867" s="66"/>
      <c r="O867" s="79"/>
      <c r="P867" s="26"/>
      <c r="Q867" s="58"/>
      <c r="R867" s="58"/>
      <c r="S867" s="80"/>
      <c r="T867" s="68" t="str">
        <f aca="false">IF(LEFT(S867,1)="9","Celular",IF(S867="","","Fixo"))</f>
        <v/>
      </c>
      <c r="U867" s="58" t="str">
        <f aca="false">IF( T867&lt;&gt;"",VLOOKUP(T867,Selects!$M$4:$N$1000,2,0),"")</f>
        <v/>
      </c>
      <c r="V867" s="26"/>
      <c r="W867" s="58"/>
      <c r="X867" s="58"/>
      <c r="Y867" s="58"/>
      <c r="Z867" s="58"/>
      <c r="AA867" s="69"/>
      <c r="AB867" s="58"/>
      <c r="AC867" s="58"/>
      <c r="AD867" s="70" t="str">
        <f aca="false">IF(AC867&lt;&gt;"",VLOOKUP(AC867,Selects!$B$4:$C$100,2,0),"")</f>
        <v/>
      </c>
      <c r="AE867" s="26"/>
      <c r="AF867" s="58"/>
      <c r="AG867" s="59"/>
      <c r="AH867" s="65"/>
      <c r="AI867" s="66"/>
      <c r="AJ867" s="66"/>
      <c r="AK867" s="58"/>
      <c r="AL867" s="58"/>
      <c r="AM867" s="68" t="str">
        <f aca="false">IF(LEFT(AL867,1)="9","Celular",IF(AL867="","","Fixo"))</f>
        <v/>
      </c>
      <c r="AN867" s="58" t="str">
        <f aca="false">IF( AM867&lt;&gt;"",VLOOKUP(AM867,Selects!$M$4:$N$1000,2,0),"")</f>
        <v/>
      </c>
      <c r="AO867" s="58"/>
      <c r="AP867" s="59"/>
      <c r="AQ867" s="65"/>
      <c r="AR867" s="58"/>
      <c r="AS867" s="58"/>
      <c r="AT867" s="26"/>
      <c r="AU867" s="58"/>
      <c r="AV867" s="58"/>
      <c r="AW867" s="58"/>
      <c r="AX867" s="58"/>
      <c r="AY867" s="71"/>
      <c r="AZ867" s="58"/>
      <c r="BA867" s="58"/>
      <c r="BB867" s="72" t="str">
        <f aca="false">IF(BA867&lt;&gt;"",VLOOKUP(BA867,Selects!$B$4:$C$100,2,0),"")</f>
        <v/>
      </c>
      <c r="BC867" s="26"/>
      <c r="BD867" s="26"/>
      <c r="BE867" s="73"/>
      <c r="BF867" s="74"/>
      <c r="BG867" s="75" t="str">
        <f aca="false">IF(LEN(BF867)=11,"PF",IF(LEN(BF867)=14,"PJ",""))</f>
        <v/>
      </c>
      <c r="BH867" s="66"/>
      <c r="BI867" s="58" t="str">
        <f aca="false">IF(BH867&lt;&gt;"",VLOOKUP(BH867,Selects!$G:$H,2,0),"")</f>
        <v/>
      </c>
      <c r="BJ867" s="58"/>
      <c r="BK867" s="58"/>
      <c r="BL867" s="59"/>
      <c r="BM867" s="58"/>
      <c r="BN867" s="58"/>
      <c r="BO867" s="58" t="str">
        <f aca="false">IF(BN867&lt;&gt;"",VLOOKUP(BN867,Selects!$J$4:$K$1000,2,0),"")</f>
        <v/>
      </c>
      <c r="BP867" s="76"/>
      <c r="BQ867" s="59"/>
      <c r="BR867" s="77"/>
      <c r="BS867" s="59"/>
      <c r="BT867" s="77"/>
      <c r="BU867" s="58"/>
      <c r="BV867" s="58"/>
      <c r="BW867" s="58"/>
      <c r="BX867" s="58"/>
      <c r="BY867" s="58"/>
      <c r="BZ867" s="58"/>
      <c r="CA867" s="58"/>
      <c r="CB867" s="72" t="str">
        <f aca="false">IF(AC867&lt;&gt;"",VLOOKUP(AC867,Selects!$B:$E,4,0),"")</f>
        <v/>
      </c>
      <c r="CC867" s="58"/>
      <c r="CD867" s="58"/>
      <c r="CE867" s="58"/>
    </row>
    <row r="868" customFormat="false" ht="15.75" hidden="false" customHeight="true" outlineLevel="0" collapsed="false">
      <c r="A868" s="17"/>
      <c r="B868" s="58"/>
      <c r="C868" s="58"/>
      <c r="D868" s="59"/>
      <c r="E868" s="60" t="str">
        <f aca="false">IF(LEN(D868)=11,"PF",IF(LEN(D868)=14,"PJ",""))</f>
        <v/>
      </c>
      <c r="F868" s="59"/>
      <c r="G868" s="59"/>
      <c r="H868" s="61" t="str">
        <f aca="false">IF(G868&lt;&gt;"",VLOOKUP(G868,'Cnae  mcc  id'!$A:$M,9,0),"")</f>
        <v/>
      </c>
      <c r="I868" s="62"/>
      <c r="J868" s="63" t="str">
        <f aca="false">IF(I868&lt;&gt;"",VLOOKUP(I868,'Legal Nature'!$E$2:$G$84,3,0),"")</f>
        <v/>
      </c>
      <c r="K868" s="64"/>
      <c r="L868" s="65"/>
      <c r="M868" s="66"/>
      <c r="N868" s="66"/>
      <c r="O868" s="79"/>
      <c r="P868" s="26"/>
      <c r="Q868" s="58"/>
      <c r="R868" s="58"/>
      <c r="S868" s="80"/>
      <c r="T868" s="68" t="str">
        <f aca="false">IF(LEFT(S868,1)="9","Celular",IF(S868="","","Fixo"))</f>
        <v/>
      </c>
      <c r="U868" s="58" t="str">
        <f aca="false">IF( T868&lt;&gt;"",VLOOKUP(T868,Selects!$M$4:$N$1000,2,0),"")</f>
        <v/>
      </c>
      <c r="V868" s="26"/>
      <c r="W868" s="58"/>
      <c r="X868" s="58"/>
      <c r="Y868" s="58"/>
      <c r="Z868" s="58"/>
      <c r="AA868" s="69"/>
      <c r="AB868" s="58"/>
      <c r="AC868" s="58"/>
      <c r="AD868" s="70" t="str">
        <f aca="false">IF(AC868&lt;&gt;"",VLOOKUP(AC868,Selects!$B$4:$C$100,2,0),"")</f>
        <v/>
      </c>
      <c r="AE868" s="26"/>
      <c r="AF868" s="58"/>
      <c r="AG868" s="59"/>
      <c r="AH868" s="65"/>
      <c r="AI868" s="66"/>
      <c r="AJ868" s="66"/>
      <c r="AK868" s="58"/>
      <c r="AL868" s="58"/>
      <c r="AM868" s="68" t="str">
        <f aca="false">IF(LEFT(AL868,1)="9","Celular",IF(AL868="","","Fixo"))</f>
        <v/>
      </c>
      <c r="AN868" s="58" t="str">
        <f aca="false">IF( AM868&lt;&gt;"",VLOOKUP(AM868,Selects!$M$4:$N$1000,2,0),"")</f>
        <v/>
      </c>
      <c r="AO868" s="58"/>
      <c r="AP868" s="59"/>
      <c r="AQ868" s="65"/>
      <c r="AR868" s="58"/>
      <c r="AS868" s="58"/>
      <c r="AT868" s="26"/>
      <c r="AU868" s="58"/>
      <c r="AV868" s="58"/>
      <c r="AW868" s="58"/>
      <c r="AX868" s="58"/>
      <c r="AY868" s="71"/>
      <c r="AZ868" s="58"/>
      <c r="BA868" s="58"/>
      <c r="BB868" s="72" t="str">
        <f aca="false">IF(BA868&lt;&gt;"",VLOOKUP(BA868,Selects!$B$4:$C$100,2,0),"")</f>
        <v/>
      </c>
      <c r="BC868" s="26"/>
      <c r="BD868" s="26"/>
      <c r="BE868" s="73"/>
      <c r="BF868" s="74"/>
      <c r="BG868" s="75" t="str">
        <f aca="false">IF(LEN(BF868)=11,"PF",IF(LEN(BF868)=14,"PJ",""))</f>
        <v/>
      </c>
      <c r="BH868" s="66"/>
      <c r="BI868" s="58" t="str">
        <f aca="false">IF(BH868&lt;&gt;"",VLOOKUP(BH868,Selects!$G:$H,2,0),"")</f>
        <v/>
      </c>
      <c r="BJ868" s="58"/>
      <c r="BK868" s="58"/>
      <c r="BL868" s="59"/>
      <c r="BM868" s="58"/>
      <c r="BN868" s="58"/>
      <c r="BO868" s="58" t="str">
        <f aca="false">IF(BN868&lt;&gt;"",VLOOKUP(BN868,Selects!$J$4:$K$1000,2,0),"")</f>
        <v/>
      </c>
      <c r="BP868" s="76"/>
      <c r="BQ868" s="59"/>
      <c r="BR868" s="77"/>
      <c r="BS868" s="59"/>
      <c r="BT868" s="77"/>
      <c r="BU868" s="58"/>
      <c r="BV868" s="58"/>
      <c r="BW868" s="58"/>
      <c r="BX868" s="58"/>
      <c r="BY868" s="58"/>
      <c r="BZ868" s="58"/>
      <c r="CA868" s="58"/>
      <c r="CB868" s="72" t="str">
        <f aca="false">IF(AC868&lt;&gt;"",VLOOKUP(AC868,Selects!$B:$E,4,0),"")</f>
        <v/>
      </c>
      <c r="CC868" s="58"/>
      <c r="CD868" s="58"/>
      <c r="CE868" s="58"/>
    </row>
    <row r="869" customFormat="false" ht="15.75" hidden="false" customHeight="true" outlineLevel="0" collapsed="false">
      <c r="A869" s="17"/>
      <c r="B869" s="58"/>
      <c r="C869" s="58"/>
      <c r="D869" s="59"/>
      <c r="E869" s="60" t="str">
        <f aca="false">IF(LEN(D869)=11,"PF",IF(LEN(D869)=14,"PJ",""))</f>
        <v/>
      </c>
      <c r="F869" s="59"/>
      <c r="G869" s="59"/>
      <c r="H869" s="61" t="str">
        <f aca="false">IF(G869&lt;&gt;"",VLOOKUP(G869,'Cnae  mcc  id'!$A:$M,9,0),"")</f>
        <v/>
      </c>
      <c r="I869" s="62"/>
      <c r="J869" s="63" t="str">
        <f aca="false">IF(I869&lt;&gt;"",VLOOKUP(I869,'Legal Nature'!$E$2:$G$84,3,0),"")</f>
        <v/>
      </c>
      <c r="K869" s="64"/>
      <c r="L869" s="65"/>
      <c r="M869" s="66"/>
      <c r="N869" s="66"/>
      <c r="O869" s="79"/>
      <c r="P869" s="26"/>
      <c r="Q869" s="58"/>
      <c r="R869" s="58"/>
      <c r="S869" s="80"/>
      <c r="T869" s="68" t="str">
        <f aca="false">IF(LEFT(S869,1)="9","Celular",IF(S869="","","Fixo"))</f>
        <v/>
      </c>
      <c r="U869" s="58" t="str">
        <f aca="false">IF( T869&lt;&gt;"",VLOOKUP(T869,Selects!$M$4:$N$1000,2,0),"")</f>
        <v/>
      </c>
      <c r="V869" s="26"/>
      <c r="W869" s="58"/>
      <c r="X869" s="58"/>
      <c r="Y869" s="58"/>
      <c r="Z869" s="58"/>
      <c r="AA869" s="69"/>
      <c r="AB869" s="58"/>
      <c r="AC869" s="58"/>
      <c r="AD869" s="70" t="str">
        <f aca="false">IF(AC869&lt;&gt;"",VLOOKUP(AC869,Selects!$B$4:$C$100,2,0),"")</f>
        <v/>
      </c>
      <c r="AE869" s="26"/>
      <c r="AF869" s="58"/>
      <c r="AG869" s="59"/>
      <c r="AH869" s="65"/>
      <c r="AI869" s="66"/>
      <c r="AJ869" s="66"/>
      <c r="AK869" s="58"/>
      <c r="AL869" s="58"/>
      <c r="AM869" s="68" t="str">
        <f aca="false">IF(LEFT(AL869,1)="9","Celular",IF(AL869="","","Fixo"))</f>
        <v/>
      </c>
      <c r="AN869" s="58" t="str">
        <f aca="false">IF( AM869&lt;&gt;"",VLOOKUP(AM869,Selects!$M$4:$N$1000,2,0),"")</f>
        <v/>
      </c>
      <c r="AO869" s="58"/>
      <c r="AP869" s="59"/>
      <c r="AQ869" s="65"/>
      <c r="AR869" s="58"/>
      <c r="AS869" s="58"/>
      <c r="AT869" s="26"/>
      <c r="AU869" s="58"/>
      <c r="AV869" s="58"/>
      <c r="AW869" s="58"/>
      <c r="AX869" s="58"/>
      <c r="AY869" s="71"/>
      <c r="AZ869" s="58"/>
      <c r="BA869" s="58"/>
      <c r="BB869" s="72" t="str">
        <f aca="false">IF(BA869&lt;&gt;"",VLOOKUP(BA869,Selects!$B$4:$C$100,2,0),"")</f>
        <v/>
      </c>
      <c r="BC869" s="26"/>
      <c r="BD869" s="26"/>
      <c r="BE869" s="73"/>
      <c r="BF869" s="74"/>
      <c r="BG869" s="75" t="str">
        <f aca="false">IF(LEN(BF869)=11,"PF",IF(LEN(BF869)=14,"PJ",""))</f>
        <v/>
      </c>
      <c r="BH869" s="66"/>
      <c r="BI869" s="58" t="str">
        <f aca="false">IF(BH869&lt;&gt;"",VLOOKUP(BH869,Selects!$G:$H,2,0),"")</f>
        <v/>
      </c>
      <c r="BJ869" s="58"/>
      <c r="BK869" s="58"/>
      <c r="BL869" s="59"/>
      <c r="BM869" s="58"/>
      <c r="BN869" s="58"/>
      <c r="BO869" s="58" t="str">
        <f aca="false">IF(BN869&lt;&gt;"",VLOOKUP(BN869,Selects!$J$4:$K$1000,2,0),"")</f>
        <v/>
      </c>
      <c r="BP869" s="76"/>
      <c r="BQ869" s="59"/>
      <c r="BR869" s="77"/>
      <c r="BS869" s="59"/>
      <c r="BT869" s="77"/>
      <c r="BU869" s="58"/>
      <c r="BV869" s="58"/>
      <c r="BW869" s="58"/>
      <c r="BX869" s="58"/>
      <c r="BY869" s="58"/>
      <c r="BZ869" s="58"/>
      <c r="CA869" s="58"/>
      <c r="CB869" s="72" t="str">
        <f aca="false">IF(AC869&lt;&gt;"",VLOOKUP(AC869,Selects!$B:$E,4,0),"")</f>
        <v/>
      </c>
      <c r="CC869" s="58"/>
      <c r="CD869" s="58"/>
      <c r="CE869" s="58"/>
    </row>
    <row r="870" customFormat="false" ht="15.75" hidden="false" customHeight="true" outlineLevel="0" collapsed="false">
      <c r="A870" s="17"/>
      <c r="B870" s="58"/>
      <c r="C870" s="58"/>
      <c r="D870" s="59"/>
      <c r="E870" s="60" t="str">
        <f aca="false">IF(LEN(D870)=11,"PF",IF(LEN(D870)=14,"PJ",""))</f>
        <v/>
      </c>
      <c r="F870" s="59"/>
      <c r="G870" s="59"/>
      <c r="H870" s="61" t="str">
        <f aca="false">IF(G870&lt;&gt;"",VLOOKUP(G870,'Cnae  mcc  id'!$A:$M,9,0),"")</f>
        <v/>
      </c>
      <c r="I870" s="62"/>
      <c r="J870" s="63" t="str">
        <f aca="false">IF(I870&lt;&gt;"",VLOOKUP(I870,'Legal Nature'!$E$2:$G$84,3,0),"")</f>
        <v/>
      </c>
      <c r="K870" s="64"/>
      <c r="L870" s="65"/>
      <c r="M870" s="66"/>
      <c r="N870" s="66"/>
      <c r="O870" s="79"/>
      <c r="P870" s="26"/>
      <c r="Q870" s="58"/>
      <c r="R870" s="58"/>
      <c r="S870" s="80"/>
      <c r="T870" s="68" t="str">
        <f aca="false">IF(LEFT(S870,1)="9","Celular",IF(S870="","","Fixo"))</f>
        <v/>
      </c>
      <c r="U870" s="58" t="str">
        <f aca="false">IF( T870&lt;&gt;"",VLOOKUP(T870,Selects!$M$4:$N$1000,2,0),"")</f>
        <v/>
      </c>
      <c r="V870" s="26"/>
      <c r="W870" s="58"/>
      <c r="X870" s="58"/>
      <c r="Y870" s="58"/>
      <c r="Z870" s="58"/>
      <c r="AA870" s="69"/>
      <c r="AB870" s="58"/>
      <c r="AC870" s="58"/>
      <c r="AD870" s="70" t="str">
        <f aca="false">IF(AC870&lt;&gt;"",VLOOKUP(AC870,Selects!$B$4:$C$100,2,0),"")</f>
        <v/>
      </c>
      <c r="AE870" s="26"/>
      <c r="AF870" s="58"/>
      <c r="AG870" s="59"/>
      <c r="AH870" s="65"/>
      <c r="AI870" s="66"/>
      <c r="AJ870" s="66"/>
      <c r="AK870" s="58"/>
      <c r="AL870" s="58"/>
      <c r="AM870" s="68" t="str">
        <f aca="false">IF(LEFT(AL870,1)="9","Celular",IF(AL870="","","Fixo"))</f>
        <v/>
      </c>
      <c r="AN870" s="58" t="str">
        <f aca="false">IF( AM870&lt;&gt;"",VLOOKUP(AM870,Selects!$M$4:$N$1000,2,0),"")</f>
        <v/>
      </c>
      <c r="AO870" s="58"/>
      <c r="AP870" s="59"/>
      <c r="AQ870" s="65"/>
      <c r="AR870" s="58"/>
      <c r="AS870" s="58"/>
      <c r="AT870" s="26"/>
      <c r="AU870" s="58"/>
      <c r="AV870" s="58"/>
      <c r="AW870" s="58"/>
      <c r="AX870" s="58"/>
      <c r="AY870" s="71"/>
      <c r="AZ870" s="58"/>
      <c r="BA870" s="58"/>
      <c r="BB870" s="72" t="str">
        <f aca="false">IF(BA870&lt;&gt;"",VLOOKUP(BA870,Selects!$B$4:$C$100,2,0),"")</f>
        <v/>
      </c>
      <c r="BC870" s="26"/>
      <c r="BD870" s="26"/>
      <c r="BE870" s="73"/>
      <c r="BF870" s="74"/>
      <c r="BG870" s="75" t="str">
        <f aca="false">IF(LEN(BF870)=11,"PF",IF(LEN(BF870)=14,"PJ",""))</f>
        <v/>
      </c>
      <c r="BH870" s="66"/>
      <c r="BI870" s="58" t="str">
        <f aca="false">IF(BH870&lt;&gt;"",VLOOKUP(BH870,Selects!$G:$H,2,0),"")</f>
        <v/>
      </c>
      <c r="BJ870" s="58"/>
      <c r="BK870" s="58"/>
      <c r="BL870" s="59"/>
      <c r="BM870" s="58"/>
      <c r="BN870" s="58"/>
      <c r="BO870" s="58" t="str">
        <f aca="false">IF(BN870&lt;&gt;"",VLOOKUP(BN870,Selects!$J$4:$K$1000,2,0),"")</f>
        <v/>
      </c>
      <c r="BP870" s="76"/>
      <c r="BQ870" s="59"/>
      <c r="BR870" s="77"/>
      <c r="BS870" s="59"/>
      <c r="BT870" s="77"/>
      <c r="BU870" s="58"/>
      <c r="BV870" s="58"/>
      <c r="BW870" s="58"/>
      <c r="BX870" s="58"/>
      <c r="BY870" s="58"/>
      <c r="BZ870" s="58"/>
      <c r="CA870" s="58"/>
      <c r="CB870" s="72" t="str">
        <f aca="false">IF(AC870&lt;&gt;"",VLOOKUP(AC870,Selects!$B:$E,4,0),"")</f>
        <v/>
      </c>
      <c r="CC870" s="58"/>
      <c r="CD870" s="58"/>
      <c r="CE870" s="58"/>
    </row>
    <row r="871" customFormat="false" ht="15.75" hidden="false" customHeight="true" outlineLevel="0" collapsed="false">
      <c r="A871" s="17"/>
      <c r="B871" s="58"/>
      <c r="C871" s="58"/>
      <c r="D871" s="59"/>
      <c r="E871" s="60" t="str">
        <f aca="false">IF(LEN(D871)=11,"PF",IF(LEN(D871)=14,"PJ",""))</f>
        <v/>
      </c>
      <c r="F871" s="59"/>
      <c r="G871" s="59"/>
      <c r="H871" s="61" t="str">
        <f aca="false">IF(G871&lt;&gt;"",VLOOKUP(G871,'Cnae  mcc  id'!$A:$M,9,0),"")</f>
        <v/>
      </c>
      <c r="I871" s="62"/>
      <c r="J871" s="63" t="str">
        <f aca="false">IF(I871&lt;&gt;"",VLOOKUP(I871,'Legal Nature'!$E$2:$G$84,3,0),"")</f>
        <v/>
      </c>
      <c r="K871" s="64"/>
      <c r="L871" s="65"/>
      <c r="M871" s="66"/>
      <c r="N871" s="66"/>
      <c r="O871" s="79"/>
      <c r="P871" s="26"/>
      <c r="Q871" s="58"/>
      <c r="R871" s="58"/>
      <c r="S871" s="80"/>
      <c r="T871" s="68" t="str">
        <f aca="false">IF(LEFT(S871,1)="9","Celular",IF(S871="","","Fixo"))</f>
        <v/>
      </c>
      <c r="U871" s="58" t="str">
        <f aca="false">IF( T871&lt;&gt;"",VLOOKUP(T871,Selects!$M$4:$N$1000,2,0),"")</f>
        <v/>
      </c>
      <c r="V871" s="26"/>
      <c r="W871" s="58"/>
      <c r="X871" s="58"/>
      <c r="Y871" s="58"/>
      <c r="Z871" s="58"/>
      <c r="AA871" s="69"/>
      <c r="AB871" s="58"/>
      <c r="AC871" s="58"/>
      <c r="AD871" s="70" t="str">
        <f aca="false">IF(AC871&lt;&gt;"",VLOOKUP(AC871,Selects!$B$4:$C$100,2,0),"")</f>
        <v/>
      </c>
      <c r="AE871" s="26"/>
      <c r="AF871" s="58"/>
      <c r="AG871" s="59"/>
      <c r="AH871" s="65"/>
      <c r="AI871" s="66"/>
      <c r="AJ871" s="66"/>
      <c r="AK871" s="58"/>
      <c r="AL871" s="58"/>
      <c r="AM871" s="68" t="str">
        <f aca="false">IF(LEFT(AL871,1)="9","Celular",IF(AL871="","","Fixo"))</f>
        <v/>
      </c>
      <c r="AN871" s="58" t="str">
        <f aca="false">IF( AM871&lt;&gt;"",VLOOKUP(AM871,Selects!$M$4:$N$1000,2,0),"")</f>
        <v/>
      </c>
      <c r="AO871" s="58"/>
      <c r="AP871" s="59"/>
      <c r="AQ871" s="65"/>
      <c r="AR871" s="58"/>
      <c r="AS871" s="58"/>
      <c r="AT871" s="26"/>
      <c r="AU871" s="58"/>
      <c r="AV871" s="58"/>
      <c r="AW871" s="58"/>
      <c r="AX871" s="58"/>
      <c r="AY871" s="71"/>
      <c r="AZ871" s="58"/>
      <c r="BA871" s="58"/>
      <c r="BB871" s="72" t="str">
        <f aca="false">IF(BA871&lt;&gt;"",VLOOKUP(BA871,Selects!$B$4:$C$100,2,0),"")</f>
        <v/>
      </c>
      <c r="BC871" s="26"/>
      <c r="BD871" s="26"/>
      <c r="BE871" s="73"/>
      <c r="BF871" s="74"/>
      <c r="BG871" s="75" t="str">
        <f aca="false">IF(LEN(BF871)=11,"PF",IF(LEN(BF871)=14,"PJ",""))</f>
        <v/>
      </c>
      <c r="BH871" s="66"/>
      <c r="BI871" s="58" t="str">
        <f aca="false">IF(BH871&lt;&gt;"",VLOOKUP(BH871,Selects!$G:$H,2,0),"")</f>
        <v/>
      </c>
      <c r="BJ871" s="58"/>
      <c r="BK871" s="58"/>
      <c r="BL871" s="59"/>
      <c r="BM871" s="58"/>
      <c r="BN871" s="58"/>
      <c r="BO871" s="58" t="str">
        <f aca="false">IF(BN871&lt;&gt;"",VLOOKUP(BN871,Selects!$J$4:$K$1000,2,0),"")</f>
        <v/>
      </c>
      <c r="BP871" s="76"/>
      <c r="BQ871" s="59"/>
      <c r="BR871" s="77"/>
      <c r="BS871" s="59"/>
      <c r="BT871" s="77"/>
      <c r="BU871" s="58"/>
      <c r="BV871" s="58"/>
      <c r="BW871" s="58"/>
      <c r="BX871" s="58"/>
      <c r="BY871" s="58"/>
      <c r="BZ871" s="58"/>
      <c r="CA871" s="58"/>
      <c r="CB871" s="72" t="str">
        <f aca="false">IF(AC871&lt;&gt;"",VLOOKUP(AC871,Selects!$B:$E,4,0),"")</f>
        <v/>
      </c>
      <c r="CC871" s="58"/>
      <c r="CD871" s="58"/>
      <c r="CE871" s="58"/>
    </row>
    <row r="872" customFormat="false" ht="15.75" hidden="false" customHeight="true" outlineLevel="0" collapsed="false">
      <c r="A872" s="17"/>
      <c r="B872" s="58"/>
      <c r="C872" s="58"/>
      <c r="D872" s="59"/>
      <c r="E872" s="60" t="str">
        <f aca="false">IF(LEN(D872)=11,"PF",IF(LEN(D872)=14,"PJ",""))</f>
        <v/>
      </c>
      <c r="F872" s="59"/>
      <c r="G872" s="59"/>
      <c r="H872" s="61" t="str">
        <f aca="false">IF(G872&lt;&gt;"",VLOOKUP(G872,'Cnae  mcc  id'!$A:$M,9,0),"")</f>
        <v/>
      </c>
      <c r="I872" s="62"/>
      <c r="J872" s="63" t="str">
        <f aca="false">IF(I872&lt;&gt;"",VLOOKUP(I872,'Legal Nature'!$E$2:$G$84,3,0),"")</f>
        <v/>
      </c>
      <c r="K872" s="64"/>
      <c r="L872" s="65"/>
      <c r="M872" s="66"/>
      <c r="N872" s="66"/>
      <c r="O872" s="79"/>
      <c r="P872" s="26"/>
      <c r="Q872" s="58"/>
      <c r="R872" s="58"/>
      <c r="S872" s="80"/>
      <c r="T872" s="68" t="str">
        <f aca="false">IF(LEFT(S872,1)="9","Celular",IF(S872="","","Fixo"))</f>
        <v/>
      </c>
      <c r="U872" s="58" t="str">
        <f aca="false">IF( T872&lt;&gt;"",VLOOKUP(T872,Selects!$M$4:$N$1000,2,0),"")</f>
        <v/>
      </c>
      <c r="V872" s="26"/>
      <c r="W872" s="58"/>
      <c r="X872" s="58"/>
      <c r="Y872" s="58"/>
      <c r="Z872" s="58"/>
      <c r="AA872" s="69"/>
      <c r="AB872" s="58"/>
      <c r="AC872" s="58"/>
      <c r="AD872" s="70" t="str">
        <f aca="false">IF(AC872&lt;&gt;"",VLOOKUP(AC872,Selects!$B$4:$C$100,2,0),"")</f>
        <v/>
      </c>
      <c r="AE872" s="26"/>
      <c r="AF872" s="58"/>
      <c r="AG872" s="59"/>
      <c r="AH872" s="65"/>
      <c r="AI872" s="66"/>
      <c r="AJ872" s="66"/>
      <c r="AK872" s="58"/>
      <c r="AL872" s="58"/>
      <c r="AM872" s="68" t="str">
        <f aca="false">IF(LEFT(AL872,1)="9","Celular",IF(AL872="","","Fixo"))</f>
        <v/>
      </c>
      <c r="AN872" s="58" t="str">
        <f aca="false">IF( AM872&lt;&gt;"",VLOOKUP(AM872,Selects!$M$4:$N$1000,2,0),"")</f>
        <v/>
      </c>
      <c r="AO872" s="58"/>
      <c r="AP872" s="59"/>
      <c r="AQ872" s="65"/>
      <c r="AR872" s="58"/>
      <c r="AS872" s="58"/>
      <c r="AT872" s="26"/>
      <c r="AU872" s="58"/>
      <c r="AV872" s="58"/>
      <c r="AW872" s="58"/>
      <c r="AX872" s="58"/>
      <c r="AY872" s="71"/>
      <c r="AZ872" s="58"/>
      <c r="BA872" s="58"/>
      <c r="BB872" s="72" t="str">
        <f aca="false">IF(BA872&lt;&gt;"",VLOOKUP(BA872,Selects!$B$4:$C$100,2,0),"")</f>
        <v/>
      </c>
      <c r="BC872" s="26"/>
      <c r="BD872" s="26"/>
      <c r="BE872" s="73"/>
      <c r="BF872" s="74"/>
      <c r="BG872" s="75" t="str">
        <f aca="false">IF(LEN(BF872)=11,"PF",IF(LEN(BF872)=14,"PJ",""))</f>
        <v/>
      </c>
      <c r="BH872" s="66"/>
      <c r="BI872" s="58" t="str">
        <f aca="false">IF(BH872&lt;&gt;"",VLOOKUP(BH872,Selects!$G:$H,2,0),"")</f>
        <v/>
      </c>
      <c r="BJ872" s="58"/>
      <c r="BK872" s="58"/>
      <c r="BL872" s="59"/>
      <c r="BM872" s="58"/>
      <c r="BN872" s="58"/>
      <c r="BO872" s="58" t="str">
        <f aca="false">IF(BN872&lt;&gt;"",VLOOKUP(BN872,Selects!$J$4:$K$1000,2,0),"")</f>
        <v/>
      </c>
      <c r="BP872" s="76"/>
      <c r="BQ872" s="59"/>
      <c r="BR872" s="77"/>
      <c r="BS872" s="59"/>
      <c r="BT872" s="77"/>
      <c r="BU872" s="58"/>
      <c r="BV872" s="58"/>
      <c r="BW872" s="58"/>
      <c r="BX872" s="58"/>
      <c r="BY872" s="58"/>
      <c r="BZ872" s="58"/>
      <c r="CA872" s="58"/>
      <c r="CB872" s="72" t="str">
        <f aca="false">IF(AC872&lt;&gt;"",VLOOKUP(AC872,Selects!$B:$E,4,0),"")</f>
        <v/>
      </c>
      <c r="CC872" s="58"/>
      <c r="CD872" s="58"/>
      <c r="CE872" s="58"/>
    </row>
    <row r="873" customFormat="false" ht="15.75" hidden="false" customHeight="true" outlineLevel="0" collapsed="false">
      <c r="A873" s="17"/>
      <c r="B873" s="58"/>
      <c r="C873" s="58"/>
      <c r="D873" s="59"/>
      <c r="E873" s="60" t="str">
        <f aca="false">IF(LEN(D873)=11,"PF",IF(LEN(D873)=14,"PJ",""))</f>
        <v/>
      </c>
      <c r="F873" s="59"/>
      <c r="G873" s="59"/>
      <c r="H873" s="61" t="str">
        <f aca="false">IF(G873&lt;&gt;"",VLOOKUP(G873,'Cnae  mcc  id'!$A:$M,9,0),"")</f>
        <v/>
      </c>
      <c r="I873" s="62"/>
      <c r="J873" s="63" t="str">
        <f aca="false">IF(I873&lt;&gt;"",VLOOKUP(I873,'Legal Nature'!$E$2:$G$84,3,0),"")</f>
        <v/>
      </c>
      <c r="K873" s="64"/>
      <c r="L873" s="65"/>
      <c r="M873" s="66"/>
      <c r="N873" s="66"/>
      <c r="O873" s="79"/>
      <c r="P873" s="26"/>
      <c r="Q873" s="58"/>
      <c r="R873" s="58"/>
      <c r="S873" s="80"/>
      <c r="T873" s="68" t="str">
        <f aca="false">IF(LEFT(S873,1)="9","Celular",IF(S873="","","Fixo"))</f>
        <v/>
      </c>
      <c r="U873" s="58" t="str">
        <f aca="false">IF( T873&lt;&gt;"",VLOOKUP(T873,Selects!$M$4:$N$1000,2,0),"")</f>
        <v/>
      </c>
      <c r="V873" s="26"/>
      <c r="W873" s="58"/>
      <c r="X873" s="58"/>
      <c r="Y873" s="58"/>
      <c r="Z873" s="58"/>
      <c r="AA873" s="69"/>
      <c r="AB873" s="58"/>
      <c r="AC873" s="58"/>
      <c r="AD873" s="70" t="str">
        <f aca="false">IF(AC873&lt;&gt;"",VLOOKUP(AC873,Selects!$B$4:$C$100,2,0),"")</f>
        <v/>
      </c>
      <c r="AE873" s="26"/>
      <c r="AF873" s="58"/>
      <c r="AG873" s="59"/>
      <c r="AH873" s="65"/>
      <c r="AI873" s="66"/>
      <c r="AJ873" s="66"/>
      <c r="AK873" s="58"/>
      <c r="AL873" s="58"/>
      <c r="AM873" s="68" t="str">
        <f aca="false">IF(LEFT(AL873,1)="9","Celular",IF(AL873="","","Fixo"))</f>
        <v/>
      </c>
      <c r="AN873" s="58" t="str">
        <f aca="false">IF( AM873&lt;&gt;"",VLOOKUP(AM873,Selects!$M$4:$N$1000,2,0),"")</f>
        <v/>
      </c>
      <c r="AO873" s="58"/>
      <c r="AP873" s="59"/>
      <c r="AQ873" s="65"/>
      <c r="AR873" s="58"/>
      <c r="AS873" s="58"/>
      <c r="AT873" s="26"/>
      <c r="AU873" s="58"/>
      <c r="AV873" s="58"/>
      <c r="AW873" s="58"/>
      <c r="AX873" s="58"/>
      <c r="AY873" s="71"/>
      <c r="AZ873" s="58"/>
      <c r="BA873" s="58"/>
      <c r="BB873" s="72" t="str">
        <f aca="false">IF(BA873&lt;&gt;"",VLOOKUP(BA873,Selects!$B$4:$C$100,2,0),"")</f>
        <v/>
      </c>
      <c r="BC873" s="26"/>
      <c r="BD873" s="26"/>
      <c r="BE873" s="73"/>
      <c r="BF873" s="74"/>
      <c r="BG873" s="75" t="str">
        <f aca="false">IF(LEN(BF873)=11,"PF",IF(LEN(BF873)=14,"PJ",""))</f>
        <v/>
      </c>
      <c r="BH873" s="66"/>
      <c r="BI873" s="58" t="str">
        <f aca="false">IF(BH873&lt;&gt;"",VLOOKUP(BH873,Selects!$G:$H,2,0),"")</f>
        <v/>
      </c>
      <c r="BJ873" s="58"/>
      <c r="BK873" s="58"/>
      <c r="BL873" s="59"/>
      <c r="BM873" s="58"/>
      <c r="BN873" s="58"/>
      <c r="BO873" s="58" t="str">
        <f aca="false">IF(BN873&lt;&gt;"",VLOOKUP(BN873,Selects!$J$4:$K$1000,2,0),"")</f>
        <v/>
      </c>
      <c r="BP873" s="76"/>
      <c r="BQ873" s="59"/>
      <c r="BR873" s="77"/>
      <c r="BS873" s="59"/>
      <c r="BT873" s="77"/>
      <c r="BU873" s="58"/>
      <c r="BV873" s="58"/>
      <c r="BW873" s="58"/>
      <c r="BX873" s="58"/>
      <c r="BY873" s="58"/>
      <c r="BZ873" s="58"/>
      <c r="CA873" s="58"/>
      <c r="CB873" s="72" t="str">
        <f aca="false">IF(AC873&lt;&gt;"",VLOOKUP(AC873,Selects!$B:$E,4,0),"")</f>
        <v/>
      </c>
      <c r="CC873" s="58"/>
      <c r="CD873" s="58"/>
      <c r="CE873" s="58"/>
    </row>
    <row r="874" customFormat="false" ht="15.75" hidden="false" customHeight="true" outlineLevel="0" collapsed="false">
      <c r="A874" s="17"/>
      <c r="B874" s="58"/>
      <c r="C874" s="58"/>
      <c r="D874" s="59"/>
      <c r="E874" s="60" t="str">
        <f aca="false">IF(LEN(D874)=11,"PF",IF(LEN(D874)=14,"PJ",""))</f>
        <v/>
      </c>
      <c r="F874" s="59"/>
      <c r="G874" s="59"/>
      <c r="H874" s="61" t="str">
        <f aca="false">IF(G874&lt;&gt;"",VLOOKUP(G874,'Cnae  mcc  id'!$A:$M,9,0),"")</f>
        <v/>
      </c>
      <c r="I874" s="62"/>
      <c r="J874" s="63" t="str">
        <f aca="false">IF(I874&lt;&gt;"",VLOOKUP(I874,'Legal Nature'!$E$2:$G$84,3,0),"")</f>
        <v/>
      </c>
      <c r="K874" s="64"/>
      <c r="L874" s="65"/>
      <c r="M874" s="66"/>
      <c r="N874" s="66"/>
      <c r="O874" s="79"/>
      <c r="P874" s="26"/>
      <c r="Q874" s="58"/>
      <c r="R874" s="58"/>
      <c r="S874" s="80"/>
      <c r="T874" s="68" t="str">
        <f aca="false">IF(LEFT(S874,1)="9","Celular",IF(S874="","","Fixo"))</f>
        <v/>
      </c>
      <c r="U874" s="58" t="str">
        <f aca="false">IF( T874&lt;&gt;"",VLOOKUP(T874,Selects!$M$4:$N$1000,2,0),"")</f>
        <v/>
      </c>
      <c r="V874" s="26"/>
      <c r="W874" s="58"/>
      <c r="X874" s="58"/>
      <c r="Y874" s="58"/>
      <c r="Z874" s="58"/>
      <c r="AA874" s="69"/>
      <c r="AB874" s="58"/>
      <c r="AC874" s="58"/>
      <c r="AD874" s="70" t="str">
        <f aca="false">IF(AC874&lt;&gt;"",VLOOKUP(AC874,Selects!$B$4:$C$100,2,0),"")</f>
        <v/>
      </c>
      <c r="AE874" s="26"/>
      <c r="AF874" s="58"/>
      <c r="AG874" s="59"/>
      <c r="AH874" s="65"/>
      <c r="AI874" s="66"/>
      <c r="AJ874" s="66"/>
      <c r="AK874" s="58"/>
      <c r="AL874" s="58"/>
      <c r="AM874" s="68" t="str">
        <f aca="false">IF(LEFT(AL874,1)="9","Celular",IF(AL874="","","Fixo"))</f>
        <v/>
      </c>
      <c r="AN874" s="58" t="str">
        <f aca="false">IF( AM874&lt;&gt;"",VLOOKUP(AM874,Selects!$M$4:$N$1000,2,0),"")</f>
        <v/>
      </c>
      <c r="AO874" s="58"/>
      <c r="AP874" s="59"/>
      <c r="AQ874" s="65"/>
      <c r="AR874" s="58"/>
      <c r="AS874" s="58"/>
      <c r="AT874" s="26"/>
      <c r="AU874" s="58"/>
      <c r="AV874" s="58"/>
      <c r="AW874" s="58"/>
      <c r="AX874" s="58"/>
      <c r="AY874" s="71"/>
      <c r="AZ874" s="58"/>
      <c r="BA874" s="58"/>
      <c r="BB874" s="72" t="str">
        <f aca="false">IF(BA874&lt;&gt;"",VLOOKUP(BA874,Selects!$B$4:$C$100,2,0),"")</f>
        <v/>
      </c>
      <c r="BC874" s="26"/>
      <c r="BD874" s="26"/>
      <c r="BE874" s="73"/>
      <c r="BF874" s="74"/>
      <c r="BG874" s="75" t="str">
        <f aca="false">IF(LEN(BF874)=11,"PF",IF(LEN(BF874)=14,"PJ",""))</f>
        <v/>
      </c>
      <c r="BH874" s="66"/>
      <c r="BI874" s="58" t="str">
        <f aca="false">IF(BH874&lt;&gt;"",VLOOKUP(BH874,Selects!$G:$H,2,0),"")</f>
        <v/>
      </c>
      <c r="BJ874" s="58"/>
      <c r="BK874" s="58"/>
      <c r="BL874" s="59"/>
      <c r="BM874" s="58"/>
      <c r="BN874" s="58"/>
      <c r="BO874" s="58" t="str">
        <f aca="false">IF(BN874&lt;&gt;"",VLOOKUP(BN874,Selects!$J$4:$K$1000,2,0),"")</f>
        <v/>
      </c>
      <c r="BP874" s="76"/>
      <c r="BQ874" s="59"/>
      <c r="BR874" s="77"/>
      <c r="BS874" s="59"/>
      <c r="BT874" s="77"/>
      <c r="BU874" s="58"/>
      <c r="BV874" s="58"/>
      <c r="BW874" s="58"/>
      <c r="BX874" s="58"/>
      <c r="BY874" s="58"/>
      <c r="BZ874" s="58"/>
      <c r="CA874" s="58"/>
      <c r="CB874" s="72" t="str">
        <f aca="false">IF(AC874&lt;&gt;"",VLOOKUP(AC874,Selects!$B:$E,4,0),"")</f>
        <v/>
      </c>
      <c r="CC874" s="58"/>
      <c r="CD874" s="58"/>
      <c r="CE874" s="58"/>
    </row>
    <row r="875" customFormat="false" ht="15.75" hidden="false" customHeight="true" outlineLevel="0" collapsed="false">
      <c r="A875" s="17"/>
      <c r="B875" s="58"/>
      <c r="C875" s="58"/>
      <c r="D875" s="59"/>
      <c r="E875" s="60" t="str">
        <f aca="false">IF(LEN(D875)=11,"PF",IF(LEN(D875)=14,"PJ",""))</f>
        <v/>
      </c>
      <c r="F875" s="59"/>
      <c r="G875" s="59"/>
      <c r="H875" s="61" t="str">
        <f aca="false">IF(G875&lt;&gt;"",VLOOKUP(G875,'Cnae  mcc  id'!$A:$M,9,0),"")</f>
        <v/>
      </c>
      <c r="I875" s="62"/>
      <c r="J875" s="63" t="str">
        <f aca="false">IF(I875&lt;&gt;"",VLOOKUP(I875,'Legal Nature'!$E$2:$G$84,3,0),"")</f>
        <v/>
      </c>
      <c r="K875" s="64"/>
      <c r="L875" s="65"/>
      <c r="M875" s="66"/>
      <c r="N875" s="66"/>
      <c r="O875" s="79"/>
      <c r="P875" s="26"/>
      <c r="Q875" s="58"/>
      <c r="R875" s="58"/>
      <c r="S875" s="80"/>
      <c r="T875" s="68" t="str">
        <f aca="false">IF(LEFT(S875,1)="9","Celular",IF(S875="","","Fixo"))</f>
        <v/>
      </c>
      <c r="U875" s="58" t="str">
        <f aca="false">IF( T875&lt;&gt;"",VLOOKUP(T875,Selects!$M$4:$N$1000,2,0),"")</f>
        <v/>
      </c>
      <c r="V875" s="26"/>
      <c r="W875" s="58"/>
      <c r="X875" s="58"/>
      <c r="Y875" s="58"/>
      <c r="Z875" s="58"/>
      <c r="AA875" s="69"/>
      <c r="AB875" s="58"/>
      <c r="AC875" s="58"/>
      <c r="AD875" s="70" t="str">
        <f aca="false">IF(AC875&lt;&gt;"",VLOOKUP(AC875,Selects!$B$4:$C$100,2,0),"")</f>
        <v/>
      </c>
      <c r="AE875" s="26"/>
      <c r="AF875" s="58"/>
      <c r="AG875" s="59"/>
      <c r="AH875" s="65"/>
      <c r="AI875" s="66"/>
      <c r="AJ875" s="66"/>
      <c r="AK875" s="58"/>
      <c r="AL875" s="58"/>
      <c r="AM875" s="68" t="str">
        <f aca="false">IF(LEFT(AL875,1)="9","Celular",IF(AL875="","","Fixo"))</f>
        <v/>
      </c>
      <c r="AN875" s="58" t="str">
        <f aca="false">IF( AM875&lt;&gt;"",VLOOKUP(AM875,Selects!$M$4:$N$1000,2,0),"")</f>
        <v/>
      </c>
      <c r="AO875" s="58"/>
      <c r="AP875" s="59"/>
      <c r="AQ875" s="65"/>
      <c r="AR875" s="58"/>
      <c r="AS875" s="58"/>
      <c r="AT875" s="26"/>
      <c r="AU875" s="58"/>
      <c r="AV875" s="58"/>
      <c r="AW875" s="58"/>
      <c r="AX875" s="58"/>
      <c r="AY875" s="71"/>
      <c r="AZ875" s="58"/>
      <c r="BA875" s="58"/>
      <c r="BB875" s="72" t="str">
        <f aca="false">IF(BA875&lt;&gt;"",VLOOKUP(BA875,Selects!$B$4:$C$100,2,0),"")</f>
        <v/>
      </c>
      <c r="BC875" s="26"/>
      <c r="BD875" s="26"/>
      <c r="BE875" s="73"/>
      <c r="BF875" s="74"/>
      <c r="BG875" s="75" t="str">
        <f aca="false">IF(LEN(BF875)=11,"PF",IF(LEN(BF875)=14,"PJ",""))</f>
        <v/>
      </c>
      <c r="BH875" s="66"/>
      <c r="BI875" s="58" t="str">
        <f aca="false">IF(BH875&lt;&gt;"",VLOOKUP(BH875,Selects!$G:$H,2,0),"")</f>
        <v/>
      </c>
      <c r="BJ875" s="58"/>
      <c r="BK875" s="58"/>
      <c r="BL875" s="59"/>
      <c r="BM875" s="58"/>
      <c r="BN875" s="58"/>
      <c r="BO875" s="58" t="str">
        <f aca="false">IF(BN875&lt;&gt;"",VLOOKUP(BN875,Selects!$J$4:$K$1000,2,0),"")</f>
        <v/>
      </c>
      <c r="BP875" s="76"/>
      <c r="BQ875" s="59"/>
      <c r="BR875" s="77"/>
      <c r="BS875" s="59"/>
      <c r="BT875" s="77"/>
      <c r="BU875" s="58"/>
      <c r="BV875" s="58"/>
      <c r="BW875" s="58"/>
      <c r="BX875" s="58"/>
      <c r="BY875" s="58"/>
      <c r="BZ875" s="58"/>
      <c r="CA875" s="58"/>
      <c r="CB875" s="72" t="str">
        <f aca="false">IF(AC875&lt;&gt;"",VLOOKUP(AC875,Selects!$B:$E,4,0),"")</f>
        <v/>
      </c>
      <c r="CC875" s="58"/>
      <c r="CD875" s="58"/>
      <c r="CE875" s="58"/>
    </row>
    <row r="876" customFormat="false" ht="15.75" hidden="false" customHeight="true" outlineLevel="0" collapsed="false">
      <c r="A876" s="17"/>
      <c r="B876" s="58"/>
      <c r="C876" s="58"/>
      <c r="D876" s="59"/>
      <c r="E876" s="60" t="str">
        <f aca="false">IF(LEN(D876)=11,"PF",IF(LEN(D876)=14,"PJ",""))</f>
        <v/>
      </c>
      <c r="F876" s="59"/>
      <c r="G876" s="59"/>
      <c r="H876" s="61" t="str">
        <f aca="false">IF(G876&lt;&gt;"",VLOOKUP(G876,'Cnae  mcc  id'!$A:$M,9,0),"")</f>
        <v/>
      </c>
      <c r="I876" s="62"/>
      <c r="J876" s="63" t="str">
        <f aca="false">IF(I876&lt;&gt;"",VLOOKUP(I876,'Legal Nature'!$E$2:$G$84,3,0),"")</f>
        <v/>
      </c>
      <c r="K876" s="64"/>
      <c r="L876" s="65"/>
      <c r="M876" s="66"/>
      <c r="N876" s="66"/>
      <c r="O876" s="79"/>
      <c r="P876" s="26"/>
      <c r="Q876" s="58"/>
      <c r="R876" s="58"/>
      <c r="S876" s="80"/>
      <c r="T876" s="68" t="str">
        <f aca="false">IF(LEFT(S876,1)="9","Celular",IF(S876="","","Fixo"))</f>
        <v/>
      </c>
      <c r="U876" s="58" t="str">
        <f aca="false">IF( T876&lt;&gt;"",VLOOKUP(T876,Selects!$M$4:$N$1000,2,0),"")</f>
        <v/>
      </c>
      <c r="V876" s="26"/>
      <c r="W876" s="58"/>
      <c r="X876" s="58"/>
      <c r="Y876" s="58"/>
      <c r="Z876" s="58"/>
      <c r="AA876" s="69"/>
      <c r="AB876" s="58"/>
      <c r="AC876" s="58"/>
      <c r="AD876" s="70" t="str">
        <f aca="false">IF(AC876&lt;&gt;"",VLOOKUP(AC876,Selects!$B$4:$C$100,2,0),"")</f>
        <v/>
      </c>
      <c r="AE876" s="26"/>
      <c r="AF876" s="58"/>
      <c r="AG876" s="59"/>
      <c r="AH876" s="65"/>
      <c r="AI876" s="66"/>
      <c r="AJ876" s="66"/>
      <c r="AK876" s="58"/>
      <c r="AL876" s="58"/>
      <c r="AM876" s="68" t="str">
        <f aca="false">IF(LEFT(AL876,1)="9","Celular",IF(AL876="","","Fixo"))</f>
        <v/>
      </c>
      <c r="AN876" s="58" t="str">
        <f aca="false">IF( AM876&lt;&gt;"",VLOOKUP(AM876,Selects!$M$4:$N$1000,2,0),"")</f>
        <v/>
      </c>
      <c r="AO876" s="58"/>
      <c r="AP876" s="59"/>
      <c r="AQ876" s="65"/>
      <c r="AR876" s="58"/>
      <c r="AS876" s="58"/>
      <c r="AT876" s="26"/>
      <c r="AU876" s="58"/>
      <c r="AV876" s="58"/>
      <c r="AW876" s="58"/>
      <c r="AX876" s="58"/>
      <c r="AY876" s="71"/>
      <c r="AZ876" s="58"/>
      <c r="BA876" s="58"/>
      <c r="BB876" s="72" t="str">
        <f aca="false">IF(BA876&lt;&gt;"",VLOOKUP(BA876,Selects!$B$4:$C$100,2,0),"")</f>
        <v/>
      </c>
      <c r="BC876" s="26"/>
      <c r="BD876" s="26"/>
      <c r="BE876" s="73"/>
      <c r="BF876" s="74"/>
      <c r="BG876" s="75" t="str">
        <f aca="false">IF(LEN(BF876)=11,"PF",IF(LEN(BF876)=14,"PJ",""))</f>
        <v/>
      </c>
      <c r="BH876" s="66"/>
      <c r="BI876" s="58" t="str">
        <f aca="false">IF(BH876&lt;&gt;"",VLOOKUP(BH876,Selects!$G:$H,2,0),"")</f>
        <v/>
      </c>
      <c r="BJ876" s="58"/>
      <c r="BK876" s="58"/>
      <c r="BL876" s="59"/>
      <c r="BM876" s="58"/>
      <c r="BN876" s="58"/>
      <c r="BO876" s="58" t="str">
        <f aca="false">IF(BN876&lt;&gt;"",VLOOKUP(BN876,Selects!$J$4:$K$1000,2,0),"")</f>
        <v/>
      </c>
      <c r="BP876" s="76"/>
      <c r="BQ876" s="59"/>
      <c r="BR876" s="77"/>
      <c r="BS876" s="59"/>
      <c r="BT876" s="77"/>
      <c r="BU876" s="58"/>
      <c r="BV876" s="58"/>
      <c r="BW876" s="58"/>
      <c r="BX876" s="58"/>
      <c r="BY876" s="58"/>
      <c r="BZ876" s="58"/>
      <c r="CA876" s="58"/>
      <c r="CB876" s="72" t="str">
        <f aca="false">IF(AC876&lt;&gt;"",VLOOKUP(AC876,Selects!$B:$E,4,0),"")</f>
        <v/>
      </c>
      <c r="CC876" s="58"/>
      <c r="CD876" s="58"/>
      <c r="CE876" s="58"/>
    </row>
    <row r="877" customFormat="false" ht="15.75" hidden="false" customHeight="true" outlineLevel="0" collapsed="false">
      <c r="A877" s="17"/>
      <c r="B877" s="58"/>
      <c r="C877" s="58"/>
      <c r="D877" s="59"/>
      <c r="E877" s="60" t="str">
        <f aca="false">IF(LEN(D877)=11,"PF",IF(LEN(D877)=14,"PJ",""))</f>
        <v/>
      </c>
      <c r="F877" s="59"/>
      <c r="G877" s="59"/>
      <c r="H877" s="61" t="str">
        <f aca="false">IF(G877&lt;&gt;"",VLOOKUP(G877,'Cnae  mcc  id'!$A:$M,9,0),"")</f>
        <v/>
      </c>
      <c r="I877" s="62"/>
      <c r="J877" s="63" t="str">
        <f aca="false">IF(I877&lt;&gt;"",VLOOKUP(I877,'Legal Nature'!$E$2:$G$84,3,0),"")</f>
        <v/>
      </c>
      <c r="K877" s="64"/>
      <c r="L877" s="65"/>
      <c r="M877" s="66"/>
      <c r="N877" s="66"/>
      <c r="O877" s="79"/>
      <c r="P877" s="26"/>
      <c r="Q877" s="58"/>
      <c r="R877" s="58"/>
      <c r="S877" s="80"/>
      <c r="T877" s="68" t="str">
        <f aca="false">IF(LEFT(S877,1)="9","Celular",IF(S877="","","Fixo"))</f>
        <v/>
      </c>
      <c r="U877" s="58" t="str">
        <f aca="false">IF( T877&lt;&gt;"",VLOOKUP(T877,Selects!$M$4:$N$1000,2,0),"")</f>
        <v/>
      </c>
      <c r="V877" s="26"/>
      <c r="W877" s="58"/>
      <c r="X877" s="58"/>
      <c r="Y877" s="58"/>
      <c r="Z877" s="58"/>
      <c r="AA877" s="69"/>
      <c r="AB877" s="58"/>
      <c r="AC877" s="58"/>
      <c r="AD877" s="70" t="str">
        <f aca="false">IF(AC877&lt;&gt;"",VLOOKUP(AC877,Selects!$B$4:$C$100,2,0),"")</f>
        <v/>
      </c>
      <c r="AE877" s="26"/>
      <c r="AF877" s="58"/>
      <c r="AG877" s="59"/>
      <c r="AH877" s="65"/>
      <c r="AI877" s="66"/>
      <c r="AJ877" s="66"/>
      <c r="AK877" s="58"/>
      <c r="AL877" s="58"/>
      <c r="AM877" s="68" t="str">
        <f aca="false">IF(LEFT(AL877,1)="9","Celular",IF(AL877="","","Fixo"))</f>
        <v/>
      </c>
      <c r="AN877" s="58" t="str">
        <f aca="false">IF( AM877&lt;&gt;"",VLOOKUP(AM877,Selects!$M$4:$N$1000,2,0),"")</f>
        <v/>
      </c>
      <c r="AO877" s="58"/>
      <c r="AP877" s="59"/>
      <c r="AQ877" s="65"/>
      <c r="AR877" s="58"/>
      <c r="AS877" s="58"/>
      <c r="AT877" s="26"/>
      <c r="AU877" s="58"/>
      <c r="AV877" s="58"/>
      <c r="AW877" s="58"/>
      <c r="AX877" s="58"/>
      <c r="AY877" s="71"/>
      <c r="AZ877" s="58"/>
      <c r="BA877" s="58"/>
      <c r="BB877" s="72" t="str">
        <f aca="false">IF(BA877&lt;&gt;"",VLOOKUP(BA877,Selects!$B$4:$C$100,2,0),"")</f>
        <v/>
      </c>
      <c r="BC877" s="26"/>
      <c r="BD877" s="26"/>
      <c r="BE877" s="73"/>
      <c r="BF877" s="74"/>
      <c r="BG877" s="75" t="str">
        <f aca="false">IF(LEN(BF877)=11,"PF",IF(LEN(BF877)=14,"PJ",""))</f>
        <v/>
      </c>
      <c r="BH877" s="66"/>
      <c r="BI877" s="58" t="str">
        <f aca="false">IF(BH877&lt;&gt;"",VLOOKUP(BH877,Selects!$G:$H,2,0),"")</f>
        <v/>
      </c>
      <c r="BJ877" s="58"/>
      <c r="BK877" s="58"/>
      <c r="BL877" s="59"/>
      <c r="BM877" s="58"/>
      <c r="BN877" s="58"/>
      <c r="BO877" s="58" t="str">
        <f aca="false">IF(BN877&lt;&gt;"",VLOOKUP(BN877,Selects!$J$4:$K$1000,2,0),"")</f>
        <v/>
      </c>
      <c r="BP877" s="76"/>
      <c r="BQ877" s="59"/>
      <c r="BR877" s="77"/>
      <c r="BS877" s="59"/>
      <c r="BT877" s="77"/>
      <c r="BU877" s="58"/>
      <c r="BV877" s="58"/>
      <c r="BW877" s="58"/>
      <c r="BX877" s="58"/>
      <c r="BY877" s="58"/>
      <c r="BZ877" s="58"/>
      <c r="CA877" s="58"/>
      <c r="CB877" s="72" t="str">
        <f aca="false">IF(AC877&lt;&gt;"",VLOOKUP(AC877,Selects!$B:$E,4,0),"")</f>
        <v/>
      </c>
      <c r="CC877" s="58"/>
      <c r="CD877" s="58"/>
      <c r="CE877" s="58"/>
    </row>
    <row r="878" customFormat="false" ht="15.75" hidden="false" customHeight="true" outlineLevel="0" collapsed="false">
      <c r="A878" s="17"/>
      <c r="B878" s="58"/>
      <c r="C878" s="58"/>
      <c r="D878" s="59"/>
      <c r="E878" s="60" t="str">
        <f aca="false">IF(LEN(D878)=11,"PF",IF(LEN(D878)=14,"PJ",""))</f>
        <v/>
      </c>
      <c r="F878" s="59"/>
      <c r="G878" s="59"/>
      <c r="H878" s="61" t="str">
        <f aca="false">IF(G878&lt;&gt;"",VLOOKUP(G878,'Cnae  mcc  id'!$A:$M,9,0),"")</f>
        <v/>
      </c>
      <c r="I878" s="62"/>
      <c r="J878" s="63" t="str">
        <f aca="false">IF(I878&lt;&gt;"",VLOOKUP(I878,'Legal Nature'!$E$2:$G$84,3,0),"")</f>
        <v/>
      </c>
      <c r="K878" s="64"/>
      <c r="L878" s="65"/>
      <c r="M878" s="66"/>
      <c r="N878" s="66"/>
      <c r="O878" s="79"/>
      <c r="P878" s="26"/>
      <c r="Q878" s="58"/>
      <c r="R878" s="58"/>
      <c r="S878" s="80"/>
      <c r="T878" s="68" t="str">
        <f aca="false">IF(LEFT(S878,1)="9","Celular",IF(S878="","","Fixo"))</f>
        <v/>
      </c>
      <c r="U878" s="58" t="str">
        <f aca="false">IF( T878&lt;&gt;"",VLOOKUP(T878,Selects!$M$4:$N$1000,2,0),"")</f>
        <v/>
      </c>
      <c r="V878" s="26"/>
      <c r="W878" s="58"/>
      <c r="X878" s="58"/>
      <c r="Y878" s="58"/>
      <c r="Z878" s="58"/>
      <c r="AA878" s="69"/>
      <c r="AB878" s="58"/>
      <c r="AC878" s="58"/>
      <c r="AD878" s="70" t="str">
        <f aca="false">IF(AC878&lt;&gt;"",VLOOKUP(AC878,Selects!$B$4:$C$100,2,0),"")</f>
        <v/>
      </c>
      <c r="AE878" s="26"/>
      <c r="AF878" s="58"/>
      <c r="AG878" s="59"/>
      <c r="AH878" s="65"/>
      <c r="AI878" s="66"/>
      <c r="AJ878" s="66"/>
      <c r="AK878" s="58"/>
      <c r="AL878" s="58"/>
      <c r="AM878" s="68" t="str">
        <f aca="false">IF(LEFT(AL878,1)="9","Celular",IF(AL878="","","Fixo"))</f>
        <v/>
      </c>
      <c r="AN878" s="58" t="str">
        <f aca="false">IF( AM878&lt;&gt;"",VLOOKUP(AM878,Selects!$M$4:$N$1000,2,0),"")</f>
        <v/>
      </c>
      <c r="AO878" s="58"/>
      <c r="AP878" s="59"/>
      <c r="AQ878" s="65"/>
      <c r="AR878" s="58"/>
      <c r="AS878" s="58"/>
      <c r="AT878" s="26"/>
      <c r="AU878" s="58"/>
      <c r="AV878" s="58"/>
      <c r="AW878" s="58"/>
      <c r="AX878" s="58"/>
      <c r="AY878" s="71"/>
      <c r="AZ878" s="58"/>
      <c r="BA878" s="58"/>
      <c r="BB878" s="72" t="str">
        <f aca="false">IF(BA878&lt;&gt;"",VLOOKUP(BA878,Selects!$B$4:$C$100,2,0),"")</f>
        <v/>
      </c>
      <c r="BC878" s="26"/>
      <c r="BD878" s="26"/>
      <c r="BE878" s="73"/>
      <c r="BF878" s="74"/>
      <c r="BG878" s="75" t="str">
        <f aca="false">IF(LEN(BF878)=11,"PF",IF(LEN(BF878)=14,"PJ",""))</f>
        <v/>
      </c>
      <c r="BH878" s="66"/>
      <c r="BI878" s="58" t="str">
        <f aca="false">IF(BH878&lt;&gt;"",VLOOKUP(BH878,Selects!$G:$H,2,0),"")</f>
        <v/>
      </c>
      <c r="BJ878" s="58"/>
      <c r="BK878" s="58"/>
      <c r="BL878" s="59"/>
      <c r="BM878" s="58"/>
      <c r="BN878" s="58"/>
      <c r="BO878" s="58" t="str">
        <f aca="false">IF(BN878&lt;&gt;"",VLOOKUP(BN878,Selects!$J$4:$K$1000,2,0),"")</f>
        <v/>
      </c>
      <c r="BP878" s="76"/>
      <c r="BQ878" s="59"/>
      <c r="BR878" s="77"/>
      <c r="BS878" s="59"/>
      <c r="BT878" s="77"/>
      <c r="BU878" s="58"/>
      <c r="BV878" s="58"/>
      <c r="BW878" s="58"/>
      <c r="BX878" s="58"/>
      <c r="BY878" s="58"/>
      <c r="BZ878" s="58"/>
      <c r="CA878" s="58"/>
      <c r="CB878" s="72" t="str">
        <f aca="false">IF(AC878&lt;&gt;"",VLOOKUP(AC878,Selects!$B:$E,4,0),"")</f>
        <v/>
      </c>
      <c r="CC878" s="58"/>
      <c r="CD878" s="58"/>
      <c r="CE878" s="58"/>
    </row>
    <row r="879" customFormat="false" ht="15.75" hidden="false" customHeight="true" outlineLevel="0" collapsed="false">
      <c r="A879" s="17"/>
      <c r="B879" s="58"/>
      <c r="C879" s="58"/>
      <c r="D879" s="59"/>
      <c r="E879" s="60" t="str">
        <f aca="false">IF(LEN(D879)=11,"PF",IF(LEN(D879)=14,"PJ",""))</f>
        <v/>
      </c>
      <c r="F879" s="59"/>
      <c r="G879" s="59"/>
      <c r="H879" s="61" t="str">
        <f aca="false">IF(G879&lt;&gt;"",VLOOKUP(G879,'Cnae  mcc  id'!$A:$M,9,0),"")</f>
        <v/>
      </c>
      <c r="I879" s="62"/>
      <c r="J879" s="63" t="str">
        <f aca="false">IF(I879&lt;&gt;"",VLOOKUP(I879,'Legal Nature'!$E$2:$G$84,3,0),"")</f>
        <v/>
      </c>
      <c r="K879" s="64"/>
      <c r="L879" s="65"/>
      <c r="M879" s="66"/>
      <c r="N879" s="66"/>
      <c r="O879" s="79"/>
      <c r="P879" s="26"/>
      <c r="Q879" s="58"/>
      <c r="R879" s="58"/>
      <c r="S879" s="80"/>
      <c r="T879" s="68" t="str">
        <f aca="false">IF(LEFT(S879,1)="9","Celular",IF(S879="","","Fixo"))</f>
        <v/>
      </c>
      <c r="U879" s="58" t="str">
        <f aca="false">IF( T879&lt;&gt;"",VLOOKUP(T879,Selects!$M$4:$N$1000,2,0),"")</f>
        <v/>
      </c>
      <c r="V879" s="26"/>
      <c r="W879" s="58"/>
      <c r="X879" s="58"/>
      <c r="Y879" s="58"/>
      <c r="Z879" s="58"/>
      <c r="AA879" s="69"/>
      <c r="AB879" s="58"/>
      <c r="AC879" s="58"/>
      <c r="AD879" s="70" t="str">
        <f aca="false">IF(AC879&lt;&gt;"",VLOOKUP(AC879,Selects!$B$4:$C$100,2,0),"")</f>
        <v/>
      </c>
      <c r="AE879" s="26"/>
      <c r="AF879" s="58"/>
      <c r="AG879" s="59"/>
      <c r="AH879" s="65"/>
      <c r="AI879" s="66"/>
      <c r="AJ879" s="66"/>
      <c r="AK879" s="58"/>
      <c r="AL879" s="58"/>
      <c r="AM879" s="68" t="str">
        <f aca="false">IF(LEFT(AL879,1)="9","Celular",IF(AL879="","","Fixo"))</f>
        <v/>
      </c>
      <c r="AN879" s="58" t="str">
        <f aca="false">IF( AM879&lt;&gt;"",VLOOKUP(AM879,Selects!$M$4:$N$1000,2,0),"")</f>
        <v/>
      </c>
      <c r="AO879" s="58"/>
      <c r="AP879" s="59"/>
      <c r="AQ879" s="65"/>
      <c r="AR879" s="58"/>
      <c r="AS879" s="58"/>
      <c r="AT879" s="26"/>
      <c r="AU879" s="58"/>
      <c r="AV879" s="58"/>
      <c r="AW879" s="58"/>
      <c r="AX879" s="58"/>
      <c r="AY879" s="71"/>
      <c r="AZ879" s="58"/>
      <c r="BA879" s="58"/>
      <c r="BB879" s="72" t="str">
        <f aca="false">IF(BA879&lt;&gt;"",VLOOKUP(BA879,Selects!$B$4:$C$100,2,0),"")</f>
        <v/>
      </c>
      <c r="BC879" s="26"/>
      <c r="BD879" s="26"/>
      <c r="BE879" s="73"/>
      <c r="BF879" s="74"/>
      <c r="BG879" s="75" t="str">
        <f aca="false">IF(LEN(BF879)=11,"PF",IF(LEN(BF879)=14,"PJ",""))</f>
        <v/>
      </c>
      <c r="BH879" s="66"/>
      <c r="BI879" s="58" t="str">
        <f aca="false">IF(BH879&lt;&gt;"",VLOOKUP(BH879,Selects!$G:$H,2,0),"")</f>
        <v/>
      </c>
      <c r="BJ879" s="58"/>
      <c r="BK879" s="58"/>
      <c r="BL879" s="59"/>
      <c r="BM879" s="58"/>
      <c r="BN879" s="58"/>
      <c r="BO879" s="58" t="str">
        <f aca="false">IF(BN879&lt;&gt;"",VLOOKUP(BN879,Selects!$J$4:$K$1000,2,0),"")</f>
        <v/>
      </c>
      <c r="BP879" s="76"/>
      <c r="BQ879" s="59"/>
      <c r="BR879" s="77"/>
      <c r="BS879" s="59"/>
      <c r="BT879" s="77"/>
      <c r="BU879" s="58"/>
      <c r="BV879" s="58"/>
      <c r="BW879" s="58"/>
      <c r="BX879" s="58"/>
      <c r="BY879" s="58"/>
      <c r="BZ879" s="58"/>
      <c r="CA879" s="58"/>
      <c r="CB879" s="72" t="str">
        <f aca="false">IF(AC879&lt;&gt;"",VLOOKUP(AC879,Selects!$B:$E,4,0),"")</f>
        <v/>
      </c>
      <c r="CC879" s="58"/>
      <c r="CD879" s="58"/>
      <c r="CE879" s="58"/>
    </row>
    <row r="880" customFormat="false" ht="15.75" hidden="false" customHeight="true" outlineLevel="0" collapsed="false">
      <c r="A880" s="17"/>
      <c r="B880" s="58"/>
      <c r="C880" s="58"/>
      <c r="D880" s="59"/>
      <c r="E880" s="60" t="str">
        <f aca="false">IF(LEN(D880)=11,"PF",IF(LEN(D880)=14,"PJ",""))</f>
        <v/>
      </c>
      <c r="F880" s="59"/>
      <c r="G880" s="59"/>
      <c r="H880" s="61" t="str">
        <f aca="false">IF(G880&lt;&gt;"",VLOOKUP(G880,'Cnae  mcc  id'!$A:$M,9,0),"")</f>
        <v/>
      </c>
      <c r="I880" s="62"/>
      <c r="J880" s="63" t="str">
        <f aca="false">IF(I880&lt;&gt;"",VLOOKUP(I880,'Legal Nature'!$E$2:$G$84,3,0),"")</f>
        <v/>
      </c>
      <c r="K880" s="64"/>
      <c r="L880" s="65"/>
      <c r="M880" s="66"/>
      <c r="N880" s="66"/>
      <c r="O880" s="79"/>
      <c r="P880" s="26"/>
      <c r="Q880" s="58"/>
      <c r="R880" s="58"/>
      <c r="S880" s="80"/>
      <c r="T880" s="68" t="str">
        <f aca="false">IF(LEFT(S880,1)="9","Celular",IF(S880="","","Fixo"))</f>
        <v/>
      </c>
      <c r="U880" s="58" t="str">
        <f aca="false">IF( T880&lt;&gt;"",VLOOKUP(T880,Selects!$M$4:$N$1000,2,0),"")</f>
        <v/>
      </c>
      <c r="V880" s="26"/>
      <c r="W880" s="58"/>
      <c r="X880" s="58"/>
      <c r="Y880" s="58"/>
      <c r="Z880" s="58"/>
      <c r="AA880" s="69"/>
      <c r="AB880" s="58"/>
      <c r="AC880" s="58"/>
      <c r="AD880" s="70" t="str">
        <f aca="false">IF(AC880&lt;&gt;"",VLOOKUP(AC880,Selects!$B$4:$C$100,2,0),"")</f>
        <v/>
      </c>
      <c r="AE880" s="26"/>
      <c r="AF880" s="58"/>
      <c r="AG880" s="59"/>
      <c r="AH880" s="65"/>
      <c r="AI880" s="66"/>
      <c r="AJ880" s="66"/>
      <c r="AK880" s="58"/>
      <c r="AL880" s="58"/>
      <c r="AM880" s="68" t="str">
        <f aca="false">IF(LEFT(AL880,1)="9","Celular",IF(AL880="","","Fixo"))</f>
        <v/>
      </c>
      <c r="AN880" s="58" t="str">
        <f aca="false">IF( AM880&lt;&gt;"",VLOOKUP(AM880,Selects!$M$4:$N$1000,2,0),"")</f>
        <v/>
      </c>
      <c r="AO880" s="58"/>
      <c r="AP880" s="59"/>
      <c r="AQ880" s="65"/>
      <c r="AR880" s="58"/>
      <c r="AS880" s="58"/>
      <c r="AT880" s="26"/>
      <c r="AU880" s="58"/>
      <c r="AV880" s="58"/>
      <c r="AW880" s="58"/>
      <c r="AX880" s="58"/>
      <c r="AY880" s="71"/>
      <c r="AZ880" s="58"/>
      <c r="BA880" s="58"/>
      <c r="BB880" s="72" t="str">
        <f aca="false">IF(BA880&lt;&gt;"",VLOOKUP(BA880,Selects!$B$4:$C$100,2,0),"")</f>
        <v/>
      </c>
      <c r="BC880" s="26"/>
      <c r="BD880" s="26"/>
      <c r="BE880" s="73"/>
      <c r="BF880" s="74"/>
      <c r="BG880" s="75" t="str">
        <f aca="false">IF(LEN(BF880)=11,"PF",IF(LEN(BF880)=14,"PJ",""))</f>
        <v/>
      </c>
      <c r="BH880" s="66"/>
      <c r="BI880" s="58" t="str">
        <f aca="false">IF(BH880&lt;&gt;"",VLOOKUP(BH880,Selects!$G:$H,2,0),"")</f>
        <v/>
      </c>
      <c r="BJ880" s="58"/>
      <c r="BK880" s="58"/>
      <c r="BL880" s="59"/>
      <c r="BM880" s="58"/>
      <c r="BN880" s="58"/>
      <c r="BO880" s="58" t="str">
        <f aca="false">IF(BN880&lt;&gt;"",VLOOKUP(BN880,Selects!$J$4:$K$1000,2,0),"")</f>
        <v/>
      </c>
      <c r="BP880" s="76"/>
      <c r="BQ880" s="59"/>
      <c r="BR880" s="77"/>
      <c r="BS880" s="59"/>
      <c r="BT880" s="77"/>
      <c r="BU880" s="58"/>
      <c r="BV880" s="58"/>
      <c r="BW880" s="58"/>
      <c r="BX880" s="58"/>
      <c r="BY880" s="58"/>
      <c r="BZ880" s="58"/>
      <c r="CA880" s="58"/>
      <c r="CB880" s="72" t="str">
        <f aca="false">IF(AC880&lt;&gt;"",VLOOKUP(AC880,Selects!$B:$E,4,0),"")</f>
        <v/>
      </c>
      <c r="CC880" s="58"/>
      <c r="CD880" s="58"/>
      <c r="CE880" s="58"/>
    </row>
    <row r="881" customFormat="false" ht="15.75" hidden="false" customHeight="true" outlineLevel="0" collapsed="false">
      <c r="A881" s="17"/>
      <c r="B881" s="58"/>
      <c r="C881" s="58"/>
      <c r="D881" s="59"/>
      <c r="E881" s="60" t="str">
        <f aca="false">IF(LEN(D881)=11,"PF",IF(LEN(D881)=14,"PJ",""))</f>
        <v/>
      </c>
      <c r="F881" s="59"/>
      <c r="G881" s="59"/>
      <c r="H881" s="61" t="str">
        <f aca="false">IF(G881&lt;&gt;"",VLOOKUP(G881,'Cnae  mcc  id'!$A:$M,9,0),"")</f>
        <v/>
      </c>
      <c r="I881" s="62"/>
      <c r="J881" s="63" t="str">
        <f aca="false">IF(I881&lt;&gt;"",VLOOKUP(I881,'Legal Nature'!$E$2:$G$84,3,0),"")</f>
        <v/>
      </c>
      <c r="K881" s="64"/>
      <c r="L881" s="65"/>
      <c r="M881" s="66"/>
      <c r="N881" s="66"/>
      <c r="O881" s="79"/>
      <c r="P881" s="26"/>
      <c r="Q881" s="58"/>
      <c r="R881" s="58"/>
      <c r="S881" s="80"/>
      <c r="T881" s="68" t="str">
        <f aca="false">IF(LEFT(S881,1)="9","Celular",IF(S881="","","Fixo"))</f>
        <v/>
      </c>
      <c r="U881" s="58" t="str">
        <f aca="false">IF( T881&lt;&gt;"",VLOOKUP(T881,Selects!$M$4:$N$1000,2,0),"")</f>
        <v/>
      </c>
      <c r="V881" s="26"/>
      <c r="W881" s="58"/>
      <c r="X881" s="58"/>
      <c r="Y881" s="58"/>
      <c r="Z881" s="58"/>
      <c r="AA881" s="69"/>
      <c r="AB881" s="58"/>
      <c r="AC881" s="58"/>
      <c r="AD881" s="70" t="str">
        <f aca="false">IF(AC881&lt;&gt;"",VLOOKUP(AC881,Selects!$B$4:$C$100,2,0),"")</f>
        <v/>
      </c>
      <c r="AE881" s="26"/>
      <c r="AF881" s="58"/>
      <c r="AG881" s="59"/>
      <c r="AH881" s="65"/>
      <c r="AI881" s="66"/>
      <c r="AJ881" s="66"/>
      <c r="AK881" s="58"/>
      <c r="AL881" s="58"/>
      <c r="AM881" s="68" t="str">
        <f aca="false">IF(LEFT(AL881,1)="9","Celular",IF(AL881="","","Fixo"))</f>
        <v/>
      </c>
      <c r="AN881" s="58" t="str">
        <f aca="false">IF( AM881&lt;&gt;"",VLOOKUP(AM881,Selects!$M$4:$N$1000,2,0),"")</f>
        <v/>
      </c>
      <c r="AO881" s="58"/>
      <c r="AP881" s="59"/>
      <c r="AQ881" s="65"/>
      <c r="AR881" s="58"/>
      <c r="AS881" s="58"/>
      <c r="AT881" s="26"/>
      <c r="AU881" s="58"/>
      <c r="AV881" s="58"/>
      <c r="AW881" s="58"/>
      <c r="AX881" s="58"/>
      <c r="AY881" s="71"/>
      <c r="AZ881" s="58"/>
      <c r="BA881" s="58"/>
      <c r="BB881" s="72" t="str">
        <f aca="false">IF(BA881&lt;&gt;"",VLOOKUP(BA881,Selects!$B$4:$C$100,2,0),"")</f>
        <v/>
      </c>
      <c r="BC881" s="26"/>
      <c r="BD881" s="26"/>
      <c r="BE881" s="73"/>
      <c r="BF881" s="74"/>
      <c r="BG881" s="75" t="str">
        <f aca="false">IF(LEN(BF881)=11,"PF",IF(LEN(BF881)=14,"PJ",""))</f>
        <v/>
      </c>
      <c r="BH881" s="66"/>
      <c r="BI881" s="58" t="str">
        <f aca="false">IF(BH881&lt;&gt;"",VLOOKUP(BH881,Selects!$G:$H,2,0),"")</f>
        <v/>
      </c>
      <c r="BJ881" s="58"/>
      <c r="BK881" s="58"/>
      <c r="BL881" s="59"/>
      <c r="BM881" s="58"/>
      <c r="BN881" s="58"/>
      <c r="BO881" s="58" t="str">
        <f aca="false">IF(BN881&lt;&gt;"",VLOOKUP(BN881,Selects!$J$4:$K$1000,2,0),"")</f>
        <v/>
      </c>
      <c r="BP881" s="76"/>
      <c r="BQ881" s="59"/>
      <c r="BR881" s="77"/>
      <c r="BS881" s="59"/>
      <c r="BT881" s="77"/>
      <c r="BU881" s="58"/>
      <c r="BV881" s="58"/>
      <c r="BW881" s="58"/>
      <c r="BX881" s="58"/>
      <c r="BY881" s="58"/>
      <c r="BZ881" s="58"/>
      <c r="CA881" s="58"/>
      <c r="CB881" s="72" t="str">
        <f aca="false">IF(AC881&lt;&gt;"",VLOOKUP(AC881,Selects!$B:$E,4,0),"")</f>
        <v/>
      </c>
      <c r="CC881" s="58"/>
      <c r="CD881" s="58"/>
      <c r="CE881" s="58"/>
    </row>
    <row r="882" customFormat="false" ht="15.75" hidden="false" customHeight="true" outlineLevel="0" collapsed="false">
      <c r="A882" s="17"/>
      <c r="B882" s="58"/>
      <c r="C882" s="58"/>
      <c r="D882" s="59"/>
      <c r="E882" s="60" t="str">
        <f aca="false">IF(LEN(D882)=11,"PF",IF(LEN(D882)=14,"PJ",""))</f>
        <v/>
      </c>
      <c r="F882" s="59"/>
      <c r="G882" s="59"/>
      <c r="H882" s="61" t="str">
        <f aca="false">IF(G882&lt;&gt;"",VLOOKUP(G882,'Cnae  mcc  id'!$A:$M,9,0),"")</f>
        <v/>
      </c>
      <c r="I882" s="62"/>
      <c r="J882" s="63" t="str">
        <f aca="false">IF(I882&lt;&gt;"",VLOOKUP(I882,'Legal Nature'!$E$2:$G$84,3,0),"")</f>
        <v/>
      </c>
      <c r="K882" s="64"/>
      <c r="L882" s="65"/>
      <c r="M882" s="66"/>
      <c r="N882" s="66"/>
      <c r="O882" s="79"/>
      <c r="P882" s="26"/>
      <c r="Q882" s="58"/>
      <c r="R882" s="58"/>
      <c r="S882" s="80"/>
      <c r="T882" s="68" t="str">
        <f aca="false">IF(LEFT(S882,1)="9","Celular",IF(S882="","","Fixo"))</f>
        <v/>
      </c>
      <c r="U882" s="58" t="str">
        <f aca="false">IF( T882&lt;&gt;"",VLOOKUP(T882,Selects!$M$4:$N$1000,2,0),"")</f>
        <v/>
      </c>
      <c r="V882" s="26"/>
      <c r="W882" s="58"/>
      <c r="X882" s="58"/>
      <c r="Y882" s="58"/>
      <c r="Z882" s="58"/>
      <c r="AA882" s="69"/>
      <c r="AB882" s="58"/>
      <c r="AC882" s="58"/>
      <c r="AD882" s="70" t="str">
        <f aca="false">IF(AC882&lt;&gt;"",VLOOKUP(AC882,Selects!$B$4:$C$100,2,0),"")</f>
        <v/>
      </c>
      <c r="AE882" s="26"/>
      <c r="AF882" s="58"/>
      <c r="AG882" s="59"/>
      <c r="AH882" s="65"/>
      <c r="AI882" s="66"/>
      <c r="AJ882" s="66"/>
      <c r="AK882" s="58"/>
      <c r="AL882" s="58"/>
      <c r="AM882" s="68" t="str">
        <f aca="false">IF(LEFT(AL882,1)="9","Celular",IF(AL882="","","Fixo"))</f>
        <v/>
      </c>
      <c r="AN882" s="58" t="str">
        <f aca="false">IF( AM882&lt;&gt;"",VLOOKUP(AM882,Selects!$M$4:$N$1000,2,0),"")</f>
        <v/>
      </c>
      <c r="AO882" s="58"/>
      <c r="AP882" s="59"/>
      <c r="AQ882" s="65"/>
      <c r="AR882" s="58"/>
      <c r="AS882" s="58"/>
      <c r="AT882" s="26"/>
      <c r="AU882" s="58"/>
      <c r="AV882" s="58"/>
      <c r="AW882" s="58"/>
      <c r="AX882" s="58"/>
      <c r="AY882" s="71"/>
      <c r="AZ882" s="58"/>
      <c r="BA882" s="58"/>
      <c r="BB882" s="72" t="str">
        <f aca="false">IF(BA882&lt;&gt;"",VLOOKUP(BA882,Selects!$B$4:$C$100,2,0),"")</f>
        <v/>
      </c>
      <c r="BC882" s="26"/>
      <c r="BD882" s="26"/>
      <c r="BE882" s="73"/>
      <c r="BF882" s="74"/>
      <c r="BG882" s="75" t="str">
        <f aca="false">IF(LEN(BF882)=11,"PF",IF(LEN(BF882)=14,"PJ",""))</f>
        <v/>
      </c>
      <c r="BH882" s="66"/>
      <c r="BI882" s="58" t="str">
        <f aca="false">IF(BH882&lt;&gt;"",VLOOKUP(BH882,Selects!$G:$H,2,0),"")</f>
        <v/>
      </c>
      <c r="BJ882" s="58"/>
      <c r="BK882" s="58"/>
      <c r="BL882" s="59"/>
      <c r="BM882" s="58"/>
      <c r="BN882" s="58"/>
      <c r="BO882" s="58" t="str">
        <f aca="false">IF(BN882&lt;&gt;"",VLOOKUP(BN882,Selects!$J$4:$K$1000,2,0),"")</f>
        <v/>
      </c>
      <c r="BP882" s="76"/>
      <c r="BQ882" s="59"/>
      <c r="BR882" s="77"/>
      <c r="BS882" s="59"/>
      <c r="BT882" s="77"/>
      <c r="BU882" s="58"/>
      <c r="BV882" s="58"/>
      <c r="BW882" s="58"/>
      <c r="BX882" s="58"/>
      <c r="BY882" s="58"/>
      <c r="BZ882" s="58"/>
      <c r="CA882" s="58"/>
      <c r="CB882" s="72" t="str">
        <f aca="false">IF(AC882&lt;&gt;"",VLOOKUP(AC882,Selects!$B:$E,4,0),"")</f>
        <v/>
      </c>
      <c r="CC882" s="58"/>
      <c r="CD882" s="58"/>
      <c r="CE882" s="58"/>
    </row>
    <row r="883" customFormat="false" ht="15.75" hidden="false" customHeight="true" outlineLevel="0" collapsed="false">
      <c r="A883" s="17"/>
      <c r="B883" s="58"/>
      <c r="C883" s="58"/>
      <c r="D883" s="59"/>
      <c r="E883" s="60" t="str">
        <f aca="false">IF(LEN(D883)=11,"PF",IF(LEN(D883)=14,"PJ",""))</f>
        <v/>
      </c>
      <c r="F883" s="59"/>
      <c r="G883" s="59"/>
      <c r="H883" s="61" t="str">
        <f aca="false">IF(G883&lt;&gt;"",VLOOKUP(G883,'Cnae  mcc  id'!$A:$M,9,0),"")</f>
        <v/>
      </c>
      <c r="I883" s="62"/>
      <c r="J883" s="63" t="str">
        <f aca="false">IF(I883&lt;&gt;"",VLOOKUP(I883,'Legal Nature'!$E$2:$G$84,3,0),"")</f>
        <v/>
      </c>
      <c r="K883" s="64"/>
      <c r="L883" s="65"/>
      <c r="M883" s="66"/>
      <c r="N883" s="66"/>
      <c r="O883" s="79"/>
      <c r="P883" s="26"/>
      <c r="Q883" s="58"/>
      <c r="R883" s="58"/>
      <c r="S883" s="80"/>
      <c r="T883" s="68" t="str">
        <f aca="false">IF(LEFT(S883,1)="9","Celular",IF(S883="","","Fixo"))</f>
        <v/>
      </c>
      <c r="U883" s="58" t="str">
        <f aca="false">IF( T883&lt;&gt;"",VLOOKUP(T883,Selects!$M$4:$N$1000,2,0),"")</f>
        <v/>
      </c>
      <c r="V883" s="26"/>
      <c r="W883" s="58"/>
      <c r="X883" s="58"/>
      <c r="Y883" s="58"/>
      <c r="Z883" s="58"/>
      <c r="AA883" s="69"/>
      <c r="AB883" s="58"/>
      <c r="AC883" s="58"/>
      <c r="AD883" s="70" t="str">
        <f aca="false">IF(AC883&lt;&gt;"",VLOOKUP(AC883,Selects!$B$4:$C$100,2,0),"")</f>
        <v/>
      </c>
      <c r="AE883" s="26"/>
      <c r="AF883" s="58"/>
      <c r="AG883" s="59"/>
      <c r="AH883" s="65"/>
      <c r="AI883" s="66"/>
      <c r="AJ883" s="66"/>
      <c r="AK883" s="58"/>
      <c r="AL883" s="58"/>
      <c r="AM883" s="68" t="str">
        <f aca="false">IF(LEFT(AL883,1)="9","Celular",IF(AL883="","","Fixo"))</f>
        <v/>
      </c>
      <c r="AN883" s="58" t="str">
        <f aca="false">IF( AM883&lt;&gt;"",VLOOKUP(AM883,Selects!$M$4:$N$1000,2,0),"")</f>
        <v/>
      </c>
      <c r="AO883" s="58"/>
      <c r="AP883" s="59"/>
      <c r="AQ883" s="65"/>
      <c r="AR883" s="58"/>
      <c r="AS883" s="58"/>
      <c r="AT883" s="26"/>
      <c r="AU883" s="58"/>
      <c r="AV883" s="58"/>
      <c r="AW883" s="58"/>
      <c r="AX883" s="58"/>
      <c r="AY883" s="71"/>
      <c r="AZ883" s="58"/>
      <c r="BA883" s="58"/>
      <c r="BB883" s="72" t="str">
        <f aca="false">IF(BA883&lt;&gt;"",VLOOKUP(BA883,Selects!$B$4:$C$100,2,0),"")</f>
        <v/>
      </c>
      <c r="BC883" s="26"/>
      <c r="BD883" s="26"/>
      <c r="BE883" s="73"/>
      <c r="BF883" s="74"/>
      <c r="BG883" s="75" t="str">
        <f aca="false">IF(LEN(BF883)=11,"PF",IF(LEN(BF883)=14,"PJ",""))</f>
        <v/>
      </c>
      <c r="BH883" s="66"/>
      <c r="BI883" s="58" t="str">
        <f aca="false">IF(BH883&lt;&gt;"",VLOOKUP(BH883,Selects!$G:$H,2,0),"")</f>
        <v/>
      </c>
      <c r="BJ883" s="58"/>
      <c r="BK883" s="58"/>
      <c r="BL883" s="59"/>
      <c r="BM883" s="58"/>
      <c r="BN883" s="58"/>
      <c r="BO883" s="58" t="str">
        <f aca="false">IF(BN883&lt;&gt;"",VLOOKUP(BN883,Selects!$J$4:$K$1000,2,0),"")</f>
        <v/>
      </c>
      <c r="BP883" s="76"/>
      <c r="BQ883" s="59"/>
      <c r="BR883" s="77"/>
      <c r="BS883" s="59"/>
      <c r="BT883" s="77"/>
      <c r="BU883" s="58"/>
      <c r="BV883" s="58"/>
      <c r="BW883" s="58"/>
      <c r="BX883" s="58"/>
      <c r="BY883" s="58"/>
      <c r="BZ883" s="58"/>
      <c r="CA883" s="58"/>
      <c r="CB883" s="72" t="str">
        <f aca="false">IF(AC883&lt;&gt;"",VLOOKUP(AC883,Selects!$B:$E,4,0),"")</f>
        <v/>
      </c>
      <c r="CC883" s="58"/>
      <c r="CD883" s="58"/>
      <c r="CE883" s="58"/>
    </row>
    <row r="884" customFormat="false" ht="15.75" hidden="false" customHeight="true" outlineLevel="0" collapsed="false">
      <c r="A884" s="17"/>
      <c r="B884" s="58"/>
      <c r="C884" s="58"/>
      <c r="D884" s="59"/>
      <c r="E884" s="60" t="str">
        <f aca="false">IF(LEN(D884)=11,"PF",IF(LEN(D884)=14,"PJ",""))</f>
        <v/>
      </c>
      <c r="F884" s="59"/>
      <c r="G884" s="59"/>
      <c r="H884" s="61" t="str">
        <f aca="false">IF(G884&lt;&gt;"",VLOOKUP(G884,'Cnae  mcc  id'!$A:$M,9,0),"")</f>
        <v/>
      </c>
      <c r="I884" s="62"/>
      <c r="J884" s="63" t="str">
        <f aca="false">IF(I884&lt;&gt;"",VLOOKUP(I884,'Legal Nature'!$E$2:$G$84,3,0),"")</f>
        <v/>
      </c>
      <c r="K884" s="64"/>
      <c r="L884" s="65"/>
      <c r="M884" s="66"/>
      <c r="N884" s="66"/>
      <c r="O884" s="79"/>
      <c r="P884" s="26"/>
      <c r="Q884" s="58"/>
      <c r="R884" s="58"/>
      <c r="S884" s="80"/>
      <c r="T884" s="68" t="str">
        <f aca="false">IF(LEFT(S884,1)="9","Celular",IF(S884="","","Fixo"))</f>
        <v/>
      </c>
      <c r="U884" s="58" t="str">
        <f aca="false">IF( T884&lt;&gt;"",VLOOKUP(T884,Selects!$M$4:$N$1000,2,0),"")</f>
        <v/>
      </c>
      <c r="V884" s="26"/>
      <c r="W884" s="58"/>
      <c r="X884" s="58"/>
      <c r="Y884" s="58"/>
      <c r="Z884" s="58"/>
      <c r="AA884" s="69"/>
      <c r="AB884" s="58"/>
      <c r="AC884" s="58"/>
      <c r="AD884" s="70" t="str">
        <f aca="false">IF(AC884&lt;&gt;"",VLOOKUP(AC884,Selects!$B$4:$C$100,2,0),"")</f>
        <v/>
      </c>
      <c r="AE884" s="26"/>
      <c r="AF884" s="58"/>
      <c r="AG884" s="59"/>
      <c r="AH884" s="65"/>
      <c r="AI884" s="66"/>
      <c r="AJ884" s="66"/>
      <c r="AK884" s="58"/>
      <c r="AL884" s="58"/>
      <c r="AM884" s="68" t="str">
        <f aca="false">IF(LEFT(AL884,1)="9","Celular",IF(AL884="","","Fixo"))</f>
        <v/>
      </c>
      <c r="AN884" s="58" t="str">
        <f aca="false">IF( AM884&lt;&gt;"",VLOOKUP(AM884,Selects!$M$4:$N$1000,2,0),"")</f>
        <v/>
      </c>
      <c r="AO884" s="58"/>
      <c r="AP884" s="59"/>
      <c r="AQ884" s="65"/>
      <c r="AR884" s="58"/>
      <c r="AS884" s="58"/>
      <c r="AT884" s="26"/>
      <c r="AU884" s="58"/>
      <c r="AV884" s="58"/>
      <c r="AW884" s="58"/>
      <c r="AX884" s="58"/>
      <c r="AY884" s="71"/>
      <c r="AZ884" s="58"/>
      <c r="BA884" s="58"/>
      <c r="BB884" s="72" t="str">
        <f aca="false">IF(BA884&lt;&gt;"",VLOOKUP(BA884,Selects!$B$4:$C$100,2,0),"")</f>
        <v/>
      </c>
      <c r="BC884" s="26"/>
      <c r="BD884" s="26"/>
      <c r="BE884" s="73"/>
      <c r="BF884" s="74"/>
      <c r="BG884" s="75" t="str">
        <f aca="false">IF(LEN(BF884)=11,"PF",IF(LEN(BF884)=14,"PJ",""))</f>
        <v/>
      </c>
      <c r="BH884" s="66"/>
      <c r="BI884" s="58" t="str">
        <f aca="false">IF(BH884&lt;&gt;"",VLOOKUP(BH884,Selects!$G:$H,2,0),"")</f>
        <v/>
      </c>
      <c r="BJ884" s="58"/>
      <c r="BK884" s="58"/>
      <c r="BL884" s="59"/>
      <c r="BM884" s="58"/>
      <c r="BN884" s="58"/>
      <c r="BO884" s="58" t="str">
        <f aca="false">IF(BN884&lt;&gt;"",VLOOKUP(BN884,Selects!$J$4:$K$1000,2,0),"")</f>
        <v/>
      </c>
      <c r="BP884" s="76"/>
      <c r="BQ884" s="59"/>
      <c r="BR884" s="77"/>
      <c r="BS884" s="59"/>
      <c r="BT884" s="77"/>
      <c r="BU884" s="58"/>
      <c r="BV884" s="58"/>
      <c r="BW884" s="58"/>
      <c r="BX884" s="58"/>
      <c r="BY884" s="58"/>
      <c r="BZ884" s="58"/>
      <c r="CA884" s="58"/>
      <c r="CB884" s="72" t="str">
        <f aca="false">IF(AC884&lt;&gt;"",VLOOKUP(AC884,Selects!$B:$E,4,0),"")</f>
        <v/>
      </c>
      <c r="CC884" s="58"/>
      <c r="CD884" s="58"/>
      <c r="CE884" s="58"/>
    </row>
    <row r="885" customFormat="false" ht="15.75" hidden="false" customHeight="true" outlineLevel="0" collapsed="false">
      <c r="A885" s="17"/>
      <c r="B885" s="58"/>
      <c r="C885" s="58"/>
      <c r="D885" s="59"/>
      <c r="E885" s="60" t="str">
        <f aca="false">IF(LEN(D885)=11,"PF",IF(LEN(D885)=14,"PJ",""))</f>
        <v/>
      </c>
      <c r="F885" s="59"/>
      <c r="G885" s="59"/>
      <c r="H885" s="61" t="str">
        <f aca="false">IF(G885&lt;&gt;"",VLOOKUP(G885,'Cnae  mcc  id'!$A:$M,9,0),"")</f>
        <v/>
      </c>
      <c r="I885" s="62"/>
      <c r="J885" s="63" t="str">
        <f aca="false">IF(I885&lt;&gt;"",VLOOKUP(I885,'Legal Nature'!$E$2:$G$84,3,0),"")</f>
        <v/>
      </c>
      <c r="K885" s="64"/>
      <c r="L885" s="65"/>
      <c r="M885" s="66"/>
      <c r="N885" s="66"/>
      <c r="O885" s="79"/>
      <c r="P885" s="26"/>
      <c r="Q885" s="58"/>
      <c r="R885" s="58"/>
      <c r="S885" s="80"/>
      <c r="T885" s="68" t="str">
        <f aca="false">IF(LEFT(S885,1)="9","Celular",IF(S885="","","Fixo"))</f>
        <v/>
      </c>
      <c r="U885" s="58" t="str">
        <f aca="false">IF( T885&lt;&gt;"",VLOOKUP(T885,Selects!$M$4:$N$1000,2,0),"")</f>
        <v/>
      </c>
      <c r="V885" s="26"/>
      <c r="W885" s="58"/>
      <c r="X885" s="58"/>
      <c r="Y885" s="58"/>
      <c r="Z885" s="58"/>
      <c r="AA885" s="69"/>
      <c r="AB885" s="58"/>
      <c r="AC885" s="58"/>
      <c r="AD885" s="70" t="str">
        <f aca="false">IF(AC885&lt;&gt;"",VLOOKUP(AC885,Selects!$B$4:$C$100,2,0),"")</f>
        <v/>
      </c>
      <c r="AE885" s="26"/>
      <c r="AF885" s="58"/>
      <c r="AG885" s="59"/>
      <c r="AH885" s="65"/>
      <c r="AI885" s="66"/>
      <c r="AJ885" s="66"/>
      <c r="AK885" s="58"/>
      <c r="AL885" s="58"/>
      <c r="AM885" s="68" t="str">
        <f aca="false">IF(LEFT(AL885,1)="9","Celular",IF(AL885="","","Fixo"))</f>
        <v/>
      </c>
      <c r="AN885" s="58" t="str">
        <f aca="false">IF( AM885&lt;&gt;"",VLOOKUP(AM885,Selects!$M$4:$N$1000,2,0),"")</f>
        <v/>
      </c>
      <c r="AO885" s="58"/>
      <c r="AP885" s="59"/>
      <c r="AQ885" s="65"/>
      <c r="AR885" s="58"/>
      <c r="AS885" s="58"/>
      <c r="AT885" s="26"/>
      <c r="AU885" s="58"/>
      <c r="AV885" s="58"/>
      <c r="AW885" s="58"/>
      <c r="AX885" s="58"/>
      <c r="AY885" s="71"/>
      <c r="AZ885" s="58"/>
      <c r="BA885" s="58"/>
      <c r="BB885" s="72" t="str">
        <f aca="false">IF(BA885&lt;&gt;"",VLOOKUP(BA885,Selects!$B$4:$C$100,2,0),"")</f>
        <v/>
      </c>
      <c r="BC885" s="26"/>
      <c r="BD885" s="26"/>
      <c r="BE885" s="73"/>
      <c r="BF885" s="74"/>
      <c r="BG885" s="75" t="str">
        <f aca="false">IF(LEN(BF885)=11,"PF",IF(LEN(BF885)=14,"PJ",""))</f>
        <v/>
      </c>
      <c r="BH885" s="66"/>
      <c r="BI885" s="58" t="str">
        <f aca="false">IF(BH885&lt;&gt;"",VLOOKUP(BH885,Selects!$G:$H,2,0),"")</f>
        <v/>
      </c>
      <c r="BJ885" s="58"/>
      <c r="BK885" s="58"/>
      <c r="BL885" s="59"/>
      <c r="BM885" s="58"/>
      <c r="BN885" s="58"/>
      <c r="BO885" s="58" t="str">
        <f aca="false">IF(BN885&lt;&gt;"",VLOOKUP(BN885,Selects!$J$4:$K$1000,2,0),"")</f>
        <v/>
      </c>
      <c r="BP885" s="76"/>
      <c r="BQ885" s="59"/>
      <c r="BR885" s="77"/>
      <c r="BS885" s="59"/>
      <c r="BT885" s="77"/>
      <c r="BU885" s="58"/>
      <c r="BV885" s="58"/>
      <c r="BW885" s="58"/>
      <c r="BX885" s="58"/>
      <c r="BY885" s="58"/>
      <c r="BZ885" s="58"/>
      <c r="CA885" s="58"/>
      <c r="CB885" s="72" t="str">
        <f aca="false">IF(AC885&lt;&gt;"",VLOOKUP(AC885,Selects!$B:$E,4,0),"")</f>
        <v/>
      </c>
      <c r="CC885" s="58"/>
      <c r="CD885" s="58"/>
      <c r="CE885" s="58"/>
    </row>
    <row r="886" customFormat="false" ht="15.75" hidden="false" customHeight="true" outlineLevel="0" collapsed="false">
      <c r="A886" s="17"/>
      <c r="B886" s="58"/>
      <c r="C886" s="58"/>
      <c r="D886" s="59"/>
      <c r="E886" s="60" t="str">
        <f aca="false">IF(LEN(D886)=11,"PF",IF(LEN(D886)=14,"PJ",""))</f>
        <v/>
      </c>
      <c r="F886" s="59"/>
      <c r="G886" s="59"/>
      <c r="H886" s="61" t="str">
        <f aca="false">IF(G886&lt;&gt;"",VLOOKUP(G886,'Cnae  mcc  id'!$A:$M,9,0),"")</f>
        <v/>
      </c>
      <c r="I886" s="62"/>
      <c r="J886" s="63" t="str">
        <f aca="false">IF(I886&lt;&gt;"",VLOOKUP(I886,'Legal Nature'!$E$2:$G$84,3,0),"")</f>
        <v/>
      </c>
      <c r="K886" s="64"/>
      <c r="L886" s="65"/>
      <c r="M886" s="66"/>
      <c r="N886" s="66"/>
      <c r="O886" s="79"/>
      <c r="P886" s="26"/>
      <c r="Q886" s="58"/>
      <c r="R886" s="58"/>
      <c r="S886" s="80"/>
      <c r="T886" s="68" t="str">
        <f aca="false">IF(LEFT(S886,1)="9","Celular",IF(S886="","","Fixo"))</f>
        <v/>
      </c>
      <c r="U886" s="58" t="str">
        <f aca="false">IF( T886&lt;&gt;"",VLOOKUP(T886,Selects!$M$4:$N$1000,2,0),"")</f>
        <v/>
      </c>
      <c r="V886" s="26"/>
      <c r="W886" s="58"/>
      <c r="X886" s="58"/>
      <c r="Y886" s="58"/>
      <c r="Z886" s="58"/>
      <c r="AA886" s="69"/>
      <c r="AB886" s="58"/>
      <c r="AC886" s="58"/>
      <c r="AD886" s="70" t="str">
        <f aca="false">IF(AC886&lt;&gt;"",VLOOKUP(AC886,Selects!$B$4:$C$100,2,0),"")</f>
        <v/>
      </c>
      <c r="AE886" s="26"/>
      <c r="AF886" s="58"/>
      <c r="AG886" s="59"/>
      <c r="AH886" s="65"/>
      <c r="AI886" s="66"/>
      <c r="AJ886" s="66"/>
      <c r="AK886" s="58"/>
      <c r="AL886" s="58"/>
      <c r="AM886" s="68" t="str">
        <f aca="false">IF(LEFT(AL886,1)="9","Celular",IF(AL886="","","Fixo"))</f>
        <v/>
      </c>
      <c r="AN886" s="58" t="str">
        <f aca="false">IF( AM886&lt;&gt;"",VLOOKUP(AM886,Selects!$M$4:$N$1000,2,0),"")</f>
        <v/>
      </c>
      <c r="AO886" s="58"/>
      <c r="AP886" s="59"/>
      <c r="AQ886" s="65"/>
      <c r="AR886" s="58"/>
      <c r="AS886" s="58"/>
      <c r="AT886" s="26"/>
      <c r="AU886" s="58"/>
      <c r="AV886" s="58"/>
      <c r="AW886" s="58"/>
      <c r="AX886" s="58"/>
      <c r="AY886" s="71"/>
      <c r="AZ886" s="58"/>
      <c r="BA886" s="58"/>
      <c r="BB886" s="72" t="str">
        <f aca="false">IF(BA886&lt;&gt;"",VLOOKUP(BA886,Selects!$B$4:$C$100,2,0),"")</f>
        <v/>
      </c>
      <c r="BC886" s="26"/>
      <c r="BD886" s="26"/>
      <c r="BE886" s="73"/>
      <c r="BF886" s="74"/>
      <c r="BG886" s="75" t="str">
        <f aca="false">IF(LEN(BF886)=11,"PF",IF(LEN(BF886)=14,"PJ",""))</f>
        <v/>
      </c>
      <c r="BH886" s="66"/>
      <c r="BI886" s="58" t="str">
        <f aca="false">IF(BH886&lt;&gt;"",VLOOKUP(BH886,Selects!$G:$H,2,0),"")</f>
        <v/>
      </c>
      <c r="BJ886" s="58"/>
      <c r="BK886" s="58"/>
      <c r="BL886" s="59"/>
      <c r="BM886" s="58"/>
      <c r="BN886" s="58"/>
      <c r="BO886" s="58" t="str">
        <f aca="false">IF(BN886&lt;&gt;"",VLOOKUP(BN886,Selects!$J$4:$K$1000,2,0),"")</f>
        <v/>
      </c>
      <c r="BP886" s="76"/>
      <c r="BQ886" s="59"/>
      <c r="BR886" s="77"/>
      <c r="BS886" s="59"/>
      <c r="BT886" s="77"/>
      <c r="BU886" s="58"/>
      <c r="BV886" s="58"/>
      <c r="BW886" s="58"/>
      <c r="BX886" s="58"/>
      <c r="BY886" s="58"/>
      <c r="BZ886" s="58"/>
      <c r="CA886" s="58"/>
      <c r="CB886" s="72" t="str">
        <f aca="false">IF(AC886&lt;&gt;"",VLOOKUP(AC886,Selects!$B:$E,4,0),"")</f>
        <v/>
      </c>
      <c r="CC886" s="58"/>
      <c r="CD886" s="58"/>
      <c r="CE886" s="58"/>
    </row>
    <row r="887" customFormat="false" ht="15.75" hidden="false" customHeight="true" outlineLevel="0" collapsed="false">
      <c r="A887" s="17"/>
      <c r="B887" s="58"/>
      <c r="C887" s="58"/>
      <c r="D887" s="59"/>
      <c r="E887" s="60" t="str">
        <f aca="false">IF(LEN(D887)=11,"PF",IF(LEN(D887)=14,"PJ",""))</f>
        <v/>
      </c>
      <c r="F887" s="59"/>
      <c r="G887" s="59"/>
      <c r="H887" s="61" t="str">
        <f aca="false">IF(G887&lt;&gt;"",VLOOKUP(G887,'Cnae  mcc  id'!$A:$M,9,0),"")</f>
        <v/>
      </c>
      <c r="I887" s="62"/>
      <c r="J887" s="63" t="str">
        <f aca="false">IF(I887&lt;&gt;"",VLOOKUP(I887,'Legal Nature'!$E$2:$G$84,3,0),"")</f>
        <v/>
      </c>
      <c r="K887" s="64"/>
      <c r="L887" s="65"/>
      <c r="M887" s="66"/>
      <c r="N887" s="66"/>
      <c r="O887" s="79"/>
      <c r="P887" s="26"/>
      <c r="Q887" s="58"/>
      <c r="R887" s="58"/>
      <c r="S887" s="80"/>
      <c r="T887" s="68" t="str">
        <f aca="false">IF(LEFT(S887,1)="9","Celular",IF(S887="","","Fixo"))</f>
        <v/>
      </c>
      <c r="U887" s="58" t="str">
        <f aca="false">IF( T887&lt;&gt;"",VLOOKUP(T887,Selects!$M$4:$N$1000,2,0),"")</f>
        <v/>
      </c>
      <c r="V887" s="26"/>
      <c r="W887" s="58"/>
      <c r="X887" s="58"/>
      <c r="Y887" s="58"/>
      <c r="Z887" s="58"/>
      <c r="AA887" s="69"/>
      <c r="AB887" s="58"/>
      <c r="AC887" s="58"/>
      <c r="AD887" s="70" t="str">
        <f aca="false">IF(AC887&lt;&gt;"",VLOOKUP(AC887,Selects!$B$4:$C$100,2,0),"")</f>
        <v/>
      </c>
      <c r="AE887" s="26"/>
      <c r="AF887" s="58"/>
      <c r="AG887" s="59"/>
      <c r="AH887" s="65"/>
      <c r="AI887" s="66"/>
      <c r="AJ887" s="66"/>
      <c r="AK887" s="58"/>
      <c r="AL887" s="58"/>
      <c r="AM887" s="68" t="str">
        <f aca="false">IF(LEFT(AL887,1)="9","Celular",IF(AL887="","","Fixo"))</f>
        <v/>
      </c>
      <c r="AN887" s="58" t="str">
        <f aca="false">IF( AM887&lt;&gt;"",VLOOKUP(AM887,Selects!$M$4:$N$1000,2,0),"")</f>
        <v/>
      </c>
      <c r="AO887" s="58"/>
      <c r="AP887" s="59"/>
      <c r="AQ887" s="65"/>
      <c r="AR887" s="58"/>
      <c r="AS887" s="58"/>
      <c r="AT887" s="26"/>
      <c r="AU887" s="58"/>
      <c r="AV887" s="58"/>
      <c r="AW887" s="58"/>
      <c r="AX887" s="58"/>
      <c r="AY887" s="71"/>
      <c r="AZ887" s="58"/>
      <c r="BA887" s="58"/>
      <c r="BB887" s="72" t="str">
        <f aca="false">IF(BA887&lt;&gt;"",VLOOKUP(BA887,Selects!$B$4:$C$100,2,0),"")</f>
        <v/>
      </c>
      <c r="BC887" s="26"/>
      <c r="BD887" s="26"/>
      <c r="BE887" s="73"/>
      <c r="BF887" s="74"/>
      <c r="BG887" s="75" t="str">
        <f aca="false">IF(LEN(BF887)=11,"PF",IF(LEN(BF887)=14,"PJ",""))</f>
        <v/>
      </c>
      <c r="BH887" s="66"/>
      <c r="BI887" s="58" t="str">
        <f aca="false">IF(BH887&lt;&gt;"",VLOOKUP(BH887,Selects!$G:$H,2,0),"")</f>
        <v/>
      </c>
      <c r="BJ887" s="58"/>
      <c r="BK887" s="58"/>
      <c r="BL887" s="59"/>
      <c r="BM887" s="58"/>
      <c r="BN887" s="58"/>
      <c r="BO887" s="58" t="str">
        <f aca="false">IF(BN887&lt;&gt;"",VLOOKUP(BN887,Selects!$J$4:$K$1000,2,0),"")</f>
        <v/>
      </c>
      <c r="BP887" s="76"/>
      <c r="BQ887" s="59"/>
      <c r="BR887" s="77"/>
      <c r="BS887" s="59"/>
      <c r="BT887" s="77"/>
      <c r="BU887" s="58"/>
      <c r="BV887" s="58"/>
      <c r="BW887" s="58"/>
      <c r="BX887" s="58"/>
      <c r="BY887" s="58"/>
      <c r="BZ887" s="58"/>
      <c r="CA887" s="58"/>
      <c r="CB887" s="72" t="str">
        <f aca="false">IF(AC887&lt;&gt;"",VLOOKUP(AC887,Selects!$B:$E,4,0),"")</f>
        <v/>
      </c>
      <c r="CC887" s="58"/>
      <c r="CD887" s="58"/>
      <c r="CE887" s="58"/>
    </row>
    <row r="888" customFormat="false" ht="15.75" hidden="false" customHeight="true" outlineLevel="0" collapsed="false">
      <c r="A888" s="17"/>
      <c r="B888" s="58"/>
      <c r="C888" s="58"/>
      <c r="D888" s="59"/>
      <c r="E888" s="60" t="str">
        <f aca="false">IF(LEN(D888)=11,"PF",IF(LEN(D888)=14,"PJ",""))</f>
        <v/>
      </c>
      <c r="F888" s="59"/>
      <c r="G888" s="59"/>
      <c r="H888" s="61" t="str">
        <f aca="false">IF(G888&lt;&gt;"",VLOOKUP(G888,'Cnae  mcc  id'!$A:$M,9,0),"")</f>
        <v/>
      </c>
      <c r="I888" s="62"/>
      <c r="J888" s="63" t="str">
        <f aca="false">IF(I888&lt;&gt;"",VLOOKUP(I888,'Legal Nature'!$E$2:$G$84,3,0),"")</f>
        <v/>
      </c>
      <c r="K888" s="64"/>
      <c r="L888" s="65"/>
      <c r="M888" s="66"/>
      <c r="N888" s="66"/>
      <c r="O888" s="79"/>
      <c r="P888" s="26"/>
      <c r="Q888" s="58"/>
      <c r="R888" s="58"/>
      <c r="S888" s="80"/>
      <c r="T888" s="68" t="str">
        <f aca="false">IF(LEFT(S888,1)="9","Celular",IF(S888="","","Fixo"))</f>
        <v/>
      </c>
      <c r="U888" s="58" t="str">
        <f aca="false">IF( T888&lt;&gt;"",VLOOKUP(T888,Selects!$M$4:$N$1000,2,0),"")</f>
        <v/>
      </c>
      <c r="V888" s="26"/>
      <c r="W888" s="58"/>
      <c r="X888" s="58"/>
      <c r="Y888" s="58"/>
      <c r="Z888" s="58"/>
      <c r="AA888" s="69"/>
      <c r="AB888" s="58"/>
      <c r="AC888" s="58"/>
      <c r="AD888" s="70" t="str">
        <f aca="false">IF(AC888&lt;&gt;"",VLOOKUP(AC888,Selects!$B$4:$C$100,2,0),"")</f>
        <v/>
      </c>
      <c r="AE888" s="26"/>
      <c r="AF888" s="58"/>
      <c r="AG888" s="59"/>
      <c r="AH888" s="65"/>
      <c r="AI888" s="66"/>
      <c r="AJ888" s="66"/>
      <c r="AK888" s="58"/>
      <c r="AL888" s="58"/>
      <c r="AM888" s="68" t="str">
        <f aca="false">IF(LEFT(AL888,1)="9","Celular",IF(AL888="","","Fixo"))</f>
        <v/>
      </c>
      <c r="AN888" s="58" t="str">
        <f aca="false">IF( AM888&lt;&gt;"",VLOOKUP(AM888,Selects!$M$4:$N$1000,2,0),"")</f>
        <v/>
      </c>
      <c r="AO888" s="58"/>
      <c r="AP888" s="59"/>
      <c r="AQ888" s="65"/>
      <c r="AR888" s="58"/>
      <c r="AS888" s="58"/>
      <c r="AT888" s="26"/>
      <c r="AU888" s="58"/>
      <c r="AV888" s="58"/>
      <c r="AW888" s="58"/>
      <c r="AX888" s="58"/>
      <c r="AY888" s="71"/>
      <c r="AZ888" s="58"/>
      <c r="BA888" s="58"/>
      <c r="BB888" s="72" t="str">
        <f aca="false">IF(BA888&lt;&gt;"",VLOOKUP(BA888,Selects!$B$4:$C$100,2,0),"")</f>
        <v/>
      </c>
      <c r="BC888" s="26"/>
      <c r="BD888" s="26"/>
      <c r="BE888" s="73"/>
      <c r="BF888" s="74"/>
      <c r="BG888" s="75" t="str">
        <f aca="false">IF(LEN(BF888)=11,"PF",IF(LEN(BF888)=14,"PJ",""))</f>
        <v/>
      </c>
      <c r="BH888" s="66"/>
      <c r="BI888" s="58" t="str">
        <f aca="false">IF(BH888&lt;&gt;"",VLOOKUP(BH888,Selects!$G:$H,2,0),"")</f>
        <v/>
      </c>
      <c r="BJ888" s="58"/>
      <c r="BK888" s="58"/>
      <c r="BL888" s="59"/>
      <c r="BM888" s="58"/>
      <c r="BN888" s="58"/>
      <c r="BO888" s="58" t="str">
        <f aca="false">IF(BN888&lt;&gt;"",VLOOKUP(BN888,Selects!$J$4:$K$1000,2,0),"")</f>
        <v/>
      </c>
      <c r="BP888" s="76"/>
      <c r="BQ888" s="59"/>
      <c r="BR888" s="77"/>
      <c r="BS888" s="59"/>
      <c r="BT888" s="77"/>
      <c r="BU888" s="58"/>
      <c r="BV888" s="58"/>
      <c r="BW888" s="58"/>
      <c r="BX888" s="58"/>
      <c r="BY888" s="58"/>
      <c r="BZ888" s="58"/>
      <c r="CA888" s="58"/>
      <c r="CB888" s="72" t="str">
        <f aca="false">IF(AC888&lt;&gt;"",VLOOKUP(AC888,Selects!$B:$E,4,0),"")</f>
        <v/>
      </c>
      <c r="CC888" s="58"/>
      <c r="CD888" s="58"/>
      <c r="CE888" s="58"/>
    </row>
    <row r="889" customFormat="false" ht="15.75" hidden="false" customHeight="true" outlineLevel="0" collapsed="false">
      <c r="A889" s="17"/>
      <c r="B889" s="58"/>
      <c r="C889" s="58"/>
      <c r="D889" s="59"/>
      <c r="E889" s="60" t="str">
        <f aca="false">IF(LEN(D889)=11,"PF",IF(LEN(D889)=14,"PJ",""))</f>
        <v/>
      </c>
      <c r="F889" s="59"/>
      <c r="G889" s="59"/>
      <c r="H889" s="61" t="str">
        <f aca="false">IF(G889&lt;&gt;"",VLOOKUP(G889,'Cnae  mcc  id'!$A:$M,9,0),"")</f>
        <v/>
      </c>
      <c r="I889" s="62"/>
      <c r="J889" s="63" t="str">
        <f aca="false">IF(I889&lt;&gt;"",VLOOKUP(I889,'Legal Nature'!$E$2:$G$84,3,0),"")</f>
        <v/>
      </c>
      <c r="K889" s="64"/>
      <c r="L889" s="65"/>
      <c r="M889" s="66"/>
      <c r="N889" s="66"/>
      <c r="O889" s="79"/>
      <c r="P889" s="26"/>
      <c r="Q889" s="58"/>
      <c r="R889" s="58"/>
      <c r="S889" s="80"/>
      <c r="T889" s="68" t="str">
        <f aca="false">IF(LEFT(S889,1)="9","Celular",IF(S889="","","Fixo"))</f>
        <v/>
      </c>
      <c r="U889" s="58" t="str">
        <f aca="false">IF( T889&lt;&gt;"",VLOOKUP(T889,Selects!$M$4:$N$1000,2,0),"")</f>
        <v/>
      </c>
      <c r="V889" s="26"/>
      <c r="W889" s="58"/>
      <c r="X889" s="58"/>
      <c r="Y889" s="58"/>
      <c r="Z889" s="58"/>
      <c r="AA889" s="69"/>
      <c r="AB889" s="58"/>
      <c r="AC889" s="58"/>
      <c r="AD889" s="70" t="str">
        <f aca="false">IF(AC889&lt;&gt;"",VLOOKUP(AC889,Selects!$B$4:$C$100,2,0),"")</f>
        <v/>
      </c>
      <c r="AE889" s="26"/>
      <c r="AF889" s="58"/>
      <c r="AG889" s="59"/>
      <c r="AH889" s="65"/>
      <c r="AI889" s="66"/>
      <c r="AJ889" s="66"/>
      <c r="AK889" s="58"/>
      <c r="AL889" s="58"/>
      <c r="AM889" s="68" t="str">
        <f aca="false">IF(LEFT(AL889,1)="9","Celular",IF(AL889="","","Fixo"))</f>
        <v/>
      </c>
      <c r="AN889" s="58" t="str">
        <f aca="false">IF( AM889&lt;&gt;"",VLOOKUP(AM889,Selects!$M$4:$N$1000,2,0),"")</f>
        <v/>
      </c>
      <c r="AO889" s="58"/>
      <c r="AP889" s="59"/>
      <c r="AQ889" s="65"/>
      <c r="AR889" s="58"/>
      <c r="AS889" s="58"/>
      <c r="AT889" s="26"/>
      <c r="AU889" s="58"/>
      <c r="AV889" s="58"/>
      <c r="AW889" s="58"/>
      <c r="AX889" s="58"/>
      <c r="AY889" s="71"/>
      <c r="AZ889" s="58"/>
      <c r="BA889" s="58"/>
      <c r="BB889" s="72" t="str">
        <f aca="false">IF(BA889&lt;&gt;"",VLOOKUP(BA889,Selects!$B$4:$C$100,2,0),"")</f>
        <v/>
      </c>
      <c r="BC889" s="26"/>
      <c r="BD889" s="26"/>
      <c r="BE889" s="73"/>
      <c r="BF889" s="74"/>
      <c r="BG889" s="75" t="str">
        <f aca="false">IF(LEN(BF889)=11,"PF",IF(LEN(BF889)=14,"PJ",""))</f>
        <v/>
      </c>
      <c r="BH889" s="66"/>
      <c r="BI889" s="58" t="str">
        <f aca="false">IF(BH889&lt;&gt;"",VLOOKUP(BH889,Selects!$G:$H,2,0),"")</f>
        <v/>
      </c>
      <c r="BJ889" s="58"/>
      <c r="BK889" s="58"/>
      <c r="BL889" s="59"/>
      <c r="BM889" s="58"/>
      <c r="BN889" s="58"/>
      <c r="BO889" s="58" t="str">
        <f aca="false">IF(BN889&lt;&gt;"",VLOOKUP(BN889,Selects!$J$4:$K$1000,2,0),"")</f>
        <v/>
      </c>
      <c r="BP889" s="76"/>
      <c r="BQ889" s="59"/>
      <c r="BR889" s="77"/>
      <c r="BS889" s="59"/>
      <c r="BT889" s="77"/>
      <c r="BU889" s="58"/>
      <c r="BV889" s="58"/>
      <c r="BW889" s="58"/>
      <c r="BX889" s="58"/>
      <c r="BY889" s="58"/>
      <c r="BZ889" s="58"/>
      <c r="CA889" s="58"/>
      <c r="CB889" s="72" t="str">
        <f aca="false">IF(AC889&lt;&gt;"",VLOOKUP(AC889,Selects!$B:$E,4,0),"")</f>
        <v/>
      </c>
      <c r="CC889" s="58"/>
      <c r="CD889" s="58"/>
      <c r="CE889" s="58"/>
    </row>
    <row r="890" customFormat="false" ht="15.75" hidden="false" customHeight="true" outlineLevel="0" collapsed="false">
      <c r="A890" s="17"/>
      <c r="B890" s="58"/>
      <c r="C890" s="58"/>
      <c r="D890" s="59"/>
      <c r="E890" s="60" t="str">
        <f aca="false">IF(LEN(D890)=11,"PF",IF(LEN(D890)=14,"PJ",""))</f>
        <v/>
      </c>
      <c r="F890" s="59"/>
      <c r="G890" s="59"/>
      <c r="H890" s="61" t="str">
        <f aca="false">IF(G890&lt;&gt;"",VLOOKUP(G890,'Cnae  mcc  id'!$A:$M,9,0),"")</f>
        <v/>
      </c>
      <c r="I890" s="62"/>
      <c r="J890" s="63" t="str">
        <f aca="false">IF(I890&lt;&gt;"",VLOOKUP(I890,'Legal Nature'!$E$2:$G$84,3,0),"")</f>
        <v/>
      </c>
      <c r="K890" s="64"/>
      <c r="L890" s="65"/>
      <c r="M890" s="66"/>
      <c r="N890" s="66"/>
      <c r="O890" s="79"/>
      <c r="P890" s="26"/>
      <c r="Q890" s="58"/>
      <c r="R890" s="58"/>
      <c r="S890" s="80"/>
      <c r="T890" s="68" t="str">
        <f aca="false">IF(LEFT(S890,1)="9","Celular",IF(S890="","","Fixo"))</f>
        <v/>
      </c>
      <c r="U890" s="58" t="str">
        <f aca="false">IF( T890&lt;&gt;"",VLOOKUP(T890,Selects!$M$4:$N$1000,2,0),"")</f>
        <v/>
      </c>
      <c r="V890" s="26"/>
      <c r="W890" s="58"/>
      <c r="X890" s="58"/>
      <c r="Y890" s="58"/>
      <c r="Z890" s="58"/>
      <c r="AA890" s="69"/>
      <c r="AB890" s="58"/>
      <c r="AC890" s="58"/>
      <c r="AD890" s="70" t="str">
        <f aca="false">IF(AC890&lt;&gt;"",VLOOKUP(AC890,Selects!$B$4:$C$100,2,0),"")</f>
        <v/>
      </c>
      <c r="AE890" s="26"/>
      <c r="AF890" s="58"/>
      <c r="AG890" s="59"/>
      <c r="AH890" s="65"/>
      <c r="AI890" s="66"/>
      <c r="AJ890" s="66"/>
      <c r="AK890" s="58"/>
      <c r="AL890" s="58"/>
      <c r="AM890" s="68" t="str">
        <f aca="false">IF(LEFT(AL890,1)="9","Celular",IF(AL890="","","Fixo"))</f>
        <v/>
      </c>
      <c r="AN890" s="58" t="str">
        <f aca="false">IF( AM890&lt;&gt;"",VLOOKUP(AM890,Selects!$M$4:$N$1000,2,0),"")</f>
        <v/>
      </c>
      <c r="AO890" s="58"/>
      <c r="AP890" s="59"/>
      <c r="AQ890" s="65"/>
      <c r="AR890" s="58"/>
      <c r="AS890" s="58"/>
      <c r="AT890" s="26"/>
      <c r="AU890" s="58"/>
      <c r="AV890" s="58"/>
      <c r="AW890" s="58"/>
      <c r="AX890" s="58"/>
      <c r="AY890" s="71"/>
      <c r="AZ890" s="58"/>
      <c r="BA890" s="58"/>
      <c r="BB890" s="72" t="str">
        <f aca="false">IF(BA890&lt;&gt;"",VLOOKUP(BA890,Selects!$B$4:$C$100,2,0),"")</f>
        <v/>
      </c>
      <c r="BC890" s="26"/>
      <c r="BD890" s="26"/>
      <c r="BE890" s="73"/>
      <c r="BF890" s="74"/>
      <c r="BG890" s="75" t="str">
        <f aca="false">IF(LEN(BF890)=11,"PF",IF(LEN(BF890)=14,"PJ",""))</f>
        <v/>
      </c>
      <c r="BH890" s="66"/>
      <c r="BI890" s="58" t="str">
        <f aca="false">IF(BH890&lt;&gt;"",VLOOKUP(BH890,Selects!$G:$H,2,0),"")</f>
        <v/>
      </c>
      <c r="BJ890" s="58"/>
      <c r="BK890" s="58"/>
      <c r="BL890" s="59"/>
      <c r="BM890" s="58"/>
      <c r="BN890" s="58"/>
      <c r="BO890" s="58" t="str">
        <f aca="false">IF(BN890&lt;&gt;"",VLOOKUP(BN890,Selects!$J$4:$K$1000,2,0),"")</f>
        <v/>
      </c>
      <c r="BP890" s="76"/>
      <c r="BQ890" s="59"/>
      <c r="BR890" s="77"/>
      <c r="BS890" s="59"/>
      <c r="BT890" s="77"/>
      <c r="BU890" s="58"/>
      <c r="BV890" s="58"/>
      <c r="BW890" s="58"/>
      <c r="BX890" s="58"/>
      <c r="BY890" s="58"/>
      <c r="BZ890" s="58"/>
      <c r="CA890" s="58"/>
      <c r="CB890" s="72" t="str">
        <f aca="false">IF(AC890&lt;&gt;"",VLOOKUP(AC890,Selects!$B:$E,4,0),"")</f>
        <v/>
      </c>
      <c r="CC890" s="58"/>
      <c r="CD890" s="58"/>
      <c r="CE890" s="58"/>
    </row>
    <row r="891" customFormat="false" ht="15.75" hidden="false" customHeight="true" outlineLevel="0" collapsed="false">
      <c r="A891" s="17"/>
      <c r="B891" s="58"/>
      <c r="C891" s="58"/>
      <c r="D891" s="59"/>
      <c r="E891" s="60" t="str">
        <f aca="false">IF(LEN(D891)=11,"PF",IF(LEN(D891)=14,"PJ",""))</f>
        <v/>
      </c>
      <c r="F891" s="59"/>
      <c r="G891" s="59"/>
      <c r="H891" s="61" t="str">
        <f aca="false">IF(G891&lt;&gt;"",VLOOKUP(G891,'Cnae  mcc  id'!$A:$M,9,0),"")</f>
        <v/>
      </c>
      <c r="I891" s="62"/>
      <c r="J891" s="63" t="str">
        <f aca="false">IF(I891&lt;&gt;"",VLOOKUP(I891,'Legal Nature'!$E$2:$G$84,3,0),"")</f>
        <v/>
      </c>
      <c r="K891" s="64"/>
      <c r="L891" s="65"/>
      <c r="M891" s="66"/>
      <c r="N891" s="66"/>
      <c r="O891" s="79"/>
      <c r="P891" s="26"/>
      <c r="Q891" s="58"/>
      <c r="R891" s="58"/>
      <c r="S891" s="80"/>
      <c r="T891" s="68" t="str">
        <f aca="false">IF(LEFT(S891,1)="9","Celular",IF(S891="","","Fixo"))</f>
        <v/>
      </c>
      <c r="U891" s="58" t="str">
        <f aca="false">IF( T891&lt;&gt;"",VLOOKUP(T891,Selects!$M$4:$N$1000,2,0),"")</f>
        <v/>
      </c>
      <c r="V891" s="26"/>
      <c r="W891" s="58"/>
      <c r="X891" s="58"/>
      <c r="Y891" s="58"/>
      <c r="Z891" s="58"/>
      <c r="AA891" s="69"/>
      <c r="AB891" s="58"/>
      <c r="AC891" s="58"/>
      <c r="AD891" s="70" t="str">
        <f aca="false">IF(AC891&lt;&gt;"",VLOOKUP(AC891,Selects!$B$4:$C$100,2,0),"")</f>
        <v/>
      </c>
      <c r="AE891" s="26"/>
      <c r="AF891" s="58"/>
      <c r="AG891" s="59"/>
      <c r="AH891" s="65"/>
      <c r="AI891" s="66"/>
      <c r="AJ891" s="66"/>
      <c r="AK891" s="58"/>
      <c r="AL891" s="58"/>
      <c r="AM891" s="68" t="str">
        <f aca="false">IF(LEFT(AL891,1)="9","Celular",IF(AL891="","","Fixo"))</f>
        <v/>
      </c>
      <c r="AN891" s="58" t="str">
        <f aca="false">IF( AM891&lt;&gt;"",VLOOKUP(AM891,Selects!$M$4:$N$1000,2,0),"")</f>
        <v/>
      </c>
      <c r="AO891" s="58"/>
      <c r="AP891" s="59"/>
      <c r="AQ891" s="65"/>
      <c r="AR891" s="58"/>
      <c r="AS891" s="58"/>
      <c r="AT891" s="26"/>
      <c r="AU891" s="58"/>
      <c r="AV891" s="58"/>
      <c r="AW891" s="58"/>
      <c r="AX891" s="58"/>
      <c r="AY891" s="71"/>
      <c r="AZ891" s="58"/>
      <c r="BA891" s="58"/>
      <c r="BB891" s="72" t="str">
        <f aca="false">IF(BA891&lt;&gt;"",VLOOKUP(BA891,Selects!$B$4:$C$100,2,0),"")</f>
        <v/>
      </c>
      <c r="BC891" s="26"/>
      <c r="BD891" s="26"/>
      <c r="BE891" s="73"/>
      <c r="BF891" s="74"/>
      <c r="BG891" s="75" t="str">
        <f aca="false">IF(LEN(BF891)=11,"PF",IF(LEN(BF891)=14,"PJ",""))</f>
        <v/>
      </c>
      <c r="BH891" s="66"/>
      <c r="BI891" s="58" t="str">
        <f aca="false">IF(BH891&lt;&gt;"",VLOOKUP(BH891,Selects!$G:$H,2,0),"")</f>
        <v/>
      </c>
      <c r="BJ891" s="58"/>
      <c r="BK891" s="58"/>
      <c r="BL891" s="59"/>
      <c r="BM891" s="58"/>
      <c r="BN891" s="58"/>
      <c r="BO891" s="58" t="str">
        <f aca="false">IF(BN891&lt;&gt;"",VLOOKUP(BN891,Selects!$J$4:$K$1000,2,0),"")</f>
        <v/>
      </c>
      <c r="BP891" s="76"/>
      <c r="BQ891" s="59"/>
      <c r="BR891" s="77"/>
      <c r="BS891" s="59"/>
      <c r="BT891" s="77"/>
      <c r="BU891" s="58"/>
      <c r="BV891" s="58"/>
      <c r="BW891" s="58"/>
      <c r="BX891" s="58"/>
      <c r="BY891" s="58"/>
      <c r="BZ891" s="58"/>
      <c r="CA891" s="58"/>
      <c r="CB891" s="72" t="str">
        <f aca="false">IF(AC891&lt;&gt;"",VLOOKUP(AC891,Selects!$B:$E,4,0),"")</f>
        <v/>
      </c>
      <c r="CC891" s="58"/>
      <c r="CD891" s="58"/>
      <c r="CE891" s="58"/>
    </row>
    <row r="892" customFormat="false" ht="15.75" hidden="false" customHeight="true" outlineLevel="0" collapsed="false">
      <c r="A892" s="17"/>
      <c r="B892" s="58"/>
      <c r="C892" s="58"/>
      <c r="D892" s="59"/>
      <c r="E892" s="60" t="str">
        <f aca="false">IF(LEN(D892)=11,"PF",IF(LEN(D892)=14,"PJ",""))</f>
        <v/>
      </c>
      <c r="F892" s="59"/>
      <c r="G892" s="59"/>
      <c r="H892" s="61" t="str">
        <f aca="false">IF(G892&lt;&gt;"",VLOOKUP(G892,'Cnae  mcc  id'!$A:$M,9,0),"")</f>
        <v/>
      </c>
      <c r="I892" s="62"/>
      <c r="J892" s="63" t="str">
        <f aca="false">IF(I892&lt;&gt;"",VLOOKUP(I892,'Legal Nature'!$E$2:$G$84,3,0),"")</f>
        <v/>
      </c>
      <c r="K892" s="64"/>
      <c r="L892" s="65"/>
      <c r="M892" s="66"/>
      <c r="N892" s="66"/>
      <c r="O892" s="79"/>
      <c r="P892" s="26"/>
      <c r="Q892" s="58"/>
      <c r="R892" s="58"/>
      <c r="S892" s="80"/>
      <c r="T892" s="68" t="str">
        <f aca="false">IF(LEFT(S892,1)="9","Celular",IF(S892="","","Fixo"))</f>
        <v/>
      </c>
      <c r="U892" s="58" t="str">
        <f aca="false">IF( T892&lt;&gt;"",VLOOKUP(T892,Selects!$M$4:$N$1000,2,0),"")</f>
        <v/>
      </c>
      <c r="V892" s="26"/>
      <c r="W892" s="58"/>
      <c r="X892" s="58"/>
      <c r="Y892" s="58"/>
      <c r="Z892" s="58"/>
      <c r="AA892" s="69"/>
      <c r="AB892" s="58"/>
      <c r="AC892" s="58"/>
      <c r="AD892" s="70" t="str">
        <f aca="false">IF(AC892&lt;&gt;"",VLOOKUP(AC892,Selects!$B$4:$C$100,2,0),"")</f>
        <v/>
      </c>
      <c r="AE892" s="26"/>
      <c r="AF892" s="58"/>
      <c r="AG892" s="59"/>
      <c r="AH892" s="65"/>
      <c r="AI892" s="66"/>
      <c r="AJ892" s="66"/>
      <c r="AK892" s="58"/>
      <c r="AL892" s="58"/>
      <c r="AM892" s="68" t="str">
        <f aca="false">IF(LEFT(AL892,1)="9","Celular",IF(AL892="","","Fixo"))</f>
        <v/>
      </c>
      <c r="AN892" s="58" t="str">
        <f aca="false">IF( AM892&lt;&gt;"",VLOOKUP(AM892,Selects!$M$4:$N$1000,2,0),"")</f>
        <v/>
      </c>
      <c r="AO892" s="58"/>
      <c r="AP892" s="59"/>
      <c r="AQ892" s="65"/>
      <c r="AR892" s="58"/>
      <c r="AS892" s="58"/>
      <c r="AT892" s="26"/>
      <c r="AU892" s="58"/>
      <c r="AV892" s="58"/>
      <c r="AW892" s="58"/>
      <c r="AX892" s="58"/>
      <c r="AY892" s="71"/>
      <c r="AZ892" s="58"/>
      <c r="BA892" s="58"/>
      <c r="BB892" s="72" t="str">
        <f aca="false">IF(BA892&lt;&gt;"",VLOOKUP(BA892,Selects!$B$4:$C$100,2,0),"")</f>
        <v/>
      </c>
      <c r="BC892" s="26"/>
      <c r="BD892" s="26"/>
      <c r="BE892" s="73"/>
      <c r="BF892" s="74"/>
      <c r="BG892" s="75" t="str">
        <f aca="false">IF(LEN(BF892)=11,"PF",IF(LEN(BF892)=14,"PJ",""))</f>
        <v/>
      </c>
      <c r="BH892" s="66"/>
      <c r="BI892" s="58" t="str">
        <f aca="false">IF(BH892&lt;&gt;"",VLOOKUP(BH892,Selects!$G:$H,2,0),"")</f>
        <v/>
      </c>
      <c r="BJ892" s="58"/>
      <c r="BK892" s="58"/>
      <c r="BL892" s="59"/>
      <c r="BM892" s="58"/>
      <c r="BN892" s="58"/>
      <c r="BO892" s="58" t="str">
        <f aca="false">IF(BN892&lt;&gt;"",VLOOKUP(BN892,Selects!$J$4:$K$1000,2,0),"")</f>
        <v/>
      </c>
      <c r="BP892" s="76"/>
      <c r="BQ892" s="59"/>
      <c r="BR892" s="77"/>
      <c r="BS892" s="59"/>
      <c r="BT892" s="77"/>
      <c r="BU892" s="58"/>
      <c r="BV892" s="58"/>
      <c r="BW892" s="58"/>
      <c r="BX892" s="58"/>
      <c r="BY892" s="58"/>
      <c r="BZ892" s="58"/>
      <c r="CA892" s="58"/>
      <c r="CB892" s="72" t="str">
        <f aca="false">IF(AC892&lt;&gt;"",VLOOKUP(AC892,Selects!$B:$E,4,0),"")</f>
        <v/>
      </c>
      <c r="CC892" s="58"/>
      <c r="CD892" s="58"/>
      <c r="CE892" s="58"/>
    </row>
    <row r="893" customFormat="false" ht="15.75" hidden="false" customHeight="true" outlineLevel="0" collapsed="false">
      <c r="A893" s="17"/>
      <c r="B893" s="58"/>
      <c r="C893" s="58"/>
      <c r="D893" s="59"/>
      <c r="E893" s="60" t="str">
        <f aca="false">IF(LEN(D893)=11,"PF",IF(LEN(D893)=14,"PJ",""))</f>
        <v/>
      </c>
      <c r="F893" s="59"/>
      <c r="G893" s="59"/>
      <c r="H893" s="61" t="str">
        <f aca="false">IF(G893&lt;&gt;"",VLOOKUP(G893,'Cnae  mcc  id'!$A:$M,9,0),"")</f>
        <v/>
      </c>
      <c r="I893" s="62"/>
      <c r="J893" s="63" t="str">
        <f aca="false">IF(I893&lt;&gt;"",VLOOKUP(I893,'Legal Nature'!$E$2:$G$84,3,0),"")</f>
        <v/>
      </c>
      <c r="K893" s="64"/>
      <c r="L893" s="65"/>
      <c r="M893" s="66"/>
      <c r="N893" s="66"/>
      <c r="O893" s="79"/>
      <c r="P893" s="26"/>
      <c r="Q893" s="58"/>
      <c r="R893" s="58"/>
      <c r="S893" s="80"/>
      <c r="T893" s="68" t="str">
        <f aca="false">IF(LEFT(S893,1)="9","Celular",IF(S893="","","Fixo"))</f>
        <v/>
      </c>
      <c r="U893" s="58" t="str">
        <f aca="false">IF( T893&lt;&gt;"",VLOOKUP(T893,Selects!$M$4:$N$1000,2,0),"")</f>
        <v/>
      </c>
      <c r="V893" s="26"/>
      <c r="W893" s="58"/>
      <c r="X893" s="58"/>
      <c r="Y893" s="58"/>
      <c r="Z893" s="58"/>
      <c r="AA893" s="69"/>
      <c r="AB893" s="58"/>
      <c r="AC893" s="58"/>
      <c r="AD893" s="70" t="str">
        <f aca="false">IF(AC893&lt;&gt;"",VLOOKUP(AC893,Selects!$B$4:$C$100,2,0),"")</f>
        <v/>
      </c>
      <c r="AE893" s="26"/>
      <c r="AF893" s="58"/>
      <c r="AG893" s="59"/>
      <c r="AH893" s="65"/>
      <c r="AI893" s="66"/>
      <c r="AJ893" s="66"/>
      <c r="AK893" s="58"/>
      <c r="AL893" s="58"/>
      <c r="AM893" s="68" t="str">
        <f aca="false">IF(LEFT(AL893,1)="9","Celular",IF(AL893="","","Fixo"))</f>
        <v/>
      </c>
      <c r="AN893" s="58" t="str">
        <f aca="false">IF( AM893&lt;&gt;"",VLOOKUP(AM893,Selects!$M$4:$N$1000,2,0),"")</f>
        <v/>
      </c>
      <c r="AO893" s="58"/>
      <c r="AP893" s="59"/>
      <c r="AQ893" s="65"/>
      <c r="AR893" s="58"/>
      <c r="AS893" s="58"/>
      <c r="AT893" s="26"/>
      <c r="AU893" s="58"/>
      <c r="AV893" s="58"/>
      <c r="AW893" s="58"/>
      <c r="AX893" s="58"/>
      <c r="AY893" s="71"/>
      <c r="AZ893" s="58"/>
      <c r="BA893" s="58"/>
      <c r="BB893" s="72" t="str">
        <f aca="false">IF(BA893&lt;&gt;"",VLOOKUP(BA893,Selects!$B$4:$C$100,2,0),"")</f>
        <v/>
      </c>
      <c r="BC893" s="26"/>
      <c r="BD893" s="26"/>
      <c r="BE893" s="73"/>
      <c r="BF893" s="74"/>
      <c r="BG893" s="75" t="str">
        <f aca="false">IF(LEN(BF893)=11,"PF",IF(LEN(BF893)=14,"PJ",""))</f>
        <v/>
      </c>
      <c r="BH893" s="66"/>
      <c r="BI893" s="58" t="str">
        <f aca="false">IF(BH893&lt;&gt;"",VLOOKUP(BH893,Selects!$G:$H,2,0),"")</f>
        <v/>
      </c>
      <c r="BJ893" s="58"/>
      <c r="BK893" s="58"/>
      <c r="BL893" s="59"/>
      <c r="BM893" s="58"/>
      <c r="BN893" s="58"/>
      <c r="BO893" s="58" t="str">
        <f aca="false">IF(BN893&lt;&gt;"",VLOOKUP(BN893,Selects!$J$4:$K$1000,2,0),"")</f>
        <v/>
      </c>
      <c r="BP893" s="76"/>
      <c r="BQ893" s="59"/>
      <c r="BR893" s="77"/>
      <c r="BS893" s="59"/>
      <c r="BT893" s="77"/>
      <c r="BU893" s="58"/>
      <c r="BV893" s="58"/>
      <c r="BW893" s="58"/>
      <c r="BX893" s="58"/>
      <c r="BY893" s="58"/>
      <c r="BZ893" s="58"/>
      <c r="CA893" s="58"/>
      <c r="CB893" s="72" t="str">
        <f aca="false">IF(AC893&lt;&gt;"",VLOOKUP(AC893,Selects!$B:$E,4,0),"")</f>
        <v/>
      </c>
      <c r="CC893" s="58"/>
      <c r="CD893" s="58"/>
      <c r="CE893" s="58"/>
    </row>
    <row r="894" customFormat="false" ht="15.75" hidden="false" customHeight="true" outlineLevel="0" collapsed="false">
      <c r="A894" s="17"/>
      <c r="B894" s="58"/>
      <c r="C894" s="58"/>
      <c r="D894" s="59"/>
      <c r="E894" s="60" t="str">
        <f aca="false">IF(LEN(D894)=11,"PF",IF(LEN(D894)=14,"PJ",""))</f>
        <v/>
      </c>
      <c r="F894" s="59"/>
      <c r="G894" s="59"/>
      <c r="H894" s="61" t="str">
        <f aca="false">IF(G894&lt;&gt;"",VLOOKUP(G894,'Cnae  mcc  id'!$A:$M,9,0),"")</f>
        <v/>
      </c>
      <c r="I894" s="62"/>
      <c r="J894" s="63" t="str">
        <f aca="false">IF(I894&lt;&gt;"",VLOOKUP(I894,'Legal Nature'!$E$2:$G$84,3,0),"")</f>
        <v/>
      </c>
      <c r="K894" s="64"/>
      <c r="L894" s="65"/>
      <c r="M894" s="66"/>
      <c r="N894" s="66"/>
      <c r="O894" s="79"/>
      <c r="P894" s="26"/>
      <c r="Q894" s="58"/>
      <c r="R894" s="58"/>
      <c r="S894" s="80"/>
      <c r="T894" s="68" t="str">
        <f aca="false">IF(LEFT(S894,1)="9","Celular",IF(S894="","","Fixo"))</f>
        <v/>
      </c>
      <c r="U894" s="58" t="str">
        <f aca="false">IF( T894&lt;&gt;"",VLOOKUP(T894,Selects!$M$4:$N$1000,2,0),"")</f>
        <v/>
      </c>
      <c r="V894" s="26"/>
      <c r="W894" s="58"/>
      <c r="X894" s="58"/>
      <c r="Y894" s="58"/>
      <c r="Z894" s="58"/>
      <c r="AA894" s="69"/>
      <c r="AB894" s="58"/>
      <c r="AC894" s="58"/>
      <c r="AD894" s="70" t="str">
        <f aca="false">IF(AC894&lt;&gt;"",VLOOKUP(AC894,Selects!$B$4:$C$100,2,0),"")</f>
        <v/>
      </c>
      <c r="AE894" s="26"/>
      <c r="AF894" s="58"/>
      <c r="AG894" s="59"/>
      <c r="AH894" s="65"/>
      <c r="AI894" s="66"/>
      <c r="AJ894" s="66"/>
      <c r="AK894" s="58"/>
      <c r="AL894" s="58"/>
      <c r="AM894" s="68" t="str">
        <f aca="false">IF(LEFT(AL894,1)="9","Celular",IF(AL894="","","Fixo"))</f>
        <v/>
      </c>
      <c r="AN894" s="58" t="str">
        <f aca="false">IF( AM894&lt;&gt;"",VLOOKUP(AM894,Selects!$M$4:$N$1000,2,0),"")</f>
        <v/>
      </c>
      <c r="AO894" s="58"/>
      <c r="AP894" s="59"/>
      <c r="AQ894" s="65"/>
      <c r="AR894" s="58"/>
      <c r="AS894" s="58"/>
      <c r="AT894" s="26"/>
      <c r="AU894" s="58"/>
      <c r="AV894" s="58"/>
      <c r="AW894" s="58"/>
      <c r="AX894" s="58"/>
      <c r="AY894" s="71"/>
      <c r="AZ894" s="58"/>
      <c r="BA894" s="58"/>
      <c r="BB894" s="72" t="str">
        <f aca="false">IF(BA894&lt;&gt;"",VLOOKUP(BA894,Selects!$B$4:$C$100,2,0),"")</f>
        <v/>
      </c>
      <c r="BC894" s="26"/>
      <c r="BD894" s="26"/>
      <c r="BE894" s="73"/>
      <c r="BF894" s="74"/>
      <c r="BG894" s="75" t="str">
        <f aca="false">IF(LEN(BF894)=11,"PF",IF(LEN(BF894)=14,"PJ",""))</f>
        <v/>
      </c>
      <c r="BH894" s="66"/>
      <c r="BI894" s="58" t="str">
        <f aca="false">IF(BH894&lt;&gt;"",VLOOKUP(BH894,Selects!$G:$H,2,0),"")</f>
        <v/>
      </c>
      <c r="BJ894" s="58"/>
      <c r="BK894" s="58"/>
      <c r="BL894" s="59"/>
      <c r="BM894" s="58"/>
      <c r="BN894" s="58"/>
      <c r="BO894" s="58" t="str">
        <f aca="false">IF(BN894&lt;&gt;"",VLOOKUP(BN894,Selects!$J$4:$K$1000,2,0),"")</f>
        <v/>
      </c>
      <c r="BP894" s="76"/>
      <c r="BQ894" s="59"/>
      <c r="BR894" s="77"/>
      <c r="BS894" s="59"/>
      <c r="BT894" s="77"/>
      <c r="BU894" s="58"/>
      <c r="BV894" s="58"/>
      <c r="BW894" s="58"/>
      <c r="BX894" s="58"/>
      <c r="BY894" s="58"/>
      <c r="BZ894" s="58"/>
      <c r="CA894" s="58"/>
      <c r="CB894" s="72" t="str">
        <f aca="false">IF(AC894&lt;&gt;"",VLOOKUP(AC894,Selects!$B:$E,4,0),"")</f>
        <v/>
      </c>
      <c r="CC894" s="58"/>
      <c r="CD894" s="58"/>
      <c r="CE894" s="58"/>
    </row>
    <row r="895" customFormat="false" ht="15.75" hidden="false" customHeight="true" outlineLevel="0" collapsed="false">
      <c r="A895" s="17"/>
      <c r="B895" s="58"/>
      <c r="C895" s="58"/>
      <c r="D895" s="59"/>
      <c r="E895" s="60" t="str">
        <f aca="false">IF(LEN(D895)=11,"PF",IF(LEN(D895)=14,"PJ",""))</f>
        <v/>
      </c>
      <c r="F895" s="59"/>
      <c r="G895" s="59"/>
      <c r="H895" s="61" t="str">
        <f aca="false">IF(G895&lt;&gt;"",VLOOKUP(G895,'Cnae  mcc  id'!$A:$M,9,0),"")</f>
        <v/>
      </c>
      <c r="I895" s="62"/>
      <c r="J895" s="63" t="str">
        <f aca="false">IF(I895&lt;&gt;"",VLOOKUP(I895,'Legal Nature'!$E$2:$G$84,3,0),"")</f>
        <v/>
      </c>
      <c r="K895" s="64"/>
      <c r="L895" s="65"/>
      <c r="M895" s="66"/>
      <c r="N895" s="66"/>
      <c r="O895" s="79"/>
      <c r="P895" s="26"/>
      <c r="Q895" s="58"/>
      <c r="R895" s="58"/>
      <c r="S895" s="80"/>
      <c r="T895" s="68" t="str">
        <f aca="false">IF(LEFT(S895,1)="9","Celular",IF(S895="","","Fixo"))</f>
        <v/>
      </c>
      <c r="U895" s="58" t="str">
        <f aca="false">IF( T895&lt;&gt;"",VLOOKUP(T895,Selects!$M$4:$N$1000,2,0),"")</f>
        <v/>
      </c>
      <c r="V895" s="26"/>
      <c r="W895" s="58"/>
      <c r="X895" s="58"/>
      <c r="Y895" s="58"/>
      <c r="Z895" s="58"/>
      <c r="AA895" s="69"/>
      <c r="AB895" s="58"/>
      <c r="AC895" s="58"/>
      <c r="AD895" s="70" t="str">
        <f aca="false">IF(AC895&lt;&gt;"",VLOOKUP(AC895,Selects!$B$4:$C$100,2,0),"")</f>
        <v/>
      </c>
      <c r="AE895" s="26"/>
      <c r="AF895" s="58"/>
      <c r="AG895" s="59"/>
      <c r="AH895" s="65"/>
      <c r="AI895" s="66"/>
      <c r="AJ895" s="66"/>
      <c r="AK895" s="58"/>
      <c r="AL895" s="58"/>
      <c r="AM895" s="68" t="str">
        <f aca="false">IF(LEFT(AL895,1)="9","Celular",IF(AL895="","","Fixo"))</f>
        <v/>
      </c>
      <c r="AN895" s="58" t="str">
        <f aca="false">IF( AM895&lt;&gt;"",VLOOKUP(AM895,Selects!$M$4:$N$1000,2,0),"")</f>
        <v/>
      </c>
      <c r="AO895" s="58"/>
      <c r="AP895" s="59"/>
      <c r="AQ895" s="65"/>
      <c r="AR895" s="58"/>
      <c r="AS895" s="58"/>
      <c r="AT895" s="26"/>
      <c r="AU895" s="58"/>
      <c r="AV895" s="58"/>
      <c r="AW895" s="58"/>
      <c r="AX895" s="58"/>
      <c r="AY895" s="71"/>
      <c r="AZ895" s="58"/>
      <c r="BA895" s="58"/>
      <c r="BB895" s="72" t="str">
        <f aca="false">IF(BA895&lt;&gt;"",VLOOKUP(BA895,Selects!$B$4:$C$100,2,0),"")</f>
        <v/>
      </c>
      <c r="BC895" s="26"/>
      <c r="BD895" s="26"/>
      <c r="BE895" s="73"/>
      <c r="BF895" s="74"/>
      <c r="BG895" s="75" t="str">
        <f aca="false">IF(LEN(BF895)=11,"PF",IF(LEN(BF895)=14,"PJ",""))</f>
        <v/>
      </c>
      <c r="BH895" s="66"/>
      <c r="BI895" s="58" t="str">
        <f aca="false">IF(BH895&lt;&gt;"",VLOOKUP(BH895,Selects!$G:$H,2,0),"")</f>
        <v/>
      </c>
      <c r="BJ895" s="58"/>
      <c r="BK895" s="58"/>
      <c r="BL895" s="59"/>
      <c r="BM895" s="58"/>
      <c r="BN895" s="58"/>
      <c r="BO895" s="58" t="str">
        <f aca="false">IF(BN895&lt;&gt;"",VLOOKUP(BN895,Selects!$J$4:$K$1000,2,0),"")</f>
        <v/>
      </c>
      <c r="BP895" s="76"/>
      <c r="BQ895" s="59"/>
      <c r="BR895" s="77"/>
      <c r="BS895" s="59"/>
      <c r="BT895" s="77"/>
      <c r="BU895" s="58"/>
      <c r="BV895" s="58"/>
      <c r="BW895" s="58"/>
      <c r="BX895" s="58"/>
      <c r="BY895" s="58"/>
      <c r="BZ895" s="58"/>
      <c r="CA895" s="58"/>
      <c r="CB895" s="72" t="str">
        <f aca="false">IF(AC895&lt;&gt;"",VLOOKUP(AC895,Selects!$B:$E,4,0),"")</f>
        <v/>
      </c>
      <c r="CC895" s="58"/>
      <c r="CD895" s="58"/>
      <c r="CE895" s="58"/>
    </row>
    <row r="896" customFormat="false" ht="15.75" hidden="false" customHeight="true" outlineLevel="0" collapsed="false">
      <c r="A896" s="17"/>
      <c r="B896" s="58"/>
      <c r="C896" s="58"/>
      <c r="D896" s="59"/>
      <c r="E896" s="60" t="str">
        <f aca="false">IF(LEN(D896)=11,"PF",IF(LEN(D896)=14,"PJ",""))</f>
        <v/>
      </c>
      <c r="F896" s="59"/>
      <c r="G896" s="59"/>
      <c r="H896" s="61" t="str">
        <f aca="false">IF(G896&lt;&gt;"",VLOOKUP(G896,'Cnae  mcc  id'!$A:$M,9,0),"")</f>
        <v/>
      </c>
      <c r="I896" s="62"/>
      <c r="J896" s="63" t="str">
        <f aca="false">IF(I896&lt;&gt;"",VLOOKUP(I896,'Legal Nature'!$E$2:$G$84,3,0),"")</f>
        <v/>
      </c>
      <c r="K896" s="64"/>
      <c r="L896" s="65"/>
      <c r="M896" s="66"/>
      <c r="N896" s="66"/>
      <c r="O896" s="79"/>
      <c r="P896" s="26"/>
      <c r="Q896" s="58"/>
      <c r="R896" s="58"/>
      <c r="S896" s="80"/>
      <c r="T896" s="68" t="str">
        <f aca="false">IF(LEFT(S896,1)="9","Celular",IF(S896="","","Fixo"))</f>
        <v/>
      </c>
      <c r="U896" s="58" t="str">
        <f aca="false">IF( T896&lt;&gt;"",VLOOKUP(T896,Selects!$M$4:$N$1000,2,0),"")</f>
        <v/>
      </c>
      <c r="V896" s="26"/>
      <c r="W896" s="58"/>
      <c r="X896" s="58"/>
      <c r="Y896" s="58"/>
      <c r="Z896" s="58"/>
      <c r="AA896" s="69"/>
      <c r="AB896" s="58"/>
      <c r="AC896" s="58"/>
      <c r="AD896" s="70" t="str">
        <f aca="false">IF(AC896&lt;&gt;"",VLOOKUP(AC896,Selects!$B$4:$C$100,2,0),"")</f>
        <v/>
      </c>
      <c r="AE896" s="26"/>
      <c r="AF896" s="58"/>
      <c r="AG896" s="59"/>
      <c r="AH896" s="65"/>
      <c r="AI896" s="66"/>
      <c r="AJ896" s="66"/>
      <c r="AK896" s="58"/>
      <c r="AL896" s="58"/>
      <c r="AM896" s="68" t="str">
        <f aca="false">IF(LEFT(AL896,1)="9","Celular",IF(AL896="","","Fixo"))</f>
        <v/>
      </c>
      <c r="AN896" s="58" t="str">
        <f aca="false">IF( AM896&lt;&gt;"",VLOOKUP(AM896,Selects!$M$4:$N$1000,2,0),"")</f>
        <v/>
      </c>
      <c r="AO896" s="58"/>
      <c r="AP896" s="59"/>
      <c r="AQ896" s="65"/>
      <c r="AR896" s="58"/>
      <c r="AS896" s="58"/>
      <c r="AT896" s="26"/>
      <c r="AU896" s="58"/>
      <c r="AV896" s="58"/>
      <c r="AW896" s="58"/>
      <c r="AX896" s="58"/>
      <c r="AY896" s="71"/>
      <c r="AZ896" s="58"/>
      <c r="BA896" s="58"/>
      <c r="BB896" s="72" t="str">
        <f aca="false">IF(BA896&lt;&gt;"",VLOOKUP(BA896,Selects!$B$4:$C$100,2,0),"")</f>
        <v/>
      </c>
      <c r="BC896" s="26"/>
      <c r="BD896" s="26"/>
      <c r="BE896" s="73"/>
      <c r="BF896" s="74"/>
      <c r="BG896" s="75" t="str">
        <f aca="false">IF(LEN(BF896)=11,"PF",IF(LEN(BF896)=14,"PJ",""))</f>
        <v/>
      </c>
      <c r="BH896" s="66"/>
      <c r="BI896" s="58" t="str">
        <f aca="false">IF(BH896&lt;&gt;"",VLOOKUP(BH896,Selects!$G:$H,2,0),"")</f>
        <v/>
      </c>
      <c r="BJ896" s="58"/>
      <c r="BK896" s="58"/>
      <c r="BL896" s="59"/>
      <c r="BM896" s="58"/>
      <c r="BN896" s="58"/>
      <c r="BO896" s="58" t="str">
        <f aca="false">IF(BN896&lt;&gt;"",VLOOKUP(BN896,Selects!$J$4:$K$1000,2,0),"")</f>
        <v/>
      </c>
      <c r="BP896" s="76"/>
      <c r="BQ896" s="59"/>
      <c r="BR896" s="77"/>
      <c r="BS896" s="59"/>
      <c r="BT896" s="77"/>
      <c r="BU896" s="58"/>
      <c r="BV896" s="58"/>
      <c r="BW896" s="58"/>
      <c r="BX896" s="58"/>
      <c r="BY896" s="58"/>
      <c r="BZ896" s="58"/>
      <c r="CA896" s="58"/>
      <c r="CB896" s="72" t="str">
        <f aca="false">IF(AC896&lt;&gt;"",VLOOKUP(AC896,Selects!$B:$E,4,0),"")</f>
        <v/>
      </c>
      <c r="CC896" s="58"/>
      <c r="CD896" s="58"/>
      <c r="CE896" s="58"/>
    </row>
    <row r="897" customFormat="false" ht="15.75" hidden="false" customHeight="true" outlineLevel="0" collapsed="false">
      <c r="A897" s="17"/>
      <c r="B897" s="58"/>
      <c r="C897" s="58"/>
      <c r="D897" s="59"/>
      <c r="E897" s="60" t="str">
        <f aca="false">IF(LEN(D897)=11,"PF",IF(LEN(D897)=14,"PJ",""))</f>
        <v/>
      </c>
      <c r="F897" s="59"/>
      <c r="G897" s="59"/>
      <c r="H897" s="61" t="str">
        <f aca="false">IF(G897&lt;&gt;"",VLOOKUP(G897,'Cnae  mcc  id'!$A:$M,9,0),"")</f>
        <v/>
      </c>
      <c r="I897" s="62"/>
      <c r="J897" s="63" t="str">
        <f aca="false">IF(I897&lt;&gt;"",VLOOKUP(I897,'Legal Nature'!$E$2:$G$84,3,0),"")</f>
        <v/>
      </c>
      <c r="K897" s="64"/>
      <c r="L897" s="65"/>
      <c r="M897" s="66"/>
      <c r="N897" s="66"/>
      <c r="O897" s="79"/>
      <c r="P897" s="26"/>
      <c r="Q897" s="58"/>
      <c r="R897" s="58"/>
      <c r="S897" s="80"/>
      <c r="T897" s="68" t="str">
        <f aca="false">IF(LEFT(S897,1)="9","Celular",IF(S897="","","Fixo"))</f>
        <v/>
      </c>
      <c r="U897" s="58" t="str">
        <f aca="false">IF( T897&lt;&gt;"",VLOOKUP(T897,Selects!$M$4:$N$1000,2,0),"")</f>
        <v/>
      </c>
      <c r="V897" s="26"/>
      <c r="W897" s="58"/>
      <c r="X897" s="58"/>
      <c r="Y897" s="58"/>
      <c r="Z897" s="58"/>
      <c r="AA897" s="69"/>
      <c r="AB897" s="58"/>
      <c r="AC897" s="58"/>
      <c r="AD897" s="70" t="str">
        <f aca="false">IF(AC897&lt;&gt;"",VLOOKUP(AC897,Selects!$B$4:$C$100,2,0),"")</f>
        <v/>
      </c>
      <c r="AE897" s="26"/>
      <c r="AF897" s="58"/>
      <c r="AG897" s="59"/>
      <c r="AH897" s="65"/>
      <c r="AI897" s="66"/>
      <c r="AJ897" s="66"/>
      <c r="AK897" s="58"/>
      <c r="AL897" s="58"/>
      <c r="AM897" s="68" t="str">
        <f aca="false">IF(LEFT(AL897,1)="9","Celular",IF(AL897="","","Fixo"))</f>
        <v/>
      </c>
      <c r="AN897" s="58" t="str">
        <f aca="false">IF( AM897&lt;&gt;"",VLOOKUP(AM897,Selects!$M$4:$N$1000,2,0),"")</f>
        <v/>
      </c>
      <c r="AO897" s="58"/>
      <c r="AP897" s="59"/>
      <c r="AQ897" s="65"/>
      <c r="AR897" s="58"/>
      <c r="AS897" s="58"/>
      <c r="AT897" s="26"/>
      <c r="AU897" s="58"/>
      <c r="AV897" s="58"/>
      <c r="AW897" s="58"/>
      <c r="AX897" s="58"/>
      <c r="AY897" s="71"/>
      <c r="AZ897" s="58"/>
      <c r="BA897" s="58"/>
      <c r="BB897" s="72" t="str">
        <f aca="false">IF(BA897&lt;&gt;"",VLOOKUP(BA897,Selects!$B$4:$C$100,2,0),"")</f>
        <v/>
      </c>
      <c r="BC897" s="26"/>
      <c r="BD897" s="26"/>
      <c r="BE897" s="73"/>
      <c r="BF897" s="74"/>
      <c r="BG897" s="75" t="str">
        <f aca="false">IF(LEN(BF897)=11,"PF",IF(LEN(BF897)=14,"PJ",""))</f>
        <v/>
      </c>
      <c r="BH897" s="66"/>
      <c r="BI897" s="58" t="str">
        <f aca="false">IF(BH897&lt;&gt;"",VLOOKUP(BH897,Selects!$G:$H,2,0),"")</f>
        <v/>
      </c>
      <c r="BJ897" s="58"/>
      <c r="BK897" s="58"/>
      <c r="BL897" s="59"/>
      <c r="BM897" s="58"/>
      <c r="BN897" s="58"/>
      <c r="BO897" s="58" t="str">
        <f aca="false">IF(BN897&lt;&gt;"",VLOOKUP(BN897,Selects!$J$4:$K$1000,2,0),"")</f>
        <v/>
      </c>
      <c r="BP897" s="76"/>
      <c r="BQ897" s="59"/>
      <c r="BR897" s="77"/>
      <c r="BS897" s="59"/>
      <c r="BT897" s="77"/>
      <c r="BU897" s="58"/>
      <c r="BV897" s="58"/>
      <c r="BW897" s="58"/>
      <c r="BX897" s="58"/>
      <c r="BY897" s="58"/>
      <c r="BZ897" s="58"/>
      <c r="CA897" s="58"/>
      <c r="CB897" s="72" t="str">
        <f aca="false">IF(AC897&lt;&gt;"",VLOOKUP(AC897,Selects!$B:$E,4,0),"")</f>
        <v/>
      </c>
      <c r="CC897" s="58"/>
      <c r="CD897" s="58"/>
      <c r="CE897" s="58"/>
    </row>
    <row r="898" customFormat="false" ht="15.75" hidden="false" customHeight="true" outlineLevel="0" collapsed="false">
      <c r="A898" s="17"/>
      <c r="B898" s="58"/>
      <c r="C898" s="58"/>
      <c r="D898" s="59"/>
      <c r="E898" s="60" t="str">
        <f aca="false">IF(LEN(D898)=11,"PF",IF(LEN(D898)=14,"PJ",""))</f>
        <v/>
      </c>
      <c r="F898" s="59"/>
      <c r="G898" s="59"/>
      <c r="H898" s="61" t="str">
        <f aca="false">IF(G898&lt;&gt;"",VLOOKUP(G898,'Cnae  mcc  id'!$A:$M,9,0),"")</f>
        <v/>
      </c>
      <c r="I898" s="62"/>
      <c r="J898" s="63" t="str">
        <f aca="false">IF(I898&lt;&gt;"",VLOOKUP(I898,'Legal Nature'!$E$2:$G$84,3,0),"")</f>
        <v/>
      </c>
      <c r="K898" s="64"/>
      <c r="L898" s="65"/>
      <c r="M898" s="66"/>
      <c r="N898" s="66"/>
      <c r="O898" s="79"/>
      <c r="P898" s="26"/>
      <c r="Q898" s="58"/>
      <c r="R898" s="58"/>
      <c r="S898" s="80"/>
      <c r="T898" s="68" t="str">
        <f aca="false">IF(LEFT(S898,1)="9","Celular",IF(S898="","","Fixo"))</f>
        <v/>
      </c>
      <c r="U898" s="58" t="str">
        <f aca="false">IF( T898&lt;&gt;"",VLOOKUP(T898,Selects!$M$4:$N$1000,2,0),"")</f>
        <v/>
      </c>
      <c r="V898" s="26"/>
      <c r="W898" s="58"/>
      <c r="X898" s="58"/>
      <c r="Y898" s="58"/>
      <c r="Z898" s="58"/>
      <c r="AA898" s="69"/>
      <c r="AB898" s="58"/>
      <c r="AC898" s="58"/>
      <c r="AD898" s="70" t="str">
        <f aca="false">IF(AC898&lt;&gt;"",VLOOKUP(AC898,Selects!$B$4:$C$100,2,0),"")</f>
        <v/>
      </c>
      <c r="AE898" s="26"/>
      <c r="AF898" s="58"/>
      <c r="AG898" s="59"/>
      <c r="AH898" s="65"/>
      <c r="AI898" s="66"/>
      <c r="AJ898" s="66"/>
      <c r="AK898" s="58"/>
      <c r="AL898" s="58"/>
      <c r="AM898" s="68" t="str">
        <f aca="false">IF(LEFT(AL898,1)="9","Celular",IF(AL898="","","Fixo"))</f>
        <v/>
      </c>
      <c r="AN898" s="58" t="str">
        <f aca="false">IF( AM898&lt;&gt;"",VLOOKUP(AM898,Selects!$M$4:$N$1000,2,0),"")</f>
        <v/>
      </c>
      <c r="AO898" s="58"/>
      <c r="AP898" s="59"/>
      <c r="AQ898" s="65"/>
      <c r="AR898" s="58"/>
      <c r="AS898" s="58"/>
      <c r="AT898" s="26"/>
      <c r="AU898" s="58"/>
      <c r="AV898" s="58"/>
      <c r="AW898" s="58"/>
      <c r="AX898" s="58"/>
      <c r="AY898" s="71"/>
      <c r="AZ898" s="58"/>
      <c r="BA898" s="58"/>
      <c r="BB898" s="72" t="str">
        <f aca="false">IF(BA898&lt;&gt;"",VLOOKUP(BA898,Selects!$B$4:$C$100,2,0),"")</f>
        <v/>
      </c>
      <c r="BC898" s="26"/>
      <c r="BD898" s="26"/>
      <c r="BE898" s="73"/>
      <c r="BF898" s="74"/>
      <c r="BG898" s="75" t="str">
        <f aca="false">IF(LEN(BF898)=11,"PF",IF(LEN(BF898)=14,"PJ",""))</f>
        <v/>
      </c>
      <c r="BH898" s="66"/>
      <c r="BI898" s="58" t="str">
        <f aca="false">IF(BH898&lt;&gt;"",VLOOKUP(BH898,Selects!$G:$H,2,0),"")</f>
        <v/>
      </c>
      <c r="BJ898" s="58"/>
      <c r="BK898" s="58"/>
      <c r="BL898" s="59"/>
      <c r="BM898" s="58"/>
      <c r="BN898" s="58"/>
      <c r="BO898" s="58" t="str">
        <f aca="false">IF(BN898&lt;&gt;"",VLOOKUP(BN898,Selects!$J$4:$K$1000,2,0),"")</f>
        <v/>
      </c>
      <c r="BP898" s="76"/>
      <c r="BQ898" s="59"/>
      <c r="BR898" s="77"/>
      <c r="BS898" s="59"/>
      <c r="BT898" s="77"/>
      <c r="BU898" s="58"/>
      <c r="BV898" s="58"/>
      <c r="BW898" s="58"/>
      <c r="BX898" s="58"/>
      <c r="BY898" s="58"/>
      <c r="BZ898" s="58"/>
      <c r="CA898" s="58"/>
      <c r="CB898" s="72" t="str">
        <f aca="false">IF(AC898&lt;&gt;"",VLOOKUP(AC898,Selects!$B:$E,4,0),"")</f>
        <v/>
      </c>
      <c r="CC898" s="58"/>
      <c r="CD898" s="58"/>
      <c r="CE898" s="58"/>
    </row>
    <row r="899" customFormat="false" ht="15.75" hidden="false" customHeight="true" outlineLevel="0" collapsed="false">
      <c r="A899" s="17"/>
      <c r="B899" s="58"/>
      <c r="C899" s="58"/>
      <c r="D899" s="59"/>
      <c r="E899" s="60" t="str">
        <f aca="false">IF(LEN(D899)=11,"PF",IF(LEN(D899)=14,"PJ",""))</f>
        <v/>
      </c>
      <c r="F899" s="59"/>
      <c r="G899" s="59"/>
      <c r="H899" s="61" t="str">
        <f aca="false">IF(G899&lt;&gt;"",VLOOKUP(G899,'Cnae  mcc  id'!$A:$M,9,0),"")</f>
        <v/>
      </c>
      <c r="I899" s="62"/>
      <c r="J899" s="63" t="str">
        <f aca="false">IF(I899&lt;&gt;"",VLOOKUP(I899,'Legal Nature'!$E$2:$G$84,3,0),"")</f>
        <v/>
      </c>
      <c r="K899" s="64"/>
      <c r="L899" s="65"/>
      <c r="M899" s="66"/>
      <c r="N899" s="66"/>
      <c r="O899" s="79"/>
      <c r="P899" s="26"/>
      <c r="Q899" s="58"/>
      <c r="R899" s="58"/>
      <c r="S899" s="80"/>
      <c r="T899" s="68" t="str">
        <f aca="false">IF(LEFT(S899,1)="9","Celular",IF(S899="","","Fixo"))</f>
        <v/>
      </c>
      <c r="U899" s="58" t="str">
        <f aca="false">IF( T899&lt;&gt;"",VLOOKUP(T899,Selects!$M$4:$N$1000,2,0),"")</f>
        <v/>
      </c>
      <c r="V899" s="26"/>
      <c r="W899" s="58"/>
      <c r="X899" s="58"/>
      <c r="Y899" s="58"/>
      <c r="Z899" s="58"/>
      <c r="AA899" s="69"/>
      <c r="AB899" s="58"/>
      <c r="AC899" s="58"/>
      <c r="AD899" s="70" t="str">
        <f aca="false">IF(AC899&lt;&gt;"",VLOOKUP(AC899,Selects!$B$4:$C$100,2,0),"")</f>
        <v/>
      </c>
      <c r="AE899" s="26"/>
      <c r="AF899" s="58"/>
      <c r="AG899" s="59"/>
      <c r="AH899" s="65"/>
      <c r="AI899" s="66"/>
      <c r="AJ899" s="66"/>
      <c r="AK899" s="58"/>
      <c r="AL899" s="58"/>
      <c r="AM899" s="68" t="str">
        <f aca="false">IF(LEFT(AL899,1)="9","Celular",IF(AL899="","","Fixo"))</f>
        <v/>
      </c>
      <c r="AN899" s="58" t="str">
        <f aca="false">IF( AM899&lt;&gt;"",VLOOKUP(AM899,Selects!$M$4:$N$1000,2,0),"")</f>
        <v/>
      </c>
      <c r="AO899" s="58"/>
      <c r="AP899" s="59"/>
      <c r="AQ899" s="65"/>
      <c r="AR899" s="58"/>
      <c r="AS899" s="58"/>
      <c r="AT899" s="26"/>
      <c r="AU899" s="58"/>
      <c r="AV899" s="58"/>
      <c r="AW899" s="58"/>
      <c r="AX899" s="58"/>
      <c r="AY899" s="71"/>
      <c r="AZ899" s="58"/>
      <c r="BA899" s="58"/>
      <c r="BB899" s="72" t="str">
        <f aca="false">IF(BA899&lt;&gt;"",VLOOKUP(BA899,Selects!$B$4:$C$100,2,0),"")</f>
        <v/>
      </c>
      <c r="BC899" s="26"/>
      <c r="BD899" s="26"/>
      <c r="BE899" s="73"/>
      <c r="BF899" s="74"/>
      <c r="BG899" s="75" t="str">
        <f aca="false">IF(LEN(BF899)=11,"PF",IF(LEN(BF899)=14,"PJ",""))</f>
        <v/>
      </c>
      <c r="BH899" s="66"/>
      <c r="BI899" s="58" t="str">
        <f aca="false">IF(BH899&lt;&gt;"",VLOOKUP(BH899,Selects!$G:$H,2,0),"")</f>
        <v/>
      </c>
      <c r="BJ899" s="58"/>
      <c r="BK899" s="58"/>
      <c r="BL899" s="59"/>
      <c r="BM899" s="58"/>
      <c r="BN899" s="58"/>
      <c r="BO899" s="58" t="str">
        <f aca="false">IF(BN899&lt;&gt;"",VLOOKUP(BN899,Selects!$J$4:$K$1000,2,0),"")</f>
        <v/>
      </c>
      <c r="BP899" s="76"/>
      <c r="BQ899" s="59"/>
      <c r="BR899" s="77"/>
      <c r="BS899" s="59"/>
      <c r="BT899" s="77"/>
      <c r="BU899" s="58"/>
      <c r="BV899" s="58"/>
      <c r="BW899" s="58"/>
      <c r="BX899" s="58"/>
      <c r="BY899" s="58"/>
      <c r="BZ899" s="58"/>
      <c r="CA899" s="58"/>
      <c r="CB899" s="72" t="str">
        <f aca="false">IF(AC899&lt;&gt;"",VLOOKUP(AC899,Selects!$B:$E,4,0),"")</f>
        <v/>
      </c>
      <c r="CC899" s="58"/>
      <c r="CD899" s="58"/>
      <c r="CE899" s="58"/>
    </row>
    <row r="900" customFormat="false" ht="15.75" hidden="false" customHeight="true" outlineLevel="0" collapsed="false">
      <c r="A900" s="17"/>
      <c r="B900" s="58"/>
      <c r="C900" s="58"/>
      <c r="D900" s="59"/>
      <c r="E900" s="60" t="str">
        <f aca="false">IF(LEN(D900)=11,"PF",IF(LEN(D900)=14,"PJ",""))</f>
        <v/>
      </c>
      <c r="F900" s="59"/>
      <c r="G900" s="59"/>
      <c r="H900" s="61" t="str">
        <f aca="false">IF(G900&lt;&gt;"",VLOOKUP(G900,'Cnae  mcc  id'!$A:$M,9,0),"")</f>
        <v/>
      </c>
      <c r="I900" s="62"/>
      <c r="J900" s="63" t="str">
        <f aca="false">IF(I900&lt;&gt;"",VLOOKUP(I900,'Legal Nature'!$E$2:$G$84,3,0),"")</f>
        <v/>
      </c>
      <c r="K900" s="64"/>
      <c r="L900" s="65"/>
      <c r="M900" s="66"/>
      <c r="N900" s="66"/>
      <c r="O900" s="79"/>
      <c r="P900" s="26"/>
      <c r="Q900" s="58"/>
      <c r="R900" s="58"/>
      <c r="S900" s="80"/>
      <c r="T900" s="68" t="str">
        <f aca="false">IF(LEFT(S900,1)="9","Celular",IF(S900="","","Fixo"))</f>
        <v/>
      </c>
      <c r="U900" s="58" t="str">
        <f aca="false">IF( T900&lt;&gt;"",VLOOKUP(T900,Selects!$M$4:$N$1000,2,0),"")</f>
        <v/>
      </c>
      <c r="V900" s="26"/>
      <c r="W900" s="58"/>
      <c r="X900" s="58"/>
      <c r="Y900" s="58"/>
      <c r="Z900" s="58"/>
      <c r="AA900" s="69"/>
      <c r="AB900" s="58"/>
      <c r="AC900" s="58"/>
      <c r="AD900" s="70" t="str">
        <f aca="false">IF(AC900&lt;&gt;"",VLOOKUP(AC900,Selects!$B$4:$C$100,2,0),"")</f>
        <v/>
      </c>
      <c r="AE900" s="26"/>
      <c r="AF900" s="58"/>
      <c r="AG900" s="59"/>
      <c r="AH900" s="65"/>
      <c r="AI900" s="66"/>
      <c r="AJ900" s="66"/>
      <c r="AK900" s="58"/>
      <c r="AL900" s="58"/>
      <c r="AM900" s="68" t="str">
        <f aca="false">IF(LEFT(AL900,1)="9","Celular",IF(AL900="","","Fixo"))</f>
        <v/>
      </c>
      <c r="AN900" s="58" t="str">
        <f aca="false">IF( AM900&lt;&gt;"",VLOOKUP(AM900,Selects!$M$4:$N$1000,2,0),"")</f>
        <v/>
      </c>
      <c r="AO900" s="58"/>
      <c r="AP900" s="59"/>
      <c r="AQ900" s="65"/>
      <c r="AR900" s="58"/>
      <c r="AS900" s="58"/>
      <c r="AT900" s="26"/>
      <c r="AU900" s="58"/>
      <c r="AV900" s="58"/>
      <c r="AW900" s="58"/>
      <c r="AX900" s="58"/>
      <c r="AY900" s="71"/>
      <c r="AZ900" s="58"/>
      <c r="BA900" s="58"/>
      <c r="BB900" s="72" t="str">
        <f aca="false">IF(BA900&lt;&gt;"",VLOOKUP(BA900,Selects!$B$4:$C$100,2,0),"")</f>
        <v/>
      </c>
      <c r="BC900" s="26"/>
      <c r="BD900" s="26"/>
      <c r="BE900" s="73"/>
      <c r="BF900" s="74"/>
      <c r="BG900" s="75" t="str">
        <f aca="false">IF(LEN(BF900)=11,"PF",IF(LEN(BF900)=14,"PJ",""))</f>
        <v/>
      </c>
      <c r="BH900" s="66"/>
      <c r="BI900" s="58" t="str">
        <f aca="false">IF(BH900&lt;&gt;"",VLOOKUP(BH900,Selects!$G:$H,2,0),"")</f>
        <v/>
      </c>
      <c r="BJ900" s="58"/>
      <c r="BK900" s="58"/>
      <c r="BL900" s="59"/>
      <c r="BM900" s="58"/>
      <c r="BN900" s="58"/>
      <c r="BO900" s="58" t="str">
        <f aca="false">IF(BN900&lt;&gt;"",VLOOKUP(BN900,Selects!$J$4:$K$1000,2,0),"")</f>
        <v/>
      </c>
      <c r="BP900" s="76"/>
      <c r="BQ900" s="59"/>
      <c r="BR900" s="77"/>
      <c r="BS900" s="59"/>
      <c r="BT900" s="77"/>
      <c r="BU900" s="58"/>
      <c r="BV900" s="58"/>
      <c r="BW900" s="58"/>
      <c r="BX900" s="58"/>
      <c r="BY900" s="58"/>
      <c r="BZ900" s="58"/>
      <c r="CA900" s="58"/>
      <c r="CB900" s="72" t="str">
        <f aca="false">IF(AC900&lt;&gt;"",VLOOKUP(AC900,Selects!$B:$E,4,0),"")</f>
        <v/>
      </c>
      <c r="CC900" s="58"/>
      <c r="CD900" s="58"/>
      <c r="CE900" s="58"/>
    </row>
    <row r="901" customFormat="false" ht="15.75" hidden="false" customHeight="true" outlineLevel="0" collapsed="false">
      <c r="A901" s="17"/>
      <c r="B901" s="58"/>
      <c r="C901" s="58"/>
      <c r="D901" s="59"/>
      <c r="E901" s="60" t="str">
        <f aca="false">IF(LEN(D901)=11,"PF",IF(LEN(D901)=14,"PJ",""))</f>
        <v/>
      </c>
      <c r="F901" s="59"/>
      <c r="G901" s="59"/>
      <c r="H901" s="61" t="str">
        <f aca="false">IF(G901&lt;&gt;"",VLOOKUP(G901,'Cnae  mcc  id'!$A:$M,9,0),"")</f>
        <v/>
      </c>
      <c r="I901" s="62"/>
      <c r="J901" s="63" t="str">
        <f aca="false">IF(I901&lt;&gt;"",VLOOKUP(I901,'Legal Nature'!$E$2:$G$84,3,0),"")</f>
        <v/>
      </c>
      <c r="K901" s="64"/>
      <c r="L901" s="65"/>
      <c r="M901" s="66"/>
      <c r="N901" s="66"/>
      <c r="O901" s="79"/>
      <c r="P901" s="26"/>
      <c r="Q901" s="58"/>
      <c r="R901" s="58"/>
      <c r="S901" s="80"/>
      <c r="T901" s="68" t="str">
        <f aca="false">IF(LEFT(S901,1)="9","Celular",IF(S901="","","Fixo"))</f>
        <v/>
      </c>
      <c r="U901" s="58" t="str">
        <f aca="false">IF( T901&lt;&gt;"",VLOOKUP(T901,Selects!$M$4:$N$1000,2,0),"")</f>
        <v/>
      </c>
      <c r="V901" s="26"/>
      <c r="W901" s="58"/>
      <c r="X901" s="58"/>
      <c r="Y901" s="58"/>
      <c r="Z901" s="58"/>
      <c r="AA901" s="69"/>
      <c r="AB901" s="58"/>
      <c r="AC901" s="58"/>
      <c r="AD901" s="70" t="str">
        <f aca="false">IF(AC901&lt;&gt;"",VLOOKUP(AC901,Selects!$B$4:$C$100,2,0),"")</f>
        <v/>
      </c>
      <c r="AE901" s="26"/>
      <c r="AF901" s="58"/>
      <c r="AG901" s="59"/>
      <c r="AH901" s="65"/>
      <c r="AI901" s="66"/>
      <c r="AJ901" s="66"/>
      <c r="AK901" s="58"/>
      <c r="AL901" s="58"/>
      <c r="AM901" s="68" t="str">
        <f aca="false">IF(LEFT(AL901,1)="9","Celular",IF(AL901="","","Fixo"))</f>
        <v/>
      </c>
      <c r="AN901" s="58" t="str">
        <f aca="false">IF( AM901&lt;&gt;"",VLOOKUP(AM901,Selects!$M$4:$N$1000,2,0),"")</f>
        <v/>
      </c>
      <c r="AO901" s="58"/>
      <c r="AP901" s="59"/>
      <c r="AQ901" s="65"/>
      <c r="AR901" s="58"/>
      <c r="AS901" s="58"/>
      <c r="AT901" s="26"/>
      <c r="AU901" s="58"/>
      <c r="AV901" s="58"/>
      <c r="AW901" s="58"/>
      <c r="AX901" s="58"/>
      <c r="AY901" s="71"/>
      <c r="AZ901" s="58"/>
      <c r="BA901" s="58"/>
      <c r="BB901" s="72" t="str">
        <f aca="false">IF(BA901&lt;&gt;"",VLOOKUP(BA901,Selects!$B$4:$C$100,2,0),"")</f>
        <v/>
      </c>
      <c r="BC901" s="26"/>
      <c r="BD901" s="26"/>
      <c r="BE901" s="73"/>
      <c r="BF901" s="74"/>
      <c r="BG901" s="75" t="str">
        <f aca="false">IF(LEN(BF901)=11,"PF",IF(LEN(BF901)=14,"PJ",""))</f>
        <v/>
      </c>
      <c r="BH901" s="66"/>
      <c r="BI901" s="58" t="str">
        <f aca="false">IF(BH901&lt;&gt;"",VLOOKUP(BH901,Selects!$G:$H,2,0),"")</f>
        <v/>
      </c>
      <c r="BJ901" s="58"/>
      <c r="BK901" s="58"/>
      <c r="BL901" s="59"/>
      <c r="BM901" s="58"/>
      <c r="BN901" s="58"/>
      <c r="BO901" s="58" t="str">
        <f aca="false">IF(BN901&lt;&gt;"",VLOOKUP(BN901,Selects!$J$4:$K$1000,2,0),"")</f>
        <v/>
      </c>
      <c r="BP901" s="76"/>
      <c r="BQ901" s="59"/>
      <c r="BR901" s="77"/>
      <c r="BS901" s="59"/>
      <c r="BT901" s="77"/>
      <c r="BU901" s="58"/>
      <c r="BV901" s="58"/>
      <c r="BW901" s="58"/>
      <c r="BX901" s="58"/>
      <c r="BY901" s="58"/>
      <c r="BZ901" s="58"/>
      <c r="CA901" s="58"/>
      <c r="CB901" s="72" t="str">
        <f aca="false">IF(AC901&lt;&gt;"",VLOOKUP(AC901,Selects!$B:$E,4,0),"")</f>
        <v/>
      </c>
      <c r="CC901" s="58"/>
      <c r="CD901" s="58"/>
      <c r="CE901" s="58"/>
    </row>
    <row r="902" customFormat="false" ht="15.75" hidden="false" customHeight="true" outlineLevel="0" collapsed="false">
      <c r="A902" s="17"/>
      <c r="B902" s="58"/>
      <c r="C902" s="58"/>
      <c r="D902" s="59"/>
      <c r="E902" s="60" t="str">
        <f aca="false">IF(LEN(D902)=11,"PF",IF(LEN(D902)=14,"PJ",""))</f>
        <v/>
      </c>
      <c r="F902" s="59"/>
      <c r="G902" s="59"/>
      <c r="H902" s="61" t="str">
        <f aca="false">IF(G902&lt;&gt;"",VLOOKUP(G902,'Cnae  mcc  id'!$A:$M,9,0),"")</f>
        <v/>
      </c>
      <c r="I902" s="62"/>
      <c r="J902" s="63" t="str">
        <f aca="false">IF(I902&lt;&gt;"",VLOOKUP(I902,'Legal Nature'!$E$2:$G$84,3,0),"")</f>
        <v/>
      </c>
      <c r="K902" s="64"/>
      <c r="L902" s="65"/>
      <c r="M902" s="66"/>
      <c r="N902" s="66"/>
      <c r="O902" s="79"/>
      <c r="P902" s="26"/>
      <c r="Q902" s="58"/>
      <c r="R902" s="58"/>
      <c r="S902" s="80"/>
      <c r="T902" s="68" t="str">
        <f aca="false">IF(LEFT(S902,1)="9","Celular",IF(S902="","","Fixo"))</f>
        <v/>
      </c>
      <c r="U902" s="58" t="str">
        <f aca="false">IF( T902&lt;&gt;"",VLOOKUP(T902,Selects!$M$4:$N$1000,2,0),"")</f>
        <v/>
      </c>
      <c r="V902" s="26"/>
      <c r="W902" s="58"/>
      <c r="X902" s="58"/>
      <c r="Y902" s="58"/>
      <c r="Z902" s="58"/>
      <c r="AA902" s="69"/>
      <c r="AB902" s="58"/>
      <c r="AC902" s="58"/>
      <c r="AD902" s="70" t="str">
        <f aca="false">IF(AC902&lt;&gt;"",VLOOKUP(AC902,Selects!$B$4:$C$100,2,0),"")</f>
        <v/>
      </c>
      <c r="AE902" s="26"/>
      <c r="AF902" s="58"/>
      <c r="AG902" s="59"/>
      <c r="AH902" s="65"/>
      <c r="AI902" s="66"/>
      <c r="AJ902" s="66"/>
      <c r="AK902" s="58"/>
      <c r="AL902" s="58"/>
      <c r="AM902" s="68" t="str">
        <f aca="false">IF(LEFT(AL902,1)="9","Celular",IF(AL902="","","Fixo"))</f>
        <v/>
      </c>
      <c r="AN902" s="58" t="str">
        <f aca="false">IF( AM902&lt;&gt;"",VLOOKUP(AM902,Selects!$M$4:$N$1000,2,0),"")</f>
        <v/>
      </c>
      <c r="AO902" s="58"/>
      <c r="AP902" s="59"/>
      <c r="AQ902" s="65"/>
      <c r="AR902" s="58"/>
      <c r="AS902" s="58"/>
      <c r="AT902" s="26"/>
      <c r="AU902" s="58"/>
      <c r="AV902" s="58"/>
      <c r="AW902" s="58"/>
      <c r="AX902" s="58"/>
      <c r="AY902" s="71"/>
      <c r="AZ902" s="58"/>
      <c r="BA902" s="58"/>
      <c r="BB902" s="72" t="str">
        <f aca="false">IF(BA902&lt;&gt;"",VLOOKUP(BA902,Selects!$B$4:$C$100,2,0),"")</f>
        <v/>
      </c>
      <c r="BC902" s="26"/>
      <c r="BD902" s="26"/>
      <c r="BE902" s="73"/>
      <c r="BF902" s="74"/>
      <c r="BG902" s="75" t="str">
        <f aca="false">IF(LEN(BF902)=11,"PF",IF(LEN(BF902)=14,"PJ",""))</f>
        <v/>
      </c>
      <c r="BH902" s="66"/>
      <c r="BI902" s="58" t="str">
        <f aca="false">IF(BH902&lt;&gt;"",VLOOKUP(BH902,Selects!$G:$H,2,0),"")</f>
        <v/>
      </c>
      <c r="BJ902" s="58"/>
      <c r="BK902" s="58"/>
      <c r="BL902" s="59"/>
      <c r="BM902" s="58"/>
      <c r="BN902" s="58"/>
      <c r="BO902" s="58" t="str">
        <f aca="false">IF(BN902&lt;&gt;"",VLOOKUP(BN902,Selects!$J$4:$K$1000,2,0),"")</f>
        <v/>
      </c>
      <c r="BP902" s="76"/>
      <c r="BQ902" s="59"/>
      <c r="BR902" s="77"/>
      <c r="BS902" s="59"/>
      <c r="BT902" s="77"/>
      <c r="BU902" s="58"/>
      <c r="BV902" s="58"/>
      <c r="BW902" s="58"/>
      <c r="BX902" s="58"/>
      <c r="BY902" s="58"/>
      <c r="BZ902" s="58"/>
      <c r="CA902" s="58"/>
      <c r="CB902" s="72" t="str">
        <f aca="false">IF(AC902&lt;&gt;"",VLOOKUP(AC902,Selects!$B:$E,4,0),"")</f>
        <v/>
      </c>
      <c r="CC902" s="58"/>
      <c r="CD902" s="58"/>
      <c r="CE902" s="58"/>
    </row>
    <row r="903" customFormat="false" ht="15.75" hidden="false" customHeight="true" outlineLevel="0" collapsed="false">
      <c r="A903" s="17"/>
      <c r="B903" s="58"/>
      <c r="C903" s="58"/>
      <c r="D903" s="59"/>
      <c r="E903" s="60" t="str">
        <f aca="false">IF(LEN(D903)=11,"PF",IF(LEN(D903)=14,"PJ",""))</f>
        <v/>
      </c>
      <c r="F903" s="59"/>
      <c r="G903" s="59"/>
      <c r="H903" s="61" t="str">
        <f aca="false">IF(G903&lt;&gt;"",VLOOKUP(G903,'Cnae  mcc  id'!$A:$M,9,0),"")</f>
        <v/>
      </c>
      <c r="I903" s="62"/>
      <c r="J903" s="63" t="str">
        <f aca="false">IF(I903&lt;&gt;"",VLOOKUP(I903,'Legal Nature'!$E$2:$G$84,3,0),"")</f>
        <v/>
      </c>
      <c r="K903" s="64"/>
      <c r="L903" s="65"/>
      <c r="M903" s="66"/>
      <c r="N903" s="66"/>
      <c r="O903" s="79"/>
      <c r="P903" s="26"/>
      <c r="Q903" s="58"/>
      <c r="R903" s="58"/>
      <c r="S903" s="80"/>
      <c r="T903" s="68" t="str">
        <f aca="false">IF(LEFT(S903,1)="9","Celular",IF(S903="","","Fixo"))</f>
        <v/>
      </c>
      <c r="U903" s="58" t="str">
        <f aca="false">IF( T903&lt;&gt;"",VLOOKUP(T903,Selects!$M$4:$N$1000,2,0),"")</f>
        <v/>
      </c>
      <c r="V903" s="26"/>
      <c r="W903" s="58"/>
      <c r="X903" s="58"/>
      <c r="Y903" s="58"/>
      <c r="Z903" s="58"/>
      <c r="AA903" s="69"/>
      <c r="AB903" s="58"/>
      <c r="AC903" s="58"/>
      <c r="AD903" s="70" t="str">
        <f aca="false">IF(AC903&lt;&gt;"",VLOOKUP(AC903,Selects!$B$4:$C$100,2,0),"")</f>
        <v/>
      </c>
      <c r="AE903" s="26"/>
      <c r="AF903" s="58"/>
      <c r="AG903" s="59"/>
      <c r="AH903" s="65"/>
      <c r="AI903" s="66"/>
      <c r="AJ903" s="66"/>
      <c r="AK903" s="58"/>
      <c r="AL903" s="58"/>
      <c r="AM903" s="68" t="str">
        <f aca="false">IF(LEFT(AL903,1)="9","Celular",IF(AL903="","","Fixo"))</f>
        <v/>
      </c>
      <c r="AN903" s="58" t="str">
        <f aca="false">IF( AM903&lt;&gt;"",VLOOKUP(AM903,Selects!$M$4:$N$1000,2,0),"")</f>
        <v/>
      </c>
      <c r="AO903" s="58"/>
      <c r="AP903" s="59"/>
      <c r="AQ903" s="65"/>
      <c r="AR903" s="58"/>
      <c r="AS903" s="58"/>
      <c r="AT903" s="26"/>
      <c r="AU903" s="58"/>
      <c r="AV903" s="58"/>
      <c r="AW903" s="58"/>
      <c r="AX903" s="58"/>
      <c r="AY903" s="71"/>
      <c r="AZ903" s="58"/>
      <c r="BA903" s="58"/>
      <c r="BB903" s="72" t="str">
        <f aca="false">IF(BA903&lt;&gt;"",VLOOKUP(BA903,Selects!$B$4:$C$100,2,0),"")</f>
        <v/>
      </c>
      <c r="BC903" s="26"/>
      <c r="BD903" s="26"/>
      <c r="BE903" s="73"/>
      <c r="BF903" s="74"/>
      <c r="BG903" s="75" t="str">
        <f aca="false">IF(LEN(BF903)=11,"PF",IF(LEN(BF903)=14,"PJ",""))</f>
        <v/>
      </c>
      <c r="BH903" s="66"/>
      <c r="BI903" s="58" t="str">
        <f aca="false">IF(BH903&lt;&gt;"",VLOOKUP(BH903,Selects!$G:$H,2,0),"")</f>
        <v/>
      </c>
      <c r="BJ903" s="58"/>
      <c r="BK903" s="58"/>
      <c r="BL903" s="59"/>
      <c r="BM903" s="58"/>
      <c r="BN903" s="58"/>
      <c r="BO903" s="58" t="str">
        <f aca="false">IF(BN903&lt;&gt;"",VLOOKUP(BN903,Selects!$J$4:$K$1000,2,0),"")</f>
        <v/>
      </c>
      <c r="BP903" s="76"/>
      <c r="BQ903" s="59"/>
      <c r="BR903" s="77"/>
      <c r="BS903" s="59"/>
      <c r="BT903" s="77"/>
      <c r="BU903" s="58"/>
      <c r="BV903" s="58"/>
      <c r="BW903" s="58"/>
      <c r="BX903" s="58"/>
      <c r="BY903" s="58"/>
      <c r="BZ903" s="58"/>
      <c r="CA903" s="58"/>
      <c r="CB903" s="72" t="str">
        <f aca="false">IF(AC903&lt;&gt;"",VLOOKUP(AC903,Selects!$B:$E,4,0),"")</f>
        <v/>
      </c>
      <c r="CC903" s="58"/>
      <c r="CD903" s="58"/>
      <c r="CE903" s="58"/>
    </row>
    <row r="904" customFormat="false" ht="15.75" hidden="false" customHeight="true" outlineLevel="0" collapsed="false">
      <c r="A904" s="17"/>
      <c r="B904" s="58"/>
      <c r="C904" s="58"/>
      <c r="D904" s="59"/>
      <c r="E904" s="60" t="str">
        <f aca="false">IF(LEN(D904)=11,"PF",IF(LEN(D904)=14,"PJ",""))</f>
        <v/>
      </c>
      <c r="F904" s="59"/>
      <c r="G904" s="59"/>
      <c r="H904" s="61" t="str">
        <f aca="false">IF(G904&lt;&gt;"",VLOOKUP(G904,'Cnae  mcc  id'!$A:$M,9,0),"")</f>
        <v/>
      </c>
      <c r="I904" s="62"/>
      <c r="J904" s="63" t="str">
        <f aca="false">IF(I904&lt;&gt;"",VLOOKUP(I904,'Legal Nature'!$E$2:$G$84,3,0),"")</f>
        <v/>
      </c>
      <c r="K904" s="64"/>
      <c r="L904" s="65"/>
      <c r="M904" s="66"/>
      <c r="N904" s="66"/>
      <c r="O904" s="79"/>
      <c r="P904" s="26"/>
      <c r="Q904" s="58"/>
      <c r="R904" s="58"/>
      <c r="S904" s="80"/>
      <c r="T904" s="68" t="str">
        <f aca="false">IF(LEFT(S904,1)="9","Celular",IF(S904="","","Fixo"))</f>
        <v/>
      </c>
      <c r="U904" s="58" t="str">
        <f aca="false">IF( T904&lt;&gt;"",VLOOKUP(T904,Selects!$M$4:$N$1000,2,0),"")</f>
        <v/>
      </c>
      <c r="V904" s="26"/>
      <c r="W904" s="58"/>
      <c r="X904" s="58"/>
      <c r="Y904" s="58"/>
      <c r="Z904" s="58"/>
      <c r="AA904" s="69"/>
      <c r="AB904" s="58"/>
      <c r="AC904" s="58"/>
      <c r="AD904" s="70" t="str">
        <f aca="false">IF(AC904&lt;&gt;"",VLOOKUP(AC904,Selects!$B$4:$C$100,2,0),"")</f>
        <v/>
      </c>
      <c r="AE904" s="26"/>
      <c r="AF904" s="58"/>
      <c r="AG904" s="59"/>
      <c r="AH904" s="65"/>
      <c r="AI904" s="66"/>
      <c r="AJ904" s="66"/>
      <c r="AK904" s="58"/>
      <c r="AL904" s="58"/>
      <c r="AM904" s="68" t="str">
        <f aca="false">IF(LEFT(AL904,1)="9","Celular",IF(AL904="","","Fixo"))</f>
        <v/>
      </c>
      <c r="AN904" s="58" t="str">
        <f aca="false">IF( AM904&lt;&gt;"",VLOOKUP(AM904,Selects!$M$4:$N$1000,2,0),"")</f>
        <v/>
      </c>
      <c r="AO904" s="58"/>
      <c r="AP904" s="59"/>
      <c r="AQ904" s="65"/>
      <c r="AR904" s="58"/>
      <c r="AS904" s="58"/>
      <c r="AT904" s="26"/>
      <c r="AU904" s="58"/>
      <c r="AV904" s="58"/>
      <c r="AW904" s="58"/>
      <c r="AX904" s="58"/>
      <c r="AY904" s="71"/>
      <c r="AZ904" s="58"/>
      <c r="BA904" s="58"/>
      <c r="BB904" s="72" t="str">
        <f aca="false">IF(BA904&lt;&gt;"",VLOOKUP(BA904,Selects!$B$4:$C$100,2,0),"")</f>
        <v/>
      </c>
      <c r="BC904" s="26"/>
      <c r="BD904" s="26"/>
      <c r="BE904" s="73"/>
      <c r="BF904" s="74"/>
      <c r="BG904" s="75" t="str">
        <f aca="false">IF(LEN(BF904)=11,"PF",IF(LEN(BF904)=14,"PJ",""))</f>
        <v/>
      </c>
      <c r="BH904" s="66"/>
      <c r="BI904" s="58" t="str">
        <f aca="false">IF(BH904&lt;&gt;"",VLOOKUP(BH904,Selects!$G:$H,2,0),"")</f>
        <v/>
      </c>
      <c r="BJ904" s="58"/>
      <c r="BK904" s="58"/>
      <c r="BL904" s="59"/>
      <c r="BM904" s="58"/>
      <c r="BN904" s="58"/>
      <c r="BO904" s="58" t="str">
        <f aca="false">IF(BN904&lt;&gt;"",VLOOKUP(BN904,Selects!$J$4:$K$1000,2,0),"")</f>
        <v/>
      </c>
      <c r="BP904" s="76"/>
      <c r="BQ904" s="59"/>
      <c r="BR904" s="77"/>
      <c r="BS904" s="59"/>
      <c r="BT904" s="77"/>
      <c r="BU904" s="58"/>
      <c r="BV904" s="58"/>
      <c r="BW904" s="58"/>
      <c r="BX904" s="58"/>
      <c r="BY904" s="58"/>
      <c r="BZ904" s="58"/>
      <c r="CA904" s="58"/>
      <c r="CB904" s="72" t="str">
        <f aca="false">IF(AC904&lt;&gt;"",VLOOKUP(AC904,Selects!$B:$E,4,0),"")</f>
        <v/>
      </c>
      <c r="CC904" s="58"/>
      <c r="CD904" s="58"/>
      <c r="CE904" s="58"/>
    </row>
    <row r="905" customFormat="false" ht="15.75" hidden="false" customHeight="true" outlineLevel="0" collapsed="false">
      <c r="A905" s="17"/>
      <c r="B905" s="58"/>
      <c r="C905" s="58"/>
      <c r="D905" s="59"/>
      <c r="E905" s="60" t="str">
        <f aca="false">IF(LEN(D905)=11,"PF",IF(LEN(D905)=14,"PJ",""))</f>
        <v/>
      </c>
      <c r="F905" s="59"/>
      <c r="G905" s="59"/>
      <c r="H905" s="61" t="str">
        <f aca="false">IF(G905&lt;&gt;"",VLOOKUP(G905,'Cnae  mcc  id'!$A:$M,9,0),"")</f>
        <v/>
      </c>
      <c r="I905" s="62"/>
      <c r="J905" s="63" t="str">
        <f aca="false">IF(I905&lt;&gt;"",VLOOKUP(I905,'Legal Nature'!$E$2:$G$84,3,0),"")</f>
        <v/>
      </c>
      <c r="K905" s="64"/>
      <c r="L905" s="65"/>
      <c r="M905" s="66"/>
      <c r="N905" s="66"/>
      <c r="O905" s="79"/>
      <c r="P905" s="26"/>
      <c r="Q905" s="58"/>
      <c r="R905" s="58"/>
      <c r="S905" s="80"/>
      <c r="T905" s="68" t="str">
        <f aca="false">IF(LEFT(S905,1)="9","Celular",IF(S905="","","Fixo"))</f>
        <v/>
      </c>
      <c r="U905" s="58" t="str">
        <f aca="false">IF( T905&lt;&gt;"",VLOOKUP(T905,Selects!$M$4:$N$1000,2,0),"")</f>
        <v/>
      </c>
      <c r="V905" s="26"/>
      <c r="W905" s="58"/>
      <c r="X905" s="58"/>
      <c r="Y905" s="58"/>
      <c r="Z905" s="58"/>
      <c r="AA905" s="69"/>
      <c r="AB905" s="58"/>
      <c r="AC905" s="58"/>
      <c r="AD905" s="70" t="str">
        <f aca="false">IF(AC905&lt;&gt;"",VLOOKUP(AC905,Selects!$B$4:$C$100,2,0),"")</f>
        <v/>
      </c>
      <c r="AE905" s="26"/>
      <c r="AF905" s="58"/>
      <c r="AG905" s="59"/>
      <c r="AH905" s="65"/>
      <c r="AI905" s="66"/>
      <c r="AJ905" s="66"/>
      <c r="AK905" s="58"/>
      <c r="AL905" s="58"/>
      <c r="AM905" s="68" t="str">
        <f aca="false">IF(LEFT(AL905,1)="9","Celular",IF(AL905="","","Fixo"))</f>
        <v/>
      </c>
      <c r="AN905" s="58" t="str">
        <f aca="false">IF( AM905&lt;&gt;"",VLOOKUP(AM905,Selects!$M$4:$N$1000,2,0),"")</f>
        <v/>
      </c>
      <c r="AO905" s="58"/>
      <c r="AP905" s="59"/>
      <c r="AQ905" s="65"/>
      <c r="AR905" s="58"/>
      <c r="AS905" s="58"/>
      <c r="AT905" s="26"/>
      <c r="AU905" s="58"/>
      <c r="AV905" s="58"/>
      <c r="AW905" s="58"/>
      <c r="AX905" s="58"/>
      <c r="AY905" s="71"/>
      <c r="AZ905" s="58"/>
      <c r="BA905" s="58"/>
      <c r="BB905" s="72" t="str">
        <f aca="false">IF(BA905&lt;&gt;"",VLOOKUP(BA905,Selects!$B$4:$C$100,2,0),"")</f>
        <v/>
      </c>
      <c r="BC905" s="26"/>
      <c r="BD905" s="26"/>
      <c r="BE905" s="73"/>
      <c r="BF905" s="74"/>
      <c r="BG905" s="75" t="str">
        <f aca="false">IF(LEN(BF905)=11,"PF",IF(LEN(BF905)=14,"PJ",""))</f>
        <v/>
      </c>
      <c r="BH905" s="66"/>
      <c r="BI905" s="58" t="str">
        <f aca="false">IF(BH905&lt;&gt;"",VLOOKUP(BH905,Selects!$G:$H,2,0),"")</f>
        <v/>
      </c>
      <c r="BJ905" s="58"/>
      <c r="BK905" s="58"/>
      <c r="BL905" s="59"/>
      <c r="BM905" s="58"/>
      <c r="BN905" s="58"/>
      <c r="BO905" s="58" t="str">
        <f aca="false">IF(BN905&lt;&gt;"",VLOOKUP(BN905,Selects!$J$4:$K$1000,2,0),"")</f>
        <v/>
      </c>
      <c r="BP905" s="76"/>
      <c r="BQ905" s="59"/>
      <c r="BR905" s="77"/>
      <c r="BS905" s="59"/>
      <c r="BT905" s="77"/>
      <c r="BU905" s="58"/>
      <c r="BV905" s="58"/>
      <c r="BW905" s="58"/>
      <c r="BX905" s="58"/>
      <c r="BY905" s="58"/>
      <c r="BZ905" s="58"/>
      <c r="CA905" s="58"/>
      <c r="CB905" s="72" t="str">
        <f aca="false">IF(AC905&lt;&gt;"",VLOOKUP(AC905,Selects!$B:$E,4,0),"")</f>
        <v/>
      </c>
      <c r="CC905" s="58"/>
      <c r="CD905" s="58"/>
      <c r="CE905" s="58"/>
    </row>
    <row r="906" customFormat="false" ht="15.75" hidden="false" customHeight="true" outlineLevel="0" collapsed="false">
      <c r="A906" s="17"/>
      <c r="B906" s="58"/>
      <c r="C906" s="58"/>
      <c r="D906" s="59"/>
      <c r="E906" s="60" t="str">
        <f aca="false">IF(LEN(D906)=11,"PF",IF(LEN(D906)=14,"PJ",""))</f>
        <v/>
      </c>
      <c r="F906" s="59"/>
      <c r="G906" s="59"/>
      <c r="H906" s="61" t="str">
        <f aca="false">IF(G906&lt;&gt;"",VLOOKUP(G906,'Cnae  mcc  id'!$A:$M,9,0),"")</f>
        <v/>
      </c>
      <c r="I906" s="62"/>
      <c r="J906" s="63" t="str">
        <f aca="false">IF(I906&lt;&gt;"",VLOOKUP(I906,'Legal Nature'!$E$2:$G$84,3,0),"")</f>
        <v/>
      </c>
      <c r="K906" s="64"/>
      <c r="L906" s="65"/>
      <c r="M906" s="66"/>
      <c r="N906" s="66"/>
      <c r="O906" s="79"/>
      <c r="P906" s="26"/>
      <c r="Q906" s="58"/>
      <c r="R906" s="58"/>
      <c r="S906" s="80"/>
      <c r="T906" s="68" t="str">
        <f aca="false">IF(LEFT(S906,1)="9","Celular",IF(S906="","","Fixo"))</f>
        <v/>
      </c>
      <c r="U906" s="58" t="str">
        <f aca="false">IF( T906&lt;&gt;"",VLOOKUP(T906,Selects!$M$4:$N$1000,2,0),"")</f>
        <v/>
      </c>
      <c r="V906" s="26"/>
      <c r="W906" s="58"/>
      <c r="X906" s="58"/>
      <c r="Y906" s="58"/>
      <c r="Z906" s="58"/>
      <c r="AA906" s="69"/>
      <c r="AB906" s="58"/>
      <c r="AC906" s="58"/>
      <c r="AD906" s="70" t="str">
        <f aca="false">IF(AC906&lt;&gt;"",VLOOKUP(AC906,Selects!$B$4:$C$100,2,0),"")</f>
        <v/>
      </c>
      <c r="AE906" s="26"/>
      <c r="AF906" s="58"/>
      <c r="AG906" s="59"/>
      <c r="AH906" s="65"/>
      <c r="AI906" s="66"/>
      <c r="AJ906" s="66"/>
      <c r="AK906" s="58"/>
      <c r="AL906" s="58"/>
      <c r="AM906" s="68" t="str">
        <f aca="false">IF(LEFT(AL906,1)="9","Celular",IF(AL906="","","Fixo"))</f>
        <v/>
      </c>
      <c r="AN906" s="58" t="str">
        <f aca="false">IF( AM906&lt;&gt;"",VLOOKUP(AM906,Selects!$M$4:$N$1000,2,0),"")</f>
        <v/>
      </c>
      <c r="AO906" s="58"/>
      <c r="AP906" s="59"/>
      <c r="AQ906" s="65"/>
      <c r="AR906" s="58"/>
      <c r="AS906" s="58"/>
      <c r="AT906" s="26"/>
      <c r="AU906" s="58"/>
      <c r="AV906" s="58"/>
      <c r="AW906" s="58"/>
      <c r="AX906" s="58"/>
      <c r="AY906" s="71"/>
      <c r="AZ906" s="58"/>
      <c r="BA906" s="58"/>
      <c r="BB906" s="72" t="str">
        <f aca="false">IF(BA906&lt;&gt;"",VLOOKUP(BA906,Selects!$B$4:$C$100,2,0),"")</f>
        <v/>
      </c>
      <c r="BC906" s="26"/>
      <c r="BD906" s="26"/>
      <c r="BE906" s="73"/>
      <c r="BF906" s="74"/>
      <c r="BG906" s="75" t="str">
        <f aca="false">IF(LEN(BF906)=11,"PF",IF(LEN(BF906)=14,"PJ",""))</f>
        <v/>
      </c>
      <c r="BH906" s="66"/>
      <c r="BI906" s="58" t="str">
        <f aca="false">IF(BH906&lt;&gt;"",VLOOKUP(BH906,Selects!$G:$H,2,0),"")</f>
        <v/>
      </c>
      <c r="BJ906" s="58"/>
      <c r="BK906" s="58"/>
      <c r="BL906" s="59"/>
      <c r="BM906" s="58"/>
      <c r="BN906" s="58"/>
      <c r="BO906" s="58" t="str">
        <f aca="false">IF(BN906&lt;&gt;"",VLOOKUP(BN906,Selects!$J$4:$K$1000,2,0),"")</f>
        <v/>
      </c>
      <c r="BP906" s="76"/>
      <c r="BQ906" s="59"/>
      <c r="BR906" s="77"/>
      <c r="BS906" s="59"/>
      <c r="BT906" s="77"/>
      <c r="BU906" s="58"/>
      <c r="BV906" s="58"/>
      <c r="BW906" s="58"/>
      <c r="BX906" s="58"/>
      <c r="BY906" s="58"/>
      <c r="BZ906" s="58"/>
      <c r="CA906" s="58"/>
      <c r="CB906" s="72" t="str">
        <f aca="false">IF(AC906&lt;&gt;"",VLOOKUP(AC906,Selects!$B:$E,4,0),"")</f>
        <v/>
      </c>
      <c r="CC906" s="58"/>
      <c r="CD906" s="58"/>
      <c r="CE906" s="58"/>
    </row>
    <row r="907" customFormat="false" ht="15.75" hidden="false" customHeight="true" outlineLevel="0" collapsed="false">
      <c r="A907" s="17"/>
      <c r="B907" s="58"/>
      <c r="C907" s="58"/>
      <c r="D907" s="59"/>
      <c r="E907" s="60" t="str">
        <f aca="false">IF(LEN(D907)=11,"PF",IF(LEN(D907)=14,"PJ",""))</f>
        <v/>
      </c>
      <c r="F907" s="59"/>
      <c r="G907" s="59"/>
      <c r="H907" s="61" t="str">
        <f aca="false">IF(G907&lt;&gt;"",VLOOKUP(G907,'Cnae  mcc  id'!$A:$M,9,0),"")</f>
        <v/>
      </c>
      <c r="I907" s="62"/>
      <c r="J907" s="63" t="str">
        <f aca="false">IF(I907&lt;&gt;"",VLOOKUP(I907,'Legal Nature'!$E$2:$G$84,3,0),"")</f>
        <v/>
      </c>
      <c r="K907" s="64"/>
      <c r="L907" s="65"/>
      <c r="M907" s="66"/>
      <c r="N907" s="66"/>
      <c r="O907" s="79"/>
      <c r="P907" s="26"/>
      <c r="Q907" s="58"/>
      <c r="R907" s="58"/>
      <c r="S907" s="80"/>
      <c r="T907" s="68" t="str">
        <f aca="false">IF(LEFT(S907,1)="9","Celular",IF(S907="","","Fixo"))</f>
        <v/>
      </c>
      <c r="U907" s="58" t="str">
        <f aca="false">IF( T907&lt;&gt;"",VLOOKUP(T907,Selects!$M$4:$N$1000,2,0),"")</f>
        <v/>
      </c>
      <c r="V907" s="26"/>
      <c r="W907" s="58"/>
      <c r="X907" s="58"/>
      <c r="Y907" s="58"/>
      <c r="Z907" s="58"/>
      <c r="AA907" s="69"/>
      <c r="AB907" s="58"/>
      <c r="AC907" s="58"/>
      <c r="AD907" s="70" t="str">
        <f aca="false">IF(AC907&lt;&gt;"",VLOOKUP(AC907,Selects!$B$4:$C$100,2,0),"")</f>
        <v/>
      </c>
      <c r="AE907" s="26"/>
      <c r="AF907" s="58"/>
      <c r="AG907" s="59"/>
      <c r="AH907" s="65"/>
      <c r="AI907" s="66"/>
      <c r="AJ907" s="66"/>
      <c r="AK907" s="58"/>
      <c r="AL907" s="58"/>
      <c r="AM907" s="68" t="str">
        <f aca="false">IF(LEFT(AL907,1)="9","Celular",IF(AL907="","","Fixo"))</f>
        <v/>
      </c>
      <c r="AN907" s="58" t="str">
        <f aca="false">IF( AM907&lt;&gt;"",VLOOKUP(AM907,Selects!$M$4:$N$1000,2,0),"")</f>
        <v/>
      </c>
      <c r="AO907" s="58"/>
      <c r="AP907" s="59"/>
      <c r="AQ907" s="65"/>
      <c r="AR907" s="58"/>
      <c r="AS907" s="58"/>
      <c r="AT907" s="26"/>
      <c r="AU907" s="58"/>
      <c r="AV907" s="58"/>
      <c r="AW907" s="58"/>
      <c r="AX907" s="58"/>
      <c r="AY907" s="71"/>
      <c r="AZ907" s="58"/>
      <c r="BA907" s="58"/>
      <c r="BB907" s="72" t="str">
        <f aca="false">IF(BA907&lt;&gt;"",VLOOKUP(BA907,Selects!$B$4:$C$100,2,0),"")</f>
        <v/>
      </c>
      <c r="BC907" s="26"/>
      <c r="BD907" s="26"/>
      <c r="BE907" s="73"/>
      <c r="BF907" s="74"/>
      <c r="BG907" s="75" t="str">
        <f aca="false">IF(LEN(BF907)=11,"PF",IF(LEN(BF907)=14,"PJ",""))</f>
        <v/>
      </c>
      <c r="BH907" s="66"/>
      <c r="BI907" s="58" t="str">
        <f aca="false">IF(BH907&lt;&gt;"",VLOOKUP(BH907,Selects!$G:$H,2,0),"")</f>
        <v/>
      </c>
      <c r="BJ907" s="58"/>
      <c r="BK907" s="58"/>
      <c r="BL907" s="59"/>
      <c r="BM907" s="58"/>
      <c r="BN907" s="58"/>
      <c r="BO907" s="58" t="str">
        <f aca="false">IF(BN907&lt;&gt;"",VLOOKUP(BN907,Selects!$J$4:$K$1000,2,0),"")</f>
        <v/>
      </c>
      <c r="BP907" s="76"/>
      <c r="BQ907" s="59"/>
      <c r="BR907" s="77"/>
      <c r="BS907" s="59"/>
      <c r="BT907" s="77"/>
      <c r="BU907" s="58"/>
      <c r="BV907" s="58"/>
      <c r="BW907" s="58"/>
      <c r="BX907" s="58"/>
      <c r="BY907" s="58"/>
      <c r="BZ907" s="58"/>
      <c r="CA907" s="58"/>
      <c r="CB907" s="72" t="str">
        <f aca="false">IF(AC907&lt;&gt;"",VLOOKUP(AC907,Selects!$B:$E,4,0),"")</f>
        <v/>
      </c>
      <c r="CC907" s="58"/>
      <c r="CD907" s="58"/>
      <c r="CE907" s="58"/>
    </row>
    <row r="908" customFormat="false" ht="15.75" hidden="false" customHeight="true" outlineLevel="0" collapsed="false">
      <c r="A908" s="17"/>
      <c r="B908" s="58"/>
      <c r="C908" s="58"/>
      <c r="D908" s="59"/>
      <c r="E908" s="60" t="str">
        <f aca="false">IF(LEN(D908)=11,"PF",IF(LEN(D908)=14,"PJ",""))</f>
        <v/>
      </c>
      <c r="F908" s="59"/>
      <c r="G908" s="59"/>
      <c r="H908" s="61" t="str">
        <f aca="false">IF(G908&lt;&gt;"",VLOOKUP(G908,'Cnae  mcc  id'!$A:$M,9,0),"")</f>
        <v/>
      </c>
      <c r="I908" s="62"/>
      <c r="J908" s="63" t="str">
        <f aca="false">IF(I908&lt;&gt;"",VLOOKUP(I908,'Legal Nature'!$E$2:$G$84,3,0),"")</f>
        <v/>
      </c>
      <c r="K908" s="64"/>
      <c r="L908" s="65"/>
      <c r="M908" s="66"/>
      <c r="N908" s="66"/>
      <c r="O908" s="79"/>
      <c r="P908" s="26"/>
      <c r="Q908" s="58"/>
      <c r="R908" s="58"/>
      <c r="S908" s="80"/>
      <c r="T908" s="68" t="str">
        <f aca="false">IF(LEFT(S908,1)="9","Celular",IF(S908="","","Fixo"))</f>
        <v/>
      </c>
      <c r="U908" s="58" t="str">
        <f aca="false">IF( T908&lt;&gt;"",VLOOKUP(T908,Selects!$M$4:$N$1000,2,0),"")</f>
        <v/>
      </c>
      <c r="V908" s="26"/>
      <c r="W908" s="58"/>
      <c r="X908" s="58"/>
      <c r="Y908" s="58"/>
      <c r="Z908" s="58"/>
      <c r="AA908" s="69"/>
      <c r="AB908" s="58"/>
      <c r="AC908" s="58"/>
      <c r="AD908" s="70" t="str">
        <f aca="false">IF(AC908&lt;&gt;"",VLOOKUP(AC908,Selects!$B$4:$C$100,2,0),"")</f>
        <v/>
      </c>
      <c r="AE908" s="26"/>
      <c r="AF908" s="58"/>
      <c r="AG908" s="59"/>
      <c r="AH908" s="65"/>
      <c r="AI908" s="66"/>
      <c r="AJ908" s="66"/>
      <c r="AK908" s="58"/>
      <c r="AL908" s="58"/>
      <c r="AM908" s="68" t="str">
        <f aca="false">IF(LEFT(AL908,1)="9","Celular",IF(AL908="","","Fixo"))</f>
        <v/>
      </c>
      <c r="AN908" s="58" t="str">
        <f aca="false">IF( AM908&lt;&gt;"",VLOOKUP(AM908,Selects!$M$4:$N$1000,2,0),"")</f>
        <v/>
      </c>
      <c r="AO908" s="58"/>
      <c r="AP908" s="59"/>
      <c r="AQ908" s="65"/>
      <c r="AR908" s="58"/>
      <c r="AS908" s="58"/>
      <c r="AT908" s="26"/>
      <c r="AU908" s="58"/>
      <c r="AV908" s="58"/>
      <c r="AW908" s="58"/>
      <c r="AX908" s="58"/>
      <c r="AY908" s="71"/>
      <c r="AZ908" s="58"/>
      <c r="BA908" s="58"/>
      <c r="BB908" s="72" t="str">
        <f aca="false">IF(BA908&lt;&gt;"",VLOOKUP(BA908,Selects!$B$4:$C$100,2,0),"")</f>
        <v/>
      </c>
      <c r="BC908" s="26"/>
      <c r="BD908" s="26"/>
      <c r="BE908" s="73"/>
      <c r="BF908" s="74"/>
      <c r="BG908" s="75" t="str">
        <f aca="false">IF(LEN(BF908)=11,"PF",IF(LEN(BF908)=14,"PJ",""))</f>
        <v/>
      </c>
      <c r="BH908" s="66"/>
      <c r="BI908" s="58" t="str">
        <f aca="false">IF(BH908&lt;&gt;"",VLOOKUP(BH908,Selects!$G:$H,2,0),"")</f>
        <v/>
      </c>
      <c r="BJ908" s="58"/>
      <c r="BK908" s="58"/>
      <c r="BL908" s="59"/>
      <c r="BM908" s="58"/>
      <c r="BN908" s="58"/>
      <c r="BO908" s="58" t="str">
        <f aca="false">IF(BN908&lt;&gt;"",VLOOKUP(BN908,Selects!$J$4:$K$1000,2,0),"")</f>
        <v/>
      </c>
      <c r="BP908" s="76"/>
      <c r="BQ908" s="59"/>
      <c r="BR908" s="77"/>
      <c r="BS908" s="59"/>
      <c r="BT908" s="77"/>
      <c r="BU908" s="58"/>
      <c r="BV908" s="58"/>
      <c r="BW908" s="58"/>
      <c r="BX908" s="58"/>
      <c r="BY908" s="58"/>
      <c r="BZ908" s="58"/>
      <c r="CA908" s="58"/>
      <c r="CB908" s="72" t="str">
        <f aca="false">IF(AC908&lt;&gt;"",VLOOKUP(AC908,Selects!$B:$E,4,0),"")</f>
        <v/>
      </c>
      <c r="CC908" s="58"/>
      <c r="CD908" s="58"/>
      <c r="CE908" s="58"/>
    </row>
    <row r="909" customFormat="false" ht="15.75" hidden="false" customHeight="true" outlineLevel="0" collapsed="false">
      <c r="A909" s="17"/>
      <c r="B909" s="58"/>
      <c r="C909" s="58"/>
      <c r="D909" s="59"/>
      <c r="E909" s="60" t="str">
        <f aca="false">IF(LEN(D909)=11,"PF",IF(LEN(D909)=14,"PJ",""))</f>
        <v/>
      </c>
      <c r="F909" s="59"/>
      <c r="G909" s="59"/>
      <c r="H909" s="61" t="str">
        <f aca="false">IF(G909&lt;&gt;"",VLOOKUP(G909,'Cnae  mcc  id'!$A:$M,9,0),"")</f>
        <v/>
      </c>
      <c r="I909" s="62"/>
      <c r="J909" s="63" t="str">
        <f aca="false">IF(I909&lt;&gt;"",VLOOKUP(I909,'Legal Nature'!$E$2:$G$84,3,0),"")</f>
        <v/>
      </c>
      <c r="K909" s="64"/>
      <c r="L909" s="65"/>
      <c r="M909" s="66"/>
      <c r="N909" s="66"/>
      <c r="O909" s="79"/>
      <c r="P909" s="26"/>
      <c r="Q909" s="58"/>
      <c r="R909" s="58"/>
      <c r="S909" s="80"/>
      <c r="T909" s="68" t="str">
        <f aca="false">IF(LEFT(S909,1)="9","Celular",IF(S909="","","Fixo"))</f>
        <v/>
      </c>
      <c r="U909" s="58" t="str">
        <f aca="false">IF( T909&lt;&gt;"",VLOOKUP(T909,Selects!$M$4:$N$1000,2,0),"")</f>
        <v/>
      </c>
      <c r="V909" s="26"/>
      <c r="W909" s="58"/>
      <c r="X909" s="58"/>
      <c r="Y909" s="58"/>
      <c r="Z909" s="58"/>
      <c r="AA909" s="69"/>
      <c r="AB909" s="58"/>
      <c r="AC909" s="58"/>
      <c r="AD909" s="70" t="str">
        <f aca="false">IF(AC909&lt;&gt;"",VLOOKUP(AC909,Selects!$B$4:$C$100,2,0),"")</f>
        <v/>
      </c>
      <c r="AE909" s="26"/>
      <c r="AF909" s="58"/>
      <c r="AG909" s="59"/>
      <c r="AH909" s="65"/>
      <c r="AI909" s="66"/>
      <c r="AJ909" s="66"/>
      <c r="AK909" s="58"/>
      <c r="AL909" s="58"/>
      <c r="AM909" s="68" t="str">
        <f aca="false">IF(LEFT(AL909,1)="9","Celular",IF(AL909="","","Fixo"))</f>
        <v/>
      </c>
      <c r="AN909" s="58" t="str">
        <f aca="false">IF( AM909&lt;&gt;"",VLOOKUP(AM909,Selects!$M$4:$N$1000,2,0),"")</f>
        <v/>
      </c>
      <c r="AO909" s="58"/>
      <c r="AP909" s="59"/>
      <c r="AQ909" s="65"/>
      <c r="AR909" s="58"/>
      <c r="AS909" s="58"/>
      <c r="AT909" s="26"/>
      <c r="AU909" s="58"/>
      <c r="AV909" s="58"/>
      <c r="AW909" s="58"/>
      <c r="AX909" s="58"/>
      <c r="AY909" s="71"/>
      <c r="AZ909" s="58"/>
      <c r="BA909" s="58"/>
      <c r="BB909" s="72" t="str">
        <f aca="false">IF(BA909&lt;&gt;"",VLOOKUP(BA909,Selects!$B$4:$C$100,2,0),"")</f>
        <v/>
      </c>
      <c r="BC909" s="26"/>
      <c r="BD909" s="26"/>
      <c r="BE909" s="73"/>
      <c r="BF909" s="74"/>
      <c r="BG909" s="75" t="str">
        <f aca="false">IF(LEN(BF909)=11,"PF",IF(LEN(BF909)=14,"PJ",""))</f>
        <v/>
      </c>
      <c r="BH909" s="66"/>
      <c r="BI909" s="58" t="str">
        <f aca="false">IF(BH909&lt;&gt;"",VLOOKUP(BH909,Selects!$G:$H,2,0),"")</f>
        <v/>
      </c>
      <c r="BJ909" s="58"/>
      <c r="BK909" s="58"/>
      <c r="BL909" s="59"/>
      <c r="BM909" s="58"/>
      <c r="BN909" s="58"/>
      <c r="BO909" s="58" t="str">
        <f aca="false">IF(BN909&lt;&gt;"",VLOOKUP(BN909,Selects!$J$4:$K$1000,2,0),"")</f>
        <v/>
      </c>
      <c r="BP909" s="76"/>
      <c r="BQ909" s="59"/>
      <c r="BR909" s="77"/>
      <c r="BS909" s="59"/>
      <c r="BT909" s="77"/>
      <c r="BU909" s="58"/>
      <c r="BV909" s="58"/>
      <c r="BW909" s="58"/>
      <c r="BX909" s="58"/>
      <c r="BY909" s="58"/>
      <c r="BZ909" s="58"/>
      <c r="CA909" s="58"/>
      <c r="CB909" s="72" t="str">
        <f aca="false">IF(AC909&lt;&gt;"",VLOOKUP(AC909,Selects!$B:$E,4,0),"")</f>
        <v/>
      </c>
      <c r="CC909" s="58"/>
      <c r="CD909" s="58"/>
      <c r="CE909" s="58"/>
    </row>
    <row r="910" customFormat="false" ht="15.75" hidden="false" customHeight="true" outlineLevel="0" collapsed="false">
      <c r="A910" s="17"/>
      <c r="B910" s="58"/>
      <c r="C910" s="58"/>
      <c r="D910" s="59"/>
      <c r="E910" s="60" t="str">
        <f aca="false">IF(LEN(D910)=11,"PF",IF(LEN(D910)=14,"PJ",""))</f>
        <v/>
      </c>
      <c r="F910" s="59"/>
      <c r="G910" s="59"/>
      <c r="H910" s="61" t="str">
        <f aca="false">IF(G910&lt;&gt;"",VLOOKUP(G910,'Cnae  mcc  id'!$A:$M,9,0),"")</f>
        <v/>
      </c>
      <c r="I910" s="62"/>
      <c r="J910" s="63" t="str">
        <f aca="false">IF(I910&lt;&gt;"",VLOOKUP(I910,'Legal Nature'!$E$2:$G$84,3,0),"")</f>
        <v/>
      </c>
      <c r="K910" s="64"/>
      <c r="L910" s="65"/>
      <c r="M910" s="66"/>
      <c r="N910" s="66"/>
      <c r="O910" s="79"/>
      <c r="P910" s="26"/>
      <c r="Q910" s="58"/>
      <c r="R910" s="58"/>
      <c r="S910" s="80"/>
      <c r="T910" s="68" t="str">
        <f aca="false">IF(LEFT(S910,1)="9","Celular",IF(S910="","","Fixo"))</f>
        <v/>
      </c>
      <c r="U910" s="58" t="str">
        <f aca="false">IF( T910&lt;&gt;"",VLOOKUP(T910,Selects!$M$4:$N$1000,2,0),"")</f>
        <v/>
      </c>
      <c r="V910" s="26"/>
      <c r="W910" s="58"/>
      <c r="X910" s="58"/>
      <c r="Y910" s="58"/>
      <c r="Z910" s="58"/>
      <c r="AA910" s="69"/>
      <c r="AB910" s="58"/>
      <c r="AC910" s="58"/>
      <c r="AD910" s="70" t="str">
        <f aca="false">IF(AC910&lt;&gt;"",VLOOKUP(AC910,Selects!$B$4:$C$100,2,0),"")</f>
        <v/>
      </c>
      <c r="AE910" s="26"/>
      <c r="AF910" s="58"/>
      <c r="AG910" s="59"/>
      <c r="AH910" s="65"/>
      <c r="AI910" s="66"/>
      <c r="AJ910" s="66"/>
      <c r="AK910" s="58"/>
      <c r="AL910" s="58"/>
      <c r="AM910" s="68" t="str">
        <f aca="false">IF(LEFT(AL910,1)="9","Celular",IF(AL910="","","Fixo"))</f>
        <v/>
      </c>
      <c r="AN910" s="58" t="str">
        <f aca="false">IF( AM910&lt;&gt;"",VLOOKUP(AM910,Selects!$M$4:$N$1000,2,0),"")</f>
        <v/>
      </c>
      <c r="AO910" s="58"/>
      <c r="AP910" s="59"/>
      <c r="AQ910" s="65"/>
      <c r="AR910" s="58"/>
      <c r="AS910" s="58"/>
      <c r="AT910" s="26"/>
      <c r="AU910" s="58"/>
      <c r="AV910" s="58"/>
      <c r="AW910" s="58"/>
      <c r="AX910" s="58"/>
      <c r="AY910" s="71"/>
      <c r="AZ910" s="58"/>
      <c r="BA910" s="58"/>
      <c r="BB910" s="72" t="str">
        <f aca="false">IF(BA910&lt;&gt;"",VLOOKUP(BA910,Selects!$B$4:$C$100,2,0),"")</f>
        <v/>
      </c>
      <c r="BC910" s="26"/>
      <c r="BD910" s="26"/>
      <c r="BE910" s="73"/>
      <c r="BF910" s="74"/>
      <c r="BG910" s="75" t="str">
        <f aca="false">IF(LEN(BF910)=11,"PF",IF(LEN(BF910)=14,"PJ",""))</f>
        <v/>
      </c>
      <c r="BH910" s="66"/>
      <c r="BI910" s="58" t="str">
        <f aca="false">IF(BH910&lt;&gt;"",VLOOKUP(BH910,Selects!$G:$H,2,0),"")</f>
        <v/>
      </c>
      <c r="BJ910" s="58"/>
      <c r="BK910" s="58"/>
      <c r="BL910" s="59"/>
      <c r="BM910" s="58"/>
      <c r="BN910" s="58"/>
      <c r="BO910" s="58" t="str">
        <f aca="false">IF(BN910&lt;&gt;"",VLOOKUP(BN910,Selects!$J$4:$K$1000,2,0),"")</f>
        <v/>
      </c>
      <c r="BP910" s="76"/>
      <c r="BQ910" s="59"/>
      <c r="BR910" s="77"/>
      <c r="BS910" s="59"/>
      <c r="BT910" s="77"/>
      <c r="BU910" s="58"/>
      <c r="BV910" s="58"/>
      <c r="BW910" s="58"/>
      <c r="BX910" s="58"/>
      <c r="BY910" s="58"/>
      <c r="BZ910" s="58"/>
      <c r="CA910" s="58"/>
      <c r="CB910" s="72" t="str">
        <f aca="false">IF(AC910&lt;&gt;"",VLOOKUP(AC910,Selects!$B:$E,4,0),"")</f>
        <v/>
      </c>
      <c r="CC910" s="58"/>
      <c r="CD910" s="58"/>
      <c r="CE910" s="58"/>
    </row>
    <row r="911" customFormat="false" ht="15.75" hidden="false" customHeight="true" outlineLevel="0" collapsed="false">
      <c r="A911" s="17"/>
      <c r="B911" s="58"/>
      <c r="C911" s="58"/>
      <c r="D911" s="59"/>
      <c r="E911" s="60" t="str">
        <f aca="false">IF(LEN(D911)=11,"PF",IF(LEN(D911)=14,"PJ",""))</f>
        <v/>
      </c>
      <c r="F911" s="59"/>
      <c r="G911" s="59"/>
      <c r="H911" s="61" t="str">
        <f aca="false">IF(G911&lt;&gt;"",VLOOKUP(G911,'Cnae  mcc  id'!$A:$M,9,0),"")</f>
        <v/>
      </c>
      <c r="I911" s="62"/>
      <c r="J911" s="63" t="str">
        <f aca="false">IF(I911&lt;&gt;"",VLOOKUP(I911,'Legal Nature'!$E$2:$G$84,3,0),"")</f>
        <v/>
      </c>
      <c r="K911" s="64"/>
      <c r="L911" s="65"/>
      <c r="M911" s="66"/>
      <c r="N911" s="66"/>
      <c r="O911" s="79"/>
      <c r="P911" s="26"/>
      <c r="Q911" s="58"/>
      <c r="R911" s="58"/>
      <c r="S911" s="80"/>
      <c r="T911" s="68" t="str">
        <f aca="false">IF(LEFT(S911,1)="9","Celular",IF(S911="","","Fixo"))</f>
        <v/>
      </c>
      <c r="U911" s="58" t="str">
        <f aca="false">IF( T911&lt;&gt;"",VLOOKUP(T911,Selects!$M$4:$N$1000,2,0),"")</f>
        <v/>
      </c>
      <c r="V911" s="26"/>
      <c r="W911" s="58"/>
      <c r="X911" s="58"/>
      <c r="Y911" s="58"/>
      <c r="Z911" s="58"/>
      <c r="AA911" s="69"/>
      <c r="AB911" s="58"/>
      <c r="AC911" s="58"/>
      <c r="AD911" s="70" t="str">
        <f aca="false">IF(AC911&lt;&gt;"",VLOOKUP(AC911,Selects!$B$4:$C$100,2,0),"")</f>
        <v/>
      </c>
      <c r="AE911" s="26"/>
      <c r="AF911" s="58"/>
      <c r="AG911" s="59"/>
      <c r="AH911" s="65"/>
      <c r="AI911" s="66"/>
      <c r="AJ911" s="66"/>
      <c r="AK911" s="58"/>
      <c r="AL911" s="58"/>
      <c r="AM911" s="68" t="str">
        <f aca="false">IF(LEFT(AL911,1)="9","Celular",IF(AL911="","","Fixo"))</f>
        <v/>
      </c>
      <c r="AN911" s="58" t="str">
        <f aca="false">IF( AM911&lt;&gt;"",VLOOKUP(AM911,Selects!$M$4:$N$1000,2,0),"")</f>
        <v/>
      </c>
      <c r="AO911" s="58"/>
      <c r="AP911" s="59"/>
      <c r="AQ911" s="65"/>
      <c r="AR911" s="58"/>
      <c r="AS911" s="58"/>
      <c r="AT911" s="26"/>
      <c r="AU911" s="58"/>
      <c r="AV911" s="58"/>
      <c r="AW911" s="58"/>
      <c r="AX911" s="58"/>
      <c r="AY911" s="71"/>
      <c r="AZ911" s="58"/>
      <c r="BA911" s="58"/>
      <c r="BB911" s="72" t="str">
        <f aca="false">IF(BA911&lt;&gt;"",VLOOKUP(BA911,Selects!$B$4:$C$100,2,0),"")</f>
        <v/>
      </c>
      <c r="BC911" s="26"/>
      <c r="BD911" s="26"/>
      <c r="BE911" s="73"/>
      <c r="BF911" s="74"/>
      <c r="BG911" s="75" t="str">
        <f aca="false">IF(LEN(BF911)=11,"PF",IF(LEN(BF911)=14,"PJ",""))</f>
        <v/>
      </c>
      <c r="BH911" s="66"/>
      <c r="BI911" s="58" t="str">
        <f aca="false">IF(BH911&lt;&gt;"",VLOOKUP(BH911,Selects!$G:$H,2,0),"")</f>
        <v/>
      </c>
      <c r="BJ911" s="58"/>
      <c r="BK911" s="58"/>
      <c r="BL911" s="59"/>
      <c r="BM911" s="58"/>
      <c r="BN911" s="58"/>
      <c r="BO911" s="58" t="str">
        <f aca="false">IF(BN911&lt;&gt;"",VLOOKUP(BN911,Selects!$J$4:$K$1000,2,0),"")</f>
        <v/>
      </c>
      <c r="BP911" s="76"/>
      <c r="BQ911" s="59"/>
      <c r="BR911" s="77"/>
      <c r="BS911" s="59"/>
      <c r="BT911" s="77"/>
      <c r="BU911" s="58"/>
      <c r="BV911" s="58"/>
      <c r="BW911" s="58"/>
      <c r="BX911" s="58"/>
      <c r="BY911" s="58"/>
      <c r="BZ911" s="58"/>
      <c r="CA911" s="58"/>
      <c r="CB911" s="72" t="str">
        <f aca="false">IF(AC911&lt;&gt;"",VLOOKUP(AC911,Selects!$B:$E,4,0),"")</f>
        <v/>
      </c>
      <c r="CC911" s="58"/>
      <c r="CD911" s="58"/>
      <c r="CE911" s="58"/>
    </row>
    <row r="912" customFormat="false" ht="15.75" hidden="false" customHeight="true" outlineLevel="0" collapsed="false">
      <c r="A912" s="17"/>
      <c r="B912" s="58"/>
      <c r="C912" s="58"/>
      <c r="D912" s="59"/>
      <c r="E912" s="60" t="str">
        <f aca="false">IF(LEN(D912)=11,"PF",IF(LEN(D912)=14,"PJ",""))</f>
        <v/>
      </c>
      <c r="F912" s="59"/>
      <c r="G912" s="59"/>
      <c r="H912" s="61" t="str">
        <f aca="false">IF(G912&lt;&gt;"",VLOOKUP(G912,'Cnae  mcc  id'!$A:$M,9,0),"")</f>
        <v/>
      </c>
      <c r="I912" s="62"/>
      <c r="J912" s="63" t="str">
        <f aca="false">IF(I912&lt;&gt;"",VLOOKUP(I912,'Legal Nature'!$E$2:$G$84,3,0),"")</f>
        <v/>
      </c>
      <c r="K912" s="64"/>
      <c r="L912" s="65"/>
      <c r="M912" s="66"/>
      <c r="N912" s="66"/>
      <c r="O912" s="79"/>
      <c r="P912" s="26"/>
      <c r="Q912" s="58"/>
      <c r="R912" s="58"/>
      <c r="S912" s="80"/>
      <c r="T912" s="68" t="str">
        <f aca="false">IF(LEFT(S912,1)="9","Celular",IF(S912="","","Fixo"))</f>
        <v/>
      </c>
      <c r="U912" s="58" t="str">
        <f aca="false">IF( T912&lt;&gt;"",VLOOKUP(T912,Selects!$M$4:$N$1000,2,0),"")</f>
        <v/>
      </c>
      <c r="V912" s="26"/>
      <c r="W912" s="58"/>
      <c r="X912" s="58"/>
      <c r="Y912" s="58"/>
      <c r="Z912" s="58"/>
      <c r="AA912" s="69"/>
      <c r="AB912" s="58"/>
      <c r="AC912" s="58"/>
      <c r="AD912" s="70" t="str">
        <f aca="false">IF(AC912&lt;&gt;"",VLOOKUP(AC912,Selects!$B$4:$C$100,2,0),"")</f>
        <v/>
      </c>
      <c r="AE912" s="26"/>
      <c r="AF912" s="58"/>
      <c r="AG912" s="59"/>
      <c r="AH912" s="65"/>
      <c r="AI912" s="66"/>
      <c r="AJ912" s="66"/>
      <c r="AK912" s="58"/>
      <c r="AL912" s="58"/>
      <c r="AM912" s="68" t="str">
        <f aca="false">IF(LEFT(AL912,1)="9","Celular",IF(AL912="","","Fixo"))</f>
        <v/>
      </c>
      <c r="AN912" s="58" t="str">
        <f aca="false">IF( AM912&lt;&gt;"",VLOOKUP(AM912,Selects!$M$4:$N$1000,2,0),"")</f>
        <v/>
      </c>
      <c r="AO912" s="58"/>
      <c r="AP912" s="59"/>
      <c r="AQ912" s="65"/>
      <c r="AR912" s="58"/>
      <c r="AS912" s="58"/>
      <c r="AT912" s="26"/>
      <c r="AU912" s="58"/>
      <c r="AV912" s="58"/>
      <c r="AW912" s="58"/>
      <c r="AX912" s="58"/>
      <c r="AY912" s="71"/>
      <c r="AZ912" s="58"/>
      <c r="BA912" s="58"/>
      <c r="BB912" s="72" t="str">
        <f aca="false">IF(BA912&lt;&gt;"",VLOOKUP(BA912,Selects!$B$4:$C$100,2,0),"")</f>
        <v/>
      </c>
      <c r="BC912" s="26"/>
      <c r="BD912" s="26"/>
      <c r="BE912" s="73"/>
      <c r="BF912" s="74"/>
      <c r="BG912" s="75" t="str">
        <f aca="false">IF(LEN(BF912)=11,"PF",IF(LEN(BF912)=14,"PJ",""))</f>
        <v/>
      </c>
      <c r="BH912" s="66"/>
      <c r="BI912" s="58" t="str">
        <f aca="false">IF(BH912&lt;&gt;"",VLOOKUP(BH912,Selects!$G:$H,2,0),"")</f>
        <v/>
      </c>
      <c r="BJ912" s="58"/>
      <c r="BK912" s="58"/>
      <c r="BL912" s="59"/>
      <c r="BM912" s="58"/>
      <c r="BN912" s="58"/>
      <c r="BO912" s="58" t="str">
        <f aca="false">IF(BN912&lt;&gt;"",VLOOKUP(BN912,Selects!$J$4:$K$1000,2,0),"")</f>
        <v/>
      </c>
      <c r="BP912" s="76"/>
      <c r="BQ912" s="59"/>
      <c r="BR912" s="77"/>
      <c r="BS912" s="59"/>
      <c r="BT912" s="77"/>
      <c r="BU912" s="58"/>
      <c r="BV912" s="58"/>
      <c r="BW912" s="58"/>
      <c r="BX912" s="58"/>
      <c r="BY912" s="58"/>
      <c r="BZ912" s="58"/>
      <c r="CA912" s="58"/>
      <c r="CB912" s="72" t="str">
        <f aca="false">IF(AC912&lt;&gt;"",VLOOKUP(AC912,Selects!$B:$E,4,0),"")</f>
        <v/>
      </c>
      <c r="CC912" s="58"/>
      <c r="CD912" s="58"/>
      <c r="CE912" s="58"/>
    </row>
    <row r="913" customFormat="false" ht="15.75" hidden="false" customHeight="true" outlineLevel="0" collapsed="false">
      <c r="A913" s="17"/>
      <c r="B913" s="58"/>
      <c r="C913" s="58"/>
      <c r="D913" s="59"/>
      <c r="E913" s="60" t="str">
        <f aca="false">IF(LEN(D913)=11,"PF",IF(LEN(D913)=14,"PJ",""))</f>
        <v/>
      </c>
      <c r="F913" s="59"/>
      <c r="G913" s="59"/>
      <c r="H913" s="61" t="str">
        <f aca="false">IF(G913&lt;&gt;"",VLOOKUP(G913,'Cnae  mcc  id'!$A:$M,9,0),"")</f>
        <v/>
      </c>
      <c r="I913" s="62"/>
      <c r="J913" s="63" t="str">
        <f aca="false">IF(I913&lt;&gt;"",VLOOKUP(I913,'Legal Nature'!$E$2:$G$84,3,0),"")</f>
        <v/>
      </c>
      <c r="K913" s="64"/>
      <c r="L913" s="65"/>
      <c r="M913" s="66"/>
      <c r="N913" s="66"/>
      <c r="O913" s="79"/>
      <c r="P913" s="26"/>
      <c r="Q913" s="58"/>
      <c r="R913" s="58"/>
      <c r="S913" s="80"/>
      <c r="T913" s="68" t="str">
        <f aca="false">IF(LEFT(S913,1)="9","Celular",IF(S913="","","Fixo"))</f>
        <v/>
      </c>
      <c r="U913" s="58" t="str">
        <f aca="false">IF( T913&lt;&gt;"",VLOOKUP(T913,Selects!$M$4:$N$1000,2,0),"")</f>
        <v/>
      </c>
      <c r="V913" s="26"/>
      <c r="W913" s="58"/>
      <c r="X913" s="58"/>
      <c r="Y913" s="58"/>
      <c r="Z913" s="58"/>
      <c r="AA913" s="69"/>
      <c r="AB913" s="58"/>
      <c r="AC913" s="58"/>
      <c r="AD913" s="70" t="str">
        <f aca="false">IF(AC913&lt;&gt;"",VLOOKUP(AC913,Selects!$B$4:$C$100,2,0),"")</f>
        <v/>
      </c>
      <c r="AE913" s="26"/>
      <c r="AF913" s="58"/>
      <c r="AG913" s="59"/>
      <c r="AH913" s="65"/>
      <c r="AI913" s="66"/>
      <c r="AJ913" s="66"/>
      <c r="AK913" s="58"/>
      <c r="AL913" s="58"/>
      <c r="AM913" s="68" t="str">
        <f aca="false">IF(LEFT(AL913,1)="9","Celular",IF(AL913="","","Fixo"))</f>
        <v/>
      </c>
      <c r="AN913" s="58" t="str">
        <f aca="false">IF( AM913&lt;&gt;"",VLOOKUP(AM913,Selects!$M$4:$N$1000,2,0),"")</f>
        <v/>
      </c>
      <c r="AO913" s="58"/>
      <c r="AP913" s="59"/>
      <c r="AQ913" s="65"/>
      <c r="AR913" s="58"/>
      <c r="AS913" s="58"/>
      <c r="AT913" s="26"/>
      <c r="AU913" s="58"/>
      <c r="AV913" s="58"/>
      <c r="AW913" s="58"/>
      <c r="AX913" s="58"/>
      <c r="AY913" s="71"/>
      <c r="AZ913" s="58"/>
      <c r="BA913" s="58"/>
      <c r="BB913" s="72" t="str">
        <f aca="false">IF(BA913&lt;&gt;"",VLOOKUP(BA913,Selects!$B$4:$C$100,2,0),"")</f>
        <v/>
      </c>
      <c r="BC913" s="26"/>
      <c r="BD913" s="26"/>
      <c r="BE913" s="73"/>
      <c r="BF913" s="74"/>
      <c r="BG913" s="75" t="str">
        <f aca="false">IF(LEN(BF913)=11,"PF",IF(LEN(BF913)=14,"PJ",""))</f>
        <v/>
      </c>
      <c r="BH913" s="66"/>
      <c r="BI913" s="58" t="str">
        <f aca="false">IF(BH913&lt;&gt;"",VLOOKUP(BH913,Selects!$G:$H,2,0),"")</f>
        <v/>
      </c>
      <c r="BJ913" s="58"/>
      <c r="BK913" s="58"/>
      <c r="BL913" s="59"/>
      <c r="BM913" s="58"/>
      <c r="BN913" s="58"/>
      <c r="BO913" s="58" t="str">
        <f aca="false">IF(BN913&lt;&gt;"",VLOOKUP(BN913,Selects!$J$4:$K$1000,2,0),"")</f>
        <v/>
      </c>
      <c r="BP913" s="76"/>
      <c r="BQ913" s="59"/>
      <c r="BR913" s="77"/>
      <c r="BS913" s="59"/>
      <c r="BT913" s="77"/>
      <c r="BU913" s="58"/>
      <c r="BV913" s="58"/>
      <c r="BW913" s="58"/>
      <c r="BX913" s="58"/>
      <c r="BY913" s="58"/>
      <c r="BZ913" s="58"/>
      <c r="CA913" s="58"/>
      <c r="CB913" s="72" t="str">
        <f aca="false">IF(AC913&lt;&gt;"",VLOOKUP(AC913,Selects!$B:$E,4,0),"")</f>
        <v/>
      </c>
      <c r="CC913" s="58"/>
      <c r="CD913" s="58"/>
      <c r="CE913" s="58"/>
    </row>
    <row r="914" customFormat="false" ht="15.75" hidden="false" customHeight="true" outlineLevel="0" collapsed="false">
      <c r="A914" s="17"/>
      <c r="B914" s="58"/>
      <c r="C914" s="58"/>
      <c r="D914" s="59"/>
      <c r="E914" s="60" t="str">
        <f aca="false">IF(LEN(D914)=11,"PF",IF(LEN(D914)=14,"PJ",""))</f>
        <v/>
      </c>
      <c r="F914" s="59"/>
      <c r="G914" s="59"/>
      <c r="H914" s="61" t="str">
        <f aca="false">IF(G914&lt;&gt;"",VLOOKUP(G914,'Cnae  mcc  id'!$A:$M,9,0),"")</f>
        <v/>
      </c>
      <c r="I914" s="62"/>
      <c r="J914" s="63" t="str">
        <f aca="false">IF(I914&lt;&gt;"",VLOOKUP(I914,'Legal Nature'!$E$2:$G$84,3,0),"")</f>
        <v/>
      </c>
      <c r="K914" s="64"/>
      <c r="L914" s="65"/>
      <c r="M914" s="66"/>
      <c r="N914" s="66"/>
      <c r="O914" s="79"/>
      <c r="P914" s="26"/>
      <c r="Q914" s="58"/>
      <c r="R914" s="58"/>
      <c r="S914" s="80"/>
      <c r="T914" s="68" t="str">
        <f aca="false">IF(LEFT(S914,1)="9","Celular",IF(S914="","","Fixo"))</f>
        <v/>
      </c>
      <c r="U914" s="58" t="str">
        <f aca="false">IF( T914&lt;&gt;"",VLOOKUP(T914,Selects!$M$4:$N$1000,2,0),"")</f>
        <v/>
      </c>
      <c r="V914" s="26"/>
      <c r="W914" s="58"/>
      <c r="X914" s="58"/>
      <c r="Y914" s="58"/>
      <c r="Z914" s="58"/>
      <c r="AA914" s="69"/>
      <c r="AB914" s="58"/>
      <c r="AC914" s="58"/>
      <c r="AD914" s="70" t="str">
        <f aca="false">IF(AC914&lt;&gt;"",VLOOKUP(AC914,Selects!$B$4:$C$100,2,0),"")</f>
        <v/>
      </c>
      <c r="AE914" s="26"/>
      <c r="AF914" s="58"/>
      <c r="AG914" s="59"/>
      <c r="AH914" s="65"/>
      <c r="AI914" s="66"/>
      <c r="AJ914" s="66"/>
      <c r="AK914" s="58"/>
      <c r="AL914" s="58"/>
      <c r="AM914" s="68" t="str">
        <f aca="false">IF(LEFT(AL914,1)="9","Celular",IF(AL914="","","Fixo"))</f>
        <v/>
      </c>
      <c r="AN914" s="58" t="str">
        <f aca="false">IF( AM914&lt;&gt;"",VLOOKUP(AM914,Selects!$M$4:$N$1000,2,0),"")</f>
        <v/>
      </c>
      <c r="AO914" s="58"/>
      <c r="AP914" s="59"/>
      <c r="AQ914" s="65"/>
      <c r="AR914" s="58"/>
      <c r="AS914" s="58"/>
      <c r="AT914" s="26"/>
      <c r="AU914" s="58"/>
      <c r="AV914" s="58"/>
      <c r="AW914" s="58"/>
      <c r="AX914" s="58"/>
      <c r="AY914" s="71"/>
      <c r="AZ914" s="58"/>
      <c r="BA914" s="58"/>
      <c r="BB914" s="72" t="str">
        <f aca="false">IF(BA914&lt;&gt;"",VLOOKUP(BA914,Selects!$B$4:$C$100,2,0),"")</f>
        <v/>
      </c>
      <c r="BC914" s="26"/>
      <c r="BD914" s="26"/>
      <c r="BE914" s="73"/>
      <c r="BF914" s="74"/>
      <c r="BG914" s="75" t="str">
        <f aca="false">IF(LEN(BF914)=11,"PF",IF(LEN(BF914)=14,"PJ",""))</f>
        <v/>
      </c>
      <c r="BH914" s="66"/>
      <c r="BI914" s="58" t="str">
        <f aca="false">IF(BH914&lt;&gt;"",VLOOKUP(BH914,Selects!$G:$H,2,0),"")</f>
        <v/>
      </c>
      <c r="BJ914" s="58"/>
      <c r="BK914" s="58"/>
      <c r="BL914" s="59"/>
      <c r="BM914" s="58"/>
      <c r="BN914" s="58"/>
      <c r="BO914" s="58" t="str">
        <f aca="false">IF(BN914&lt;&gt;"",VLOOKUP(BN914,Selects!$J$4:$K$1000,2,0),"")</f>
        <v/>
      </c>
      <c r="BP914" s="76"/>
      <c r="BQ914" s="59"/>
      <c r="BR914" s="77"/>
      <c r="BS914" s="59"/>
      <c r="BT914" s="77"/>
      <c r="BU914" s="58"/>
      <c r="BV914" s="58"/>
      <c r="BW914" s="58"/>
      <c r="BX914" s="58"/>
      <c r="BY914" s="58"/>
      <c r="BZ914" s="58"/>
      <c r="CA914" s="58"/>
      <c r="CB914" s="72" t="str">
        <f aca="false">IF(AC914&lt;&gt;"",VLOOKUP(AC914,Selects!$B:$E,4,0),"")</f>
        <v/>
      </c>
      <c r="CC914" s="58"/>
      <c r="CD914" s="58"/>
      <c r="CE914" s="58"/>
    </row>
    <row r="915" customFormat="false" ht="15.75" hidden="false" customHeight="true" outlineLevel="0" collapsed="false">
      <c r="A915" s="17"/>
      <c r="B915" s="58"/>
      <c r="C915" s="58"/>
      <c r="D915" s="59"/>
      <c r="E915" s="60" t="str">
        <f aca="false">IF(LEN(D915)=11,"PF",IF(LEN(D915)=14,"PJ",""))</f>
        <v/>
      </c>
      <c r="F915" s="59"/>
      <c r="G915" s="59"/>
      <c r="H915" s="61" t="str">
        <f aca="false">IF(G915&lt;&gt;"",VLOOKUP(G915,'Cnae  mcc  id'!$A:$M,9,0),"")</f>
        <v/>
      </c>
      <c r="I915" s="62"/>
      <c r="J915" s="63" t="str">
        <f aca="false">IF(I915&lt;&gt;"",VLOOKUP(I915,'Legal Nature'!$E$2:$G$84,3,0),"")</f>
        <v/>
      </c>
      <c r="K915" s="64"/>
      <c r="L915" s="65"/>
      <c r="M915" s="66"/>
      <c r="N915" s="66"/>
      <c r="O915" s="79"/>
      <c r="P915" s="26"/>
      <c r="Q915" s="58"/>
      <c r="R915" s="58"/>
      <c r="S915" s="80"/>
      <c r="T915" s="68" t="str">
        <f aca="false">IF(LEFT(S915,1)="9","Celular",IF(S915="","","Fixo"))</f>
        <v/>
      </c>
      <c r="U915" s="58" t="str">
        <f aca="false">IF( T915&lt;&gt;"",VLOOKUP(T915,Selects!$M$4:$N$1000,2,0),"")</f>
        <v/>
      </c>
      <c r="V915" s="26"/>
      <c r="W915" s="58"/>
      <c r="X915" s="58"/>
      <c r="Y915" s="58"/>
      <c r="Z915" s="58"/>
      <c r="AA915" s="69"/>
      <c r="AB915" s="58"/>
      <c r="AC915" s="58"/>
      <c r="AD915" s="70" t="str">
        <f aca="false">IF(AC915&lt;&gt;"",VLOOKUP(AC915,Selects!$B$4:$C$100,2,0),"")</f>
        <v/>
      </c>
      <c r="AE915" s="26"/>
      <c r="AF915" s="58"/>
      <c r="AG915" s="59"/>
      <c r="AH915" s="65"/>
      <c r="AI915" s="66"/>
      <c r="AJ915" s="66"/>
      <c r="AK915" s="58"/>
      <c r="AL915" s="58"/>
      <c r="AM915" s="68" t="str">
        <f aca="false">IF(LEFT(AL915,1)="9","Celular",IF(AL915="","","Fixo"))</f>
        <v/>
      </c>
      <c r="AN915" s="58" t="str">
        <f aca="false">IF( AM915&lt;&gt;"",VLOOKUP(AM915,Selects!$M$4:$N$1000,2,0),"")</f>
        <v/>
      </c>
      <c r="AO915" s="58"/>
      <c r="AP915" s="59"/>
      <c r="AQ915" s="65"/>
      <c r="AR915" s="58"/>
      <c r="AS915" s="58"/>
      <c r="AT915" s="26"/>
      <c r="AU915" s="58"/>
      <c r="AV915" s="58"/>
      <c r="AW915" s="58"/>
      <c r="AX915" s="58"/>
      <c r="AY915" s="71"/>
      <c r="AZ915" s="58"/>
      <c r="BA915" s="58"/>
      <c r="BB915" s="72" t="str">
        <f aca="false">IF(BA915&lt;&gt;"",VLOOKUP(BA915,Selects!$B$4:$C$100,2,0),"")</f>
        <v/>
      </c>
      <c r="BC915" s="26"/>
      <c r="BD915" s="26"/>
      <c r="BE915" s="73"/>
      <c r="BF915" s="74"/>
      <c r="BG915" s="75" t="str">
        <f aca="false">IF(LEN(BF915)=11,"PF",IF(LEN(BF915)=14,"PJ",""))</f>
        <v/>
      </c>
      <c r="BH915" s="66"/>
      <c r="BI915" s="58" t="str">
        <f aca="false">IF(BH915&lt;&gt;"",VLOOKUP(BH915,Selects!$G:$H,2,0),"")</f>
        <v/>
      </c>
      <c r="BJ915" s="58"/>
      <c r="BK915" s="58"/>
      <c r="BL915" s="59"/>
      <c r="BM915" s="58"/>
      <c r="BN915" s="58"/>
      <c r="BO915" s="58" t="str">
        <f aca="false">IF(BN915&lt;&gt;"",VLOOKUP(BN915,Selects!$J$4:$K$1000,2,0),"")</f>
        <v/>
      </c>
      <c r="BP915" s="76"/>
      <c r="BQ915" s="59"/>
      <c r="BR915" s="77"/>
      <c r="BS915" s="59"/>
      <c r="BT915" s="77"/>
      <c r="BU915" s="58"/>
      <c r="BV915" s="58"/>
      <c r="BW915" s="58"/>
      <c r="BX915" s="58"/>
      <c r="BY915" s="58"/>
      <c r="BZ915" s="58"/>
      <c r="CA915" s="58"/>
      <c r="CB915" s="72" t="str">
        <f aca="false">IF(AC915&lt;&gt;"",VLOOKUP(AC915,Selects!$B:$E,4,0),"")</f>
        <v/>
      </c>
      <c r="CC915" s="58"/>
      <c r="CD915" s="58"/>
      <c r="CE915" s="58"/>
    </row>
    <row r="916" customFormat="false" ht="15.75" hidden="false" customHeight="true" outlineLevel="0" collapsed="false">
      <c r="A916" s="17"/>
      <c r="B916" s="58"/>
      <c r="C916" s="58"/>
      <c r="D916" s="59"/>
      <c r="E916" s="60" t="str">
        <f aca="false">IF(LEN(D916)=11,"PF",IF(LEN(D916)=14,"PJ",""))</f>
        <v/>
      </c>
      <c r="F916" s="59"/>
      <c r="G916" s="59"/>
      <c r="H916" s="61" t="str">
        <f aca="false">IF(G916&lt;&gt;"",VLOOKUP(G916,'Cnae  mcc  id'!$A:$M,9,0),"")</f>
        <v/>
      </c>
      <c r="I916" s="62"/>
      <c r="J916" s="63" t="str">
        <f aca="false">IF(I916&lt;&gt;"",VLOOKUP(I916,'Legal Nature'!$E$2:$G$84,3,0),"")</f>
        <v/>
      </c>
      <c r="K916" s="64"/>
      <c r="L916" s="65"/>
      <c r="M916" s="66"/>
      <c r="N916" s="66"/>
      <c r="O916" s="79"/>
      <c r="P916" s="26"/>
      <c r="Q916" s="58"/>
      <c r="R916" s="58"/>
      <c r="S916" s="80"/>
      <c r="T916" s="68" t="str">
        <f aca="false">IF(LEFT(S916,1)="9","Celular",IF(S916="","","Fixo"))</f>
        <v/>
      </c>
      <c r="U916" s="58" t="str">
        <f aca="false">IF( T916&lt;&gt;"",VLOOKUP(T916,Selects!$M$4:$N$1000,2,0),"")</f>
        <v/>
      </c>
      <c r="V916" s="26"/>
      <c r="W916" s="58"/>
      <c r="X916" s="58"/>
      <c r="Y916" s="58"/>
      <c r="Z916" s="58"/>
      <c r="AA916" s="69"/>
      <c r="AB916" s="58"/>
      <c r="AC916" s="58"/>
      <c r="AD916" s="70" t="str">
        <f aca="false">IF(AC916&lt;&gt;"",VLOOKUP(AC916,Selects!$B$4:$C$100,2,0),"")</f>
        <v/>
      </c>
      <c r="AE916" s="26"/>
      <c r="AF916" s="58"/>
      <c r="AG916" s="59"/>
      <c r="AH916" s="65"/>
      <c r="AI916" s="66"/>
      <c r="AJ916" s="66"/>
      <c r="AK916" s="58"/>
      <c r="AL916" s="58"/>
      <c r="AM916" s="68" t="str">
        <f aca="false">IF(LEFT(AL916,1)="9","Celular",IF(AL916="","","Fixo"))</f>
        <v/>
      </c>
      <c r="AN916" s="58" t="str">
        <f aca="false">IF( AM916&lt;&gt;"",VLOOKUP(AM916,Selects!$M$4:$N$1000,2,0),"")</f>
        <v/>
      </c>
      <c r="AO916" s="58"/>
      <c r="AP916" s="59"/>
      <c r="AQ916" s="65"/>
      <c r="AR916" s="58"/>
      <c r="AS916" s="58"/>
      <c r="AT916" s="26"/>
      <c r="AU916" s="58"/>
      <c r="AV916" s="58"/>
      <c r="AW916" s="58"/>
      <c r="AX916" s="58"/>
      <c r="AY916" s="71"/>
      <c r="AZ916" s="58"/>
      <c r="BA916" s="58"/>
      <c r="BB916" s="72" t="str">
        <f aca="false">IF(BA916&lt;&gt;"",VLOOKUP(BA916,Selects!$B$4:$C$100,2,0),"")</f>
        <v/>
      </c>
      <c r="BC916" s="26"/>
      <c r="BD916" s="26"/>
      <c r="BE916" s="73"/>
      <c r="BF916" s="74"/>
      <c r="BG916" s="75" t="str">
        <f aca="false">IF(LEN(BF916)=11,"PF",IF(LEN(BF916)=14,"PJ",""))</f>
        <v/>
      </c>
      <c r="BH916" s="66"/>
      <c r="BI916" s="58" t="str">
        <f aca="false">IF(BH916&lt;&gt;"",VLOOKUP(BH916,Selects!$G:$H,2,0),"")</f>
        <v/>
      </c>
      <c r="BJ916" s="58"/>
      <c r="BK916" s="58"/>
      <c r="BL916" s="59"/>
      <c r="BM916" s="58"/>
      <c r="BN916" s="58"/>
      <c r="BO916" s="58" t="str">
        <f aca="false">IF(BN916&lt;&gt;"",VLOOKUP(BN916,Selects!$J$4:$K$1000,2,0),"")</f>
        <v/>
      </c>
      <c r="BP916" s="76"/>
      <c r="BQ916" s="59"/>
      <c r="BR916" s="77"/>
      <c r="BS916" s="59"/>
      <c r="BT916" s="77"/>
      <c r="BU916" s="58"/>
      <c r="BV916" s="58"/>
      <c r="BW916" s="58"/>
      <c r="BX916" s="58"/>
      <c r="BY916" s="58"/>
      <c r="BZ916" s="58"/>
      <c r="CA916" s="58"/>
      <c r="CB916" s="72" t="str">
        <f aca="false">IF(AC916&lt;&gt;"",VLOOKUP(AC916,Selects!$B:$E,4,0),"")</f>
        <v/>
      </c>
      <c r="CC916" s="58"/>
      <c r="CD916" s="58"/>
      <c r="CE916" s="58"/>
    </row>
    <row r="917" customFormat="false" ht="15.75" hidden="false" customHeight="true" outlineLevel="0" collapsed="false">
      <c r="A917" s="17"/>
      <c r="B917" s="58"/>
      <c r="C917" s="58"/>
      <c r="D917" s="59"/>
      <c r="E917" s="60" t="str">
        <f aca="false">IF(LEN(D917)=11,"PF",IF(LEN(D917)=14,"PJ",""))</f>
        <v/>
      </c>
      <c r="F917" s="59"/>
      <c r="G917" s="59"/>
      <c r="H917" s="61" t="str">
        <f aca="false">IF(G917&lt;&gt;"",VLOOKUP(G917,'Cnae  mcc  id'!$A:$M,9,0),"")</f>
        <v/>
      </c>
      <c r="I917" s="62"/>
      <c r="J917" s="63" t="str">
        <f aca="false">IF(I917&lt;&gt;"",VLOOKUP(I917,'Legal Nature'!$E$2:$G$84,3,0),"")</f>
        <v/>
      </c>
      <c r="K917" s="64"/>
      <c r="L917" s="65"/>
      <c r="M917" s="66"/>
      <c r="N917" s="66"/>
      <c r="O917" s="79"/>
      <c r="P917" s="26"/>
      <c r="Q917" s="58"/>
      <c r="R917" s="58"/>
      <c r="S917" s="80"/>
      <c r="T917" s="68" t="str">
        <f aca="false">IF(LEFT(S917,1)="9","Celular",IF(S917="","","Fixo"))</f>
        <v/>
      </c>
      <c r="U917" s="58" t="str">
        <f aca="false">IF( T917&lt;&gt;"",VLOOKUP(T917,Selects!$M$4:$N$1000,2,0),"")</f>
        <v/>
      </c>
      <c r="V917" s="26"/>
      <c r="W917" s="58"/>
      <c r="X917" s="58"/>
      <c r="Y917" s="58"/>
      <c r="Z917" s="58"/>
      <c r="AA917" s="69"/>
      <c r="AB917" s="58"/>
      <c r="AC917" s="58"/>
      <c r="AD917" s="70" t="str">
        <f aca="false">IF(AC917&lt;&gt;"",VLOOKUP(AC917,Selects!$B$4:$C$100,2,0),"")</f>
        <v/>
      </c>
      <c r="AE917" s="26"/>
      <c r="AF917" s="58"/>
      <c r="AG917" s="59"/>
      <c r="AH917" s="65"/>
      <c r="AI917" s="66"/>
      <c r="AJ917" s="66"/>
      <c r="AK917" s="58"/>
      <c r="AL917" s="58"/>
      <c r="AM917" s="68" t="str">
        <f aca="false">IF(LEFT(AL917,1)="9","Celular",IF(AL917="","","Fixo"))</f>
        <v/>
      </c>
      <c r="AN917" s="58" t="str">
        <f aca="false">IF( AM917&lt;&gt;"",VLOOKUP(AM917,Selects!$M$4:$N$1000,2,0),"")</f>
        <v/>
      </c>
      <c r="AO917" s="58"/>
      <c r="AP917" s="59"/>
      <c r="AQ917" s="65"/>
      <c r="AR917" s="58"/>
      <c r="AS917" s="58"/>
      <c r="AT917" s="26"/>
      <c r="AU917" s="58"/>
      <c r="AV917" s="58"/>
      <c r="AW917" s="58"/>
      <c r="AX917" s="58"/>
      <c r="AY917" s="71"/>
      <c r="AZ917" s="58"/>
      <c r="BA917" s="58"/>
      <c r="BB917" s="72" t="str">
        <f aca="false">IF(BA917&lt;&gt;"",VLOOKUP(BA917,Selects!$B$4:$C$100,2,0),"")</f>
        <v/>
      </c>
      <c r="BC917" s="26"/>
      <c r="BD917" s="26"/>
      <c r="BE917" s="73"/>
      <c r="BF917" s="74"/>
      <c r="BG917" s="75" t="str">
        <f aca="false">IF(LEN(BF917)=11,"PF",IF(LEN(BF917)=14,"PJ",""))</f>
        <v/>
      </c>
      <c r="BH917" s="66"/>
      <c r="BI917" s="58" t="str">
        <f aca="false">IF(BH917&lt;&gt;"",VLOOKUP(BH917,Selects!$G:$H,2,0),"")</f>
        <v/>
      </c>
      <c r="BJ917" s="58"/>
      <c r="BK917" s="58"/>
      <c r="BL917" s="59"/>
      <c r="BM917" s="58"/>
      <c r="BN917" s="58"/>
      <c r="BO917" s="58" t="str">
        <f aca="false">IF(BN917&lt;&gt;"",VLOOKUP(BN917,Selects!$J$4:$K$1000,2,0),"")</f>
        <v/>
      </c>
      <c r="BP917" s="76"/>
      <c r="BQ917" s="59"/>
      <c r="BR917" s="77"/>
      <c r="BS917" s="59"/>
      <c r="BT917" s="77"/>
      <c r="BU917" s="58"/>
      <c r="BV917" s="58"/>
      <c r="BW917" s="58"/>
      <c r="BX917" s="58"/>
      <c r="BY917" s="58"/>
      <c r="BZ917" s="58"/>
      <c r="CA917" s="58"/>
      <c r="CB917" s="72" t="str">
        <f aca="false">IF(AC917&lt;&gt;"",VLOOKUP(AC917,Selects!$B:$E,4,0),"")</f>
        <v/>
      </c>
      <c r="CC917" s="58"/>
      <c r="CD917" s="58"/>
      <c r="CE917" s="58"/>
    </row>
    <row r="918" customFormat="false" ht="15.75" hidden="false" customHeight="true" outlineLevel="0" collapsed="false">
      <c r="A918" s="17"/>
      <c r="B918" s="58"/>
      <c r="C918" s="58"/>
      <c r="D918" s="59"/>
      <c r="E918" s="60" t="str">
        <f aca="false">IF(LEN(D918)=11,"PF",IF(LEN(D918)=14,"PJ",""))</f>
        <v/>
      </c>
      <c r="F918" s="59"/>
      <c r="G918" s="59"/>
      <c r="H918" s="61" t="str">
        <f aca="false">IF(G918&lt;&gt;"",VLOOKUP(G918,'Cnae  mcc  id'!$A:$M,9,0),"")</f>
        <v/>
      </c>
      <c r="I918" s="62"/>
      <c r="J918" s="63" t="str">
        <f aca="false">IF(I918&lt;&gt;"",VLOOKUP(I918,'Legal Nature'!$E$2:$G$84,3,0),"")</f>
        <v/>
      </c>
      <c r="K918" s="64"/>
      <c r="L918" s="65"/>
      <c r="M918" s="66"/>
      <c r="N918" s="66"/>
      <c r="O918" s="79"/>
      <c r="P918" s="26"/>
      <c r="Q918" s="58"/>
      <c r="R918" s="58"/>
      <c r="S918" s="80"/>
      <c r="T918" s="68" t="str">
        <f aca="false">IF(LEFT(S918,1)="9","Celular",IF(S918="","","Fixo"))</f>
        <v/>
      </c>
      <c r="U918" s="58" t="str">
        <f aca="false">IF( T918&lt;&gt;"",VLOOKUP(T918,Selects!$M$4:$N$1000,2,0),"")</f>
        <v/>
      </c>
      <c r="V918" s="26"/>
      <c r="W918" s="58"/>
      <c r="X918" s="58"/>
      <c r="Y918" s="58"/>
      <c r="Z918" s="58"/>
      <c r="AA918" s="69"/>
      <c r="AB918" s="58"/>
      <c r="AC918" s="58"/>
      <c r="AD918" s="70" t="str">
        <f aca="false">IF(AC918&lt;&gt;"",VLOOKUP(AC918,Selects!$B$4:$C$100,2,0),"")</f>
        <v/>
      </c>
      <c r="AE918" s="26"/>
      <c r="AF918" s="58"/>
      <c r="AG918" s="59"/>
      <c r="AH918" s="65"/>
      <c r="AI918" s="66"/>
      <c r="AJ918" s="66"/>
      <c r="AK918" s="58"/>
      <c r="AL918" s="58"/>
      <c r="AM918" s="68" t="str">
        <f aca="false">IF(LEFT(AL918,1)="9","Celular",IF(AL918="","","Fixo"))</f>
        <v/>
      </c>
      <c r="AN918" s="58" t="str">
        <f aca="false">IF( AM918&lt;&gt;"",VLOOKUP(AM918,Selects!$M$4:$N$1000,2,0),"")</f>
        <v/>
      </c>
      <c r="AO918" s="58"/>
      <c r="AP918" s="59"/>
      <c r="AQ918" s="65"/>
      <c r="AR918" s="58"/>
      <c r="AS918" s="58"/>
      <c r="AT918" s="26"/>
      <c r="AU918" s="58"/>
      <c r="AV918" s="58"/>
      <c r="AW918" s="58"/>
      <c r="AX918" s="58"/>
      <c r="AY918" s="71"/>
      <c r="AZ918" s="58"/>
      <c r="BA918" s="58"/>
      <c r="BB918" s="72" t="str">
        <f aca="false">IF(BA918&lt;&gt;"",VLOOKUP(BA918,Selects!$B$4:$C$100,2,0),"")</f>
        <v/>
      </c>
      <c r="BC918" s="26"/>
      <c r="BD918" s="26"/>
      <c r="BE918" s="73"/>
      <c r="BF918" s="74"/>
      <c r="BG918" s="75" t="str">
        <f aca="false">IF(LEN(BF918)=11,"PF",IF(LEN(BF918)=14,"PJ",""))</f>
        <v/>
      </c>
      <c r="BH918" s="66"/>
      <c r="BI918" s="58" t="str">
        <f aca="false">IF(BH918&lt;&gt;"",VLOOKUP(BH918,Selects!$G:$H,2,0),"")</f>
        <v/>
      </c>
      <c r="BJ918" s="58"/>
      <c r="BK918" s="58"/>
      <c r="BL918" s="59"/>
      <c r="BM918" s="58"/>
      <c r="BN918" s="58"/>
      <c r="BO918" s="58" t="str">
        <f aca="false">IF(BN918&lt;&gt;"",VLOOKUP(BN918,Selects!$J$4:$K$1000,2,0),"")</f>
        <v/>
      </c>
      <c r="BP918" s="76"/>
      <c r="BQ918" s="59"/>
      <c r="BR918" s="77"/>
      <c r="BS918" s="59"/>
      <c r="BT918" s="77"/>
      <c r="BU918" s="58"/>
      <c r="BV918" s="58"/>
      <c r="BW918" s="58"/>
      <c r="BX918" s="58"/>
      <c r="BY918" s="58"/>
      <c r="BZ918" s="58"/>
      <c r="CA918" s="58"/>
      <c r="CB918" s="72" t="str">
        <f aca="false">IF(AC918&lt;&gt;"",VLOOKUP(AC918,Selects!$B:$E,4,0),"")</f>
        <v/>
      </c>
      <c r="CC918" s="58"/>
      <c r="CD918" s="58"/>
      <c r="CE918" s="58"/>
    </row>
    <row r="919" customFormat="false" ht="15.75" hidden="false" customHeight="true" outlineLevel="0" collapsed="false">
      <c r="A919" s="17"/>
      <c r="B919" s="58"/>
      <c r="C919" s="58"/>
      <c r="D919" s="59"/>
      <c r="E919" s="60" t="str">
        <f aca="false">IF(LEN(D919)=11,"PF",IF(LEN(D919)=14,"PJ",""))</f>
        <v/>
      </c>
      <c r="F919" s="59"/>
      <c r="G919" s="59"/>
      <c r="H919" s="61" t="str">
        <f aca="false">IF(G919&lt;&gt;"",VLOOKUP(G919,'Cnae  mcc  id'!$A:$M,9,0),"")</f>
        <v/>
      </c>
      <c r="I919" s="62"/>
      <c r="J919" s="63" t="str">
        <f aca="false">IF(I919&lt;&gt;"",VLOOKUP(I919,'Legal Nature'!$E$2:$G$84,3,0),"")</f>
        <v/>
      </c>
      <c r="K919" s="64"/>
      <c r="L919" s="65"/>
      <c r="M919" s="66"/>
      <c r="N919" s="66"/>
      <c r="O919" s="79"/>
      <c r="P919" s="26"/>
      <c r="Q919" s="58"/>
      <c r="R919" s="58"/>
      <c r="S919" s="80"/>
      <c r="T919" s="68" t="str">
        <f aca="false">IF(LEFT(S919,1)="9","Celular",IF(S919="","","Fixo"))</f>
        <v/>
      </c>
      <c r="U919" s="58" t="str">
        <f aca="false">IF( T919&lt;&gt;"",VLOOKUP(T919,Selects!$M$4:$N$1000,2,0),"")</f>
        <v/>
      </c>
      <c r="V919" s="26"/>
      <c r="W919" s="58"/>
      <c r="X919" s="58"/>
      <c r="Y919" s="58"/>
      <c r="Z919" s="58"/>
      <c r="AA919" s="69"/>
      <c r="AB919" s="58"/>
      <c r="AC919" s="58"/>
      <c r="AD919" s="70" t="str">
        <f aca="false">IF(AC919&lt;&gt;"",VLOOKUP(AC919,Selects!$B$4:$C$100,2,0),"")</f>
        <v/>
      </c>
      <c r="AE919" s="26"/>
      <c r="AF919" s="58"/>
      <c r="AG919" s="59"/>
      <c r="AH919" s="65"/>
      <c r="AI919" s="66"/>
      <c r="AJ919" s="66"/>
      <c r="AK919" s="58"/>
      <c r="AL919" s="58"/>
      <c r="AM919" s="68" t="str">
        <f aca="false">IF(LEFT(AL919,1)="9","Celular",IF(AL919="","","Fixo"))</f>
        <v/>
      </c>
      <c r="AN919" s="58" t="str">
        <f aca="false">IF( AM919&lt;&gt;"",VLOOKUP(AM919,Selects!$M$4:$N$1000,2,0),"")</f>
        <v/>
      </c>
      <c r="AO919" s="58"/>
      <c r="AP919" s="59"/>
      <c r="AQ919" s="65"/>
      <c r="AR919" s="58"/>
      <c r="AS919" s="58"/>
      <c r="AT919" s="26"/>
      <c r="AU919" s="58"/>
      <c r="AV919" s="58"/>
      <c r="AW919" s="58"/>
      <c r="AX919" s="58"/>
      <c r="AY919" s="71"/>
      <c r="AZ919" s="58"/>
      <c r="BA919" s="58"/>
      <c r="BB919" s="72" t="str">
        <f aca="false">IF(BA919&lt;&gt;"",VLOOKUP(BA919,Selects!$B$4:$C$100,2,0),"")</f>
        <v/>
      </c>
      <c r="BC919" s="26"/>
      <c r="BD919" s="26"/>
      <c r="BE919" s="73"/>
      <c r="BF919" s="74"/>
      <c r="BG919" s="75" t="str">
        <f aca="false">IF(LEN(BF919)=11,"PF",IF(LEN(BF919)=14,"PJ",""))</f>
        <v/>
      </c>
      <c r="BH919" s="66"/>
      <c r="BI919" s="58" t="str">
        <f aca="false">IF(BH919&lt;&gt;"",VLOOKUP(BH919,Selects!$G:$H,2,0),"")</f>
        <v/>
      </c>
      <c r="BJ919" s="58"/>
      <c r="BK919" s="58"/>
      <c r="BL919" s="59"/>
      <c r="BM919" s="58"/>
      <c r="BN919" s="58"/>
      <c r="BO919" s="58" t="str">
        <f aca="false">IF(BN919&lt;&gt;"",VLOOKUP(BN919,Selects!$J$4:$K$1000,2,0),"")</f>
        <v/>
      </c>
      <c r="BP919" s="76"/>
      <c r="BQ919" s="59"/>
      <c r="BR919" s="77"/>
      <c r="BS919" s="59"/>
      <c r="BT919" s="77"/>
      <c r="BU919" s="58"/>
      <c r="BV919" s="58"/>
      <c r="BW919" s="58"/>
      <c r="BX919" s="58"/>
      <c r="BY919" s="58"/>
      <c r="BZ919" s="58"/>
      <c r="CA919" s="58"/>
      <c r="CB919" s="72" t="str">
        <f aca="false">IF(AC919&lt;&gt;"",VLOOKUP(AC919,Selects!$B:$E,4,0),"")</f>
        <v/>
      </c>
      <c r="CC919" s="58"/>
      <c r="CD919" s="58"/>
      <c r="CE919" s="58"/>
    </row>
    <row r="920" customFormat="false" ht="15.75" hidden="false" customHeight="true" outlineLevel="0" collapsed="false">
      <c r="A920" s="17"/>
      <c r="B920" s="58"/>
      <c r="C920" s="58"/>
      <c r="D920" s="59"/>
      <c r="E920" s="60" t="str">
        <f aca="false">IF(LEN(D920)=11,"PF",IF(LEN(D920)=14,"PJ",""))</f>
        <v/>
      </c>
      <c r="F920" s="59"/>
      <c r="G920" s="59"/>
      <c r="H920" s="61" t="str">
        <f aca="false">IF(G920&lt;&gt;"",VLOOKUP(G920,'Cnae  mcc  id'!$A:$M,9,0),"")</f>
        <v/>
      </c>
      <c r="I920" s="62"/>
      <c r="J920" s="63" t="str">
        <f aca="false">IF(I920&lt;&gt;"",VLOOKUP(I920,'Legal Nature'!$E$2:$G$84,3,0),"")</f>
        <v/>
      </c>
      <c r="K920" s="64"/>
      <c r="L920" s="65"/>
      <c r="M920" s="66"/>
      <c r="N920" s="66"/>
      <c r="O920" s="79"/>
      <c r="P920" s="26"/>
      <c r="Q920" s="58"/>
      <c r="R920" s="58"/>
      <c r="S920" s="80"/>
      <c r="T920" s="68" t="str">
        <f aca="false">IF(LEFT(S920,1)="9","Celular",IF(S920="","","Fixo"))</f>
        <v/>
      </c>
      <c r="U920" s="58" t="str">
        <f aca="false">IF( T920&lt;&gt;"",VLOOKUP(T920,Selects!$M$4:$N$1000,2,0),"")</f>
        <v/>
      </c>
      <c r="V920" s="26"/>
      <c r="W920" s="58"/>
      <c r="X920" s="58"/>
      <c r="Y920" s="58"/>
      <c r="Z920" s="58"/>
      <c r="AA920" s="69"/>
      <c r="AB920" s="58"/>
      <c r="AC920" s="58"/>
      <c r="AD920" s="70" t="str">
        <f aca="false">IF(AC920&lt;&gt;"",VLOOKUP(AC920,Selects!$B$4:$C$100,2,0),"")</f>
        <v/>
      </c>
      <c r="AE920" s="26"/>
      <c r="AF920" s="58"/>
      <c r="AG920" s="59"/>
      <c r="AH920" s="65"/>
      <c r="AI920" s="66"/>
      <c r="AJ920" s="66"/>
      <c r="AK920" s="58"/>
      <c r="AL920" s="58"/>
      <c r="AM920" s="68" t="str">
        <f aca="false">IF(LEFT(AL920,1)="9","Celular",IF(AL920="","","Fixo"))</f>
        <v/>
      </c>
      <c r="AN920" s="58" t="str">
        <f aca="false">IF( AM920&lt;&gt;"",VLOOKUP(AM920,Selects!$M$4:$N$1000,2,0),"")</f>
        <v/>
      </c>
      <c r="AO920" s="58"/>
      <c r="AP920" s="59"/>
      <c r="AQ920" s="65"/>
      <c r="AR920" s="58"/>
      <c r="AS920" s="58"/>
      <c r="AT920" s="26"/>
      <c r="AU920" s="58"/>
      <c r="AV920" s="58"/>
      <c r="AW920" s="58"/>
      <c r="AX920" s="58"/>
      <c r="AY920" s="71"/>
      <c r="AZ920" s="58"/>
      <c r="BA920" s="58"/>
      <c r="BB920" s="72" t="str">
        <f aca="false">IF(BA920&lt;&gt;"",VLOOKUP(BA920,Selects!$B$4:$C$100,2,0),"")</f>
        <v/>
      </c>
      <c r="BC920" s="26"/>
      <c r="BD920" s="26"/>
      <c r="BE920" s="73"/>
      <c r="BF920" s="74"/>
      <c r="BG920" s="75" t="str">
        <f aca="false">IF(LEN(BF920)=11,"PF",IF(LEN(BF920)=14,"PJ",""))</f>
        <v/>
      </c>
      <c r="BH920" s="66"/>
      <c r="BI920" s="58" t="str">
        <f aca="false">IF(BH920&lt;&gt;"",VLOOKUP(BH920,Selects!$G:$H,2,0),"")</f>
        <v/>
      </c>
      <c r="BJ920" s="58"/>
      <c r="BK920" s="58"/>
      <c r="BL920" s="59"/>
      <c r="BM920" s="58"/>
      <c r="BN920" s="58"/>
      <c r="BO920" s="58" t="str">
        <f aca="false">IF(BN920&lt;&gt;"",VLOOKUP(BN920,Selects!$J$4:$K$1000,2,0),"")</f>
        <v/>
      </c>
      <c r="BP920" s="76"/>
      <c r="BQ920" s="59"/>
      <c r="BR920" s="77"/>
      <c r="BS920" s="59"/>
      <c r="BT920" s="77"/>
      <c r="BU920" s="58"/>
      <c r="BV920" s="58"/>
      <c r="BW920" s="58"/>
      <c r="BX920" s="58"/>
      <c r="BY920" s="58"/>
      <c r="BZ920" s="58"/>
      <c r="CA920" s="58"/>
      <c r="CB920" s="72" t="str">
        <f aca="false">IF(AC920&lt;&gt;"",VLOOKUP(AC920,Selects!$B:$E,4,0),"")</f>
        <v/>
      </c>
      <c r="CC920" s="58"/>
      <c r="CD920" s="58"/>
      <c r="CE920" s="58"/>
    </row>
    <row r="921" customFormat="false" ht="15.75" hidden="false" customHeight="true" outlineLevel="0" collapsed="false">
      <c r="A921" s="17"/>
      <c r="B921" s="58"/>
      <c r="C921" s="58"/>
      <c r="D921" s="59"/>
      <c r="E921" s="60" t="str">
        <f aca="false">IF(LEN(D921)=11,"PF",IF(LEN(D921)=14,"PJ",""))</f>
        <v/>
      </c>
      <c r="F921" s="59"/>
      <c r="G921" s="59"/>
      <c r="H921" s="61" t="str">
        <f aca="false">IF(G921&lt;&gt;"",VLOOKUP(G921,'Cnae  mcc  id'!$A:$M,9,0),"")</f>
        <v/>
      </c>
      <c r="I921" s="62"/>
      <c r="J921" s="63" t="str">
        <f aca="false">IF(I921&lt;&gt;"",VLOOKUP(I921,'Legal Nature'!$E$2:$G$84,3,0),"")</f>
        <v/>
      </c>
      <c r="K921" s="64"/>
      <c r="L921" s="65"/>
      <c r="M921" s="66"/>
      <c r="N921" s="66"/>
      <c r="O921" s="79"/>
      <c r="P921" s="26"/>
      <c r="Q921" s="58"/>
      <c r="R921" s="58"/>
      <c r="S921" s="80"/>
      <c r="T921" s="68" t="str">
        <f aca="false">IF(LEFT(S921,1)="9","Celular",IF(S921="","","Fixo"))</f>
        <v/>
      </c>
      <c r="U921" s="58" t="str">
        <f aca="false">IF( T921&lt;&gt;"",VLOOKUP(T921,Selects!$M$4:$N$1000,2,0),"")</f>
        <v/>
      </c>
      <c r="V921" s="26"/>
      <c r="W921" s="58"/>
      <c r="X921" s="58"/>
      <c r="Y921" s="58"/>
      <c r="Z921" s="58"/>
      <c r="AA921" s="69"/>
      <c r="AB921" s="58"/>
      <c r="AC921" s="58"/>
      <c r="AD921" s="70" t="str">
        <f aca="false">IF(AC921&lt;&gt;"",VLOOKUP(AC921,Selects!$B$4:$C$100,2,0),"")</f>
        <v/>
      </c>
      <c r="AE921" s="26"/>
      <c r="AF921" s="58"/>
      <c r="AG921" s="59"/>
      <c r="AH921" s="65"/>
      <c r="AI921" s="66"/>
      <c r="AJ921" s="66"/>
      <c r="AK921" s="58"/>
      <c r="AL921" s="58"/>
      <c r="AM921" s="68" t="str">
        <f aca="false">IF(LEFT(AL921,1)="9","Celular",IF(AL921="","","Fixo"))</f>
        <v/>
      </c>
      <c r="AN921" s="58" t="str">
        <f aca="false">IF( AM921&lt;&gt;"",VLOOKUP(AM921,Selects!$M$4:$N$1000,2,0),"")</f>
        <v/>
      </c>
      <c r="AO921" s="58"/>
      <c r="AP921" s="59"/>
      <c r="AQ921" s="65"/>
      <c r="AR921" s="58"/>
      <c r="AS921" s="58"/>
      <c r="AT921" s="26"/>
      <c r="AU921" s="58"/>
      <c r="AV921" s="58"/>
      <c r="AW921" s="58"/>
      <c r="AX921" s="58"/>
      <c r="AY921" s="71"/>
      <c r="AZ921" s="58"/>
      <c r="BA921" s="58"/>
      <c r="BB921" s="72" t="str">
        <f aca="false">IF(BA921&lt;&gt;"",VLOOKUP(BA921,Selects!$B$4:$C$100,2,0),"")</f>
        <v/>
      </c>
      <c r="BC921" s="26"/>
      <c r="BD921" s="26"/>
      <c r="BE921" s="73"/>
      <c r="BF921" s="74"/>
      <c r="BG921" s="75" t="str">
        <f aca="false">IF(LEN(BF921)=11,"PF",IF(LEN(BF921)=14,"PJ",""))</f>
        <v/>
      </c>
      <c r="BH921" s="66"/>
      <c r="BI921" s="58" t="str">
        <f aca="false">IF(BH921&lt;&gt;"",VLOOKUP(BH921,Selects!$G:$H,2,0),"")</f>
        <v/>
      </c>
      <c r="BJ921" s="58"/>
      <c r="BK921" s="58"/>
      <c r="BL921" s="59"/>
      <c r="BM921" s="58"/>
      <c r="BN921" s="58"/>
      <c r="BO921" s="58" t="str">
        <f aca="false">IF(BN921&lt;&gt;"",VLOOKUP(BN921,Selects!$J$4:$K$1000,2,0),"")</f>
        <v/>
      </c>
      <c r="BP921" s="76"/>
      <c r="BQ921" s="59"/>
      <c r="BR921" s="77"/>
      <c r="BS921" s="59"/>
      <c r="BT921" s="77"/>
      <c r="BU921" s="58"/>
      <c r="BV921" s="58"/>
      <c r="BW921" s="58"/>
      <c r="BX921" s="58"/>
      <c r="BY921" s="58"/>
      <c r="BZ921" s="58"/>
      <c r="CA921" s="58"/>
      <c r="CB921" s="72" t="str">
        <f aca="false">IF(AC921&lt;&gt;"",VLOOKUP(AC921,Selects!$B:$E,4,0),"")</f>
        <v/>
      </c>
      <c r="CC921" s="58"/>
      <c r="CD921" s="58"/>
      <c r="CE921" s="58"/>
    </row>
    <row r="922" customFormat="false" ht="15.75" hidden="false" customHeight="true" outlineLevel="0" collapsed="false">
      <c r="A922" s="17"/>
      <c r="B922" s="58"/>
      <c r="C922" s="58"/>
      <c r="D922" s="59"/>
      <c r="E922" s="60" t="str">
        <f aca="false">IF(LEN(D922)=11,"PF",IF(LEN(D922)=14,"PJ",""))</f>
        <v/>
      </c>
      <c r="F922" s="59"/>
      <c r="G922" s="59"/>
      <c r="H922" s="61" t="str">
        <f aca="false">IF(G922&lt;&gt;"",VLOOKUP(G922,'Cnae  mcc  id'!$A:$M,9,0),"")</f>
        <v/>
      </c>
      <c r="I922" s="62"/>
      <c r="J922" s="63" t="str">
        <f aca="false">IF(I922&lt;&gt;"",VLOOKUP(I922,'Legal Nature'!$E$2:$G$84,3,0),"")</f>
        <v/>
      </c>
      <c r="K922" s="64"/>
      <c r="L922" s="65"/>
      <c r="M922" s="66"/>
      <c r="N922" s="66"/>
      <c r="O922" s="79"/>
      <c r="P922" s="26"/>
      <c r="Q922" s="58"/>
      <c r="R922" s="58"/>
      <c r="S922" s="80"/>
      <c r="T922" s="68" t="str">
        <f aca="false">IF(LEFT(S922,1)="9","Celular",IF(S922="","","Fixo"))</f>
        <v/>
      </c>
      <c r="U922" s="58" t="str">
        <f aca="false">IF( T922&lt;&gt;"",VLOOKUP(T922,Selects!$M$4:$N$1000,2,0),"")</f>
        <v/>
      </c>
      <c r="V922" s="26"/>
      <c r="W922" s="58"/>
      <c r="X922" s="58"/>
      <c r="Y922" s="58"/>
      <c r="Z922" s="58"/>
      <c r="AA922" s="69"/>
      <c r="AB922" s="58"/>
      <c r="AC922" s="58"/>
      <c r="AD922" s="70" t="str">
        <f aca="false">IF(AC922&lt;&gt;"",VLOOKUP(AC922,Selects!$B$4:$C$100,2,0),"")</f>
        <v/>
      </c>
      <c r="AE922" s="26"/>
      <c r="AF922" s="58"/>
      <c r="AG922" s="59"/>
      <c r="AH922" s="65"/>
      <c r="AI922" s="66"/>
      <c r="AJ922" s="66"/>
      <c r="AK922" s="58"/>
      <c r="AL922" s="58"/>
      <c r="AM922" s="68" t="str">
        <f aca="false">IF(LEFT(AL922,1)="9","Celular",IF(AL922="","","Fixo"))</f>
        <v/>
      </c>
      <c r="AN922" s="58" t="str">
        <f aca="false">IF( AM922&lt;&gt;"",VLOOKUP(AM922,Selects!$M$4:$N$1000,2,0),"")</f>
        <v/>
      </c>
      <c r="AO922" s="58"/>
      <c r="AP922" s="59"/>
      <c r="AQ922" s="65"/>
      <c r="AR922" s="58"/>
      <c r="AS922" s="58"/>
      <c r="AT922" s="26"/>
      <c r="AU922" s="58"/>
      <c r="AV922" s="58"/>
      <c r="AW922" s="58"/>
      <c r="AX922" s="58"/>
      <c r="AY922" s="71"/>
      <c r="AZ922" s="58"/>
      <c r="BA922" s="58"/>
      <c r="BB922" s="72" t="str">
        <f aca="false">IF(BA922&lt;&gt;"",VLOOKUP(BA922,Selects!$B$4:$C$100,2,0),"")</f>
        <v/>
      </c>
      <c r="BC922" s="26"/>
      <c r="BD922" s="26"/>
      <c r="BE922" s="73"/>
      <c r="BF922" s="74"/>
      <c r="BG922" s="75" t="str">
        <f aca="false">IF(LEN(BF922)=11,"PF",IF(LEN(BF922)=14,"PJ",""))</f>
        <v/>
      </c>
      <c r="BH922" s="66"/>
      <c r="BI922" s="58" t="str">
        <f aca="false">IF(BH922&lt;&gt;"",VLOOKUP(BH922,Selects!$G:$H,2,0),"")</f>
        <v/>
      </c>
      <c r="BJ922" s="58"/>
      <c r="BK922" s="58"/>
      <c r="BL922" s="59"/>
      <c r="BM922" s="58"/>
      <c r="BN922" s="58"/>
      <c r="BO922" s="58" t="str">
        <f aca="false">IF(BN922&lt;&gt;"",VLOOKUP(BN922,Selects!$J$4:$K$1000,2,0),"")</f>
        <v/>
      </c>
      <c r="BP922" s="76"/>
      <c r="BQ922" s="59"/>
      <c r="BR922" s="77"/>
      <c r="BS922" s="59"/>
      <c r="BT922" s="77"/>
      <c r="BU922" s="58"/>
      <c r="BV922" s="58"/>
      <c r="BW922" s="58"/>
      <c r="BX922" s="58"/>
      <c r="BY922" s="58"/>
      <c r="BZ922" s="58"/>
      <c r="CA922" s="58"/>
      <c r="CB922" s="72" t="str">
        <f aca="false">IF(AC922&lt;&gt;"",VLOOKUP(AC922,Selects!$B:$E,4,0),"")</f>
        <v/>
      </c>
      <c r="CC922" s="58"/>
      <c r="CD922" s="58"/>
      <c r="CE922" s="58"/>
    </row>
    <row r="923" customFormat="false" ht="15.75" hidden="false" customHeight="true" outlineLevel="0" collapsed="false">
      <c r="A923" s="17"/>
      <c r="B923" s="58"/>
      <c r="C923" s="58"/>
      <c r="D923" s="59"/>
      <c r="E923" s="60" t="str">
        <f aca="false">IF(LEN(D923)=11,"PF",IF(LEN(D923)=14,"PJ",""))</f>
        <v/>
      </c>
      <c r="F923" s="59"/>
      <c r="G923" s="59"/>
      <c r="H923" s="61" t="str">
        <f aca="false">IF(G923&lt;&gt;"",VLOOKUP(G923,'Cnae  mcc  id'!$A:$M,9,0),"")</f>
        <v/>
      </c>
      <c r="I923" s="62"/>
      <c r="J923" s="63" t="str">
        <f aca="false">IF(I923&lt;&gt;"",VLOOKUP(I923,'Legal Nature'!$E$2:$G$84,3,0),"")</f>
        <v/>
      </c>
      <c r="K923" s="64"/>
      <c r="L923" s="65"/>
      <c r="M923" s="66"/>
      <c r="N923" s="66"/>
      <c r="O923" s="79"/>
      <c r="P923" s="26"/>
      <c r="Q923" s="58"/>
      <c r="R923" s="58"/>
      <c r="S923" s="80"/>
      <c r="T923" s="68" t="str">
        <f aca="false">IF(LEFT(S923,1)="9","Celular",IF(S923="","","Fixo"))</f>
        <v/>
      </c>
      <c r="U923" s="58" t="str">
        <f aca="false">IF( T923&lt;&gt;"",VLOOKUP(T923,Selects!$M$4:$N$1000,2,0),"")</f>
        <v/>
      </c>
      <c r="V923" s="26"/>
      <c r="W923" s="58"/>
      <c r="X923" s="58"/>
      <c r="Y923" s="58"/>
      <c r="Z923" s="58"/>
      <c r="AA923" s="69"/>
      <c r="AB923" s="58"/>
      <c r="AC923" s="58"/>
      <c r="AD923" s="70" t="str">
        <f aca="false">IF(AC923&lt;&gt;"",VLOOKUP(AC923,Selects!$B$4:$C$100,2,0),"")</f>
        <v/>
      </c>
      <c r="AE923" s="26"/>
      <c r="AF923" s="58"/>
      <c r="AG923" s="59"/>
      <c r="AH923" s="65"/>
      <c r="AI923" s="66"/>
      <c r="AJ923" s="66"/>
      <c r="AK923" s="58"/>
      <c r="AL923" s="58"/>
      <c r="AM923" s="68" t="str">
        <f aca="false">IF(LEFT(AL923,1)="9","Celular",IF(AL923="","","Fixo"))</f>
        <v/>
      </c>
      <c r="AN923" s="58" t="str">
        <f aca="false">IF( AM923&lt;&gt;"",VLOOKUP(AM923,Selects!$M$4:$N$1000,2,0),"")</f>
        <v/>
      </c>
      <c r="AO923" s="58"/>
      <c r="AP923" s="59"/>
      <c r="AQ923" s="65"/>
      <c r="AR923" s="58"/>
      <c r="AS923" s="58"/>
      <c r="AT923" s="26"/>
      <c r="AU923" s="58"/>
      <c r="AV923" s="58"/>
      <c r="AW923" s="58"/>
      <c r="AX923" s="58"/>
      <c r="AY923" s="71"/>
      <c r="AZ923" s="58"/>
      <c r="BA923" s="58"/>
      <c r="BB923" s="72" t="str">
        <f aca="false">IF(BA923&lt;&gt;"",VLOOKUP(BA923,Selects!$B$4:$C$100,2,0),"")</f>
        <v/>
      </c>
      <c r="BC923" s="26"/>
      <c r="BD923" s="26"/>
      <c r="BE923" s="73"/>
      <c r="BF923" s="74"/>
      <c r="BG923" s="75" t="str">
        <f aca="false">IF(LEN(BF923)=11,"PF",IF(LEN(BF923)=14,"PJ",""))</f>
        <v/>
      </c>
      <c r="BH923" s="66"/>
      <c r="BI923" s="58" t="str">
        <f aca="false">IF(BH923&lt;&gt;"",VLOOKUP(BH923,Selects!$G:$H,2,0),"")</f>
        <v/>
      </c>
      <c r="BJ923" s="58"/>
      <c r="BK923" s="58"/>
      <c r="BL923" s="59"/>
      <c r="BM923" s="58"/>
      <c r="BN923" s="58"/>
      <c r="BO923" s="58" t="str">
        <f aca="false">IF(BN923&lt;&gt;"",VLOOKUP(BN923,Selects!$J$4:$K$1000,2,0),"")</f>
        <v/>
      </c>
      <c r="BP923" s="76"/>
      <c r="BQ923" s="59"/>
      <c r="BR923" s="77"/>
      <c r="BS923" s="59"/>
      <c r="BT923" s="77"/>
      <c r="BU923" s="58"/>
      <c r="BV923" s="58"/>
      <c r="BW923" s="58"/>
      <c r="BX923" s="58"/>
      <c r="BY923" s="58"/>
      <c r="BZ923" s="58"/>
      <c r="CA923" s="58"/>
      <c r="CB923" s="72" t="str">
        <f aca="false">IF(AC923&lt;&gt;"",VLOOKUP(AC923,Selects!$B:$E,4,0),"")</f>
        <v/>
      </c>
      <c r="CC923" s="58"/>
      <c r="CD923" s="58"/>
      <c r="CE923" s="58"/>
    </row>
    <row r="924" customFormat="false" ht="15.75" hidden="false" customHeight="true" outlineLevel="0" collapsed="false">
      <c r="A924" s="17"/>
      <c r="B924" s="58"/>
      <c r="C924" s="58"/>
      <c r="D924" s="59"/>
      <c r="E924" s="60" t="str">
        <f aca="false">IF(LEN(D924)=11,"PF",IF(LEN(D924)=14,"PJ",""))</f>
        <v/>
      </c>
      <c r="F924" s="59"/>
      <c r="G924" s="59"/>
      <c r="H924" s="61" t="str">
        <f aca="false">IF(G924&lt;&gt;"",VLOOKUP(G924,'Cnae  mcc  id'!$A:$M,9,0),"")</f>
        <v/>
      </c>
      <c r="I924" s="62"/>
      <c r="J924" s="63" t="str">
        <f aca="false">IF(I924&lt;&gt;"",VLOOKUP(I924,'Legal Nature'!$E$2:$G$84,3,0),"")</f>
        <v/>
      </c>
      <c r="K924" s="64"/>
      <c r="L924" s="65"/>
      <c r="M924" s="66"/>
      <c r="N924" s="66"/>
      <c r="O924" s="79"/>
      <c r="P924" s="26"/>
      <c r="Q924" s="58"/>
      <c r="R924" s="58"/>
      <c r="S924" s="80"/>
      <c r="T924" s="68" t="str">
        <f aca="false">IF(LEFT(S924,1)="9","Celular",IF(S924="","","Fixo"))</f>
        <v/>
      </c>
      <c r="U924" s="58" t="str">
        <f aca="false">IF( T924&lt;&gt;"",VLOOKUP(T924,Selects!$M$4:$N$1000,2,0),"")</f>
        <v/>
      </c>
      <c r="V924" s="26"/>
      <c r="W924" s="58"/>
      <c r="X924" s="58"/>
      <c r="Y924" s="58"/>
      <c r="Z924" s="58"/>
      <c r="AA924" s="69"/>
      <c r="AB924" s="58"/>
      <c r="AC924" s="58"/>
      <c r="AD924" s="70" t="str">
        <f aca="false">IF(AC924&lt;&gt;"",VLOOKUP(AC924,Selects!$B$4:$C$100,2,0),"")</f>
        <v/>
      </c>
      <c r="AE924" s="26"/>
      <c r="AF924" s="58"/>
      <c r="AG924" s="59"/>
      <c r="AH924" s="65"/>
      <c r="AI924" s="66"/>
      <c r="AJ924" s="66"/>
      <c r="AK924" s="58"/>
      <c r="AL924" s="58"/>
      <c r="AM924" s="68" t="str">
        <f aca="false">IF(LEFT(AL924,1)="9","Celular",IF(AL924="","","Fixo"))</f>
        <v/>
      </c>
      <c r="AN924" s="58" t="str">
        <f aca="false">IF( AM924&lt;&gt;"",VLOOKUP(AM924,Selects!$M$4:$N$1000,2,0),"")</f>
        <v/>
      </c>
      <c r="AO924" s="58"/>
      <c r="AP924" s="59"/>
      <c r="AQ924" s="65"/>
      <c r="AR924" s="58"/>
      <c r="AS924" s="58"/>
      <c r="AT924" s="26"/>
      <c r="AU924" s="58"/>
      <c r="AV924" s="58"/>
      <c r="AW924" s="58"/>
      <c r="AX924" s="58"/>
      <c r="AY924" s="71"/>
      <c r="AZ924" s="58"/>
      <c r="BA924" s="58"/>
      <c r="BB924" s="72" t="str">
        <f aca="false">IF(BA924&lt;&gt;"",VLOOKUP(BA924,Selects!$B$4:$C$100,2,0),"")</f>
        <v/>
      </c>
      <c r="BC924" s="26"/>
      <c r="BD924" s="26"/>
      <c r="BE924" s="73"/>
      <c r="BF924" s="74"/>
      <c r="BG924" s="75" t="str">
        <f aca="false">IF(LEN(BF924)=11,"PF",IF(LEN(BF924)=14,"PJ",""))</f>
        <v/>
      </c>
      <c r="BH924" s="66"/>
      <c r="BI924" s="58" t="str">
        <f aca="false">IF(BH924&lt;&gt;"",VLOOKUP(BH924,Selects!$G:$H,2,0),"")</f>
        <v/>
      </c>
      <c r="BJ924" s="58"/>
      <c r="BK924" s="58"/>
      <c r="BL924" s="59"/>
      <c r="BM924" s="58"/>
      <c r="BN924" s="58"/>
      <c r="BO924" s="58" t="str">
        <f aca="false">IF(BN924&lt;&gt;"",VLOOKUP(BN924,Selects!$J$4:$K$1000,2,0),"")</f>
        <v/>
      </c>
      <c r="BP924" s="76"/>
      <c r="BQ924" s="59"/>
      <c r="BR924" s="77"/>
      <c r="BS924" s="59"/>
      <c r="BT924" s="77"/>
      <c r="BU924" s="58"/>
      <c r="BV924" s="58"/>
      <c r="BW924" s="58"/>
      <c r="BX924" s="58"/>
      <c r="BY924" s="58"/>
      <c r="BZ924" s="58"/>
      <c r="CA924" s="58"/>
      <c r="CB924" s="72" t="str">
        <f aca="false">IF(AC924&lt;&gt;"",VLOOKUP(AC924,Selects!$B:$E,4,0),"")</f>
        <v/>
      </c>
      <c r="CC924" s="58"/>
      <c r="CD924" s="58"/>
      <c r="CE924" s="58"/>
    </row>
    <row r="925" customFormat="false" ht="15.75" hidden="false" customHeight="true" outlineLevel="0" collapsed="false">
      <c r="A925" s="17"/>
      <c r="B925" s="58"/>
      <c r="C925" s="58"/>
      <c r="D925" s="59"/>
      <c r="E925" s="60" t="str">
        <f aca="false">IF(LEN(D925)=11,"PF",IF(LEN(D925)=14,"PJ",""))</f>
        <v/>
      </c>
      <c r="F925" s="59"/>
      <c r="G925" s="59"/>
      <c r="H925" s="61" t="str">
        <f aca="false">IF(G925&lt;&gt;"",VLOOKUP(G925,'Cnae  mcc  id'!$A:$M,9,0),"")</f>
        <v/>
      </c>
      <c r="I925" s="62"/>
      <c r="J925" s="63" t="str">
        <f aca="false">IF(I925&lt;&gt;"",VLOOKUP(I925,'Legal Nature'!$E$2:$G$84,3,0),"")</f>
        <v/>
      </c>
      <c r="K925" s="64"/>
      <c r="L925" s="65"/>
      <c r="M925" s="66"/>
      <c r="N925" s="66"/>
      <c r="O925" s="79"/>
      <c r="P925" s="26"/>
      <c r="Q925" s="58"/>
      <c r="R925" s="58"/>
      <c r="S925" s="80"/>
      <c r="T925" s="68" t="str">
        <f aca="false">IF(LEFT(S925,1)="9","Celular",IF(S925="","","Fixo"))</f>
        <v/>
      </c>
      <c r="U925" s="58" t="str">
        <f aca="false">IF( T925&lt;&gt;"",VLOOKUP(T925,Selects!$M$4:$N$1000,2,0),"")</f>
        <v/>
      </c>
      <c r="V925" s="26"/>
      <c r="W925" s="58"/>
      <c r="X925" s="58"/>
      <c r="Y925" s="58"/>
      <c r="Z925" s="58"/>
      <c r="AA925" s="69"/>
      <c r="AB925" s="58"/>
      <c r="AC925" s="58"/>
      <c r="AD925" s="70" t="str">
        <f aca="false">IF(AC925&lt;&gt;"",VLOOKUP(AC925,Selects!$B$4:$C$100,2,0),"")</f>
        <v/>
      </c>
      <c r="AE925" s="26"/>
      <c r="AF925" s="58"/>
      <c r="AG925" s="59"/>
      <c r="AH925" s="65"/>
      <c r="AI925" s="66"/>
      <c r="AJ925" s="66"/>
      <c r="AK925" s="58"/>
      <c r="AL925" s="58"/>
      <c r="AM925" s="68" t="str">
        <f aca="false">IF(LEFT(AL925,1)="9","Celular",IF(AL925="","","Fixo"))</f>
        <v/>
      </c>
      <c r="AN925" s="58" t="str">
        <f aca="false">IF( AM925&lt;&gt;"",VLOOKUP(AM925,Selects!$M$4:$N$1000,2,0),"")</f>
        <v/>
      </c>
      <c r="AO925" s="58"/>
      <c r="AP925" s="59"/>
      <c r="AQ925" s="65"/>
      <c r="AR925" s="58"/>
      <c r="AS925" s="58"/>
      <c r="AT925" s="26"/>
      <c r="AU925" s="58"/>
      <c r="AV925" s="58"/>
      <c r="AW925" s="58"/>
      <c r="AX925" s="58"/>
      <c r="AY925" s="71"/>
      <c r="AZ925" s="58"/>
      <c r="BA925" s="58"/>
      <c r="BB925" s="72" t="str">
        <f aca="false">IF(BA925&lt;&gt;"",VLOOKUP(BA925,Selects!$B$4:$C$100,2,0),"")</f>
        <v/>
      </c>
      <c r="BC925" s="26"/>
      <c r="BD925" s="26"/>
      <c r="BE925" s="73"/>
      <c r="BF925" s="74"/>
      <c r="BG925" s="75" t="str">
        <f aca="false">IF(LEN(BF925)=11,"PF",IF(LEN(BF925)=14,"PJ",""))</f>
        <v/>
      </c>
      <c r="BH925" s="66"/>
      <c r="BI925" s="58" t="str">
        <f aca="false">IF(BH925&lt;&gt;"",VLOOKUP(BH925,Selects!$G:$H,2,0),"")</f>
        <v/>
      </c>
      <c r="BJ925" s="58"/>
      <c r="BK925" s="58"/>
      <c r="BL925" s="59"/>
      <c r="BM925" s="58"/>
      <c r="BN925" s="58"/>
      <c r="BO925" s="58" t="str">
        <f aca="false">IF(BN925&lt;&gt;"",VLOOKUP(BN925,Selects!$J$4:$K$1000,2,0),"")</f>
        <v/>
      </c>
      <c r="BP925" s="76"/>
      <c r="BQ925" s="59"/>
      <c r="BR925" s="77"/>
      <c r="BS925" s="59"/>
      <c r="BT925" s="77"/>
      <c r="BU925" s="58"/>
      <c r="BV925" s="58"/>
      <c r="BW925" s="58"/>
      <c r="BX925" s="58"/>
      <c r="BY925" s="58"/>
      <c r="BZ925" s="58"/>
      <c r="CA925" s="58"/>
      <c r="CB925" s="72" t="str">
        <f aca="false">IF(AC925&lt;&gt;"",VLOOKUP(AC925,Selects!$B:$E,4,0),"")</f>
        <v/>
      </c>
      <c r="CC925" s="58"/>
      <c r="CD925" s="58"/>
      <c r="CE925" s="58"/>
    </row>
    <row r="926" customFormat="false" ht="15.75" hidden="false" customHeight="true" outlineLevel="0" collapsed="false">
      <c r="A926" s="17"/>
      <c r="B926" s="58"/>
      <c r="C926" s="58"/>
      <c r="D926" s="59"/>
      <c r="E926" s="60" t="str">
        <f aca="false">IF(LEN(D926)=11,"PF",IF(LEN(D926)=14,"PJ",""))</f>
        <v/>
      </c>
      <c r="F926" s="59"/>
      <c r="G926" s="59"/>
      <c r="H926" s="61" t="str">
        <f aca="false">IF(G926&lt;&gt;"",VLOOKUP(G926,'Cnae  mcc  id'!$A:$M,9,0),"")</f>
        <v/>
      </c>
      <c r="I926" s="62"/>
      <c r="J926" s="63" t="str">
        <f aca="false">IF(I926&lt;&gt;"",VLOOKUP(I926,'Legal Nature'!$E$2:$G$84,3,0),"")</f>
        <v/>
      </c>
      <c r="K926" s="64"/>
      <c r="L926" s="65"/>
      <c r="M926" s="66"/>
      <c r="N926" s="66"/>
      <c r="O926" s="79"/>
      <c r="P926" s="26"/>
      <c r="Q926" s="58"/>
      <c r="R926" s="58"/>
      <c r="S926" s="80"/>
      <c r="T926" s="68" t="str">
        <f aca="false">IF(LEFT(S926,1)="9","Celular",IF(S926="","","Fixo"))</f>
        <v/>
      </c>
      <c r="U926" s="58" t="str">
        <f aca="false">IF( T926&lt;&gt;"",VLOOKUP(T926,Selects!$M$4:$N$1000,2,0),"")</f>
        <v/>
      </c>
      <c r="V926" s="26"/>
      <c r="W926" s="58"/>
      <c r="X926" s="58"/>
      <c r="Y926" s="58"/>
      <c r="Z926" s="58"/>
      <c r="AA926" s="69"/>
      <c r="AB926" s="58"/>
      <c r="AC926" s="58"/>
      <c r="AD926" s="70" t="str">
        <f aca="false">IF(AC926&lt;&gt;"",VLOOKUP(AC926,Selects!$B$4:$C$100,2,0),"")</f>
        <v/>
      </c>
      <c r="AE926" s="26"/>
      <c r="AF926" s="58"/>
      <c r="AG926" s="59"/>
      <c r="AH926" s="65"/>
      <c r="AI926" s="66"/>
      <c r="AJ926" s="66"/>
      <c r="AK926" s="58"/>
      <c r="AL926" s="58"/>
      <c r="AM926" s="68" t="str">
        <f aca="false">IF(LEFT(AL926,1)="9","Celular",IF(AL926="","","Fixo"))</f>
        <v/>
      </c>
      <c r="AN926" s="58" t="str">
        <f aca="false">IF( AM926&lt;&gt;"",VLOOKUP(AM926,Selects!$M$4:$N$1000,2,0),"")</f>
        <v/>
      </c>
      <c r="AO926" s="58"/>
      <c r="AP926" s="59"/>
      <c r="AQ926" s="65"/>
      <c r="AR926" s="58"/>
      <c r="AS926" s="58"/>
      <c r="AT926" s="26"/>
      <c r="AU926" s="58"/>
      <c r="AV926" s="58"/>
      <c r="AW926" s="58"/>
      <c r="AX926" s="58"/>
      <c r="AY926" s="71"/>
      <c r="AZ926" s="58"/>
      <c r="BA926" s="58"/>
      <c r="BB926" s="72" t="str">
        <f aca="false">IF(BA926&lt;&gt;"",VLOOKUP(BA926,Selects!$B$4:$C$100,2,0),"")</f>
        <v/>
      </c>
      <c r="BC926" s="26"/>
      <c r="BD926" s="26"/>
      <c r="BE926" s="73"/>
      <c r="BF926" s="74"/>
      <c r="BG926" s="75" t="str">
        <f aca="false">IF(LEN(BF926)=11,"PF",IF(LEN(BF926)=14,"PJ",""))</f>
        <v/>
      </c>
      <c r="BH926" s="66"/>
      <c r="BI926" s="58" t="str">
        <f aca="false">IF(BH926&lt;&gt;"",VLOOKUP(BH926,Selects!$G:$H,2,0),"")</f>
        <v/>
      </c>
      <c r="BJ926" s="58"/>
      <c r="BK926" s="58"/>
      <c r="BL926" s="59"/>
      <c r="BM926" s="58"/>
      <c r="BN926" s="58"/>
      <c r="BO926" s="58" t="str">
        <f aca="false">IF(BN926&lt;&gt;"",VLOOKUP(BN926,Selects!$J$4:$K$1000,2,0),"")</f>
        <v/>
      </c>
      <c r="BP926" s="76"/>
      <c r="BQ926" s="59"/>
      <c r="BR926" s="77"/>
      <c r="BS926" s="59"/>
      <c r="BT926" s="77"/>
      <c r="BU926" s="58"/>
      <c r="BV926" s="58"/>
      <c r="BW926" s="58"/>
      <c r="BX926" s="58"/>
      <c r="BY926" s="58"/>
      <c r="BZ926" s="58"/>
      <c r="CA926" s="58"/>
      <c r="CB926" s="72" t="str">
        <f aca="false">IF(AC926&lt;&gt;"",VLOOKUP(AC926,Selects!$B:$E,4,0),"")</f>
        <v/>
      </c>
      <c r="CC926" s="58"/>
      <c r="CD926" s="58"/>
      <c r="CE926" s="58"/>
    </row>
    <row r="927" customFormat="false" ht="15.75" hidden="false" customHeight="true" outlineLevel="0" collapsed="false">
      <c r="A927" s="17"/>
      <c r="B927" s="58"/>
      <c r="C927" s="58"/>
      <c r="D927" s="59"/>
      <c r="E927" s="60" t="str">
        <f aca="false">IF(LEN(D927)=11,"PF",IF(LEN(D927)=14,"PJ",""))</f>
        <v/>
      </c>
      <c r="F927" s="59"/>
      <c r="G927" s="59"/>
      <c r="H927" s="61" t="str">
        <f aca="false">IF(G927&lt;&gt;"",VLOOKUP(G927,'Cnae  mcc  id'!$A:$M,9,0),"")</f>
        <v/>
      </c>
      <c r="I927" s="62"/>
      <c r="J927" s="63" t="str">
        <f aca="false">IF(I927&lt;&gt;"",VLOOKUP(I927,'Legal Nature'!$E$2:$G$84,3,0),"")</f>
        <v/>
      </c>
      <c r="K927" s="64"/>
      <c r="L927" s="65"/>
      <c r="M927" s="66"/>
      <c r="N927" s="66"/>
      <c r="O927" s="79"/>
      <c r="P927" s="26"/>
      <c r="Q927" s="58"/>
      <c r="R927" s="58"/>
      <c r="S927" s="80"/>
      <c r="T927" s="68" t="str">
        <f aca="false">IF(LEFT(S927,1)="9","Celular",IF(S927="","","Fixo"))</f>
        <v/>
      </c>
      <c r="U927" s="58" t="str">
        <f aca="false">IF( T927&lt;&gt;"",VLOOKUP(T927,Selects!$M$4:$N$1000,2,0),"")</f>
        <v/>
      </c>
      <c r="V927" s="26"/>
      <c r="W927" s="58"/>
      <c r="X927" s="58"/>
      <c r="Y927" s="58"/>
      <c r="Z927" s="58"/>
      <c r="AA927" s="69"/>
      <c r="AB927" s="58"/>
      <c r="AC927" s="58"/>
      <c r="AD927" s="70" t="str">
        <f aca="false">IF(AC927&lt;&gt;"",VLOOKUP(AC927,Selects!$B$4:$C$100,2,0),"")</f>
        <v/>
      </c>
      <c r="AE927" s="26"/>
      <c r="AF927" s="58"/>
      <c r="AG927" s="59"/>
      <c r="AH927" s="65"/>
      <c r="AI927" s="66"/>
      <c r="AJ927" s="66"/>
      <c r="AK927" s="58"/>
      <c r="AL927" s="58"/>
      <c r="AM927" s="68" t="str">
        <f aca="false">IF(LEFT(AL927,1)="9","Celular",IF(AL927="","","Fixo"))</f>
        <v/>
      </c>
      <c r="AN927" s="58" t="str">
        <f aca="false">IF( AM927&lt;&gt;"",VLOOKUP(AM927,Selects!$M$4:$N$1000,2,0),"")</f>
        <v/>
      </c>
      <c r="AO927" s="58"/>
      <c r="AP927" s="59"/>
      <c r="AQ927" s="65"/>
      <c r="AR927" s="58"/>
      <c r="AS927" s="58"/>
      <c r="AT927" s="26"/>
      <c r="AU927" s="58"/>
      <c r="AV927" s="58"/>
      <c r="AW927" s="58"/>
      <c r="AX927" s="58"/>
      <c r="AY927" s="71"/>
      <c r="AZ927" s="58"/>
      <c r="BA927" s="58"/>
      <c r="BB927" s="72" t="str">
        <f aca="false">IF(BA927&lt;&gt;"",VLOOKUP(BA927,Selects!$B$4:$C$100,2,0),"")</f>
        <v/>
      </c>
      <c r="BC927" s="26"/>
      <c r="BD927" s="26"/>
      <c r="BE927" s="73"/>
      <c r="BF927" s="74"/>
      <c r="BG927" s="75" t="str">
        <f aca="false">IF(LEN(BF927)=11,"PF",IF(LEN(BF927)=14,"PJ",""))</f>
        <v/>
      </c>
      <c r="BH927" s="66"/>
      <c r="BI927" s="58" t="str">
        <f aca="false">IF(BH927&lt;&gt;"",VLOOKUP(BH927,Selects!$G:$H,2,0),"")</f>
        <v/>
      </c>
      <c r="BJ927" s="58"/>
      <c r="BK927" s="58"/>
      <c r="BL927" s="59"/>
      <c r="BM927" s="58"/>
      <c r="BN927" s="58"/>
      <c r="BO927" s="58" t="str">
        <f aca="false">IF(BN927&lt;&gt;"",VLOOKUP(BN927,Selects!$J$4:$K$1000,2,0),"")</f>
        <v/>
      </c>
      <c r="BP927" s="76"/>
      <c r="BQ927" s="59"/>
      <c r="BR927" s="77"/>
      <c r="BS927" s="59"/>
      <c r="BT927" s="77"/>
      <c r="BU927" s="58"/>
      <c r="BV927" s="58"/>
      <c r="BW927" s="58"/>
      <c r="BX927" s="58"/>
      <c r="BY927" s="58"/>
      <c r="BZ927" s="58"/>
      <c r="CA927" s="58"/>
      <c r="CB927" s="72" t="str">
        <f aca="false">IF(AC927&lt;&gt;"",VLOOKUP(AC927,Selects!$B:$E,4,0),"")</f>
        <v/>
      </c>
      <c r="CC927" s="58"/>
      <c r="CD927" s="58"/>
      <c r="CE927" s="58"/>
    </row>
    <row r="928" customFormat="false" ht="15.75" hidden="false" customHeight="true" outlineLevel="0" collapsed="false">
      <c r="A928" s="17"/>
      <c r="B928" s="58"/>
      <c r="C928" s="58"/>
      <c r="D928" s="59"/>
      <c r="E928" s="60" t="str">
        <f aca="false">IF(LEN(D928)=11,"PF",IF(LEN(D928)=14,"PJ",""))</f>
        <v/>
      </c>
      <c r="F928" s="59"/>
      <c r="G928" s="59"/>
      <c r="H928" s="61" t="str">
        <f aca="false">IF(G928&lt;&gt;"",VLOOKUP(G928,'Cnae  mcc  id'!$A:$M,9,0),"")</f>
        <v/>
      </c>
      <c r="I928" s="62"/>
      <c r="J928" s="63" t="str">
        <f aca="false">IF(I928&lt;&gt;"",VLOOKUP(I928,'Legal Nature'!$E$2:$G$84,3,0),"")</f>
        <v/>
      </c>
      <c r="K928" s="64"/>
      <c r="L928" s="65"/>
      <c r="M928" s="66"/>
      <c r="N928" s="66"/>
      <c r="O928" s="79"/>
      <c r="P928" s="26"/>
      <c r="Q928" s="58"/>
      <c r="R928" s="58"/>
      <c r="S928" s="80"/>
      <c r="T928" s="68" t="str">
        <f aca="false">IF(LEFT(S928,1)="9","Celular",IF(S928="","","Fixo"))</f>
        <v/>
      </c>
      <c r="U928" s="58" t="str">
        <f aca="false">IF( T928&lt;&gt;"",VLOOKUP(T928,Selects!$M$4:$N$1000,2,0),"")</f>
        <v/>
      </c>
      <c r="V928" s="26"/>
      <c r="W928" s="58"/>
      <c r="X928" s="58"/>
      <c r="Y928" s="58"/>
      <c r="Z928" s="58"/>
      <c r="AA928" s="69"/>
      <c r="AB928" s="58"/>
      <c r="AC928" s="58"/>
      <c r="AD928" s="70" t="str">
        <f aca="false">IF(AC928&lt;&gt;"",VLOOKUP(AC928,Selects!$B$4:$C$100,2,0),"")</f>
        <v/>
      </c>
      <c r="AE928" s="26"/>
      <c r="AF928" s="58"/>
      <c r="AG928" s="59"/>
      <c r="AH928" s="65"/>
      <c r="AI928" s="66"/>
      <c r="AJ928" s="66"/>
      <c r="AK928" s="58"/>
      <c r="AL928" s="58"/>
      <c r="AM928" s="68" t="str">
        <f aca="false">IF(LEFT(AL928,1)="9","Celular",IF(AL928="","","Fixo"))</f>
        <v/>
      </c>
      <c r="AN928" s="58" t="str">
        <f aca="false">IF( AM928&lt;&gt;"",VLOOKUP(AM928,Selects!$M$4:$N$1000,2,0),"")</f>
        <v/>
      </c>
      <c r="AO928" s="58"/>
      <c r="AP928" s="59"/>
      <c r="AQ928" s="65"/>
      <c r="AR928" s="58"/>
      <c r="AS928" s="58"/>
      <c r="AT928" s="26"/>
      <c r="AU928" s="58"/>
      <c r="AV928" s="58"/>
      <c r="AW928" s="58"/>
      <c r="AX928" s="58"/>
      <c r="AY928" s="71"/>
      <c r="AZ928" s="58"/>
      <c r="BA928" s="58"/>
      <c r="BB928" s="72" t="str">
        <f aca="false">IF(BA928&lt;&gt;"",VLOOKUP(BA928,Selects!$B$4:$C$100,2,0),"")</f>
        <v/>
      </c>
      <c r="BC928" s="26"/>
      <c r="BD928" s="26"/>
      <c r="BE928" s="73"/>
      <c r="BF928" s="74"/>
      <c r="BG928" s="75" t="str">
        <f aca="false">IF(LEN(BF928)=11,"PF",IF(LEN(BF928)=14,"PJ",""))</f>
        <v/>
      </c>
      <c r="BH928" s="66"/>
      <c r="BI928" s="58" t="str">
        <f aca="false">IF(BH928&lt;&gt;"",VLOOKUP(BH928,Selects!$G:$H,2,0),"")</f>
        <v/>
      </c>
      <c r="BJ928" s="58"/>
      <c r="BK928" s="58"/>
      <c r="BL928" s="59"/>
      <c r="BM928" s="58"/>
      <c r="BN928" s="58"/>
      <c r="BO928" s="58" t="str">
        <f aca="false">IF(BN928&lt;&gt;"",VLOOKUP(BN928,Selects!$J$4:$K$1000,2,0),"")</f>
        <v/>
      </c>
      <c r="BP928" s="76"/>
      <c r="BQ928" s="59"/>
      <c r="BR928" s="77"/>
      <c r="BS928" s="59"/>
      <c r="BT928" s="77"/>
      <c r="BU928" s="58"/>
      <c r="BV928" s="58"/>
      <c r="BW928" s="58"/>
      <c r="BX928" s="58"/>
      <c r="BY928" s="58"/>
      <c r="BZ928" s="58"/>
      <c r="CA928" s="58"/>
      <c r="CB928" s="72" t="str">
        <f aca="false">IF(AC928&lt;&gt;"",VLOOKUP(AC928,Selects!$B:$E,4,0),"")</f>
        <v/>
      </c>
      <c r="CC928" s="58"/>
      <c r="CD928" s="58"/>
      <c r="CE928" s="58"/>
    </row>
    <row r="929" customFormat="false" ht="15.75" hidden="false" customHeight="true" outlineLevel="0" collapsed="false">
      <c r="A929" s="17"/>
      <c r="B929" s="58"/>
      <c r="C929" s="58"/>
      <c r="D929" s="59"/>
      <c r="E929" s="60" t="str">
        <f aca="false">IF(LEN(D929)=11,"PF",IF(LEN(D929)=14,"PJ",""))</f>
        <v/>
      </c>
      <c r="F929" s="59"/>
      <c r="G929" s="59"/>
      <c r="H929" s="61" t="str">
        <f aca="false">IF(G929&lt;&gt;"",VLOOKUP(G929,'Cnae  mcc  id'!$A:$M,9,0),"")</f>
        <v/>
      </c>
      <c r="I929" s="62"/>
      <c r="J929" s="63" t="str">
        <f aca="false">IF(I929&lt;&gt;"",VLOOKUP(I929,'Legal Nature'!$E$2:$G$84,3,0),"")</f>
        <v/>
      </c>
      <c r="K929" s="64"/>
      <c r="L929" s="65"/>
      <c r="M929" s="66"/>
      <c r="N929" s="66"/>
      <c r="O929" s="79"/>
      <c r="P929" s="26"/>
      <c r="Q929" s="58"/>
      <c r="R929" s="58"/>
      <c r="S929" s="80"/>
      <c r="T929" s="68" t="str">
        <f aca="false">IF(LEFT(S929,1)="9","Celular",IF(S929="","","Fixo"))</f>
        <v/>
      </c>
      <c r="U929" s="58" t="str">
        <f aca="false">IF( T929&lt;&gt;"",VLOOKUP(T929,Selects!$M$4:$N$1000,2,0),"")</f>
        <v/>
      </c>
      <c r="V929" s="26"/>
      <c r="W929" s="58"/>
      <c r="X929" s="58"/>
      <c r="Y929" s="58"/>
      <c r="Z929" s="58"/>
      <c r="AA929" s="69"/>
      <c r="AB929" s="58"/>
      <c r="AC929" s="58"/>
      <c r="AD929" s="70" t="str">
        <f aca="false">IF(AC929&lt;&gt;"",VLOOKUP(AC929,Selects!$B$4:$C$100,2,0),"")</f>
        <v/>
      </c>
      <c r="AE929" s="26"/>
      <c r="AF929" s="58"/>
      <c r="AG929" s="59"/>
      <c r="AH929" s="65"/>
      <c r="AI929" s="66"/>
      <c r="AJ929" s="66"/>
      <c r="AK929" s="58"/>
      <c r="AL929" s="58"/>
      <c r="AM929" s="68" t="str">
        <f aca="false">IF(LEFT(AL929,1)="9","Celular",IF(AL929="","","Fixo"))</f>
        <v/>
      </c>
      <c r="AN929" s="58" t="str">
        <f aca="false">IF( AM929&lt;&gt;"",VLOOKUP(AM929,Selects!$M$4:$N$1000,2,0),"")</f>
        <v/>
      </c>
      <c r="AO929" s="58"/>
      <c r="AP929" s="59"/>
      <c r="AQ929" s="65"/>
      <c r="AR929" s="58"/>
      <c r="AS929" s="58"/>
      <c r="AT929" s="26"/>
      <c r="AU929" s="58"/>
      <c r="AV929" s="58"/>
      <c r="AW929" s="58"/>
      <c r="AX929" s="58"/>
      <c r="AY929" s="71"/>
      <c r="AZ929" s="58"/>
      <c r="BA929" s="58"/>
      <c r="BB929" s="72" t="str">
        <f aca="false">IF(BA929&lt;&gt;"",VLOOKUP(BA929,Selects!$B$4:$C$100,2,0),"")</f>
        <v/>
      </c>
      <c r="BC929" s="26"/>
      <c r="BD929" s="26"/>
      <c r="BE929" s="73"/>
      <c r="BF929" s="74"/>
      <c r="BG929" s="75" t="str">
        <f aca="false">IF(LEN(BF929)=11,"PF",IF(LEN(BF929)=14,"PJ",""))</f>
        <v/>
      </c>
      <c r="BH929" s="66"/>
      <c r="BI929" s="58" t="str">
        <f aca="false">IF(BH929&lt;&gt;"",VLOOKUP(BH929,Selects!$G:$H,2,0),"")</f>
        <v/>
      </c>
      <c r="BJ929" s="58"/>
      <c r="BK929" s="58"/>
      <c r="BL929" s="59"/>
      <c r="BM929" s="58"/>
      <c r="BN929" s="58"/>
      <c r="BO929" s="58" t="str">
        <f aca="false">IF(BN929&lt;&gt;"",VLOOKUP(BN929,Selects!$J$4:$K$1000,2,0),"")</f>
        <v/>
      </c>
      <c r="BP929" s="76"/>
      <c r="BQ929" s="59"/>
      <c r="BR929" s="77"/>
      <c r="BS929" s="59"/>
      <c r="BT929" s="77"/>
      <c r="BU929" s="58"/>
      <c r="BV929" s="58"/>
      <c r="BW929" s="58"/>
      <c r="BX929" s="58"/>
      <c r="BY929" s="58"/>
      <c r="BZ929" s="58"/>
      <c r="CA929" s="58"/>
      <c r="CB929" s="72" t="str">
        <f aca="false">IF(AC929&lt;&gt;"",VLOOKUP(AC929,Selects!$B:$E,4,0),"")</f>
        <v/>
      </c>
      <c r="CC929" s="58"/>
      <c r="CD929" s="58"/>
      <c r="CE929" s="58"/>
    </row>
    <row r="930" customFormat="false" ht="15.75" hidden="false" customHeight="true" outlineLevel="0" collapsed="false">
      <c r="A930" s="17"/>
      <c r="B930" s="58"/>
      <c r="C930" s="58"/>
      <c r="D930" s="59"/>
      <c r="E930" s="60" t="str">
        <f aca="false">IF(LEN(D930)=11,"PF",IF(LEN(D930)=14,"PJ",""))</f>
        <v/>
      </c>
      <c r="F930" s="59"/>
      <c r="G930" s="59"/>
      <c r="H930" s="61" t="str">
        <f aca="false">IF(G930&lt;&gt;"",VLOOKUP(G930,'Cnae  mcc  id'!$A:$M,9,0),"")</f>
        <v/>
      </c>
      <c r="I930" s="62"/>
      <c r="J930" s="63" t="str">
        <f aca="false">IF(I930&lt;&gt;"",VLOOKUP(I930,'Legal Nature'!$E$2:$G$84,3,0),"")</f>
        <v/>
      </c>
      <c r="K930" s="64"/>
      <c r="L930" s="65"/>
      <c r="M930" s="66"/>
      <c r="N930" s="66"/>
      <c r="O930" s="79"/>
      <c r="P930" s="26"/>
      <c r="Q930" s="58"/>
      <c r="R930" s="58"/>
      <c r="S930" s="80"/>
      <c r="T930" s="68" t="str">
        <f aca="false">IF(LEFT(S930,1)="9","Celular",IF(S930="","","Fixo"))</f>
        <v/>
      </c>
      <c r="U930" s="58" t="str">
        <f aca="false">IF( T930&lt;&gt;"",VLOOKUP(T930,Selects!$M$4:$N$1000,2,0),"")</f>
        <v/>
      </c>
      <c r="V930" s="26"/>
      <c r="W930" s="58"/>
      <c r="X930" s="58"/>
      <c r="Y930" s="58"/>
      <c r="Z930" s="58"/>
      <c r="AA930" s="69"/>
      <c r="AB930" s="58"/>
      <c r="AC930" s="58"/>
      <c r="AD930" s="70" t="str">
        <f aca="false">IF(AC930&lt;&gt;"",VLOOKUP(AC930,Selects!$B$4:$C$100,2,0),"")</f>
        <v/>
      </c>
      <c r="AE930" s="26"/>
      <c r="AF930" s="58"/>
      <c r="AG930" s="59"/>
      <c r="AH930" s="65"/>
      <c r="AI930" s="66"/>
      <c r="AJ930" s="66"/>
      <c r="AK930" s="58"/>
      <c r="AL930" s="58"/>
      <c r="AM930" s="68" t="str">
        <f aca="false">IF(LEFT(AL930,1)="9","Celular",IF(AL930="","","Fixo"))</f>
        <v/>
      </c>
      <c r="AN930" s="58" t="str">
        <f aca="false">IF( AM930&lt;&gt;"",VLOOKUP(AM930,Selects!$M$4:$N$1000,2,0),"")</f>
        <v/>
      </c>
      <c r="AO930" s="58"/>
      <c r="AP930" s="59"/>
      <c r="AQ930" s="65"/>
      <c r="AR930" s="58"/>
      <c r="AS930" s="58"/>
      <c r="AT930" s="26"/>
      <c r="AU930" s="58"/>
      <c r="AV930" s="58"/>
      <c r="AW930" s="58"/>
      <c r="AX930" s="58"/>
      <c r="AY930" s="71"/>
      <c r="AZ930" s="58"/>
      <c r="BA930" s="58"/>
      <c r="BB930" s="72" t="str">
        <f aca="false">IF(BA930&lt;&gt;"",VLOOKUP(BA930,Selects!$B$4:$C$100,2,0),"")</f>
        <v/>
      </c>
      <c r="BC930" s="26"/>
      <c r="BD930" s="26"/>
      <c r="BE930" s="73"/>
      <c r="BF930" s="74"/>
      <c r="BG930" s="75" t="str">
        <f aca="false">IF(LEN(BF930)=11,"PF",IF(LEN(BF930)=14,"PJ",""))</f>
        <v/>
      </c>
      <c r="BH930" s="66"/>
      <c r="BI930" s="58" t="str">
        <f aca="false">IF(BH930&lt;&gt;"",VLOOKUP(BH930,Selects!$G:$H,2,0),"")</f>
        <v/>
      </c>
      <c r="BJ930" s="58"/>
      <c r="BK930" s="58"/>
      <c r="BL930" s="59"/>
      <c r="BM930" s="58"/>
      <c r="BN930" s="58"/>
      <c r="BO930" s="58" t="str">
        <f aca="false">IF(BN930&lt;&gt;"",VLOOKUP(BN930,Selects!$J$4:$K$1000,2,0),"")</f>
        <v/>
      </c>
      <c r="BP930" s="76"/>
      <c r="BQ930" s="59"/>
      <c r="BR930" s="77"/>
      <c r="BS930" s="59"/>
      <c r="BT930" s="77"/>
      <c r="BU930" s="58"/>
      <c r="BV930" s="58"/>
      <c r="BW930" s="58"/>
      <c r="BX930" s="58"/>
      <c r="BY930" s="58"/>
      <c r="BZ930" s="58"/>
      <c r="CA930" s="58"/>
      <c r="CB930" s="72" t="str">
        <f aca="false">IF(AC930&lt;&gt;"",VLOOKUP(AC930,Selects!$B:$E,4,0),"")</f>
        <v/>
      </c>
      <c r="CC930" s="58"/>
      <c r="CD930" s="58"/>
      <c r="CE930" s="58"/>
    </row>
    <row r="931" customFormat="false" ht="15.75" hidden="false" customHeight="true" outlineLevel="0" collapsed="false">
      <c r="A931" s="17"/>
      <c r="B931" s="58"/>
      <c r="C931" s="58"/>
      <c r="D931" s="59"/>
      <c r="E931" s="60" t="str">
        <f aca="false">IF(LEN(D931)=11,"PF",IF(LEN(D931)=14,"PJ",""))</f>
        <v/>
      </c>
      <c r="F931" s="59"/>
      <c r="G931" s="59"/>
      <c r="H931" s="61" t="str">
        <f aca="false">IF(G931&lt;&gt;"",VLOOKUP(G931,'Cnae  mcc  id'!$A:$M,9,0),"")</f>
        <v/>
      </c>
      <c r="I931" s="62"/>
      <c r="J931" s="63" t="str">
        <f aca="false">IF(I931&lt;&gt;"",VLOOKUP(I931,'Legal Nature'!$E$2:$G$84,3,0),"")</f>
        <v/>
      </c>
      <c r="K931" s="64"/>
      <c r="L931" s="65"/>
      <c r="M931" s="66"/>
      <c r="N931" s="66"/>
      <c r="O931" s="79"/>
      <c r="P931" s="26"/>
      <c r="Q931" s="58"/>
      <c r="R931" s="58"/>
      <c r="S931" s="80"/>
      <c r="T931" s="68" t="str">
        <f aca="false">IF(LEFT(S931,1)="9","Celular",IF(S931="","","Fixo"))</f>
        <v/>
      </c>
      <c r="U931" s="58" t="str">
        <f aca="false">IF( T931&lt;&gt;"",VLOOKUP(T931,Selects!$M$4:$N$1000,2,0),"")</f>
        <v/>
      </c>
      <c r="V931" s="26"/>
      <c r="W931" s="58"/>
      <c r="X931" s="58"/>
      <c r="Y931" s="58"/>
      <c r="Z931" s="58"/>
      <c r="AA931" s="69"/>
      <c r="AB931" s="58"/>
      <c r="AC931" s="58"/>
      <c r="AD931" s="70" t="str">
        <f aca="false">IF(AC931&lt;&gt;"",VLOOKUP(AC931,Selects!$B$4:$C$100,2,0),"")</f>
        <v/>
      </c>
      <c r="AE931" s="26"/>
      <c r="AF931" s="58"/>
      <c r="AG931" s="59"/>
      <c r="AH931" s="65"/>
      <c r="AI931" s="66"/>
      <c r="AJ931" s="66"/>
      <c r="AK931" s="58"/>
      <c r="AL931" s="58"/>
      <c r="AM931" s="68" t="str">
        <f aca="false">IF(LEFT(AL931,1)="9","Celular",IF(AL931="","","Fixo"))</f>
        <v/>
      </c>
      <c r="AN931" s="58" t="str">
        <f aca="false">IF( AM931&lt;&gt;"",VLOOKUP(AM931,Selects!$M$4:$N$1000,2,0),"")</f>
        <v/>
      </c>
      <c r="AO931" s="58"/>
      <c r="AP931" s="59"/>
      <c r="AQ931" s="65"/>
      <c r="AR931" s="58"/>
      <c r="AS931" s="58"/>
      <c r="AT931" s="26"/>
      <c r="AU931" s="58"/>
      <c r="AV931" s="58"/>
      <c r="AW931" s="58"/>
      <c r="AX931" s="58"/>
      <c r="AY931" s="71"/>
      <c r="AZ931" s="58"/>
      <c r="BA931" s="58"/>
      <c r="BB931" s="72" t="str">
        <f aca="false">IF(BA931&lt;&gt;"",VLOOKUP(BA931,Selects!$B$4:$C$100,2,0),"")</f>
        <v/>
      </c>
      <c r="BC931" s="26"/>
      <c r="BD931" s="26"/>
      <c r="BE931" s="73"/>
      <c r="BF931" s="74"/>
      <c r="BG931" s="75" t="str">
        <f aca="false">IF(LEN(BF931)=11,"PF",IF(LEN(BF931)=14,"PJ",""))</f>
        <v/>
      </c>
      <c r="BH931" s="66"/>
      <c r="BI931" s="58" t="str">
        <f aca="false">IF(BH931&lt;&gt;"",VLOOKUP(BH931,Selects!$G:$H,2,0),"")</f>
        <v/>
      </c>
      <c r="BJ931" s="58"/>
      <c r="BK931" s="58"/>
      <c r="BL931" s="59"/>
      <c r="BM931" s="58"/>
      <c r="BN931" s="58"/>
      <c r="BO931" s="58" t="str">
        <f aca="false">IF(BN931&lt;&gt;"",VLOOKUP(BN931,Selects!$J$4:$K$1000,2,0),"")</f>
        <v/>
      </c>
      <c r="BP931" s="76"/>
      <c r="BQ931" s="59"/>
      <c r="BR931" s="77"/>
      <c r="BS931" s="59"/>
      <c r="BT931" s="77"/>
      <c r="BU931" s="58"/>
      <c r="BV931" s="58"/>
      <c r="BW931" s="58"/>
      <c r="BX931" s="58"/>
      <c r="BY931" s="58"/>
      <c r="BZ931" s="58"/>
      <c r="CA931" s="58"/>
      <c r="CB931" s="72" t="str">
        <f aca="false">IF(AC931&lt;&gt;"",VLOOKUP(AC931,Selects!$B:$E,4,0),"")</f>
        <v/>
      </c>
      <c r="CC931" s="58"/>
      <c r="CD931" s="58"/>
      <c r="CE931" s="58"/>
    </row>
    <row r="932" customFormat="false" ht="15.75" hidden="false" customHeight="true" outlineLevel="0" collapsed="false">
      <c r="A932" s="17"/>
      <c r="B932" s="58"/>
      <c r="C932" s="58"/>
      <c r="D932" s="59"/>
      <c r="E932" s="60" t="str">
        <f aca="false">IF(LEN(D932)=11,"PF",IF(LEN(D932)=14,"PJ",""))</f>
        <v/>
      </c>
      <c r="F932" s="59"/>
      <c r="G932" s="59"/>
      <c r="H932" s="61" t="str">
        <f aca="false">IF(G932&lt;&gt;"",VLOOKUP(G932,'Cnae  mcc  id'!$A:$M,9,0),"")</f>
        <v/>
      </c>
      <c r="I932" s="62"/>
      <c r="J932" s="63" t="str">
        <f aca="false">IF(I932&lt;&gt;"",VLOOKUP(I932,'Legal Nature'!$E$2:$G$84,3,0),"")</f>
        <v/>
      </c>
      <c r="K932" s="64"/>
      <c r="L932" s="65"/>
      <c r="M932" s="66"/>
      <c r="N932" s="66"/>
      <c r="O932" s="79"/>
      <c r="P932" s="26"/>
      <c r="Q932" s="58"/>
      <c r="R932" s="58"/>
      <c r="S932" s="80"/>
      <c r="T932" s="68" t="str">
        <f aca="false">IF(LEFT(S932,1)="9","Celular",IF(S932="","","Fixo"))</f>
        <v/>
      </c>
      <c r="U932" s="58" t="str">
        <f aca="false">IF( T932&lt;&gt;"",VLOOKUP(T932,Selects!$M$4:$N$1000,2,0),"")</f>
        <v/>
      </c>
      <c r="V932" s="26"/>
      <c r="W932" s="58"/>
      <c r="X932" s="58"/>
      <c r="Y932" s="58"/>
      <c r="Z932" s="58"/>
      <c r="AA932" s="69"/>
      <c r="AB932" s="58"/>
      <c r="AC932" s="58"/>
      <c r="AD932" s="70" t="str">
        <f aca="false">IF(AC932&lt;&gt;"",VLOOKUP(AC932,Selects!$B$4:$C$100,2,0),"")</f>
        <v/>
      </c>
      <c r="AE932" s="26"/>
      <c r="AF932" s="58"/>
      <c r="AG932" s="59"/>
      <c r="AH932" s="65"/>
      <c r="AI932" s="66"/>
      <c r="AJ932" s="66"/>
      <c r="AK932" s="58"/>
      <c r="AL932" s="58"/>
      <c r="AM932" s="68" t="str">
        <f aca="false">IF(LEFT(AL932,1)="9","Celular",IF(AL932="","","Fixo"))</f>
        <v/>
      </c>
      <c r="AN932" s="58" t="str">
        <f aca="false">IF( AM932&lt;&gt;"",VLOOKUP(AM932,Selects!$M$4:$N$1000,2,0),"")</f>
        <v/>
      </c>
      <c r="AO932" s="58"/>
      <c r="AP932" s="59"/>
      <c r="AQ932" s="65"/>
      <c r="AR932" s="58"/>
      <c r="AS932" s="58"/>
      <c r="AT932" s="26"/>
      <c r="AU932" s="58"/>
      <c r="AV932" s="58"/>
      <c r="AW932" s="58"/>
      <c r="AX932" s="58"/>
      <c r="AY932" s="71"/>
      <c r="AZ932" s="58"/>
      <c r="BA932" s="58"/>
      <c r="BB932" s="72" t="str">
        <f aca="false">IF(BA932&lt;&gt;"",VLOOKUP(BA932,Selects!$B$4:$C$100,2,0),"")</f>
        <v/>
      </c>
      <c r="BC932" s="26"/>
      <c r="BD932" s="26"/>
      <c r="BE932" s="73"/>
      <c r="BF932" s="74"/>
      <c r="BG932" s="75" t="str">
        <f aca="false">IF(LEN(BF932)=11,"PF",IF(LEN(BF932)=14,"PJ",""))</f>
        <v/>
      </c>
      <c r="BH932" s="66"/>
      <c r="BI932" s="58" t="str">
        <f aca="false">IF(BH932&lt;&gt;"",VLOOKUP(BH932,Selects!$G:$H,2,0),"")</f>
        <v/>
      </c>
      <c r="BJ932" s="58"/>
      <c r="BK932" s="58"/>
      <c r="BL932" s="59"/>
      <c r="BM932" s="58"/>
      <c r="BN932" s="58"/>
      <c r="BO932" s="58" t="str">
        <f aca="false">IF(BN932&lt;&gt;"",VLOOKUP(BN932,Selects!$J$4:$K$1000,2,0),"")</f>
        <v/>
      </c>
      <c r="BP932" s="76"/>
      <c r="BQ932" s="59"/>
      <c r="BR932" s="77"/>
      <c r="BS932" s="59"/>
      <c r="BT932" s="77"/>
      <c r="BU932" s="58"/>
      <c r="BV932" s="58"/>
      <c r="BW932" s="58"/>
      <c r="BX932" s="58"/>
      <c r="BY932" s="58"/>
      <c r="BZ932" s="58"/>
      <c r="CA932" s="58"/>
      <c r="CB932" s="72" t="str">
        <f aca="false">IF(AC932&lt;&gt;"",VLOOKUP(AC932,Selects!$B:$E,4,0),"")</f>
        <v/>
      </c>
      <c r="CC932" s="58"/>
      <c r="CD932" s="58"/>
      <c r="CE932" s="58"/>
    </row>
    <row r="933" customFormat="false" ht="15.75" hidden="false" customHeight="true" outlineLevel="0" collapsed="false">
      <c r="A933" s="17"/>
      <c r="B933" s="58"/>
      <c r="C933" s="58"/>
      <c r="D933" s="59"/>
      <c r="E933" s="60" t="str">
        <f aca="false">IF(LEN(D933)=11,"PF",IF(LEN(D933)=14,"PJ",""))</f>
        <v/>
      </c>
      <c r="F933" s="59"/>
      <c r="G933" s="59"/>
      <c r="H933" s="61" t="str">
        <f aca="false">IF(G933&lt;&gt;"",VLOOKUP(G933,'Cnae  mcc  id'!$A:$M,9,0),"")</f>
        <v/>
      </c>
      <c r="I933" s="62"/>
      <c r="J933" s="63" t="str">
        <f aca="false">IF(I933&lt;&gt;"",VLOOKUP(I933,'Legal Nature'!$E$2:$G$84,3,0),"")</f>
        <v/>
      </c>
      <c r="K933" s="64"/>
      <c r="L933" s="65"/>
      <c r="M933" s="66"/>
      <c r="N933" s="66"/>
      <c r="O933" s="79"/>
      <c r="P933" s="26"/>
      <c r="Q933" s="58"/>
      <c r="R933" s="58"/>
      <c r="S933" s="80"/>
      <c r="T933" s="68" t="str">
        <f aca="false">IF(LEFT(S933,1)="9","Celular",IF(S933="","","Fixo"))</f>
        <v/>
      </c>
      <c r="U933" s="58" t="str">
        <f aca="false">IF( T933&lt;&gt;"",VLOOKUP(T933,Selects!$M$4:$N$1000,2,0),"")</f>
        <v/>
      </c>
      <c r="V933" s="26"/>
      <c r="W933" s="58"/>
      <c r="X933" s="58"/>
      <c r="Y933" s="58"/>
      <c r="Z933" s="58"/>
      <c r="AA933" s="69"/>
      <c r="AB933" s="58"/>
      <c r="AC933" s="58"/>
      <c r="AD933" s="70" t="str">
        <f aca="false">IF(AC933&lt;&gt;"",VLOOKUP(AC933,Selects!$B$4:$C$100,2,0),"")</f>
        <v/>
      </c>
      <c r="AE933" s="26"/>
      <c r="AF933" s="58"/>
      <c r="AG933" s="59"/>
      <c r="AH933" s="65"/>
      <c r="AI933" s="66"/>
      <c r="AJ933" s="66"/>
      <c r="AK933" s="58"/>
      <c r="AL933" s="58"/>
      <c r="AM933" s="68" t="str">
        <f aca="false">IF(LEFT(AL933,1)="9","Celular",IF(AL933="","","Fixo"))</f>
        <v/>
      </c>
      <c r="AN933" s="58" t="str">
        <f aca="false">IF( AM933&lt;&gt;"",VLOOKUP(AM933,Selects!$M$4:$N$1000,2,0),"")</f>
        <v/>
      </c>
      <c r="AO933" s="58"/>
      <c r="AP933" s="59"/>
      <c r="AQ933" s="65"/>
      <c r="AR933" s="58"/>
      <c r="AS933" s="58"/>
      <c r="AT933" s="26"/>
      <c r="AU933" s="58"/>
      <c r="AV933" s="58"/>
      <c r="AW933" s="58"/>
      <c r="AX933" s="58"/>
      <c r="AY933" s="71"/>
      <c r="AZ933" s="58"/>
      <c r="BA933" s="58"/>
      <c r="BB933" s="72" t="str">
        <f aca="false">IF(BA933&lt;&gt;"",VLOOKUP(BA933,Selects!$B$4:$C$100,2,0),"")</f>
        <v/>
      </c>
      <c r="BC933" s="26"/>
      <c r="BD933" s="26"/>
      <c r="BE933" s="73"/>
      <c r="BF933" s="74"/>
      <c r="BG933" s="75" t="str">
        <f aca="false">IF(LEN(BF933)=11,"PF",IF(LEN(BF933)=14,"PJ",""))</f>
        <v/>
      </c>
      <c r="BH933" s="66"/>
      <c r="BI933" s="58" t="str">
        <f aca="false">IF(BH933&lt;&gt;"",VLOOKUP(BH933,Selects!$G:$H,2,0),"")</f>
        <v/>
      </c>
      <c r="BJ933" s="58"/>
      <c r="BK933" s="58"/>
      <c r="BL933" s="59"/>
      <c r="BM933" s="58"/>
      <c r="BN933" s="58"/>
      <c r="BO933" s="58" t="str">
        <f aca="false">IF(BN933&lt;&gt;"",VLOOKUP(BN933,Selects!$J$4:$K$1000,2,0),"")</f>
        <v/>
      </c>
      <c r="BP933" s="76"/>
      <c r="BQ933" s="59"/>
      <c r="BR933" s="77"/>
      <c r="BS933" s="59"/>
      <c r="BT933" s="77"/>
      <c r="BU933" s="58"/>
      <c r="BV933" s="58"/>
      <c r="BW933" s="58"/>
      <c r="BX933" s="58"/>
      <c r="BY933" s="58"/>
      <c r="BZ933" s="58"/>
      <c r="CA933" s="58"/>
      <c r="CB933" s="72" t="str">
        <f aca="false">IF(AC933&lt;&gt;"",VLOOKUP(AC933,Selects!$B:$E,4,0),"")</f>
        <v/>
      </c>
      <c r="CC933" s="58"/>
      <c r="CD933" s="58"/>
      <c r="CE933" s="58"/>
    </row>
    <row r="934" customFormat="false" ht="15.75" hidden="false" customHeight="true" outlineLevel="0" collapsed="false">
      <c r="A934" s="17"/>
      <c r="B934" s="58"/>
      <c r="C934" s="58"/>
      <c r="D934" s="59"/>
      <c r="E934" s="60" t="str">
        <f aca="false">IF(LEN(D934)=11,"PF",IF(LEN(D934)=14,"PJ",""))</f>
        <v/>
      </c>
      <c r="F934" s="59"/>
      <c r="G934" s="59"/>
      <c r="H934" s="61" t="str">
        <f aca="false">IF(G934&lt;&gt;"",VLOOKUP(G934,'Cnae  mcc  id'!$A:$M,9,0),"")</f>
        <v/>
      </c>
      <c r="I934" s="62"/>
      <c r="J934" s="63" t="str">
        <f aca="false">IF(I934&lt;&gt;"",VLOOKUP(I934,'Legal Nature'!$E$2:$G$84,3,0),"")</f>
        <v/>
      </c>
      <c r="K934" s="64"/>
      <c r="L934" s="65"/>
      <c r="M934" s="66"/>
      <c r="N934" s="66"/>
      <c r="O934" s="79"/>
      <c r="P934" s="26"/>
      <c r="Q934" s="58"/>
      <c r="R934" s="58"/>
      <c r="S934" s="80"/>
      <c r="T934" s="68" t="str">
        <f aca="false">IF(LEFT(S934,1)="9","Celular",IF(S934="","","Fixo"))</f>
        <v/>
      </c>
      <c r="U934" s="58" t="str">
        <f aca="false">IF( T934&lt;&gt;"",VLOOKUP(T934,Selects!$M$4:$N$1000,2,0),"")</f>
        <v/>
      </c>
      <c r="V934" s="26"/>
      <c r="W934" s="58"/>
      <c r="X934" s="58"/>
      <c r="Y934" s="58"/>
      <c r="Z934" s="58"/>
      <c r="AA934" s="69"/>
      <c r="AB934" s="58"/>
      <c r="AC934" s="58"/>
      <c r="AD934" s="70" t="str">
        <f aca="false">IF(AC934&lt;&gt;"",VLOOKUP(AC934,Selects!$B$4:$C$100,2,0),"")</f>
        <v/>
      </c>
      <c r="AE934" s="26"/>
      <c r="AF934" s="58"/>
      <c r="AG934" s="59"/>
      <c r="AH934" s="65"/>
      <c r="AI934" s="66"/>
      <c r="AJ934" s="66"/>
      <c r="AK934" s="58"/>
      <c r="AL934" s="58"/>
      <c r="AM934" s="68" t="str">
        <f aca="false">IF(LEFT(AL934,1)="9","Celular",IF(AL934="","","Fixo"))</f>
        <v/>
      </c>
      <c r="AN934" s="58" t="str">
        <f aca="false">IF( AM934&lt;&gt;"",VLOOKUP(AM934,Selects!$M$4:$N$1000,2,0),"")</f>
        <v/>
      </c>
      <c r="AO934" s="58"/>
      <c r="AP934" s="59"/>
      <c r="AQ934" s="65"/>
      <c r="AR934" s="58"/>
      <c r="AS934" s="58"/>
      <c r="AT934" s="26"/>
      <c r="AU934" s="58"/>
      <c r="AV934" s="58"/>
      <c r="AW934" s="58"/>
      <c r="AX934" s="58"/>
      <c r="AY934" s="71"/>
      <c r="AZ934" s="58"/>
      <c r="BA934" s="58"/>
      <c r="BB934" s="72" t="str">
        <f aca="false">IF(BA934&lt;&gt;"",VLOOKUP(BA934,Selects!$B$4:$C$100,2,0),"")</f>
        <v/>
      </c>
      <c r="BC934" s="26"/>
      <c r="BD934" s="26"/>
      <c r="BE934" s="73"/>
      <c r="BF934" s="74"/>
      <c r="BG934" s="75" t="str">
        <f aca="false">IF(LEN(BF934)=11,"PF",IF(LEN(BF934)=14,"PJ",""))</f>
        <v/>
      </c>
      <c r="BH934" s="66"/>
      <c r="BI934" s="58" t="str">
        <f aca="false">IF(BH934&lt;&gt;"",VLOOKUP(BH934,Selects!$G:$H,2,0),"")</f>
        <v/>
      </c>
      <c r="BJ934" s="58"/>
      <c r="BK934" s="58"/>
      <c r="BL934" s="59"/>
      <c r="BM934" s="58"/>
      <c r="BN934" s="58"/>
      <c r="BO934" s="58" t="str">
        <f aca="false">IF(BN934&lt;&gt;"",VLOOKUP(BN934,Selects!$J$4:$K$1000,2,0),"")</f>
        <v/>
      </c>
      <c r="BP934" s="76"/>
      <c r="BQ934" s="59"/>
      <c r="BR934" s="77"/>
      <c r="BS934" s="59"/>
      <c r="BT934" s="77"/>
      <c r="BU934" s="58"/>
      <c r="BV934" s="58"/>
      <c r="BW934" s="58"/>
      <c r="BX934" s="58"/>
      <c r="BY934" s="58"/>
      <c r="BZ934" s="58"/>
      <c r="CA934" s="58"/>
      <c r="CB934" s="72" t="str">
        <f aca="false">IF(AC934&lt;&gt;"",VLOOKUP(AC934,Selects!$B:$E,4,0),"")</f>
        <v/>
      </c>
      <c r="CC934" s="58"/>
      <c r="CD934" s="58"/>
      <c r="CE934" s="58"/>
    </row>
    <row r="935" customFormat="false" ht="15.75" hidden="false" customHeight="true" outlineLevel="0" collapsed="false">
      <c r="A935" s="17"/>
      <c r="B935" s="58"/>
      <c r="C935" s="58"/>
      <c r="D935" s="59"/>
      <c r="E935" s="60" t="str">
        <f aca="false">IF(LEN(D935)=11,"PF",IF(LEN(D935)=14,"PJ",""))</f>
        <v/>
      </c>
      <c r="F935" s="59"/>
      <c r="G935" s="59"/>
      <c r="H935" s="61" t="str">
        <f aca="false">IF(G935&lt;&gt;"",VLOOKUP(G935,'Cnae  mcc  id'!$A:$M,9,0),"")</f>
        <v/>
      </c>
      <c r="I935" s="62"/>
      <c r="J935" s="63" t="str">
        <f aca="false">IF(I935&lt;&gt;"",VLOOKUP(I935,'Legal Nature'!$E$2:$G$84,3,0),"")</f>
        <v/>
      </c>
      <c r="K935" s="64"/>
      <c r="L935" s="65"/>
      <c r="M935" s="66"/>
      <c r="N935" s="66"/>
      <c r="O935" s="79"/>
      <c r="P935" s="26"/>
      <c r="Q935" s="58"/>
      <c r="R935" s="58"/>
      <c r="S935" s="80"/>
      <c r="T935" s="68" t="str">
        <f aca="false">IF(LEFT(S935,1)="9","Celular",IF(S935="","","Fixo"))</f>
        <v/>
      </c>
      <c r="U935" s="58" t="str">
        <f aca="false">IF( T935&lt;&gt;"",VLOOKUP(T935,Selects!$M$4:$N$1000,2,0),"")</f>
        <v/>
      </c>
      <c r="V935" s="26"/>
      <c r="W935" s="58"/>
      <c r="X935" s="58"/>
      <c r="Y935" s="58"/>
      <c r="Z935" s="58"/>
      <c r="AA935" s="69"/>
      <c r="AB935" s="58"/>
      <c r="AC935" s="58"/>
      <c r="AD935" s="70" t="str">
        <f aca="false">IF(AC935&lt;&gt;"",VLOOKUP(AC935,Selects!$B$4:$C$100,2,0),"")</f>
        <v/>
      </c>
      <c r="AE935" s="26"/>
      <c r="AF935" s="58"/>
      <c r="AG935" s="59"/>
      <c r="AH935" s="65"/>
      <c r="AI935" s="66"/>
      <c r="AJ935" s="66"/>
      <c r="AK935" s="58"/>
      <c r="AL935" s="58"/>
      <c r="AM935" s="68" t="str">
        <f aca="false">IF(LEFT(AL935,1)="9","Celular",IF(AL935="","","Fixo"))</f>
        <v/>
      </c>
      <c r="AN935" s="58" t="str">
        <f aca="false">IF( AM935&lt;&gt;"",VLOOKUP(AM935,Selects!$M$4:$N$1000,2,0),"")</f>
        <v/>
      </c>
      <c r="AO935" s="58"/>
      <c r="AP935" s="59"/>
      <c r="AQ935" s="65"/>
      <c r="AR935" s="58"/>
      <c r="AS935" s="58"/>
      <c r="AT935" s="26"/>
      <c r="AU935" s="58"/>
      <c r="AV935" s="58"/>
      <c r="AW935" s="58"/>
      <c r="AX935" s="58"/>
      <c r="AY935" s="71"/>
      <c r="AZ935" s="58"/>
      <c r="BA935" s="58"/>
      <c r="BB935" s="72" t="str">
        <f aca="false">IF(BA935&lt;&gt;"",VLOOKUP(BA935,Selects!$B$4:$C$100,2,0),"")</f>
        <v/>
      </c>
      <c r="BC935" s="26"/>
      <c r="BD935" s="26"/>
      <c r="BE935" s="73"/>
      <c r="BF935" s="74"/>
      <c r="BG935" s="75" t="str">
        <f aca="false">IF(LEN(BF935)=11,"PF",IF(LEN(BF935)=14,"PJ",""))</f>
        <v/>
      </c>
      <c r="BH935" s="66"/>
      <c r="BI935" s="58" t="str">
        <f aca="false">IF(BH935&lt;&gt;"",VLOOKUP(BH935,Selects!$G:$H,2,0),"")</f>
        <v/>
      </c>
      <c r="BJ935" s="58"/>
      <c r="BK935" s="58"/>
      <c r="BL935" s="59"/>
      <c r="BM935" s="58"/>
      <c r="BN935" s="58"/>
      <c r="BO935" s="58" t="str">
        <f aca="false">IF(BN935&lt;&gt;"",VLOOKUP(BN935,Selects!$J$4:$K$1000,2,0),"")</f>
        <v/>
      </c>
      <c r="BP935" s="76"/>
      <c r="BQ935" s="59"/>
      <c r="BR935" s="77"/>
      <c r="BS935" s="59"/>
      <c r="BT935" s="77"/>
      <c r="BU935" s="58"/>
      <c r="BV935" s="58"/>
      <c r="BW935" s="58"/>
      <c r="BX935" s="58"/>
      <c r="BY935" s="58"/>
      <c r="BZ935" s="58"/>
      <c r="CA935" s="58"/>
      <c r="CB935" s="72" t="str">
        <f aca="false">IF(AC935&lt;&gt;"",VLOOKUP(AC935,Selects!$B:$E,4,0),"")</f>
        <v/>
      </c>
      <c r="CC935" s="58"/>
      <c r="CD935" s="58"/>
      <c r="CE935" s="58"/>
    </row>
    <row r="936" customFormat="false" ht="15.75" hidden="false" customHeight="true" outlineLevel="0" collapsed="false">
      <c r="A936" s="17"/>
      <c r="B936" s="58"/>
      <c r="C936" s="58"/>
      <c r="D936" s="59"/>
      <c r="E936" s="60" t="str">
        <f aca="false">IF(LEN(D936)=11,"PF",IF(LEN(D936)=14,"PJ",""))</f>
        <v/>
      </c>
      <c r="F936" s="59"/>
      <c r="G936" s="59"/>
      <c r="H936" s="61" t="str">
        <f aca="false">IF(G936&lt;&gt;"",VLOOKUP(G936,'Cnae  mcc  id'!$A:$M,9,0),"")</f>
        <v/>
      </c>
      <c r="I936" s="62"/>
      <c r="J936" s="63" t="str">
        <f aca="false">IF(I936&lt;&gt;"",VLOOKUP(I936,'Legal Nature'!$E$2:$G$84,3,0),"")</f>
        <v/>
      </c>
      <c r="K936" s="64"/>
      <c r="L936" s="65"/>
      <c r="M936" s="66"/>
      <c r="N936" s="66"/>
      <c r="O936" s="79"/>
      <c r="P936" s="26"/>
      <c r="Q936" s="58"/>
      <c r="R936" s="58"/>
      <c r="S936" s="80"/>
      <c r="T936" s="68" t="str">
        <f aca="false">IF(LEFT(S936,1)="9","Celular",IF(S936="","","Fixo"))</f>
        <v/>
      </c>
      <c r="U936" s="58" t="str">
        <f aca="false">IF( T936&lt;&gt;"",VLOOKUP(T936,Selects!$M$4:$N$1000,2,0),"")</f>
        <v/>
      </c>
      <c r="V936" s="26"/>
      <c r="W936" s="58"/>
      <c r="X936" s="58"/>
      <c r="Y936" s="58"/>
      <c r="Z936" s="58"/>
      <c r="AA936" s="69"/>
      <c r="AB936" s="58"/>
      <c r="AC936" s="58"/>
      <c r="AD936" s="70" t="str">
        <f aca="false">IF(AC936&lt;&gt;"",VLOOKUP(AC936,Selects!$B$4:$C$100,2,0),"")</f>
        <v/>
      </c>
      <c r="AE936" s="26"/>
      <c r="AF936" s="58"/>
      <c r="AG936" s="59"/>
      <c r="AH936" s="65"/>
      <c r="AI936" s="66"/>
      <c r="AJ936" s="66"/>
      <c r="AK936" s="58"/>
      <c r="AL936" s="58"/>
      <c r="AM936" s="68" t="str">
        <f aca="false">IF(LEFT(AL936,1)="9","Celular",IF(AL936="","","Fixo"))</f>
        <v/>
      </c>
      <c r="AN936" s="58" t="str">
        <f aca="false">IF( AM936&lt;&gt;"",VLOOKUP(AM936,Selects!$M$4:$N$1000,2,0),"")</f>
        <v/>
      </c>
      <c r="AO936" s="58"/>
      <c r="AP936" s="59"/>
      <c r="AQ936" s="65"/>
      <c r="AR936" s="58"/>
      <c r="AS936" s="58"/>
      <c r="AT936" s="26"/>
      <c r="AU936" s="58"/>
      <c r="AV936" s="58"/>
      <c r="AW936" s="58"/>
      <c r="AX936" s="58"/>
      <c r="AY936" s="71"/>
      <c r="AZ936" s="58"/>
      <c r="BA936" s="58"/>
      <c r="BB936" s="72" t="str">
        <f aca="false">IF(BA936&lt;&gt;"",VLOOKUP(BA936,Selects!$B$4:$C$100,2,0),"")</f>
        <v/>
      </c>
      <c r="BC936" s="26"/>
      <c r="BD936" s="26"/>
      <c r="BE936" s="73"/>
      <c r="BF936" s="74"/>
      <c r="BG936" s="75" t="str">
        <f aca="false">IF(LEN(BF936)=11,"PF",IF(LEN(BF936)=14,"PJ",""))</f>
        <v/>
      </c>
      <c r="BH936" s="66"/>
      <c r="BI936" s="58" t="str">
        <f aca="false">IF(BH936&lt;&gt;"",VLOOKUP(BH936,Selects!$G:$H,2,0),"")</f>
        <v/>
      </c>
      <c r="BJ936" s="58"/>
      <c r="BK936" s="58"/>
      <c r="BL936" s="59"/>
      <c r="BM936" s="58"/>
      <c r="BN936" s="58"/>
      <c r="BO936" s="58" t="str">
        <f aca="false">IF(BN936&lt;&gt;"",VLOOKUP(BN936,Selects!$J$4:$K$1000,2,0),"")</f>
        <v/>
      </c>
      <c r="BP936" s="76"/>
      <c r="BQ936" s="59"/>
      <c r="BR936" s="77"/>
      <c r="BS936" s="59"/>
      <c r="BT936" s="77"/>
      <c r="BU936" s="58"/>
      <c r="BV936" s="58"/>
      <c r="BW936" s="58"/>
      <c r="BX936" s="58"/>
      <c r="BY936" s="58"/>
      <c r="BZ936" s="58"/>
      <c r="CA936" s="58"/>
      <c r="CB936" s="72" t="str">
        <f aca="false">IF(AC936&lt;&gt;"",VLOOKUP(AC936,Selects!$B:$E,4,0),"")</f>
        <v/>
      </c>
      <c r="CC936" s="58"/>
      <c r="CD936" s="58"/>
      <c r="CE936" s="58"/>
    </row>
    <row r="937" customFormat="false" ht="15.75" hidden="false" customHeight="true" outlineLevel="0" collapsed="false">
      <c r="A937" s="17"/>
      <c r="B937" s="58"/>
      <c r="C937" s="58"/>
      <c r="D937" s="59"/>
      <c r="E937" s="60" t="str">
        <f aca="false">IF(LEN(D937)=11,"PF",IF(LEN(D937)=14,"PJ",""))</f>
        <v/>
      </c>
      <c r="F937" s="59"/>
      <c r="G937" s="59"/>
      <c r="H937" s="61" t="str">
        <f aca="false">IF(G937&lt;&gt;"",VLOOKUP(G937,'Cnae  mcc  id'!$A:$M,9,0),"")</f>
        <v/>
      </c>
      <c r="I937" s="62"/>
      <c r="J937" s="63" t="str">
        <f aca="false">IF(I937&lt;&gt;"",VLOOKUP(I937,'Legal Nature'!$E$2:$G$84,3,0),"")</f>
        <v/>
      </c>
      <c r="K937" s="64"/>
      <c r="L937" s="65"/>
      <c r="M937" s="66"/>
      <c r="N937" s="66"/>
      <c r="O937" s="79"/>
      <c r="P937" s="26"/>
      <c r="Q937" s="58"/>
      <c r="R937" s="58"/>
      <c r="S937" s="80"/>
      <c r="T937" s="68" t="str">
        <f aca="false">IF(LEFT(S937,1)="9","Celular",IF(S937="","","Fixo"))</f>
        <v/>
      </c>
      <c r="U937" s="58" t="str">
        <f aca="false">IF( T937&lt;&gt;"",VLOOKUP(T937,Selects!$M$4:$N$1000,2,0),"")</f>
        <v/>
      </c>
      <c r="V937" s="26"/>
      <c r="W937" s="58"/>
      <c r="X937" s="58"/>
      <c r="Y937" s="58"/>
      <c r="Z937" s="58"/>
      <c r="AA937" s="69"/>
      <c r="AB937" s="58"/>
      <c r="AC937" s="58"/>
      <c r="AD937" s="70" t="str">
        <f aca="false">IF(AC937&lt;&gt;"",VLOOKUP(AC937,Selects!$B$4:$C$100,2,0),"")</f>
        <v/>
      </c>
      <c r="AE937" s="26"/>
      <c r="AF937" s="58"/>
      <c r="AG937" s="59"/>
      <c r="AH937" s="65"/>
      <c r="AI937" s="66"/>
      <c r="AJ937" s="66"/>
      <c r="AK937" s="58"/>
      <c r="AL937" s="58"/>
      <c r="AM937" s="68" t="str">
        <f aca="false">IF(LEFT(AL937,1)="9","Celular",IF(AL937="","","Fixo"))</f>
        <v/>
      </c>
      <c r="AN937" s="58" t="str">
        <f aca="false">IF( AM937&lt;&gt;"",VLOOKUP(AM937,Selects!$M$4:$N$1000,2,0),"")</f>
        <v/>
      </c>
      <c r="AO937" s="58"/>
      <c r="AP937" s="59"/>
      <c r="AQ937" s="65"/>
      <c r="AR937" s="58"/>
      <c r="AS937" s="58"/>
      <c r="AT937" s="26"/>
      <c r="AU937" s="58"/>
      <c r="AV937" s="58"/>
      <c r="AW937" s="58"/>
      <c r="AX937" s="58"/>
      <c r="AY937" s="71"/>
      <c r="AZ937" s="58"/>
      <c r="BA937" s="58"/>
      <c r="BB937" s="72" t="str">
        <f aca="false">IF(BA937&lt;&gt;"",VLOOKUP(BA937,Selects!$B$4:$C$100,2,0),"")</f>
        <v/>
      </c>
      <c r="BC937" s="26"/>
      <c r="BD937" s="26"/>
      <c r="BE937" s="73"/>
      <c r="BF937" s="74"/>
      <c r="BG937" s="75" t="str">
        <f aca="false">IF(LEN(BF937)=11,"PF",IF(LEN(BF937)=14,"PJ",""))</f>
        <v/>
      </c>
      <c r="BH937" s="66"/>
      <c r="BI937" s="58" t="str">
        <f aca="false">IF(BH937&lt;&gt;"",VLOOKUP(BH937,Selects!$G:$H,2,0),"")</f>
        <v/>
      </c>
      <c r="BJ937" s="58"/>
      <c r="BK937" s="58"/>
      <c r="BL937" s="59"/>
      <c r="BM937" s="58"/>
      <c r="BN937" s="58"/>
      <c r="BO937" s="58" t="str">
        <f aca="false">IF(BN937&lt;&gt;"",VLOOKUP(BN937,Selects!$J$4:$K$1000,2,0),"")</f>
        <v/>
      </c>
      <c r="BP937" s="76"/>
      <c r="BQ937" s="59"/>
      <c r="BR937" s="77"/>
      <c r="BS937" s="59"/>
      <c r="BT937" s="77"/>
      <c r="BU937" s="58"/>
      <c r="BV937" s="58"/>
      <c r="BW937" s="58"/>
      <c r="BX937" s="58"/>
      <c r="BY937" s="58"/>
      <c r="BZ937" s="58"/>
      <c r="CA937" s="58"/>
      <c r="CB937" s="72" t="str">
        <f aca="false">IF(AC937&lt;&gt;"",VLOOKUP(AC937,Selects!$B:$E,4,0),"")</f>
        <v/>
      </c>
      <c r="CC937" s="58"/>
      <c r="CD937" s="58"/>
      <c r="CE937" s="58"/>
    </row>
    <row r="938" customFormat="false" ht="15.75" hidden="false" customHeight="true" outlineLevel="0" collapsed="false">
      <c r="A938" s="17"/>
      <c r="B938" s="58"/>
      <c r="C938" s="58"/>
      <c r="D938" s="59"/>
      <c r="E938" s="60" t="str">
        <f aca="false">IF(LEN(D938)=11,"PF",IF(LEN(D938)=14,"PJ",""))</f>
        <v/>
      </c>
      <c r="F938" s="59"/>
      <c r="G938" s="59"/>
      <c r="H938" s="61" t="str">
        <f aca="false">IF(G938&lt;&gt;"",VLOOKUP(G938,'Cnae  mcc  id'!$A:$M,9,0),"")</f>
        <v/>
      </c>
      <c r="I938" s="62"/>
      <c r="J938" s="63" t="str">
        <f aca="false">IF(I938&lt;&gt;"",VLOOKUP(I938,'Legal Nature'!$E$2:$G$84,3,0),"")</f>
        <v/>
      </c>
      <c r="K938" s="64"/>
      <c r="L938" s="65"/>
      <c r="M938" s="66"/>
      <c r="N938" s="66"/>
      <c r="O938" s="79"/>
      <c r="P938" s="26"/>
      <c r="Q938" s="58"/>
      <c r="R938" s="58"/>
      <c r="S938" s="80"/>
      <c r="T938" s="68" t="str">
        <f aca="false">IF(LEFT(S938,1)="9","Celular",IF(S938="","","Fixo"))</f>
        <v/>
      </c>
      <c r="U938" s="58" t="str">
        <f aca="false">IF( T938&lt;&gt;"",VLOOKUP(T938,Selects!$M$4:$N$1000,2,0),"")</f>
        <v/>
      </c>
      <c r="V938" s="26"/>
      <c r="W938" s="58"/>
      <c r="X938" s="58"/>
      <c r="Y938" s="58"/>
      <c r="Z938" s="58"/>
      <c r="AA938" s="69"/>
      <c r="AB938" s="58"/>
      <c r="AC938" s="58"/>
      <c r="AD938" s="70" t="str">
        <f aca="false">IF(AC938&lt;&gt;"",VLOOKUP(AC938,Selects!$B$4:$C$100,2,0),"")</f>
        <v/>
      </c>
      <c r="AE938" s="26"/>
      <c r="AF938" s="58"/>
      <c r="AG938" s="59"/>
      <c r="AH938" s="65"/>
      <c r="AI938" s="66"/>
      <c r="AJ938" s="66"/>
      <c r="AK938" s="58"/>
      <c r="AL938" s="58"/>
      <c r="AM938" s="68" t="str">
        <f aca="false">IF(LEFT(AL938,1)="9","Celular",IF(AL938="","","Fixo"))</f>
        <v/>
      </c>
      <c r="AN938" s="58" t="str">
        <f aca="false">IF( AM938&lt;&gt;"",VLOOKUP(AM938,Selects!$M$4:$N$1000,2,0),"")</f>
        <v/>
      </c>
      <c r="AO938" s="58"/>
      <c r="AP938" s="59"/>
      <c r="AQ938" s="65"/>
      <c r="AR938" s="58"/>
      <c r="AS938" s="58"/>
      <c r="AT938" s="26"/>
      <c r="AU938" s="58"/>
      <c r="AV938" s="58"/>
      <c r="AW938" s="58"/>
      <c r="AX938" s="58"/>
      <c r="AY938" s="71"/>
      <c r="AZ938" s="58"/>
      <c r="BA938" s="58"/>
      <c r="BB938" s="72" t="str">
        <f aca="false">IF(BA938&lt;&gt;"",VLOOKUP(BA938,Selects!$B$4:$C$100,2,0),"")</f>
        <v/>
      </c>
      <c r="BC938" s="26"/>
      <c r="BD938" s="26"/>
      <c r="BE938" s="73"/>
      <c r="BF938" s="74"/>
      <c r="BG938" s="75" t="str">
        <f aca="false">IF(LEN(BF938)=11,"PF",IF(LEN(BF938)=14,"PJ",""))</f>
        <v/>
      </c>
      <c r="BH938" s="66"/>
      <c r="BI938" s="58" t="str">
        <f aca="false">IF(BH938&lt;&gt;"",VLOOKUP(BH938,Selects!$G:$H,2,0),"")</f>
        <v/>
      </c>
      <c r="BJ938" s="58"/>
      <c r="BK938" s="58"/>
      <c r="BL938" s="59"/>
      <c r="BM938" s="58"/>
      <c r="BN938" s="58"/>
      <c r="BO938" s="58" t="str">
        <f aca="false">IF(BN938&lt;&gt;"",VLOOKUP(BN938,Selects!$J$4:$K$1000,2,0),"")</f>
        <v/>
      </c>
      <c r="BP938" s="76"/>
      <c r="BQ938" s="59"/>
      <c r="BR938" s="77"/>
      <c r="BS938" s="59"/>
      <c r="BT938" s="77"/>
      <c r="BU938" s="58"/>
      <c r="BV938" s="58"/>
      <c r="BW938" s="58"/>
      <c r="BX938" s="58"/>
      <c r="BY938" s="58"/>
      <c r="BZ938" s="58"/>
      <c r="CA938" s="58"/>
      <c r="CB938" s="72" t="str">
        <f aca="false">IF(AC938&lt;&gt;"",VLOOKUP(AC938,Selects!$B:$E,4,0),"")</f>
        <v/>
      </c>
      <c r="CC938" s="58"/>
      <c r="CD938" s="58"/>
      <c r="CE938" s="58"/>
    </row>
    <row r="939" customFormat="false" ht="15.75" hidden="false" customHeight="true" outlineLevel="0" collapsed="false">
      <c r="A939" s="17"/>
      <c r="B939" s="58"/>
      <c r="C939" s="58"/>
      <c r="D939" s="59"/>
      <c r="E939" s="60" t="str">
        <f aca="false">IF(LEN(D939)=11,"PF",IF(LEN(D939)=14,"PJ",""))</f>
        <v/>
      </c>
      <c r="F939" s="59"/>
      <c r="G939" s="59"/>
      <c r="H939" s="61" t="str">
        <f aca="false">IF(G939&lt;&gt;"",VLOOKUP(G939,'Cnae  mcc  id'!$A:$M,9,0),"")</f>
        <v/>
      </c>
      <c r="I939" s="62"/>
      <c r="J939" s="63" t="str">
        <f aca="false">IF(I939&lt;&gt;"",VLOOKUP(I939,'Legal Nature'!$E$2:$G$84,3,0),"")</f>
        <v/>
      </c>
      <c r="K939" s="64"/>
      <c r="L939" s="65"/>
      <c r="M939" s="66"/>
      <c r="N939" s="66"/>
      <c r="O939" s="79"/>
      <c r="P939" s="26"/>
      <c r="Q939" s="58"/>
      <c r="R939" s="58"/>
      <c r="S939" s="80"/>
      <c r="T939" s="68" t="str">
        <f aca="false">IF(LEFT(S939,1)="9","Celular",IF(S939="","","Fixo"))</f>
        <v/>
      </c>
      <c r="U939" s="58" t="str">
        <f aca="false">IF( T939&lt;&gt;"",VLOOKUP(T939,Selects!$M$4:$N$1000,2,0),"")</f>
        <v/>
      </c>
      <c r="V939" s="26"/>
      <c r="W939" s="58"/>
      <c r="X939" s="58"/>
      <c r="Y939" s="58"/>
      <c r="Z939" s="58"/>
      <c r="AA939" s="69"/>
      <c r="AB939" s="58"/>
      <c r="AC939" s="58"/>
      <c r="AD939" s="70" t="str">
        <f aca="false">IF(AC939&lt;&gt;"",VLOOKUP(AC939,Selects!$B$4:$C$100,2,0),"")</f>
        <v/>
      </c>
      <c r="AE939" s="26"/>
      <c r="AF939" s="58"/>
      <c r="AG939" s="59"/>
      <c r="AH939" s="65"/>
      <c r="AI939" s="66"/>
      <c r="AJ939" s="66"/>
      <c r="AK939" s="58"/>
      <c r="AL939" s="58"/>
      <c r="AM939" s="68" t="str">
        <f aca="false">IF(LEFT(AL939,1)="9","Celular",IF(AL939="","","Fixo"))</f>
        <v/>
      </c>
      <c r="AN939" s="58" t="str">
        <f aca="false">IF( AM939&lt;&gt;"",VLOOKUP(AM939,Selects!$M$4:$N$1000,2,0),"")</f>
        <v/>
      </c>
      <c r="AO939" s="58"/>
      <c r="AP939" s="59"/>
      <c r="AQ939" s="65"/>
      <c r="AR939" s="58"/>
      <c r="AS939" s="58"/>
      <c r="AT939" s="26"/>
      <c r="AU939" s="58"/>
      <c r="AV939" s="58"/>
      <c r="AW939" s="58"/>
      <c r="AX939" s="58"/>
      <c r="AY939" s="71"/>
      <c r="AZ939" s="58"/>
      <c r="BA939" s="58"/>
      <c r="BB939" s="72" t="str">
        <f aca="false">IF(BA939&lt;&gt;"",VLOOKUP(BA939,Selects!$B$4:$C$100,2,0),"")</f>
        <v/>
      </c>
      <c r="BC939" s="26"/>
      <c r="BD939" s="26"/>
      <c r="BE939" s="73"/>
      <c r="BF939" s="74"/>
      <c r="BG939" s="75" t="str">
        <f aca="false">IF(LEN(BF939)=11,"PF",IF(LEN(BF939)=14,"PJ",""))</f>
        <v/>
      </c>
      <c r="BH939" s="66"/>
      <c r="BI939" s="58" t="str">
        <f aca="false">IF(BH939&lt;&gt;"",VLOOKUP(BH939,Selects!$G:$H,2,0),"")</f>
        <v/>
      </c>
      <c r="BJ939" s="58"/>
      <c r="BK939" s="58"/>
      <c r="BL939" s="59"/>
      <c r="BM939" s="58"/>
      <c r="BN939" s="58"/>
      <c r="BO939" s="58" t="str">
        <f aca="false">IF(BN939&lt;&gt;"",VLOOKUP(BN939,Selects!$J$4:$K$1000,2,0),"")</f>
        <v/>
      </c>
      <c r="BP939" s="76"/>
      <c r="BQ939" s="59"/>
      <c r="BR939" s="77"/>
      <c r="BS939" s="59"/>
      <c r="BT939" s="77"/>
      <c r="BU939" s="58"/>
      <c r="BV939" s="58"/>
      <c r="BW939" s="58"/>
      <c r="BX939" s="58"/>
      <c r="BY939" s="58"/>
      <c r="BZ939" s="58"/>
      <c r="CA939" s="58"/>
      <c r="CB939" s="72" t="str">
        <f aca="false">IF(AC939&lt;&gt;"",VLOOKUP(AC939,Selects!$B:$E,4,0),"")</f>
        <v/>
      </c>
      <c r="CC939" s="58"/>
      <c r="CD939" s="58"/>
      <c r="CE939" s="58"/>
    </row>
    <row r="940" customFormat="false" ht="15.75" hidden="false" customHeight="true" outlineLevel="0" collapsed="false">
      <c r="A940" s="17"/>
      <c r="B940" s="58"/>
      <c r="C940" s="58"/>
      <c r="D940" s="59"/>
      <c r="E940" s="60" t="str">
        <f aca="false">IF(LEN(D940)=11,"PF",IF(LEN(D940)=14,"PJ",""))</f>
        <v/>
      </c>
      <c r="F940" s="59"/>
      <c r="G940" s="59"/>
      <c r="H940" s="61" t="str">
        <f aca="false">IF(G940&lt;&gt;"",VLOOKUP(G940,'Cnae  mcc  id'!$A:$M,9,0),"")</f>
        <v/>
      </c>
      <c r="I940" s="62"/>
      <c r="J940" s="63" t="str">
        <f aca="false">IF(I940&lt;&gt;"",VLOOKUP(I940,'Legal Nature'!$E$2:$G$84,3,0),"")</f>
        <v/>
      </c>
      <c r="K940" s="64"/>
      <c r="L940" s="65"/>
      <c r="M940" s="66"/>
      <c r="N940" s="66"/>
      <c r="O940" s="79"/>
      <c r="P940" s="26"/>
      <c r="Q940" s="58"/>
      <c r="R940" s="58"/>
      <c r="S940" s="80"/>
      <c r="T940" s="68" t="str">
        <f aca="false">IF(LEFT(S940,1)="9","Celular",IF(S940="","","Fixo"))</f>
        <v/>
      </c>
      <c r="U940" s="58" t="str">
        <f aca="false">IF( T940&lt;&gt;"",VLOOKUP(T940,Selects!$M$4:$N$1000,2,0),"")</f>
        <v/>
      </c>
      <c r="V940" s="26"/>
      <c r="W940" s="58"/>
      <c r="X940" s="58"/>
      <c r="Y940" s="58"/>
      <c r="Z940" s="58"/>
      <c r="AA940" s="69"/>
      <c r="AB940" s="58"/>
      <c r="AC940" s="58"/>
      <c r="AD940" s="70" t="str">
        <f aca="false">IF(AC940&lt;&gt;"",VLOOKUP(AC940,Selects!$B$4:$C$100,2,0),"")</f>
        <v/>
      </c>
      <c r="AE940" s="26"/>
      <c r="AF940" s="58"/>
      <c r="AG940" s="59"/>
      <c r="AH940" s="65"/>
      <c r="AI940" s="66"/>
      <c r="AJ940" s="66"/>
      <c r="AK940" s="58"/>
      <c r="AL940" s="58"/>
      <c r="AM940" s="68" t="str">
        <f aca="false">IF(LEFT(AL940,1)="9","Celular",IF(AL940="","","Fixo"))</f>
        <v/>
      </c>
      <c r="AN940" s="58" t="str">
        <f aca="false">IF( AM940&lt;&gt;"",VLOOKUP(AM940,Selects!$M$4:$N$1000,2,0),"")</f>
        <v/>
      </c>
      <c r="AO940" s="58"/>
      <c r="AP940" s="59"/>
      <c r="AQ940" s="65"/>
      <c r="AR940" s="58"/>
      <c r="AS940" s="58"/>
      <c r="AT940" s="26"/>
      <c r="AU940" s="58"/>
      <c r="AV940" s="58"/>
      <c r="AW940" s="58"/>
      <c r="AX940" s="58"/>
      <c r="AY940" s="71"/>
      <c r="AZ940" s="58"/>
      <c r="BA940" s="58"/>
      <c r="BB940" s="72" t="str">
        <f aca="false">IF(BA940&lt;&gt;"",VLOOKUP(BA940,Selects!$B$4:$C$100,2,0),"")</f>
        <v/>
      </c>
      <c r="BC940" s="26"/>
      <c r="BD940" s="26"/>
      <c r="BE940" s="73"/>
      <c r="BF940" s="74"/>
      <c r="BG940" s="75" t="str">
        <f aca="false">IF(LEN(BF940)=11,"PF",IF(LEN(BF940)=14,"PJ",""))</f>
        <v/>
      </c>
      <c r="BH940" s="66"/>
      <c r="BI940" s="58" t="str">
        <f aca="false">IF(BH940&lt;&gt;"",VLOOKUP(BH940,Selects!$G:$H,2,0),"")</f>
        <v/>
      </c>
      <c r="BJ940" s="58"/>
      <c r="BK940" s="58"/>
      <c r="BL940" s="59"/>
      <c r="BM940" s="58"/>
      <c r="BN940" s="58"/>
      <c r="BO940" s="58" t="str">
        <f aca="false">IF(BN940&lt;&gt;"",VLOOKUP(BN940,Selects!$J$4:$K$1000,2,0),"")</f>
        <v/>
      </c>
      <c r="BP940" s="76"/>
      <c r="BQ940" s="59"/>
      <c r="BR940" s="77"/>
      <c r="BS940" s="59"/>
      <c r="BT940" s="77"/>
      <c r="BU940" s="58"/>
      <c r="BV940" s="58"/>
      <c r="BW940" s="58"/>
      <c r="BX940" s="58"/>
      <c r="BY940" s="58"/>
      <c r="BZ940" s="58"/>
      <c r="CA940" s="58"/>
      <c r="CB940" s="72" t="str">
        <f aca="false">IF(AC940&lt;&gt;"",VLOOKUP(AC940,Selects!$B:$E,4,0),"")</f>
        <v/>
      </c>
      <c r="CC940" s="58"/>
      <c r="CD940" s="58"/>
      <c r="CE940" s="58"/>
    </row>
    <row r="941" customFormat="false" ht="15.75" hidden="false" customHeight="true" outlineLevel="0" collapsed="false">
      <c r="A941" s="17"/>
      <c r="B941" s="58"/>
      <c r="C941" s="58"/>
      <c r="D941" s="59"/>
      <c r="E941" s="60" t="str">
        <f aca="false">IF(LEN(D941)=11,"PF",IF(LEN(D941)=14,"PJ",""))</f>
        <v/>
      </c>
      <c r="F941" s="59"/>
      <c r="G941" s="59"/>
      <c r="H941" s="61" t="str">
        <f aca="false">IF(G941&lt;&gt;"",VLOOKUP(G941,'Cnae  mcc  id'!$A:$M,9,0),"")</f>
        <v/>
      </c>
      <c r="I941" s="62"/>
      <c r="J941" s="63" t="str">
        <f aca="false">IF(I941&lt;&gt;"",VLOOKUP(I941,'Legal Nature'!$E$2:$G$84,3,0),"")</f>
        <v/>
      </c>
      <c r="K941" s="64"/>
      <c r="L941" s="65"/>
      <c r="M941" s="66"/>
      <c r="N941" s="66"/>
      <c r="O941" s="79"/>
      <c r="P941" s="26"/>
      <c r="Q941" s="58"/>
      <c r="R941" s="58"/>
      <c r="S941" s="80"/>
      <c r="T941" s="68" t="str">
        <f aca="false">IF(LEFT(S941,1)="9","Celular",IF(S941="","","Fixo"))</f>
        <v/>
      </c>
      <c r="U941" s="58" t="str">
        <f aca="false">IF( T941&lt;&gt;"",VLOOKUP(T941,Selects!$M$4:$N$1000,2,0),"")</f>
        <v/>
      </c>
      <c r="V941" s="26"/>
      <c r="W941" s="58"/>
      <c r="X941" s="58"/>
      <c r="Y941" s="58"/>
      <c r="Z941" s="58"/>
      <c r="AA941" s="69"/>
      <c r="AB941" s="58"/>
      <c r="AC941" s="58"/>
      <c r="AD941" s="70" t="str">
        <f aca="false">IF(AC941&lt;&gt;"",VLOOKUP(AC941,Selects!$B$4:$C$100,2,0),"")</f>
        <v/>
      </c>
      <c r="AE941" s="26"/>
      <c r="AF941" s="58"/>
      <c r="AG941" s="59"/>
      <c r="AH941" s="65"/>
      <c r="AI941" s="66"/>
      <c r="AJ941" s="66"/>
      <c r="AK941" s="58"/>
      <c r="AL941" s="58"/>
      <c r="AM941" s="68" t="str">
        <f aca="false">IF(LEFT(AL941,1)="9","Celular",IF(AL941="","","Fixo"))</f>
        <v/>
      </c>
      <c r="AN941" s="58" t="str">
        <f aca="false">IF( AM941&lt;&gt;"",VLOOKUP(AM941,Selects!$M$4:$N$1000,2,0),"")</f>
        <v/>
      </c>
      <c r="AO941" s="58"/>
      <c r="AP941" s="59"/>
      <c r="AQ941" s="65"/>
      <c r="AR941" s="58"/>
      <c r="AS941" s="58"/>
      <c r="AT941" s="26"/>
      <c r="AU941" s="58"/>
      <c r="AV941" s="58"/>
      <c r="AW941" s="58"/>
      <c r="AX941" s="58"/>
      <c r="AY941" s="71"/>
      <c r="AZ941" s="58"/>
      <c r="BA941" s="58"/>
      <c r="BB941" s="72" t="str">
        <f aca="false">IF(BA941&lt;&gt;"",VLOOKUP(BA941,Selects!$B$4:$C$100,2,0),"")</f>
        <v/>
      </c>
      <c r="BC941" s="26"/>
      <c r="BD941" s="26"/>
      <c r="BE941" s="73"/>
      <c r="BF941" s="74"/>
      <c r="BG941" s="75" t="str">
        <f aca="false">IF(LEN(BF941)=11,"PF",IF(LEN(BF941)=14,"PJ",""))</f>
        <v/>
      </c>
      <c r="BH941" s="66"/>
      <c r="BI941" s="58" t="str">
        <f aca="false">IF(BH941&lt;&gt;"",VLOOKUP(BH941,Selects!$G:$H,2,0),"")</f>
        <v/>
      </c>
      <c r="BJ941" s="58"/>
      <c r="BK941" s="58"/>
      <c r="BL941" s="59"/>
      <c r="BM941" s="58"/>
      <c r="BN941" s="58"/>
      <c r="BO941" s="58" t="str">
        <f aca="false">IF(BN941&lt;&gt;"",VLOOKUP(BN941,Selects!$J$4:$K$1000,2,0),"")</f>
        <v/>
      </c>
      <c r="BP941" s="76"/>
      <c r="BQ941" s="59"/>
      <c r="BR941" s="77"/>
      <c r="BS941" s="59"/>
      <c r="BT941" s="77"/>
      <c r="BU941" s="58"/>
      <c r="BV941" s="58"/>
      <c r="BW941" s="58"/>
      <c r="BX941" s="58"/>
      <c r="BY941" s="58"/>
      <c r="BZ941" s="58"/>
      <c r="CA941" s="58"/>
      <c r="CB941" s="72" t="str">
        <f aca="false">IF(AC941&lt;&gt;"",VLOOKUP(AC941,Selects!$B:$E,4,0),"")</f>
        <v/>
      </c>
      <c r="CC941" s="58"/>
      <c r="CD941" s="58"/>
      <c r="CE941" s="58"/>
    </row>
    <row r="942" customFormat="false" ht="15.75" hidden="false" customHeight="true" outlineLevel="0" collapsed="false">
      <c r="A942" s="17"/>
      <c r="B942" s="58"/>
      <c r="C942" s="58"/>
      <c r="D942" s="59"/>
      <c r="E942" s="60" t="str">
        <f aca="false">IF(LEN(D942)=11,"PF",IF(LEN(D942)=14,"PJ",""))</f>
        <v/>
      </c>
      <c r="F942" s="59"/>
      <c r="G942" s="59"/>
      <c r="H942" s="61" t="str">
        <f aca="false">IF(G942&lt;&gt;"",VLOOKUP(G942,'Cnae  mcc  id'!$A:$M,9,0),"")</f>
        <v/>
      </c>
      <c r="I942" s="62"/>
      <c r="J942" s="63" t="str">
        <f aca="false">IF(I942&lt;&gt;"",VLOOKUP(I942,'Legal Nature'!$E$2:$G$84,3,0),"")</f>
        <v/>
      </c>
      <c r="K942" s="64"/>
      <c r="L942" s="65"/>
      <c r="M942" s="66"/>
      <c r="N942" s="66"/>
      <c r="O942" s="79"/>
      <c r="P942" s="26"/>
      <c r="Q942" s="58"/>
      <c r="R942" s="58"/>
      <c r="S942" s="80"/>
      <c r="T942" s="68" t="str">
        <f aca="false">IF(LEFT(S942,1)="9","Celular",IF(S942="","","Fixo"))</f>
        <v/>
      </c>
      <c r="U942" s="58" t="str">
        <f aca="false">IF( T942&lt;&gt;"",VLOOKUP(T942,Selects!$M$4:$N$1000,2,0),"")</f>
        <v/>
      </c>
      <c r="V942" s="26"/>
      <c r="W942" s="58"/>
      <c r="X942" s="58"/>
      <c r="Y942" s="58"/>
      <c r="Z942" s="58"/>
      <c r="AA942" s="69"/>
      <c r="AB942" s="58"/>
      <c r="AC942" s="58"/>
      <c r="AD942" s="70" t="str">
        <f aca="false">IF(AC942&lt;&gt;"",VLOOKUP(AC942,Selects!$B$4:$C$100,2,0),"")</f>
        <v/>
      </c>
      <c r="AE942" s="26"/>
      <c r="AF942" s="58"/>
      <c r="AG942" s="59"/>
      <c r="AH942" s="65"/>
      <c r="AI942" s="66"/>
      <c r="AJ942" s="66"/>
      <c r="AK942" s="58"/>
      <c r="AL942" s="58"/>
      <c r="AM942" s="68" t="str">
        <f aca="false">IF(LEFT(AL942,1)="9","Celular",IF(AL942="","","Fixo"))</f>
        <v/>
      </c>
      <c r="AN942" s="58" t="str">
        <f aca="false">IF( AM942&lt;&gt;"",VLOOKUP(AM942,Selects!$M$4:$N$1000,2,0),"")</f>
        <v/>
      </c>
      <c r="AO942" s="58"/>
      <c r="AP942" s="59"/>
      <c r="AQ942" s="65"/>
      <c r="AR942" s="58"/>
      <c r="AS942" s="58"/>
      <c r="AT942" s="26"/>
      <c r="AU942" s="58"/>
      <c r="AV942" s="58"/>
      <c r="AW942" s="58"/>
      <c r="AX942" s="58"/>
      <c r="AY942" s="71"/>
      <c r="AZ942" s="58"/>
      <c r="BA942" s="58"/>
      <c r="BB942" s="72" t="str">
        <f aca="false">IF(BA942&lt;&gt;"",VLOOKUP(BA942,Selects!$B$4:$C$100,2,0),"")</f>
        <v/>
      </c>
      <c r="BC942" s="26"/>
      <c r="BD942" s="26"/>
      <c r="BE942" s="73"/>
      <c r="BF942" s="74"/>
      <c r="BG942" s="75" t="str">
        <f aca="false">IF(LEN(BF942)=11,"PF",IF(LEN(BF942)=14,"PJ",""))</f>
        <v/>
      </c>
      <c r="BH942" s="66"/>
      <c r="BI942" s="58" t="str">
        <f aca="false">IF(BH942&lt;&gt;"",VLOOKUP(BH942,Selects!$G:$H,2,0),"")</f>
        <v/>
      </c>
      <c r="BJ942" s="58"/>
      <c r="BK942" s="58"/>
      <c r="BL942" s="59"/>
      <c r="BM942" s="58"/>
      <c r="BN942" s="58"/>
      <c r="BO942" s="58" t="str">
        <f aca="false">IF(BN942&lt;&gt;"",VLOOKUP(BN942,Selects!$J$4:$K$1000,2,0),"")</f>
        <v/>
      </c>
      <c r="BP942" s="76"/>
      <c r="BQ942" s="59"/>
      <c r="BR942" s="77"/>
      <c r="BS942" s="59"/>
      <c r="BT942" s="77"/>
      <c r="BU942" s="58"/>
      <c r="BV942" s="58"/>
      <c r="BW942" s="58"/>
      <c r="BX942" s="58"/>
      <c r="BY942" s="58"/>
      <c r="BZ942" s="58"/>
      <c r="CA942" s="58"/>
      <c r="CB942" s="72" t="str">
        <f aca="false">IF(AC942&lt;&gt;"",VLOOKUP(AC942,Selects!$B:$E,4,0),"")</f>
        <v/>
      </c>
      <c r="CC942" s="58"/>
      <c r="CD942" s="58"/>
      <c r="CE942" s="58"/>
    </row>
    <row r="943" customFormat="false" ht="15.75" hidden="false" customHeight="true" outlineLevel="0" collapsed="false">
      <c r="A943" s="17"/>
      <c r="B943" s="58"/>
      <c r="C943" s="58"/>
      <c r="D943" s="59"/>
      <c r="E943" s="60" t="str">
        <f aca="false">IF(LEN(D943)=11,"PF",IF(LEN(D943)=14,"PJ",""))</f>
        <v/>
      </c>
      <c r="F943" s="59"/>
      <c r="G943" s="59"/>
      <c r="H943" s="61" t="str">
        <f aca="false">IF(G943&lt;&gt;"",VLOOKUP(G943,'Cnae  mcc  id'!$A:$M,9,0),"")</f>
        <v/>
      </c>
      <c r="I943" s="62"/>
      <c r="J943" s="63" t="str">
        <f aca="false">IF(I943&lt;&gt;"",VLOOKUP(I943,'Legal Nature'!$E$2:$G$84,3,0),"")</f>
        <v/>
      </c>
      <c r="K943" s="64"/>
      <c r="L943" s="65"/>
      <c r="M943" s="66"/>
      <c r="N943" s="66"/>
      <c r="O943" s="79"/>
      <c r="P943" s="26"/>
      <c r="Q943" s="58"/>
      <c r="R943" s="58"/>
      <c r="S943" s="80"/>
      <c r="T943" s="68" t="str">
        <f aca="false">IF(LEFT(S943,1)="9","Celular",IF(S943="","","Fixo"))</f>
        <v/>
      </c>
      <c r="U943" s="58" t="str">
        <f aca="false">IF( T943&lt;&gt;"",VLOOKUP(T943,Selects!$M$4:$N$1000,2,0),"")</f>
        <v/>
      </c>
      <c r="V943" s="26"/>
      <c r="W943" s="58"/>
      <c r="X943" s="58"/>
      <c r="Y943" s="58"/>
      <c r="Z943" s="58"/>
      <c r="AA943" s="69"/>
      <c r="AB943" s="58"/>
      <c r="AC943" s="58"/>
      <c r="AD943" s="70" t="str">
        <f aca="false">IF(AC943&lt;&gt;"",VLOOKUP(AC943,Selects!$B$4:$C$100,2,0),"")</f>
        <v/>
      </c>
      <c r="AE943" s="26"/>
      <c r="AF943" s="58"/>
      <c r="AG943" s="59"/>
      <c r="AH943" s="65"/>
      <c r="AI943" s="66"/>
      <c r="AJ943" s="66"/>
      <c r="AK943" s="58"/>
      <c r="AL943" s="58"/>
      <c r="AM943" s="68" t="str">
        <f aca="false">IF(LEFT(AL943,1)="9","Celular",IF(AL943="","","Fixo"))</f>
        <v/>
      </c>
      <c r="AN943" s="58" t="str">
        <f aca="false">IF( AM943&lt;&gt;"",VLOOKUP(AM943,Selects!$M$4:$N$1000,2,0),"")</f>
        <v/>
      </c>
      <c r="AO943" s="58"/>
      <c r="AP943" s="59"/>
      <c r="AQ943" s="65"/>
      <c r="AR943" s="58"/>
      <c r="AS943" s="58"/>
      <c r="AT943" s="26"/>
      <c r="AU943" s="58"/>
      <c r="AV943" s="58"/>
      <c r="AW943" s="58"/>
      <c r="AX943" s="58"/>
      <c r="AY943" s="71"/>
      <c r="AZ943" s="58"/>
      <c r="BA943" s="58"/>
      <c r="BB943" s="72" t="str">
        <f aca="false">IF(BA943&lt;&gt;"",VLOOKUP(BA943,Selects!$B$4:$C$100,2,0),"")</f>
        <v/>
      </c>
      <c r="BC943" s="26"/>
      <c r="BD943" s="26"/>
      <c r="BE943" s="73"/>
      <c r="BF943" s="74"/>
      <c r="BG943" s="75" t="str">
        <f aca="false">IF(LEN(BF943)=11,"PF",IF(LEN(BF943)=14,"PJ",""))</f>
        <v/>
      </c>
      <c r="BH943" s="66"/>
      <c r="BI943" s="58" t="str">
        <f aca="false">IF(BH943&lt;&gt;"",VLOOKUP(BH943,Selects!$G:$H,2,0),"")</f>
        <v/>
      </c>
      <c r="BJ943" s="58"/>
      <c r="BK943" s="58"/>
      <c r="BL943" s="59"/>
      <c r="BM943" s="58"/>
      <c r="BN943" s="58"/>
      <c r="BO943" s="58" t="str">
        <f aca="false">IF(BN943&lt;&gt;"",VLOOKUP(BN943,Selects!$J$4:$K$1000,2,0),"")</f>
        <v/>
      </c>
      <c r="BP943" s="76"/>
      <c r="BQ943" s="59"/>
      <c r="BR943" s="77"/>
      <c r="BS943" s="59"/>
      <c r="BT943" s="77"/>
      <c r="BU943" s="58"/>
      <c r="BV943" s="58"/>
      <c r="BW943" s="58"/>
      <c r="BX943" s="58"/>
      <c r="BY943" s="58"/>
      <c r="BZ943" s="58"/>
      <c r="CA943" s="58"/>
      <c r="CB943" s="72" t="str">
        <f aca="false">IF(AC943&lt;&gt;"",VLOOKUP(AC943,Selects!$B:$E,4,0),"")</f>
        <v/>
      </c>
      <c r="CC943" s="58"/>
      <c r="CD943" s="58"/>
      <c r="CE943" s="58"/>
    </row>
    <row r="944" customFormat="false" ht="15.75" hidden="false" customHeight="true" outlineLevel="0" collapsed="false">
      <c r="A944" s="17"/>
      <c r="B944" s="58"/>
      <c r="C944" s="58"/>
      <c r="D944" s="59"/>
      <c r="E944" s="60" t="str">
        <f aca="false">IF(LEN(D944)=11,"PF",IF(LEN(D944)=14,"PJ",""))</f>
        <v/>
      </c>
      <c r="F944" s="59"/>
      <c r="G944" s="59"/>
      <c r="H944" s="61" t="str">
        <f aca="false">IF(G944&lt;&gt;"",VLOOKUP(G944,'Cnae  mcc  id'!$A:$M,9,0),"")</f>
        <v/>
      </c>
      <c r="I944" s="62"/>
      <c r="J944" s="63" t="str">
        <f aca="false">IF(I944&lt;&gt;"",VLOOKUP(I944,'Legal Nature'!$E$2:$G$84,3,0),"")</f>
        <v/>
      </c>
      <c r="K944" s="64"/>
      <c r="L944" s="65"/>
      <c r="M944" s="66"/>
      <c r="N944" s="66"/>
      <c r="O944" s="79"/>
      <c r="P944" s="26"/>
      <c r="Q944" s="58"/>
      <c r="R944" s="58"/>
      <c r="S944" s="80"/>
      <c r="T944" s="68" t="str">
        <f aca="false">IF(LEFT(S944,1)="9","Celular",IF(S944="","","Fixo"))</f>
        <v/>
      </c>
      <c r="U944" s="58" t="str">
        <f aca="false">IF( T944&lt;&gt;"",VLOOKUP(T944,Selects!$M$4:$N$1000,2,0),"")</f>
        <v/>
      </c>
      <c r="V944" s="26"/>
      <c r="W944" s="58"/>
      <c r="X944" s="58"/>
      <c r="Y944" s="58"/>
      <c r="Z944" s="58"/>
      <c r="AA944" s="69"/>
      <c r="AB944" s="58"/>
      <c r="AC944" s="58"/>
      <c r="AD944" s="70" t="str">
        <f aca="false">IF(AC944&lt;&gt;"",VLOOKUP(AC944,Selects!$B$4:$C$100,2,0),"")</f>
        <v/>
      </c>
      <c r="AE944" s="26"/>
      <c r="AF944" s="58"/>
      <c r="AG944" s="59"/>
      <c r="AH944" s="65"/>
      <c r="AI944" s="66"/>
      <c r="AJ944" s="66"/>
      <c r="AK944" s="58"/>
      <c r="AL944" s="58"/>
      <c r="AM944" s="68" t="str">
        <f aca="false">IF(LEFT(AL944,1)="9","Celular",IF(AL944="","","Fixo"))</f>
        <v/>
      </c>
      <c r="AN944" s="58" t="str">
        <f aca="false">IF( AM944&lt;&gt;"",VLOOKUP(AM944,Selects!$M$4:$N$1000,2,0),"")</f>
        <v/>
      </c>
      <c r="AO944" s="58"/>
      <c r="AP944" s="59"/>
      <c r="AQ944" s="65"/>
      <c r="AR944" s="58"/>
      <c r="AS944" s="58"/>
      <c r="AT944" s="26"/>
      <c r="AU944" s="58"/>
      <c r="AV944" s="58"/>
      <c r="AW944" s="58"/>
      <c r="AX944" s="58"/>
      <c r="AY944" s="71"/>
      <c r="AZ944" s="58"/>
      <c r="BA944" s="58"/>
      <c r="BB944" s="72" t="str">
        <f aca="false">IF(BA944&lt;&gt;"",VLOOKUP(BA944,Selects!$B$4:$C$100,2,0),"")</f>
        <v/>
      </c>
      <c r="BC944" s="26"/>
      <c r="BD944" s="26"/>
      <c r="BE944" s="73"/>
      <c r="BF944" s="74"/>
      <c r="BG944" s="75" t="str">
        <f aca="false">IF(LEN(BF944)=11,"PF",IF(LEN(BF944)=14,"PJ",""))</f>
        <v/>
      </c>
      <c r="BH944" s="66"/>
      <c r="BI944" s="58" t="str">
        <f aca="false">IF(BH944&lt;&gt;"",VLOOKUP(BH944,Selects!$G:$H,2,0),"")</f>
        <v/>
      </c>
      <c r="BJ944" s="58"/>
      <c r="BK944" s="58"/>
      <c r="BL944" s="59"/>
      <c r="BM944" s="58"/>
      <c r="BN944" s="58"/>
      <c r="BO944" s="58" t="str">
        <f aca="false">IF(BN944&lt;&gt;"",VLOOKUP(BN944,Selects!$J$4:$K$1000,2,0),"")</f>
        <v/>
      </c>
      <c r="BP944" s="76"/>
      <c r="BQ944" s="59"/>
      <c r="BR944" s="77"/>
      <c r="BS944" s="59"/>
      <c r="BT944" s="77"/>
      <c r="BU944" s="58"/>
      <c r="BV944" s="58"/>
      <c r="BW944" s="58"/>
      <c r="BX944" s="58"/>
      <c r="BY944" s="58"/>
      <c r="BZ944" s="58"/>
      <c r="CA944" s="58"/>
      <c r="CB944" s="72" t="str">
        <f aca="false">IF(AC944&lt;&gt;"",VLOOKUP(AC944,Selects!$B:$E,4,0),"")</f>
        <v/>
      </c>
      <c r="CC944" s="58"/>
      <c r="CD944" s="58"/>
      <c r="CE944" s="58"/>
    </row>
    <row r="945" customFormat="false" ht="15.75" hidden="false" customHeight="true" outlineLevel="0" collapsed="false">
      <c r="A945" s="17"/>
      <c r="B945" s="58"/>
      <c r="C945" s="58"/>
      <c r="D945" s="59"/>
      <c r="E945" s="60" t="str">
        <f aca="false">IF(LEN(D945)=11,"PF",IF(LEN(D945)=14,"PJ",""))</f>
        <v/>
      </c>
      <c r="F945" s="59"/>
      <c r="G945" s="59"/>
      <c r="H945" s="61" t="str">
        <f aca="false">IF(G945&lt;&gt;"",VLOOKUP(G945,'Cnae  mcc  id'!$A:$M,9,0),"")</f>
        <v/>
      </c>
      <c r="I945" s="62"/>
      <c r="J945" s="63" t="str">
        <f aca="false">IF(I945&lt;&gt;"",VLOOKUP(I945,'Legal Nature'!$E$2:$G$84,3,0),"")</f>
        <v/>
      </c>
      <c r="K945" s="64"/>
      <c r="L945" s="65"/>
      <c r="M945" s="66"/>
      <c r="N945" s="66"/>
      <c r="O945" s="79"/>
      <c r="P945" s="26"/>
      <c r="Q945" s="58"/>
      <c r="R945" s="58"/>
      <c r="S945" s="80"/>
      <c r="T945" s="68" t="str">
        <f aca="false">IF(LEFT(S945,1)="9","Celular",IF(S945="","","Fixo"))</f>
        <v/>
      </c>
      <c r="U945" s="58" t="str">
        <f aca="false">IF( T945&lt;&gt;"",VLOOKUP(T945,Selects!$M$4:$N$1000,2,0),"")</f>
        <v/>
      </c>
      <c r="V945" s="26"/>
      <c r="W945" s="58"/>
      <c r="X945" s="58"/>
      <c r="Y945" s="58"/>
      <c r="Z945" s="58"/>
      <c r="AA945" s="69"/>
      <c r="AB945" s="58"/>
      <c r="AC945" s="58"/>
      <c r="AD945" s="70" t="str">
        <f aca="false">IF(AC945&lt;&gt;"",VLOOKUP(AC945,Selects!$B$4:$C$100,2,0),"")</f>
        <v/>
      </c>
      <c r="AE945" s="26"/>
      <c r="AF945" s="58"/>
      <c r="AG945" s="59"/>
      <c r="AH945" s="65"/>
      <c r="AI945" s="66"/>
      <c r="AJ945" s="66"/>
      <c r="AK945" s="58"/>
      <c r="AL945" s="58"/>
      <c r="AM945" s="68" t="str">
        <f aca="false">IF(LEFT(AL945,1)="9","Celular",IF(AL945="","","Fixo"))</f>
        <v/>
      </c>
      <c r="AN945" s="58" t="str">
        <f aca="false">IF( AM945&lt;&gt;"",VLOOKUP(AM945,Selects!$M$4:$N$1000,2,0),"")</f>
        <v/>
      </c>
      <c r="AO945" s="58"/>
      <c r="AP945" s="59"/>
      <c r="AQ945" s="65"/>
      <c r="AR945" s="58"/>
      <c r="AS945" s="58"/>
      <c r="AT945" s="26"/>
      <c r="AU945" s="58"/>
      <c r="AV945" s="58"/>
      <c r="AW945" s="58"/>
      <c r="AX945" s="58"/>
      <c r="AY945" s="71"/>
      <c r="AZ945" s="58"/>
      <c r="BA945" s="58"/>
      <c r="BB945" s="72" t="str">
        <f aca="false">IF(BA945&lt;&gt;"",VLOOKUP(BA945,Selects!$B$4:$C$100,2,0),"")</f>
        <v/>
      </c>
      <c r="BC945" s="26"/>
      <c r="BD945" s="26"/>
      <c r="BE945" s="73"/>
      <c r="BF945" s="74"/>
      <c r="BG945" s="75" t="str">
        <f aca="false">IF(LEN(BF945)=11,"PF",IF(LEN(BF945)=14,"PJ",""))</f>
        <v/>
      </c>
      <c r="BH945" s="66"/>
      <c r="BI945" s="58" t="str">
        <f aca="false">IF(BH945&lt;&gt;"",VLOOKUP(BH945,Selects!$G:$H,2,0),"")</f>
        <v/>
      </c>
      <c r="BJ945" s="58"/>
      <c r="BK945" s="58"/>
      <c r="BL945" s="59"/>
      <c r="BM945" s="58"/>
      <c r="BN945" s="58"/>
      <c r="BO945" s="58" t="str">
        <f aca="false">IF(BN945&lt;&gt;"",VLOOKUP(BN945,Selects!$J$4:$K$1000,2,0),"")</f>
        <v/>
      </c>
      <c r="BP945" s="76"/>
      <c r="BQ945" s="59"/>
      <c r="BR945" s="77"/>
      <c r="BS945" s="59"/>
      <c r="BT945" s="77"/>
      <c r="BU945" s="58"/>
      <c r="BV945" s="58"/>
      <c r="BW945" s="58"/>
      <c r="BX945" s="58"/>
      <c r="BY945" s="58"/>
      <c r="BZ945" s="58"/>
      <c r="CA945" s="58"/>
      <c r="CB945" s="72" t="str">
        <f aca="false">IF(AC945&lt;&gt;"",VLOOKUP(AC945,Selects!$B:$E,4,0),"")</f>
        <v/>
      </c>
      <c r="CC945" s="58"/>
      <c r="CD945" s="58"/>
      <c r="CE945" s="58"/>
    </row>
    <row r="946" customFormat="false" ht="15.75" hidden="false" customHeight="true" outlineLevel="0" collapsed="false">
      <c r="A946" s="17"/>
      <c r="B946" s="58"/>
      <c r="C946" s="58"/>
      <c r="D946" s="59"/>
      <c r="E946" s="60" t="str">
        <f aca="false">IF(LEN(D946)=11,"PF",IF(LEN(D946)=14,"PJ",""))</f>
        <v/>
      </c>
      <c r="F946" s="59"/>
      <c r="G946" s="59"/>
      <c r="H946" s="61" t="str">
        <f aca="false">IF(G946&lt;&gt;"",VLOOKUP(G946,'Cnae  mcc  id'!$A:$M,9,0),"")</f>
        <v/>
      </c>
      <c r="I946" s="62"/>
      <c r="J946" s="63" t="str">
        <f aca="false">IF(I946&lt;&gt;"",VLOOKUP(I946,'Legal Nature'!$E$2:$G$84,3,0),"")</f>
        <v/>
      </c>
      <c r="K946" s="64"/>
      <c r="L946" s="65"/>
      <c r="M946" s="66"/>
      <c r="N946" s="66"/>
      <c r="O946" s="79"/>
      <c r="P946" s="26"/>
      <c r="Q946" s="58"/>
      <c r="R946" s="58"/>
      <c r="S946" s="80"/>
      <c r="T946" s="68" t="str">
        <f aca="false">IF(LEFT(S946,1)="9","Celular",IF(S946="","","Fixo"))</f>
        <v/>
      </c>
      <c r="U946" s="58" t="str">
        <f aca="false">IF( T946&lt;&gt;"",VLOOKUP(T946,Selects!$M$4:$N$1000,2,0),"")</f>
        <v/>
      </c>
      <c r="V946" s="26"/>
      <c r="W946" s="58"/>
      <c r="X946" s="58"/>
      <c r="Y946" s="58"/>
      <c r="Z946" s="58"/>
      <c r="AA946" s="69"/>
      <c r="AB946" s="58"/>
      <c r="AC946" s="58"/>
      <c r="AD946" s="70" t="str">
        <f aca="false">IF(AC946&lt;&gt;"",VLOOKUP(AC946,Selects!$B$4:$C$100,2,0),"")</f>
        <v/>
      </c>
      <c r="AE946" s="26"/>
      <c r="AF946" s="58"/>
      <c r="AG946" s="59"/>
      <c r="AH946" s="65"/>
      <c r="AI946" s="66"/>
      <c r="AJ946" s="66"/>
      <c r="AK946" s="58"/>
      <c r="AL946" s="58"/>
      <c r="AM946" s="68" t="str">
        <f aca="false">IF(LEFT(AL946,1)="9","Celular",IF(AL946="","","Fixo"))</f>
        <v/>
      </c>
      <c r="AN946" s="58" t="str">
        <f aca="false">IF( AM946&lt;&gt;"",VLOOKUP(AM946,Selects!$M$4:$N$1000,2,0),"")</f>
        <v/>
      </c>
      <c r="AO946" s="58"/>
      <c r="AP946" s="59"/>
      <c r="AQ946" s="65"/>
      <c r="AR946" s="58"/>
      <c r="AS946" s="58"/>
      <c r="AT946" s="26"/>
      <c r="AU946" s="58"/>
      <c r="AV946" s="58"/>
      <c r="AW946" s="58"/>
      <c r="AX946" s="58"/>
      <c r="AY946" s="71"/>
      <c r="AZ946" s="58"/>
      <c r="BA946" s="58"/>
      <c r="BB946" s="72" t="str">
        <f aca="false">IF(BA946&lt;&gt;"",VLOOKUP(BA946,Selects!$B$4:$C$100,2,0),"")</f>
        <v/>
      </c>
      <c r="BC946" s="26"/>
      <c r="BD946" s="26"/>
      <c r="BE946" s="73"/>
      <c r="BF946" s="74"/>
      <c r="BG946" s="75" t="str">
        <f aca="false">IF(LEN(BF946)=11,"PF",IF(LEN(BF946)=14,"PJ",""))</f>
        <v/>
      </c>
      <c r="BH946" s="66"/>
      <c r="BI946" s="58" t="str">
        <f aca="false">IF(BH946&lt;&gt;"",VLOOKUP(BH946,Selects!$G:$H,2,0),"")</f>
        <v/>
      </c>
      <c r="BJ946" s="58"/>
      <c r="BK946" s="58"/>
      <c r="BL946" s="59"/>
      <c r="BM946" s="58"/>
      <c r="BN946" s="58"/>
      <c r="BO946" s="58" t="str">
        <f aca="false">IF(BN946&lt;&gt;"",VLOOKUP(BN946,Selects!$J$4:$K$1000,2,0),"")</f>
        <v/>
      </c>
      <c r="BP946" s="76"/>
      <c r="BQ946" s="59"/>
      <c r="BR946" s="77"/>
      <c r="BS946" s="59"/>
      <c r="BT946" s="77"/>
      <c r="BU946" s="58"/>
      <c r="BV946" s="58"/>
      <c r="BW946" s="58"/>
      <c r="BX946" s="58"/>
      <c r="BY946" s="58"/>
      <c r="BZ946" s="58"/>
      <c r="CA946" s="58"/>
      <c r="CB946" s="72" t="str">
        <f aca="false">IF(AC946&lt;&gt;"",VLOOKUP(AC946,Selects!$B:$E,4,0),"")</f>
        <v/>
      </c>
      <c r="CC946" s="58"/>
      <c r="CD946" s="58"/>
      <c r="CE946" s="58"/>
    </row>
    <row r="947" customFormat="false" ht="15.75" hidden="false" customHeight="true" outlineLevel="0" collapsed="false">
      <c r="A947" s="17"/>
      <c r="B947" s="58"/>
      <c r="C947" s="58"/>
      <c r="D947" s="59"/>
      <c r="E947" s="60" t="str">
        <f aca="false">IF(LEN(D947)=11,"PF",IF(LEN(D947)=14,"PJ",""))</f>
        <v/>
      </c>
      <c r="F947" s="59"/>
      <c r="G947" s="59"/>
      <c r="H947" s="61" t="str">
        <f aca="false">IF(G947&lt;&gt;"",VLOOKUP(G947,'Cnae  mcc  id'!$A:$M,9,0),"")</f>
        <v/>
      </c>
      <c r="I947" s="62"/>
      <c r="J947" s="63" t="str">
        <f aca="false">IF(I947&lt;&gt;"",VLOOKUP(I947,'Legal Nature'!$E$2:$G$84,3,0),"")</f>
        <v/>
      </c>
      <c r="K947" s="64"/>
      <c r="L947" s="65"/>
      <c r="M947" s="66"/>
      <c r="N947" s="66"/>
      <c r="O947" s="79"/>
      <c r="P947" s="26"/>
      <c r="Q947" s="58"/>
      <c r="R947" s="58"/>
      <c r="S947" s="80"/>
      <c r="T947" s="68" t="str">
        <f aca="false">IF(LEFT(S947,1)="9","Celular",IF(S947="","","Fixo"))</f>
        <v/>
      </c>
      <c r="U947" s="58" t="str">
        <f aca="false">IF( T947&lt;&gt;"",VLOOKUP(T947,Selects!$M$4:$N$1000,2,0),"")</f>
        <v/>
      </c>
      <c r="V947" s="26"/>
      <c r="W947" s="58"/>
      <c r="X947" s="58"/>
      <c r="Y947" s="58"/>
      <c r="Z947" s="58"/>
      <c r="AA947" s="69"/>
      <c r="AB947" s="58"/>
      <c r="AC947" s="58"/>
      <c r="AD947" s="70" t="str">
        <f aca="false">IF(AC947&lt;&gt;"",VLOOKUP(AC947,Selects!$B$4:$C$100,2,0),"")</f>
        <v/>
      </c>
      <c r="AE947" s="26"/>
      <c r="AF947" s="58"/>
      <c r="AG947" s="59"/>
      <c r="AH947" s="65"/>
      <c r="AI947" s="66"/>
      <c r="AJ947" s="66"/>
      <c r="AK947" s="58"/>
      <c r="AL947" s="58"/>
      <c r="AM947" s="68" t="str">
        <f aca="false">IF(LEFT(AL947,1)="9","Celular",IF(AL947="","","Fixo"))</f>
        <v/>
      </c>
      <c r="AN947" s="58" t="str">
        <f aca="false">IF( AM947&lt;&gt;"",VLOOKUP(AM947,Selects!$M$4:$N$1000,2,0),"")</f>
        <v/>
      </c>
      <c r="AO947" s="58"/>
      <c r="AP947" s="59"/>
      <c r="AQ947" s="65"/>
      <c r="AR947" s="58"/>
      <c r="AS947" s="58"/>
      <c r="AT947" s="26"/>
      <c r="AU947" s="58"/>
      <c r="AV947" s="58"/>
      <c r="AW947" s="58"/>
      <c r="AX947" s="58"/>
      <c r="AY947" s="71"/>
      <c r="AZ947" s="58"/>
      <c r="BA947" s="58"/>
      <c r="BB947" s="72" t="str">
        <f aca="false">IF(BA947&lt;&gt;"",VLOOKUP(BA947,Selects!$B$4:$C$100,2,0),"")</f>
        <v/>
      </c>
      <c r="BC947" s="26"/>
      <c r="BD947" s="26"/>
      <c r="BE947" s="73"/>
      <c r="BF947" s="74"/>
      <c r="BG947" s="75" t="str">
        <f aca="false">IF(LEN(BF947)=11,"PF",IF(LEN(BF947)=14,"PJ",""))</f>
        <v/>
      </c>
      <c r="BH947" s="66"/>
      <c r="BI947" s="58" t="str">
        <f aca="false">IF(BH947&lt;&gt;"",VLOOKUP(BH947,Selects!$G:$H,2,0),"")</f>
        <v/>
      </c>
      <c r="BJ947" s="58"/>
      <c r="BK947" s="58"/>
      <c r="BL947" s="59"/>
      <c r="BM947" s="58"/>
      <c r="BN947" s="58"/>
      <c r="BO947" s="58" t="str">
        <f aca="false">IF(BN947&lt;&gt;"",VLOOKUP(BN947,Selects!$J$4:$K$1000,2,0),"")</f>
        <v/>
      </c>
      <c r="BP947" s="76"/>
      <c r="BQ947" s="59"/>
      <c r="BR947" s="77"/>
      <c r="BS947" s="59"/>
      <c r="BT947" s="77"/>
      <c r="BU947" s="58"/>
      <c r="BV947" s="58"/>
      <c r="BW947" s="58"/>
      <c r="BX947" s="58"/>
      <c r="BY947" s="58"/>
      <c r="BZ947" s="58"/>
      <c r="CA947" s="58"/>
      <c r="CB947" s="72" t="str">
        <f aca="false">IF(AC947&lt;&gt;"",VLOOKUP(AC947,Selects!$B:$E,4,0),"")</f>
        <v/>
      </c>
      <c r="CC947" s="58"/>
      <c r="CD947" s="58"/>
      <c r="CE947" s="58"/>
    </row>
    <row r="948" customFormat="false" ht="15.75" hidden="false" customHeight="true" outlineLevel="0" collapsed="false">
      <c r="A948" s="17"/>
      <c r="B948" s="58"/>
      <c r="C948" s="58"/>
      <c r="D948" s="59"/>
      <c r="E948" s="60" t="str">
        <f aca="false">IF(LEN(D948)=11,"PF",IF(LEN(D948)=14,"PJ",""))</f>
        <v/>
      </c>
      <c r="F948" s="59"/>
      <c r="G948" s="59"/>
      <c r="H948" s="61" t="str">
        <f aca="false">IF(G948&lt;&gt;"",VLOOKUP(G948,'Cnae  mcc  id'!$A:$M,9,0),"")</f>
        <v/>
      </c>
      <c r="I948" s="62"/>
      <c r="J948" s="63" t="str">
        <f aca="false">IF(I948&lt;&gt;"",VLOOKUP(I948,'Legal Nature'!$E$2:$G$84,3,0),"")</f>
        <v/>
      </c>
      <c r="K948" s="64"/>
      <c r="L948" s="65"/>
      <c r="M948" s="66"/>
      <c r="N948" s="66"/>
      <c r="O948" s="79"/>
      <c r="P948" s="26"/>
      <c r="Q948" s="58"/>
      <c r="R948" s="58"/>
      <c r="S948" s="80"/>
      <c r="T948" s="68" t="str">
        <f aca="false">IF(LEFT(S948,1)="9","Celular",IF(S948="","","Fixo"))</f>
        <v/>
      </c>
      <c r="U948" s="58" t="str">
        <f aca="false">IF( T948&lt;&gt;"",VLOOKUP(T948,Selects!$M$4:$N$1000,2,0),"")</f>
        <v/>
      </c>
      <c r="V948" s="26"/>
      <c r="W948" s="58"/>
      <c r="X948" s="58"/>
      <c r="Y948" s="58"/>
      <c r="Z948" s="58"/>
      <c r="AA948" s="69"/>
      <c r="AB948" s="58"/>
      <c r="AC948" s="58"/>
      <c r="AD948" s="70" t="str">
        <f aca="false">IF(AC948&lt;&gt;"",VLOOKUP(AC948,Selects!$B$4:$C$100,2,0),"")</f>
        <v/>
      </c>
      <c r="AE948" s="26"/>
      <c r="AF948" s="58"/>
      <c r="AG948" s="59"/>
      <c r="AH948" s="65"/>
      <c r="AI948" s="66"/>
      <c r="AJ948" s="66"/>
      <c r="AK948" s="58"/>
      <c r="AL948" s="58"/>
      <c r="AM948" s="68" t="str">
        <f aca="false">IF(LEFT(AL948,1)="9","Celular",IF(AL948="","","Fixo"))</f>
        <v/>
      </c>
      <c r="AN948" s="58" t="str">
        <f aca="false">IF( AM948&lt;&gt;"",VLOOKUP(AM948,Selects!$M$4:$N$1000,2,0),"")</f>
        <v/>
      </c>
      <c r="AO948" s="58"/>
      <c r="AP948" s="59"/>
      <c r="AQ948" s="65"/>
      <c r="AR948" s="58"/>
      <c r="AS948" s="58"/>
      <c r="AT948" s="26"/>
      <c r="AU948" s="58"/>
      <c r="AV948" s="58"/>
      <c r="AW948" s="58"/>
      <c r="AX948" s="58"/>
      <c r="AY948" s="71"/>
      <c r="AZ948" s="58"/>
      <c r="BA948" s="58"/>
      <c r="BB948" s="72" t="str">
        <f aca="false">IF(BA948&lt;&gt;"",VLOOKUP(BA948,Selects!$B$4:$C$100,2,0),"")</f>
        <v/>
      </c>
      <c r="BC948" s="26"/>
      <c r="BD948" s="26"/>
      <c r="BE948" s="73"/>
      <c r="BF948" s="74"/>
      <c r="BG948" s="75" t="str">
        <f aca="false">IF(LEN(BF948)=11,"PF",IF(LEN(BF948)=14,"PJ",""))</f>
        <v/>
      </c>
      <c r="BH948" s="66"/>
      <c r="BI948" s="58" t="str">
        <f aca="false">IF(BH948&lt;&gt;"",VLOOKUP(BH948,Selects!$G:$H,2,0),"")</f>
        <v/>
      </c>
      <c r="BJ948" s="58"/>
      <c r="BK948" s="58"/>
      <c r="BL948" s="59"/>
      <c r="BM948" s="58"/>
      <c r="BN948" s="58"/>
      <c r="BO948" s="58" t="str">
        <f aca="false">IF(BN948&lt;&gt;"",VLOOKUP(BN948,Selects!$J$4:$K$1000,2,0),"")</f>
        <v/>
      </c>
      <c r="BP948" s="76"/>
      <c r="BQ948" s="59"/>
      <c r="BR948" s="77"/>
      <c r="BS948" s="59"/>
      <c r="BT948" s="77"/>
      <c r="BU948" s="58"/>
      <c r="BV948" s="58"/>
      <c r="BW948" s="58"/>
      <c r="BX948" s="58"/>
      <c r="BY948" s="58"/>
      <c r="BZ948" s="58"/>
      <c r="CA948" s="58"/>
      <c r="CB948" s="72" t="str">
        <f aca="false">IF(AC948&lt;&gt;"",VLOOKUP(AC948,Selects!$B:$E,4,0),"")</f>
        <v/>
      </c>
      <c r="CC948" s="58"/>
      <c r="CD948" s="58"/>
      <c r="CE948" s="58"/>
    </row>
    <row r="949" customFormat="false" ht="15.75" hidden="false" customHeight="true" outlineLevel="0" collapsed="false">
      <c r="A949" s="17"/>
      <c r="B949" s="58"/>
      <c r="C949" s="58"/>
      <c r="D949" s="59"/>
      <c r="E949" s="60" t="str">
        <f aca="false">IF(LEN(D949)=11,"PF",IF(LEN(D949)=14,"PJ",""))</f>
        <v/>
      </c>
      <c r="F949" s="59"/>
      <c r="G949" s="59"/>
      <c r="H949" s="61" t="str">
        <f aca="false">IF(G949&lt;&gt;"",VLOOKUP(G949,'Cnae  mcc  id'!$A:$M,9,0),"")</f>
        <v/>
      </c>
      <c r="I949" s="62"/>
      <c r="J949" s="63" t="str">
        <f aca="false">IF(I949&lt;&gt;"",VLOOKUP(I949,'Legal Nature'!$E$2:$G$84,3,0),"")</f>
        <v/>
      </c>
      <c r="K949" s="64"/>
      <c r="L949" s="65"/>
      <c r="M949" s="66"/>
      <c r="N949" s="66"/>
      <c r="O949" s="79"/>
      <c r="P949" s="26"/>
      <c r="Q949" s="58"/>
      <c r="R949" s="58"/>
      <c r="S949" s="80"/>
      <c r="T949" s="68" t="str">
        <f aca="false">IF(LEFT(S949,1)="9","Celular",IF(S949="","","Fixo"))</f>
        <v/>
      </c>
      <c r="U949" s="58" t="str">
        <f aca="false">IF( T949&lt;&gt;"",VLOOKUP(T949,Selects!$M$4:$N$1000,2,0),"")</f>
        <v/>
      </c>
      <c r="V949" s="26"/>
      <c r="W949" s="58"/>
      <c r="X949" s="58"/>
      <c r="Y949" s="58"/>
      <c r="Z949" s="58"/>
      <c r="AA949" s="69"/>
      <c r="AB949" s="58"/>
      <c r="AC949" s="58"/>
      <c r="AD949" s="70" t="str">
        <f aca="false">IF(AC949&lt;&gt;"",VLOOKUP(AC949,Selects!$B$4:$C$100,2,0),"")</f>
        <v/>
      </c>
      <c r="AE949" s="26"/>
      <c r="AF949" s="58"/>
      <c r="AG949" s="59"/>
      <c r="AH949" s="65"/>
      <c r="AI949" s="66"/>
      <c r="AJ949" s="66"/>
      <c r="AK949" s="58"/>
      <c r="AL949" s="58"/>
      <c r="AM949" s="68" t="str">
        <f aca="false">IF(LEFT(AL949,1)="9","Celular",IF(AL949="","","Fixo"))</f>
        <v/>
      </c>
      <c r="AN949" s="58" t="str">
        <f aca="false">IF( AM949&lt;&gt;"",VLOOKUP(AM949,Selects!$M$4:$N$1000,2,0),"")</f>
        <v/>
      </c>
      <c r="AO949" s="58"/>
      <c r="AP949" s="59"/>
      <c r="AQ949" s="65"/>
      <c r="AR949" s="58"/>
      <c r="AS949" s="58"/>
      <c r="AT949" s="26"/>
      <c r="AU949" s="58"/>
      <c r="AV949" s="58"/>
      <c r="AW949" s="58"/>
      <c r="AX949" s="58"/>
      <c r="AY949" s="71"/>
      <c r="AZ949" s="58"/>
      <c r="BA949" s="58"/>
      <c r="BB949" s="72" t="str">
        <f aca="false">IF(BA949&lt;&gt;"",VLOOKUP(BA949,Selects!$B$4:$C$100,2,0),"")</f>
        <v/>
      </c>
      <c r="BC949" s="26"/>
      <c r="BD949" s="26"/>
      <c r="BE949" s="73"/>
      <c r="BF949" s="74"/>
      <c r="BG949" s="75" t="str">
        <f aca="false">IF(LEN(BF949)=11,"PF",IF(LEN(BF949)=14,"PJ",""))</f>
        <v/>
      </c>
      <c r="BH949" s="66"/>
      <c r="BI949" s="58" t="str">
        <f aca="false">IF(BH949&lt;&gt;"",VLOOKUP(BH949,Selects!$G:$H,2,0),"")</f>
        <v/>
      </c>
      <c r="BJ949" s="58"/>
      <c r="BK949" s="58"/>
      <c r="BL949" s="59"/>
      <c r="BM949" s="58"/>
      <c r="BN949" s="58"/>
      <c r="BO949" s="58" t="str">
        <f aca="false">IF(BN949&lt;&gt;"",VLOOKUP(BN949,Selects!$J$4:$K$1000,2,0),"")</f>
        <v/>
      </c>
      <c r="BP949" s="76"/>
      <c r="BQ949" s="59"/>
      <c r="BR949" s="77"/>
      <c r="BS949" s="59"/>
      <c r="BT949" s="77"/>
      <c r="BU949" s="58"/>
      <c r="BV949" s="58"/>
      <c r="BW949" s="58"/>
      <c r="BX949" s="58"/>
      <c r="BY949" s="58"/>
      <c r="BZ949" s="58"/>
      <c r="CA949" s="58"/>
      <c r="CB949" s="72" t="str">
        <f aca="false">IF(AC949&lt;&gt;"",VLOOKUP(AC949,Selects!$B:$E,4,0),"")</f>
        <v/>
      </c>
      <c r="CC949" s="58"/>
      <c r="CD949" s="58"/>
      <c r="CE949" s="58"/>
    </row>
    <row r="950" customFormat="false" ht="15.75" hidden="false" customHeight="true" outlineLevel="0" collapsed="false">
      <c r="A950" s="17"/>
      <c r="B950" s="58"/>
      <c r="C950" s="58"/>
      <c r="D950" s="59"/>
      <c r="E950" s="60" t="str">
        <f aca="false">IF(LEN(D950)=11,"PF",IF(LEN(D950)=14,"PJ",""))</f>
        <v/>
      </c>
      <c r="F950" s="59"/>
      <c r="G950" s="59"/>
      <c r="H950" s="61" t="str">
        <f aca="false">IF(G950&lt;&gt;"",VLOOKUP(G950,'Cnae  mcc  id'!$A:$M,9,0),"")</f>
        <v/>
      </c>
      <c r="I950" s="62"/>
      <c r="J950" s="63" t="str">
        <f aca="false">IF(I950&lt;&gt;"",VLOOKUP(I950,'Legal Nature'!$E$2:$G$84,3,0),"")</f>
        <v/>
      </c>
      <c r="K950" s="64"/>
      <c r="L950" s="65"/>
      <c r="M950" s="66"/>
      <c r="N950" s="66"/>
      <c r="O950" s="79"/>
      <c r="P950" s="26"/>
      <c r="Q950" s="58"/>
      <c r="R950" s="58"/>
      <c r="S950" s="80"/>
      <c r="T950" s="68" t="str">
        <f aca="false">IF(LEFT(S950,1)="9","Celular",IF(S950="","","Fixo"))</f>
        <v/>
      </c>
      <c r="U950" s="58" t="str">
        <f aca="false">IF( T950&lt;&gt;"",VLOOKUP(T950,Selects!$M$4:$N$1000,2,0),"")</f>
        <v/>
      </c>
      <c r="V950" s="26"/>
      <c r="W950" s="58"/>
      <c r="X950" s="58"/>
      <c r="Y950" s="58"/>
      <c r="Z950" s="58"/>
      <c r="AA950" s="69"/>
      <c r="AB950" s="58"/>
      <c r="AC950" s="58"/>
      <c r="AD950" s="70" t="str">
        <f aca="false">IF(AC950&lt;&gt;"",VLOOKUP(AC950,Selects!$B$4:$C$100,2,0),"")</f>
        <v/>
      </c>
      <c r="AE950" s="26"/>
      <c r="AF950" s="58"/>
      <c r="AG950" s="59"/>
      <c r="AH950" s="65"/>
      <c r="AI950" s="66"/>
      <c r="AJ950" s="66"/>
      <c r="AK950" s="58"/>
      <c r="AL950" s="58"/>
      <c r="AM950" s="68" t="str">
        <f aca="false">IF(LEFT(AL950,1)="9","Celular",IF(AL950="","","Fixo"))</f>
        <v/>
      </c>
      <c r="AN950" s="58" t="str">
        <f aca="false">IF( AM950&lt;&gt;"",VLOOKUP(AM950,Selects!$M$4:$N$1000,2,0),"")</f>
        <v/>
      </c>
      <c r="AO950" s="58"/>
      <c r="AP950" s="59"/>
      <c r="AQ950" s="65"/>
      <c r="AR950" s="58"/>
      <c r="AS950" s="58"/>
      <c r="AT950" s="26"/>
      <c r="AU950" s="58"/>
      <c r="AV950" s="58"/>
      <c r="AW950" s="58"/>
      <c r="AX950" s="58"/>
      <c r="AY950" s="71"/>
      <c r="AZ950" s="58"/>
      <c r="BA950" s="58"/>
      <c r="BB950" s="72" t="str">
        <f aca="false">IF(BA950&lt;&gt;"",VLOOKUP(BA950,Selects!$B$4:$C$100,2,0),"")</f>
        <v/>
      </c>
      <c r="BC950" s="26"/>
      <c r="BD950" s="26"/>
      <c r="BE950" s="73"/>
      <c r="BF950" s="74"/>
      <c r="BG950" s="75" t="str">
        <f aca="false">IF(LEN(BF950)=11,"PF",IF(LEN(BF950)=14,"PJ",""))</f>
        <v/>
      </c>
      <c r="BH950" s="66"/>
      <c r="BI950" s="58" t="str">
        <f aca="false">IF(BH950&lt;&gt;"",VLOOKUP(BH950,Selects!$G:$H,2,0),"")</f>
        <v/>
      </c>
      <c r="BJ950" s="58"/>
      <c r="BK950" s="58"/>
      <c r="BL950" s="59"/>
      <c r="BM950" s="58"/>
      <c r="BN950" s="58"/>
      <c r="BO950" s="58" t="str">
        <f aca="false">IF(BN950&lt;&gt;"",VLOOKUP(BN950,Selects!$J$4:$K$1000,2,0),"")</f>
        <v/>
      </c>
      <c r="BP950" s="76"/>
      <c r="BQ950" s="59"/>
      <c r="BR950" s="77"/>
      <c r="BS950" s="59"/>
      <c r="BT950" s="77"/>
      <c r="BU950" s="58"/>
      <c r="BV950" s="58"/>
      <c r="BW950" s="58"/>
      <c r="BX950" s="58"/>
      <c r="BY950" s="58"/>
      <c r="BZ950" s="58"/>
      <c r="CA950" s="58"/>
      <c r="CB950" s="72" t="str">
        <f aca="false">IF(AC950&lt;&gt;"",VLOOKUP(AC950,Selects!$B:$E,4,0),"")</f>
        <v/>
      </c>
      <c r="CC950" s="58"/>
      <c r="CD950" s="58"/>
      <c r="CE950" s="58"/>
    </row>
    <row r="951" customFormat="false" ht="15.75" hidden="false" customHeight="true" outlineLevel="0" collapsed="false">
      <c r="A951" s="17"/>
      <c r="B951" s="58"/>
      <c r="C951" s="58"/>
      <c r="D951" s="59"/>
      <c r="E951" s="60" t="str">
        <f aca="false">IF(LEN(D951)=11,"PF",IF(LEN(D951)=14,"PJ",""))</f>
        <v/>
      </c>
      <c r="F951" s="59"/>
      <c r="G951" s="59"/>
      <c r="H951" s="61" t="str">
        <f aca="false">IF(G951&lt;&gt;"",VLOOKUP(G951,'Cnae  mcc  id'!$A:$M,9,0),"")</f>
        <v/>
      </c>
      <c r="I951" s="62"/>
      <c r="J951" s="63" t="str">
        <f aca="false">IF(I951&lt;&gt;"",VLOOKUP(I951,'Legal Nature'!$E$2:$G$84,3,0),"")</f>
        <v/>
      </c>
      <c r="K951" s="64"/>
      <c r="L951" s="65"/>
      <c r="M951" s="66"/>
      <c r="N951" s="66"/>
      <c r="O951" s="79"/>
      <c r="P951" s="26"/>
      <c r="Q951" s="58"/>
      <c r="R951" s="58"/>
      <c r="S951" s="80"/>
      <c r="T951" s="68" t="str">
        <f aca="false">IF(LEFT(S951,1)="9","Celular",IF(S951="","","Fixo"))</f>
        <v/>
      </c>
      <c r="U951" s="58" t="str">
        <f aca="false">IF( T951&lt;&gt;"",VLOOKUP(T951,Selects!$M$4:$N$1000,2,0),"")</f>
        <v/>
      </c>
      <c r="V951" s="26"/>
      <c r="W951" s="58"/>
      <c r="X951" s="58"/>
      <c r="Y951" s="58"/>
      <c r="Z951" s="58"/>
      <c r="AA951" s="69"/>
      <c r="AB951" s="58"/>
      <c r="AC951" s="58"/>
      <c r="AD951" s="70" t="str">
        <f aca="false">IF(AC951&lt;&gt;"",VLOOKUP(AC951,Selects!$B$4:$C$100,2,0),"")</f>
        <v/>
      </c>
      <c r="AE951" s="26"/>
      <c r="AF951" s="58"/>
      <c r="AG951" s="59"/>
      <c r="AH951" s="65"/>
      <c r="AI951" s="66"/>
      <c r="AJ951" s="66"/>
      <c r="AK951" s="58"/>
      <c r="AL951" s="58"/>
      <c r="AM951" s="68" t="str">
        <f aca="false">IF(LEFT(AL951,1)="9","Celular",IF(AL951="","","Fixo"))</f>
        <v/>
      </c>
      <c r="AN951" s="58" t="str">
        <f aca="false">IF( AM951&lt;&gt;"",VLOOKUP(AM951,Selects!$M$4:$N$1000,2,0),"")</f>
        <v/>
      </c>
      <c r="AO951" s="58"/>
      <c r="AP951" s="59"/>
      <c r="AQ951" s="65"/>
      <c r="AR951" s="58"/>
      <c r="AS951" s="58"/>
      <c r="AT951" s="26"/>
      <c r="AU951" s="58"/>
      <c r="AV951" s="58"/>
      <c r="AW951" s="58"/>
      <c r="AX951" s="58"/>
      <c r="AY951" s="71"/>
      <c r="AZ951" s="58"/>
      <c r="BA951" s="58"/>
      <c r="BB951" s="72" t="str">
        <f aca="false">IF(BA951&lt;&gt;"",VLOOKUP(BA951,Selects!$B$4:$C$100,2,0),"")</f>
        <v/>
      </c>
      <c r="BC951" s="26"/>
      <c r="BD951" s="26"/>
      <c r="BE951" s="73"/>
      <c r="BF951" s="74"/>
      <c r="BG951" s="75" t="str">
        <f aca="false">IF(LEN(BF951)=11,"PF",IF(LEN(BF951)=14,"PJ",""))</f>
        <v/>
      </c>
      <c r="BH951" s="66"/>
      <c r="BI951" s="58" t="str">
        <f aca="false">IF(BH951&lt;&gt;"",VLOOKUP(BH951,Selects!$G:$H,2,0),"")</f>
        <v/>
      </c>
      <c r="BJ951" s="58"/>
      <c r="BK951" s="58"/>
      <c r="BL951" s="59"/>
      <c r="BM951" s="58"/>
      <c r="BN951" s="58"/>
      <c r="BO951" s="58" t="str">
        <f aca="false">IF(BN951&lt;&gt;"",VLOOKUP(BN951,Selects!$J$4:$K$1000,2,0),"")</f>
        <v/>
      </c>
      <c r="BP951" s="76"/>
      <c r="BQ951" s="59"/>
      <c r="BR951" s="77"/>
      <c r="BS951" s="59"/>
      <c r="BT951" s="77"/>
      <c r="BU951" s="58"/>
      <c r="BV951" s="58"/>
      <c r="BW951" s="58"/>
      <c r="BX951" s="58"/>
      <c r="BY951" s="58"/>
      <c r="BZ951" s="58"/>
      <c r="CA951" s="58"/>
      <c r="CB951" s="72" t="str">
        <f aca="false">IF(AC951&lt;&gt;"",VLOOKUP(AC951,Selects!$B:$E,4,0),"")</f>
        <v/>
      </c>
      <c r="CC951" s="58"/>
      <c r="CD951" s="58"/>
      <c r="CE951" s="58"/>
    </row>
    <row r="952" customFormat="false" ht="15.75" hidden="false" customHeight="true" outlineLevel="0" collapsed="false">
      <c r="A952" s="17"/>
      <c r="B952" s="58"/>
      <c r="C952" s="58"/>
      <c r="D952" s="59"/>
      <c r="E952" s="60" t="str">
        <f aca="false">IF(LEN(D952)=11,"PF",IF(LEN(D952)=14,"PJ",""))</f>
        <v/>
      </c>
      <c r="F952" s="59"/>
      <c r="G952" s="59"/>
      <c r="H952" s="61" t="str">
        <f aca="false">IF(G952&lt;&gt;"",VLOOKUP(G952,'Cnae  mcc  id'!$A:$M,9,0),"")</f>
        <v/>
      </c>
      <c r="I952" s="62"/>
      <c r="J952" s="63" t="str">
        <f aca="false">IF(I952&lt;&gt;"",VLOOKUP(I952,'Legal Nature'!$E$2:$G$84,3,0),"")</f>
        <v/>
      </c>
      <c r="K952" s="64"/>
      <c r="L952" s="65"/>
      <c r="M952" s="66"/>
      <c r="N952" s="66"/>
      <c r="O952" s="79"/>
      <c r="P952" s="26"/>
      <c r="Q952" s="58"/>
      <c r="R952" s="58"/>
      <c r="S952" s="80"/>
      <c r="T952" s="68" t="str">
        <f aca="false">IF(LEFT(S952,1)="9","Celular",IF(S952="","","Fixo"))</f>
        <v/>
      </c>
      <c r="U952" s="58" t="str">
        <f aca="false">IF( T952&lt;&gt;"",VLOOKUP(T952,Selects!$M$4:$N$1000,2,0),"")</f>
        <v/>
      </c>
      <c r="V952" s="26"/>
      <c r="W952" s="58"/>
      <c r="X952" s="58"/>
      <c r="Y952" s="58"/>
      <c r="Z952" s="58"/>
      <c r="AA952" s="69"/>
      <c r="AB952" s="58"/>
      <c r="AC952" s="58"/>
      <c r="AD952" s="70" t="str">
        <f aca="false">IF(AC952&lt;&gt;"",VLOOKUP(AC952,Selects!$B$4:$C$100,2,0),"")</f>
        <v/>
      </c>
      <c r="AE952" s="26"/>
      <c r="AF952" s="58"/>
      <c r="AG952" s="59"/>
      <c r="AH952" s="65"/>
      <c r="AI952" s="66"/>
      <c r="AJ952" s="66"/>
      <c r="AK952" s="58"/>
      <c r="AL952" s="58"/>
      <c r="AM952" s="68" t="str">
        <f aca="false">IF(LEFT(AL952,1)="9","Celular",IF(AL952="","","Fixo"))</f>
        <v/>
      </c>
      <c r="AN952" s="58" t="str">
        <f aca="false">IF( AM952&lt;&gt;"",VLOOKUP(AM952,Selects!$M$4:$N$1000,2,0),"")</f>
        <v/>
      </c>
      <c r="AO952" s="58"/>
      <c r="AP952" s="59"/>
      <c r="AQ952" s="65"/>
      <c r="AR952" s="58"/>
      <c r="AS952" s="58"/>
      <c r="AT952" s="26"/>
      <c r="AU952" s="58"/>
      <c r="AV952" s="58"/>
      <c r="AW952" s="58"/>
      <c r="AX952" s="58"/>
      <c r="AY952" s="71"/>
      <c r="AZ952" s="58"/>
      <c r="BA952" s="58"/>
      <c r="BB952" s="72" t="str">
        <f aca="false">IF(BA952&lt;&gt;"",VLOOKUP(BA952,Selects!$B$4:$C$100,2,0),"")</f>
        <v/>
      </c>
      <c r="BC952" s="26"/>
      <c r="BD952" s="26"/>
      <c r="BE952" s="73"/>
      <c r="BF952" s="74"/>
      <c r="BG952" s="75" t="str">
        <f aca="false">IF(LEN(BF952)=11,"PF",IF(LEN(BF952)=14,"PJ",""))</f>
        <v/>
      </c>
      <c r="BH952" s="66"/>
      <c r="BI952" s="58" t="str">
        <f aca="false">IF(BH952&lt;&gt;"",VLOOKUP(BH952,Selects!$G:$H,2,0),"")</f>
        <v/>
      </c>
      <c r="BJ952" s="58"/>
      <c r="BK952" s="58"/>
      <c r="BL952" s="59"/>
      <c r="BM952" s="58"/>
      <c r="BN952" s="58"/>
      <c r="BO952" s="58" t="str">
        <f aca="false">IF(BN952&lt;&gt;"",VLOOKUP(BN952,Selects!$J$4:$K$1000,2,0),"")</f>
        <v/>
      </c>
      <c r="BP952" s="76"/>
      <c r="BQ952" s="59"/>
      <c r="BR952" s="77"/>
      <c r="BS952" s="59"/>
      <c r="BT952" s="77"/>
      <c r="BU952" s="58"/>
      <c r="BV952" s="58"/>
      <c r="BW952" s="58"/>
      <c r="BX952" s="58"/>
      <c r="BY952" s="58"/>
      <c r="BZ952" s="58"/>
      <c r="CA952" s="58"/>
      <c r="CB952" s="72" t="str">
        <f aca="false">IF(AC952&lt;&gt;"",VLOOKUP(AC952,Selects!$B:$E,4,0),"")</f>
        <v/>
      </c>
      <c r="CC952" s="58"/>
      <c r="CD952" s="58"/>
      <c r="CE952" s="58"/>
    </row>
    <row r="953" customFormat="false" ht="15.75" hidden="false" customHeight="true" outlineLevel="0" collapsed="false">
      <c r="A953" s="17"/>
      <c r="B953" s="58"/>
      <c r="C953" s="58"/>
      <c r="D953" s="59"/>
      <c r="E953" s="60" t="str">
        <f aca="false">IF(LEN(D953)=11,"PF",IF(LEN(D953)=14,"PJ",""))</f>
        <v/>
      </c>
      <c r="F953" s="59"/>
      <c r="G953" s="59"/>
      <c r="H953" s="61" t="str">
        <f aca="false">IF(G953&lt;&gt;"",VLOOKUP(G953,'Cnae  mcc  id'!$A:$M,9,0),"")</f>
        <v/>
      </c>
      <c r="I953" s="62"/>
      <c r="J953" s="63" t="str">
        <f aca="false">IF(I953&lt;&gt;"",VLOOKUP(I953,'Legal Nature'!$E$2:$G$84,3,0),"")</f>
        <v/>
      </c>
      <c r="K953" s="64"/>
      <c r="L953" s="65"/>
      <c r="M953" s="66"/>
      <c r="N953" s="66"/>
      <c r="O953" s="79"/>
      <c r="P953" s="26"/>
      <c r="Q953" s="58"/>
      <c r="R953" s="58"/>
      <c r="S953" s="80"/>
      <c r="T953" s="68" t="str">
        <f aca="false">IF(LEFT(S953,1)="9","Celular",IF(S953="","","Fixo"))</f>
        <v/>
      </c>
      <c r="U953" s="58" t="str">
        <f aca="false">IF( T953&lt;&gt;"",VLOOKUP(T953,Selects!$M$4:$N$1000,2,0),"")</f>
        <v/>
      </c>
      <c r="V953" s="26"/>
      <c r="W953" s="58"/>
      <c r="X953" s="58"/>
      <c r="Y953" s="58"/>
      <c r="Z953" s="58"/>
      <c r="AA953" s="69"/>
      <c r="AB953" s="58"/>
      <c r="AC953" s="58"/>
      <c r="AD953" s="70" t="str">
        <f aca="false">IF(AC953&lt;&gt;"",VLOOKUP(AC953,Selects!$B$4:$C$100,2,0),"")</f>
        <v/>
      </c>
      <c r="AE953" s="26"/>
      <c r="AF953" s="58"/>
      <c r="AG953" s="59"/>
      <c r="AH953" s="65"/>
      <c r="AI953" s="66"/>
      <c r="AJ953" s="66"/>
      <c r="AK953" s="58"/>
      <c r="AL953" s="58"/>
      <c r="AM953" s="68" t="str">
        <f aca="false">IF(LEFT(AL953,1)="9","Celular",IF(AL953="","","Fixo"))</f>
        <v/>
      </c>
      <c r="AN953" s="58" t="str">
        <f aca="false">IF( AM953&lt;&gt;"",VLOOKUP(AM953,Selects!$M$4:$N$1000,2,0),"")</f>
        <v/>
      </c>
      <c r="AO953" s="58"/>
      <c r="AP953" s="59"/>
      <c r="AQ953" s="65"/>
      <c r="AR953" s="58"/>
      <c r="AS953" s="58"/>
      <c r="AT953" s="26"/>
      <c r="AU953" s="58"/>
      <c r="AV953" s="58"/>
      <c r="AW953" s="58"/>
      <c r="AX953" s="58"/>
      <c r="AY953" s="71"/>
      <c r="AZ953" s="58"/>
      <c r="BA953" s="58"/>
      <c r="BB953" s="72" t="str">
        <f aca="false">IF(BA953&lt;&gt;"",VLOOKUP(BA953,Selects!$B$4:$C$100,2,0),"")</f>
        <v/>
      </c>
      <c r="BC953" s="26"/>
      <c r="BD953" s="26"/>
      <c r="BE953" s="73"/>
      <c r="BF953" s="74"/>
      <c r="BG953" s="75" t="str">
        <f aca="false">IF(LEN(BF953)=11,"PF",IF(LEN(BF953)=14,"PJ",""))</f>
        <v/>
      </c>
      <c r="BH953" s="66"/>
      <c r="BI953" s="58" t="str">
        <f aca="false">IF(BH953&lt;&gt;"",VLOOKUP(BH953,Selects!$G:$H,2,0),"")</f>
        <v/>
      </c>
      <c r="BJ953" s="58"/>
      <c r="BK953" s="58"/>
      <c r="BL953" s="59"/>
      <c r="BM953" s="58"/>
      <c r="BN953" s="58"/>
      <c r="BO953" s="58" t="str">
        <f aca="false">IF(BN953&lt;&gt;"",VLOOKUP(BN953,Selects!$J$4:$K$1000,2,0),"")</f>
        <v/>
      </c>
      <c r="BP953" s="76"/>
      <c r="BQ953" s="59"/>
      <c r="BR953" s="77"/>
      <c r="BS953" s="59"/>
      <c r="BT953" s="77"/>
      <c r="BU953" s="58"/>
      <c r="BV953" s="58"/>
      <c r="BW953" s="58"/>
      <c r="BX953" s="58"/>
      <c r="BY953" s="58"/>
      <c r="BZ953" s="58"/>
      <c r="CA953" s="58"/>
      <c r="CB953" s="72" t="str">
        <f aca="false">IF(AC953&lt;&gt;"",VLOOKUP(AC953,Selects!$B:$E,4,0),"")</f>
        <v/>
      </c>
      <c r="CC953" s="58"/>
      <c r="CD953" s="58"/>
      <c r="CE953" s="58"/>
    </row>
    <row r="954" customFormat="false" ht="15.75" hidden="false" customHeight="true" outlineLevel="0" collapsed="false">
      <c r="A954" s="17"/>
      <c r="B954" s="58"/>
      <c r="C954" s="58"/>
      <c r="D954" s="59"/>
      <c r="E954" s="60" t="str">
        <f aca="false">IF(LEN(D954)=11,"PF",IF(LEN(D954)=14,"PJ",""))</f>
        <v/>
      </c>
      <c r="F954" s="59"/>
      <c r="G954" s="59"/>
      <c r="H954" s="61" t="str">
        <f aca="false">IF(G954&lt;&gt;"",VLOOKUP(G954,'Cnae  mcc  id'!$A:$M,9,0),"")</f>
        <v/>
      </c>
      <c r="I954" s="62"/>
      <c r="J954" s="63" t="str">
        <f aca="false">IF(I954&lt;&gt;"",VLOOKUP(I954,'Legal Nature'!$E$2:$G$84,3,0),"")</f>
        <v/>
      </c>
      <c r="K954" s="64"/>
      <c r="L954" s="65"/>
      <c r="M954" s="66"/>
      <c r="N954" s="66"/>
      <c r="O954" s="79"/>
      <c r="P954" s="26"/>
      <c r="Q954" s="58"/>
      <c r="R954" s="58"/>
      <c r="S954" s="80"/>
      <c r="T954" s="68" t="str">
        <f aca="false">IF(LEFT(S954,1)="9","Celular",IF(S954="","","Fixo"))</f>
        <v/>
      </c>
      <c r="U954" s="58" t="str">
        <f aca="false">IF( T954&lt;&gt;"",VLOOKUP(T954,Selects!$M$4:$N$1000,2,0),"")</f>
        <v/>
      </c>
      <c r="V954" s="26"/>
      <c r="W954" s="58"/>
      <c r="X954" s="58"/>
      <c r="Y954" s="58"/>
      <c r="Z954" s="58"/>
      <c r="AA954" s="69"/>
      <c r="AB954" s="58"/>
      <c r="AC954" s="58"/>
      <c r="AD954" s="70" t="str">
        <f aca="false">IF(AC954&lt;&gt;"",VLOOKUP(AC954,Selects!$B$4:$C$100,2,0),"")</f>
        <v/>
      </c>
      <c r="AE954" s="26"/>
      <c r="AF954" s="58"/>
      <c r="AG954" s="59"/>
      <c r="AH954" s="65"/>
      <c r="AI954" s="66"/>
      <c r="AJ954" s="66"/>
      <c r="AK954" s="58"/>
      <c r="AL954" s="58"/>
      <c r="AM954" s="68" t="str">
        <f aca="false">IF(LEFT(AL954,1)="9","Celular",IF(AL954="","","Fixo"))</f>
        <v/>
      </c>
      <c r="AN954" s="58" t="str">
        <f aca="false">IF( AM954&lt;&gt;"",VLOOKUP(AM954,Selects!$M$4:$N$1000,2,0),"")</f>
        <v/>
      </c>
      <c r="AO954" s="58"/>
      <c r="AP954" s="59"/>
      <c r="AQ954" s="65"/>
      <c r="AR954" s="58"/>
      <c r="AS954" s="58"/>
      <c r="AT954" s="26"/>
      <c r="AU954" s="58"/>
      <c r="AV954" s="58"/>
      <c r="AW954" s="58"/>
      <c r="AX954" s="58"/>
      <c r="AY954" s="71"/>
      <c r="AZ954" s="58"/>
      <c r="BA954" s="58"/>
      <c r="BB954" s="72" t="str">
        <f aca="false">IF(BA954&lt;&gt;"",VLOOKUP(BA954,Selects!$B$4:$C$100,2,0),"")</f>
        <v/>
      </c>
      <c r="BC954" s="26"/>
      <c r="BD954" s="26"/>
      <c r="BE954" s="73"/>
      <c r="BF954" s="74"/>
      <c r="BG954" s="75" t="str">
        <f aca="false">IF(LEN(BF954)=11,"PF",IF(LEN(BF954)=14,"PJ",""))</f>
        <v/>
      </c>
      <c r="BH954" s="66"/>
      <c r="BI954" s="58" t="str">
        <f aca="false">IF(BH954&lt;&gt;"",VLOOKUP(BH954,Selects!$G:$H,2,0),"")</f>
        <v/>
      </c>
      <c r="BJ954" s="58"/>
      <c r="BK954" s="58"/>
      <c r="BL954" s="59"/>
      <c r="BM954" s="58"/>
      <c r="BN954" s="58"/>
      <c r="BO954" s="58" t="str">
        <f aca="false">IF(BN954&lt;&gt;"",VLOOKUP(BN954,Selects!$J$4:$K$1000,2,0),"")</f>
        <v/>
      </c>
      <c r="BP954" s="76"/>
      <c r="BQ954" s="59"/>
      <c r="BR954" s="77"/>
      <c r="BS954" s="59"/>
      <c r="BT954" s="77"/>
      <c r="BU954" s="58"/>
      <c r="BV954" s="58"/>
      <c r="BW954" s="58"/>
      <c r="BX954" s="58"/>
      <c r="BY954" s="58"/>
      <c r="BZ954" s="58"/>
      <c r="CA954" s="58"/>
      <c r="CB954" s="72" t="str">
        <f aca="false">IF(AC954&lt;&gt;"",VLOOKUP(AC954,Selects!$B:$E,4,0),"")</f>
        <v/>
      </c>
      <c r="CC954" s="58"/>
      <c r="CD954" s="58"/>
      <c r="CE954" s="58"/>
    </row>
    <row r="955" customFormat="false" ht="15.75" hidden="false" customHeight="true" outlineLevel="0" collapsed="false">
      <c r="A955" s="17"/>
      <c r="B955" s="58"/>
      <c r="C955" s="58"/>
      <c r="D955" s="59"/>
      <c r="E955" s="60" t="str">
        <f aca="false">IF(LEN(D955)=11,"PF",IF(LEN(D955)=14,"PJ",""))</f>
        <v/>
      </c>
      <c r="F955" s="59"/>
      <c r="G955" s="59"/>
      <c r="H955" s="61" t="str">
        <f aca="false">IF(G955&lt;&gt;"",VLOOKUP(G955,'Cnae  mcc  id'!$A:$M,9,0),"")</f>
        <v/>
      </c>
      <c r="I955" s="62"/>
      <c r="J955" s="63" t="str">
        <f aca="false">IF(I955&lt;&gt;"",VLOOKUP(I955,'Legal Nature'!$E$2:$G$84,3,0),"")</f>
        <v/>
      </c>
      <c r="K955" s="64"/>
      <c r="L955" s="65"/>
      <c r="M955" s="66"/>
      <c r="N955" s="66"/>
      <c r="O955" s="79"/>
      <c r="P955" s="26"/>
      <c r="Q955" s="58"/>
      <c r="R955" s="58"/>
      <c r="S955" s="80"/>
      <c r="T955" s="68" t="str">
        <f aca="false">IF(LEFT(S955,1)="9","Celular",IF(S955="","","Fixo"))</f>
        <v/>
      </c>
      <c r="U955" s="58" t="str">
        <f aca="false">IF( T955&lt;&gt;"",VLOOKUP(T955,Selects!$M$4:$N$1000,2,0),"")</f>
        <v/>
      </c>
      <c r="V955" s="26"/>
      <c r="W955" s="58"/>
      <c r="X955" s="58"/>
      <c r="Y955" s="58"/>
      <c r="Z955" s="58"/>
      <c r="AA955" s="69"/>
      <c r="AB955" s="58"/>
      <c r="AC955" s="58"/>
      <c r="AD955" s="70" t="str">
        <f aca="false">IF(AC955&lt;&gt;"",VLOOKUP(AC955,Selects!$B$4:$C$100,2,0),"")</f>
        <v/>
      </c>
      <c r="AE955" s="26"/>
      <c r="AF955" s="58"/>
      <c r="AG955" s="59"/>
      <c r="AH955" s="65"/>
      <c r="AI955" s="66"/>
      <c r="AJ955" s="66"/>
      <c r="AK955" s="58"/>
      <c r="AL955" s="58"/>
      <c r="AM955" s="68" t="str">
        <f aca="false">IF(LEFT(AL955,1)="9","Celular",IF(AL955="","","Fixo"))</f>
        <v/>
      </c>
      <c r="AN955" s="58" t="str">
        <f aca="false">IF( AM955&lt;&gt;"",VLOOKUP(AM955,Selects!$M$4:$N$1000,2,0),"")</f>
        <v/>
      </c>
      <c r="AO955" s="58"/>
      <c r="AP955" s="59"/>
      <c r="AQ955" s="65"/>
      <c r="AR955" s="58"/>
      <c r="AS955" s="58"/>
      <c r="AT955" s="26"/>
      <c r="AU955" s="58"/>
      <c r="AV955" s="58"/>
      <c r="AW955" s="58"/>
      <c r="AX955" s="58"/>
      <c r="AY955" s="71"/>
      <c r="AZ955" s="58"/>
      <c r="BA955" s="58"/>
      <c r="BB955" s="72" t="str">
        <f aca="false">IF(BA955&lt;&gt;"",VLOOKUP(BA955,Selects!$B$4:$C$100,2,0),"")</f>
        <v/>
      </c>
      <c r="BC955" s="26"/>
      <c r="BD955" s="26"/>
      <c r="BE955" s="73"/>
      <c r="BF955" s="74"/>
      <c r="BG955" s="75" t="str">
        <f aca="false">IF(LEN(BF955)=11,"PF",IF(LEN(BF955)=14,"PJ",""))</f>
        <v/>
      </c>
      <c r="BH955" s="66"/>
      <c r="BI955" s="58" t="str">
        <f aca="false">IF(BH955&lt;&gt;"",VLOOKUP(BH955,Selects!$G:$H,2,0),"")</f>
        <v/>
      </c>
      <c r="BJ955" s="58"/>
      <c r="BK955" s="58"/>
      <c r="BL955" s="59"/>
      <c r="BM955" s="58"/>
      <c r="BN955" s="58"/>
      <c r="BO955" s="58" t="str">
        <f aca="false">IF(BN955&lt;&gt;"",VLOOKUP(BN955,Selects!$J$4:$K$1000,2,0),"")</f>
        <v/>
      </c>
      <c r="BP955" s="76"/>
      <c r="BQ955" s="59"/>
      <c r="BR955" s="77"/>
      <c r="BS955" s="59"/>
      <c r="BT955" s="77"/>
      <c r="BU955" s="58"/>
      <c r="BV955" s="58"/>
      <c r="BW955" s="58"/>
      <c r="BX955" s="58"/>
      <c r="BY955" s="58"/>
      <c r="BZ955" s="58"/>
      <c r="CA955" s="58"/>
      <c r="CB955" s="72" t="str">
        <f aca="false">IF(AC955&lt;&gt;"",VLOOKUP(AC955,Selects!$B:$E,4,0),"")</f>
        <v/>
      </c>
      <c r="CC955" s="58"/>
      <c r="CD955" s="58"/>
      <c r="CE955" s="58"/>
    </row>
    <row r="956" customFormat="false" ht="15.75" hidden="false" customHeight="true" outlineLevel="0" collapsed="false">
      <c r="A956" s="17"/>
      <c r="B956" s="58"/>
      <c r="C956" s="58"/>
      <c r="D956" s="59"/>
      <c r="E956" s="60" t="str">
        <f aca="false">IF(LEN(D956)=11,"PF",IF(LEN(D956)=14,"PJ",""))</f>
        <v/>
      </c>
      <c r="F956" s="59"/>
      <c r="G956" s="59"/>
      <c r="H956" s="61" t="str">
        <f aca="false">IF(G956&lt;&gt;"",VLOOKUP(G956,'Cnae  mcc  id'!$A:$M,9,0),"")</f>
        <v/>
      </c>
      <c r="I956" s="62"/>
      <c r="J956" s="63" t="str">
        <f aca="false">IF(I956&lt;&gt;"",VLOOKUP(I956,'Legal Nature'!$E$2:$G$84,3,0),"")</f>
        <v/>
      </c>
      <c r="K956" s="64"/>
      <c r="L956" s="65"/>
      <c r="M956" s="66"/>
      <c r="N956" s="66"/>
      <c r="O956" s="79"/>
      <c r="P956" s="26"/>
      <c r="Q956" s="58"/>
      <c r="R956" s="58"/>
      <c r="S956" s="80"/>
      <c r="T956" s="68" t="str">
        <f aca="false">IF(LEFT(S956,1)="9","Celular",IF(S956="","","Fixo"))</f>
        <v/>
      </c>
      <c r="U956" s="58" t="str">
        <f aca="false">IF( T956&lt;&gt;"",VLOOKUP(T956,Selects!$M$4:$N$1000,2,0),"")</f>
        <v/>
      </c>
      <c r="V956" s="26"/>
      <c r="W956" s="58"/>
      <c r="X956" s="58"/>
      <c r="Y956" s="58"/>
      <c r="Z956" s="58"/>
      <c r="AA956" s="69"/>
      <c r="AB956" s="58"/>
      <c r="AC956" s="58"/>
      <c r="AD956" s="70" t="str">
        <f aca="false">IF(AC956&lt;&gt;"",VLOOKUP(AC956,Selects!$B$4:$C$100,2,0),"")</f>
        <v/>
      </c>
      <c r="AE956" s="26"/>
      <c r="AF956" s="58"/>
      <c r="AG956" s="59"/>
      <c r="AH956" s="65"/>
      <c r="AI956" s="66"/>
      <c r="AJ956" s="66"/>
      <c r="AK956" s="58"/>
      <c r="AL956" s="58"/>
      <c r="AM956" s="68" t="str">
        <f aca="false">IF(LEFT(AL956,1)="9","Celular",IF(AL956="","","Fixo"))</f>
        <v/>
      </c>
      <c r="AN956" s="58" t="str">
        <f aca="false">IF( AM956&lt;&gt;"",VLOOKUP(AM956,Selects!$M$4:$N$1000,2,0),"")</f>
        <v/>
      </c>
      <c r="AO956" s="58"/>
      <c r="AP956" s="59"/>
      <c r="AQ956" s="65"/>
      <c r="AR956" s="58"/>
      <c r="AS956" s="58"/>
      <c r="AT956" s="26"/>
      <c r="AU956" s="58"/>
      <c r="AV956" s="58"/>
      <c r="AW956" s="58"/>
      <c r="AX956" s="58"/>
      <c r="AY956" s="71"/>
      <c r="AZ956" s="58"/>
      <c r="BA956" s="58"/>
      <c r="BB956" s="72" t="str">
        <f aca="false">IF(BA956&lt;&gt;"",VLOOKUP(BA956,Selects!$B$4:$C$100,2,0),"")</f>
        <v/>
      </c>
      <c r="BC956" s="26"/>
      <c r="BD956" s="26"/>
      <c r="BE956" s="73"/>
      <c r="BF956" s="74"/>
      <c r="BG956" s="75" t="str">
        <f aca="false">IF(LEN(BF956)=11,"PF",IF(LEN(BF956)=14,"PJ",""))</f>
        <v/>
      </c>
      <c r="BH956" s="66"/>
      <c r="BI956" s="58" t="str">
        <f aca="false">IF(BH956&lt;&gt;"",VLOOKUP(BH956,Selects!$G:$H,2,0),"")</f>
        <v/>
      </c>
      <c r="BJ956" s="58"/>
      <c r="BK956" s="58"/>
      <c r="BL956" s="59"/>
      <c r="BM956" s="58"/>
      <c r="BN956" s="58"/>
      <c r="BO956" s="58" t="str">
        <f aca="false">IF(BN956&lt;&gt;"",VLOOKUP(BN956,Selects!$J$4:$K$1000,2,0),"")</f>
        <v/>
      </c>
      <c r="BP956" s="76"/>
      <c r="BQ956" s="59"/>
      <c r="BR956" s="77"/>
      <c r="BS956" s="59"/>
      <c r="BT956" s="77"/>
      <c r="BU956" s="58"/>
      <c r="BV956" s="58"/>
      <c r="BW956" s="58"/>
      <c r="BX956" s="58"/>
      <c r="BY956" s="58"/>
      <c r="BZ956" s="58"/>
      <c r="CA956" s="58"/>
      <c r="CB956" s="72" t="str">
        <f aca="false">IF(AC956&lt;&gt;"",VLOOKUP(AC956,Selects!$B:$E,4,0),"")</f>
        <v/>
      </c>
      <c r="CC956" s="58"/>
      <c r="CD956" s="58"/>
      <c r="CE956" s="58"/>
    </row>
    <row r="957" customFormat="false" ht="15.75" hidden="false" customHeight="true" outlineLevel="0" collapsed="false">
      <c r="A957" s="17"/>
      <c r="B957" s="58"/>
      <c r="C957" s="58"/>
      <c r="D957" s="59"/>
      <c r="E957" s="60" t="str">
        <f aca="false">IF(LEN(D957)=11,"PF",IF(LEN(D957)=14,"PJ",""))</f>
        <v/>
      </c>
      <c r="F957" s="59"/>
      <c r="G957" s="59"/>
      <c r="H957" s="61" t="str">
        <f aca="false">IF(G957&lt;&gt;"",VLOOKUP(G957,'Cnae  mcc  id'!$A:$M,9,0),"")</f>
        <v/>
      </c>
      <c r="I957" s="62"/>
      <c r="J957" s="63" t="str">
        <f aca="false">IF(I957&lt;&gt;"",VLOOKUP(I957,'Legal Nature'!$E$2:$G$84,3,0),"")</f>
        <v/>
      </c>
      <c r="K957" s="64"/>
      <c r="L957" s="65"/>
      <c r="M957" s="66"/>
      <c r="N957" s="66"/>
      <c r="O957" s="79"/>
      <c r="P957" s="26"/>
      <c r="Q957" s="58"/>
      <c r="R957" s="58"/>
      <c r="S957" s="80"/>
      <c r="T957" s="68" t="str">
        <f aca="false">IF(LEFT(S957,1)="9","Celular",IF(S957="","","Fixo"))</f>
        <v/>
      </c>
      <c r="U957" s="58" t="str">
        <f aca="false">IF( T957&lt;&gt;"",VLOOKUP(T957,Selects!$M$4:$N$1000,2,0),"")</f>
        <v/>
      </c>
      <c r="V957" s="26"/>
      <c r="W957" s="58"/>
      <c r="X957" s="58"/>
      <c r="Y957" s="58"/>
      <c r="Z957" s="58"/>
      <c r="AA957" s="69"/>
      <c r="AB957" s="58"/>
      <c r="AC957" s="58"/>
      <c r="AD957" s="70" t="str">
        <f aca="false">IF(AC957&lt;&gt;"",VLOOKUP(AC957,Selects!$B$4:$C$100,2,0),"")</f>
        <v/>
      </c>
      <c r="AE957" s="26"/>
      <c r="AF957" s="58"/>
      <c r="AG957" s="59"/>
      <c r="AH957" s="65"/>
      <c r="AI957" s="66"/>
      <c r="AJ957" s="66"/>
      <c r="AK957" s="58"/>
      <c r="AL957" s="58"/>
      <c r="AM957" s="68" t="str">
        <f aca="false">IF(LEFT(AL957,1)="9","Celular",IF(AL957="","","Fixo"))</f>
        <v/>
      </c>
      <c r="AN957" s="58" t="str">
        <f aca="false">IF( AM957&lt;&gt;"",VLOOKUP(AM957,Selects!$M$4:$N$1000,2,0),"")</f>
        <v/>
      </c>
      <c r="AO957" s="58"/>
      <c r="AP957" s="59"/>
      <c r="AQ957" s="65"/>
      <c r="AR957" s="58"/>
      <c r="AS957" s="58"/>
      <c r="AT957" s="26"/>
      <c r="AU957" s="58"/>
      <c r="AV957" s="58"/>
      <c r="AW957" s="58"/>
      <c r="AX957" s="58"/>
      <c r="AY957" s="71"/>
      <c r="AZ957" s="58"/>
      <c r="BA957" s="58"/>
      <c r="BB957" s="72" t="str">
        <f aca="false">IF(BA957&lt;&gt;"",VLOOKUP(BA957,Selects!$B$4:$C$100,2,0),"")</f>
        <v/>
      </c>
      <c r="BC957" s="26"/>
      <c r="BD957" s="26"/>
      <c r="BE957" s="73"/>
      <c r="BF957" s="74"/>
      <c r="BG957" s="75" t="str">
        <f aca="false">IF(LEN(BF957)=11,"PF",IF(LEN(BF957)=14,"PJ",""))</f>
        <v/>
      </c>
      <c r="BH957" s="66"/>
      <c r="BI957" s="58" t="str">
        <f aca="false">IF(BH957&lt;&gt;"",VLOOKUP(BH957,Selects!$G:$H,2,0),"")</f>
        <v/>
      </c>
      <c r="BJ957" s="58"/>
      <c r="BK957" s="58"/>
      <c r="BL957" s="59"/>
      <c r="BM957" s="58"/>
      <c r="BN957" s="58"/>
      <c r="BO957" s="58" t="str">
        <f aca="false">IF(BN957&lt;&gt;"",VLOOKUP(BN957,Selects!$J$4:$K$1000,2,0),"")</f>
        <v/>
      </c>
      <c r="BP957" s="76"/>
      <c r="BQ957" s="59"/>
      <c r="BR957" s="77"/>
      <c r="BS957" s="59"/>
      <c r="BT957" s="77"/>
      <c r="BU957" s="58"/>
      <c r="BV957" s="58"/>
      <c r="BW957" s="58"/>
      <c r="BX957" s="58"/>
      <c r="BY957" s="58"/>
      <c r="BZ957" s="58"/>
      <c r="CA957" s="58"/>
      <c r="CB957" s="72" t="str">
        <f aca="false">IF(AC957&lt;&gt;"",VLOOKUP(AC957,Selects!$B:$E,4,0),"")</f>
        <v/>
      </c>
      <c r="CC957" s="58"/>
      <c r="CD957" s="58"/>
      <c r="CE957" s="58"/>
    </row>
    <row r="958" customFormat="false" ht="15.75" hidden="false" customHeight="true" outlineLevel="0" collapsed="false">
      <c r="A958" s="17"/>
      <c r="B958" s="58"/>
      <c r="C958" s="58"/>
      <c r="D958" s="59"/>
      <c r="E958" s="60" t="str">
        <f aca="false">IF(LEN(D958)=11,"PF",IF(LEN(D958)=14,"PJ",""))</f>
        <v/>
      </c>
      <c r="F958" s="59"/>
      <c r="G958" s="59"/>
      <c r="H958" s="61" t="str">
        <f aca="false">IF(G958&lt;&gt;"",VLOOKUP(G958,'Cnae  mcc  id'!$A:$M,9,0),"")</f>
        <v/>
      </c>
      <c r="I958" s="62"/>
      <c r="J958" s="63" t="str">
        <f aca="false">IF(I958&lt;&gt;"",VLOOKUP(I958,'Legal Nature'!$E$2:$G$84,3,0),"")</f>
        <v/>
      </c>
      <c r="K958" s="64"/>
      <c r="L958" s="65"/>
      <c r="M958" s="66"/>
      <c r="N958" s="66"/>
      <c r="O958" s="79"/>
      <c r="P958" s="26"/>
      <c r="Q958" s="58"/>
      <c r="R958" s="58"/>
      <c r="S958" s="80"/>
      <c r="T958" s="68" t="str">
        <f aca="false">IF(LEFT(S958,1)="9","Celular",IF(S958="","","Fixo"))</f>
        <v/>
      </c>
      <c r="U958" s="58" t="str">
        <f aca="false">IF( T958&lt;&gt;"",VLOOKUP(T958,Selects!$M$4:$N$1000,2,0),"")</f>
        <v/>
      </c>
      <c r="V958" s="26"/>
      <c r="W958" s="58"/>
      <c r="X958" s="58"/>
      <c r="Y958" s="58"/>
      <c r="Z958" s="58"/>
      <c r="AA958" s="69"/>
      <c r="AB958" s="58"/>
      <c r="AC958" s="58"/>
      <c r="AD958" s="70" t="str">
        <f aca="false">IF(AC958&lt;&gt;"",VLOOKUP(AC958,Selects!$B$4:$C$100,2,0),"")</f>
        <v/>
      </c>
      <c r="AE958" s="26"/>
      <c r="AF958" s="58"/>
      <c r="AG958" s="59"/>
      <c r="AH958" s="65"/>
      <c r="AI958" s="66"/>
      <c r="AJ958" s="66"/>
      <c r="AK958" s="58"/>
      <c r="AL958" s="58"/>
      <c r="AM958" s="68" t="str">
        <f aca="false">IF(LEFT(AL958,1)="9","Celular",IF(AL958="","","Fixo"))</f>
        <v/>
      </c>
      <c r="AN958" s="58" t="str">
        <f aca="false">IF( AM958&lt;&gt;"",VLOOKUP(AM958,Selects!$M$4:$N$1000,2,0),"")</f>
        <v/>
      </c>
      <c r="AO958" s="58"/>
      <c r="AP958" s="59"/>
      <c r="AQ958" s="65"/>
      <c r="AR958" s="58"/>
      <c r="AS958" s="58"/>
      <c r="AT958" s="26"/>
      <c r="AU958" s="58"/>
      <c r="AV958" s="58"/>
      <c r="AW958" s="58"/>
      <c r="AX958" s="58"/>
      <c r="AY958" s="71"/>
      <c r="AZ958" s="58"/>
      <c r="BA958" s="58"/>
      <c r="BB958" s="72" t="str">
        <f aca="false">IF(BA958&lt;&gt;"",VLOOKUP(BA958,Selects!$B$4:$C$100,2,0),"")</f>
        <v/>
      </c>
      <c r="BC958" s="26"/>
      <c r="BD958" s="26"/>
      <c r="BE958" s="73"/>
      <c r="BF958" s="74"/>
      <c r="BG958" s="75" t="str">
        <f aca="false">IF(LEN(BF958)=11,"PF",IF(LEN(BF958)=14,"PJ",""))</f>
        <v/>
      </c>
      <c r="BH958" s="66"/>
      <c r="BI958" s="58" t="str">
        <f aca="false">IF(BH958&lt;&gt;"",VLOOKUP(BH958,Selects!$G:$H,2,0),"")</f>
        <v/>
      </c>
      <c r="BJ958" s="58"/>
      <c r="BK958" s="58"/>
      <c r="BL958" s="59"/>
      <c r="BM958" s="58"/>
      <c r="BN958" s="58"/>
      <c r="BO958" s="58" t="str">
        <f aca="false">IF(BN958&lt;&gt;"",VLOOKUP(BN958,Selects!$J$4:$K$1000,2,0),"")</f>
        <v/>
      </c>
      <c r="BP958" s="76"/>
      <c r="BQ958" s="59"/>
      <c r="BR958" s="77"/>
      <c r="BS958" s="59"/>
      <c r="BT958" s="77"/>
      <c r="BU958" s="58"/>
      <c r="BV958" s="58"/>
      <c r="BW958" s="58"/>
      <c r="BX958" s="58"/>
      <c r="BY958" s="58"/>
      <c r="BZ958" s="58"/>
      <c r="CA958" s="58"/>
      <c r="CB958" s="72" t="str">
        <f aca="false">IF(AC958&lt;&gt;"",VLOOKUP(AC958,Selects!$B:$E,4,0),"")</f>
        <v/>
      </c>
      <c r="CC958" s="58"/>
      <c r="CD958" s="58"/>
      <c r="CE958" s="58"/>
    </row>
    <row r="959" customFormat="false" ht="15.75" hidden="false" customHeight="true" outlineLevel="0" collapsed="false">
      <c r="A959" s="17"/>
      <c r="B959" s="58"/>
      <c r="C959" s="58"/>
      <c r="D959" s="59"/>
      <c r="E959" s="60" t="str">
        <f aca="false">IF(LEN(D959)=11,"PF",IF(LEN(D959)=14,"PJ",""))</f>
        <v/>
      </c>
      <c r="F959" s="59"/>
      <c r="G959" s="59"/>
      <c r="H959" s="61" t="str">
        <f aca="false">IF(G959&lt;&gt;"",VLOOKUP(G959,'Cnae  mcc  id'!$A:$M,9,0),"")</f>
        <v/>
      </c>
      <c r="I959" s="62"/>
      <c r="J959" s="63" t="str">
        <f aca="false">IF(I959&lt;&gt;"",VLOOKUP(I959,'Legal Nature'!$E$2:$G$84,3,0),"")</f>
        <v/>
      </c>
      <c r="K959" s="64"/>
      <c r="L959" s="65"/>
      <c r="M959" s="66"/>
      <c r="N959" s="66"/>
      <c r="O959" s="79"/>
      <c r="P959" s="26"/>
      <c r="Q959" s="58"/>
      <c r="R959" s="58"/>
      <c r="S959" s="80"/>
      <c r="T959" s="68" t="str">
        <f aca="false">IF(LEFT(S959,1)="9","Celular",IF(S959="","","Fixo"))</f>
        <v/>
      </c>
      <c r="U959" s="58" t="str">
        <f aca="false">IF( T959&lt;&gt;"",VLOOKUP(T959,Selects!$M$4:$N$1000,2,0),"")</f>
        <v/>
      </c>
      <c r="V959" s="26"/>
      <c r="W959" s="58"/>
      <c r="X959" s="58"/>
      <c r="Y959" s="58"/>
      <c r="Z959" s="58"/>
      <c r="AA959" s="69"/>
      <c r="AB959" s="58"/>
      <c r="AC959" s="58"/>
      <c r="AD959" s="70" t="str">
        <f aca="false">IF(AC959&lt;&gt;"",VLOOKUP(AC959,Selects!$B$4:$C$100,2,0),"")</f>
        <v/>
      </c>
      <c r="AE959" s="26"/>
      <c r="AF959" s="58"/>
      <c r="AG959" s="59"/>
      <c r="AH959" s="65"/>
      <c r="AI959" s="66"/>
      <c r="AJ959" s="66"/>
      <c r="AK959" s="58"/>
      <c r="AL959" s="58"/>
      <c r="AM959" s="68" t="str">
        <f aca="false">IF(LEFT(AL959,1)="9","Celular",IF(AL959="","","Fixo"))</f>
        <v/>
      </c>
      <c r="AN959" s="58" t="str">
        <f aca="false">IF( AM959&lt;&gt;"",VLOOKUP(AM959,Selects!$M$4:$N$1000,2,0),"")</f>
        <v/>
      </c>
      <c r="AO959" s="58"/>
      <c r="AP959" s="59"/>
      <c r="AQ959" s="65"/>
      <c r="AR959" s="58"/>
      <c r="AS959" s="58"/>
      <c r="AT959" s="26"/>
      <c r="AU959" s="58"/>
      <c r="AV959" s="58"/>
      <c r="AW959" s="58"/>
      <c r="AX959" s="58"/>
      <c r="AY959" s="71"/>
      <c r="AZ959" s="58"/>
      <c r="BA959" s="58"/>
      <c r="BB959" s="72" t="str">
        <f aca="false">IF(BA959&lt;&gt;"",VLOOKUP(BA959,Selects!$B$4:$C$100,2,0),"")</f>
        <v/>
      </c>
      <c r="BC959" s="26"/>
      <c r="BD959" s="26"/>
      <c r="BE959" s="73"/>
      <c r="BF959" s="74"/>
      <c r="BG959" s="75" t="str">
        <f aca="false">IF(LEN(BF959)=11,"PF",IF(LEN(BF959)=14,"PJ",""))</f>
        <v/>
      </c>
      <c r="BH959" s="66"/>
      <c r="BI959" s="58" t="str">
        <f aca="false">IF(BH959&lt;&gt;"",VLOOKUP(BH959,Selects!$G:$H,2,0),"")</f>
        <v/>
      </c>
      <c r="BJ959" s="58"/>
      <c r="BK959" s="58"/>
      <c r="BL959" s="59"/>
      <c r="BM959" s="58"/>
      <c r="BN959" s="58"/>
      <c r="BO959" s="58" t="str">
        <f aca="false">IF(BN959&lt;&gt;"",VLOOKUP(BN959,Selects!$J$4:$K$1000,2,0),"")</f>
        <v/>
      </c>
      <c r="BP959" s="76"/>
      <c r="BQ959" s="59"/>
      <c r="BR959" s="77"/>
      <c r="BS959" s="59"/>
      <c r="BT959" s="77"/>
      <c r="BU959" s="58"/>
      <c r="BV959" s="58"/>
      <c r="BW959" s="58"/>
      <c r="BX959" s="58"/>
      <c r="BY959" s="58"/>
      <c r="BZ959" s="58"/>
      <c r="CA959" s="58"/>
      <c r="CB959" s="72" t="str">
        <f aca="false">IF(AC959&lt;&gt;"",VLOOKUP(AC959,Selects!$B:$E,4,0),"")</f>
        <v/>
      </c>
      <c r="CC959" s="58"/>
      <c r="CD959" s="58"/>
      <c r="CE959" s="58"/>
    </row>
    <row r="960" customFormat="false" ht="15.75" hidden="false" customHeight="true" outlineLevel="0" collapsed="false">
      <c r="A960" s="17"/>
      <c r="B960" s="58"/>
      <c r="C960" s="58"/>
      <c r="D960" s="59"/>
      <c r="E960" s="60" t="str">
        <f aca="false">IF(LEN(D960)=11,"PF",IF(LEN(D960)=14,"PJ",""))</f>
        <v/>
      </c>
      <c r="F960" s="59"/>
      <c r="G960" s="59"/>
      <c r="H960" s="61" t="str">
        <f aca="false">IF(G960&lt;&gt;"",VLOOKUP(G960,'Cnae  mcc  id'!$A:$M,9,0),"")</f>
        <v/>
      </c>
      <c r="I960" s="62"/>
      <c r="J960" s="63" t="str">
        <f aca="false">IF(I960&lt;&gt;"",VLOOKUP(I960,'Legal Nature'!$E$2:$G$84,3,0),"")</f>
        <v/>
      </c>
      <c r="K960" s="64"/>
      <c r="L960" s="65"/>
      <c r="M960" s="66"/>
      <c r="N960" s="66"/>
      <c r="O960" s="79"/>
      <c r="P960" s="26"/>
      <c r="Q960" s="58"/>
      <c r="R960" s="58"/>
      <c r="S960" s="80"/>
      <c r="T960" s="68" t="str">
        <f aca="false">IF(LEFT(S960,1)="9","Celular",IF(S960="","","Fixo"))</f>
        <v/>
      </c>
      <c r="U960" s="58" t="str">
        <f aca="false">IF( T960&lt;&gt;"",VLOOKUP(T960,Selects!$M$4:$N$1000,2,0),"")</f>
        <v/>
      </c>
      <c r="V960" s="26"/>
      <c r="W960" s="58"/>
      <c r="X960" s="58"/>
      <c r="Y960" s="58"/>
      <c r="Z960" s="58"/>
      <c r="AA960" s="69"/>
      <c r="AB960" s="58"/>
      <c r="AC960" s="58"/>
      <c r="AD960" s="70" t="str">
        <f aca="false">IF(AC960&lt;&gt;"",VLOOKUP(AC960,Selects!$B$4:$C$100,2,0),"")</f>
        <v/>
      </c>
      <c r="AE960" s="26"/>
      <c r="AF960" s="58"/>
      <c r="AG960" s="59"/>
      <c r="AH960" s="65"/>
      <c r="AI960" s="66"/>
      <c r="AJ960" s="66"/>
      <c r="AK960" s="58"/>
      <c r="AL960" s="58"/>
      <c r="AM960" s="68" t="str">
        <f aca="false">IF(LEFT(AL960,1)="9","Celular",IF(AL960="","","Fixo"))</f>
        <v/>
      </c>
      <c r="AN960" s="58" t="str">
        <f aca="false">IF( AM960&lt;&gt;"",VLOOKUP(AM960,Selects!$M$4:$N$1000,2,0),"")</f>
        <v/>
      </c>
      <c r="AO960" s="58"/>
      <c r="AP960" s="59"/>
      <c r="AQ960" s="65"/>
      <c r="AR960" s="58"/>
      <c r="AS960" s="58"/>
      <c r="AT960" s="26"/>
      <c r="AU960" s="58"/>
      <c r="AV960" s="58"/>
      <c r="AW960" s="58"/>
      <c r="AX960" s="58"/>
      <c r="AY960" s="71"/>
      <c r="AZ960" s="58"/>
      <c r="BA960" s="58"/>
      <c r="BB960" s="72" t="str">
        <f aca="false">IF(BA960&lt;&gt;"",VLOOKUP(BA960,Selects!$B$4:$C$100,2,0),"")</f>
        <v/>
      </c>
      <c r="BC960" s="26"/>
      <c r="BD960" s="26"/>
      <c r="BE960" s="73"/>
      <c r="BF960" s="74"/>
      <c r="BG960" s="75" t="str">
        <f aca="false">IF(LEN(BF960)=11,"PF",IF(LEN(BF960)=14,"PJ",""))</f>
        <v/>
      </c>
      <c r="BH960" s="66"/>
      <c r="BI960" s="58" t="str">
        <f aca="false">IF(BH960&lt;&gt;"",VLOOKUP(BH960,Selects!$G:$H,2,0),"")</f>
        <v/>
      </c>
      <c r="BJ960" s="58"/>
      <c r="BK960" s="58"/>
      <c r="BL960" s="59"/>
      <c r="BM960" s="58"/>
      <c r="BN960" s="58"/>
      <c r="BO960" s="58" t="str">
        <f aca="false">IF(BN960&lt;&gt;"",VLOOKUP(BN960,Selects!$J$4:$K$1000,2,0),"")</f>
        <v/>
      </c>
      <c r="BP960" s="76"/>
      <c r="BQ960" s="59"/>
      <c r="BR960" s="77"/>
      <c r="BS960" s="59"/>
      <c r="BT960" s="77"/>
      <c r="BU960" s="58"/>
      <c r="BV960" s="58"/>
      <c r="BW960" s="58"/>
      <c r="BX960" s="58"/>
      <c r="BY960" s="58"/>
      <c r="BZ960" s="58"/>
      <c r="CA960" s="58"/>
      <c r="CB960" s="72" t="str">
        <f aca="false">IF(AC960&lt;&gt;"",VLOOKUP(AC960,Selects!$B:$E,4,0),"")</f>
        <v/>
      </c>
      <c r="CC960" s="58"/>
      <c r="CD960" s="58"/>
      <c r="CE960" s="58"/>
    </row>
    <row r="961" customFormat="false" ht="15.75" hidden="false" customHeight="true" outlineLevel="0" collapsed="false">
      <c r="A961" s="17"/>
      <c r="B961" s="58"/>
      <c r="C961" s="58"/>
      <c r="D961" s="59"/>
      <c r="E961" s="60" t="str">
        <f aca="false">IF(LEN(D961)=11,"PF",IF(LEN(D961)=14,"PJ",""))</f>
        <v/>
      </c>
      <c r="F961" s="59"/>
      <c r="G961" s="59"/>
      <c r="H961" s="61" t="str">
        <f aca="false">IF(G961&lt;&gt;"",VLOOKUP(G961,'Cnae  mcc  id'!$A:$M,9,0),"")</f>
        <v/>
      </c>
      <c r="I961" s="62"/>
      <c r="J961" s="63" t="str">
        <f aca="false">IF(I961&lt;&gt;"",VLOOKUP(I961,'Legal Nature'!$E$2:$G$84,3,0),"")</f>
        <v/>
      </c>
      <c r="K961" s="64"/>
      <c r="L961" s="65"/>
      <c r="M961" s="66"/>
      <c r="N961" s="66"/>
      <c r="O961" s="79"/>
      <c r="P961" s="26"/>
      <c r="Q961" s="58"/>
      <c r="R961" s="58"/>
      <c r="S961" s="80"/>
      <c r="T961" s="68" t="str">
        <f aca="false">IF(LEFT(S961,1)="9","Celular",IF(S961="","","Fixo"))</f>
        <v/>
      </c>
      <c r="U961" s="58" t="str">
        <f aca="false">IF( T961&lt;&gt;"",VLOOKUP(T961,Selects!$M$4:$N$1000,2,0),"")</f>
        <v/>
      </c>
      <c r="V961" s="26"/>
      <c r="W961" s="58"/>
      <c r="X961" s="58"/>
      <c r="Y961" s="58"/>
      <c r="Z961" s="58"/>
      <c r="AA961" s="69"/>
      <c r="AB961" s="58"/>
      <c r="AC961" s="58"/>
      <c r="AD961" s="70" t="str">
        <f aca="false">IF(AC961&lt;&gt;"",VLOOKUP(AC961,Selects!$B$4:$C$100,2,0),"")</f>
        <v/>
      </c>
      <c r="AE961" s="26"/>
      <c r="AF961" s="58"/>
      <c r="AG961" s="59"/>
      <c r="AH961" s="65"/>
      <c r="AI961" s="66"/>
      <c r="AJ961" s="66"/>
      <c r="AK961" s="58"/>
      <c r="AL961" s="58"/>
      <c r="AM961" s="68" t="str">
        <f aca="false">IF(LEFT(AL961,1)="9","Celular",IF(AL961="","","Fixo"))</f>
        <v/>
      </c>
      <c r="AN961" s="58" t="str">
        <f aca="false">IF( AM961&lt;&gt;"",VLOOKUP(AM961,Selects!$M$4:$N$1000,2,0),"")</f>
        <v/>
      </c>
      <c r="AO961" s="58"/>
      <c r="AP961" s="59"/>
      <c r="AQ961" s="65"/>
      <c r="AR961" s="58"/>
      <c r="AS961" s="58"/>
      <c r="AT961" s="26"/>
      <c r="AU961" s="58"/>
      <c r="AV961" s="58"/>
      <c r="AW961" s="58"/>
      <c r="AX961" s="58"/>
      <c r="AY961" s="71"/>
      <c r="AZ961" s="58"/>
      <c r="BA961" s="58"/>
      <c r="BB961" s="72" t="str">
        <f aca="false">IF(BA961&lt;&gt;"",VLOOKUP(BA961,Selects!$B$4:$C$100,2,0),"")</f>
        <v/>
      </c>
      <c r="BC961" s="26"/>
      <c r="BD961" s="26"/>
      <c r="BE961" s="73"/>
      <c r="BF961" s="74"/>
      <c r="BG961" s="75" t="str">
        <f aca="false">IF(LEN(BF961)=11,"PF",IF(LEN(BF961)=14,"PJ",""))</f>
        <v/>
      </c>
      <c r="BH961" s="66"/>
      <c r="BI961" s="58" t="str">
        <f aca="false">IF(BH961&lt;&gt;"",VLOOKUP(BH961,Selects!$G:$H,2,0),"")</f>
        <v/>
      </c>
      <c r="BJ961" s="58"/>
      <c r="BK961" s="58"/>
      <c r="BL961" s="59"/>
      <c r="BM961" s="58"/>
      <c r="BN961" s="58"/>
      <c r="BO961" s="58" t="str">
        <f aca="false">IF(BN961&lt;&gt;"",VLOOKUP(BN961,Selects!$J$4:$K$1000,2,0),"")</f>
        <v/>
      </c>
      <c r="BP961" s="76"/>
      <c r="BQ961" s="59"/>
      <c r="BR961" s="77"/>
      <c r="BS961" s="59"/>
      <c r="BT961" s="77"/>
      <c r="BU961" s="58"/>
      <c r="BV961" s="58"/>
      <c r="BW961" s="58"/>
      <c r="BX961" s="58"/>
      <c r="BY961" s="58"/>
      <c r="BZ961" s="58"/>
      <c r="CA961" s="58"/>
      <c r="CB961" s="72" t="str">
        <f aca="false">IF(AC961&lt;&gt;"",VLOOKUP(AC961,Selects!$B:$E,4,0),"")</f>
        <v/>
      </c>
      <c r="CC961" s="58"/>
      <c r="CD961" s="58"/>
      <c r="CE961" s="58"/>
    </row>
    <row r="962" customFormat="false" ht="15.75" hidden="false" customHeight="true" outlineLevel="0" collapsed="false">
      <c r="A962" s="17"/>
      <c r="B962" s="58"/>
      <c r="C962" s="58"/>
      <c r="D962" s="59"/>
      <c r="E962" s="60" t="str">
        <f aca="false">IF(LEN(D962)=11,"PF",IF(LEN(D962)=14,"PJ",""))</f>
        <v/>
      </c>
      <c r="F962" s="59"/>
      <c r="G962" s="59"/>
      <c r="H962" s="61" t="str">
        <f aca="false">IF(G962&lt;&gt;"",VLOOKUP(G962,'Cnae  mcc  id'!$A:$M,9,0),"")</f>
        <v/>
      </c>
      <c r="I962" s="62"/>
      <c r="J962" s="63" t="str">
        <f aca="false">IF(I962&lt;&gt;"",VLOOKUP(I962,'Legal Nature'!$E$2:$G$84,3,0),"")</f>
        <v/>
      </c>
      <c r="K962" s="64"/>
      <c r="L962" s="65"/>
      <c r="M962" s="66"/>
      <c r="N962" s="66"/>
      <c r="O962" s="79"/>
      <c r="P962" s="26"/>
      <c r="Q962" s="58"/>
      <c r="R962" s="58"/>
      <c r="S962" s="80"/>
      <c r="T962" s="68" t="str">
        <f aca="false">IF(LEFT(S962,1)="9","Celular",IF(S962="","","Fixo"))</f>
        <v/>
      </c>
      <c r="U962" s="58" t="str">
        <f aca="false">IF( T962&lt;&gt;"",VLOOKUP(T962,Selects!$M$4:$N$1000,2,0),"")</f>
        <v/>
      </c>
      <c r="V962" s="26"/>
      <c r="W962" s="58"/>
      <c r="X962" s="58"/>
      <c r="Y962" s="58"/>
      <c r="Z962" s="58"/>
      <c r="AA962" s="69"/>
      <c r="AB962" s="58"/>
      <c r="AC962" s="58"/>
      <c r="AD962" s="70" t="str">
        <f aca="false">IF(AC962&lt;&gt;"",VLOOKUP(AC962,Selects!$B$4:$C$100,2,0),"")</f>
        <v/>
      </c>
      <c r="AE962" s="26"/>
      <c r="AF962" s="58"/>
      <c r="AG962" s="59"/>
      <c r="AH962" s="65"/>
      <c r="AI962" s="66"/>
      <c r="AJ962" s="66"/>
      <c r="AK962" s="58"/>
      <c r="AL962" s="58"/>
      <c r="AM962" s="68" t="str">
        <f aca="false">IF(LEFT(AL962,1)="9","Celular",IF(AL962="","","Fixo"))</f>
        <v/>
      </c>
      <c r="AN962" s="58" t="str">
        <f aca="false">IF( AM962&lt;&gt;"",VLOOKUP(AM962,Selects!$M$4:$N$1000,2,0),"")</f>
        <v/>
      </c>
      <c r="AO962" s="58"/>
      <c r="AP962" s="59"/>
      <c r="AQ962" s="65"/>
      <c r="AR962" s="58"/>
      <c r="AS962" s="58"/>
      <c r="AT962" s="26"/>
      <c r="AU962" s="58"/>
      <c r="AV962" s="58"/>
      <c r="AW962" s="58"/>
      <c r="AX962" s="58"/>
      <c r="AY962" s="71"/>
      <c r="AZ962" s="58"/>
      <c r="BA962" s="58"/>
      <c r="BB962" s="72" t="str">
        <f aca="false">IF(BA962&lt;&gt;"",VLOOKUP(BA962,Selects!$B$4:$C$100,2,0),"")</f>
        <v/>
      </c>
      <c r="BC962" s="26"/>
      <c r="BD962" s="26"/>
      <c r="BE962" s="73"/>
      <c r="BF962" s="74"/>
      <c r="BG962" s="75" t="str">
        <f aca="false">IF(LEN(BF962)=11,"PF",IF(LEN(BF962)=14,"PJ",""))</f>
        <v/>
      </c>
      <c r="BH962" s="66"/>
      <c r="BI962" s="58" t="str">
        <f aca="false">IF(BH962&lt;&gt;"",VLOOKUP(BH962,Selects!$G:$H,2,0),"")</f>
        <v/>
      </c>
      <c r="BJ962" s="58"/>
      <c r="BK962" s="58"/>
      <c r="BL962" s="59"/>
      <c r="BM962" s="58"/>
      <c r="BN962" s="58"/>
      <c r="BO962" s="58" t="str">
        <f aca="false">IF(BN962&lt;&gt;"",VLOOKUP(BN962,Selects!$J$4:$K$1000,2,0),"")</f>
        <v/>
      </c>
      <c r="BP962" s="76"/>
      <c r="BQ962" s="59"/>
      <c r="BR962" s="77"/>
      <c r="BS962" s="59"/>
      <c r="BT962" s="77"/>
      <c r="BU962" s="58"/>
      <c r="BV962" s="58"/>
      <c r="BW962" s="58"/>
      <c r="BX962" s="58"/>
      <c r="BY962" s="58"/>
      <c r="BZ962" s="58"/>
      <c r="CA962" s="58"/>
      <c r="CB962" s="72" t="str">
        <f aca="false">IF(AC962&lt;&gt;"",VLOOKUP(AC962,Selects!$B:$E,4,0),"")</f>
        <v/>
      </c>
      <c r="CC962" s="58"/>
      <c r="CD962" s="58"/>
      <c r="CE962" s="58"/>
    </row>
    <row r="963" customFormat="false" ht="15.75" hidden="false" customHeight="true" outlineLevel="0" collapsed="false">
      <c r="A963" s="17"/>
      <c r="B963" s="58"/>
      <c r="C963" s="58"/>
      <c r="D963" s="59"/>
      <c r="E963" s="60" t="str">
        <f aca="false">IF(LEN(D963)=11,"PF",IF(LEN(D963)=14,"PJ",""))</f>
        <v/>
      </c>
      <c r="F963" s="59"/>
      <c r="G963" s="59"/>
      <c r="H963" s="61" t="str">
        <f aca="false">IF(G963&lt;&gt;"",VLOOKUP(G963,'Cnae  mcc  id'!$A:$M,9,0),"")</f>
        <v/>
      </c>
      <c r="I963" s="62"/>
      <c r="J963" s="63" t="str">
        <f aca="false">IF(I963&lt;&gt;"",VLOOKUP(I963,'Legal Nature'!$E$2:$G$84,3,0),"")</f>
        <v/>
      </c>
      <c r="K963" s="64"/>
      <c r="L963" s="65"/>
      <c r="M963" s="66"/>
      <c r="N963" s="66"/>
      <c r="O963" s="79"/>
      <c r="P963" s="26"/>
      <c r="Q963" s="58"/>
      <c r="R963" s="58"/>
      <c r="S963" s="80"/>
      <c r="T963" s="68" t="str">
        <f aca="false">IF(LEFT(S963,1)="9","Celular",IF(S963="","","Fixo"))</f>
        <v/>
      </c>
      <c r="U963" s="58" t="str">
        <f aca="false">IF( T963&lt;&gt;"",VLOOKUP(T963,Selects!$M$4:$N$1000,2,0),"")</f>
        <v/>
      </c>
      <c r="V963" s="26"/>
      <c r="W963" s="58"/>
      <c r="X963" s="58"/>
      <c r="Y963" s="58"/>
      <c r="Z963" s="58"/>
      <c r="AA963" s="69"/>
      <c r="AB963" s="58"/>
      <c r="AC963" s="58"/>
      <c r="AD963" s="70" t="str">
        <f aca="false">IF(AC963&lt;&gt;"",VLOOKUP(AC963,Selects!$B$4:$C$100,2,0),"")</f>
        <v/>
      </c>
      <c r="AE963" s="26"/>
      <c r="AF963" s="58"/>
      <c r="AG963" s="59"/>
      <c r="AH963" s="65"/>
      <c r="AI963" s="66"/>
      <c r="AJ963" s="66"/>
      <c r="AK963" s="58"/>
      <c r="AL963" s="58"/>
      <c r="AM963" s="68" t="str">
        <f aca="false">IF(LEFT(AL963,1)="9","Celular",IF(AL963="","","Fixo"))</f>
        <v/>
      </c>
      <c r="AN963" s="58" t="str">
        <f aca="false">IF( AM963&lt;&gt;"",VLOOKUP(AM963,Selects!$M$4:$N$1000,2,0),"")</f>
        <v/>
      </c>
      <c r="AO963" s="58"/>
      <c r="AP963" s="59"/>
      <c r="AQ963" s="65"/>
      <c r="AR963" s="58"/>
      <c r="AS963" s="58"/>
      <c r="AT963" s="26"/>
      <c r="AU963" s="58"/>
      <c r="AV963" s="58"/>
      <c r="AW963" s="58"/>
      <c r="AX963" s="58"/>
      <c r="AY963" s="71"/>
      <c r="AZ963" s="58"/>
      <c r="BA963" s="58"/>
      <c r="BB963" s="72" t="str">
        <f aca="false">IF(BA963&lt;&gt;"",VLOOKUP(BA963,Selects!$B$4:$C$100,2,0),"")</f>
        <v/>
      </c>
      <c r="BC963" s="26"/>
      <c r="BD963" s="26"/>
      <c r="BE963" s="73"/>
      <c r="BF963" s="74"/>
      <c r="BG963" s="75" t="str">
        <f aca="false">IF(LEN(BF963)=11,"PF",IF(LEN(BF963)=14,"PJ",""))</f>
        <v/>
      </c>
      <c r="BH963" s="66"/>
      <c r="BI963" s="58" t="str">
        <f aca="false">IF(BH963&lt;&gt;"",VLOOKUP(BH963,Selects!$G:$H,2,0),"")</f>
        <v/>
      </c>
      <c r="BJ963" s="58"/>
      <c r="BK963" s="58"/>
      <c r="BL963" s="59"/>
      <c r="BM963" s="58"/>
      <c r="BN963" s="58"/>
      <c r="BO963" s="58" t="str">
        <f aca="false">IF(BN963&lt;&gt;"",VLOOKUP(BN963,Selects!$J$4:$K$1000,2,0),"")</f>
        <v/>
      </c>
      <c r="BP963" s="76"/>
      <c r="BQ963" s="59"/>
      <c r="BR963" s="77"/>
      <c r="BS963" s="59"/>
      <c r="BT963" s="77"/>
      <c r="BU963" s="58"/>
      <c r="BV963" s="58"/>
      <c r="BW963" s="58"/>
      <c r="BX963" s="58"/>
      <c r="BY963" s="58"/>
      <c r="BZ963" s="58"/>
      <c r="CA963" s="58"/>
      <c r="CB963" s="72" t="str">
        <f aca="false">IF(AC963&lt;&gt;"",VLOOKUP(AC963,Selects!$B:$E,4,0),"")</f>
        <v/>
      </c>
      <c r="CC963" s="58"/>
      <c r="CD963" s="58"/>
      <c r="CE963" s="58"/>
    </row>
    <row r="964" customFormat="false" ht="15.75" hidden="false" customHeight="true" outlineLevel="0" collapsed="false">
      <c r="A964" s="17"/>
      <c r="B964" s="58"/>
      <c r="C964" s="58"/>
      <c r="D964" s="59"/>
      <c r="E964" s="60" t="str">
        <f aca="false">IF(LEN(D964)=11,"PF",IF(LEN(D964)=14,"PJ",""))</f>
        <v/>
      </c>
      <c r="F964" s="59"/>
      <c r="G964" s="59"/>
      <c r="H964" s="61" t="str">
        <f aca="false">IF(G964&lt;&gt;"",VLOOKUP(G964,'Cnae  mcc  id'!$A:$M,9,0),"")</f>
        <v/>
      </c>
      <c r="I964" s="62"/>
      <c r="J964" s="63" t="str">
        <f aca="false">IF(I964&lt;&gt;"",VLOOKUP(I964,'Legal Nature'!$E$2:$G$84,3,0),"")</f>
        <v/>
      </c>
      <c r="K964" s="64"/>
      <c r="L964" s="65"/>
      <c r="M964" s="66"/>
      <c r="N964" s="66"/>
      <c r="O964" s="79"/>
      <c r="P964" s="26"/>
      <c r="Q964" s="58"/>
      <c r="R964" s="58"/>
      <c r="S964" s="80"/>
      <c r="T964" s="68" t="str">
        <f aca="false">IF(LEFT(S964,1)="9","Celular",IF(S964="","","Fixo"))</f>
        <v/>
      </c>
      <c r="U964" s="58" t="str">
        <f aca="false">IF( T964&lt;&gt;"",VLOOKUP(T964,Selects!$M$4:$N$1000,2,0),"")</f>
        <v/>
      </c>
      <c r="V964" s="26"/>
      <c r="W964" s="58"/>
      <c r="X964" s="58"/>
      <c r="Y964" s="58"/>
      <c r="Z964" s="58"/>
      <c r="AA964" s="69"/>
      <c r="AB964" s="58"/>
      <c r="AC964" s="58"/>
      <c r="AD964" s="70" t="str">
        <f aca="false">IF(AC964&lt;&gt;"",VLOOKUP(AC964,Selects!$B$4:$C$100,2,0),"")</f>
        <v/>
      </c>
      <c r="AE964" s="26"/>
      <c r="AF964" s="58"/>
      <c r="AG964" s="59"/>
      <c r="AH964" s="65"/>
      <c r="AI964" s="66"/>
      <c r="AJ964" s="66"/>
      <c r="AK964" s="58"/>
      <c r="AL964" s="58"/>
      <c r="AM964" s="68" t="str">
        <f aca="false">IF(LEFT(AL964,1)="9","Celular",IF(AL964="","","Fixo"))</f>
        <v/>
      </c>
      <c r="AN964" s="58" t="str">
        <f aca="false">IF( AM964&lt;&gt;"",VLOOKUP(AM964,Selects!$M$4:$N$1000,2,0),"")</f>
        <v/>
      </c>
      <c r="AO964" s="58"/>
      <c r="AP964" s="59"/>
      <c r="AQ964" s="65"/>
      <c r="AR964" s="58"/>
      <c r="AS964" s="58"/>
      <c r="AT964" s="26"/>
      <c r="AU964" s="58"/>
      <c r="AV964" s="58"/>
      <c r="AW964" s="58"/>
      <c r="AX964" s="58"/>
      <c r="AY964" s="71"/>
      <c r="AZ964" s="58"/>
      <c r="BA964" s="58"/>
      <c r="BB964" s="72" t="str">
        <f aca="false">IF(BA964&lt;&gt;"",VLOOKUP(BA964,Selects!$B$4:$C$100,2,0),"")</f>
        <v/>
      </c>
      <c r="BC964" s="26"/>
      <c r="BD964" s="26"/>
      <c r="BE964" s="73"/>
      <c r="BF964" s="74"/>
      <c r="BG964" s="75" t="str">
        <f aca="false">IF(LEN(BF964)=11,"PF",IF(LEN(BF964)=14,"PJ",""))</f>
        <v/>
      </c>
      <c r="BH964" s="66"/>
      <c r="BI964" s="58" t="str">
        <f aca="false">IF(BH964&lt;&gt;"",VLOOKUP(BH964,Selects!$G:$H,2,0),"")</f>
        <v/>
      </c>
      <c r="BJ964" s="58"/>
      <c r="BK964" s="58"/>
      <c r="BL964" s="59"/>
      <c r="BM964" s="58"/>
      <c r="BN964" s="58"/>
      <c r="BO964" s="58" t="str">
        <f aca="false">IF(BN964&lt;&gt;"",VLOOKUP(BN964,Selects!$J$4:$K$1000,2,0),"")</f>
        <v/>
      </c>
      <c r="BP964" s="76"/>
      <c r="BQ964" s="59"/>
      <c r="BR964" s="77"/>
      <c r="BS964" s="59"/>
      <c r="BT964" s="77"/>
      <c r="BU964" s="58"/>
      <c r="BV964" s="58"/>
      <c r="BW964" s="58"/>
      <c r="BX964" s="58"/>
      <c r="BY964" s="58"/>
      <c r="BZ964" s="58"/>
      <c r="CA964" s="58"/>
      <c r="CB964" s="72" t="str">
        <f aca="false">IF(AC964&lt;&gt;"",VLOOKUP(AC964,Selects!$B:$E,4,0),"")</f>
        <v/>
      </c>
      <c r="CC964" s="58"/>
      <c r="CD964" s="58"/>
      <c r="CE964" s="58"/>
    </row>
    <row r="965" customFormat="false" ht="15.75" hidden="false" customHeight="true" outlineLevel="0" collapsed="false">
      <c r="A965" s="17"/>
      <c r="B965" s="58"/>
      <c r="C965" s="58"/>
      <c r="D965" s="59"/>
      <c r="E965" s="60" t="str">
        <f aca="false">IF(LEN(D965)=11,"PF",IF(LEN(D965)=14,"PJ",""))</f>
        <v/>
      </c>
      <c r="F965" s="59"/>
      <c r="G965" s="59"/>
      <c r="H965" s="61" t="str">
        <f aca="false">IF(G965&lt;&gt;"",VLOOKUP(G965,'Cnae  mcc  id'!$A:$M,9,0),"")</f>
        <v/>
      </c>
      <c r="I965" s="62"/>
      <c r="J965" s="63" t="str">
        <f aca="false">IF(I965&lt;&gt;"",VLOOKUP(I965,'Legal Nature'!$E$2:$G$84,3,0),"")</f>
        <v/>
      </c>
      <c r="K965" s="64"/>
      <c r="L965" s="65"/>
      <c r="M965" s="66"/>
      <c r="N965" s="66"/>
      <c r="O965" s="79"/>
      <c r="P965" s="26"/>
      <c r="Q965" s="58"/>
      <c r="R965" s="58"/>
      <c r="S965" s="80"/>
      <c r="T965" s="68" t="str">
        <f aca="false">IF(LEFT(S965,1)="9","Celular",IF(S965="","","Fixo"))</f>
        <v/>
      </c>
      <c r="U965" s="58" t="str">
        <f aca="false">IF( T965&lt;&gt;"",VLOOKUP(T965,Selects!$M$4:$N$1000,2,0),"")</f>
        <v/>
      </c>
      <c r="V965" s="26"/>
      <c r="W965" s="58"/>
      <c r="X965" s="58"/>
      <c r="Y965" s="58"/>
      <c r="Z965" s="58"/>
      <c r="AA965" s="69"/>
      <c r="AB965" s="58"/>
      <c r="AC965" s="58"/>
      <c r="AD965" s="70" t="str">
        <f aca="false">IF(AC965&lt;&gt;"",VLOOKUP(AC965,Selects!$B$4:$C$100,2,0),"")</f>
        <v/>
      </c>
      <c r="AE965" s="26"/>
      <c r="AF965" s="58"/>
      <c r="AG965" s="59"/>
      <c r="AH965" s="65"/>
      <c r="AI965" s="66"/>
      <c r="AJ965" s="66"/>
      <c r="AK965" s="58"/>
      <c r="AL965" s="58"/>
      <c r="AM965" s="68" t="str">
        <f aca="false">IF(LEFT(AL965,1)="9","Celular",IF(AL965="","","Fixo"))</f>
        <v/>
      </c>
      <c r="AN965" s="58" t="str">
        <f aca="false">IF( AM965&lt;&gt;"",VLOOKUP(AM965,Selects!$M$4:$N$1000,2,0),"")</f>
        <v/>
      </c>
      <c r="AO965" s="58"/>
      <c r="AP965" s="59"/>
      <c r="AQ965" s="65"/>
      <c r="AR965" s="58"/>
      <c r="AS965" s="58"/>
      <c r="AT965" s="26"/>
      <c r="AU965" s="58"/>
      <c r="AV965" s="58"/>
      <c r="AW965" s="58"/>
      <c r="AX965" s="58"/>
      <c r="AY965" s="71"/>
      <c r="AZ965" s="58"/>
      <c r="BA965" s="58"/>
      <c r="BB965" s="72" t="str">
        <f aca="false">IF(BA965&lt;&gt;"",VLOOKUP(BA965,Selects!$B$4:$C$100,2,0),"")</f>
        <v/>
      </c>
      <c r="BC965" s="26"/>
      <c r="BD965" s="26"/>
      <c r="BE965" s="73"/>
      <c r="BF965" s="74"/>
      <c r="BG965" s="75" t="str">
        <f aca="false">IF(LEN(BF965)=11,"PF",IF(LEN(BF965)=14,"PJ",""))</f>
        <v/>
      </c>
      <c r="BH965" s="66"/>
      <c r="BI965" s="58" t="str">
        <f aca="false">IF(BH965&lt;&gt;"",VLOOKUP(BH965,Selects!$G:$H,2,0),"")</f>
        <v/>
      </c>
      <c r="BJ965" s="58"/>
      <c r="BK965" s="58"/>
      <c r="BL965" s="59"/>
      <c r="BM965" s="58"/>
      <c r="BN965" s="58"/>
      <c r="BO965" s="58" t="str">
        <f aca="false">IF(BN965&lt;&gt;"",VLOOKUP(BN965,Selects!$J$4:$K$1000,2,0),"")</f>
        <v/>
      </c>
      <c r="BP965" s="76"/>
      <c r="BQ965" s="59"/>
      <c r="BR965" s="77"/>
      <c r="BS965" s="59"/>
      <c r="BT965" s="77"/>
      <c r="BU965" s="58"/>
      <c r="BV965" s="58"/>
      <c r="BW965" s="58"/>
      <c r="BX965" s="58"/>
      <c r="BY965" s="58"/>
      <c r="BZ965" s="58"/>
      <c r="CA965" s="58"/>
      <c r="CB965" s="72" t="str">
        <f aca="false">IF(AC965&lt;&gt;"",VLOOKUP(AC965,Selects!$B:$E,4,0),"")</f>
        <v/>
      </c>
      <c r="CC965" s="58"/>
      <c r="CD965" s="58"/>
      <c r="CE965" s="58"/>
    </row>
    <row r="966" customFormat="false" ht="15.75" hidden="false" customHeight="true" outlineLevel="0" collapsed="false">
      <c r="A966" s="17"/>
      <c r="B966" s="58"/>
      <c r="C966" s="58"/>
      <c r="D966" s="59"/>
      <c r="E966" s="60" t="str">
        <f aca="false">IF(LEN(D966)=11,"PF",IF(LEN(D966)=14,"PJ",""))</f>
        <v/>
      </c>
      <c r="F966" s="59"/>
      <c r="G966" s="59"/>
      <c r="H966" s="61" t="str">
        <f aca="false">IF(G966&lt;&gt;"",VLOOKUP(G966,'Cnae  mcc  id'!$A:$M,9,0),"")</f>
        <v/>
      </c>
      <c r="I966" s="62"/>
      <c r="J966" s="63" t="str">
        <f aca="false">IF(I966&lt;&gt;"",VLOOKUP(I966,'Legal Nature'!$E$2:$G$84,3,0),"")</f>
        <v/>
      </c>
      <c r="K966" s="64"/>
      <c r="L966" s="65"/>
      <c r="M966" s="66"/>
      <c r="N966" s="66"/>
      <c r="O966" s="79"/>
      <c r="P966" s="26"/>
      <c r="Q966" s="58"/>
      <c r="R966" s="58"/>
      <c r="S966" s="80"/>
      <c r="T966" s="68" t="str">
        <f aca="false">IF(LEFT(S966,1)="9","Celular",IF(S966="","","Fixo"))</f>
        <v/>
      </c>
      <c r="U966" s="58" t="str">
        <f aca="false">IF( T966&lt;&gt;"",VLOOKUP(T966,Selects!$M$4:$N$1000,2,0),"")</f>
        <v/>
      </c>
      <c r="V966" s="26"/>
      <c r="W966" s="58"/>
      <c r="X966" s="58"/>
      <c r="Y966" s="58"/>
      <c r="Z966" s="58"/>
      <c r="AA966" s="69"/>
      <c r="AB966" s="58"/>
      <c r="AC966" s="58"/>
      <c r="AD966" s="70" t="str">
        <f aca="false">IF(AC966&lt;&gt;"",VLOOKUP(AC966,Selects!$B$4:$C$100,2,0),"")</f>
        <v/>
      </c>
      <c r="AE966" s="26"/>
      <c r="AF966" s="58"/>
      <c r="AG966" s="59"/>
      <c r="AH966" s="65"/>
      <c r="AI966" s="66"/>
      <c r="AJ966" s="66"/>
      <c r="AK966" s="58"/>
      <c r="AL966" s="58"/>
      <c r="AM966" s="68" t="str">
        <f aca="false">IF(LEFT(AL966,1)="9","Celular",IF(AL966="","","Fixo"))</f>
        <v/>
      </c>
      <c r="AN966" s="58" t="str">
        <f aca="false">IF( AM966&lt;&gt;"",VLOOKUP(AM966,Selects!$M$4:$N$1000,2,0),"")</f>
        <v/>
      </c>
      <c r="AO966" s="58"/>
      <c r="AP966" s="59"/>
      <c r="AQ966" s="65"/>
      <c r="AR966" s="58"/>
      <c r="AS966" s="58"/>
      <c r="AT966" s="26"/>
      <c r="AU966" s="58"/>
      <c r="AV966" s="58"/>
      <c r="AW966" s="58"/>
      <c r="AX966" s="58"/>
      <c r="AY966" s="71"/>
      <c r="AZ966" s="58"/>
      <c r="BA966" s="58"/>
      <c r="BB966" s="72" t="str">
        <f aca="false">IF(BA966&lt;&gt;"",VLOOKUP(BA966,Selects!$B$4:$C$100,2,0),"")</f>
        <v/>
      </c>
      <c r="BC966" s="26"/>
      <c r="BD966" s="26"/>
      <c r="BE966" s="73"/>
      <c r="BF966" s="74"/>
      <c r="BG966" s="75" t="str">
        <f aca="false">IF(LEN(BF966)=11,"PF",IF(LEN(BF966)=14,"PJ",""))</f>
        <v/>
      </c>
      <c r="BH966" s="66"/>
      <c r="BI966" s="58" t="str">
        <f aca="false">IF(BH966&lt;&gt;"",VLOOKUP(BH966,Selects!$G:$H,2,0),"")</f>
        <v/>
      </c>
      <c r="BJ966" s="58"/>
      <c r="BK966" s="58"/>
      <c r="BL966" s="59"/>
      <c r="BM966" s="58"/>
      <c r="BN966" s="58"/>
      <c r="BO966" s="58" t="str">
        <f aca="false">IF(BN966&lt;&gt;"",VLOOKUP(BN966,Selects!$J$4:$K$1000,2,0),"")</f>
        <v/>
      </c>
      <c r="BP966" s="76"/>
      <c r="BQ966" s="59"/>
      <c r="BR966" s="77"/>
      <c r="BS966" s="59"/>
      <c r="BT966" s="77"/>
      <c r="BU966" s="58"/>
      <c r="BV966" s="58"/>
      <c r="BW966" s="58"/>
      <c r="BX966" s="58"/>
      <c r="BY966" s="58"/>
      <c r="BZ966" s="58"/>
      <c r="CA966" s="58"/>
      <c r="CB966" s="72" t="str">
        <f aca="false">IF(AC966&lt;&gt;"",VLOOKUP(AC966,Selects!$B:$E,4,0),"")</f>
        <v/>
      </c>
      <c r="CC966" s="58"/>
      <c r="CD966" s="58"/>
      <c r="CE966" s="58"/>
    </row>
    <row r="967" customFormat="false" ht="15.75" hidden="false" customHeight="true" outlineLevel="0" collapsed="false">
      <c r="A967" s="17"/>
      <c r="B967" s="58"/>
      <c r="C967" s="58"/>
      <c r="D967" s="59"/>
      <c r="E967" s="60" t="str">
        <f aca="false">IF(LEN(D967)=11,"PF",IF(LEN(D967)=14,"PJ",""))</f>
        <v/>
      </c>
      <c r="F967" s="59"/>
      <c r="G967" s="59"/>
      <c r="H967" s="61" t="str">
        <f aca="false">IF(G967&lt;&gt;"",VLOOKUP(G967,'Cnae  mcc  id'!$A:$M,9,0),"")</f>
        <v/>
      </c>
      <c r="I967" s="62"/>
      <c r="J967" s="63" t="str">
        <f aca="false">IF(I967&lt;&gt;"",VLOOKUP(I967,'Legal Nature'!$E$2:$G$84,3,0),"")</f>
        <v/>
      </c>
      <c r="K967" s="64"/>
      <c r="L967" s="65"/>
      <c r="M967" s="66"/>
      <c r="N967" s="66"/>
      <c r="O967" s="79"/>
      <c r="P967" s="26"/>
      <c r="Q967" s="58"/>
      <c r="R967" s="58"/>
      <c r="S967" s="80"/>
      <c r="T967" s="68" t="str">
        <f aca="false">IF(LEFT(S967,1)="9","Celular",IF(S967="","","Fixo"))</f>
        <v/>
      </c>
      <c r="U967" s="58" t="str">
        <f aca="false">IF( T967&lt;&gt;"",VLOOKUP(T967,Selects!$M$4:$N$1000,2,0),"")</f>
        <v/>
      </c>
      <c r="V967" s="26"/>
      <c r="W967" s="58"/>
      <c r="X967" s="58"/>
      <c r="Y967" s="58"/>
      <c r="Z967" s="58"/>
      <c r="AA967" s="69"/>
      <c r="AB967" s="58"/>
      <c r="AC967" s="58"/>
      <c r="AD967" s="70" t="str">
        <f aca="false">IF(AC967&lt;&gt;"",VLOOKUP(AC967,Selects!$B$4:$C$100,2,0),"")</f>
        <v/>
      </c>
      <c r="AE967" s="26"/>
      <c r="AF967" s="58"/>
      <c r="AG967" s="59"/>
      <c r="AH967" s="65"/>
      <c r="AI967" s="66"/>
      <c r="AJ967" s="66"/>
      <c r="AK967" s="58"/>
      <c r="AL967" s="58"/>
      <c r="AM967" s="68" t="str">
        <f aca="false">IF(LEFT(AL967,1)="9","Celular",IF(AL967="","","Fixo"))</f>
        <v/>
      </c>
      <c r="AN967" s="58" t="str">
        <f aca="false">IF( AM967&lt;&gt;"",VLOOKUP(AM967,Selects!$M$4:$N$1000,2,0),"")</f>
        <v/>
      </c>
      <c r="AO967" s="58"/>
      <c r="AP967" s="59"/>
      <c r="AQ967" s="65"/>
      <c r="AR967" s="58"/>
      <c r="AS967" s="58"/>
      <c r="AT967" s="26"/>
      <c r="AU967" s="58"/>
      <c r="AV967" s="58"/>
      <c r="AW967" s="58"/>
      <c r="AX967" s="58"/>
      <c r="AY967" s="71"/>
      <c r="AZ967" s="58"/>
      <c r="BA967" s="58"/>
      <c r="BB967" s="72" t="str">
        <f aca="false">IF(BA967&lt;&gt;"",VLOOKUP(BA967,Selects!$B$4:$C$100,2,0),"")</f>
        <v/>
      </c>
      <c r="BC967" s="26"/>
      <c r="BD967" s="26"/>
      <c r="BE967" s="73"/>
      <c r="BF967" s="74"/>
      <c r="BG967" s="75" t="str">
        <f aca="false">IF(LEN(BF967)=11,"PF",IF(LEN(BF967)=14,"PJ",""))</f>
        <v/>
      </c>
      <c r="BH967" s="66"/>
      <c r="BI967" s="58" t="str">
        <f aca="false">IF(BH967&lt;&gt;"",VLOOKUP(BH967,Selects!$G:$H,2,0),"")</f>
        <v/>
      </c>
      <c r="BJ967" s="58"/>
      <c r="BK967" s="58"/>
      <c r="BL967" s="59"/>
      <c r="BM967" s="58"/>
      <c r="BN967" s="58"/>
      <c r="BO967" s="58" t="str">
        <f aca="false">IF(BN967&lt;&gt;"",VLOOKUP(BN967,Selects!$J$4:$K$1000,2,0),"")</f>
        <v/>
      </c>
      <c r="BP967" s="76"/>
      <c r="BQ967" s="59"/>
      <c r="BR967" s="77"/>
      <c r="BS967" s="59"/>
      <c r="BT967" s="77"/>
      <c r="BU967" s="58"/>
      <c r="BV967" s="58"/>
      <c r="BW967" s="58"/>
      <c r="BX967" s="58"/>
      <c r="BY967" s="58"/>
      <c r="BZ967" s="58"/>
      <c r="CA967" s="58"/>
      <c r="CB967" s="72" t="str">
        <f aca="false">IF(AC967&lt;&gt;"",VLOOKUP(AC967,Selects!$B:$E,4,0),"")</f>
        <v/>
      </c>
      <c r="CC967" s="58"/>
      <c r="CD967" s="58"/>
      <c r="CE967" s="58"/>
    </row>
    <row r="968" customFormat="false" ht="15.75" hidden="false" customHeight="true" outlineLevel="0" collapsed="false">
      <c r="A968" s="17"/>
      <c r="B968" s="58"/>
      <c r="C968" s="58"/>
      <c r="D968" s="59"/>
      <c r="E968" s="60" t="str">
        <f aca="false">IF(LEN(D968)=11,"PF",IF(LEN(D968)=14,"PJ",""))</f>
        <v/>
      </c>
      <c r="F968" s="59"/>
      <c r="G968" s="59"/>
      <c r="H968" s="61" t="str">
        <f aca="false">IF(G968&lt;&gt;"",VLOOKUP(G968,'Cnae  mcc  id'!$A:$M,9,0),"")</f>
        <v/>
      </c>
      <c r="I968" s="62"/>
      <c r="J968" s="63" t="str">
        <f aca="false">IF(I968&lt;&gt;"",VLOOKUP(I968,'Legal Nature'!$E$2:$G$84,3,0),"")</f>
        <v/>
      </c>
      <c r="K968" s="64"/>
      <c r="L968" s="65"/>
      <c r="M968" s="66"/>
      <c r="N968" s="66"/>
      <c r="O968" s="79"/>
      <c r="P968" s="26"/>
      <c r="Q968" s="58"/>
      <c r="R968" s="58"/>
      <c r="S968" s="80"/>
      <c r="T968" s="68" t="str">
        <f aca="false">IF(LEFT(S968,1)="9","Celular",IF(S968="","","Fixo"))</f>
        <v/>
      </c>
      <c r="U968" s="58" t="str">
        <f aca="false">IF( T968&lt;&gt;"",VLOOKUP(T968,Selects!$M$4:$N$1000,2,0),"")</f>
        <v/>
      </c>
      <c r="V968" s="26"/>
      <c r="W968" s="58"/>
      <c r="X968" s="58"/>
      <c r="Y968" s="58"/>
      <c r="Z968" s="58"/>
      <c r="AA968" s="69"/>
      <c r="AB968" s="58"/>
      <c r="AC968" s="58"/>
      <c r="AD968" s="70" t="str">
        <f aca="false">IF(AC968&lt;&gt;"",VLOOKUP(AC968,Selects!$B$4:$C$100,2,0),"")</f>
        <v/>
      </c>
      <c r="AE968" s="26"/>
      <c r="AF968" s="58"/>
      <c r="AG968" s="59"/>
      <c r="AH968" s="65"/>
      <c r="AI968" s="66"/>
      <c r="AJ968" s="66"/>
      <c r="AK968" s="58"/>
      <c r="AL968" s="58"/>
      <c r="AM968" s="68" t="str">
        <f aca="false">IF(LEFT(AL968,1)="9","Celular",IF(AL968="","","Fixo"))</f>
        <v/>
      </c>
      <c r="AN968" s="58" t="str">
        <f aca="false">IF( AM968&lt;&gt;"",VLOOKUP(AM968,Selects!$M$4:$N$1000,2,0),"")</f>
        <v/>
      </c>
      <c r="AO968" s="58"/>
      <c r="AP968" s="59"/>
      <c r="AQ968" s="65"/>
      <c r="AR968" s="58"/>
      <c r="AS968" s="58"/>
      <c r="AT968" s="26"/>
      <c r="AU968" s="58"/>
      <c r="AV968" s="58"/>
      <c r="AW968" s="58"/>
      <c r="AX968" s="58"/>
      <c r="AY968" s="71"/>
      <c r="AZ968" s="58"/>
      <c r="BA968" s="58"/>
      <c r="BB968" s="72" t="str">
        <f aca="false">IF(BA968&lt;&gt;"",VLOOKUP(BA968,Selects!$B$4:$C$100,2,0),"")</f>
        <v/>
      </c>
      <c r="BC968" s="26"/>
      <c r="BD968" s="26"/>
      <c r="BE968" s="73"/>
      <c r="BF968" s="74"/>
      <c r="BG968" s="75" t="str">
        <f aca="false">IF(LEN(BF968)=11,"PF",IF(LEN(BF968)=14,"PJ",""))</f>
        <v/>
      </c>
      <c r="BH968" s="66"/>
      <c r="BI968" s="58" t="str">
        <f aca="false">IF(BH968&lt;&gt;"",VLOOKUP(BH968,Selects!$G:$H,2,0),"")</f>
        <v/>
      </c>
      <c r="BJ968" s="58"/>
      <c r="BK968" s="58"/>
      <c r="BL968" s="59"/>
      <c r="BM968" s="58"/>
      <c r="BN968" s="58"/>
      <c r="BO968" s="58" t="str">
        <f aca="false">IF(BN968&lt;&gt;"",VLOOKUP(BN968,Selects!$J$4:$K$1000,2,0),"")</f>
        <v/>
      </c>
      <c r="BP968" s="76"/>
      <c r="BQ968" s="59"/>
      <c r="BR968" s="77"/>
      <c r="BS968" s="59"/>
      <c r="BT968" s="77"/>
      <c r="BU968" s="58"/>
      <c r="BV968" s="58"/>
      <c r="BW968" s="58"/>
      <c r="BX968" s="58"/>
      <c r="BY968" s="58"/>
      <c r="BZ968" s="58"/>
      <c r="CA968" s="58"/>
      <c r="CB968" s="72" t="str">
        <f aca="false">IF(AC968&lt;&gt;"",VLOOKUP(AC968,Selects!$B:$E,4,0),"")</f>
        <v/>
      </c>
      <c r="CC968" s="58"/>
      <c r="CD968" s="58"/>
      <c r="CE968" s="58"/>
    </row>
    <row r="969" customFormat="false" ht="15.75" hidden="false" customHeight="true" outlineLevel="0" collapsed="false">
      <c r="A969" s="17"/>
      <c r="B969" s="58"/>
      <c r="C969" s="58"/>
      <c r="D969" s="59"/>
      <c r="E969" s="60" t="str">
        <f aca="false">IF(LEN(D969)=11,"PF",IF(LEN(D969)=14,"PJ",""))</f>
        <v/>
      </c>
      <c r="F969" s="59"/>
      <c r="G969" s="59"/>
      <c r="H969" s="61" t="str">
        <f aca="false">IF(G969&lt;&gt;"",VLOOKUP(G969,'Cnae  mcc  id'!$A:$M,9,0),"")</f>
        <v/>
      </c>
      <c r="I969" s="62"/>
      <c r="J969" s="63" t="str">
        <f aca="false">IF(I969&lt;&gt;"",VLOOKUP(I969,'Legal Nature'!$E$2:$G$84,3,0),"")</f>
        <v/>
      </c>
      <c r="K969" s="64"/>
      <c r="L969" s="65"/>
      <c r="M969" s="66"/>
      <c r="N969" s="66"/>
      <c r="O969" s="79"/>
      <c r="P969" s="26"/>
      <c r="Q969" s="58"/>
      <c r="R969" s="58"/>
      <c r="S969" s="80"/>
      <c r="T969" s="68" t="str">
        <f aca="false">IF(LEFT(S969,1)="9","Celular",IF(S969="","","Fixo"))</f>
        <v/>
      </c>
      <c r="U969" s="58" t="str">
        <f aca="false">IF( T969&lt;&gt;"",VLOOKUP(T969,Selects!$M$4:$N$1000,2,0),"")</f>
        <v/>
      </c>
      <c r="V969" s="26"/>
      <c r="W969" s="58"/>
      <c r="X969" s="58"/>
      <c r="Y969" s="58"/>
      <c r="Z969" s="58"/>
      <c r="AA969" s="69"/>
      <c r="AB969" s="58"/>
      <c r="AC969" s="58"/>
      <c r="AD969" s="70" t="str">
        <f aca="false">IF(AC969&lt;&gt;"",VLOOKUP(AC969,Selects!$B$4:$C$100,2,0),"")</f>
        <v/>
      </c>
      <c r="AE969" s="26"/>
      <c r="AF969" s="58"/>
      <c r="AG969" s="59"/>
      <c r="AH969" s="65"/>
      <c r="AI969" s="66"/>
      <c r="AJ969" s="66"/>
      <c r="AK969" s="58"/>
      <c r="AL969" s="58"/>
      <c r="AM969" s="68" t="str">
        <f aca="false">IF(LEFT(AL969,1)="9","Celular",IF(AL969="","","Fixo"))</f>
        <v/>
      </c>
      <c r="AN969" s="58" t="str">
        <f aca="false">IF( AM969&lt;&gt;"",VLOOKUP(AM969,Selects!$M$4:$N$1000,2,0),"")</f>
        <v/>
      </c>
      <c r="AO969" s="58"/>
      <c r="AP969" s="59"/>
      <c r="AQ969" s="65"/>
      <c r="AR969" s="58"/>
      <c r="AS969" s="58"/>
      <c r="AT969" s="26"/>
      <c r="AU969" s="58"/>
      <c r="AV969" s="58"/>
      <c r="AW969" s="58"/>
      <c r="AX969" s="58"/>
      <c r="AY969" s="71"/>
      <c r="AZ969" s="58"/>
      <c r="BA969" s="58"/>
      <c r="BB969" s="72" t="str">
        <f aca="false">IF(BA969&lt;&gt;"",VLOOKUP(BA969,Selects!$B$4:$C$100,2,0),"")</f>
        <v/>
      </c>
      <c r="BC969" s="26"/>
      <c r="BD969" s="26"/>
      <c r="BE969" s="73"/>
      <c r="BF969" s="74"/>
      <c r="BG969" s="75" t="str">
        <f aca="false">IF(LEN(BF969)=11,"PF",IF(LEN(BF969)=14,"PJ",""))</f>
        <v/>
      </c>
      <c r="BH969" s="66"/>
      <c r="BI969" s="58" t="str">
        <f aca="false">IF(BH969&lt;&gt;"",VLOOKUP(BH969,Selects!$G:$H,2,0),"")</f>
        <v/>
      </c>
      <c r="BJ969" s="58"/>
      <c r="BK969" s="58"/>
      <c r="BL969" s="59"/>
      <c r="BM969" s="58"/>
      <c r="BN969" s="58"/>
      <c r="BO969" s="58" t="str">
        <f aca="false">IF(BN969&lt;&gt;"",VLOOKUP(BN969,Selects!$J$4:$K$1000,2,0),"")</f>
        <v/>
      </c>
      <c r="BP969" s="76"/>
      <c r="BQ969" s="59"/>
      <c r="BR969" s="77"/>
      <c r="BS969" s="59"/>
      <c r="BT969" s="77"/>
      <c r="BU969" s="58"/>
      <c r="BV969" s="58"/>
      <c r="BW969" s="58"/>
      <c r="BX969" s="58"/>
      <c r="BY969" s="58"/>
      <c r="BZ969" s="58"/>
      <c r="CA969" s="58"/>
      <c r="CB969" s="72" t="str">
        <f aca="false">IF(AC969&lt;&gt;"",VLOOKUP(AC969,Selects!$B:$E,4,0),"")</f>
        <v/>
      </c>
      <c r="CC969" s="58"/>
      <c r="CD969" s="58"/>
      <c r="CE969" s="58"/>
    </row>
    <row r="970" customFormat="false" ht="15.75" hidden="false" customHeight="true" outlineLevel="0" collapsed="false">
      <c r="A970" s="17"/>
      <c r="B970" s="58"/>
      <c r="C970" s="58"/>
      <c r="D970" s="59"/>
      <c r="E970" s="60" t="str">
        <f aca="false">IF(LEN(D970)=11,"PF",IF(LEN(D970)=14,"PJ",""))</f>
        <v/>
      </c>
      <c r="F970" s="59"/>
      <c r="G970" s="59"/>
      <c r="H970" s="61" t="str">
        <f aca="false">IF(G970&lt;&gt;"",VLOOKUP(G970,'Cnae  mcc  id'!$A:$M,9,0),"")</f>
        <v/>
      </c>
      <c r="I970" s="62"/>
      <c r="J970" s="63" t="str">
        <f aca="false">IF(I970&lt;&gt;"",VLOOKUP(I970,'Legal Nature'!$E$2:$G$84,3,0),"")</f>
        <v/>
      </c>
      <c r="K970" s="64"/>
      <c r="L970" s="65"/>
      <c r="M970" s="66"/>
      <c r="N970" s="66"/>
      <c r="O970" s="79"/>
      <c r="P970" s="26"/>
      <c r="Q970" s="58"/>
      <c r="R970" s="58"/>
      <c r="S970" s="80"/>
      <c r="T970" s="68" t="str">
        <f aca="false">IF(LEFT(S970,1)="9","Celular",IF(S970="","","Fixo"))</f>
        <v/>
      </c>
      <c r="U970" s="58" t="str">
        <f aca="false">IF( T970&lt;&gt;"",VLOOKUP(T970,Selects!$M$4:$N$1000,2,0),"")</f>
        <v/>
      </c>
      <c r="V970" s="26"/>
      <c r="W970" s="58"/>
      <c r="X970" s="58"/>
      <c r="Y970" s="58"/>
      <c r="Z970" s="58"/>
      <c r="AA970" s="69"/>
      <c r="AB970" s="58"/>
      <c r="AC970" s="58"/>
      <c r="AD970" s="70" t="str">
        <f aca="false">IF(AC970&lt;&gt;"",VLOOKUP(AC970,Selects!$B$4:$C$100,2,0),"")</f>
        <v/>
      </c>
      <c r="AE970" s="26"/>
      <c r="AF970" s="58"/>
      <c r="AG970" s="59"/>
      <c r="AH970" s="65"/>
      <c r="AI970" s="66"/>
      <c r="AJ970" s="66"/>
      <c r="AK970" s="58"/>
      <c r="AL970" s="58"/>
      <c r="AM970" s="68" t="str">
        <f aca="false">IF(LEFT(AL970,1)="9","Celular",IF(AL970="","","Fixo"))</f>
        <v/>
      </c>
      <c r="AN970" s="58" t="str">
        <f aca="false">IF( AM970&lt;&gt;"",VLOOKUP(AM970,Selects!$M$4:$N$1000,2,0),"")</f>
        <v/>
      </c>
      <c r="AO970" s="58"/>
      <c r="AP970" s="59"/>
      <c r="AQ970" s="65"/>
      <c r="AR970" s="58"/>
      <c r="AS970" s="58"/>
      <c r="AT970" s="26"/>
      <c r="AU970" s="58"/>
      <c r="AV970" s="58"/>
      <c r="AW970" s="58"/>
      <c r="AX970" s="58"/>
      <c r="AY970" s="71"/>
      <c r="AZ970" s="58"/>
      <c r="BA970" s="58"/>
      <c r="BB970" s="72" t="str">
        <f aca="false">IF(BA970&lt;&gt;"",VLOOKUP(BA970,Selects!$B$4:$C$100,2,0),"")</f>
        <v/>
      </c>
      <c r="BC970" s="26"/>
      <c r="BD970" s="26"/>
      <c r="BE970" s="73"/>
      <c r="BF970" s="74"/>
      <c r="BG970" s="75" t="str">
        <f aca="false">IF(LEN(BF970)=11,"PF",IF(LEN(BF970)=14,"PJ",""))</f>
        <v/>
      </c>
      <c r="BH970" s="66"/>
      <c r="BI970" s="58" t="str">
        <f aca="false">IF(BH970&lt;&gt;"",VLOOKUP(BH970,Selects!$G:$H,2,0),"")</f>
        <v/>
      </c>
      <c r="BJ970" s="58"/>
      <c r="BK970" s="58"/>
      <c r="BL970" s="59"/>
      <c r="BM970" s="58"/>
      <c r="BN970" s="58"/>
      <c r="BO970" s="58" t="str">
        <f aca="false">IF(BN970&lt;&gt;"",VLOOKUP(BN970,Selects!$J$4:$K$1000,2,0),"")</f>
        <v/>
      </c>
      <c r="BP970" s="76"/>
      <c r="BQ970" s="59"/>
      <c r="BR970" s="77"/>
      <c r="BS970" s="59"/>
      <c r="BT970" s="77"/>
      <c r="BU970" s="58"/>
      <c r="BV970" s="58"/>
      <c r="BW970" s="58"/>
      <c r="BX970" s="58"/>
      <c r="BY970" s="58"/>
      <c r="BZ970" s="58"/>
      <c r="CA970" s="58"/>
      <c r="CB970" s="72" t="str">
        <f aca="false">IF(AC970&lt;&gt;"",VLOOKUP(AC970,Selects!$B:$E,4,0),"")</f>
        <v/>
      </c>
      <c r="CC970" s="58"/>
      <c r="CD970" s="58"/>
      <c r="CE970" s="58"/>
    </row>
    <row r="971" customFormat="false" ht="15.75" hidden="false" customHeight="true" outlineLevel="0" collapsed="false">
      <c r="A971" s="17"/>
      <c r="B971" s="58"/>
      <c r="C971" s="58"/>
      <c r="D971" s="59"/>
      <c r="E971" s="60" t="str">
        <f aca="false">IF(LEN(D971)=11,"PF",IF(LEN(D971)=14,"PJ",""))</f>
        <v/>
      </c>
      <c r="F971" s="59"/>
      <c r="G971" s="59"/>
      <c r="H971" s="61" t="str">
        <f aca="false">IF(G971&lt;&gt;"",VLOOKUP(G971,'Cnae  mcc  id'!$A:$M,9,0),"")</f>
        <v/>
      </c>
      <c r="I971" s="62"/>
      <c r="J971" s="63" t="str">
        <f aca="false">IF(I971&lt;&gt;"",VLOOKUP(I971,'Legal Nature'!$E$2:$G$84,3,0),"")</f>
        <v/>
      </c>
      <c r="K971" s="64"/>
      <c r="L971" s="65"/>
      <c r="M971" s="66"/>
      <c r="N971" s="66"/>
      <c r="O971" s="79"/>
      <c r="P971" s="26"/>
      <c r="Q971" s="58"/>
      <c r="R971" s="58"/>
      <c r="S971" s="80"/>
      <c r="T971" s="68" t="str">
        <f aca="false">IF(LEFT(S971,1)="9","Celular",IF(S971="","","Fixo"))</f>
        <v/>
      </c>
      <c r="U971" s="58" t="str">
        <f aca="false">IF( T971&lt;&gt;"",VLOOKUP(T971,Selects!$M$4:$N$1000,2,0),"")</f>
        <v/>
      </c>
      <c r="V971" s="26"/>
      <c r="W971" s="58"/>
      <c r="X971" s="58"/>
      <c r="Y971" s="58"/>
      <c r="Z971" s="58"/>
      <c r="AA971" s="69"/>
      <c r="AB971" s="58"/>
      <c r="AC971" s="58"/>
      <c r="AD971" s="70" t="str">
        <f aca="false">IF(AC971&lt;&gt;"",VLOOKUP(AC971,Selects!$B$4:$C$100,2,0),"")</f>
        <v/>
      </c>
      <c r="AE971" s="26"/>
      <c r="AF971" s="58"/>
      <c r="AG971" s="59"/>
      <c r="AH971" s="65"/>
      <c r="AI971" s="66"/>
      <c r="AJ971" s="66"/>
      <c r="AK971" s="58"/>
      <c r="AL971" s="58"/>
      <c r="AM971" s="68" t="str">
        <f aca="false">IF(LEFT(AL971,1)="9","Celular",IF(AL971="","","Fixo"))</f>
        <v/>
      </c>
      <c r="AN971" s="58" t="str">
        <f aca="false">IF( AM971&lt;&gt;"",VLOOKUP(AM971,Selects!$M$4:$N$1000,2,0),"")</f>
        <v/>
      </c>
      <c r="AO971" s="58"/>
      <c r="AP971" s="59"/>
      <c r="AQ971" s="65"/>
      <c r="AR971" s="58"/>
      <c r="AS971" s="58"/>
      <c r="AT971" s="26"/>
      <c r="AU971" s="58"/>
      <c r="AV971" s="58"/>
      <c r="AW971" s="58"/>
      <c r="AX971" s="58"/>
      <c r="AY971" s="71"/>
      <c r="AZ971" s="58"/>
      <c r="BA971" s="58"/>
      <c r="BB971" s="72" t="str">
        <f aca="false">IF(BA971&lt;&gt;"",VLOOKUP(BA971,Selects!$B$4:$C$100,2,0),"")</f>
        <v/>
      </c>
      <c r="BC971" s="26"/>
      <c r="BD971" s="26"/>
      <c r="BE971" s="73"/>
      <c r="BF971" s="74"/>
      <c r="BG971" s="75" t="str">
        <f aca="false">IF(LEN(BF971)=11,"PF",IF(LEN(BF971)=14,"PJ",""))</f>
        <v/>
      </c>
      <c r="BH971" s="66"/>
      <c r="BI971" s="58" t="str">
        <f aca="false">IF(BH971&lt;&gt;"",VLOOKUP(BH971,Selects!$G:$H,2,0),"")</f>
        <v/>
      </c>
      <c r="BJ971" s="58"/>
      <c r="BK971" s="58"/>
      <c r="BL971" s="59"/>
      <c r="BM971" s="58"/>
      <c r="BN971" s="58"/>
      <c r="BO971" s="58" t="str">
        <f aca="false">IF(BN971&lt;&gt;"",VLOOKUP(BN971,Selects!$J$4:$K$1000,2,0),"")</f>
        <v/>
      </c>
      <c r="BP971" s="76"/>
      <c r="BQ971" s="59"/>
      <c r="BR971" s="77"/>
      <c r="BS971" s="59"/>
      <c r="BT971" s="77"/>
      <c r="BU971" s="58"/>
      <c r="BV971" s="58"/>
      <c r="BW971" s="58"/>
      <c r="BX971" s="58"/>
      <c r="BY971" s="58"/>
      <c r="BZ971" s="58"/>
      <c r="CA971" s="58"/>
      <c r="CB971" s="72" t="str">
        <f aca="false">IF(AC971&lt;&gt;"",VLOOKUP(AC971,Selects!$B:$E,4,0),"")</f>
        <v/>
      </c>
      <c r="CC971" s="58"/>
      <c r="CD971" s="58"/>
      <c r="CE971" s="58"/>
    </row>
    <row r="972" customFormat="false" ht="15.75" hidden="false" customHeight="true" outlineLevel="0" collapsed="false">
      <c r="A972" s="17"/>
      <c r="B972" s="58"/>
      <c r="C972" s="58"/>
      <c r="D972" s="59"/>
      <c r="E972" s="60" t="str">
        <f aca="false">IF(LEN(D972)=11,"PF",IF(LEN(D972)=14,"PJ",""))</f>
        <v/>
      </c>
      <c r="F972" s="59"/>
      <c r="G972" s="59"/>
      <c r="H972" s="61" t="str">
        <f aca="false">IF(G972&lt;&gt;"",VLOOKUP(G972,'Cnae  mcc  id'!$A:$M,9,0),"")</f>
        <v/>
      </c>
      <c r="I972" s="62"/>
      <c r="J972" s="63" t="str">
        <f aca="false">IF(I972&lt;&gt;"",VLOOKUP(I972,'Legal Nature'!$E$2:$G$84,3,0),"")</f>
        <v/>
      </c>
      <c r="K972" s="64"/>
      <c r="L972" s="65"/>
      <c r="M972" s="66"/>
      <c r="N972" s="66"/>
      <c r="O972" s="79"/>
      <c r="P972" s="26"/>
      <c r="Q972" s="58"/>
      <c r="R972" s="58"/>
      <c r="S972" s="80"/>
      <c r="T972" s="68" t="str">
        <f aca="false">IF(LEFT(S972,1)="9","Celular",IF(S972="","","Fixo"))</f>
        <v/>
      </c>
      <c r="U972" s="58" t="str">
        <f aca="false">IF( T972&lt;&gt;"",VLOOKUP(T972,Selects!$M$4:$N$1000,2,0),"")</f>
        <v/>
      </c>
      <c r="V972" s="26"/>
      <c r="W972" s="58"/>
      <c r="X972" s="58"/>
      <c r="Y972" s="58"/>
      <c r="Z972" s="58"/>
      <c r="AA972" s="69"/>
      <c r="AB972" s="58"/>
      <c r="AC972" s="58"/>
      <c r="AD972" s="70" t="str">
        <f aca="false">IF(AC972&lt;&gt;"",VLOOKUP(AC972,Selects!$B$4:$C$100,2,0),"")</f>
        <v/>
      </c>
      <c r="AE972" s="26"/>
      <c r="AF972" s="58"/>
      <c r="AG972" s="59"/>
      <c r="AH972" s="65"/>
      <c r="AI972" s="66"/>
      <c r="AJ972" s="66"/>
      <c r="AK972" s="58"/>
      <c r="AL972" s="58"/>
      <c r="AM972" s="68" t="str">
        <f aca="false">IF(LEFT(AL972,1)="9","Celular",IF(AL972="","","Fixo"))</f>
        <v/>
      </c>
      <c r="AN972" s="58" t="str">
        <f aca="false">IF( AM972&lt;&gt;"",VLOOKUP(AM972,Selects!$M$4:$N$1000,2,0),"")</f>
        <v/>
      </c>
      <c r="AO972" s="58"/>
      <c r="AP972" s="59"/>
      <c r="AQ972" s="65"/>
      <c r="AR972" s="58"/>
      <c r="AS972" s="58"/>
      <c r="AT972" s="26"/>
      <c r="AU972" s="58"/>
      <c r="AV972" s="58"/>
      <c r="AW972" s="58"/>
      <c r="AX972" s="58"/>
      <c r="AY972" s="71"/>
      <c r="AZ972" s="58"/>
      <c r="BA972" s="58"/>
      <c r="BB972" s="72" t="str">
        <f aca="false">IF(BA972&lt;&gt;"",VLOOKUP(BA972,Selects!$B$4:$C$100,2,0),"")</f>
        <v/>
      </c>
      <c r="BC972" s="26"/>
      <c r="BD972" s="26"/>
      <c r="BE972" s="73"/>
      <c r="BF972" s="74"/>
      <c r="BG972" s="75" t="str">
        <f aca="false">IF(LEN(BF972)=11,"PF",IF(LEN(BF972)=14,"PJ",""))</f>
        <v/>
      </c>
      <c r="BH972" s="66"/>
      <c r="BI972" s="58" t="str">
        <f aca="false">IF(BH972&lt;&gt;"",VLOOKUP(BH972,Selects!$G:$H,2,0),"")</f>
        <v/>
      </c>
      <c r="BJ972" s="58"/>
      <c r="BK972" s="58"/>
      <c r="BL972" s="59"/>
      <c r="BM972" s="58"/>
      <c r="BN972" s="58"/>
      <c r="BO972" s="58" t="str">
        <f aca="false">IF(BN972&lt;&gt;"",VLOOKUP(BN972,Selects!$J$4:$K$1000,2,0),"")</f>
        <v/>
      </c>
      <c r="BP972" s="76"/>
      <c r="BQ972" s="59"/>
      <c r="BR972" s="77"/>
      <c r="BS972" s="59"/>
      <c r="BT972" s="77"/>
      <c r="BU972" s="58"/>
      <c r="BV972" s="58"/>
      <c r="BW972" s="58"/>
      <c r="BX972" s="58"/>
      <c r="BY972" s="58"/>
      <c r="BZ972" s="58"/>
      <c r="CA972" s="58"/>
      <c r="CB972" s="72" t="str">
        <f aca="false">IF(AC972&lt;&gt;"",VLOOKUP(AC972,Selects!$B:$E,4,0),"")</f>
        <v/>
      </c>
      <c r="CC972" s="58"/>
      <c r="CD972" s="58"/>
      <c r="CE972" s="58"/>
    </row>
    <row r="973" customFormat="false" ht="15.75" hidden="false" customHeight="true" outlineLevel="0" collapsed="false">
      <c r="A973" s="17"/>
      <c r="B973" s="58"/>
      <c r="C973" s="58"/>
      <c r="D973" s="59"/>
      <c r="E973" s="60" t="str">
        <f aca="false">IF(LEN(D973)=11,"PF",IF(LEN(D973)=14,"PJ",""))</f>
        <v/>
      </c>
      <c r="F973" s="59"/>
      <c r="G973" s="59"/>
      <c r="H973" s="61" t="str">
        <f aca="false">IF(G973&lt;&gt;"",VLOOKUP(G973,'Cnae  mcc  id'!$A:$M,9,0),"")</f>
        <v/>
      </c>
      <c r="I973" s="62"/>
      <c r="J973" s="63" t="str">
        <f aca="false">IF(I973&lt;&gt;"",VLOOKUP(I973,'Legal Nature'!$E$2:$G$84,3,0),"")</f>
        <v/>
      </c>
      <c r="K973" s="64"/>
      <c r="L973" s="65"/>
      <c r="M973" s="66"/>
      <c r="N973" s="66"/>
      <c r="O973" s="79"/>
      <c r="P973" s="26"/>
      <c r="Q973" s="58"/>
      <c r="R973" s="58"/>
      <c r="S973" s="80"/>
      <c r="T973" s="68" t="str">
        <f aca="false">IF(LEFT(S973,1)="9","Celular",IF(S973="","","Fixo"))</f>
        <v/>
      </c>
      <c r="U973" s="58" t="str">
        <f aca="false">IF( T973&lt;&gt;"",VLOOKUP(T973,Selects!$M$4:$N$1000,2,0),"")</f>
        <v/>
      </c>
      <c r="V973" s="26"/>
      <c r="W973" s="58"/>
      <c r="X973" s="58"/>
      <c r="Y973" s="58"/>
      <c r="Z973" s="58"/>
      <c r="AA973" s="69"/>
      <c r="AB973" s="58"/>
      <c r="AC973" s="58"/>
      <c r="AD973" s="70" t="str">
        <f aca="false">IF(AC973&lt;&gt;"",VLOOKUP(AC973,Selects!$B$4:$C$100,2,0),"")</f>
        <v/>
      </c>
      <c r="AE973" s="26"/>
      <c r="AF973" s="58"/>
      <c r="AG973" s="59"/>
      <c r="AH973" s="65"/>
      <c r="AI973" s="66"/>
      <c r="AJ973" s="66"/>
      <c r="AK973" s="58"/>
      <c r="AL973" s="58"/>
      <c r="AM973" s="68" t="str">
        <f aca="false">IF(LEFT(AL973,1)="9","Celular",IF(AL973="","","Fixo"))</f>
        <v/>
      </c>
      <c r="AN973" s="58" t="str">
        <f aca="false">IF( AM973&lt;&gt;"",VLOOKUP(AM973,Selects!$M$4:$N$1000,2,0),"")</f>
        <v/>
      </c>
      <c r="AO973" s="58"/>
      <c r="AP973" s="59"/>
      <c r="AQ973" s="65"/>
      <c r="AR973" s="58"/>
      <c r="AS973" s="58"/>
      <c r="AT973" s="26"/>
      <c r="AU973" s="58"/>
      <c r="AV973" s="58"/>
      <c r="AW973" s="58"/>
      <c r="AX973" s="58"/>
      <c r="AY973" s="71"/>
      <c r="AZ973" s="58"/>
      <c r="BA973" s="58"/>
      <c r="BB973" s="72" t="str">
        <f aca="false">IF(BA973&lt;&gt;"",VLOOKUP(BA973,Selects!$B$4:$C$100,2,0),"")</f>
        <v/>
      </c>
      <c r="BC973" s="26"/>
      <c r="BD973" s="26"/>
      <c r="BE973" s="73"/>
      <c r="BF973" s="74"/>
      <c r="BG973" s="75" t="str">
        <f aca="false">IF(LEN(BF973)=11,"PF",IF(LEN(BF973)=14,"PJ",""))</f>
        <v/>
      </c>
      <c r="BH973" s="66"/>
      <c r="BI973" s="58" t="str">
        <f aca="false">IF(BH973&lt;&gt;"",VLOOKUP(BH973,Selects!$G:$H,2,0),"")</f>
        <v/>
      </c>
      <c r="BJ973" s="58"/>
      <c r="BK973" s="58"/>
      <c r="BL973" s="59"/>
      <c r="BM973" s="58"/>
      <c r="BN973" s="58"/>
      <c r="BO973" s="58" t="str">
        <f aca="false">IF(BN973&lt;&gt;"",VLOOKUP(BN973,Selects!$J$4:$K$1000,2,0),"")</f>
        <v/>
      </c>
      <c r="BP973" s="76"/>
      <c r="BQ973" s="59"/>
      <c r="BR973" s="77"/>
      <c r="BS973" s="59"/>
      <c r="BT973" s="77"/>
      <c r="BU973" s="58"/>
      <c r="BV973" s="58"/>
      <c r="BW973" s="58"/>
      <c r="BX973" s="58"/>
      <c r="BY973" s="58"/>
      <c r="BZ973" s="58"/>
      <c r="CA973" s="58"/>
      <c r="CB973" s="72" t="str">
        <f aca="false">IF(AC973&lt;&gt;"",VLOOKUP(AC973,Selects!$B:$E,4,0),"")</f>
        <v/>
      </c>
      <c r="CC973" s="58"/>
      <c r="CD973" s="58"/>
      <c r="CE973" s="58"/>
    </row>
    <row r="974" customFormat="false" ht="15.75" hidden="false" customHeight="true" outlineLevel="0" collapsed="false">
      <c r="A974" s="17"/>
      <c r="B974" s="58"/>
      <c r="C974" s="58"/>
      <c r="D974" s="59"/>
      <c r="E974" s="60" t="str">
        <f aca="false">IF(LEN(D974)=11,"PF",IF(LEN(D974)=14,"PJ",""))</f>
        <v/>
      </c>
      <c r="F974" s="59"/>
      <c r="G974" s="59"/>
      <c r="H974" s="61" t="str">
        <f aca="false">IF(G974&lt;&gt;"",VLOOKUP(G974,'Cnae  mcc  id'!$A:$M,9,0),"")</f>
        <v/>
      </c>
      <c r="I974" s="62"/>
      <c r="J974" s="63" t="str">
        <f aca="false">IF(I974&lt;&gt;"",VLOOKUP(I974,'Legal Nature'!$E$2:$G$84,3,0),"")</f>
        <v/>
      </c>
      <c r="K974" s="64"/>
      <c r="L974" s="65"/>
      <c r="M974" s="66"/>
      <c r="N974" s="66"/>
      <c r="O974" s="79"/>
      <c r="P974" s="26"/>
      <c r="Q974" s="58"/>
      <c r="R974" s="58"/>
      <c r="S974" s="80"/>
      <c r="T974" s="68" t="str">
        <f aca="false">IF(LEFT(S974,1)="9","Celular",IF(S974="","","Fixo"))</f>
        <v/>
      </c>
      <c r="U974" s="58" t="str">
        <f aca="false">IF( T974&lt;&gt;"",VLOOKUP(T974,Selects!$M$4:$N$1000,2,0),"")</f>
        <v/>
      </c>
      <c r="V974" s="26"/>
      <c r="W974" s="58"/>
      <c r="X974" s="58"/>
      <c r="Y974" s="58"/>
      <c r="Z974" s="58"/>
      <c r="AA974" s="69"/>
      <c r="AB974" s="58"/>
      <c r="AC974" s="58"/>
      <c r="AD974" s="70" t="str">
        <f aca="false">IF(AC974&lt;&gt;"",VLOOKUP(AC974,Selects!$B$4:$C$100,2,0),"")</f>
        <v/>
      </c>
      <c r="AE974" s="26"/>
      <c r="AF974" s="58"/>
      <c r="AG974" s="59"/>
      <c r="AH974" s="65"/>
      <c r="AI974" s="66"/>
      <c r="AJ974" s="66"/>
      <c r="AK974" s="58"/>
      <c r="AL974" s="58"/>
      <c r="AM974" s="68" t="str">
        <f aca="false">IF(LEFT(AL974,1)="9","Celular",IF(AL974="","","Fixo"))</f>
        <v/>
      </c>
      <c r="AN974" s="58" t="str">
        <f aca="false">IF( AM974&lt;&gt;"",VLOOKUP(AM974,Selects!$M$4:$N$1000,2,0),"")</f>
        <v/>
      </c>
      <c r="AO974" s="58"/>
      <c r="AP974" s="59"/>
      <c r="AQ974" s="65"/>
      <c r="AR974" s="58"/>
      <c r="AS974" s="58"/>
      <c r="AT974" s="26"/>
      <c r="AU974" s="58"/>
      <c r="AV974" s="58"/>
      <c r="AW974" s="58"/>
      <c r="AX974" s="58"/>
      <c r="AY974" s="71"/>
      <c r="AZ974" s="58"/>
      <c r="BA974" s="58"/>
      <c r="BB974" s="72" t="str">
        <f aca="false">IF(BA974&lt;&gt;"",VLOOKUP(BA974,Selects!$B$4:$C$100,2,0),"")</f>
        <v/>
      </c>
      <c r="BC974" s="26"/>
      <c r="BD974" s="26"/>
      <c r="BE974" s="73"/>
      <c r="BF974" s="74"/>
      <c r="BG974" s="75" t="str">
        <f aca="false">IF(LEN(BF974)=11,"PF",IF(LEN(BF974)=14,"PJ",""))</f>
        <v/>
      </c>
      <c r="BH974" s="66"/>
      <c r="BI974" s="58" t="str">
        <f aca="false">IF(BH974&lt;&gt;"",VLOOKUP(BH974,Selects!$G:$H,2,0),"")</f>
        <v/>
      </c>
      <c r="BJ974" s="58"/>
      <c r="BK974" s="58"/>
      <c r="BL974" s="59"/>
      <c r="BM974" s="58"/>
      <c r="BN974" s="58"/>
      <c r="BO974" s="58" t="str">
        <f aca="false">IF(BN974&lt;&gt;"",VLOOKUP(BN974,Selects!$J$4:$K$1000,2,0),"")</f>
        <v/>
      </c>
      <c r="BP974" s="76"/>
      <c r="BQ974" s="59"/>
      <c r="BR974" s="77"/>
      <c r="BS974" s="59"/>
      <c r="BT974" s="77"/>
      <c r="BU974" s="58"/>
      <c r="BV974" s="58"/>
      <c r="BW974" s="58"/>
      <c r="BX974" s="58"/>
      <c r="BY974" s="58"/>
      <c r="BZ974" s="58"/>
      <c r="CA974" s="58"/>
      <c r="CB974" s="72" t="str">
        <f aca="false">IF(AC974&lt;&gt;"",VLOOKUP(AC974,Selects!$B:$E,4,0),"")</f>
        <v/>
      </c>
      <c r="CC974" s="58"/>
      <c r="CD974" s="58"/>
      <c r="CE974" s="58"/>
    </row>
    <row r="975" customFormat="false" ht="15.75" hidden="false" customHeight="true" outlineLevel="0" collapsed="false">
      <c r="A975" s="17"/>
      <c r="B975" s="58"/>
      <c r="C975" s="58"/>
      <c r="D975" s="59"/>
      <c r="E975" s="60" t="str">
        <f aca="false">IF(LEN(D975)=11,"PF",IF(LEN(D975)=14,"PJ",""))</f>
        <v/>
      </c>
      <c r="F975" s="59"/>
      <c r="G975" s="59"/>
      <c r="H975" s="61" t="str">
        <f aca="false">IF(G975&lt;&gt;"",VLOOKUP(G975,'Cnae  mcc  id'!$A:$M,9,0),"")</f>
        <v/>
      </c>
      <c r="I975" s="62"/>
      <c r="J975" s="63" t="str">
        <f aca="false">IF(I975&lt;&gt;"",VLOOKUP(I975,'Legal Nature'!$E$2:$G$84,3,0),"")</f>
        <v/>
      </c>
      <c r="K975" s="64"/>
      <c r="L975" s="65"/>
      <c r="M975" s="66"/>
      <c r="N975" s="66"/>
      <c r="O975" s="79"/>
      <c r="P975" s="26"/>
      <c r="Q975" s="58"/>
      <c r="R975" s="58"/>
      <c r="S975" s="80"/>
      <c r="T975" s="68" t="str">
        <f aca="false">IF(LEFT(S975,1)="9","Celular",IF(S975="","","Fixo"))</f>
        <v/>
      </c>
      <c r="U975" s="58" t="str">
        <f aca="false">IF( T975&lt;&gt;"",VLOOKUP(T975,Selects!$M$4:$N$1000,2,0),"")</f>
        <v/>
      </c>
      <c r="V975" s="26"/>
      <c r="W975" s="58"/>
      <c r="X975" s="58"/>
      <c r="Y975" s="58"/>
      <c r="Z975" s="58"/>
      <c r="AA975" s="69"/>
      <c r="AB975" s="58"/>
      <c r="AC975" s="58"/>
      <c r="AD975" s="70" t="str">
        <f aca="false">IF(AC975&lt;&gt;"",VLOOKUP(AC975,Selects!$B$4:$C$100,2,0),"")</f>
        <v/>
      </c>
      <c r="AE975" s="26"/>
      <c r="AF975" s="58"/>
      <c r="AG975" s="59"/>
      <c r="AH975" s="65"/>
      <c r="AI975" s="66"/>
      <c r="AJ975" s="66"/>
      <c r="AK975" s="58"/>
      <c r="AL975" s="58"/>
      <c r="AM975" s="68" t="str">
        <f aca="false">IF(LEFT(AL975,1)="9","Celular",IF(AL975="","","Fixo"))</f>
        <v/>
      </c>
      <c r="AN975" s="58" t="str">
        <f aca="false">IF( AM975&lt;&gt;"",VLOOKUP(AM975,Selects!$M$4:$N$1000,2,0),"")</f>
        <v/>
      </c>
      <c r="AO975" s="58"/>
      <c r="AP975" s="59"/>
      <c r="AQ975" s="65"/>
      <c r="AR975" s="58"/>
      <c r="AS975" s="58"/>
      <c r="AT975" s="26"/>
      <c r="AU975" s="58"/>
      <c r="AV975" s="58"/>
      <c r="AW975" s="58"/>
      <c r="AX975" s="58"/>
      <c r="AY975" s="71"/>
      <c r="AZ975" s="58"/>
      <c r="BA975" s="58"/>
      <c r="BB975" s="72" t="str">
        <f aca="false">IF(BA975&lt;&gt;"",VLOOKUP(BA975,Selects!$B$4:$C$100,2,0),"")</f>
        <v/>
      </c>
      <c r="BC975" s="26"/>
      <c r="BD975" s="26"/>
      <c r="BE975" s="73"/>
      <c r="BF975" s="74"/>
      <c r="BG975" s="75" t="str">
        <f aca="false">IF(LEN(BF975)=11,"PF",IF(LEN(BF975)=14,"PJ",""))</f>
        <v/>
      </c>
      <c r="BH975" s="66"/>
      <c r="BI975" s="58" t="str">
        <f aca="false">IF(BH975&lt;&gt;"",VLOOKUP(BH975,Selects!$G:$H,2,0),"")</f>
        <v/>
      </c>
      <c r="BJ975" s="58"/>
      <c r="BK975" s="58"/>
      <c r="BL975" s="59"/>
      <c r="BM975" s="58"/>
      <c r="BN975" s="58"/>
      <c r="BO975" s="58" t="str">
        <f aca="false">IF(BN975&lt;&gt;"",VLOOKUP(BN975,Selects!$J$4:$K$1000,2,0),"")</f>
        <v/>
      </c>
      <c r="BP975" s="76"/>
      <c r="BQ975" s="59"/>
      <c r="BR975" s="77"/>
      <c r="BS975" s="59"/>
      <c r="BT975" s="77"/>
      <c r="BU975" s="58"/>
      <c r="BV975" s="58"/>
      <c r="BW975" s="58"/>
      <c r="BX975" s="58"/>
      <c r="BY975" s="58"/>
      <c r="BZ975" s="58"/>
      <c r="CA975" s="58"/>
      <c r="CB975" s="72" t="str">
        <f aca="false">IF(AC975&lt;&gt;"",VLOOKUP(AC975,Selects!$B:$E,4,0),"")</f>
        <v/>
      </c>
      <c r="CC975" s="58"/>
      <c r="CD975" s="58"/>
      <c r="CE975" s="58"/>
    </row>
    <row r="976" customFormat="false" ht="15.75" hidden="false" customHeight="true" outlineLevel="0" collapsed="false">
      <c r="A976" s="17"/>
      <c r="B976" s="58"/>
      <c r="C976" s="58"/>
      <c r="D976" s="59"/>
      <c r="E976" s="60" t="str">
        <f aca="false">IF(LEN(D976)=11,"PF",IF(LEN(D976)=14,"PJ",""))</f>
        <v/>
      </c>
      <c r="F976" s="59"/>
      <c r="G976" s="59"/>
      <c r="H976" s="61" t="str">
        <f aca="false">IF(G976&lt;&gt;"",VLOOKUP(G976,'Cnae  mcc  id'!$A:$M,9,0),"")</f>
        <v/>
      </c>
      <c r="I976" s="62"/>
      <c r="J976" s="63" t="str">
        <f aca="false">IF(I976&lt;&gt;"",VLOOKUP(I976,'Legal Nature'!$E$2:$G$84,3,0),"")</f>
        <v/>
      </c>
      <c r="K976" s="64"/>
      <c r="L976" s="65"/>
      <c r="M976" s="66"/>
      <c r="N976" s="66"/>
      <c r="O976" s="79"/>
      <c r="P976" s="26"/>
      <c r="Q976" s="58"/>
      <c r="R976" s="58"/>
      <c r="S976" s="80"/>
      <c r="T976" s="68" t="str">
        <f aca="false">IF(LEFT(S976,1)="9","Celular",IF(S976="","","Fixo"))</f>
        <v/>
      </c>
      <c r="U976" s="58" t="str">
        <f aca="false">IF( T976&lt;&gt;"",VLOOKUP(T976,Selects!$M$4:$N$1000,2,0),"")</f>
        <v/>
      </c>
      <c r="V976" s="26"/>
      <c r="W976" s="58"/>
      <c r="X976" s="58"/>
      <c r="Y976" s="58"/>
      <c r="Z976" s="58"/>
      <c r="AA976" s="69"/>
      <c r="AB976" s="58"/>
      <c r="AC976" s="58"/>
      <c r="AD976" s="70" t="str">
        <f aca="false">IF(AC976&lt;&gt;"",VLOOKUP(AC976,Selects!$B$4:$C$100,2,0),"")</f>
        <v/>
      </c>
      <c r="AE976" s="26"/>
      <c r="AF976" s="58"/>
      <c r="AG976" s="59"/>
      <c r="AH976" s="65"/>
      <c r="AI976" s="66"/>
      <c r="AJ976" s="66"/>
      <c r="AK976" s="58"/>
      <c r="AL976" s="58"/>
      <c r="AM976" s="68" t="str">
        <f aca="false">IF(LEFT(AL976,1)="9","Celular",IF(AL976="","","Fixo"))</f>
        <v/>
      </c>
      <c r="AN976" s="58" t="str">
        <f aca="false">IF( AM976&lt;&gt;"",VLOOKUP(AM976,Selects!$M$4:$N$1000,2,0),"")</f>
        <v/>
      </c>
      <c r="AO976" s="58"/>
      <c r="AP976" s="59"/>
      <c r="AQ976" s="65"/>
      <c r="AR976" s="58"/>
      <c r="AS976" s="58"/>
      <c r="AT976" s="26"/>
      <c r="AU976" s="58"/>
      <c r="AV976" s="58"/>
      <c r="AW976" s="58"/>
      <c r="AX976" s="58"/>
      <c r="AY976" s="71"/>
      <c r="AZ976" s="58"/>
      <c r="BA976" s="58"/>
      <c r="BB976" s="72" t="str">
        <f aca="false">IF(BA976&lt;&gt;"",VLOOKUP(BA976,Selects!$B$4:$C$100,2,0),"")</f>
        <v/>
      </c>
      <c r="BC976" s="26"/>
      <c r="BD976" s="26"/>
      <c r="BE976" s="73"/>
      <c r="BF976" s="74"/>
      <c r="BG976" s="75" t="str">
        <f aca="false">IF(LEN(BF976)=11,"PF",IF(LEN(BF976)=14,"PJ",""))</f>
        <v/>
      </c>
      <c r="BH976" s="66"/>
      <c r="BI976" s="58" t="str">
        <f aca="false">IF(BH976&lt;&gt;"",VLOOKUP(BH976,Selects!$G:$H,2,0),"")</f>
        <v/>
      </c>
      <c r="BJ976" s="58"/>
      <c r="BK976" s="58"/>
      <c r="BL976" s="59"/>
      <c r="BM976" s="58"/>
      <c r="BN976" s="58"/>
      <c r="BO976" s="58" t="str">
        <f aca="false">IF(BN976&lt;&gt;"",VLOOKUP(BN976,Selects!$J$4:$K$1000,2,0),"")</f>
        <v/>
      </c>
      <c r="BP976" s="76"/>
      <c r="BQ976" s="59"/>
      <c r="BR976" s="77"/>
      <c r="BS976" s="59"/>
      <c r="BT976" s="77"/>
      <c r="BU976" s="58"/>
      <c r="BV976" s="58"/>
      <c r="BW976" s="58"/>
      <c r="BX976" s="58"/>
      <c r="BY976" s="58"/>
      <c r="BZ976" s="58"/>
      <c r="CA976" s="58"/>
      <c r="CB976" s="72" t="str">
        <f aca="false">IF(AC976&lt;&gt;"",VLOOKUP(AC976,Selects!$B:$E,4,0),"")</f>
        <v/>
      </c>
      <c r="CC976" s="58"/>
      <c r="CD976" s="58"/>
      <c r="CE976" s="58"/>
    </row>
    <row r="977" customFormat="false" ht="15.75" hidden="false" customHeight="true" outlineLevel="0" collapsed="false">
      <c r="A977" s="17"/>
      <c r="B977" s="58"/>
      <c r="C977" s="58"/>
      <c r="D977" s="59"/>
      <c r="E977" s="60" t="str">
        <f aca="false">IF(LEN(D977)=11,"PF",IF(LEN(D977)=14,"PJ",""))</f>
        <v/>
      </c>
      <c r="F977" s="59"/>
      <c r="G977" s="59"/>
      <c r="H977" s="61" t="str">
        <f aca="false">IF(G977&lt;&gt;"",VLOOKUP(G977,'Cnae  mcc  id'!$A:$M,9,0),"")</f>
        <v/>
      </c>
      <c r="I977" s="62"/>
      <c r="J977" s="63" t="str">
        <f aca="false">IF(I977&lt;&gt;"",VLOOKUP(I977,'Legal Nature'!$E$2:$G$84,3,0),"")</f>
        <v/>
      </c>
      <c r="K977" s="64"/>
      <c r="L977" s="65"/>
      <c r="M977" s="66"/>
      <c r="N977" s="66"/>
      <c r="O977" s="79"/>
      <c r="P977" s="26"/>
      <c r="Q977" s="58"/>
      <c r="R977" s="58"/>
      <c r="S977" s="80"/>
      <c r="T977" s="68" t="str">
        <f aca="false">IF(LEFT(S977,1)="9","Celular",IF(S977="","","Fixo"))</f>
        <v/>
      </c>
      <c r="U977" s="58" t="str">
        <f aca="false">IF( T977&lt;&gt;"",VLOOKUP(T977,Selects!$M$4:$N$1000,2,0),"")</f>
        <v/>
      </c>
      <c r="V977" s="26"/>
      <c r="W977" s="58"/>
      <c r="X977" s="58"/>
      <c r="Y977" s="58"/>
      <c r="Z977" s="58"/>
      <c r="AA977" s="69"/>
      <c r="AB977" s="58"/>
      <c r="AC977" s="58"/>
      <c r="AD977" s="70" t="str">
        <f aca="false">IF(AC977&lt;&gt;"",VLOOKUP(AC977,Selects!$B$4:$C$100,2,0),"")</f>
        <v/>
      </c>
      <c r="AE977" s="26"/>
      <c r="AF977" s="58"/>
      <c r="AG977" s="59"/>
      <c r="AH977" s="65"/>
      <c r="AI977" s="66"/>
      <c r="AJ977" s="66"/>
      <c r="AK977" s="58"/>
      <c r="AL977" s="58"/>
      <c r="AM977" s="68" t="str">
        <f aca="false">IF(LEFT(AL977,1)="9","Celular",IF(AL977="","","Fixo"))</f>
        <v/>
      </c>
      <c r="AN977" s="58" t="str">
        <f aca="false">IF( AM977&lt;&gt;"",VLOOKUP(AM977,Selects!$M$4:$N$1000,2,0),"")</f>
        <v/>
      </c>
      <c r="AO977" s="58"/>
      <c r="AP977" s="59"/>
      <c r="AQ977" s="65"/>
      <c r="AR977" s="58"/>
      <c r="AS977" s="58"/>
      <c r="AT977" s="26"/>
      <c r="AU977" s="58"/>
      <c r="AV977" s="58"/>
      <c r="AW977" s="58"/>
      <c r="AX977" s="58"/>
      <c r="AY977" s="71"/>
      <c r="AZ977" s="58"/>
      <c r="BA977" s="58"/>
      <c r="BB977" s="72" t="str">
        <f aca="false">IF(BA977&lt;&gt;"",VLOOKUP(BA977,Selects!$B$4:$C$100,2,0),"")</f>
        <v/>
      </c>
      <c r="BC977" s="26"/>
      <c r="BD977" s="26"/>
      <c r="BE977" s="73"/>
      <c r="BF977" s="74"/>
      <c r="BG977" s="75" t="str">
        <f aca="false">IF(LEN(BF977)=11,"PF",IF(LEN(BF977)=14,"PJ",""))</f>
        <v/>
      </c>
      <c r="BH977" s="66"/>
      <c r="BI977" s="58" t="str">
        <f aca="false">IF(BH977&lt;&gt;"",VLOOKUP(BH977,Selects!$G:$H,2,0),"")</f>
        <v/>
      </c>
      <c r="BJ977" s="58"/>
      <c r="BK977" s="58"/>
      <c r="BL977" s="59"/>
      <c r="BM977" s="58"/>
      <c r="BN977" s="58"/>
      <c r="BO977" s="58" t="str">
        <f aca="false">IF(BN977&lt;&gt;"",VLOOKUP(BN977,Selects!$J$4:$K$1000,2,0),"")</f>
        <v/>
      </c>
      <c r="BP977" s="76"/>
      <c r="BQ977" s="59"/>
      <c r="BR977" s="77"/>
      <c r="BS977" s="59"/>
      <c r="BT977" s="77"/>
      <c r="BU977" s="58"/>
      <c r="BV977" s="58"/>
      <c r="BW977" s="58"/>
      <c r="BX977" s="58"/>
      <c r="BY977" s="58"/>
      <c r="BZ977" s="58"/>
      <c r="CA977" s="58"/>
      <c r="CB977" s="72" t="str">
        <f aca="false">IF(AC977&lt;&gt;"",VLOOKUP(AC977,Selects!$B:$E,4,0),"")</f>
        <v/>
      </c>
      <c r="CC977" s="58"/>
      <c r="CD977" s="58"/>
      <c r="CE977" s="58"/>
    </row>
    <row r="978" customFormat="false" ht="15.75" hidden="false" customHeight="true" outlineLevel="0" collapsed="false">
      <c r="A978" s="17"/>
      <c r="B978" s="58"/>
      <c r="C978" s="58"/>
      <c r="D978" s="59"/>
      <c r="E978" s="60" t="str">
        <f aca="false">IF(LEN(D978)=11,"PF",IF(LEN(D978)=14,"PJ",""))</f>
        <v/>
      </c>
      <c r="F978" s="59"/>
      <c r="G978" s="59"/>
      <c r="H978" s="61" t="str">
        <f aca="false">IF(G978&lt;&gt;"",VLOOKUP(G978,'Cnae  mcc  id'!$A:$M,9,0),"")</f>
        <v/>
      </c>
      <c r="I978" s="62"/>
      <c r="J978" s="63" t="str">
        <f aca="false">IF(I978&lt;&gt;"",VLOOKUP(I978,'Legal Nature'!$E$2:$G$84,3,0),"")</f>
        <v/>
      </c>
      <c r="K978" s="64"/>
      <c r="L978" s="65"/>
      <c r="M978" s="66"/>
      <c r="N978" s="66"/>
      <c r="O978" s="79"/>
      <c r="P978" s="26"/>
      <c r="Q978" s="58"/>
      <c r="R978" s="58"/>
      <c r="S978" s="80"/>
      <c r="T978" s="68" t="str">
        <f aca="false">IF(LEFT(S978,1)="9","Celular",IF(S978="","","Fixo"))</f>
        <v/>
      </c>
      <c r="U978" s="58" t="str">
        <f aca="false">IF( T978&lt;&gt;"",VLOOKUP(T978,Selects!$M$4:$N$1000,2,0),"")</f>
        <v/>
      </c>
      <c r="V978" s="26"/>
      <c r="W978" s="58"/>
      <c r="X978" s="58"/>
      <c r="Y978" s="58"/>
      <c r="Z978" s="58"/>
      <c r="AA978" s="69"/>
      <c r="AB978" s="58"/>
      <c r="AC978" s="58"/>
      <c r="AD978" s="70" t="str">
        <f aca="false">IF(AC978&lt;&gt;"",VLOOKUP(AC978,Selects!$B$4:$C$100,2,0),"")</f>
        <v/>
      </c>
      <c r="AE978" s="26"/>
      <c r="AF978" s="58"/>
      <c r="AG978" s="59"/>
      <c r="AH978" s="65"/>
      <c r="AI978" s="66"/>
      <c r="AJ978" s="66"/>
      <c r="AK978" s="58"/>
      <c r="AL978" s="58"/>
      <c r="AM978" s="68" t="str">
        <f aca="false">IF(LEFT(AL978,1)="9","Celular",IF(AL978="","","Fixo"))</f>
        <v/>
      </c>
      <c r="AN978" s="58" t="str">
        <f aca="false">IF( AM978&lt;&gt;"",VLOOKUP(AM978,Selects!$M$4:$N$1000,2,0),"")</f>
        <v/>
      </c>
      <c r="AO978" s="58"/>
      <c r="AP978" s="59"/>
      <c r="AQ978" s="65"/>
      <c r="AR978" s="58"/>
      <c r="AS978" s="58"/>
      <c r="AT978" s="26"/>
      <c r="AU978" s="58"/>
      <c r="AV978" s="58"/>
      <c r="AW978" s="58"/>
      <c r="AX978" s="58"/>
      <c r="AY978" s="71"/>
      <c r="AZ978" s="58"/>
      <c r="BA978" s="58"/>
      <c r="BB978" s="72" t="str">
        <f aca="false">IF(BA978&lt;&gt;"",VLOOKUP(BA978,Selects!$B$4:$C$100,2,0),"")</f>
        <v/>
      </c>
      <c r="BC978" s="26"/>
      <c r="BD978" s="26"/>
      <c r="BE978" s="73"/>
      <c r="BF978" s="74"/>
      <c r="BG978" s="75" t="str">
        <f aca="false">IF(LEN(BF978)=11,"PF",IF(LEN(BF978)=14,"PJ",""))</f>
        <v/>
      </c>
      <c r="BH978" s="66"/>
      <c r="BI978" s="58" t="str">
        <f aca="false">IF(BH978&lt;&gt;"",VLOOKUP(BH978,Selects!$G:$H,2,0),"")</f>
        <v/>
      </c>
      <c r="BJ978" s="58"/>
      <c r="BK978" s="58"/>
      <c r="BL978" s="59"/>
      <c r="BM978" s="58"/>
      <c r="BN978" s="58"/>
      <c r="BO978" s="58" t="str">
        <f aca="false">IF(BN978&lt;&gt;"",VLOOKUP(BN978,Selects!$J$4:$K$1000,2,0),"")</f>
        <v/>
      </c>
      <c r="BP978" s="76"/>
      <c r="BQ978" s="59"/>
      <c r="BR978" s="77"/>
      <c r="BS978" s="59"/>
      <c r="BT978" s="77"/>
      <c r="BU978" s="58"/>
      <c r="BV978" s="58"/>
      <c r="BW978" s="58"/>
      <c r="BX978" s="58"/>
      <c r="BY978" s="58"/>
      <c r="BZ978" s="58"/>
      <c r="CA978" s="58"/>
      <c r="CB978" s="72" t="str">
        <f aca="false">IF(AC978&lt;&gt;"",VLOOKUP(AC978,Selects!$B:$E,4,0),"")</f>
        <v/>
      </c>
      <c r="CC978" s="58"/>
      <c r="CD978" s="58"/>
      <c r="CE978" s="58"/>
    </row>
    <row r="979" customFormat="false" ht="15.75" hidden="false" customHeight="true" outlineLevel="0" collapsed="false">
      <c r="A979" s="17"/>
      <c r="B979" s="58"/>
      <c r="C979" s="58"/>
      <c r="D979" s="59"/>
      <c r="E979" s="60" t="str">
        <f aca="false">IF(LEN(D979)=11,"PF",IF(LEN(D979)=14,"PJ",""))</f>
        <v/>
      </c>
      <c r="F979" s="59"/>
      <c r="G979" s="59"/>
      <c r="H979" s="61" t="str">
        <f aca="false">IF(G979&lt;&gt;"",VLOOKUP(G979,'Cnae  mcc  id'!$A:$M,9,0),"")</f>
        <v/>
      </c>
      <c r="I979" s="62"/>
      <c r="J979" s="63" t="str">
        <f aca="false">IF(I979&lt;&gt;"",VLOOKUP(I979,'Legal Nature'!$E$2:$G$84,3,0),"")</f>
        <v/>
      </c>
      <c r="K979" s="64"/>
      <c r="L979" s="65"/>
      <c r="M979" s="66"/>
      <c r="N979" s="66"/>
      <c r="O979" s="79"/>
      <c r="P979" s="26"/>
      <c r="Q979" s="58"/>
      <c r="R979" s="58"/>
      <c r="S979" s="80"/>
      <c r="T979" s="68" t="str">
        <f aca="false">IF(LEFT(S979,1)="9","Celular",IF(S979="","","Fixo"))</f>
        <v/>
      </c>
      <c r="U979" s="58" t="str">
        <f aca="false">IF( T979&lt;&gt;"",VLOOKUP(T979,Selects!$M$4:$N$1000,2,0),"")</f>
        <v/>
      </c>
      <c r="V979" s="26"/>
      <c r="W979" s="58"/>
      <c r="X979" s="58"/>
      <c r="Y979" s="58"/>
      <c r="Z979" s="58"/>
      <c r="AA979" s="69"/>
      <c r="AB979" s="58"/>
      <c r="AC979" s="58"/>
      <c r="AD979" s="70" t="str">
        <f aca="false">IF(AC979&lt;&gt;"",VLOOKUP(AC979,Selects!$B$4:$C$100,2,0),"")</f>
        <v/>
      </c>
      <c r="AE979" s="26"/>
      <c r="AF979" s="58"/>
      <c r="AG979" s="59"/>
      <c r="AH979" s="65"/>
      <c r="AI979" s="66"/>
      <c r="AJ979" s="66"/>
      <c r="AK979" s="58"/>
      <c r="AL979" s="58"/>
      <c r="AM979" s="68" t="str">
        <f aca="false">IF(LEFT(AL979,1)="9","Celular",IF(AL979="","","Fixo"))</f>
        <v/>
      </c>
      <c r="AN979" s="58" t="str">
        <f aca="false">IF( AM979&lt;&gt;"",VLOOKUP(AM979,Selects!$M$4:$N$1000,2,0),"")</f>
        <v/>
      </c>
      <c r="AO979" s="58"/>
      <c r="AP979" s="59"/>
      <c r="AQ979" s="65"/>
      <c r="AR979" s="58"/>
      <c r="AS979" s="58"/>
      <c r="AT979" s="26"/>
      <c r="AU979" s="58"/>
      <c r="AV979" s="58"/>
      <c r="AW979" s="58"/>
      <c r="AX979" s="58"/>
      <c r="AY979" s="71"/>
      <c r="AZ979" s="58"/>
      <c r="BA979" s="58"/>
      <c r="BB979" s="72" t="str">
        <f aca="false">IF(BA979&lt;&gt;"",VLOOKUP(BA979,Selects!$B$4:$C$100,2,0),"")</f>
        <v/>
      </c>
      <c r="BC979" s="26"/>
      <c r="BD979" s="26"/>
      <c r="BE979" s="73"/>
      <c r="BF979" s="74"/>
      <c r="BG979" s="75" t="str">
        <f aca="false">IF(LEN(BF979)=11,"PF",IF(LEN(BF979)=14,"PJ",""))</f>
        <v/>
      </c>
      <c r="BH979" s="66"/>
      <c r="BI979" s="58" t="str">
        <f aca="false">IF(BH979&lt;&gt;"",VLOOKUP(BH979,Selects!$G:$H,2,0),"")</f>
        <v/>
      </c>
      <c r="BJ979" s="58"/>
      <c r="BK979" s="58"/>
      <c r="BL979" s="59"/>
      <c r="BM979" s="58"/>
      <c r="BN979" s="58"/>
      <c r="BO979" s="58" t="str">
        <f aca="false">IF(BN979&lt;&gt;"",VLOOKUP(BN979,Selects!$J$4:$K$1000,2,0),"")</f>
        <v/>
      </c>
      <c r="BP979" s="76"/>
      <c r="BQ979" s="59"/>
      <c r="BR979" s="77"/>
      <c r="BS979" s="59"/>
      <c r="BT979" s="77"/>
      <c r="BU979" s="58"/>
      <c r="BV979" s="58"/>
      <c r="BW979" s="58"/>
      <c r="BX979" s="58"/>
      <c r="BY979" s="58"/>
      <c r="BZ979" s="58"/>
      <c r="CA979" s="58"/>
      <c r="CB979" s="72" t="str">
        <f aca="false">IF(AC979&lt;&gt;"",VLOOKUP(AC979,Selects!$B:$E,4,0),"")</f>
        <v/>
      </c>
      <c r="CC979" s="58"/>
      <c r="CD979" s="58"/>
      <c r="CE979" s="58"/>
    </row>
    <row r="980" customFormat="false" ht="15.75" hidden="false" customHeight="true" outlineLevel="0" collapsed="false">
      <c r="A980" s="17"/>
      <c r="B980" s="58"/>
      <c r="C980" s="58"/>
      <c r="D980" s="59"/>
      <c r="E980" s="60" t="str">
        <f aca="false">IF(LEN(D980)=11,"PF",IF(LEN(D980)=14,"PJ",""))</f>
        <v/>
      </c>
      <c r="F980" s="59"/>
      <c r="G980" s="59"/>
      <c r="H980" s="61" t="str">
        <f aca="false">IF(G980&lt;&gt;"",VLOOKUP(G980,'Cnae  mcc  id'!$A:$M,9,0),"")</f>
        <v/>
      </c>
      <c r="I980" s="62"/>
      <c r="J980" s="63" t="str">
        <f aca="false">IF(I980&lt;&gt;"",VLOOKUP(I980,'Legal Nature'!$E$2:$G$84,3,0),"")</f>
        <v/>
      </c>
      <c r="K980" s="64"/>
      <c r="L980" s="65"/>
      <c r="M980" s="66"/>
      <c r="N980" s="66"/>
      <c r="O980" s="79"/>
      <c r="P980" s="26"/>
      <c r="Q980" s="58"/>
      <c r="R980" s="58"/>
      <c r="S980" s="80"/>
      <c r="T980" s="68" t="str">
        <f aca="false">IF(LEFT(S980,1)="9","Celular",IF(S980="","","Fixo"))</f>
        <v/>
      </c>
      <c r="U980" s="58" t="str">
        <f aca="false">IF( T980&lt;&gt;"",VLOOKUP(T980,Selects!$M$4:$N$1000,2,0),"")</f>
        <v/>
      </c>
      <c r="V980" s="26"/>
      <c r="W980" s="58"/>
      <c r="X980" s="58"/>
      <c r="Y980" s="58"/>
      <c r="Z980" s="58"/>
      <c r="AA980" s="69"/>
      <c r="AB980" s="58"/>
      <c r="AC980" s="58"/>
      <c r="AD980" s="70" t="str">
        <f aca="false">IF(AC980&lt;&gt;"",VLOOKUP(AC980,Selects!$B$4:$C$100,2,0),"")</f>
        <v/>
      </c>
      <c r="AE980" s="26"/>
      <c r="AF980" s="58"/>
      <c r="AG980" s="59"/>
      <c r="AH980" s="65"/>
      <c r="AI980" s="66"/>
      <c r="AJ980" s="66"/>
      <c r="AK980" s="58"/>
      <c r="AL980" s="58"/>
      <c r="AM980" s="68" t="str">
        <f aca="false">IF(LEFT(AL980,1)="9","Celular",IF(AL980="","","Fixo"))</f>
        <v/>
      </c>
      <c r="AN980" s="58" t="str">
        <f aca="false">IF( AM980&lt;&gt;"",VLOOKUP(AM980,Selects!$M$4:$N$1000,2,0),"")</f>
        <v/>
      </c>
      <c r="AO980" s="58"/>
      <c r="AP980" s="59"/>
      <c r="AQ980" s="65"/>
      <c r="AR980" s="58"/>
      <c r="AS980" s="58"/>
      <c r="AT980" s="26"/>
      <c r="AU980" s="58"/>
      <c r="AV980" s="58"/>
      <c r="AW980" s="58"/>
      <c r="AX980" s="58"/>
      <c r="AY980" s="71"/>
      <c r="AZ980" s="58"/>
      <c r="BA980" s="58"/>
      <c r="BB980" s="72" t="str">
        <f aca="false">IF(BA980&lt;&gt;"",VLOOKUP(BA980,Selects!$B$4:$C$100,2,0),"")</f>
        <v/>
      </c>
      <c r="BC980" s="26"/>
      <c r="BD980" s="26"/>
      <c r="BE980" s="73"/>
      <c r="BF980" s="74"/>
      <c r="BG980" s="75" t="str">
        <f aca="false">IF(LEN(BF980)=11,"PF",IF(LEN(BF980)=14,"PJ",""))</f>
        <v/>
      </c>
      <c r="BH980" s="66"/>
      <c r="BI980" s="58" t="str">
        <f aca="false">IF(BH980&lt;&gt;"",VLOOKUP(BH980,Selects!$G:$H,2,0),"")</f>
        <v/>
      </c>
      <c r="BJ980" s="58"/>
      <c r="BK980" s="58"/>
      <c r="BL980" s="59"/>
      <c r="BM980" s="58"/>
      <c r="BN980" s="58"/>
      <c r="BO980" s="58" t="str">
        <f aca="false">IF(BN980&lt;&gt;"",VLOOKUP(BN980,Selects!$J$4:$K$1000,2,0),"")</f>
        <v/>
      </c>
      <c r="BP980" s="76"/>
      <c r="BQ980" s="59"/>
      <c r="BR980" s="77"/>
      <c r="BS980" s="59"/>
      <c r="BT980" s="77"/>
      <c r="BU980" s="58"/>
      <c r="BV980" s="58"/>
      <c r="BW980" s="58"/>
      <c r="BX980" s="58"/>
      <c r="BY980" s="58"/>
      <c r="BZ980" s="58"/>
      <c r="CA980" s="58"/>
      <c r="CB980" s="72" t="str">
        <f aca="false">IF(AC980&lt;&gt;"",VLOOKUP(AC980,Selects!$B:$E,4,0),"")</f>
        <v/>
      </c>
      <c r="CC980" s="58"/>
      <c r="CD980" s="58"/>
      <c r="CE980" s="58"/>
    </row>
    <row r="981" customFormat="false" ht="15.75" hidden="false" customHeight="true" outlineLevel="0" collapsed="false">
      <c r="A981" s="17"/>
      <c r="B981" s="58"/>
      <c r="C981" s="58"/>
      <c r="D981" s="59"/>
      <c r="E981" s="60" t="str">
        <f aca="false">IF(LEN(D981)=11,"PF",IF(LEN(D981)=14,"PJ",""))</f>
        <v/>
      </c>
      <c r="F981" s="59"/>
      <c r="G981" s="59"/>
      <c r="H981" s="61" t="str">
        <f aca="false">IF(G981&lt;&gt;"",VLOOKUP(G981,'Cnae  mcc  id'!$A:$M,9,0),"")</f>
        <v/>
      </c>
      <c r="I981" s="62"/>
      <c r="J981" s="63" t="str">
        <f aca="false">IF(I981&lt;&gt;"",VLOOKUP(I981,'Legal Nature'!$E$2:$G$84,3,0),"")</f>
        <v/>
      </c>
      <c r="K981" s="64"/>
      <c r="L981" s="65"/>
      <c r="M981" s="66"/>
      <c r="N981" s="66"/>
      <c r="O981" s="79"/>
      <c r="P981" s="26"/>
      <c r="Q981" s="58"/>
      <c r="R981" s="58"/>
      <c r="S981" s="80"/>
      <c r="T981" s="68" t="str">
        <f aca="false">IF(LEFT(S981,1)="9","Celular",IF(S981="","","Fixo"))</f>
        <v/>
      </c>
      <c r="U981" s="58" t="str">
        <f aca="false">IF( T981&lt;&gt;"",VLOOKUP(T981,Selects!$M$4:$N$1000,2,0),"")</f>
        <v/>
      </c>
      <c r="V981" s="26"/>
      <c r="W981" s="58"/>
      <c r="X981" s="58"/>
      <c r="Y981" s="58"/>
      <c r="Z981" s="58"/>
      <c r="AA981" s="69"/>
      <c r="AB981" s="58"/>
      <c r="AC981" s="58"/>
      <c r="AD981" s="70" t="str">
        <f aca="false">IF(AC981&lt;&gt;"",VLOOKUP(AC981,Selects!$B$4:$C$100,2,0),"")</f>
        <v/>
      </c>
      <c r="AE981" s="26"/>
      <c r="AF981" s="58"/>
      <c r="AG981" s="59"/>
      <c r="AH981" s="65"/>
      <c r="AI981" s="66"/>
      <c r="AJ981" s="66"/>
      <c r="AK981" s="58"/>
      <c r="AL981" s="58"/>
      <c r="AM981" s="68" t="str">
        <f aca="false">IF(LEFT(AL981,1)="9","Celular",IF(AL981="","","Fixo"))</f>
        <v/>
      </c>
      <c r="AN981" s="58" t="str">
        <f aca="false">IF( AM981&lt;&gt;"",VLOOKUP(AM981,Selects!$M$4:$N$1000,2,0),"")</f>
        <v/>
      </c>
      <c r="AO981" s="58"/>
      <c r="AP981" s="59"/>
      <c r="AQ981" s="65"/>
      <c r="AR981" s="58"/>
      <c r="AS981" s="58"/>
      <c r="AT981" s="26"/>
      <c r="AU981" s="58"/>
      <c r="AV981" s="58"/>
      <c r="AW981" s="58"/>
      <c r="AX981" s="58"/>
      <c r="AY981" s="71"/>
      <c r="AZ981" s="58"/>
      <c r="BA981" s="58"/>
      <c r="BB981" s="72" t="str">
        <f aca="false">IF(BA981&lt;&gt;"",VLOOKUP(BA981,Selects!$B$4:$C$100,2,0),"")</f>
        <v/>
      </c>
      <c r="BC981" s="26"/>
      <c r="BD981" s="26"/>
      <c r="BE981" s="73"/>
      <c r="BF981" s="74"/>
      <c r="BG981" s="75" t="str">
        <f aca="false">IF(LEN(BF981)=11,"PF",IF(LEN(BF981)=14,"PJ",""))</f>
        <v/>
      </c>
      <c r="BH981" s="66"/>
      <c r="BI981" s="58" t="str">
        <f aca="false">IF(BH981&lt;&gt;"",VLOOKUP(BH981,Selects!$G:$H,2,0),"")</f>
        <v/>
      </c>
      <c r="BJ981" s="58"/>
      <c r="BK981" s="58"/>
      <c r="BL981" s="59"/>
      <c r="BM981" s="58"/>
      <c r="BN981" s="58"/>
      <c r="BO981" s="58" t="str">
        <f aca="false">IF(BN981&lt;&gt;"",VLOOKUP(BN981,Selects!$J$4:$K$1000,2,0),"")</f>
        <v/>
      </c>
      <c r="BP981" s="76"/>
      <c r="BQ981" s="59"/>
      <c r="BR981" s="77"/>
      <c r="BS981" s="59"/>
      <c r="BT981" s="77"/>
      <c r="BU981" s="58"/>
      <c r="BV981" s="58"/>
      <c r="BW981" s="58"/>
      <c r="BX981" s="58"/>
      <c r="BY981" s="58"/>
      <c r="BZ981" s="58"/>
      <c r="CA981" s="58"/>
      <c r="CB981" s="72" t="str">
        <f aca="false">IF(AC981&lt;&gt;"",VLOOKUP(AC981,Selects!$B:$E,4,0),"")</f>
        <v/>
      </c>
      <c r="CC981" s="58"/>
      <c r="CD981" s="58"/>
      <c r="CE981" s="58"/>
    </row>
    <row r="982" customFormat="false" ht="15.75" hidden="false" customHeight="true" outlineLevel="0" collapsed="false">
      <c r="A982" s="17"/>
      <c r="B982" s="58"/>
      <c r="C982" s="58"/>
      <c r="D982" s="59"/>
      <c r="E982" s="60" t="str">
        <f aca="false">IF(LEN(D982)=11,"PF",IF(LEN(D982)=14,"PJ",""))</f>
        <v/>
      </c>
      <c r="F982" s="59"/>
      <c r="G982" s="59"/>
      <c r="H982" s="61" t="str">
        <f aca="false">IF(G982&lt;&gt;"",VLOOKUP(G982,'Cnae  mcc  id'!$A:$M,9,0),"")</f>
        <v/>
      </c>
      <c r="I982" s="62"/>
      <c r="J982" s="63" t="str">
        <f aca="false">IF(I982&lt;&gt;"",VLOOKUP(I982,'Legal Nature'!$E$2:$G$84,3,0),"")</f>
        <v/>
      </c>
      <c r="K982" s="64"/>
      <c r="L982" s="65"/>
      <c r="M982" s="66"/>
      <c r="N982" s="66"/>
      <c r="O982" s="79"/>
      <c r="P982" s="26"/>
      <c r="Q982" s="58"/>
      <c r="R982" s="58"/>
      <c r="S982" s="80"/>
      <c r="T982" s="68" t="str">
        <f aca="false">IF(LEFT(S982,1)="9","Celular",IF(S982="","","Fixo"))</f>
        <v/>
      </c>
      <c r="U982" s="58" t="str">
        <f aca="false">IF( T982&lt;&gt;"",VLOOKUP(T982,Selects!$M$4:$N$1000,2,0),"")</f>
        <v/>
      </c>
      <c r="V982" s="26"/>
      <c r="W982" s="58"/>
      <c r="X982" s="58"/>
      <c r="Y982" s="58"/>
      <c r="Z982" s="58"/>
      <c r="AA982" s="69"/>
      <c r="AB982" s="58"/>
      <c r="AC982" s="58"/>
      <c r="AD982" s="70" t="str">
        <f aca="false">IF(AC982&lt;&gt;"",VLOOKUP(AC982,Selects!$B$4:$C$100,2,0),"")</f>
        <v/>
      </c>
      <c r="AE982" s="26"/>
      <c r="AF982" s="58"/>
      <c r="AG982" s="59"/>
      <c r="AH982" s="65"/>
      <c r="AI982" s="66"/>
      <c r="AJ982" s="66"/>
      <c r="AK982" s="58"/>
      <c r="AL982" s="58"/>
      <c r="AM982" s="68" t="str">
        <f aca="false">IF(LEFT(AL982,1)="9","Celular",IF(AL982="","","Fixo"))</f>
        <v/>
      </c>
      <c r="AN982" s="58" t="str">
        <f aca="false">IF( AM982&lt;&gt;"",VLOOKUP(AM982,Selects!$M$4:$N$1000,2,0),"")</f>
        <v/>
      </c>
      <c r="AO982" s="58"/>
      <c r="AP982" s="59"/>
      <c r="AQ982" s="65"/>
      <c r="AR982" s="58"/>
      <c r="AS982" s="58"/>
      <c r="AT982" s="26"/>
      <c r="AU982" s="58"/>
      <c r="AV982" s="58"/>
      <c r="AW982" s="58"/>
      <c r="AX982" s="58"/>
      <c r="AY982" s="71"/>
      <c r="AZ982" s="58"/>
      <c r="BA982" s="58"/>
      <c r="BB982" s="72" t="str">
        <f aca="false">IF(BA982&lt;&gt;"",VLOOKUP(BA982,Selects!$B$4:$C$100,2,0),"")</f>
        <v/>
      </c>
      <c r="BC982" s="26"/>
      <c r="BD982" s="26"/>
      <c r="BE982" s="73"/>
      <c r="BF982" s="74"/>
      <c r="BG982" s="75" t="str">
        <f aca="false">IF(LEN(BF982)=11,"PF",IF(LEN(BF982)=14,"PJ",""))</f>
        <v/>
      </c>
      <c r="BH982" s="66"/>
      <c r="BI982" s="58" t="str">
        <f aca="false">IF(BH982&lt;&gt;"",VLOOKUP(BH982,Selects!$G:$H,2,0),"")</f>
        <v/>
      </c>
      <c r="BJ982" s="58"/>
      <c r="BK982" s="58"/>
      <c r="BL982" s="59"/>
      <c r="BM982" s="58"/>
      <c r="BN982" s="58"/>
      <c r="BO982" s="58" t="str">
        <f aca="false">IF(BN982&lt;&gt;"",VLOOKUP(BN982,Selects!$J$4:$K$1000,2,0),"")</f>
        <v/>
      </c>
      <c r="BP982" s="76"/>
      <c r="BQ982" s="59"/>
      <c r="BR982" s="77"/>
      <c r="BS982" s="59"/>
      <c r="BT982" s="77"/>
      <c r="BU982" s="58"/>
      <c r="BV982" s="58"/>
      <c r="BW982" s="58"/>
      <c r="BX982" s="58"/>
      <c r="BY982" s="58"/>
      <c r="BZ982" s="58"/>
      <c r="CA982" s="58"/>
      <c r="CB982" s="72" t="str">
        <f aca="false">IF(AC982&lt;&gt;"",VLOOKUP(AC982,Selects!$B:$E,4,0),"")</f>
        <v/>
      </c>
      <c r="CC982" s="58"/>
      <c r="CD982" s="58"/>
      <c r="CE982" s="58"/>
    </row>
    <row r="983" customFormat="false" ht="15.75" hidden="false" customHeight="true" outlineLevel="0" collapsed="false">
      <c r="A983" s="17"/>
      <c r="B983" s="58"/>
      <c r="C983" s="58"/>
      <c r="D983" s="59"/>
      <c r="E983" s="60" t="str">
        <f aca="false">IF(LEN(D983)=11,"PF",IF(LEN(D983)=14,"PJ",""))</f>
        <v/>
      </c>
      <c r="F983" s="59"/>
      <c r="G983" s="59"/>
      <c r="H983" s="61" t="str">
        <f aca="false">IF(G983&lt;&gt;"",VLOOKUP(G983,'Cnae  mcc  id'!$A:$M,9,0),"")</f>
        <v/>
      </c>
      <c r="I983" s="62"/>
      <c r="J983" s="63" t="str">
        <f aca="false">IF(I983&lt;&gt;"",VLOOKUP(I983,'Legal Nature'!$E$2:$G$84,3,0),"")</f>
        <v/>
      </c>
      <c r="K983" s="64"/>
      <c r="L983" s="65"/>
      <c r="M983" s="66"/>
      <c r="N983" s="66"/>
      <c r="O983" s="79"/>
      <c r="P983" s="26"/>
      <c r="Q983" s="58"/>
      <c r="R983" s="58"/>
      <c r="S983" s="80"/>
      <c r="T983" s="68" t="str">
        <f aca="false">IF(LEFT(S983,1)="9","Celular",IF(S983="","","Fixo"))</f>
        <v/>
      </c>
      <c r="U983" s="58" t="str">
        <f aca="false">IF( T983&lt;&gt;"",VLOOKUP(T983,Selects!$M$4:$N$1000,2,0),"")</f>
        <v/>
      </c>
      <c r="V983" s="26"/>
      <c r="W983" s="58"/>
      <c r="X983" s="58"/>
      <c r="Y983" s="58"/>
      <c r="Z983" s="58"/>
      <c r="AA983" s="69"/>
      <c r="AB983" s="58"/>
      <c r="AC983" s="58"/>
      <c r="AD983" s="70" t="str">
        <f aca="false">IF(AC983&lt;&gt;"",VLOOKUP(AC983,Selects!$B$4:$C$100,2,0),"")</f>
        <v/>
      </c>
      <c r="AE983" s="26"/>
      <c r="AF983" s="58"/>
      <c r="AG983" s="59"/>
      <c r="AH983" s="65"/>
      <c r="AI983" s="66"/>
      <c r="AJ983" s="66"/>
      <c r="AK983" s="58"/>
      <c r="AL983" s="58"/>
      <c r="AM983" s="68" t="str">
        <f aca="false">IF(LEFT(AL983,1)="9","Celular",IF(AL983="","","Fixo"))</f>
        <v/>
      </c>
      <c r="AN983" s="58" t="str">
        <f aca="false">IF( AM983&lt;&gt;"",VLOOKUP(AM983,Selects!$M$4:$N$1000,2,0),"")</f>
        <v/>
      </c>
      <c r="AO983" s="58"/>
      <c r="AP983" s="59"/>
      <c r="AQ983" s="65"/>
      <c r="AR983" s="58"/>
      <c r="AS983" s="58"/>
      <c r="AT983" s="26"/>
      <c r="AU983" s="58"/>
      <c r="AV983" s="58"/>
      <c r="AW983" s="58"/>
      <c r="AX983" s="58"/>
      <c r="AY983" s="71"/>
      <c r="AZ983" s="58"/>
      <c r="BA983" s="58"/>
      <c r="BB983" s="72" t="str">
        <f aca="false">IF(BA983&lt;&gt;"",VLOOKUP(BA983,Selects!$B$4:$C$100,2,0),"")</f>
        <v/>
      </c>
      <c r="BC983" s="26"/>
      <c r="BD983" s="26"/>
      <c r="BE983" s="73"/>
      <c r="BF983" s="74"/>
      <c r="BG983" s="75" t="str">
        <f aca="false">IF(LEN(BF983)=11,"PF",IF(LEN(BF983)=14,"PJ",""))</f>
        <v/>
      </c>
      <c r="BH983" s="66"/>
      <c r="BI983" s="58" t="str">
        <f aca="false">IF(BH983&lt;&gt;"",VLOOKUP(BH983,Selects!$G:$H,2,0),"")</f>
        <v/>
      </c>
      <c r="BJ983" s="58"/>
      <c r="BK983" s="58"/>
      <c r="BL983" s="59"/>
      <c r="BM983" s="58"/>
      <c r="BN983" s="58"/>
      <c r="BO983" s="58" t="str">
        <f aca="false">IF(BN983&lt;&gt;"",VLOOKUP(BN983,Selects!$J$4:$K$1000,2,0),"")</f>
        <v/>
      </c>
      <c r="BP983" s="76"/>
      <c r="BQ983" s="59"/>
      <c r="BR983" s="77"/>
      <c r="BS983" s="59"/>
      <c r="BT983" s="77"/>
      <c r="BU983" s="58"/>
      <c r="BV983" s="58"/>
      <c r="BW983" s="58"/>
      <c r="BX983" s="58"/>
      <c r="BY983" s="58"/>
      <c r="BZ983" s="58"/>
      <c r="CA983" s="58"/>
      <c r="CB983" s="72" t="str">
        <f aca="false">IF(AC983&lt;&gt;"",VLOOKUP(AC983,Selects!$B:$E,4,0),"")</f>
        <v/>
      </c>
      <c r="CC983" s="58"/>
      <c r="CD983" s="58"/>
      <c r="CE983" s="58"/>
    </row>
    <row r="984" customFormat="false" ht="15.75" hidden="false" customHeight="true" outlineLevel="0" collapsed="false">
      <c r="A984" s="17"/>
      <c r="B984" s="58"/>
      <c r="C984" s="58"/>
      <c r="D984" s="59"/>
      <c r="E984" s="60" t="str">
        <f aca="false">IF(LEN(D984)=11,"PF",IF(LEN(D984)=14,"PJ",""))</f>
        <v/>
      </c>
      <c r="F984" s="59"/>
      <c r="G984" s="59"/>
      <c r="H984" s="61" t="str">
        <f aca="false">IF(G984&lt;&gt;"",VLOOKUP(G984,'Cnae  mcc  id'!$A:$M,9,0),"")</f>
        <v/>
      </c>
      <c r="I984" s="62"/>
      <c r="J984" s="63" t="str">
        <f aca="false">IF(I984&lt;&gt;"",VLOOKUP(I984,'Legal Nature'!$E$2:$G$84,3,0),"")</f>
        <v/>
      </c>
      <c r="K984" s="64"/>
      <c r="L984" s="65"/>
      <c r="M984" s="66"/>
      <c r="N984" s="66"/>
      <c r="O984" s="79"/>
      <c r="P984" s="26"/>
      <c r="Q984" s="58"/>
      <c r="R984" s="58"/>
      <c r="S984" s="80"/>
      <c r="T984" s="68" t="str">
        <f aca="false">IF(LEFT(S984,1)="9","Celular",IF(S984="","","Fixo"))</f>
        <v/>
      </c>
      <c r="U984" s="58" t="str">
        <f aca="false">IF( T984&lt;&gt;"",VLOOKUP(T984,Selects!$M$4:$N$1000,2,0),"")</f>
        <v/>
      </c>
      <c r="V984" s="26"/>
      <c r="W984" s="58"/>
      <c r="X984" s="58"/>
      <c r="Y984" s="58"/>
      <c r="Z984" s="58"/>
      <c r="AA984" s="69"/>
      <c r="AB984" s="58"/>
      <c r="AC984" s="58"/>
      <c r="AD984" s="70" t="str">
        <f aca="false">IF(AC984&lt;&gt;"",VLOOKUP(AC984,Selects!$B$4:$C$100,2,0),"")</f>
        <v/>
      </c>
      <c r="AE984" s="26"/>
      <c r="AF984" s="58"/>
      <c r="AG984" s="59"/>
      <c r="AH984" s="65"/>
      <c r="AI984" s="66"/>
      <c r="AJ984" s="66"/>
      <c r="AK984" s="58"/>
      <c r="AL984" s="58"/>
      <c r="AM984" s="68" t="str">
        <f aca="false">IF(LEFT(AL984,1)="9","Celular",IF(AL984="","","Fixo"))</f>
        <v/>
      </c>
      <c r="AN984" s="58" t="str">
        <f aca="false">IF( AM984&lt;&gt;"",VLOOKUP(AM984,Selects!$M$4:$N$1000,2,0),"")</f>
        <v/>
      </c>
      <c r="AO984" s="58"/>
      <c r="AP984" s="59"/>
      <c r="AQ984" s="65"/>
      <c r="AR984" s="58"/>
      <c r="AS984" s="58"/>
      <c r="AT984" s="26"/>
      <c r="AU984" s="58"/>
      <c r="AV984" s="58"/>
      <c r="AW984" s="58"/>
      <c r="AX984" s="58"/>
      <c r="AY984" s="71"/>
      <c r="AZ984" s="58"/>
      <c r="BA984" s="58"/>
      <c r="BB984" s="72" t="str">
        <f aca="false">IF(BA984&lt;&gt;"",VLOOKUP(BA984,Selects!$B$4:$C$100,2,0),"")</f>
        <v/>
      </c>
      <c r="BC984" s="26"/>
      <c r="BD984" s="26"/>
      <c r="BE984" s="73"/>
      <c r="BF984" s="74"/>
      <c r="BG984" s="75" t="str">
        <f aca="false">IF(LEN(BF984)=11,"PF",IF(LEN(BF984)=14,"PJ",""))</f>
        <v/>
      </c>
      <c r="BH984" s="66"/>
      <c r="BI984" s="58" t="str">
        <f aca="false">IF(BH984&lt;&gt;"",VLOOKUP(BH984,Selects!$G:$H,2,0),"")</f>
        <v/>
      </c>
      <c r="BJ984" s="58"/>
      <c r="BK984" s="58"/>
      <c r="BL984" s="59"/>
      <c r="BM984" s="58"/>
      <c r="BN984" s="58"/>
      <c r="BO984" s="58" t="str">
        <f aca="false">IF(BN984&lt;&gt;"",VLOOKUP(BN984,Selects!$J$4:$K$1000,2,0),"")</f>
        <v/>
      </c>
      <c r="BP984" s="76"/>
      <c r="BQ984" s="59"/>
      <c r="BR984" s="77"/>
      <c r="BS984" s="59"/>
      <c r="BT984" s="77"/>
      <c r="BU984" s="58"/>
      <c r="BV984" s="58"/>
      <c r="BW984" s="58"/>
      <c r="BX984" s="58"/>
      <c r="BY984" s="58"/>
      <c r="BZ984" s="58"/>
      <c r="CA984" s="58"/>
      <c r="CB984" s="72" t="str">
        <f aca="false">IF(AC984&lt;&gt;"",VLOOKUP(AC984,Selects!$B:$E,4,0),"")</f>
        <v/>
      </c>
      <c r="CC984" s="58"/>
      <c r="CD984" s="58"/>
      <c r="CE984" s="58"/>
    </row>
    <row r="985" customFormat="false" ht="15.75" hidden="false" customHeight="true" outlineLevel="0" collapsed="false">
      <c r="A985" s="17"/>
      <c r="B985" s="58"/>
      <c r="C985" s="58"/>
      <c r="D985" s="59"/>
      <c r="E985" s="60" t="str">
        <f aca="false">IF(LEN(D985)=11,"PF",IF(LEN(D985)=14,"PJ",""))</f>
        <v/>
      </c>
      <c r="F985" s="59"/>
      <c r="G985" s="59"/>
      <c r="H985" s="61" t="str">
        <f aca="false">IF(G985&lt;&gt;"",VLOOKUP(G985,'Cnae  mcc  id'!$A:$M,9,0),"")</f>
        <v/>
      </c>
      <c r="I985" s="62"/>
      <c r="J985" s="63" t="str">
        <f aca="false">IF(I985&lt;&gt;"",VLOOKUP(I985,'Legal Nature'!$E$2:$G$84,3,0),"")</f>
        <v/>
      </c>
      <c r="K985" s="64"/>
      <c r="L985" s="65"/>
      <c r="M985" s="66"/>
      <c r="N985" s="66"/>
      <c r="O985" s="79"/>
      <c r="P985" s="26"/>
      <c r="Q985" s="58"/>
      <c r="R985" s="58"/>
      <c r="S985" s="80"/>
      <c r="T985" s="68" t="str">
        <f aca="false">IF(LEFT(S985,1)="9","Celular",IF(S985="","","Fixo"))</f>
        <v/>
      </c>
      <c r="U985" s="58" t="str">
        <f aca="false">IF( T985&lt;&gt;"",VLOOKUP(T985,Selects!$M$4:$N$1000,2,0),"")</f>
        <v/>
      </c>
      <c r="V985" s="26"/>
      <c r="W985" s="58"/>
      <c r="X985" s="58"/>
      <c r="Y985" s="58"/>
      <c r="Z985" s="58"/>
      <c r="AA985" s="69"/>
      <c r="AB985" s="58"/>
      <c r="AC985" s="58"/>
      <c r="AD985" s="70" t="str">
        <f aca="false">IF(AC985&lt;&gt;"",VLOOKUP(AC985,Selects!$B$4:$C$100,2,0),"")</f>
        <v/>
      </c>
      <c r="AE985" s="26"/>
      <c r="AF985" s="58"/>
      <c r="AG985" s="59"/>
      <c r="AH985" s="65"/>
      <c r="AI985" s="66"/>
      <c r="AJ985" s="66"/>
      <c r="AK985" s="58"/>
      <c r="AL985" s="58"/>
      <c r="AM985" s="68" t="str">
        <f aca="false">IF(LEFT(AL985,1)="9","Celular",IF(AL985="","","Fixo"))</f>
        <v/>
      </c>
      <c r="AN985" s="58" t="str">
        <f aca="false">IF( AM985&lt;&gt;"",VLOOKUP(AM985,Selects!$M$4:$N$1000,2,0),"")</f>
        <v/>
      </c>
      <c r="AO985" s="58"/>
      <c r="AP985" s="59"/>
      <c r="AQ985" s="65"/>
      <c r="AR985" s="58"/>
      <c r="AS985" s="58"/>
      <c r="AT985" s="26"/>
      <c r="AU985" s="58"/>
      <c r="AV985" s="58"/>
      <c r="AW985" s="58"/>
      <c r="AX985" s="58"/>
      <c r="AY985" s="71"/>
      <c r="AZ985" s="58"/>
      <c r="BA985" s="58"/>
      <c r="BB985" s="72" t="str">
        <f aca="false">IF(BA985&lt;&gt;"",VLOOKUP(BA985,Selects!$B$4:$C$100,2,0),"")</f>
        <v/>
      </c>
      <c r="BC985" s="26"/>
      <c r="BD985" s="26"/>
      <c r="BE985" s="73"/>
      <c r="BF985" s="74"/>
      <c r="BG985" s="75" t="str">
        <f aca="false">IF(LEN(BF985)=11,"PF",IF(LEN(BF985)=14,"PJ",""))</f>
        <v/>
      </c>
      <c r="BH985" s="66"/>
      <c r="BI985" s="58" t="str">
        <f aca="false">IF(BH985&lt;&gt;"",VLOOKUP(BH985,Selects!$G:$H,2,0),"")</f>
        <v/>
      </c>
      <c r="BJ985" s="58"/>
      <c r="BK985" s="58"/>
      <c r="BL985" s="59"/>
      <c r="BM985" s="58"/>
      <c r="BN985" s="58"/>
      <c r="BO985" s="58" t="str">
        <f aca="false">IF(BN985&lt;&gt;"",VLOOKUP(BN985,Selects!$J$4:$K$1000,2,0),"")</f>
        <v/>
      </c>
      <c r="BP985" s="76"/>
      <c r="BQ985" s="59"/>
      <c r="BR985" s="77"/>
      <c r="BS985" s="59"/>
      <c r="BT985" s="77"/>
      <c r="BU985" s="58"/>
      <c r="BV985" s="58"/>
      <c r="BW985" s="58"/>
      <c r="BX985" s="58"/>
      <c r="BY985" s="58"/>
      <c r="BZ985" s="58"/>
      <c r="CA985" s="58"/>
      <c r="CB985" s="72" t="str">
        <f aca="false">IF(AC985&lt;&gt;"",VLOOKUP(AC985,Selects!$B:$E,4,0),"")</f>
        <v/>
      </c>
      <c r="CC985" s="58"/>
      <c r="CD985" s="58"/>
      <c r="CE985" s="58"/>
    </row>
    <row r="986" customFormat="false" ht="15.75" hidden="false" customHeight="true" outlineLevel="0" collapsed="false">
      <c r="A986" s="17"/>
      <c r="B986" s="58"/>
      <c r="C986" s="58"/>
      <c r="D986" s="59"/>
      <c r="E986" s="60" t="str">
        <f aca="false">IF(LEN(D986)=11,"PF",IF(LEN(D986)=14,"PJ",""))</f>
        <v/>
      </c>
      <c r="F986" s="59"/>
      <c r="G986" s="59"/>
      <c r="H986" s="61" t="str">
        <f aca="false">IF(G986&lt;&gt;"",VLOOKUP(G986,'Cnae  mcc  id'!$A:$M,9,0),"")</f>
        <v/>
      </c>
      <c r="I986" s="62"/>
      <c r="J986" s="63" t="str">
        <f aca="false">IF(I986&lt;&gt;"",VLOOKUP(I986,'Legal Nature'!$E$2:$G$84,3,0),"")</f>
        <v/>
      </c>
      <c r="K986" s="64"/>
      <c r="L986" s="65"/>
      <c r="M986" s="66"/>
      <c r="N986" s="66"/>
      <c r="O986" s="79"/>
      <c r="P986" s="26"/>
      <c r="Q986" s="58"/>
      <c r="R986" s="58"/>
      <c r="S986" s="80"/>
      <c r="T986" s="68" t="str">
        <f aca="false">IF(LEFT(S986,1)="9","Celular",IF(S986="","","Fixo"))</f>
        <v/>
      </c>
      <c r="U986" s="58" t="str">
        <f aca="false">IF( T986&lt;&gt;"",VLOOKUP(T986,Selects!$M$4:$N$1000,2,0),"")</f>
        <v/>
      </c>
      <c r="V986" s="26"/>
      <c r="W986" s="58"/>
      <c r="X986" s="58"/>
      <c r="Y986" s="58"/>
      <c r="Z986" s="58"/>
      <c r="AA986" s="69"/>
      <c r="AB986" s="58"/>
      <c r="AC986" s="58"/>
      <c r="AD986" s="70" t="str">
        <f aca="false">IF(AC986&lt;&gt;"",VLOOKUP(AC986,Selects!$B$4:$C$100,2,0),"")</f>
        <v/>
      </c>
      <c r="AE986" s="26"/>
      <c r="AF986" s="58"/>
      <c r="AG986" s="59"/>
      <c r="AH986" s="65"/>
      <c r="AI986" s="66"/>
      <c r="AJ986" s="66"/>
      <c r="AK986" s="58"/>
      <c r="AL986" s="58"/>
      <c r="AM986" s="68" t="str">
        <f aca="false">IF(LEFT(AL986,1)="9","Celular",IF(AL986="","","Fixo"))</f>
        <v/>
      </c>
      <c r="AN986" s="58" t="str">
        <f aca="false">IF( AM986&lt;&gt;"",VLOOKUP(AM986,Selects!$M$4:$N$1000,2,0),"")</f>
        <v/>
      </c>
      <c r="AO986" s="58"/>
      <c r="AP986" s="59"/>
      <c r="AQ986" s="65"/>
      <c r="AR986" s="58"/>
      <c r="AS986" s="58"/>
      <c r="AT986" s="26"/>
      <c r="AU986" s="58"/>
      <c r="AV986" s="58"/>
      <c r="AW986" s="58"/>
      <c r="AX986" s="58"/>
      <c r="AY986" s="71"/>
      <c r="AZ986" s="58"/>
      <c r="BA986" s="58"/>
      <c r="BB986" s="72" t="str">
        <f aca="false">IF(BA986&lt;&gt;"",VLOOKUP(BA986,Selects!$B$4:$C$100,2,0),"")</f>
        <v/>
      </c>
      <c r="BC986" s="26"/>
      <c r="BD986" s="26"/>
      <c r="BE986" s="73"/>
      <c r="BF986" s="74"/>
      <c r="BG986" s="75" t="str">
        <f aca="false">IF(LEN(BF986)=11,"PF",IF(LEN(BF986)=14,"PJ",""))</f>
        <v/>
      </c>
      <c r="BH986" s="66"/>
      <c r="BI986" s="58" t="str">
        <f aca="false">IF(BH986&lt;&gt;"",VLOOKUP(BH986,Selects!$G:$H,2,0),"")</f>
        <v/>
      </c>
      <c r="BJ986" s="58"/>
      <c r="BK986" s="58"/>
      <c r="BL986" s="59"/>
      <c r="BM986" s="58"/>
      <c r="BN986" s="58"/>
      <c r="BO986" s="58" t="str">
        <f aca="false">IF(BN986&lt;&gt;"",VLOOKUP(BN986,Selects!$J$4:$K$1000,2,0),"")</f>
        <v/>
      </c>
      <c r="BP986" s="76"/>
      <c r="BQ986" s="59"/>
      <c r="BR986" s="77"/>
      <c r="BS986" s="59"/>
      <c r="BT986" s="77"/>
      <c r="BU986" s="58"/>
      <c r="BV986" s="58"/>
      <c r="BW986" s="58"/>
      <c r="BX986" s="58"/>
      <c r="BY986" s="58"/>
      <c r="BZ986" s="58"/>
      <c r="CA986" s="58"/>
      <c r="CB986" s="72" t="str">
        <f aca="false">IF(AC986&lt;&gt;"",VLOOKUP(AC986,Selects!$B:$E,4,0),"")</f>
        <v/>
      </c>
      <c r="CC986" s="58"/>
      <c r="CD986" s="58"/>
      <c r="CE986" s="58"/>
    </row>
    <row r="987" customFormat="false" ht="15.75" hidden="false" customHeight="true" outlineLevel="0" collapsed="false">
      <c r="A987" s="17"/>
      <c r="B987" s="58"/>
      <c r="C987" s="58"/>
      <c r="D987" s="59"/>
      <c r="E987" s="60" t="str">
        <f aca="false">IF(LEN(D987)=11,"PF",IF(LEN(D987)=14,"PJ",""))</f>
        <v/>
      </c>
      <c r="F987" s="59"/>
      <c r="G987" s="59"/>
      <c r="H987" s="61" t="str">
        <f aca="false">IF(G987&lt;&gt;"",VLOOKUP(G987,'Cnae  mcc  id'!$A:$M,9,0),"")</f>
        <v/>
      </c>
      <c r="I987" s="62"/>
      <c r="J987" s="63" t="str">
        <f aca="false">IF(I987&lt;&gt;"",VLOOKUP(I987,'Legal Nature'!$E$2:$G$84,3,0),"")</f>
        <v/>
      </c>
      <c r="K987" s="64"/>
      <c r="L987" s="65"/>
      <c r="M987" s="66"/>
      <c r="N987" s="66"/>
      <c r="O987" s="79"/>
      <c r="P987" s="26"/>
      <c r="Q987" s="58"/>
      <c r="R987" s="58"/>
      <c r="S987" s="80"/>
      <c r="T987" s="68" t="str">
        <f aca="false">IF(LEFT(S987,1)="9","Celular",IF(S987="","","Fixo"))</f>
        <v/>
      </c>
      <c r="U987" s="58" t="str">
        <f aca="false">IF( T987&lt;&gt;"",VLOOKUP(T987,Selects!$M$4:$N$1000,2,0),"")</f>
        <v/>
      </c>
      <c r="V987" s="26"/>
      <c r="W987" s="58"/>
      <c r="X987" s="58"/>
      <c r="Y987" s="58"/>
      <c r="Z987" s="58"/>
      <c r="AA987" s="69"/>
      <c r="AB987" s="58"/>
      <c r="AC987" s="58"/>
      <c r="AD987" s="70" t="str">
        <f aca="false">IF(AC987&lt;&gt;"",VLOOKUP(AC987,Selects!$B$4:$C$100,2,0),"")</f>
        <v/>
      </c>
      <c r="AE987" s="26"/>
      <c r="AF987" s="58"/>
      <c r="AG987" s="59"/>
      <c r="AH987" s="65"/>
      <c r="AI987" s="66"/>
      <c r="AJ987" s="66"/>
      <c r="AK987" s="58"/>
      <c r="AL987" s="58"/>
      <c r="AM987" s="68" t="str">
        <f aca="false">IF(LEFT(AL987,1)="9","Celular",IF(AL987="","","Fixo"))</f>
        <v/>
      </c>
      <c r="AN987" s="58" t="str">
        <f aca="false">IF( AM987&lt;&gt;"",VLOOKUP(AM987,Selects!$M$4:$N$1000,2,0),"")</f>
        <v/>
      </c>
      <c r="AO987" s="58"/>
      <c r="AP987" s="59"/>
      <c r="AQ987" s="65"/>
      <c r="AR987" s="58"/>
      <c r="AS987" s="58"/>
      <c r="AT987" s="26"/>
      <c r="AU987" s="58"/>
      <c r="AV987" s="58"/>
      <c r="AW987" s="58"/>
      <c r="AX987" s="58"/>
      <c r="AY987" s="71"/>
      <c r="AZ987" s="58"/>
      <c r="BA987" s="58"/>
      <c r="BB987" s="72" t="str">
        <f aca="false">IF(BA987&lt;&gt;"",VLOOKUP(BA987,Selects!$B$4:$C$100,2,0),"")</f>
        <v/>
      </c>
      <c r="BC987" s="26"/>
      <c r="BD987" s="26"/>
      <c r="BE987" s="73"/>
      <c r="BF987" s="74"/>
      <c r="BG987" s="75" t="str">
        <f aca="false">IF(LEN(BF987)=11,"PF",IF(LEN(BF987)=14,"PJ",""))</f>
        <v/>
      </c>
      <c r="BH987" s="66"/>
      <c r="BI987" s="58" t="str">
        <f aca="false">IF(BH987&lt;&gt;"",VLOOKUP(BH987,Selects!$G:$H,2,0),"")</f>
        <v/>
      </c>
      <c r="BJ987" s="58"/>
      <c r="BK987" s="58"/>
      <c r="BL987" s="59"/>
      <c r="BM987" s="58"/>
      <c r="BN987" s="58"/>
      <c r="BO987" s="58" t="str">
        <f aca="false">IF(BN987&lt;&gt;"",VLOOKUP(BN987,Selects!$J$4:$K$1000,2,0),"")</f>
        <v/>
      </c>
      <c r="BP987" s="76"/>
      <c r="BQ987" s="59"/>
      <c r="BR987" s="77"/>
      <c r="BS987" s="59"/>
      <c r="BT987" s="77"/>
      <c r="BU987" s="58"/>
      <c r="BV987" s="58"/>
      <c r="BW987" s="58"/>
      <c r="BX987" s="58"/>
      <c r="BY987" s="58"/>
      <c r="BZ987" s="58"/>
      <c r="CA987" s="58"/>
      <c r="CB987" s="72" t="str">
        <f aca="false">IF(AC987&lt;&gt;"",VLOOKUP(AC987,Selects!$B:$E,4,0),"")</f>
        <v/>
      </c>
      <c r="CC987" s="58"/>
      <c r="CD987" s="58"/>
      <c r="CE987" s="58"/>
    </row>
    <row r="988" customFormat="false" ht="15.75" hidden="false" customHeight="true" outlineLevel="0" collapsed="false">
      <c r="A988" s="17"/>
      <c r="B988" s="58"/>
      <c r="C988" s="58"/>
      <c r="D988" s="59"/>
      <c r="E988" s="60" t="str">
        <f aca="false">IF(LEN(D988)=11,"PF",IF(LEN(D988)=14,"PJ",""))</f>
        <v/>
      </c>
      <c r="F988" s="59"/>
      <c r="G988" s="59"/>
      <c r="H988" s="61" t="str">
        <f aca="false">IF(G988&lt;&gt;"",VLOOKUP(G988,'Cnae  mcc  id'!$A:$M,9,0),"")</f>
        <v/>
      </c>
      <c r="I988" s="62"/>
      <c r="J988" s="63" t="str">
        <f aca="false">IF(I988&lt;&gt;"",VLOOKUP(I988,'Legal Nature'!$E$2:$G$84,3,0),"")</f>
        <v/>
      </c>
      <c r="K988" s="64"/>
      <c r="L988" s="65"/>
      <c r="M988" s="66"/>
      <c r="N988" s="66"/>
      <c r="O988" s="79"/>
      <c r="P988" s="26"/>
      <c r="Q988" s="58"/>
      <c r="R988" s="58"/>
      <c r="S988" s="80"/>
      <c r="T988" s="68" t="str">
        <f aca="false">IF(LEFT(S988,1)="9","Celular",IF(S988="","","Fixo"))</f>
        <v/>
      </c>
      <c r="U988" s="58" t="str">
        <f aca="false">IF( T988&lt;&gt;"",VLOOKUP(T988,Selects!$M$4:$N$1000,2,0),"")</f>
        <v/>
      </c>
      <c r="V988" s="26"/>
      <c r="W988" s="58"/>
      <c r="X988" s="58"/>
      <c r="Y988" s="58"/>
      <c r="Z988" s="58"/>
      <c r="AA988" s="69"/>
      <c r="AB988" s="58"/>
      <c r="AC988" s="58"/>
      <c r="AD988" s="70" t="str">
        <f aca="false">IF(AC988&lt;&gt;"",VLOOKUP(AC988,Selects!$B$4:$C$100,2,0),"")</f>
        <v/>
      </c>
      <c r="AE988" s="26"/>
      <c r="AF988" s="58"/>
      <c r="AG988" s="59"/>
      <c r="AH988" s="65"/>
      <c r="AI988" s="66"/>
      <c r="AJ988" s="66"/>
      <c r="AK988" s="58"/>
      <c r="AL988" s="58"/>
      <c r="AM988" s="68" t="str">
        <f aca="false">IF(LEFT(AL988,1)="9","Celular",IF(AL988="","","Fixo"))</f>
        <v/>
      </c>
      <c r="AN988" s="58" t="str">
        <f aca="false">IF( AM988&lt;&gt;"",VLOOKUP(AM988,Selects!$M$4:$N$1000,2,0),"")</f>
        <v/>
      </c>
      <c r="AO988" s="58"/>
      <c r="AP988" s="59"/>
      <c r="AQ988" s="65"/>
      <c r="AR988" s="58"/>
      <c r="AS988" s="58"/>
      <c r="AT988" s="26"/>
      <c r="AU988" s="58"/>
      <c r="AV988" s="58"/>
      <c r="AW988" s="58"/>
      <c r="AX988" s="58"/>
      <c r="AY988" s="71"/>
      <c r="AZ988" s="58"/>
      <c r="BA988" s="58"/>
      <c r="BB988" s="72" t="str">
        <f aca="false">IF(BA988&lt;&gt;"",VLOOKUP(BA988,Selects!$B$4:$C$100,2,0),"")</f>
        <v/>
      </c>
      <c r="BC988" s="26"/>
      <c r="BD988" s="26"/>
      <c r="BE988" s="73"/>
      <c r="BF988" s="74"/>
      <c r="BG988" s="75" t="str">
        <f aca="false">IF(LEN(BF988)=11,"PF",IF(LEN(BF988)=14,"PJ",""))</f>
        <v/>
      </c>
      <c r="BH988" s="66"/>
      <c r="BI988" s="58" t="str">
        <f aca="false">IF(BH988&lt;&gt;"",VLOOKUP(BH988,Selects!$G:$H,2,0),"")</f>
        <v/>
      </c>
      <c r="BJ988" s="58"/>
      <c r="BK988" s="58"/>
      <c r="BL988" s="59"/>
      <c r="BM988" s="58"/>
      <c r="BN988" s="58"/>
      <c r="BO988" s="58" t="str">
        <f aca="false">IF(BN988&lt;&gt;"",VLOOKUP(BN988,Selects!$J$4:$K$1000,2,0),"")</f>
        <v/>
      </c>
      <c r="BP988" s="76"/>
      <c r="BQ988" s="59"/>
      <c r="BR988" s="77"/>
      <c r="BS988" s="59"/>
      <c r="BT988" s="77"/>
      <c r="BU988" s="58"/>
      <c r="BV988" s="58"/>
      <c r="BW988" s="58"/>
      <c r="BX988" s="58"/>
      <c r="BY988" s="58"/>
      <c r="BZ988" s="58"/>
      <c r="CA988" s="58"/>
      <c r="CB988" s="72" t="str">
        <f aca="false">IF(AC988&lt;&gt;"",VLOOKUP(AC988,Selects!$B:$E,4,0),"")</f>
        <v/>
      </c>
      <c r="CC988" s="58"/>
      <c r="CD988" s="58"/>
      <c r="CE988" s="58"/>
    </row>
    <row r="989" customFormat="false" ht="15.75" hidden="false" customHeight="true" outlineLevel="0" collapsed="false">
      <c r="A989" s="17"/>
      <c r="B989" s="58"/>
      <c r="C989" s="58"/>
      <c r="D989" s="59"/>
      <c r="E989" s="60" t="str">
        <f aca="false">IF(LEN(D989)=11,"PF",IF(LEN(D989)=14,"PJ",""))</f>
        <v/>
      </c>
      <c r="F989" s="59"/>
      <c r="G989" s="59"/>
      <c r="H989" s="61" t="str">
        <f aca="false">IF(G989&lt;&gt;"",VLOOKUP(G989,'Cnae  mcc  id'!$A:$M,9,0),"")</f>
        <v/>
      </c>
      <c r="I989" s="62"/>
      <c r="J989" s="63" t="str">
        <f aca="false">IF(I989&lt;&gt;"",VLOOKUP(I989,'Legal Nature'!$E$2:$G$84,3,0),"")</f>
        <v/>
      </c>
      <c r="K989" s="64"/>
      <c r="L989" s="65"/>
      <c r="M989" s="66"/>
      <c r="N989" s="66"/>
      <c r="O989" s="79"/>
      <c r="P989" s="26"/>
      <c r="Q989" s="58"/>
      <c r="R989" s="58"/>
      <c r="S989" s="80"/>
      <c r="T989" s="68" t="str">
        <f aca="false">IF(LEFT(S989,1)="9","Celular",IF(S989="","","Fixo"))</f>
        <v/>
      </c>
      <c r="U989" s="58" t="str">
        <f aca="false">IF( T989&lt;&gt;"",VLOOKUP(T989,Selects!$M$4:$N$1000,2,0),"")</f>
        <v/>
      </c>
      <c r="V989" s="26"/>
      <c r="W989" s="58"/>
      <c r="X989" s="58"/>
      <c r="Y989" s="58"/>
      <c r="Z989" s="58"/>
      <c r="AA989" s="69"/>
      <c r="AB989" s="58"/>
      <c r="AC989" s="58"/>
      <c r="AD989" s="70" t="str">
        <f aca="false">IF(AC989&lt;&gt;"",VLOOKUP(AC989,Selects!$B$4:$C$100,2,0),"")</f>
        <v/>
      </c>
      <c r="AE989" s="26"/>
      <c r="AF989" s="58"/>
      <c r="AG989" s="59"/>
      <c r="AH989" s="65"/>
      <c r="AI989" s="66"/>
      <c r="AJ989" s="66"/>
      <c r="AK989" s="58"/>
      <c r="AL989" s="58"/>
      <c r="AM989" s="68" t="str">
        <f aca="false">IF(LEFT(AL989,1)="9","Celular",IF(AL989="","","Fixo"))</f>
        <v/>
      </c>
      <c r="AN989" s="58" t="str">
        <f aca="false">IF( AM989&lt;&gt;"",VLOOKUP(AM989,Selects!$M$4:$N$1000,2,0),"")</f>
        <v/>
      </c>
      <c r="AO989" s="58"/>
      <c r="AP989" s="59"/>
      <c r="AQ989" s="65"/>
      <c r="AR989" s="58"/>
      <c r="AS989" s="58"/>
      <c r="AT989" s="26"/>
      <c r="AU989" s="58"/>
      <c r="AV989" s="58"/>
      <c r="AW989" s="58"/>
      <c r="AX989" s="58"/>
      <c r="AY989" s="71"/>
      <c r="AZ989" s="58"/>
      <c r="BA989" s="58"/>
      <c r="BB989" s="72" t="str">
        <f aca="false">IF(BA989&lt;&gt;"",VLOOKUP(BA989,Selects!$B$4:$C$100,2,0),"")</f>
        <v/>
      </c>
      <c r="BC989" s="26"/>
      <c r="BD989" s="26"/>
      <c r="BE989" s="73"/>
      <c r="BF989" s="74"/>
      <c r="BG989" s="75" t="str">
        <f aca="false">IF(LEN(BF989)=11,"PF",IF(LEN(BF989)=14,"PJ",""))</f>
        <v/>
      </c>
      <c r="BH989" s="66"/>
      <c r="BI989" s="58" t="str">
        <f aca="false">IF(BH989&lt;&gt;"",VLOOKUP(BH989,Selects!$G:$H,2,0),"")</f>
        <v/>
      </c>
      <c r="BJ989" s="58"/>
      <c r="BK989" s="58"/>
      <c r="BL989" s="59"/>
      <c r="BM989" s="58"/>
      <c r="BN989" s="58"/>
      <c r="BO989" s="58" t="str">
        <f aca="false">IF(BN989&lt;&gt;"",VLOOKUP(BN989,Selects!$J$4:$K$1000,2,0),"")</f>
        <v/>
      </c>
      <c r="BP989" s="76"/>
      <c r="BQ989" s="59"/>
      <c r="BR989" s="77"/>
      <c r="BS989" s="59"/>
      <c r="BT989" s="77"/>
      <c r="BU989" s="58"/>
      <c r="BV989" s="58"/>
      <c r="BW989" s="58"/>
      <c r="BX989" s="58"/>
      <c r="BY989" s="58"/>
      <c r="BZ989" s="58"/>
      <c r="CA989" s="58"/>
      <c r="CB989" s="72" t="str">
        <f aca="false">IF(AC989&lt;&gt;"",VLOOKUP(AC989,Selects!$B:$E,4,0),"")</f>
        <v/>
      </c>
      <c r="CC989" s="58"/>
      <c r="CD989" s="58"/>
      <c r="CE989" s="58"/>
    </row>
    <row r="990" customFormat="false" ht="15.75" hidden="false" customHeight="true" outlineLevel="0" collapsed="false">
      <c r="A990" s="17"/>
      <c r="B990" s="58"/>
      <c r="C990" s="58"/>
      <c r="D990" s="59"/>
      <c r="E990" s="60" t="str">
        <f aca="false">IF(LEN(D990)=11,"PF",IF(LEN(D990)=14,"PJ",""))</f>
        <v/>
      </c>
      <c r="F990" s="59"/>
      <c r="G990" s="59"/>
      <c r="H990" s="61" t="str">
        <f aca="false">IF(G990&lt;&gt;"",VLOOKUP(G990,'Cnae  mcc  id'!$A:$M,9,0),"")</f>
        <v/>
      </c>
      <c r="I990" s="62"/>
      <c r="J990" s="63" t="str">
        <f aca="false">IF(I990&lt;&gt;"",VLOOKUP(I990,'Legal Nature'!$E$2:$G$84,3,0),"")</f>
        <v/>
      </c>
      <c r="K990" s="64"/>
      <c r="L990" s="65"/>
      <c r="M990" s="66"/>
      <c r="N990" s="66"/>
      <c r="O990" s="79"/>
      <c r="P990" s="26"/>
      <c r="Q990" s="58"/>
      <c r="R990" s="58"/>
      <c r="S990" s="80"/>
      <c r="T990" s="68" t="str">
        <f aca="false">IF(LEFT(S990,1)="9","Celular",IF(S990="","","Fixo"))</f>
        <v/>
      </c>
      <c r="U990" s="58" t="str">
        <f aca="false">IF( T990&lt;&gt;"",VLOOKUP(T990,Selects!$M$4:$N$1000,2,0),"")</f>
        <v/>
      </c>
      <c r="V990" s="26"/>
      <c r="W990" s="58"/>
      <c r="X990" s="58"/>
      <c r="Y990" s="58"/>
      <c r="Z990" s="58"/>
      <c r="AA990" s="69"/>
      <c r="AB990" s="58"/>
      <c r="AC990" s="58"/>
      <c r="AD990" s="70" t="str">
        <f aca="false">IF(AC990&lt;&gt;"",VLOOKUP(AC990,Selects!$B$4:$C$100,2,0),"")</f>
        <v/>
      </c>
      <c r="AE990" s="26"/>
      <c r="AF990" s="58"/>
      <c r="AG990" s="59"/>
      <c r="AH990" s="65"/>
      <c r="AI990" s="66"/>
      <c r="AJ990" s="66"/>
      <c r="AK990" s="58"/>
      <c r="AL990" s="58"/>
      <c r="AM990" s="68" t="str">
        <f aca="false">IF(LEFT(AL990,1)="9","Celular",IF(AL990="","","Fixo"))</f>
        <v/>
      </c>
      <c r="AN990" s="58" t="str">
        <f aca="false">IF( AM990&lt;&gt;"",VLOOKUP(AM990,Selects!$M$4:$N$1000,2,0),"")</f>
        <v/>
      </c>
      <c r="AO990" s="58"/>
      <c r="AP990" s="59"/>
      <c r="AQ990" s="65"/>
      <c r="AR990" s="58"/>
      <c r="AS990" s="58"/>
      <c r="AT990" s="26"/>
      <c r="AU990" s="58"/>
      <c r="AV990" s="58"/>
      <c r="AW990" s="58"/>
      <c r="AX990" s="58"/>
      <c r="AY990" s="71"/>
      <c r="AZ990" s="58"/>
      <c r="BA990" s="58"/>
      <c r="BB990" s="72" t="str">
        <f aca="false">IF(BA990&lt;&gt;"",VLOOKUP(BA990,Selects!$B$4:$C$100,2,0),"")</f>
        <v/>
      </c>
      <c r="BC990" s="26"/>
      <c r="BD990" s="26"/>
      <c r="BE990" s="73"/>
      <c r="BF990" s="74"/>
      <c r="BG990" s="75" t="str">
        <f aca="false">IF(LEN(BF990)=11,"PF",IF(LEN(BF990)=14,"PJ",""))</f>
        <v/>
      </c>
      <c r="BH990" s="66"/>
      <c r="BI990" s="58" t="str">
        <f aca="false">IF(BH990&lt;&gt;"",VLOOKUP(BH990,Selects!$G:$H,2,0),"")</f>
        <v/>
      </c>
      <c r="BJ990" s="58"/>
      <c r="BK990" s="58"/>
      <c r="BL990" s="59"/>
      <c r="BM990" s="58"/>
      <c r="BN990" s="58"/>
      <c r="BO990" s="58" t="str">
        <f aca="false">IF(BN990&lt;&gt;"",VLOOKUP(BN990,Selects!$J$4:$K$1000,2,0),"")</f>
        <v/>
      </c>
      <c r="BP990" s="76"/>
      <c r="BQ990" s="59"/>
      <c r="BR990" s="77"/>
      <c r="BS990" s="59"/>
      <c r="BT990" s="77"/>
      <c r="BU990" s="58"/>
      <c r="BV990" s="58"/>
      <c r="BW990" s="58"/>
      <c r="BX990" s="58"/>
      <c r="BY990" s="58"/>
      <c r="BZ990" s="58"/>
      <c r="CA990" s="58"/>
      <c r="CB990" s="72" t="str">
        <f aca="false">IF(AC990&lt;&gt;"",VLOOKUP(AC990,Selects!$B:$E,4,0),"")</f>
        <v/>
      </c>
      <c r="CC990" s="58"/>
      <c r="CD990" s="58"/>
      <c r="CE990" s="58"/>
    </row>
    <row r="991" customFormat="false" ht="15.75" hidden="false" customHeight="true" outlineLevel="0" collapsed="false">
      <c r="A991" s="17"/>
      <c r="B991" s="58"/>
      <c r="C991" s="58"/>
      <c r="D991" s="59"/>
      <c r="E991" s="60" t="str">
        <f aca="false">IF(LEN(D991)=11,"PF",IF(LEN(D991)=14,"PJ",""))</f>
        <v/>
      </c>
      <c r="F991" s="59"/>
      <c r="G991" s="59"/>
      <c r="H991" s="61" t="str">
        <f aca="false">IF(G991&lt;&gt;"",VLOOKUP(G991,'Cnae  mcc  id'!$A:$M,9,0),"")</f>
        <v/>
      </c>
      <c r="I991" s="62"/>
      <c r="J991" s="63" t="str">
        <f aca="false">IF(I991&lt;&gt;"",VLOOKUP(I991,'Legal Nature'!$E$2:$G$84,3,0),"")</f>
        <v/>
      </c>
      <c r="K991" s="64"/>
      <c r="L991" s="65"/>
      <c r="M991" s="66"/>
      <c r="N991" s="66"/>
      <c r="O991" s="79"/>
      <c r="P991" s="26"/>
      <c r="Q991" s="58"/>
      <c r="R991" s="58"/>
      <c r="S991" s="80"/>
      <c r="T991" s="68" t="str">
        <f aca="false">IF(LEFT(S991,1)="9","Celular",IF(S991="","","Fixo"))</f>
        <v/>
      </c>
      <c r="U991" s="58" t="str">
        <f aca="false">IF( T991&lt;&gt;"",VLOOKUP(T991,Selects!$M$4:$N$1000,2,0),"")</f>
        <v/>
      </c>
      <c r="V991" s="26"/>
      <c r="W991" s="58"/>
      <c r="X991" s="58"/>
      <c r="Y991" s="58"/>
      <c r="Z991" s="58"/>
      <c r="AA991" s="69"/>
      <c r="AB991" s="58"/>
      <c r="AC991" s="58"/>
      <c r="AD991" s="70" t="str">
        <f aca="false">IF(AC991&lt;&gt;"",VLOOKUP(AC991,Selects!$B$4:$C$100,2,0),"")</f>
        <v/>
      </c>
      <c r="AE991" s="26"/>
      <c r="AF991" s="58"/>
      <c r="AG991" s="59"/>
      <c r="AH991" s="65"/>
      <c r="AI991" s="66"/>
      <c r="AJ991" s="66"/>
      <c r="AK991" s="58"/>
      <c r="AL991" s="58"/>
      <c r="AM991" s="68" t="str">
        <f aca="false">IF(LEFT(AL991,1)="9","Celular",IF(AL991="","","Fixo"))</f>
        <v/>
      </c>
      <c r="AN991" s="58" t="str">
        <f aca="false">IF( AM991&lt;&gt;"",VLOOKUP(AM991,Selects!$M$4:$N$1000,2,0),"")</f>
        <v/>
      </c>
      <c r="AO991" s="58"/>
      <c r="AP991" s="59"/>
      <c r="AQ991" s="65"/>
      <c r="AR991" s="58"/>
      <c r="AS991" s="58"/>
      <c r="AT991" s="26"/>
      <c r="AU991" s="58"/>
      <c r="AV991" s="58"/>
      <c r="AW991" s="58"/>
      <c r="AX991" s="58"/>
      <c r="AY991" s="71"/>
      <c r="AZ991" s="58"/>
      <c r="BA991" s="58"/>
      <c r="BB991" s="72" t="str">
        <f aca="false">IF(BA991&lt;&gt;"",VLOOKUP(BA991,Selects!$B$4:$C$100,2,0),"")</f>
        <v/>
      </c>
      <c r="BC991" s="26"/>
      <c r="BD991" s="26"/>
      <c r="BE991" s="73"/>
      <c r="BF991" s="74"/>
      <c r="BG991" s="75" t="str">
        <f aca="false">IF(LEN(BF991)=11,"PF",IF(LEN(BF991)=14,"PJ",""))</f>
        <v/>
      </c>
      <c r="BH991" s="66"/>
      <c r="BI991" s="58" t="str">
        <f aca="false">IF(BH991&lt;&gt;"",VLOOKUP(BH991,Selects!$G:$H,2,0),"")</f>
        <v/>
      </c>
      <c r="BJ991" s="58"/>
      <c r="BK991" s="58"/>
      <c r="BL991" s="59"/>
      <c r="BM991" s="58"/>
      <c r="BN991" s="58"/>
      <c r="BO991" s="58" t="str">
        <f aca="false">IF(BN991&lt;&gt;"",VLOOKUP(BN991,Selects!$J$4:$K$1000,2,0),"")</f>
        <v/>
      </c>
      <c r="BP991" s="76"/>
      <c r="BQ991" s="59"/>
      <c r="BR991" s="77"/>
      <c r="BS991" s="59"/>
      <c r="BT991" s="77"/>
      <c r="BU991" s="58"/>
      <c r="BV991" s="58"/>
      <c r="BW991" s="58"/>
      <c r="BX991" s="58"/>
      <c r="BY991" s="58"/>
      <c r="BZ991" s="58"/>
      <c r="CA991" s="58"/>
      <c r="CB991" s="72" t="str">
        <f aca="false">IF(AC991&lt;&gt;"",VLOOKUP(AC991,Selects!$B:$E,4,0),"")</f>
        <v/>
      </c>
      <c r="CC991" s="58"/>
      <c r="CD991" s="58"/>
      <c r="CE991" s="58"/>
    </row>
    <row r="992" customFormat="false" ht="15.75" hidden="false" customHeight="true" outlineLevel="0" collapsed="false">
      <c r="A992" s="81"/>
      <c r="B992" s="58"/>
      <c r="C992" s="58"/>
      <c r="D992" s="59"/>
      <c r="E992" s="60" t="str">
        <f aca="false">IF(LEN(D992)=11,"PF",IF(LEN(D992)=14,"PJ",""))</f>
        <v/>
      </c>
      <c r="F992" s="59"/>
      <c r="G992" s="59"/>
      <c r="H992" s="61" t="str">
        <f aca="false">IF(G992&lt;&gt;"",VLOOKUP(G992,'Cnae  mcc  id'!$A:$M,9,0),"")</f>
        <v/>
      </c>
      <c r="I992" s="62"/>
      <c r="J992" s="63" t="str">
        <f aca="false">IF(I992&lt;&gt;"",VLOOKUP(I992,'Legal Nature'!$E$2:$G$84,3,0),"")</f>
        <v/>
      </c>
      <c r="K992" s="64"/>
      <c r="L992" s="65"/>
      <c r="M992" s="66"/>
      <c r="N992" s="66"/>
      <c r="O992" s="79"/>
      <c r="P992" s="26"/>
      <c r="Q992" s="58"/>
      <c r="R992" s="58"/>
      <c r="S992" s="80"/>
      <c r="T992" s="68" t="str">
        <f aca="false">IF(LEFT(S992,1)="9","Celular",IF(S992="","","Fixo"))</f>
        <v/>
      </c>
      <c r="U992" s="58" t="str">
        <f aca="false">IF( T992&lt;&gt;"",VLOOKUP(T992,Selects!$M$4:$N$1000,2,0),"")</f>
        <v/>
      </c>
      <c r="V992" s="26"/>
      <c r="W992" s="58"/>
      <c r="X992" s="58"/>
      <c r="Y992" s="58"/>
      <c r="Z992" s="58"/>
      <c r="AA992" s="69"/>
      <c r="AB992" s="58"/>
      <c r="AC992" s="58"/>
      <c r="AD992" s="70" t="str">
        <f aca="false">IF(AC992&lt;&gt;"",VLOOKUP(AC992,Selects!$B$4:$C$100,2,0),"")</f>
        <v/>
      </c>
      <c r="AE992" s="26"/>
      <c r="AF992" s="58"/>
      <c r="AG992" s="59"/>
      <c r="AH992" s="65"/>
      <c r="AI992" s="66"/>
      <c r="AJ992" s="66"/>
      <c r="AK992" s="58"/>
      <c r="AL992" s="58"/>
      <c r="AM992" s="68" t="str">
        <f aca="false">IF(LEFT(AL992,1)="9","Celular",IF(AL992="","","Fixo"))</f>
        <v/>
      </c>
      <c r="AN992" s="58" t="str">
        <f aca="false">IF( AM992&lt;&gt;"",VLOOKUP(AM992,Selects!$M$4:$N$1000,2,0),"")</f>
        <v/>
      </c>
      <c r="AO992" s="58"/>
      <c r="AP992" s="59"/>
      <c r="AQ992" s="65"/>
      <c r="AR992" s="58"/>
      <c r="AS992" s="58"/>
      <c r="AT992" s="26"/>
      <c r="AU992" s="58"/>
      <c r="AV992" s="58"/>
      <c r="AW992" s="58"/>
      <c r="AX992" s="58"/>
      <c r="AY992" s="71"/>
      <c r="AZ992" s="58"/>
      <c r="BA992" s="58"/>
      <c r="BB992" s="72" t="str">
        <f aca="false">IF(BA992&lt;&gt;"",VLOOKUP(BA992,Selects!$B$4:$C$100,2,0),"")</f>
        <v/>
      </c>
      <c r="BC992" s="26"/>
      <c r="BD992" s="26"/>
      <c r="BE992" s="73"/>
      <c r="BF992" s="74"/>
      <c r="BG992" s="75" t="str">
        <f aca="false">IF(LEN(BF992)=11,"PF",IF(LEN(BF992)=14,"PJ",""))</f>
        <v/>
      </c>
      <c r="BH992" s="66"/>
      <c r="BI992" s="58" t="str">
        <f aca="false">IF(BH992&lt;&gt;"",VLOOKUP(BH992,Selects!$G:$H,2,0),"")</f>
        <v/>
      </c>
      <c r="BJ992" s="58"/>
      <c r="BK992" s="58"/>
      <c r="BL992" s="59"/>
      <c r="BM992" s="58"/>
      <c r="BN992" s="58"/>
      <c r="BO992" s="58" t="str">
        <f aca="false">IF(BN992&lt;&gt;"",VLOOKUP(BN992,Selects!$J$4:$K$1000,2,0),"")</f>
        <v/>
      </c>
      <c r="BP992" s="76"/>
      <c r="BQ992" s="59"/>
      <c r="BR992" s="77"/>
      <c r="BS992" s="59"/>
      <c r="BT992" s="77"/>
      <c r="BU992" s="58"/>
      <c r="BV992" s="58"/>
      <c r="BW992" s="58"/>
      <c r="BX992" s="58"/>
      <c r="BY992" s="58"/>
      <c r="BZ992" s="58"/>
      <c r="CA992" s="58"/>
      <c r="CB992" s="72" t="str">
        <f aca="false">IF(AC992&lt;&gt;"",VLOOKUP(AC992,Selects!$B:$E,4,0),"")</f>
        <v/>
      </c>
      <c r="CC992" s="58"/>
      <c r="CD992" s="58"/>
      <c r="CE992" s="58"/>
    </row>
    <row r="993" customFormat="false" ht="15.75" hidden="false" customHeight="true" outlineLevel="0" collapsed="false">
      <c r="A993" s="81"/>
      <c r="B993" s="58"/>
      <c r="C993" s="58"/>
      <c r="D993" s="59"/>
      <c r="E993" s="60" t="str">
        <f aca="false">IF(LEN(D993)=11,"PF",IF(LEN(D993)=14,"PJ",""))</f>
        <v/>
      </c>
      <c r="F993" s="59"/>
      <c r="G993" s="59"/>
      <c r="H993" s="61" t="str">
        <f aca="false">IF(G993&lt;&gt;"",VLOOKUP(G993,'Cnae  mcc  id'!$A:$M,9,0),"")</f>
        <v/>
      </c>
      <c r="I993" s="62"/>
      <c r="J993" s="63" t="str">
        <f aca="false">IF(I993&lt;&gt;"",VLOOKUP(I993,'Legal Nature'!$E$2:$G$84,3,0),"")</f>
        <v/>
      </c>
      <c r="K993" s="64"/>
      <c r="L993" s="65"/>
      <c r="M993" s="66"/>
      <c r="N993" s="66"/>
      <c r="O993" s="79"/>
      <c r="P993" s="26"/>
      <c r="Q993" s="58"/>
      <c r="R993" s="58"/>
      <c r="S993" s="80"/>
      <c r="T993" s="68" t="str">
        <f aca="false">IF(LEFT(S993,1)="9","Celular",IF(S993="","","Fixo"))</f>
        <v/>
      </c>
      <c r="U993" s="58" t="str">
        <f aca="false">IF( T993&lt;&gt;"",VLOOKUP(T993,Selects!$M$4:$N$1000,2,0),"")</f>
        <v/>
      </c>
      <c r="V993" s="26"/>
      <c r="W993" s="58"/>
      <c r="X993" s="58"/>
      <c r="Y993" s="58"/>
      <c r="Z993" s="58"/>
      <c r="AA993" s="69"/>
      <c r="AB993" s="58"/>
      <c r="AC993" s="58"/>
      <c r="AD993" s="70" t="str">
        <f aca="false">IF(AC993&lt;&gt;"",VLOOKUP(AC993,Selects!$B$4:$C$100,2,0),"")</f>
        <v/>
      </c>
      <c r="AE993" s="26"/>
      <c r="AF993" s="58"/>
      <c r="AG993" s="59"/>
      <c r="AH993" s="65"/>
      <c r="AI993" s="66"/>
      <c r="AJ993" s="66"/>
      <c r="AK993" s="58"/>
      <c r="AL993" s="58"/>
      <c r="AM993" s="68" t="str">
        <f aca="false">IF(LEFT(AL993,1)="9","Celular",IF(AL993="","","Fixo"))</f>
        <v/>
      </c>
      <c r="AN993" s="58" t="str">
        <f aca="false">IF( AM993&lt;&gt;"",VLOOKUP(AM993,Selects!$M$4:$N$1000,2,0),"")</f>
        <v/>
      </c>
      <c r="AO993" s="58"/>
      <c r="AP993" s="59"/>
      <c r="AQ993" s="65"/>
      <c r="AR993" s="58"/>
      <c r="AS993" s="58"/>
      <c r="AT993" s="26"/>
      <c r="AU993" s="58"/>
      <c r="AV993" s="58"/>
      <c r="AW993" s="58"/>
      <c r="AX993" s="58"/>
      <c r="AY993" s="71"/>
      <c r="AZ993" s="58"/>
      <c r="BA993" s="58"/>
      <c r="BB993" s="72" t="str">
        <f aca="false">IF(BA993&lt;&gt;"",VLOOKUP(BA993,Selects!$B$4:$C$100,2,0),"")</f>
        <v/>
      </c>
      <c r="BC993" s="26"/>
      <c r="BD993" s="26"/>
      <c r="BE993" s="73"/>
      <c r="BF993" s="74"/>
      <c r="BG993" s="75" t="str">
        <f aca="false">IF(LEN(BF993)=11,"PF",IF(LEN(BF993)=14,"PJ",""))</f>
        <v/>
      </c>
      <c r="BH993" s="66"/>
      <c r="BI993" s="58" t="str">
        <f aca="false">IF(BH993&lt;&gt;"",VLOOKUP(BH993,Selects!$G:$H,2,0),"")</f>
        <v/>
      </c>
      <c r="BJ993" s="58"/>
      <c r="BK993" s="58"/>
      <c r="BL993" s="59"/>
      <c r="BM993" s="58"/>
      <c r="BN993" s="58"/>
      <c r="BO993" s="58" t="str">
        <f aca="false">IF(BN993&lt;&gt;"",VLOOKUP(BN993,Selects!$J$4:$K$1000,2,0),"")</f>
        <v/>
      </c>
      <c r="BP993" s="76"/>
      <c r="BQ993" s="59"/>
      <c r="BR993" s="77"/>
      <c r="BS993" s="59"/>
      <c r="BT993" s="77"/>
      <c r="BU993" s="58"/>
      <c r="BV993" s="58"/>
      <c r="BW993" s="58"/>
      <c r="BX993" s="58"/>
      <c r="BY993" s="58"/>
      <c r="BZ993" s="58"/>
      <c r="CA993" s="58"/>
      <c r="CB993" s="72" t="str">
        <f aca="false">IF(AC993&lt;&gt;"",VLOOKUP(AC993,Selects!$B:$E,4,0),"")</f>
        <v/>
      </c>
      <c r="CC993" s="58"/>
      <c r="CD993" s="58"/>
      <c r="CE993" s="58"/>
    </row>
    <row r="994" customFormat="false" ht="15.75" hidden="false" customHeight="true" outlineLevel="0" collapsed="false">
      <c r="A994" s="81"/>
      <c r="B994" s="58"/>
      <c r="C994" s="58"/>
      <c r="D994" s="59"/>
      <c r="E994" s="60" t="str">
        <f aca="false">IF(LEN(D994)=11,"PF",IF(LEN(D994)=14,"PJ",""))</f>
        <v/>
      </c>
      <c r="F994" s="59"/>
      <c r="G994" s="59"/>
      <c r="H994" s="61" t="str">
        <f aca="false">IF(G994&lt;&gt;"",VLOOKUP(G994,'Cnae  mcc  id'!$A:$M,9,0),"")</f>
        <v/>
      </c>
      <c r="I994" s="62"/>
      <c r="J994" s="63" t="str">
        <f aca="false">IF(I994&lt;&gt;"",VLOOKUP(I994,'Legal Nature'!$E$2:$G$84,3,0),"")</f>
        <v/>
      </c>
      <c r="K994" s="64"/>
      <c r="L994" s="65"/>
      <c r="M994" s="66"/>
      <c r="N994" s="66"/>
      <c r="O994" s="79"/>
      <c r="P994" s="26"/>
      <c r="Q994" s="58"/>
      <c r="R994" s="58"/>
      <c r="S994" s="80"/>
      <c r="T994" s="68" t="str">
        <f aca="false">IF(LEFT(S994,1)="9","Celular",IF(S994="","","Fixo"))</f>
        <v/>
      </c>
      <c r="U994" s="58" t="str">
        <f aca="false">IF( T994&lt;&gt;"",VLOOKUP(T994,Selects!$M$4:$N$1000,2,0),"")</f>
        <v/>
      </c>
      <c r="V994" s="26"/>
      <c r="W994" s="58"/>
      <c r="X994" s="58"/>
      <c r="Y994" s="58"/>
      <c r="Z994" s="58"/>
      <c r="AA994" s="69"/>
      <c r="AB994" s="58"/>
      <c r="AC994" s="58"/>
      <c r="AD994" s="70" t="str">
        <f aca="false">IF(AC994&lt;&gt;"",VLOOKUP(AC994,Selects!$B$4:$C$100,2,0),"")</f>
        <v/>
      </c>
      <c r="AE994" s="26"/>
      <c r="AF994" s="58"/>
      <c r="AG994" s="59"/>
      <c r="AH994" s="65"/>
      <c r="AI994" s="66"/>
      <c r="AJ994" s="66"/>
      <c r="AK994" s="58"/>
      <c r="AL994" s="58"/>
      <c r="AM994" s="68" t="str">
        <f aca="false">IF(LEFT(AL994,1)="9","Celular",IF(AL994="","","Fixo"))</f>
        <v/>
      </c>
      <c r="AN994" s="58" t="str">
        <f aca="false">IF( AM994&lt;&gt;"",VLOOKUP(AM994,Selects!$M$4:$N$1000,2,0),"")</f>
        <v/>
      </c>
      <c r="AO994" s="58"/>
      <c r="AP994" s="59"/>
      <c r="AQ994" s="65"/>
      <c r="AR994" s="58"/>
      <c r="AS994" s="58"/>
      <c r="AT994" s="26"/>
      <c r="AU994" s="58"/>
      <c r="AV994" s="58"/>
      <c r="AW994" s="58"/>
      <c r="AX994" s="58"/>
      <c r="AY994" s="71"/>
      <c r="AZ994" s="58"/>
      <c r="BA994" s="58"/>
      <c r="BB994" s="72" t="str">
        <f aca="false">IF(BA994&lt;&gt;"",VLOOKUP(BA994,Selects!$B$4:$C$100,2,0),"")</f>
        <v/>
      </c>
      <c r="BC994" s="26"/>
      <c r="BD994" s="26"/>
      <c r="BE994" s="73"/>
      <c r="BF994" s="74"/>
      <c r="BG994" s="75" t="str">
        <f aca="false">IF(LEN(BF994)=11,"PF",IF(LEN(BF994)=14,"PJ",""))</f>
        <v/>
      </c>
      <c r="BH994" s="66"/>
      <c r="BI994" s="58" t="str">
        <f aca="false">IF(BH994&lt;&gt;"",VLOOKUP(BH994,Selects!$G:$H,2,0),"")</f>
        <v/>
      </c>
      <c r="BJ994" s="58"/>
      <c r="BK994" s="58"/>
      <c r="BL994" s="59"/>
      <c r="BM994" s="58"/>
      <c r="BN994" s="58"/>
      <c r="BO994" s="58" t="str">
        <f aca="false">IF(BN994&lt;&gt;"",VLOOKUP(BN994,Selects!$J$4:$K$1000,2,0),"")</f>
        <v/>
      </c>
      <c r="BP994" s="76"/>
      <c r="BQ994" s="59"/>
      <c r="BR994" s="77"/>
      <c r="BS994" s="59"/>
      <c r="BT994" s="77"/>
      <c r="BU994" s="58"/>
      <c r="BV994" s="58"/>
      <c r="BW994" s="58"/>
      <c r="BX994" s="58"/>
      <c r="BY994" s="58"/>
      <c r="BZ994" s="58"/>
      <c r="CA994" s="58"/>
      <c r="CB994" s="72" t="str">
        <f aca="false">IF(AC994&lt;&gt;"",VLOOKUP(AC994,Selects!$B:$E,4,0),"")</f>
        <v/>
      </c>
      <c r="CC994" s="58"/>
      <c r="CD994" s="58"/>
      <c r="CE994" s="58"/>
    </row>
    <row r="995" customFormat="false" ht="15.75" hidden="false" customHeight="true" outlineLevel="0" collapsed="false">
      <c r="A995" s="81"/>
      <c r="B995" s="58"/>
      <c r="C995" s="58"/>
      <c r="D995" s="59"/>
      <c r="E995" s="60" t="str">
        <f aca="false">IF(LEN(D995)=11,"PF",IF(LEN(D995)=14,"PJ",""))</f>
        <v/>
      </c>
      <c r="F995" s="59"/>
      <c r="G995" s="59"/>
      <c r="H995" s="61" t="str">
        <f aca="false">IF(G995&lt;&gt;"",VLOOKUP(G995,'Cnae  mcc  id'!$A:$M,9,0),"")</f>
        <v/>
      </c>
      <c r="I995" s="62"/>
      <c r="J995" s="63" t="str">
        <f aca="false">IF(I995&lt;&gt;"",VLOOKUP(I995,'Legal Nature'!$E$2:$G$84,3,0),"")</f>
        <v/>
      </c>
      <c r="K995" s="64"/>
      <c r="L995" s="65"/>
      <c r="M995" s="66"/>
      <c r="N995" s="66"/>
      <c r="O995" s="79"/>
      <c r="P995" s="26"/>
      <c r="Q995" s="58"/>
      <c r="R995" s="58"/>
      <c r="S995" s="80"/>
      <c r="T995" s="68" t="str">
        <f aca="false">IF(LEFT(S995,1)="9","Celular",IF(S995="","","Fixo"))</f>
        <v/>
      </c>
      <c r="U995" s="58" t="str">
        <f aca="false">IF( T995&lt;&gt;"",VLOOKUP(T995,Selects!$M$4:$N$1000,2,0),"")</f>
        <v/>
      </c>
      <c r="V995" s="26"/>
      <c r="W995" s="58"/>
      <c r="X995" s="58"/>
      <c r="Y995" s="58"/>
      <c r="Z995" s="58"/>
      <c r="AA995" s="69"/>
      <c r="AB995" s="58"/>
      <c r="AC995" s="58"/>
      <c r="AD995" s="70" t="str">
        <f aca="false">IF(AC995&lt;&gt;"",VLOOKUP(AC995,Selects!$B$4:$C$100,2,0),"")</f>
        <v/>
      </c>
      <c r="AE995" s="26"/>
      <c r="AF995" s="58"/>
      <c r="AG995" s="59"/>
      <c r="AH995" s="65"/>
      <c r="AI995" s="66"/>
      <c r="AJ995" s="66"/>
      <c r="AK995" s="58"/>
      <c r="AL995" s="58"/>
      <c r="AM995" s="68" t="str">
        <f aca="false">IF(LEFT(AL995,1)="9","Celular",IF(AL995="","","Fixo"))</f>
        <v/>
      </c>
      <c r="AN995" s="58" t="str">
        <f aca="false">IF( AM995&lt;&gt;"",VLOOKUP(AM995,Selects!$M$4:$N$1000,2,0),"")</f>
        <v/>
      </c>
      <c r="AO995" s="58"/>
      <c r="AP995" s="59"/>
      <c r="AQ995" s="65"/>
      <c r="AR995" s="58"/>
      <c r="AS995" s="58"/>
      <c r="AT995" s="26"/>
      <c r="AU995" s="58"/>
      <c r="AV995" s="58"/>
      <c r="AW995" s="58"/>
      <c r="AX995" s="58"/>
      <c r="AY995" s="71"/>
      <c r="AZ995" s="58"/>
      <c r="BA995" s="58"/>
      <c r="BB995" s="72" t="str">
        <f aca="false">IF(BA995&lt;&gt;"",VLOOKUP(BA995,Selects!$B$4:$C$100,2,0),"")</f>
        <v/>
      </c>
      <c r="BC995" s="26"/>
      <c r="BD995" s="26"/>
      <c r="BE995" s="73"/>
      <c r="BF995" s="74"/>
      <c r="BG995" s="75" t="str">
        <f aca="false">IF(LEN(BF995)=11,"PF",IF(LEN(BF995)=14,"PJ",""))</f>
        <v/>
      </c>
      <c r="BH995" s="66"/>
      <c r="BI995" s="58" t="str">
        <f aca="false">IF(BH995&lt;&gt;"",VLOOKUP(BH995,Selects!$G:$H,2,0),"")</f>
        <v/>
      </c>
      <c r="BJ995" s="58"/>
      <c r="BK995" s="58"/>
      <c r="BL995" s="59"/>
      <c r="BM995" s="58"/>
      <c r="BN995" s="58"/>
      <c r="BO995" s="58" t="str">
        <f aca="false">IF(BN995&lt;&gt;"",VLOOKUP(BN995,Selects!$J$4:$K$1000,2,0),"")</f>
        <v/>
      </c>
      <c r="BP995" s="76"/>
      <c r="BQ995" s="59"/>
      <c r="BR995" s="77"/>
      <c r="BS995" s="59"/>
      <c r="BT995" s="77"/>
      <c r="BU995" s="58"/>
      <c r="BV995" s="58"/>
      <c r="BW995" s="58"/>
      <c r="BX995" s="58"/>
      <c r="BY995" s="58"/>
      <c r="BZ995" s="58"/>
      <c r="CA995" s="58"/>
      <c r="CB995" s="72" t="str">
        <f aca="false">IF(AC995&lt;&gt;"",VLOOKUP(AC995,Selects!$B:$E,4,0),"")</f>
        <v/>
      </c>
      <c r="CC995" s="58"/>
      <c r="CD995" s="58"/>
      <c r="CE995" s="58"/>
    </row>
    <row r="996" customFormat="false" ht="15.75" hidden="false" customHeight="true" outlineLevel="0" collapsed="false">
      <c r="A996" s="81"/>
      <c r="B996" s="58"/>
      <c r="C996" s="58"/>
      <c r="D996" s="59"/>
      <c r="E996" s="60" t="str">
        <f aca="false">IF(LEN(D996)=11,"PF",IF(LEN(D996)=14,"PJ",""))</f>
        <v/>
      </c>
      <c r="F996" s="59"/>
      <c r="G996" s="59"/>
      <c r="H996" s="61" t="str">
        <f aca="false">IF(G996&lt;&gt;"",VLOOKUP(G996,'Cnae  mcc  id'!$A:$M,9,0),"")</f>
        <v/>
      </c>
      <c r="I996" s="62"/>
      <c r="J996" s="63" t="str">
        <f aca="false">IF(I996&lt;&gt;"",VLOOKUP(I996,'Legal Nature'!$E$2:$G$84,3,0),"")</f>
        <v/>
      </c>
      <c r="K996" s="64"/>
      <c r="L996" s="65"/>
      <c r="M996" s="66"/>
      <c r="N996" s="66"/>
      <c r="O996" s="79"/>
      <c r="P996" s="26"/>
      <c r="Q996" s="58"/>
      <c r="R996" s="58"/>
      <c r="S996" s="80"/>
      <c r="T996" s="68" t="str">
        <f aca="false">IF(LEFT(S996,1)="9","Celular",IF(S996="","","Fixo"))</f>
        <v/>
      </c>
      <c r="U996" s="58" t="str">
        <f aca="false">IF( T996&lt;&gt;"",VLOOKUP(T996,Selects!$M$4:$N$1000,2,0),"")</f>
        <v/>
      </c>
      <c r="V996" s="26"/>
      <c r="W996" s="58"/>
      <c r="X996" s="58"/>
      <c r="Y996" s="58"/>
      <c r="Z996" s="58"/>
      <c r="AA996" s="69"/>
      <c r="AB996" s="58"/>
      <c r="AC996" s="58"/>
      <c r="AD996" s="70" t="str">
        <f aca="false">IF(AC996&lt;&gt;"",VLOOKUP(AC996,Selects!$B$4:$C$100,2,0),"")</f>
        <v/>
      </c>
      <c r="AE996" s="26"/>
      <c r="AF996" s="58"/>
      <c r="AG996" s="59"/>
      <c r="AH996" s="65"/>
      <c r="AI996" s="66"/>
      <c r="AJ996" s="66"/>
      <c r="AK996" s="58"/>
      <c r="AL996" s="58"/>
      <c r="AM996" s="68" t="str">
        <f aca="false">IF(LEFT(AL996,1)="9","Celular",IF(AL996="","","Fixo"))</f>
        <v/>
      </c>
      <c r="AN996" s="58" t="str">
        <f aca="false">IF( AM996&lt;&gt;"",VLOOKUP(AM996,Selects!$M$4:$N$1000,2,0),"")</f>
        <v/>
      </c>
      <c r="AO996" s="58"/>
      <c r="AP996" s="59"/>
      <c r="AQ996" s="65"/>
      <c r="AR996" s="58"/>
      <c r="AS996" s="58"/>
      <c r="AT996" s="26"/>
      <c r="AU996" s="58"/>
      <c r="AV996" s="58"/>
      <c r="AW996" s="58"/>
      <c r="AX996" s="58"/>
      <c r="AY996" s="71"/>
      <c r="AZ996" s="58"/>
      <c r="BA996" s="58"/>
      <c r="BB996" s="72" t="str">
        <f aca="false">IF(BA996&lt;&gt;"",VLOOKUP(BA996,Selects!$B$4:$C$100,2,0),"")</f>
        <v/>
      </c>
      <c r="BC996" s="26"/>
      <c r="BD996" s="26"/>
      <c r="BE996" s="73"/>
      <c r="BF996" s="74"/>
      <c r="BG996" s="75" t="str">
        <f aca="false">IF(LEN(BF996)=11,"PF",IF(LEN(BF996)=14,"PJ",""))</f>
        <v/>
      </c>
      <c r="BH996" s="66"/>
      <c r="BI996" s="58" t="str">
        <f aca="false">IF(BH996&lt;&gt;"",VLOOKUP(BH996,Selects!$G:$H,2,0),"")</f>
        <v/>
      </c>
      <c r="BJ996" s="58"/>
      <c r="BK996" s="58"/>
      <c r="BL996" s="59"/>
      <c r="BM996" s="58"/>
      <c r="BN996" s="58"/>
      <c r="BO996" s="58" t="str">
        <f aca="false">IF(BN996&lt;&gt;"",VLOOKUP(BN996,Selects!$J$4:$K$1000,2,0),"")</f>
        <v/>
      </c>
      <c r="BP996" s="76"/>
      <c r="BQ996" s="59"/>
      <c r="BR996" s="77"/>
      <c r="BS996" s="59"/>
      <c r="BT996" s="77"/>
      <c r="BU996" s="58"/>
      <c r="BV996" s="58"/>
      <c r="BW996" s="58"/>
      <c r="BX996" s="58"/>
      <c r="BY996" s="58"/>
      <c r="BZ996" s="58"/>
      <c r="CA996" s="58"/>
      <c r="CB996" s="72" t="str">
        <f aca="false">IF(AC996&lt;&gt;"",VLOOKUP(AC996,Selects!$B:$E,4,0),"")</f>
        <v/>
      </c>
      <c r="CC996" s="58"/>
      <c r="CD996" s="58"/>
      <c r="CE996" s="58"/>
    </row>
    <row r="997" customFormat="false" ht="15.75" hidden="false" customHeight="true" outlineLevel="0" collapsed="false">
      <c r="A997" s="81"/>
      <c r="B997" s="58"/>
      <c r="C997" s="58"/>
      <c r="D997" s="59"/>
      <c r="E997" s="60" t="str">
        <f aca="false">IF(LEN(D997)=11,"PF",IF(LEN(D997)=14,"PJ",""))</f>
        <v/>
      </c>
      <c r="F997" s="59"/>
      <c r="G997" s="59"/>
      <c r="H997" s="61" t="str">
        <f aca="false">IF(G997&lt;&gt;"",VLOOKUP(G997,'Cnae  mcc  id'!$A:$M,9,0),"")</f>
        <v/>
      </c>
      <c r="I997" s="62"/>
      <c r="J997" s="63" t="str">
        <f aca="false">IF(I997&lt;&gt;"",VLOOKUP(I997,'Legal Nature'!$E$2:$G$84,3,0),"")</f>
        <v/>
      </c>
      <c r="K997" s="64"/>
      <c r="L997" s="65"/>
      <c r="M997" s="66"/>
      <c r="N997" s="66"/>
      <c r="O997" s="79"/>
      <c r="P997" s="26"/>
      <c r="Q997" s="58"/>
      <c r="R997" s="58"/>
      <c r="S997" s="80"/>
      <c r="T997" s="68" t="str">
        <f aca="false">IF(LEFT(S997,1)="9","Celular",IF(S997="","","Fixo"))</f>
        <v/>
      </c>
      <c r="U997" s="58" t="str">
        <f aca="false">IF( T997&lt;&gt;"",VLOOKUP(T997,Selects!$M$4:$N$1000,2,0),"")</f>
        <v/>
      </c>
      <c r="V997" s="26"/>
      <c r="W997" s="58"/>
      <c r="X997" s="58"/>
      <c r="Y997" s="58"/>
      <c r="Z997" s="58"/>
      <c r="AA997" s="69"/>
      <c r="AB997" s="58"/>
      <c r="AC997" s="58"/>
      <c r="AD997" s="70" t="str">
        <f aca="false">IF(AC997&lt;&gt;"",VLOOKUP(AC997,Selects!$B$4:$C$100,2,0),"")</f>
        <v/>
      </c>
      <c r="AE997" s="26"/>
      <c r="AF997" s="58"/>
      <c r="AG997" s="59"/>
      <c r="AH997" s="65"/>
      <c r="AI997" s="66"/>
      <c r="AJ997" s="66"/>
      <c r="AK997" s="58"/>
      <c r="AL997" s="58"/>
      <c r="AM997" s="68" t="str">
        <f aca="false">IF(LEFT(AL997,1)="9","Celular",IF(AL997="","","Fixo"))</f>
        <v/>
      </c>
      <c r="AN997" s="58" t="str">
        <f aca="false">IF( AM997&lt;&gt;"",VLOOKUP(AM997,Selects!$M$4:$N$1000,2,0),"")</f>
        <v/>
      </c>
      <c r="AO997" s="58"/>
      <c r="AP997" s="59"/>
      <c r="AQ997" s="65"/>
      <c r="AR997" s="58"/>
      <c r="AS997" s="58"/>
      <c r="AT997" s="26"/>
      <c r="AU997" s="58"/>
      <c r="AV997" s="58"/>
      <c r="AW997" s="58"/>
      <c r="AX997" s="58"/>
      <c r="AY997" s="71"/>
      <c r="AZ997" s="58"/>
      <c r="BA997" s="58"/>
      <c r="BB997" s="72" t="str">
        <f aca="false">IF(BA997&lt;&gt;"",VLOOKUP(BA997,Selects!$B$4:$C$100,2,0),"")</f>
        <v/>
      </c>
      <c r="BC997" s="26"/>
      <c r="BD997" s="26"/>
      <c r="BE997" s="73"/>
      <c r="BF997" s="74"/>
      <c r="BG997" s="75" t="str">
        <f aca="false">IF(LEN(BF997)=11,"PF",IF(LEN(BF997)=14,"PJ",""))</f>
        <v/>
      </c>
      <c r="BH997" s="66"/>
      <c r="BI997" s="58" t="str">
        <f aca="false">IF(BH997&lt;&gt;"",VLOOKUP(BH997,Selects!$G:$H,2,0),"")</f>
        <v/>
      </c>
      <c r="BJ997" s="58"/>
      <c r="BK997" s="58"/>
      <c r="BL997" s="59"/>
      <c r="BM997" s="58"/>
      <c r="BN997" s="58"/>
      <c r="BO997" s="58" t="str">
        <f aca="false">IF(BN997&lt;&gt;"",VLOOKUP(BN997,Selects!$J$4:$K$1000,2,0),"")</f>
        <v/>
      </c>
      <c r="BP997" s="76"/>
      <c r="BQ997" s="59"/>
      <c r="BR997" s="77"/>
      <c r="BS997" s="59"/>
      <c r="BT997" s="77"/>
      <c r="BU997" s="58"/>
      <c r="BV997" s="58"/>
      <c r="BW997" s="58"/>
      <c r="BX997" s="58"/>
      <c r="BY997" s="58"/>
      <c r="BZ997" s="58"/>
      <c r="CA997" s="58"/>
      <c r="CB997" s="72" t="str">
        <f aca="false">IF(AC997&lt;&gt;"",VLOOKUP(AC997,Selects!$B:$E,4,0),"")</f>
        <v/>
      </c>
      <c r="CC997" s="58"/>
      <c r="CD997" s="58"/>
      <c r="CE997" s="58"/>
    </row>
    <row r="998" customFormat="false" ht="15.75" hidden="false" customHeight="true" outlineLevel="0" collapsed="false">
      <c r="A998" s="81"/>
      <c r="B998" s="58"/>
      <c r="C998" s="58"/>
      <c r="D998" s="59"/>
      <c r="E998" s="60" t="str">
        <f aca="false">IF(LEN(D998)=11,"PF",IF(LEN(D998)=14,"PJ",""))</f>
        <v/>
      </c>
      <c r="F998" s="59"/>
      <c r="G998" s="59"/>
      <c r="H998" s="61" t="str">
        <f aca="false">IF(G998&lt;&gt;"",VLOOKUP(G998,'Cnae  mcc  id'!$A:$M,9,0),"")</f>
        <v/>
      </c>
      <c r="I998" s="62"/>
      <c r="J998" s="63" t="str">
        <f aca="false">IF(I998&lt;&gt;"",VLOOKUP(I998,'Legal Nature'!$E$2:$G$84,3,0),"")</f>
        <v/>
      </c>
      <c r="K998" s="64"/>
      <c r="L998" s="65"/>
      <c r="M998" s="66"/>
      <c r="N998" s="66"/>
      <c r="O998" s="79"/>
      <c r="P998" s="26"/>
      <c r="Q998" s="58"/>
      <c r="R998" s="58"/>
      <c r="S998" s="80"/>
      <c r="T998" s="68" t="str">
        <f aca="false">IF(LEFT(S998,1)="9","Celular",IF(S998="","","Fixo"))</f>
        <v/>
      </c>
      <c r="U998" s="58" t="str">
        <f aca="false">IF( T998&lt;&gt;"",VLOOKUP(T998,Selects!$M$4:$N$1000,2,0),"")</f>
        <v/>
      </c>
      <c r="V998" s="26"/>
      <c r="W998" s="58"/>
      <c r="X998" s="58"/>
      <c r="Y998" s="58"/>
      <c r="Z998" s="58"/>
      <c r="AA998" s="69"/>
      <c r="AB998" s="58"/>
      <c r="AC998" s="58"/>
      <c r="AD998" s="70" t="str">
        <f aca="false">IF(AC998&lt;&gt;"",VLOOKUP(AC998,Selects!$B$4:$C$100,2,0),"")</f>
        <v/>
      </c>
      <c r="AE998" s="26"/>
      <c r="AF998" s="58"/>
      <c r="AG998" s="59"/>
      <c r="AH998" s="65"/>
      <c r="AI998" s="66"/>
      <c r="AJ998" s="66"/>
      <c r="AK998" s="58"/>
      <c r="AL998" s="58"/>
      <c r="AM998" s="68" t="str">
        <f aca="false">IF(LEFT(AL998,1)="9","Celular",IF(AL998="","","Fixo"))</f>
        <v/>
      </c>
      <c r="AN998" s="58" t="str">
        <f aca="false">IF( AM998&lt;&gt;"",VLOOKUP(AM998,Selects!$M$4:$N$1000,2,0),"")</f>
        <v/>
      </c>
      <c r="AO998" s="58"/>
      <c r="AP998" s="59"/>
      <c r="AQ998" s="65"/>
      <c r="AR998" s="58"/>
      <c r="AS998" s="58"/>
      <c r="AT998" s="26"/>
      <c r="AU998" s="58"/>
      <c r="AV998" s="58"/>
      <c r="AW998" s="58"/>
      <c r="AX998" s="58"/>
      <c r="AY998" s="71"/>
      <c r="AZ998" s="58"/>
      <c r="BA998" s="58"/>
      <c r="BB998" s="72" t="str">
        <f aca="false">IF(BA998&lt;&gt;"",VLOOKUP(BA998,Selects!$B$4:$C$100,2,0),"")</f>
        <v/>
      </c>
      <c r="BC998" s="26"/>
      <c r="BD998" s="26"/>
      <c r="BE998" s="73"/>
      <c r="BF998" s="74"/>
      <c r="BG998" s="75" t="str">
        <f aca="false">IF(LEN(BF998)=11,"PF",IF(LEN(BF998)=14,"PJ",""))</f>
        <v/>
      </c>
      <c r="BH998" s="66"/>
      <c r="BI998" s="58" t="str">
        <f aca="false">IF(BH998&lt;&gt;"",VLOOKUP(BH998,Selects!$G:$H,2,0),"")</f>
        <v/>
      </c>
      <c r="BJ998" s="58"/>
      <c r="BK998" s="58"/>
      <c r="BL998" s="59"/>
      <c r="BM998" s="58"/>
      <c r="BN998" s="58"/>
      <c r="BO998" s="58" t="str">
        <f aca="false">IF(BN998&lt;&gt;"",VLOOKUP(BN998,Selects!$J$4:$K$1000,2,0),"")</f>
        <v/>
      </c>
      <c r="BP998" s="76"/>
      <c r="BQ998" s="59"/>
      <c r="BR998" s="77"/>
      <c r="BS998" s="59"/>
      <c r="BT998" s="77"/>
      <c r="BU998" s="58"/>
      <c r="BV998" s="58"/>
      <c r="BW998" s="58"/>
      <c r="BX998" s="58"/>
      <c r="BY998" s="58"/>
      <c r="BZ998" s="58"/>
      <c r="CA998" s="58"/>
      <c r="CB998" s="72" t="str">
        <f aca="false">IF(AC998&lt;&gt;"",VLOOKUP(AC998,Selects!$B:$E,4,0),"")</f>
        <v/>
      </c>
      <c r="CC998" s="58"/>
      <c r="CD998" s="58"/>
      <c r="CE998" s="58"/>
    </row>
    <row r="999" customFormat="false" ht="15.75" hidden="false" customHeight="true" outlineLevel="0" collapsed="false">
      <c r="A999" s="81"/>
      <c r="B999" s="58"/>
      <c r="C999" s="58"/>
      <c r="D999" s="59"/>
      <c r="E999" s="60" t="str">
        <f aca="false">IF(LEN(D999)=11,"PF",IF(LEN(D999)=14,"PJ",""))</f>
        <v/>
      </c>
      <c r="F999" s="59"/>
      <c r="G999" s="59"/>
      <c r="H999" s="61" t="str">
        <f aca="false">IF(G999&lt;&gt;"",VLOOKUP(G999,'Cnae  mcc  id'!$A:$M,9,0),"")</f>
        <v/>
      </c>
      <c r="I999" s="62"/>
      <c r="J999" s="63" t="str">
        <f aca="false">IF(I999&lt;&gt;"",VLOOKUP(I999,'Legal Nature'!$E$2:$G$84,3,0),"")</f>
        <v/>
      </c>
      <c r="K999" s="64"/>
      <c r="L999" s="65"/>
      <c r="M999" s="66"/>
      <c r="N999" s="66"/>
      <c r="O999" s="79"/>
      <c r="P999" s="26"/>
      <c r="Q999" s="58"/>
      <c r="R999" s="58"/>
      <c r="S999" s="80"/>
      <c r="T999" s="68"/>
      <c r="U999" s="58" t="str">
        <f aca="false">IF( T999&lt;&gt;"",VLOOKUP(T999,Selects!$M$4:$N$1000,2,0),"")</f>
        <v/>
      </c>
      <c r="V999" s="26"/>
      <c r="W999" s="58"/>
      <c r="X999" s="58"/>
      <c r="Y999" s="58"/>
      <c r="Z999" s="58"/>
      <c r="AA999" s="69"/>
      <c r="AB999" s="58"/>
      <c r="AC999" s="58"/>
      <c r="AD999" s="70" t="str">
        <f aca="false">IF(AC999&lt;&gt;"",VLOOKUP(AC999,Selects!$B$4:$C$100,2,0),"")</f>
        <v/>
      </c>
      <c r="AE999" s="26"/>
      <c r="AF999" s="58"/>
      <c r="AG999" s="59"/>
      <c r="AH999" s="65"/>
      <c r="AI999" s="66"/>
      <c r="AJ999" s="66"/>
      <c r="AK999" s="58"/>
      <c r="AL999" s="58"/>
      <c r="AM999" s="68" t="str">
        <f aca="false">IF(LEFT(AL999,1)="9","Celular",IF(AL999="","","Fixo"))</f>
        <v/>
      </c>
      <c r="AN999" s="58" t="str">
        <f aca="false">IF( AM999&lt;&gt;"",VLOOKUP(AM999,Selects!$M$4:$N$1000,2,0),"")</f>
        <v/>
      </c>
      <c r="AO999" s="58"/>
      <c r="AP999" s="59"/>
      <c r="AQ999" s="65"/>
      <c r="AR999" s="58"/>
      <c r="AS999" s="58"/>
      <c r="AT999" s="26"/>
      <c r="AU999" s="58"/>
      <c r="AV999" s="58"/>
      <c r="AW999" s="58"/>
      <c r="AX999" s="58"/>
      <c r="AY999" s="71"/>
      <c r="AZ999" s="58"/>
      <c r="BA999" s="58"/>
      <c r="BB999" s="72" t="str">
        <f aca="false">IF(BA999&lt;&gt;"",VLOOKUP(BA999,Selects!$B$4:$C$100,2,0),"")</f>
        <v/>
      </c>
      <c r="BC999" s="26"/>
      <c r="BD999" s="26"/>
      <c r="BE999" s="73"/>
      <c r="BF999" s="74"/>
      <c r="BG999" s="75" t="str">
        <f aca="false">IF(LEN(BF999)=11,"PF",IF(LEN(BF999)=14,"PJ",""))</f>
        <v/>
      </c>
      <c r="BH999" s="66"/>
      <c r="BI999" s="58" t="str">
        <f aca="false">IF(BH999&lt;&gt;"",VLOOKUP(BH999,Selects!$G:$H,2,0),"")</f>
        <v/>
      </c>
      <c r="BJ999" s="58"/>
      <c r="BK999" s="58"/>
      <c r="BL999" s="59"/>
      <c r="BM999" s="58"/>
      <c r="BN999" s="58"/>
      <c r="BO999" s="58" t="str">
        <f aca="false">IF(BN999&lt;&gt;"",VLOOKUP(BN999,Selects!$J$4:$K$1000,2,0),"")</f>
        <v/>
      </c>
      <c r="BP999" s="76"/>
      <c r="BQ999" s="59"/>
      <c r="BR999" s="77"/>
      <c r="BS999" s="59"/>
      <c r="BT999" s="77"/>
      <c r="BU999" s="58"/>
      <c r="BV999" s="58"/>
      <c r="BW999" s="58"/>
      <c r="BX999" s="58"/>
      <c r="BY999" s="58"/>
      <c r="BZ999" s="58"/>
      <c r="CA999" s="58"/>
      <c r="CB999" s="72" t="str">
        <f aca="false">IF(AC999&lt;&gt;"",VLOOKUP(AC999,Selects!$B:$E,4,0),"")</f>
        <v/>
      </c>
      <c r="CC999" s="58"/>
      <c r="CD999" s="58"/>
      <c r="CE999" s="58"/>
    </row>
    <row r="1000" customFormat="false" ht="15.75" hidden="false" customHeight="true" outlineLevel="0" collapsed="false">
      <c r="A1000" s="81"/>
      <c r="B1000" s="58"/>
      <c r="C1000" s="58"/>
      <c r="D1000" s="59"/>
      <c r="E1000" s="60" t="str">
        <f aca="false">IF(LEN(D1000)=11,"PF",IF(LEN(D1000)=14,"PJ",""))</f>
        <v/>
      </c>
      <c r="F1000" s="59"/>
      <c r="G1000" s="59"/>
      <c r="H1000" s="61" t="str">
        <f aca="false">IF(G1000&lt;&gt;"",VLOOKUP(G1000,'Cnae  mcc  id'!$A:$M,9,0),"")</f>
        <v/>
      </c>
      <c r="I1000" s="62"/>
      <c r="J1000" s="63" t="str">
        <f aca="false">IF(I1000&lt;&gt;"",VLOOKUP(I1000,'Legal Nature'!$E$2:$G$84,3,0),"")</f>
        <v/>
      </c>
      <c r="K1000" s="64"/>
      <c r="L1000" s="65"/>
      <c r="M1000" s="66"/>
      <c r="N1000" s="66"/>
      <c r="O1000" s="79"/>
      <c r="P1000" s="26"/>
      <c r="Q1000" s="58"/>
      <c r="R1000" s="58"/>
      <c r="S1000" s="80"/>
      <c r="T1000" s="68"/>
      <c r="U1000" s="58" t="str">
        <f aca="false">IF( T1000&lt;&gt;"",VLOOKUP(T1000,Selects!$M$4:$N$1000,2,0),"")</f>
        <v/>
      </c>
      <c r="V1000" s="26"/>
      <c r="W1000" s="58"/>
      <c r="X1000" s="58"/>
      <c r="Y1000" s="58"/>
      <c r="Z1000" s="58"/>
      <c r="AA1000" s="69"/>
      <c r="AB1000" s="58"/>
      <c r="AC1000" s="58"/>
      <c r="AD1000" s="70" t="str">
        <f aca="false">IF(AC1000&lt;&gt;"",VLOOKUP(AC1000,Selects!$B$4:$C$100,2,0),"")</f>
        <v/>
      </c>
      <c r="AE1000" s="26"/>
      <c r="AF1000" s="58"/>
      <c r="AG1000" s="59"/>
      <c r="AH1000" s="65"/>
      <c r="AI1000" s="66"/>
      <c r="AJ1000" s="66"/>
      <c r="AK1000" s="58"/>
      <c r="AL1000" s="58"/>
      <c r="AM1000" s="68" t="str">
        <f aca="false">IF(LEFT(AL1000,1)="9","Celular",IF(AL1000="","","Fixo"))</f>
        <v/>
      </c>
      <c r="AN1000" s="58" t="str">
        <f aca="false">IF( AM1000&lt;&gt;"",VLOOKUP(AM1000,Selects!$M$4:$N$1000,2,0),"")</f>
        <v/>
      </c>
      <c r="AO1000" s="58"/>
      <c r="AP1000" s="59"/>
      <c r="AQ1000" s="65"/>
      <c r="AR1000" s="58"/>
      <c r="AS1000" s="58"/>
      <c r="AT1000" s="26"/>
      <c r="AU1000" s="58"/>
      <c r="AV1000" s="58"/>
      <c r="AW1000" s="58"/>
      <c r="AX1000" s="58"/>
      <c r="AY1000" s="71"/>
      <c r="AZ1000" s="58"/>
      <c r="BA1000" s="58"/>
      <c r="BB1000" s="72" t="str">
        <f aca="false">IF(BA1000&lt;&gt;"",VLOOKUP(BA1000,Selects!$B$4:$C$100,2,0),"")</f>
        <v/>
      </c>
      <c r="BC1000" s="26"/>
      <c r="BD1000" s="26"/>
      <c r="BE1000" s="73"/>
      <c r="BF1000" s="74"/>
      <c r="BG1000" s="75" t="str">
        <f aca="false">IF(LEN(BF1000)=11,"PF",IF(LEN(BF1000)=14,"PJ",""))</f>
        <v/>
      </c>
      <c r="BH1000" s="66"/>
      <c r="BI1000" s="58" t="str">
        <f aca="false">IF(BH1000&lt;&gt;"",VLOOKUP(BH1000,Selects!$G:$H,2,0),"")</f>
        <v/>
      </c>
      <c r="BJ1000" s="58"/>
      <c r="BK1000" s="58"/>
      <c r="BL1000" s="59"/>
      <c r="BM1000" s="58"/>
      <c r="BN1000" s="58"/>
      <c r="BO1000" s="58" t="str">
        <f aca="false">IF(BN1000&lt;&gt;"",VLOOKUP(BN1000,Selects!$J$4:$K$1000,2,0),"")</f>
        <v/>
      </c>
      <c r="BP1000" s="76"/>
      <c r="BQ1000" s="59"/>
      <c r="BR1000" s="77"/>
      <c r="BS1000" s="59"/>
      <c r="BT1000" s="77"/>
      <c r="BU1000" s="58"/>
      <c r="BV1000" s="58"/>
      <c r="BW1000" s="58"/>
      <c r="BX1000" s="58"/>
      <c r="BY1000" s="58"/>
      <c r="BZ1000" s="58"/>
      <c r="CA1000" s="58"/>
      <c r="CB1000" s="72" t="str">
        <f aca="false">IF(AC1000&lt;&gt;"",VLOOKUP(AC1000,Selects!$B:$E,4,0),"")</f>
        <v/>
      </c>
      <c r="CC1000" s="58"/>
      <c r="CD1000" s="58"/>
      <c r="CE1000" s="58"/>
    </row>
    <row r="1001" customFormat="false" ht="15.75" hidden="true" customHeight="true" outlineLevel="0" collapsed="false">
      <c r="A1001" s="81"/>
      <c r="B1001" s="73"/>
      <c r="C1001" s="73"/>
      <c r="D1001" s="73"/>
      <c r="E1001" s="82"/>
      <c r="F1001" s="59"/>
      <c r="G1001" s="73"/>
      <c r="H1001" s="82"/>
      <c r="I1001" s="83"/>
      <c r="J1001" s="84"/>
      <c r="K1001" s="73"/>
      <c r="L1001" s="73"/>
      <c r="M1001" s="73"/>
      <c r="N1001" s="73"/>
      <c r="O1001" s="85"/>
      <c r="P1001" s="17"/>
      <c r="Q1001" s="73"/>
      <c r="R1001" s="73"/>
      <c r="S1001" s="73"/>
      <c r="T1001" s="82"/>
      <c r="U1001" s="73"/>
      <c r="V1001" s="81"/>
      <c r="W1001" s="73"/>
      <c r="X1001" s="73"/>
      <c r="Y1001" s="73"/>
      <c r="Z1001" s="73"/>
      <c r="AA1001" s="86"/>
      <c r="AB1001" s="73"/>
      <c r="AC1001" s="73"/>
      <c r="AD1001" s="82"/>
      <c r="AE1001" s="81"/>
      <c r="AF1001" s="73"/>
      <c r="AG1001" s="73"/>
      <c r="AH1001" s="73"/>
      <c r="AI1001" s="73"/>
      <c r="AJ1001" s="73"/>
      <c r="AK1001" s="73"/>
      <c r="AL1001" s="73"/>
      <c r="AM1001" s="82"/>
      <c r="AN1001" s="73"/>
      <c r="AO1001" s="73"/>
      <c r="AP1001" s="87"/>
      <c r="AQ1001" s="88"/>
      <c r="AR1001" s="73"/>
      <c r="AS1001" s="73"/>
      <c r="AT1001" s="81"/>
      <c r="AU1001" s="73"/>
      <c r="AV1001" s="73"/>
      <c r="AW1001" s="73"/>
      <c r="AX1001" s="73"/>
      <c r="AY1001" s="86"/>
      <c r="AZ1001" s="73"/>
      <c r="BA1001" s="73"/>
      <c r="BB1001" s="82"/>
      <c r="BC1001" s="81"/>
      <c r="BD1001" s="81"/>
      <c r="BE1001" s="73"/>
      <c r="BF1001" s="73"/>
      <c r="BG1001" s="82"/>
      <c r="BH1001" s="73"/>
      <c r="BI1001" s="73"/>
      <c r="BJ1001" s="73"/>
      <c r="BK1001" s="73"/>
      <c r="BL1001" s="73"/>
      <c r="BM1001" s="73"/>
      <c r="BN1001" s="73"/>
      <c r="BO1001" s="73"/>
      <c r="BP1001" s="81"/>
      <c r="BQ1001" s="73"/>
      <c r="BR1001" s="25"/>
      <c r="BS1001" s="25"/>
      <c r="BT1001" s="25"/>
      <c r="BU1001" s="73"/>
      <c r="BV1001" s="58"/>
      <c r="BW1001" s="73"/>
      <c r="BX1001" s="73"/>
      <c r="BY1001" s="73"/>
      <c r="BZ1001" s="73"/>
      <c r="CA1001" s="73"/>
      <c r="CB1001" s="82"/>
      <c r="CC1001" s="58"/>
      <c r="CD1001" s="73"/>
      <c r="CE1001" s="58"/>
    </row>
    <row r="1002" customFormat="false" ht="15.75" hidden="true" customHeight="true" outlineLevel="0" collapsed="false">
      <c r="F1002" s="59"/>
      <c r="K1002" s="89"/>
      <c r="O1002" s="90"/>
      <c r="AA1002" s="91"/>
      <c r="AP1002" s="92"/>
      <c r="AQ1002" s="93"/>
      <c r="AS1002" s="89"/>
      <c r="AY1002" s="91"/>
      <c r="BR1002" s="25"/>
      <c r="BS1002" s="25"/>
      <c r="BT1002" s="25"/>
      <c r="BV1002" s="58"/>
      <c r="CC1002" s="58"/>
      <c r="CD1002" s="89"/>
      <c r="CE1002" s="58"/>
    </row>
    <row r="1003" customFormat="false" ht="15.75" hidden="true" customHeight="true" outlineLevel="0" collapsed="false">
      <c r="F1003" s="59"/>
      <c r="K1003" s="89"/>
      <c r="O1003" s="90"/>
      <c r="AA1003" s="91"/>
      <c r="AP1003" s="92"/>
      <c r="AQ1003" s="93"/>
      <c r="AS1003" s="89"/>
      <c r="AY1003" s="91"/>
      <c r="BR1003" s="73"/>
      <c r="BS1003" s="73"/>
      <c r="BT1003" s="73"/>
      <c r="BV1003" s="58"/>
      <c r="CC1003" s="58"/>
      <c r="CD1003" s="89"/>
      <c r="CE1003" s="58"/>
    </row>
    <row r="1004" customFormat="false" ht="15.75" hidden="true" customHeight="true" outlineLevel="0" collapsed="false">
      <c r="F1004" s="59"/>
      <c r="K1004" s="89"/>
      <c r="O1004" s="90"/>
      <c r="AA1004" s="91"/>
      <c r="AP1004" s="92"/>
      <c r="AQ1004" s="93"/>
      <c r="AS1004" s="89"/>
      <c r="AY1004" s="91"/>
      <c r="BV1004" s="58"/>
      <c r="CC1004" s="58"/>
      <c r="CD1004" s="89"/>
      <c r="CE1004" s="58"/>
    </row>
    <row r="1005" customFormat="false" ht="15.75" hidden="true" customHeight="true" outlineLevel="0" collapsed="false">
      <c r="F1005" s="59"/>
      <c r="K1005" s="89"/>
      <c r="O1005" s="90"/>
      <c r="AA1005" s="91"/>
      <c r="AP1005" s="92"/>
      <c r="AQ1005" s="93"/>
      <c r="AS1005" s="89"/>
      <c r="AY1005" s="91"/>
      <c r="BV1005" s="58"/>
      <c r="CC1005" s="58"/>
      <c r="CD1005" s="89"/>
      <c r="CE1005" s="58"/>
    </row>
    <row r="1006" customFormat="false" ht="15.75" hidden="true" customHeight="true" outlineLevel="0" collapsed="false">
      <c r="F1006" s="59"/>
      <c r="K1006" s="89"/>
      <c r="O1006" s="90"/>
      <c r="AA1006" s="91"/>
      <c r="AP1006" s="92"/>
      <c r="AQ1006" s="93"/>
      <c r="AS1006" s="89"/>
      <c r="AY1006" s="91"/>
      <c r="BV1006" s="58"/>
      <c r="CC1006" s="58"/>
      <c r="CD1006" s="89"/>
      <c r="CE1006" s="58"/>
    </row>
    <row r="1007" customFormat="false" ht="15.75" hidden="true" customHeight="true" outlineLevel="0" collapsed="false">
      <c r="F1007" s="59"/>
      <c r="K1007" s="89"/>
      <c r="O1007" s="90"/>
      <c r="AA1007" s="91"/>
      <c r="AP1007" s="92"/>
      <c r="AQ1007" s="93"/>
      <c r="AS1007" s="89"/>
      <c r="AY1007" s="91"/>
      <c r="BV1007" s="58"/>
      <c r="CC1007" s="58"/>
      <c r="CD1007" s="89"/>
      <c r="CE1007" s="58"/>
    </row>
    <row r="1008" customFormat="false" ht="15.75" hidden="true" customHeight="true" outlineLevel="0" collapsed="false">
      <c r="F1008" s="59"/>
      <c r="K1008" s="89"/>
      <c r="O1008" s="90"/>
      <c r="AA1008" s="91"/>
      <c r="AP1008" s="92"/>
      <c r="AQ1008" s="93"/>
      <c r="AS1008" s="89"/>
      <c r="AY1008" s="91"/>
      <c r="BV1008" s="58"/>
      <c r="CC1008" s="58"/>
      <c r="CD1008" s="89"/>
      <c r="CE1008" s="58"/>
    </row>
    <row r="1009" customFormat="false" ht="15.75" hidden="true" customHeight="true" outlineLevel="0" collapsed="false">
      <c r="F1009" s="59"/>
      <c r="K1009" s="89"/>
      <c r="O1009" s="90"/>
      <c r="AA1009" s="91"/>
      <c r="AP1009" s="92"/>
      <c r="AQ1009" s="93"/>
      <c r="AS1009" s="89"/>
      <c r="AY1009" s="91"/>
      <c r="BV1009" s="58"/>
      <c r="CC1009" s="58"/>
      <c r="CD1009" s="89"/>
      <c r="CE1009" s="58"/>
    </row>
    <row r="1010" customFormat="false" ht="15.75" hidden="true" customHeight="true" outlineLevel="0" collapsed="false">
      <c r="F1010" s="59"/>
      <c r="K1010" s="89"/>
      <c r="O1010" s="90"/>
      <c r="AA1010" s="91"/>
      <c r="AP1010" s="92"/>
      <c r="AQ1010" s="93"/>
      <c r="AS1010" s="89"/>
      <c r="AY1010" s="91"/>
      <c r="BV1010" s="58"/>
      <c r="CC1010" s="58"/>
      <c r="CD1010" s="89"/>
      <c r="CE1010" s="58"/>
    </row>
    <row r="1011" customFormat="false" ht="15.75" hidden="true" customHeight="true" outlineLevel="0" collapsed="false">
      <c r="F1011" s="59"/>
      <c r="K1011" s="89"/>
      <c r="O1011" s="90"/>
      <c r="AA1011" s="91"/>
      <c r="AP1011" s="92"/>
      <c r="AQ1011" s="93"/>
      <c r="AS1011" s="89"/>
      <c r="AY1011" s="91"/>
      <c r="BV1011" s="58"/>
      <c r="CC1011" s="58"/>
      <c r="CD1011" s="89"/>
      <c r="CE1011" s="58"/>
    </row>
    <row r="1012" customFormat="false" ht="15.75" hidden="true" customHeight="true" outlineLevel="0" collapsed="false">
      <c r="F1012" s="59"/>
      <c r="K1012" s="89"/>
      <c r="O1012" s="90"/>
      <c r="AA1012" s="91"/>
      <c r="AP1012" s="92"/>
      <c r="AQ1012" s="93"/>
      <c r="AS1012" s="89"/>
      <c r="AY1012" s="91"/>
      <c r="BV1012" s="58"/>
      <c r="CC1012" s="58"/>
      <c r="CD1012" s="89"/>
      <c r="CE1012" s="58"/>
    </row>
    <row r="1013" customFormat="false" ht="15.75" hidden="true" customHeight="true" outlineLevel="0" collapsed="false">
      <c r="F1013" s="59"/>
      <c r="K1013" s="89"/>
      <c r="O1013" s="90"/>
      <c r="AA1013" s="91"/>
      <c r="AP1013" s="92"/>
      <c r="AQ1013" s="93"/>
      <c r="AS1013" s="89"/>
      <c r="AY1013" s="91"/>
      <c r="BV1013" s="58"/>
      <c r="CC1013" s="58"/>
      <c r="CD1013" s="89"/>
      <c r="CE1013" s="58"/>
    </row>
    <row r="1014" customFormat="false" ht="15.75" hidden="true" customHeight="true" outlineLevel="0" collapsed="false">
      <c r="F1014" s="59"/>
      <c r="K1014" s="89"/>
      <c r="O1014" s="90"/>
      <c r="AA1014" s="91"/>
      <c r="AP1014" s="92"/>
      <c r="AQ1014" s="93"/>
      <c r="AS1014" s="89"/>
      <c r="AY1014" s="91"/>
      <c r="BV1014" s="58"/>
      <c r="CC1014" s="58"/>
      <c r="CD1014" s="89"/>
      <c r="CE1014" s="58"/>
    </row>
    <row r="1015" customFormat="false" ht="15.75" hidden="true" customHeight="true" outlineLevel="0" collapsed="false">
      <c r="F1015" s="59"/>
      <c r="K1015" s="89"/>
      <c r="O1015" s="90"/>
      <c r="AA1015" s="91"/>
      <c r="AP1015" s="92"/>
      <c r="AQ1015" s="93"/>
      <c r="AS1015" s="89"/>
      <c r="AY1015" s="91"/>
      <c r="BV1015" s="58"/>
      <c r="CC1015" s="58"/>
      <c r="CD1015" s="89"/>
      <c r="CE1015" s="58"/>
    </row>
    <row r="1016" customFormat="false" ht="15.75" hidden="true" customHeight="true" outlineLevel="0" collapsed="false">
      <c r="F1016" s="59"/>
      <c r="K1016" s="89"/>
      <c r="O1016" s="90"/>
      <c r="AA1016" s="91"/>
      <c r="AP1016" s="92"/>
      <c r="AQ1016" s="93"/>
      <c r="AS1016" s="89"/>
      <c r="AY1016" s="91"/>
      <c r="BV1016" s="58"/>
      <c r="CC1016" s="58"/>
      <c r="CD1016" s="89"/>
      <c r="CE1016" s="58"/>
    </row>
    <row r="1017" customFormat="false" ht="15.75" hidden="true" customHeight="true" outlineLevel="0" collapsed="false">
      <c r="F1017" s="59"/>
      <c r="K1017" s="89"/>
      <c r="O1017" s="90"/>
      <c r="AA1017" s="91"/>
      <c r="AP1017" s="92"/>
      <c r="AQ1017" s="93"/>
      <c r="AS1017" s="89"/>
      <c r="AY1017" s="91"/>
      <c r="BV1017" s="58"/>
      <c r="CC1017" s="58"/>
      <c r="CD1017" s="89"/>
      <c r="CE1017" s="58"/>
    </row>
    <row r="1018" customFormat="false" ht="15.75" hidden="true" customHeight="true" outlineLevel="0" collapsed="false">
      <c r="F1018" s="59"/>
      <c r="K1018" s="89"/>
      <c r="O1018" s="90"/>
      <c r="AA1018" s="91"/>
      <c r="AP1018" s="92"/>
      <c r="AQ1018" s="93"/>
      <c r="AS1018" s="89"/>
      <c r="AY1018" s="91"/>
      <c r="BV1018" s="58"/>
      <c r="CC1018" s="58"/>
      <c r="CD1018" s="89"/>
      <c r="CE1018" s="58"/>
    </row>
    <row r="1019" customFormat="false" ht="15.75" hidden="true" customHeight="true" outlineLevel="0" collapsed="false">
      <c r="F1019" s="59"/>
      <c r="K1019" s="89"/>
      <c r="O1019" s="90"/>
      <c r="AA1019" s="91"/>
      <c r="AP1019" s="92"/>
      <c r="AQ1019" s="93"/>
      <c r="AS1019" s="89"/>
      <c r="AY1019" s="91"/>
      <c r="BV1019" s="58"/>
      <c r="CC1019" s="58"/>
      <c r="CD1019" s="89"/>
      <c r="CE1019" s="58"/>
    </row>
    <row r="1020" customFormat="false" ht="15.75" hidden="true" customHeight="true" outlineLevel="0" collapsed="false">
      <c r="F1020" s="59"/>
      <c r="K1020" s="89"/>
      <c r="O1020" s="90"/>
      <c r="AA1020" s="91"/>
      <c r="AP1020" s="92"/>
      <c r="AQ1020" s="93"/>
      <c r="AS1020" s="89"/>
      <c r="AY1020" s="91"/>
      <c r="BV1020" s="58"/>
      <c r="CC1020" s="58"/>
      <c r="CD1020" s="89"/>
      <c r="CE1020" s="58"/>
    </row>
    <row r="1021" customFormat="false" ht="15.75" hidden="true" customHeight="true" outlineLevel="0" collapsed="false">
      <c r="F1021" s="59"/>
      <c r="K1021" s="89"/>
      <c r="O1021" s="90"/>
      <c r="AA1021" s="91"/>
      <c r="AP1021" s="92"/>
      <c r="AQ1021" s="93"/>
      <c r="AS1021" s="89"/>
      <c r="AY1021" s="91"/>
      <c r="BV1021" s="58"/>
      <c r="CC1021" s="58"/>
      <c r="CD1021" s="89"/>
      <c r="CE1021" s="58"/>
    </row>
    <row r="1022" customFormat="false" ht="15.75" hidden="true" customHeight="true" outlineLevel="0" collapsed="false">
      <c r="F1022" s="59"/>
      <c r="K1022" s="89"/>
      <c r="O1022" s="90"/>
      <c r="AA1022" s="91"/>
      <c r="AP1022" s="92"/>
      <c r="AQ1022" s="93"/>
      <c r="AS1022" s="89"/>
      <c r="AY1022" s="91"/>
      <c r="BV1022" s="58"/>
      <c r="CC1022" s="58"/>
      <c r="CD1022" s="89"/>
      <c r="CE1022" s="58"/>
    </row>
    <row r="1023" customFormat="false" ht="15.75" hidden="true" customHeight="true" outlineLevel="0" collapsed="false">
      <c r="F1023" s="59"/>
      <c r="K1023" s="89"/>
      <c r="O1023" s="90"/>
      <c r="AA1023" s="91"/>
      <c r="AP1023" s="92"/>
      <c r="AQ1023" s="93"/>
      <c r="AS1023" s="89"/>
      <c r="AY1023" s="91"/>
      <c r="BV1023" s="58"/>
      <c r="CC1023" s="58"/>
      <c r="CD1023" s="89"/>
      <c r="CE1023" s="58"/>
    </row>
    <row r="1024" customFormat="false" ht="15.75" hidden="true" customHeight="true" outlineLevel="0" collapsed="false">
      <c r="F1024" s="59"/>
      <c r="K1024" s="89"/>
      <c r="O1024" s="90"/>
      <c r="AA1024" s="91"/>
      <c r="AP1024" s="92"/>
      <c r="AQ1024" s="93"/>
      <c r="AS1024" s="89"/>
      <c r="AY1024" s="91"/>
      <c r="BV1024" s="58"/>
      <c r="CC1024" s="58"/>
      <c r="CD1024" s="89"/>
      <c r="CE1024" s="58"/>
    </row>
    <row r="1025" customFormat="false" ht="15.75" hidden="true" customHeight="true" outlineLevel="0" collapsed="false">
      <c r="F1025" s="59"/>
      <c r="K1025" s="89"/>
      <c r="O1025" s="90"/>
      <c r="AA1025" s="91"/>
      <c r="AP1025" s="92"/>
      <c r="AQ1025" s="93"/>
      <c r="AS1025" s="89"/>
      <c r="AY1025" s="91"/>
      <c r="BV1025" s="58"/>
      <c r="CC1025" s="58"/>
      <c r="CD1025" s="89"/>
      <c r="CE1025" s="58"/>
    </row>
    <row r="1026" customFormat="false" ht="15.75" hidden="true" customHeight="true" outlineLevel="0" collapsed="false">
      <c r="F1026" s="59"/>
      <c r="K1026" s="89"/>
      <c r="O1026" s="90"/>
      <c r="AA1026" s="91"/>
      <c r="AP1026" s="92"/>
      <c r="AQ1026" s="93"/>
      <c r="AS1026" s="89"/>
      <c r="AY1026" s="91"/>
      <c r="BV1026" s="58"/>
      <c r="CC1026" s="58"/>
      <c r="CD1026" s="89"/>
      <c r="CE1026" s="58"/>
    </row>
    <row r="1027" customFormat="false" ht="15.75" hidden="true" customHeight="true" outlineLevel="0" collapsed="false">
      <c r="F1027" s="59"/>
      <c r="K1027" s="89"/>
      <c r="O1027" s="90"/>
      <c r="AA1027" s="91"/>
      <c r="AP1027" s="92"/>
      <c r="AQ1027" s="93"/>
      <c r="AS1027" s="89"/>
      <c r="AY1027" s="91"/>
      <c r="BV1027" s="58"/>
      <c r="CC1027" s="58"/>
      <c r="CD1027" s="89"/>
      <c r="CE1027" s="58"/>
    </row>
    <row r="1028" customFormat="false" ht="15.75" hidden="true" customHeight="true" outlineLevel="0" collapsed="false">
      <c r="F1028" s="59"/>
      <c r="K1028" s="89"/>
      <c r="O1028" s="90"/>
      <c r="AA1028" s="91"/>
      <c r="AP1028" s="92"/>
      <c r="AQ1028" s="93"/>
      <c r="AS1028" s="89"/>
      <c r="AY1028" s="91"/>
      <c r="BV1028" s="58"/>
      <c r="CC1028" s="58"/>
      <c r="CD1028" s="89"/>
      <c r="CE1028" s="58"/>
    </row>
    <row r="1029" customFormat="false" ht="15.75" hidden="true" customHeight="true" outlineLevel="0" collapsed="false">
      <c r="F1029" s="59"/>
      <c r="K1029" s="89"/>
      <c r="O1029" s="90"/>
      <c r="AA1029" s="91"/>
      <c r="AP1029" s="92"/>
      <c r="AQ1029" s="93"/>
      <c r="AS1029" s="89"/>
      <c r="AY1029" s="91"/>
      <c r="BV1029" s="58"/>
      <c r="CC1029" s="58"/>
      <c r="CD1029" s="89"/>
      <c r="CE1029" s="58"/>
    </row>
    <row r="1030" customFormat="false" ht="15.75" hidden="true" customHeight="true" outlineLevel="0" collapsed="false">
      <c r="F1030" s="59"/>
      <c r="K1030" s="89"/>
      <c r="O1030" s="90"/>
      <c r="AA1030" s="91"/>
      <c r="AP1030" s="92"/>
      <c r="AQ1030" s="93"/>
      <c r="AS1030" s="89"/>
      <c r="AY1030" s="91"/>
      <c r="BV1030" s="58"/>
      <c r="CC1030" s="58"/>
      <c r="CD1030" s="89"/>
      <c r="CE1030" s="58"/>
    </row>
    <row r="1031" customFormat="false" ht="15.75" hidden="true" customHeight="true" outlineLevel="0" collapsed="false">
      <c r="F1031" s="59"/>
      <c r="K1031" s="89"/>
      <c r="O1031" s="90"/>
      <c r="AA1031" s="91"/>
      <c r="AP1031" s="92"/>
      <c r="AQ1031" s="93"/>
      <c r="AS1031" s="89"/>
      <c r="AY1031" s="91"/>
      <c r="BV1031" s="58"/>
      <c r="CC1031" s="58"/>
      <c r="CD1031" s="89"/>
      <c r="CE1031" s="58"/>
    </row>
    <row r="1032" customFormat="false" ht="15.75" hidden="true" customHeight="true" outlineLevel="0" collapsed="false">
      <c r="F1032" s="59"/>
      <c r="K1032" s="89"/>
      <c r="O1032" s="90"/>
      <c r="AA1032" s="91"/>
      <c r="AP1032" s="92"/>
      <c r="AQ1032" s="93"/>
      <c r="AS1032" s="89"/>
      <c r="AY1032" s="91"/>
      <c r="BV1032" s="58"/>
      <c r="CC1032" s="58"/>
      <c r="CD1032" s="89"/>
      <c r="CE1032" s="58"/>
    </row>
    <row r="1033" customFormat="false" ht="15.75" hidden="true" customHeight="true" outlineLevel="0" collapsed="false">
      <c r="F1033" s="59"/>
      <c r="K1033" s="89"/>
      <c r="O1033" s="90"/>
      <c r="AA1033" s="91"/>
      <c r="AP1033" s="92"/>
      <c r="AQ1033" s="93"/>
      <c r="AS1033" s="89"/>
      <c r="AY1033" s="91"/>
      <c r="BV1033" s="58"/>
      <c r="CC1033" s="58"/>
      <c r="CD1033" s="89"/>
      <c r="CE1033" s="58"/>
    </row>
    <row r="1034" customFormat="false" ht="15.75" hidden="true" customHeight="true" outlineLevel="0" collapsed="false">
      <c r="F1034" s="59"/>
      <c r="K1034" s="89"/>
      <c r="O1034" s="90"/>
      <c r="AA1034" s="91"/>
      <c r="AP1034" s="92"/>
      <c r="AQ1034" s="93"/>
      <c r="AS1034" s="89"/>
      <c r="AY1034" s="91"/>
      <c r="BV1034" s="58"/>
      <c r="CC1034" s="58"/>
      <c r="CD1034" s="89"/>
      <c r="CE1034" s="58"/>
    </row>
    <row r="1035" customFormat="false" ht="15.75" hidden="true" customHeight="true" outlineLevel="0" collapsed="false">
      <c r="F1035" s="59"/>
      <c r="K1035" s="89"/>
      <c r="O1035" s="90"/>
      <c r="AA1035" s="91"/>
      <c r="AP1035" s="92"/>
      <c r="AQ1035" s="93"/>
      <c r="AS1035" s="89"/>
      <c r="AY1035" s="91"/>
      <c r="BV1035" s="58"/>
      <c r="CC1035" s="58"/>
      <c r="CD1035" s="89"/>
      <c r="CE1035" s="58"/>
    </row>
    <row r="1036" customFormat="false" ht="15.75" hidden="true" customHeight="true" outlineLevel="0" collapsed="false">
      <c r="F1036" s="59"/>
      <c r="K1036" s="89"/>
      <c r="O1036" s="90"/>
      <c r="AA1036" s="91"/>
      <c r="AP1036" s="92"/>
      <c r="AQ1036" s="93"/>
      <c r="AS1036" s="89"/>
      <c r="AY1036" s="91"/>
      <c r="BV1036" s="58"/>
      <c r="CC1036" s="58"/>
      <c r="CD1036" s="89"/>
      <c r="CE1036" s="58"/>
    </row>
    <row r="1037" customFormat="false" ht="15.75" hidden="true" customHeight="true" outlineLevel="0" collapsed="false">
      <c r="F1037" s="59"/>
      <c r="K1037" s="89"/>
      <c r="O1037" s="90"/>
      <c r="AA1037" s="91"/>
      <c r="AP1037" s="92"/>
      <c r="AQ1037" s="93"/>
      <c r="AS1037" s="89"/>
      <c r="AY1037" s="91"/>
      <c r="BV1037" s="58"/>
      <c r="CC1037" s="58"/>
      <c r="CD1037" s="89"/>
      <c r="CE1037" s="58"/>
    </row>
    <row r="1038" customFormat="false" ht="15.75" hidden="true" customHeight="true" outlineLevel="0" collapsed="false">
      <c r="F1038" s="59"/>
      <c r="K1038" s="89"/>
      <c r="O1038" s="90"/>
      <c r="AA1038" s="91"/>
      <c r="AP1038" s="92"/>
      <c r="AQ1038" s="93"/>
      <c r="AS1038" s="89"/>
      <c r="AY1038" s="91"/>
      <c r="BV1038" s="58"/>
      <c r="CC1038" s="58"/>
      <c r="CD1038" s="89"/>
      <c r="CE1038" s="58"/>
    </row>
    <row r="1039" customFormat="false" ht="15.75" hidden="true" customHeight="true" outlineLevel="0" collapsed="false">
      <c r="F1039" s="59"/>
      <c r="K1039" s="89"/>
      <c r="O1039" s="90"/>
      <c r="AA1039" s="91"/>
      <c r="AP1039" s="92"/>
      <c r="AQ1039" s="93"/>
      <c r="AS1039" s="89"/>
      <c r="AY1039" s="91"/>
      <c r="BV1039" s="58"/>
      <c r="CC1039" s="58"/>
      <c r="CD1039" s="89"/>
      <c r="CE1039" s="58"/>
    </row>
    <row r="1040" customFormat="false" ht="15.75" hidden="true" customHeight="true" outlineLevel="0" collapsed="false">
      <c r="F1040" s="59"/>
      <c r="K1040" s="89"/>
      <c r="O1040" s="90"/>
      <c r="AA1040" s="91"/>
      <c r="AP1040" s="92"/>
      <c r="AQ1040" s="93"/>
      <c r="AS1040" s="89"/>
      <c r="AY1040" s="91"/>
      <c r="BV1040" s="58"/>
      <c r="CC1040" s="58"/>
      <c r="CD1040" s="89"/>
      <c r="CE1040" s="58"/>
    </row>
    <row r="1041" customFormat="false" ht="15.75" hidden="true" customHeight="true" outlineLevel="0" collapsed="false">
      <c r="F1041" s="59"/>
      <c r="K1041" s="89"/>
      <c r="O1041" s="90"/>
      <c r="AA1041" s="91"/>
      <c r="AP1041" s="92"/>
      <c r="AQ1041" s="93"/>
      <c r="AS1041" s="89"/>
      <c r="AY1041" s="91"/>
      <c r="BV1041" s="58"/>
      <c r="CC1041" s="58"/>
      <c r="CD1041" s="89"/>
      <c r="CE1041" s="58"/>
    </row>
    <row r="1042" customFormat="false" ht="15.75" hidden="true" customHeight="true" outlineLevel="0" collapsed="false">
      <c r="F1042" s="59"/>
      <c r="K1042" s="89"/>
      <c r="O1042" s="90"/>
      <c r="AA1042" s="91"/>
      <c r="AP1042" s="92"/>
      <c r="AQ1042" s="93"/>
      <c r="AS1042" s="89"/>
      <c r="AY1042" s="91"/>
      <c r="BV1042" s="58"/>
      <c r="CC1042" s="58"/>
      <c r="CD1042" s="89"/>
      <c r="CE1042" s="58"/>
    </row>
    <row r="1043" customFormat="false" ht="15.75" hidden="true" customHeight="true" outlineLevel="0" collapsed="false">
      <c r="F1043" s="59"/>
      <c r="K1043" s="89"/>
      <c r="O1043" s="90"/>
      <c r="AA1043" s="91"/>
      <c r="AP1043" s="92"/>
      <c r="AQ1043" s="93"/>
      <c r="AS1043" s="89"/>
      <c r="AY1043" s="91"/>
      <c r="BV1043" s="58"/>
      <c r="CC1043" s="58"/>
      <c r="CD1043" s="89"/>
      <c r="CE1043" s="58"/>
    </row>
    <row r="1044" customFormat="false" ht="15.75" hidden="true" customHeight="true" outlineLevel="0" collapsed="false">
      <c r="F1044" s="59"/>
      <c r="K1044" s="89"/>
      <c r="O1044" s="90"/>
      <c r="AA1044" s="91"/>
      <c r="AP1044" s="92"/>
      <c r="AQ1044" s="93"/>
      <c r="AS1044" s="89"/>
      <c r="AY1044" s="91"/>
      <c r="BV1044" s="58"/>
      <c r="CC1044" s="58"/>
      <c r="CD1044" s="89"/>
      <c r="CE1044" s="58"/>
    </row>
    <row r="1045" customFormat="false" ht="15.75" hidden="true" customHeight="true" outlineLevel="0" collapsed="false">
      <c r="F1045" s="59"/>
      <c r="K1045" s="89"/>
      <c r="O1045" s="90"/>
      <c r="AA1045" s="91"/>
      <c r="AP1045" s="92"/>
      <c r="AQ1045" s="93"/>
      <c r="AS1045" s="89"/>
      <c r="AY1045" s="91"/>
      <c r="BV1045" s="58"/>
      <c r="CC1045" s="58"/>
      <c r="CD1045" s="89"/>
      <c r="CE1045" s="58"/>
    </row>
    <row r="1046" customFormat="false" ht="15.75" hidden="true" customHeight="true" outlineLevel="0" collapsed="false">
      <c r="F1046" s="59"/>
      <c r="K1046" s="89"/>
      <c r="O1046" s="90"/>
      <c r="AA1046" s="91"/>
      <c r="AP1046" s="92"/>
      <c r="AQ1046" s="93"/>
      <c r="AS1046" s="89"/>
      <c r="AY1046" s="91"/>
      <c r="BV1046" s="58"/>
      <c r="CC1046" s="58"/>
      <c r="CD1046" s="89"/>
      <c r="CE1046" s="58"/>
    </row>
    <row r="1047" customFormat="false" ht="15.75" hidden="true" customHeight="true" outlineLevel="0" collapsed="false">
      <c r="F1047" s="59"/>
      <c r="K1047" s="89"/>
      <c r="O1047" s="90"/>
      <c r="AA1047" s="91"/>
      <c r="AP1047" s="92"/>
      <c r="AQ1047" s="93"/>
      <c r="AS1047" s="89"/>
      <c r="AY1047" s="91"/>
      <c r="BV1047" s="58"/>
      <c r="CC1047" s="58"/>
      <c r="CD1047" s="89"/>
      <c r="CE1047" s="58"/>
    </row>
    <row r="1048" customFormat="false" ht="15.75" hidden="true" customHeight="true" outlineLevel="0" collapsed="false">
      <c r="F1048" s="59"/>
      <c r="K1048" s="89"/>
      <c r="O1048" s="90"/>
      <c r="AA1048" s="91"/>
      <c r="AP1048" s="92"/>
      <c r="AQ1048" s="93"/>
      <c r="AS1048" s="89"/>
      <c r="AY1048" s="91"/>
      <c r="BV1048" s="58"/>
      <c r="CC1048" s="58"/>
      <c r="CD1048" s="89"/>
      <c r="CE1048" s="58"/>
    </row>
    <row r="1049" customFormat="false" ht="15.75" hidden="true" customHeight="true" outlineLevel="0" collapsed="false">
      <c r="F1049" s="59"/>
      <c r="K1049" s="89"/>
      <c r="O1049" s="90"/>
      <c r="AA1049" s="91"/>
      <c r="AP1049" s="92"/>
      <c r="AQ1049" s="93"/>
      <c r="AS1049" s="89"/>
      <c r="AY1049" s="91"/>
      <c r="BV1049" s="58"/>
      <c r="CC1049" s="58"/>
      <c r="CD1049" s="89"/>
      <c r="CE1049" s="58"/>
    </row>
    <row r="1050" customFormat="false" ht="15.75" hidden="true" customHeight="true" outlineLevel="0" collapsed="false">
      <c r="F1050" s="59"/>
      <c r="K1050" s="89"/>
      <c r="O1050" s="90"/>
      <c r="AA1050" s="91"/>
      <c r="AP1050" s="92"/>
      <c r="AQ1050" s="93"/>
      <c r="AS1050" s="89"/>
      <c r="AY1050" s="91"/>
      <c r="BV1050" s="58"/>
      <c r="CC1050" s="58"/>
      <c r="CD1050" s="89"/>
      <c r="CE1050" s="58"/>
    </row>
    <row r="1051" customFormat="false" ht="15.75" hidden="true" customHeight="true" outlineLevel="0" collapsed="false">
      <c r="F1051" s="59"/>
      <c r="K1051" s="89"/>
      <c r="O1051" s="90"/>
      <c r="AA1051" s="91"/>
      <c r="AP1051" s="92"/>
      <c r="AQ1051" s="93"/>
      <c r="AS1051" s="89"/>
      <c r="AY1051" s="91"/>
      <c r="BV1051" s="58"/>
      <c r="CC1051" s="58"/>
      <c r="CD1051" s="89"/>
      <c r="CE1051" s="58"/>
    </row>
    <row r="1052" customFormat="false" ht="15.75" hidden="true" customHeight="true" outlineLevel="0" collapsed="false">
      <c r="F1052" s="59"/>
      <c r="K1052" s="89"/>
      <c r="O1052" s="90"/>
      <c r="AA1052" s="91"/>
      <c r="AP1052" s="92"/>
      <c r="AQ1052" s="93"/>
      <c r="AS1052" s="89"/>
      <c r="AY1052" s="91"/>
      <c r="BV1052" s="58"/>
      <c r="CC1052" s="58"/>
      <c r="CD1052" s="89"/>
      <c r="CE1052" s="58"/>
    </row>
    <row r="1053" customFormat="false" ht="15.75" hidden="true" customHeight="true" outlineLevel="0" collapsed="false">
      <c r="F1053" s="59"/>
      <c r="K1053" s="89"/>
      <c r="O1053" s="90"/>
      <c r="AA1053" s="91"/>
      <c r="AP1053" s="92"/>
      <c r="AQ1053" s="93"/>
      <c r="AS1053" s="89"/>
      <c r="AY1053" s="91"/>
      <c r="BV1053" s="58"/>
      <c r="CC1053" s="58"/>
      <c r="CD1053" s="89"/>
      <c r="CE1053" s="58"/>
    </row>
    <row r="1054" customFormat="false" ht="15.75" hidden="true" customHeight="true" outlineLevel="0" collapsed="false">
      <c r="F1054" s="59"/>
      <c r="K1054" s="89"/>
      <c r="O1054" s="90"/>
      <c r="AA1054" s="91"/>
      <c r="AP1054" s="92"/>
      <c r="AQ1054" s="93"/>
      <c r="AS1054" s="89"/>
      <c r="AY1054" s="91"/>
      <c r="BV1054" s="58"/>
      <c r="CC1054" s="58"/>
      <c r="CD1054" s="89"/>
      <c r="CE1054" s="58"/>
    </row>
    <row r="1055" customFormat="false" ht="15.75" hidden="true" customHeight="true" outlineLevel="0" collapsed="false">
      <c r="F1055" s="59"/>
      <c r="K1055" s="89"/>
      <c r="O1055" s="90"/>
      <c r="AA1055" s="91"/>
      <c r="AP1055" s="92"/>
      <c r="AQ1055" s="93"/>
      <c r="AS1055" s="89"/>
      <c r="AY1055" s="91"/>
      <c r="BV1055" s="58"/>
      <c r="CC1055" s="58"/>
      <c r="CD1055" s="89"/>
      <c r="CE1055" s="58"/>
    </row>
    <row r="1056" customFormat="false" ht="15.75" hidden="true" customHeight="true" outlineLevel="0" collapsed="false">
      <c r="F1056" s="59"/>
      <c r="K1056" s="89"/>
      <c r="O1056" s="90"/>
      <c r="AA1056" s="91"/>
      <c r="AP1056" s="92"/>
      <c r="AQ1056" s="93"/>
      <c r="AS1056" s="89"/>
      <c r="AY1056" s="91"/>
      <c r="BV1056" s="58"/>
      <c r="CC1056" s="58"/>
      <c r="CD1056" s="89"/>
      <c r="CE1056" s="58"/>
    </row>
    <row r="1057" customFormat="false" ht="15.75" hidden="true" customHeight="true" outlineLevel="0" collapsed="false">
      <c r="F1057" s="59"/>
      <c r="K1057" s="89"/>
      <c r="O1057" s="90"/>
      <c r="AA1057" s="91"/>
      <c r="AP1057" s="92"/>
      <c r="AQ1057" s="93"/>
      <c r="AS1057" s="89"/>
      <c r="AY1057" s="91"/>
      <c r="BV1057" s="58"/>
      <c r="CC1057" s="58"/>
      <c r="CD1057" s="89"/>
      <c r="CE1057" s="58"/>
    </row>
    <row r="1058" customFormat="false" ht="15.75" hidden="true" customHeight="true" outlineLevel="0" collapsed="false">
      <c r="F1058" s="59"/>
      <c r="K1058" s="89"/>
      <c r="O1058" s="90"/>
      <c r="AA1058" s="91"/>
      <c r="AP1058" s="92"/>
      <c r="AQ1058" s="93"/>
      <c r="AS1058" s="89"/>
      <c r="AY1058" s="91"/>
      <c r="BV1058" s="58"/>
      <c r="CC1058" s="58"/>
      <c r="CD1058" s="89"/>
      <c r="CE1058" s="58"/>
    </row>
    <row r="1059" customFormat="false" ht="15.75" hidden="true" customHeight="true" outlineLevel="0" collapsed="false">
      <c r="F1059" s="59"/>
      <c r="K1059" s="89"/>
      <c r="O1059" s="90"/>
      <c r="AA1059" s="91"/>
      <c r="AP1059" s="92"/>
      <c r="AQ1059" s="93"/>
      <c r="AS1059" s="89"/>
      <c r="AY1059" s="91"/>
      <c r="BV1059" s="58"/>
      <c r="CC1059" s="58"/>
      <c r="CD1059" s="89"/>
      <c r="CE1059" s="58"/>
    </row>
    <row r="1060" customFormat="false" ht="15.75" hidden="true" customHeight="true" outlineLevel="0" collapsed="false">
      <c r="F1060" s="59"/>
      <c r="K1060" s="89"/>
      <c r="O1060" s="90"/>
      <c r="AA1060" s="91"/>
      <c r="AP1060" s="92"/>
      <c r="AQ1060" s="93"/>
      <c r="AS1060" s="89"/>
      <c r="AY1060" s="91"/>
      <c r="BV1060" s="58"/>
      <c r="CC1060" s="58"/>
      <c r="CD1060" s="89"/>
      <c r="CE1060" s="58"/>
    </row>
    <row r="1061" customFormat="false" ht="15.75" hidden="true" customHeight="true" outlineLevel="0" collapsed="false">
      <c r="F1061" s="59"/>
      <c r="K1061" s="89"/>
      <c r="O1061" s="90"/>
      <c r="AA1061" s="91"/>
      <c r="AP1061" s="92"/>
      <c r="AQ1061" s="93"/>
      <c r="AS1061" s="89"/>
      <c r="AY1061" s="91"/>
      <c r="BV1061" s="58"/>
      <c r="CC1061" s="58"/>
      <c r="CD1061" s="89"/>
      <c r="CE1061" s="58"/>
    </row>
    <row r="1062" customFormat="false" ht="15.75" hidden="true" customHeight="true" outlineLevel="0" collapsed="false">
      <c r="F1062" s="59"/>
      <c r="K1062" s="89"/>
      <c r="O1062" s="90"/>
      <c r="AA1062" s="91"/>
      <c r="AP1062" s="92"/>
      <c r="AQ1062" s="93"/>
      <c r="AS1062" s="89"/>
      <c r="AY1062" s="91"/>
      <c r="BV1062" s="58"/>
      <c r="CC1062" s="58"/>
      <c r="CD1062" s="89"/>
      <c r="CE1062" s="58"/>
    </row>
    <row r="1063" customFormat="false" ht="15.75" hidden="true" customHeight="true" outlineLevel="0" collapsed="false">
      <c r="F1063" s="59"/>
      <c r="K1063" s="89"/>
      <c r="O1063" s="90"/>
      <c r="AA1063" s="91"/>
      <c r="AP1063" s="92"/>
      <c r="AQ1063" s="93"/>
      <c r="AS1063" s="89"/>
      <c r="AY1063" s="91"/>
      <c r="BV1063" s="58"/>
      <c r="CC1063" s="58"/>
      <c r="CD1063" s="89"/>
      <c r="CE1063" s="58"/>
    </row>
    <row r="1064" customFormat="false" ht="15.75" hidden="true" customHeight="true" outlineLevel="0" collapsed="false">
      <c r="F1064" s="59"/>
      <c r="K1064" s="89"/>
      <c r="O1064" s="90"/>
      <c r="AA1064" s="91"/>
      <c r="AP1064" s="92"/>
      <c r="AQ1064" s="93"/>
      <c r="AS1064" s="89"/>
      <c r="AY1064" s="91"/>
      <c r="BV1064" s="58"/>
      <c r="CC1064" s="58"/>
      <c r="CD1064" s="89"/>
      <c r="CE1064" s="58"/>
    </row>
    <row r="1065" customFormat="false" ht="15.75" hidden="true" customHeight="true" outlineLevel="0" collapsed="false">
      <c r="F1065" s="59"/>
      <c r="K1065" s="89"/>
      <c r="O1065" s="90"/>
      <c r="AA1065" s="91"/>
      <c r="AP1065" s="92"/>
      <c r="AQ1065" s="93"/>
      <c r="AS1065" s="89"/>
      <c r="AY1065" s="91"/>
      <c r="BV1065" s="58"/>
      <c r="CC1065" s="58"/>
      <c r="CD1065" s="89"/>
      <c r="CE1065" s="58"/>
    </row>
    <row r="1066" customFormat="false" ht="15.75" hidden="true" customHeight="true" outlineLevel="0" collapsed="false">
      <c r="F1066" s="59"/>
      <c r="K1066" s="89"/>
      <c r="O1066" s="90"/>
      <c r="AA1066" s="91"/>
      <c r="AP1066" s="92"/>
      <c r="AQ1066" s="93"/>
      <c r="AS1066" s="89"/>
      <c r="AY1066" s="91"/>
      <c r="BV1066" s="58"/>
      <c r="CC1066" s="58"/>
      <c r="CD1066" s="89"/>
      <c r="CE1066" s="58"/>
    </row>
    <row r="1067" customFormat="false" ht="15.75" hidden="true" customHeight="true" outlineLevel="0" collapsed="false">
      <c r="F1067" s="59"/>
      <c r="K1067" s="89"/>
      <c r="O1067" s="90"/>
      <c r="AA1067" s="91"/>
      <c r="AP1067" s="92"/>
      <c r="AQ1067" s="93"/>
      <c r="AS1067" s="89"/>
      <c r="AY1067" s="91"/>
      <c r="BV1067" s="58"/>
      <c r="CC1067" s="58"/>
      <c r="CD1067" s="89"/>
      <c r="CE1067" s="58"/>
    </row>
    <row r="1068" customFormat="false" ht="15.75" hidden="true" customHeight="true" outlineLevel="0" collapsed="false">
      <c r="F1068" s="59"/>
      <c r="K1068" s="89"/>
      <c r="O1068" s="90"/>
      <c r="AA1068" s="91"/>
      <c r="AP1068" s="92"/>
      <c r="AQ1068" s="93"/>
      <c r="AS1068" s="89"/>
      <c r="AY1068" s="91"/>
      <c r="BV1068" s="58"/>
      <c r="CC1068" s="58"/>
      <c r="CD1068" s="89"/>
      <c r="CE1068" s="58"/>
    </row>
    <row r="1069" customFormat="false" ht="15.75" hidden="true" customHeight="true" outlineLevel="0" collapsed="false">
      <c r="F1069" s="59"/>
      <c r="K1069" s="89"/>
      <c r="O1069" s="90"/>
      <c r="AA1069" s="91"/>
      <c r="AP1069" s="92"/>
      <c r="AQ1069" s="93"/>
      <c r="AS1069" s="89"/>
      <c r="AY1069" s="91"/>
      <c r="BV1069" s="58"/>
      <c r="CC1069" s="58"/>
      <c r="CD1069" s="89"/>
      <c r="CE1069" s="58"/>
    </row>
    <row r="1070" customFormat="false" ht="15.75" hidden="true" customHeight="true" outlineLevel="0" collapsed="false">
      <c r="F1070" s="59"/>
      <c r="K1070" s="89"/>
      <c r="O1070" s="90"/>
      <c r="AA1070" s="91"/>
      <c r="AP1070" s="92"/>
      <c r="AQ1070" s="93"/>
      <c r="AS1070" s="89"/>
      <c r="AY1070" s="91"/>
      <c r="BV1070" s="58"/>
      <c r="CC1070" s="58"/>
      <c r="CD1070" s="89"/>
      <c r="CE1070" s="58"/>
    </row>
    <row r="1071" customFormat="false" ht="15.75" hidden="true" customHeight="true" outlineLevel="0" collapsed="false">
      <c r="F1071" s="59"/>
      <c r="K1071" s="89"/>
      <c r="O1071" s="90"/>
      <c r="AA1071" s="91"/>
      <c r="AP1071" s="92"/>
      <c r="AQ1071" s="93"/>
      <c r="AS1071" s="89"/>
      <c r="AY1071" s="91"/>
      <c r="BV1071" s="58"/>
      <c r="CC1071" s="58"/>
      <c r="CD1071" s="89"/>
      <c r="CE1071" s="58"/>
    </row>
    <row r="1072" customFormat="false" ht="15.75" hidden="true" customHeight="true" outlineLevel="0" collapsed="false">
      <c r="F1072" s="59"/>
      <c r="K1072" s="89"/>
      <c r="O1072" s="90"/>
      <c r="AA1072" s="91"/>
      <c r="AP1072" s="92"/>
      <c r="AQ1072" s="93"/>
      <c r="AS1072" s="89"/>
      <c r="AY1072" s="91"/>
      <c r="BV1072" s="58"/>
      <c r="CC1072" s="58"/>
      <c r="CD1072" s="89"/>
      <c r="CE1072" s="58"/>
    </row>
    <row r="1073" customFormat="false" ht="15.75" hidden="true" customHeight="true" outlineLevel="0" collapsed="false">
      <c r="F1073" s="59"/>
      <c r="K1073" s="89"/>
      <c r="O1073" s="90"/>
      <c r="AA1073" s="91"/>
      <c r="AP1073" s="92"/>
      <c r="AQ1073" s="93"/>
      <c r="AS1073" s="89"/>
      <c r="AY1073" s="91"/>
      <c r="BV1073" s="58"/>
      <c r="CC1073" s="58"/>
      <c r="CD1073" s="89"/>
      <c r="CE1073" s="58"/>
    </row>
    <row r="1074" customFormat="false" ht="15.75" hidden="true" customHeight="true" outlineLevel="0" collapsed="false">
      <c r="F1074" s="59"/>
      <c r="K1074" s="89"/>
      <c r="O1074" s="90"/>
      <c r="AA1074" s="91"/>
      <c r="AP1074" s="92"/>
      <c r="AQ1074" s="93"/>
      <c r="AS1074" s="89"/>
      <c r="AY1074" s="91"/>
      <c r="BV1074" s="58"/>
      <c r="CC1074" s="58"/>
      <c r="CD1074" s="89"/>
      <c r="CE1074" s="58"/>
    </row>
    <row r="1075" customFormat="false" ht="15.75" hidden="true" customHeight="true" outlineLevel="0" collapsed="false">
      <c r="F1075" s="59"/>
      <c r="K1075" s="89"/>
      <c r="O1075" s="90"/>
      <c r="AA1075" s="91"/>
      <c r="AP1075" s="92"/>
      <c r="AQ1075" s="93"/>
      <c r="AS1075" s="89"/>
      <c r="AY1075" s="91"/>
      <c r="BV1075" s="58"/>
      <c r="CC1075" s="58"/>
      <c r="CD1075" s="89"/>
      <c r="CE1075" s="58"/>
    </row>
    <row r="1076" customFormat="false" ht="15.75" hidden="true" customHeight="true" outlineLevel="0" collapsed="false">
      <c r="F1076" s="59"/>
      <c r="K1076" s="89"/>
      <c r="O1076" s="90"/>
      <c r="AA1076" s="91"/>
      <c r="AP1076" s="92"/>
      <c r="AQ1076" s="93"/>
      <c r="AS1076" s="89"/>
      <c r="AY1076" s="91"/>
      <c r="BV1076" s="58"/>
      <c r="CC1076" s="58"/>
      <c r="CD1076" s="89"/>
      <c r="CE1076" s="58"/>
    </row>
    <row r="1077" customFormat="false" ht="15.75" hidden="true" customHeight="true" outlineLevel="0" collapsed="false">
      <c r="F1077" s="59"/>
      <c r="K1077" s="89"/>
      <c r="O1077" s="90"/>
      <c r="AA1077" s="91"/>
      <c r="AP1077" s="92"/>
      <c r="AQ1077" s="93"/>
      <c r="AS1077" s="89"/>
      <c r="AY1077" s="91"/>
      <c r="BV1077" s="58"/>
      <c r="CC1077" s="58"/>
      <c r="CD1077" s="89"/>
      <c r="CE1077" s="58"/>
    </row>
    <row r="1078" customFormat="false" ht="15.75" hidden="true" customHeight="true" outlineLevel="0" collapsed="false">
      <c r="F1078" s="59"/>
      <c r="K1078" s="89"/>
      <c r="O1078" s="90"/>
      <c r="AA1078" s="91"/>
      <c r="AP1078" s="92"/>
      <c r="AQ1078" s="93"/>
      <c r="AS1078" s="89"/>
      <c r="AY1078" s="91"/>
      <c r="BV1078" s="58"/>
      <c r="CC1078" s="58"/>
      <c r="CD1078" s="89"/>
      <c r="CE1078" s="58"/>
    </row>
    <row r="1079" customFormat="false" ht="15.75" hidden="true" customHeight="true" outlineLevel="0" collapsed="false">
      <c r="F1079" s="59"/>
      <c r="K1079" s="89"/>
      <c r="O1079" s="90"/>
      <c r="AA1079" s="91"/>
      <c r="AP1079" s="92"/>
      <c r="AQ1079" s="93"/>
      <c r="AS1079" s="89"/>
      <c r="AY1079" s="91"/>
      <c r="BV1079" s="58"/>
      <c r="CC1079" s="58"/>
      <c r="CD1079" s="89"/>
      <c r="CE1079" s="58"/>
    </row>
    <row r="1080" customFormat="false" ht="15.75" hidden="true" customHeight="true" outlineLevel="0" collapsed="false">
      <c r="F1080" s="59"/>
      <c r="K1080" s="89"/>
      <c r="O1080" s="90"/>
      <c r="AA1080" s="91"/>
      <c r="AP1080" s="92"/>
      <c r="AQ1080" s="93"/>
      <c r="AS1080" s="89"/>
      <c r="AY1080" s="91"/>
      <c r="BV1080" s="58"/>
      <c r="CC1080" s="58"/>
      <c r="CD1080" s="89"/>
      <c r="CE1080" s="58"/>
    </row>
    <row r="1081" customFormat="false" ht="15.75" hidden="true" customHeight="true" outlineLevel="0" collapsed="false">
      <c r="F1081" s="59"/>
      <c r="K1081" s="89"/>
      <c r="O1081" s="90"/>
      <c r="AA1081" s="91"/>
      <c r="AP1081" s="92"/>
      <c r="AQ1081" s="93"/>
      <c r="AS1081" s="89"/>
      <c r="AY1081" s="91"/>
      <c r="BV1081" s="58"/>
      <c r="CC1081" s="58"/>
      <c r="CD1081" s="89"/>
      <c r="CE1081" s="58"/>
    </row>
    <row r="1082" customFormat="false" ht="15.75" hidden="true" customHeight="true" outlineLevel="0" collapsed="false">
      <c r="F1082" s="59"/>
      <c r="K1082" s="89"/>
      <c r="O1082" s="90"/>
      <c r="AA1082" s="91"/>
      <c r="AP1082" s="92"/>
      <c r="AQ1082" s="93"/>
      <c r="AS1082" s="89"/>
      <c r="AY1082" s="91"/>
      <c r="BV1082" s="58"/>
      <c r="CC1082" s="58"/>
      <c r="CD1082" s="89"/>
      <c r="CE1082" s="58"/>
    </row>
    <row r="1083" customFormat="false" ht="15.75" hidden="true" customHeight="true" outlineLevel="0" collapsed="false">
      <c r="F1083" s="59"/>
      <c r="K1083" s="89"/>
      <c r="O1083" s="90"/>
      <c r="AA1083" s="91"/>
      <c r="AP1083" s="92"/>
      <c r="AQ1083" s="93"/>
      <c r="AS1083" s="89"/>
      <c r="AY1083" s="91"/>
      <c r="BV1083" s="58"/>
      <c r="CC1083" s="58"/>
      <c r="CD1083" s="89"/>
      <c r="CE1083" s="58"/>
    </row>
    <row r="1084" customFormat="false" ht="15.75" hidden="true" customHeight="true" outlineLevel="0" collapsed="false">
      <c r="F1084" s="59"/>
      <c r="K1084" s="89"/>
      <c r="O1084" s="90"/>
      <c r="AA1084" s="91"/>
      <c r="AP1084" s="92"/>
      <c r="AQ1084" s="93"/>
      <c r="AS1084" s="89"/>
      <c r="AY1084" s="91"/>
      <c r="BV1084" s="58"/>
      <c r="CC1084" s="58"/>
      <c r="CD1084" s="89"/>
      <c r="CE1084" s="58"/>
    </row>
    <row r="1085" customFormat="false" ht="15.75" hidden="true" customHeight="true" outlineLevel="0" collapsed="false">
      <c r="F1085" s="59"/>
      <c r="K1085" s="89"/>
      <c r="O1085" s="90"/>
      <c r="AA1085" s="91"/>
      <c r="AP1085" s="92"/>
      <c r="AQ1085" s="93"/>
      <c r="AS1085" s="89"/>
      <c r="AY1085" s="91"/>
      <c r="BV1085" s="58"/>
      <c r="CC1085" s="58"/>
      <c r="CD1085" s="89"/>
      <c r="CE1085" s="58"/>
    </row>
    <row r="1086" customFormat="false" ht="15.75" hidden="true" customHeight="true" outlineLevel="0" collapsed="false">
      <c r="F1086" s="59"/>
      <c r="K1086" s="89"/>
      <c r="O1086" s="90"/>
      <c r="AA1086" s="91"/>
      <c r="AP1086" s="92"/>
      <c r="AQ1086" s="93"/>
      <c r="AS1086" s="89"/>
      <c r="AY1086" s="91"/>
      <c r="BV1086" s="58"/>
      <c r="CC1086" s="58"/>
      <c r="CD1086" s="89"/>
      <c r="CE1086" s="58"/>
    </row>
    <row r="1087" customFormat="false" ht="15.75" hidden="true" customHeight="true" outlineLevel="0" collapsed="false">
      <c r="F1087" s="59"/>
      <c r="K1087" s="89"/>
      <c r="O1087" s="90"/>
      <c r="AA1087" s="91"/>
      <c r="AP1087" s="92"/>
      <c r="AQ1087" s="93"/>
      <c r="AS1087" s="89"/>
      <c r="AY1087" s="91"/>
      <c r="BV1087" s="58"/>
      <c r="CC1087" s="58"/>
      <c r="CD1087" s="89"/>
      <c r="CE1087" s="58"/>
    </row>
    <row r="1088" customFormat="false" ht="15.75" hidden="true" customHeight="true" outlineLevel="0" collapsed="false">
      <c r="F1088" s="59"/>
      <c r="K1088" s="89"/>
      <c r="O1088" s="90"/>
      <c r="AA1088" s="91"/>
      <c r="AP1088" s="92"/>
      <c r="AQ1088" s="93"/>
      <c r="AS1088" s="89"/>
      <c r="AY1088" s="91"/>
      <c r="BV1088" s="58"/>
      <c r="CC1088" s="58"/>
      <c r="CD1088" s="89"/>
      <c r="CE1088" s="58"/>
    </row>
    <row r="1089" customFormat="false" ht="15.75" hidden="true" customHeight="true" outlineLevel="0" collapsed="false">
      <c r="F1089" s="59"/>
      <c r="K1089" s="89"/>
      <c r="O1089" s="90"/>
      <c r="AA1089" s="91"/>
      <c r="AP1089" s="92"/>
      <c r="AQ1089" s="93"/>
      <c r="AS1089" s="89"/>
      <c r="AY1089" s="91"/>
      <c r="BV1089" s="58"/>
      <c r="CC1089" s="58"/>
      <c r="CD1089" s="89"/>
      <c r="CE1089" s="58"/>
    </row>
    <row r="1090" customFormat="false" ht="15.75" hidden="true" customHeight="true" outlineLevel="0" collapsed="false">
      <c r="F1090" s="59"/>
      <c r="K1090" s="89"/>
      <c r="O1090" s="90"/>
      <c r="AA1090" s="91"/>
      <c r="AP1090" s="92"/>
      <c r="AQ1090" s="93"/>
      <c r="AS1090" s="89"/>
      <c r="AY1090" s="91"/>
      <c r="BV1090" s="58"/>
      <c r="CC1090" s="58"/>
      <c r="CD1090" s="89"/>
      <c r="CE1090" s="58"/>
    </row>
    <row r="1091" customFormat="false" ht="15.75" hidden="true" customHeight="true" outlineLevel="0" collapsed="false">
      <c r="F1091" s="59"/>
      <c r="K1091" s="89"/>
      <c r="O1091" s="90"/>
      <c r="AA1091" s="91"/>
      <c r="AP1091" s="92"/>
      <c r="AQ1091" s="93"/>
      <c r="AS1091" s="89"/>
      <c r="AY1091" s="91"/>
      <c r="BV1091" s="58"/>
      <c r="CC1091" s="58"/>
      <c r="CD1091" s="89"/>
      <c r="CE1091" s="58"/>
    </row>
    <row r="1092" customFormat="false" ht="15.75" hidden="true" customHeight="true" outlineLevel="0" collapsed="false">
      <c r="F1092" s="59"/>
      <c r="K1092" s="89"/>
      <c r="O1092" s="90"/>
      <c r="AA1092" s="91"/>
      <c r="AP1092" s="92"/>
      <c r="AQ1092" s="93"/>
      <c r="AS1092" s="89"/>
      <c r="AY1092" s="91"/>
      <c r="BV1092" s="58"/>
      <c r="CC1092" s="58"/>
      <c r="CD1092" s="89"/>
      <c r="CE1092" s="58"/>
    </row>
    <row r="1093" customFormat="false" ht="15.75" hidden="true" customHeight="true" outlineLevel="0" collapsed="false">
      <c r="F1093" s="59"/>
      <c r="K1093" s="89"/>
      <c r="O1093" s="90"/>
      <c r="AA1093" s="91"/>
      <c r="AP1093" s="92"/>
      <c r="AQ1093" s="93"/>
      <c r="AS1093" s="89"/>
      <c r="AY1093" s="91"/>
      <c r="BV1093" s="58"/>
      <c r="CC1093" s="58"/>
      <c r="CD1093" s="89"/>
      <c r="CE1093" s="58"/>
    </row>
    <row r="1094" customFormat="false" ht="15.75" hidden="true" customHeight="true" outlineLevel="0" collapsed="false">
      <c r="F1094" s="59"/>
      <c r="K1094" s="89"/>
      <c r="O1094" s="90"/>
      <c r="AA1094" s="91"/>
      <c r="AP1094" s="92"/>
      <c r="AQ1094" s="93"/>
      <c r="AS1094" s="89"/>
      <c r="AY1094" s="91"/>
      <c r="BV1094" s="58"/>
      <c r="CC1094" s="58"/>
      <c r="CD1094" s="89"/>
      <c r="CE1094" s="58"/>
    </row>
    <row r="1095" customFormat="false" ht="15.75" hidden="true" customHeight="true" outlineLevel="0" collapsed="false">
      <c r="F1095" s="59"/>
      <c r="K1095" s="89"/>
      <c r="O1095" s="90"/>
      <c r="AA1095" s="91"/>
      <c r="AP1095" s="92"/>
      <c r="AQ1095" s="93"/>
      <c r="AS1095" s="89"/>
      <c r="AY1095" s="91"/>
      <c r="BV1095" s="58"/>
      <c r="CC1095" s="58"/>
      <c r="CD1095" s="89"/>
      <c r="CE1095" s="58"/>
    </row>
    <row r="1096" customFormat="false" ht="15.75" hidden="true" customHeight="true" outlineLevel="0" collapsed="false">
      <c r="F1096" s="59"/>
      <c r="K1096" s="89"/>
      <c r="O1096" s="90"/>
      <c r="AA1096" s="91"/>
      <c r="AP1096" s="92"/>
      <c r="AQ1096" s="93"/>
      <c r="AS1096" s="89"/>
      <c r="AY1096" s="91"/>
      <c r="BV1096" s="58"/>
      <c r="CC1096" s="58"/>
      <c r="CD1096" s="89"/>
      <c r="CE1096" s="58"/>
    </row>
    <row r="1097" customFormat="false" ht="15.75" hidden="true" customHeight="true" outlineLevel="0" collapsed="false">
      <c r="F1097" s="59"/>
      <c r="K1097" s="89"/>
      <c r="O1097" s="90"/>
      <c r="AA1097" s="91"/>
      <c r="AP1097" s="92"/>
      <c r="AQ1097" s="93"/>
      <c r="AS1097" s="89"/>
      <c r="AY1097" s="91"/>
      <c r="BV1097" s="58"/>
      <c r="CC1097" s="58"/>
      <c r="CD1097" s="89"/>
      <c r="CE1097" s="58"/>
    </row>
    <row r="1098" customFormat="false" ht="15.75" hidden="true" customHeight="true" outlineLevel="0" collapsed="false">
      <c r="F1098" s="59"/>
      <c r="K1098" s="89"/>
      <c r="O1098" s="90"/>
      <c r="AA1098" s="91"/>
      <c r="AP1098" s="92"/>
      <c r="AQ1098" s="93"/>
      <c r="AS1098" s="89"/>
      <c r="AY1098" s="91"/>
      <c r="BV1098" s="58"/>
      <c r="CC1098" s="58"/>
      <c r="CD1098" s="89"/>
      <c r="CE1098" s="58"/>
    </row>
    <row r="1099" customFormat="false" ht="15.75" hidden="true" customHeight="true" outlineLevel="0" collapsed="false">
      <c r="F1099" s="59"/>
      <c r="K1099" s="89"/>
      <c r="O1099" s="90"/>
      <c r="AA1099" s="91"/>
      <c r="AP1099" s="92"/>
      <c r="AQ1099" s="93"/>
      <c r="AS1099" s="89"/>
      <c r="AY1099" s="91"/>
      <c r="BV1099" s="58"/>
      <c r="CC1099" s="58"/>
      <c r="CD1099" s="89"/>
      <c r="CE1099" s="58"/>
    </row>
    <row r="1100" customFormat="false" ht="15.75" hidden="true" customHeight="true" outlineLevel="0" collapsed="false">
      <c r="F1100" s="59"/>
      <c r="K1100" s="89"/>
      <c r="O1100" s="90"/>
      <c r="AA1100" s="91"/>
      <c r="AP1100" s="92"/>
      <c r="AQ1100" s="93"/>
      <c r="AS1100" s="89"/>
      <c r="AY1100" s="91"/>
      <c r="BV1100" s="58"/>
      <c r="CC1100" s="58"/>
      <c r="CD1100" s="89"/>
      <c r="CE1100" s="58"/>
    </row>
    <row r="1101" customFormat="false" ht="15.75" hidden="true" customHeight="true" outlineLevel="0" collapsed="false">
      <c r="F1101" s="59"/>
      <c r="K1101" s="89"/>
      <c r="O1101" s="90"/>
      <c r="AA1101" s="91"/>
      <c r="AP1101" s="92"/>
      <c r="AQ1101" s="93"/>
      <c r="AS1101" s="89"/>
      <c r="AY1101" s="91"/>
      <c r="BV1101" s="58"/>
      <c r="CC1101" s="58"/>
      <c r="CD1101" s="89"/>
      <c r="CE1101" s="58"/>
    </row>
    <row r="1102" customFormat="false" ht="15.75" hidden="true" customHeight="true" outlineLevel="0" collapsed="false">
      <c r="F1102" s="59"/>
      <c r="K1102" s="89"/>
      <c r="O1102" s="90"/>
      <c r="AA1102" s="91"/>
      <c r="AP1102" s="92"/>
      <c r="AQ1102" s="93"/>
      <c r="AS1102" s="89"/>
      <c r="AY1102" s="91"/>
      <c r="BV1102" s="58"/>
      <c r="CC1102" s="58"/>
      <c r="CD1102" s="89"/>
      <c r="CE1102" s="58"/>
    </row>
    <row r="1103" customFormat="false" ht="15.75" hidden="true" customHeight="true" outlineLevel="0" collapsed="false">
      <c r="F1103" s="59"/>
      <c r="K1103" s="89"/>
      <c r="O1103" s="90"/>
      <c r="AA1103" s="91"/>
      <c r="AP1103" s="92"/>
      <c r="AQ1103" s="93"/>
      <c r="AS1103" s="89"/>
      <c r="AY1103" s="91"/>
      <c r="BV1103" s="58"/>
      <c r="CC1103" s="58"/>
      <c r="CD1103" s="89"/>
      <c r="CE1103" s="58"/>
    </row>
    <row r="1104" customFormat="false" ht="15.75" hidden="true" customHeight="true" outlineLevel="0" collapsed="false">
      <c r="F1104" s="59"/>
      <c r="K1104" s="89"/>
      <c r="O1104" s="90"/>
      <c r="AA1104" s="91"/>
      <c r="AP1104" s="92"/>
      <c r="AQ1104" s="93"/>
      <c r="AS1104" s="89"/>
      <c r="AY1104" s="91"/>
      <c r="BV1104" s="58"/>
      <c r="CC1104" s="58"/>
      <c r="CD1104" s="89"/>
      <c r="CE1104" s="58"/>
    </row>
    <row r="1105" customFormat="false" ht="15.75" hidden="true" customHeight="true" outlineLevel="0" collapsed="false">
      <c r="F1105" s="59"/>
      <c r="K1105" s="89"/>
      <c r="O1105" s="90"/>
      <c r="AA1105" s="91"/>
      <c r="AP1105" s="92"/>
      <c r="AQ1105" s="93"/>
      <c r="AS1105" s="89"/>
      <c r="AY1105" s="91"/>
      <c r="BV1105" s="58"/>
      <c r="CC1105" s="58"/>
      <c r="CD1105" s="89"/>
      <c r="CE1105" s="58"/>
    </row>
    <row r="1106" customFormat="false" ht="15.75" hidden="true" customHeight="true" outlineLevel="0" collapsed="false">
      <c r="F1106" s="59"/>
      <c r="K1106" s="89"/>
      <c r="O1106" s="90"/>
      <c r="AA1106" s="91"/>
      <c r="AP1106" s="92"/>
      <c r="AQ1106" s="93"/>
      <c r="AS1106" s="89"/>
      <c r="AY1106" s="91"/>
      <c r="BV1106" s="58"/>
      <c r="CC1106" s="58"/>
      <c r="CD1106" s="89"/>
      <c r="CE1106" s="58"/>
    </row>
    <row r="1107" customFormat="false" ht="15.75" hidden="true" customHeight="true" outlineLevel="0" collapsed="false">
      <c r="F1107" s="59"/>
      <c r="K1107" s="89"/>
      <c r="O1107" s="90"/>
      <c r="AA1107" s="91"/>
      <c r="AP1107" s="92"/>
      <c r="AQ1107" s="93"/>
      <c r="AS1107" s="89"/>
      <c r="AY1107" s="91"/>
      <c r="BV1107" s="58"/>
      <c r="CC1107" s="58"/>
      <c r="CD1107" s="89"/>
      <c r="CE1107" s="58"/>
    </row>
    <row r="1108" customFormat="false" ht="15.75" hidden="true" customHeight="true" outlineLevel="0" collapsed="false">
      <c r="F1108" s="59"/>
      <c r="K1108" s="89"/>
      <c r="O1108" s="90"/>
      <c r="AA1108" s="91"/>
      <c r="AP1108" s="92"/>
      <c r="AQ1108" s="93"/>
      <c r="AS1108" s="89"/>
      <c r="AY1108" s="91"/>
      <c r="BV1108" s="58"/>
      <c r="CC1108" s="58"/>
      <c r="CD1108" s="89"/>
      <c r="CE1108" s="58"/>
    </row>
    <row r="1109" customFormat="false" ht="15.75" hidden="true" customHeight="true" outlineLevel="0" collapsed="false">
      <c r="F1109" s="59"/>
      <c r="K1109" s="89"/>
      <c r="O1109" s="90"/>
      <c r="AA1109" s="91"/>
      <c r="AP1109" s="92"/>
      <c r="AQ1109" s="93"/>
      <c r="AS1109" s="89"/>
      <c r="AY1109" s="91"/>
      <c r="BV1109" s="58"/>
      <c r="CC1109" s="58"/>
      <c r="CD1109" s="89"/>
      <c r="CE1109" s="58"/>
    </row>
    <row r="1110" customFormat="false" ht="15.75" hidden="true" customHeight="true" outlineLevel="0" collapsed="false">
      <c r="F1110" s="59"/>
      <c r="K1110" s="89"/>
      <c r="O1110" s="90"/>
      <c r="AA1110" s="91"/>
      <c r="AP1110" s="92"/>
      <c r="AQ1110" s="93"/>
      <c r="AS1110" s="89"/>
      <c r="AY1110" s="91"/>
      <c r="BV1110" s="58"/>
      <c r="CC1110" s="58"/>
      <c r="CD1110" s="89"/>
      <c r="CE1110" s="58"/>
    </row>
    <row r="1111" customFormat="false" ht="15.75" hidden="true" customHeight="true" outlineLevel="0" collapsed="false">
      <c r="F1111" s="59"/>
      <c r="K1111" s="89"/>
      <c r="O1111" s="90"/>
      <c r="AA1111" s="91"/>
      <c r="AP1111" s="92"/>
      <c r="AQ1111" s="93"/>
      <c r="AS1111" s="89"/>
      <c r="AY1111" s="91"/>
      <c r="BV1111" s="58"/>
      <c r="CC1111" s="58"/>
      <c r="CD1111" s="89"/>
      <c r="CE1111" s="58"/>
    </row>
    <row r="1112" customFormat="false" ht="15.75" hidden="true" customHeight="true" outlineLevel="0" collapsed="false">
      <c r="F1112" s="59"/>
      <c r="K1112" s="89"/>
      <c r="O1112" s="90"/>
      <c r="AA1112" s="91"/>
      <c r="AP1112" s="92"/>
      <c r="AQ1112" s="93"/>
      <c r="AS1112" s="89"/>
      <c r="AY1112" s="91"/>
      <c r="BV1112" s="58"/>
      <c r="CC1112" s="58"/>
      <c r="CD1112" s="89"/>
      <c r="CE1112" s="58"/>
    </row>
    <row r="1113" customFormat="false" ht="15.75" hidden="true" customHeight="true" outlineLevel="0" collapsed="false">
      <c r="F1113" s="59"/>
      <c r="K1113" s="89"/>
      <c r="O1113" s="90"/>
      <c r="AA1113" s="91"/>
      <c r="AP1113" s="92"/>
      <c r="AQ1113" s="93"/>
      <c r="AS1113" s="89"/>
      <c r="AY1113" s="91"/>
      <c r="BV1113" s="58"/>
      <c r="CC1113" s="58"/>
      <c r="CD1113" s="89"/>
      <c r="CE1113" s="58"/>
    </row>
    <row r="1114" customFormat="false" ht="15.75" hidden="true" customHeight="true" outlineLevel="0" collapsed="false">
      <c r="F1114" s="59"/>
      <c r="K1114" s="89"/>
      <c r="O1114" s="90"/>
      <c r="AA1114" s="91"/>
      <c r="AP1114" s="92"/>
      <c r="AQ1114" s="93"/>
      <c r="AS1114" s="89"/>
      <c r="AY1114" s="91"/>
      <c r="BV1114" s="58"/>
      <c r="CC1114" s="58"/>
      <c r="CD1114" s="89"/>
      <c r="CE1114" s="58"/>
    </row>
    <row r="1115" customFormat="false" ht="15.75" hidden="true" customHeight="true" outlineLevel="0" collapsed="false">
      <c r="F1115" s="59"/>
      <c r="K1115" s="89"/>
      <c r="O1115" s="90"/>
      <c r="AA1115" s="91"/>
      <c r="AP1115" s="92"/>
      <c r="AQ1115" s="93"/>
      <c r="AS1115" s="89"/>
      <c r="AY1115" s="91"/>
      <c r="BV1115" s="58"/>
      <c r="CC1115" s="58"/>
      <c r="CD1115" s="89"/>
      <c r="CE1115" s="58"/>
    </row>
    <row r="1116" customFormat="false" ht="15.75" hidden="true" customHeight="true" outlineLevel="0" collapsed="false">
      <c r="F1116" s="59"/>
      <c r="K1116" s="89"/>
      <c r="O1116" s="90"/>
      <c r="AA1116" s="91"/>
      <c r="AP1116" s="92"/>
      <c r="AQ1116" s="93"/>
      <c r="AS1116" s="89"/>
      <c r="AY1116" s="91"/>
      <c r="BV1116" s="58"/>
      <c r="CC1116" s="58"/>
      <c r="CD1116" s="89"/>
      <c r="CE1116" s="58"/>
    </row>
    <row r="1117" customFormat="false" ht="15.75" hidden="true" customHeight="true" outlineLevel="0" collapsed="false">
      <c r="F1117" s="59"/>
      <c r="K1117" s="89"/>
      <c r="O1117" s="90"/>
      <c r="AA1117" s="91"/>
      <c r="AP1117" s="92"/>
      <c r="AQ1117" s="93"/>
      <c r="AS1117" s="89"/>
      <c r="AY1117" s="91"/>
      <c r="BV1117" s="58"/>
      <c r="CC1117" s="58"/>
      <c r="CD1117" s="89"/>
      <c r="CE1117" s="58"/>
    </row>
    <row r="1118" customFormat="false" ht="15.75" hidden="true" customHeight="true" outlineLevel="0" collapsed="false">
      <c r="F1118" s="59"/>
      <c r="K1118" s="89"/>
      <c r="O1118" s="90"/>
      <c r="AA1118" s="91"/>
      <c r="AP1118" s="92"/>
      <c r="AQ1118" s="93"/>
      <c r="AS1118" s="89"/>
      <c r="AY1118" s="91"/>
      <c r="BV1118" s="58"/>
      <c r="CC1118" s="58"/>
      <c r="CD1118" s="89"/>
      <c r="CE1118" s="58"/>
    </row>
    <row r="1119" customFormat="false" ht="15.75" hidden="true" customHeight="true" outlineLevel="0" collapsed="false">
      <c r="F1119" s="59"/>
      <c r="K1119" s="89"/>
      <c r="O1119" s="90"/>
      <c r="AA1119" s="91"/>
      <c r="AP1119" s="92"/>
      <c r="AQ1119" s="93"/>
      <c r="AS1119" s="89"/>
      <c r="AY1119" s="91"/>
      <c r="BV1119" s="58"/>
      <c r="CC1119" s="58"/>
      <c r="CD1119" s="89"/>
      <c r="CE1119" s="58"/>
    </row>
    <row r="1120" customFormat="false" ht="15.75" hidden="true" customHeight="true" outlineLevel="0" collapsed="false">
      <c r="F1120" s="59"/>
      <c r="K1120" s="89"/>
      <c r="O1120" s="90"/>
      <c r="AA1120" s="91"/>
      <c r="AP1120" s="92"/>
      <c r="AQ1120" s="93"/>
      <c r="AS1120" s="89"/>
      <c r="AY1120" s="91"/>
      <c r="BV1120" s="58"/>
      <c r="CC1120" s="58"/>
      <c r="CD1120" s="89"/>
      <c r="CE1120" s="58"/>
    </row>
    <row r="1121" customFormat="false" ht="15.75" hidden="true" customHeight="true" outlineLevel="0" collapsed="false">
      <c r="F1121" s="59"/>
      <c r="K1121" s="89"/>
      <c r="O1121" s="90"/>
      <c r="AA1121" s="91"/>
      <c r="AP1121" s="92"/>
      <c r="AQ1121" s="93"/>
      <c r="AS1121" s="89"/>
      <c r="AY1121" s="91"/>
      <c r="BV1121" s="58"/>
      <c r="CC1121" s="58"/>
      <c r="CD1121" s="89"/>
      <c r="CE1121" s="58"/>
    </row>
    <row r="1122" customFormat="false" ht="15.75" hidden="true" customHeight="true" outlineLevel="0" collapsed="false">
      <c r="F1122" s="59"/>
      <c r="K1122" s="89"/>
      <c r="O1122" s="90"/>
      <c r="AA1122" s="91"/>
      <c r="AP1122" s="92"/>
      <c r="AQ1122" s="93"/>
      <c r="AS1122" s="89"/>
      <c r="AY1122" s="91"/>
      <c r="BV1122" s="58"/>
      <c r="CC1122" s="58"/>
      <c r="CD1122" s="89"/>
      <c r="CE1122" s="58"/>
    </row>
    <row r="1123" customFormat="false" ht="15.75" hidden="true" customHeight="true" outlineLevel="0" collapsed="false">
      <c r="F1123" s="59"/>
      <c r="K1123" s="89"/>
      <c r="O1123" s="90"/>
      <c r="AA1123" s="91"/>
      <c r="AP1123" s="92"/>
      <c r="AQ1123" s="93"/>
      <c r="AS1123" s="89"/>
      <c r="AY1123" s="91"/>
      <c r="BV1123" s="58"/>
      <c r="CC1123" s="58"/>
      <c r="CD1123" s="89"/>
      <c r="CE1123" s="58"/>
    </row>
    <row r="1124" customFormat="false" ht="15.75" hidden="true" customHeight="true" outlineLevel="0" collapsed="false">
      <c r="F1124" s="59"/>
      <c r="K1124" s="89"/>
      <c r="O1124" s="90"/>
      <c r="AA1124" s="91"/>
      <c r="AP1124" s="92"/>
      <c r="AQ1124" s="93"/>
      <c r="AS1124" s="89"/>
      <c r="AY1124" s="91"/>
      <c r="BV1124" s="58"/>
      <c r="CC1124" s="58"/>
      <c r="CD1124" s="89"/>
      <c r="CE1124" s="58"/>
    </row>
    <row r="1125" customFormat="false" ht="15.75" hidden="true" customHeight="true" outlineLevel="0" collapsed="false">
      <c r="F1125" s="59"/>
      <c r="K1125" s="89"/>
      <c r="O1125" s="90"/>
      <c r="AA1125" s="91"/>
      <c r="AP1125" s="92"/>
      <c r="AQ1125" s="93"/>
      <c r="AS1125" s="89"/>
      <c r="AY1125" s="91"/>
      <c r="BV1125" s="58"/>
      <c r="CC1125" s="58"/>
      <c r="CD1125" s="89"/>
      <c r="CE1125" s="58"/>
    </row>
    <row r="1126" customFormat="false" ht="15.75" hidden="true" customHeight="true" outlineLevel="0" collapsed="false">
      <c r="F1126" s="59"/>
      <c r="K1126" s="89"/>
      <c r="O1126" s="90"/>
      <c r="AA1126" s="91"/>
      <c r="AP1126" s="92"/>
      <c r="AQ1126" s="93"/>
      <c r="AS1126" s="89"/>
      <c r="AY1126" s="91"/>
      <c r="BV1126" s="58"/>
      <c r="CC1126" s="58"/>
      <c r="CD1126" s="89"/>
      <c r="CE1126" s="58"/>
    </row>
    <row r="1127" customFormat="false" ht="15.75" hidden="true" customHeight="true" outlineLevel="0" collapsed="false">
      <c r="F1127" s="59"/>
      <c r="K1127" s="89"/>
      <c r="O1127" s="90"/>
      <c r="AA1127" s="91"/>
      <c r="AP1127" s="92"/>
      <c r="AQ1127" s="93"/>
      <c r="AS1127" s="89"/>
      <c r="AY1127" s="91"/>
      <c r="BV1127" s="58"/>
      <c r="CC1127" s="58"/>
      <c r="CD1127" s="89"/>
      <c r="CE1127" s="58"/>
    </row>
    <row r="1128" customFormat="false" ht="15.75" hidden="true" customHeight="true" outlineLevel="0" collapsed="false">
      <c r="F1128" s="59"/>
      <c r="K1128" s="89"/>
      <c r="O1128" s="90"/>
      <c r="AA1128" s="91"/>
      <c r="AP1128" s="92"/>
      <c r="AQ1128" s="93"/>
      <c r="AS1128" s="89"/>
      <c r="AY1128" s="91"/>
      <c r="BV1128" s="58"/>
      <c r="CC1128" s="58"/>
      <c r="CD1128" s="89"/>
      <c r="CE1128" s="58"/>
    </row>
    <row r="1129" customFormat="false" ht="15.75" hidden="true" customHeight="true" outlineLevel="0" collapsed="false">
      <c r="F1129" s="59"/>
      <c r="K1129" s="89"/>
      <c r="O1129" s="90"/>
      <c r="AA1129" s="91"/>
      <c r="AP1129" s="92"/>
      <c r="AQ1129" s="93"/>
      <c r="AS1129" s="89"/>
      <c r="AY1129" s="91"/>
      <c r="BV1129" s="58"/>
      <c r="CC1129" s="58"/>
      <c r="CD1129" s="89"/>
      <c r="CE1129" s="58"/>
    </row>
    <row r="1130" customFormat="false" ht="15.75" hidden="true" customHeight="true" outlineLevel="0" collapsed="false">
      <c r="F1130" s="59"/>
      <c r="K1130" s="89"/>
      <c r="O1130" s="90"/>
      <c r="AA1130" s="91"/>
      <c r="AP1130" s="92"/>
      <c r="AQ1130" s="93"/>
      <c r="AS1130" s="89"/>
      <c r="AY1130" s="91"/>
      <c r="BV1130" s="58"/>
      <c r="CC1130" s="58"/>
      <c r="CD1130" s="89"/>
      <c r="CE1130" s="58"/>
    </row>
    <row r="1131" customFormat="false" ht="15.75" hidden="true" customHeight="true" outlineLevel="0" collapsed="false">
      <c r="F1131" s="59"/>
      <c r="K1131" s="89"/>
      <c r="O1131" s="90"/>
      <c r="AA1131" s="91"/>
      <c r="AP1131" s="92"/>
      <c r="AQ1131" s="93"/>
      <c r="AS1131" s="89"/>
      <c r="AY1131" s="91"/>
      <c r="BV1131" s="58"/>
      <c r="CC1131" s="58"/>
      <c r="CD1131" s="89"/>
      <c r="CE1131" s="58"/>
    </row>
    <row r="1132" customFormat="false" ht="15.75" hidden="true" customHeight="true" outlineLevel="0" collapsed="false">
      <c r="F1132" s="59"/>
      <c r="K1132" s="89"/>
      <c r="O1132" s="90"/>
      <c r="AA1132" s="91"/>
      <c r="AP1132" s="92"/>
      <c r="AQ1132" s="93"/>
      <c r="AS1132" s="89"/>
      <c r="AY1132" s="91"/>
      <c r="BV1132" s="58"/>
      <c r="CC1132" s="58"/>
      <c r="CD1132" s="89"/>
      <c r="CE1132" s="58"/>
    </row>
    <row r="1133" customFormat="false" ht="15.75" hidden="true" customHeight="true" outlineLevel="0" collapsed="false">
      <c r="F1133" s="59"/>
      <c r="K1133" s="89"/>
      <c r="O1133" s="90"/>
      <c r="AA1133" s="91"/>
      <c r="AP1133" s="92"/>
      <c r="AQ1133" s="93"/>
      <c r="AS1133" s="89"/>
      <c r="AY1133" s="91"/>
      <c r="BV1133" s="58"/>
      <c r="CC1133" s="58"/>
      <c r="CD1133" s="89"/>
      <c r="CE1133" s="58"/>
    </row>
    <row r="1134" customFormat="false" ht="15.75" hidden="true" customHeight="true" outlineLevel="0" collapsed="false">
      <c r="F1134" s="59"/>
      <c r="K1134" s="89"/>
      <c r="O1134" s="90"/>
      <c r="AA1134" s="91"/>
      <c r="AP1134" s="92"/>
      <c r="AQ1134" s="93"/>
      <c r="AS1134" s="89"/>
      <c r="AY1134" s="91"/>
      <c r="BV1134" s="58"/>
      <c r="CC1134" s="58"/>
      <c r="CD1134" s="89"/>
      <c r="CE1134" s="58"/>
    </row>
    <row r="1135" customFormat="false" ht="15.75" hidden="true" customHeight="true" outlineLevel="0" collapsed="false">
      <c r="F1135" s="59"/>
      <c r="K1135" s="89"/>
      <c r="O1135" s="90"/>
      <c r="AA1135" s="91"/>
      <c r="AP1135" s="92"/>
      <c r="AQ1135" s="93"/>
      <c r="AS1135" s="89"/>
      <c r="AY1135" s="91"/>
      <c r="BV1135" s="58"/>
      <c r="CC1135" s="58"/>
      <c r="CD1135" s="89"/>
      <c r="CE1135" s="58"/>
    </row>
    <row r="1136" customFormat="false" ht="15.75" hidden="true" customHeight="true" outlineLevel="0" collapsed="false">
      <c r="F1136" s="59"/>
      <c r="K1136" s="89"/>
      <c r="O1136" s="90"/>
      <c r="AA1136" s="91"/>
      <c r="AP1136" s="92"/>
      <c r="AQ1136" s="93"/>
      <c r="AS1136" s="89"/>
      <c r="AY1136" s="91"/>
      <c r="BV1136" s="58"/>
      <c r="CC1136" s="58"/>
      <c r="CD1136" s="89"/>
      <c r="CE1136" s="58"/>
    </row>
    <row r="1137" customFormat="false" ht="15.75" hidden="true" customHeight="true" outlineLevel="0" collapsed="false">
      <c r="F1137" s="59"/>
      <c r="K1137" s="89"/>
      <c r="O1137" s="90"/>
      <c r="AA1137" s="91"/>
      <c r="AP1137" s="92"/>
      <c r="AQ1137" s="93"/>
      <c r="AS1137" s="89"/>
      <c r="AY1137" s="91"/>
      <c r="BV1137" s="58"/>
      <c r="CC1137" s="58"/>
      <c r="CD1137" s="89"/>
      <c r="CE1137" s="58"/>
    </row>
    <row r="1138" customFormat="false" ht="15.75" hidden="true" customHeight="true" outlineLevel="0" collapsed="false">
      <c r="F1138" s="59"/>
      <c r="K1138" s="89"/>
      <c r="O1138" s="90"/>
      <c r="AA1138" s="91"/>
      <c r="AP1138" s="92"/>
      <c r="AQ1138" s="93"/>
      <c r="AS1138" s="89"/>
      <c r="AY1138" s="91"/>
      <c r="BV1138" s="58"/>
      <c r="CC1138" s="58"/>
      <c r="CD1138" s="89"/>
      <c r="CE1138" s="58"/>
    </row>
    <row r="1139" customFormat="false" ht="15.75" hidden="true" customHeight="true" outlineLevel="0" collapsed="false">
      <c r="F1139" s="59"/>
      <c r="K1139" s="89"/>
      <c r="O1139" s="90"/>
      <c r="AA1139" s="91"/>
      <c r="AP1139" s="92"/>
      <c r="AQ1139" s="93"/>
      <c r="AS1139" s="89"/>
      <c r="AY1139" s="91"/>
      <c r="BV1139" s="58"/>
      <c r="CC1139" s="58"/>
      <c r="CD1139" s="89"/>
      <c r="CE1139" s="58"/>
    </row>
    <row r="1140" customFormat="false" ht="15.75" hidden="true" customHeight="true" outlineLevel="0" collapsed="false">
      <c r="F1140" s="59"/>
      <c r="K1140" s="89"/>
      <c r="O1140" s="90"/>
      <c r="AA1140" s="91"/>
      <c r="AP1140" s="92"/>
      <c r="AQ1140" s="93"/>
      <c r="AS1140" s="89"/>
      <c r="AY1140" s="91"/>
      <c r="BV1140" s="58"/>
      <c r="CC1140" s="58"/>
      <c r="CD1140" s="89"/>
      <c r="CE1140" s="58"/>
    </row>
    <row r="1141" customFormat="false" ht="15.75" hidden="true" customHeight="true" outlineLevel="0" collapsed="false">
      <c r="F1141" s="59"/>
      <c r="K1141" s="89"/>
      <c r="O1141" s="90"/>
      <c r="AA1141" s="91"/>
      <c r="AP1141" s="92"/>
      <c r="AQ1141" s="93"/>
      <c r="AS1141" s="89"/>
      <c r="AY1141" s="91"/>
      <c r="BV1141" s="58"/>
      <c r="CC1141" s="58"/>
      <c r="CD1141" s="89"/>
      <c r="CE1141" s="58"/>
    </row>
    <row r="1142" customFormat="false" ht="15.75" hidden="true" customHeight="true" outlineLevel="0" collapsed="false">
      <c r="F1142" s="59"/>
      <c r="K1142" s="89"/>
      <c r="O1142" s="90"/>
      <c r="AA1142" s="91"/>
      <c r="AP1142" s="92"/>
      <c r="AQ1142" s="93"/>
      <c r="AS1142" s="89"/>
      <c r="AY1142" s="91"/>
      <c r="BV1142" s="58"/>
      <c r="CC1142" s="58"/>
      <c r="CD1142" s="89"/>
      <c r="CE1142" s="58"/>
    </row>
    <row r="1143" customFormat="false" ht="15.75" hidden="true" customHeight="true" outlineLevel="0" collapsed="false">
      <c r="F1143" s="59"/>
      <c r="K1143" s="89"/>
      <c r="O1143" s="90"/>
      <c r="AA1143" s="91"/>
      <c r="AP1143" s="92"/>
      <c r="AQ1143" s="93"/>
      <c r="AS1143" s="89"/>
      <c r="AY1143" s="91"/>
      <c r="BV1143" s="58"/>
      <c r="CC1143" s="58"/>
      <c r="CD1143" s="89"/>
      <c r="CE1143" s="58"/>
    </row>
    <row r="1144" customFormat="false" ht="15.75" hidden="true" customHeight="true" outlineLevel="0" collapsed="false">
      <c r="F1144" s="59"/>
      <c r="K1144" s="89"/>
      <c r="O1144" s="90"/>
      <c r="AA1144" s="91"/>
      <c r="AP1144" s="92"/>
      <c r="AQ1144" s="93"/>
      <c r="AS1144" s="89"/>
      <c r="AY1144" s="91"/>
      <c r="BV1144" s="58"/>
      <c r="CC1144" s="58"/>
      <c r="CD1144" s="89"/>
      <c r="CE1144" s="58"/>
    </row>
    <row r="1145" customFormat="false" ht="15.75" hidden="true" customHeight="true" outlineLevel="0" collapsed="false">
      <c r="F1145" s="59"/>
      <c r="K1145" s="89"/>
      <c r="O1145" s="90"/>
      <c r="AA1145" s="91"/>
      <c r="AP1145" s="92"/>
      <c r="AQ1145" s="93"/>
      <c r="AS1145" s="89"/>
      <c r="AY1145" s="91"/>
      <c r="BV1145" s="58"/>
      <c r="CC1145" s="58"/>
      <c r="CD1145" s="89"/>
      <c r="CE1145" s="58"/>
    </row>
    <row r="1146" customFormat="false" ht="15.75" hidden="true" customHeight="true" outlineLevel="0" collapsed="false">
      <c r="F1146" s="59"/>
      <c r="K1146" s="89"/>
      <c r="O1146" s="90"/>
      <c r="AA1146" s="91"/>
      <c r="AP1146" s="92"/>
      <c r="AQ1146" s="93"/>
      <c r="AS1146" s="89"/>
      <c r="AY1146" s="91"/>
      <c r="BV1146" s="58"/>
      <c r="CC1146" s="58"/>
      <c r="CD1146" s="89"/>
      <c r="CE1146" s="58"/>
    </row>
    <row r="1147" customFormat="false" ht="15.75" hidden="true" customHeight="true" outlineLevel="0" collapsed="false">
      <c r="F1147" s="59"/>
      <c r="K1147" s="89"/>
      <c r="O1147" s="90"/>
      <c r="AA1147" s="91"/>
      <c r="AP1147" s="92"/>
      <c r="AQ1147" s="93"/>
      <c r="AS1147" s="89"/>
      <c r="AY1147" s="91"/>
      <c r="BV1147" s="58"/>
      <c r="CC1147" s="58"/>
      <c r="CD1147" s="89"/>
      <c r="CE1147" s="58"/>
    </row>
    <row r="1148" customFormat="false" ht="15.75" hidden="true" customHeight="true" outlineLevel="0" collapsed="false">
      <c r="F1148" s="59"/>
      <c r="K1148" s="89"/>
      <c r="O1148" s="90"/>
      <c r="AA1148" s="91"/>
      <c r="AP1148" s="92"/>
      <c r="AQ1148" s="93"/>
      <c r="AS1148" s="89"/>
      <c r="AY1148" s="91"/>
      <c r="BV1148" s="58"/>
      <c r="CC1148" s="58"/>
      <c r="CD1148" s="89"/>
      <c r="CE1148" s="58"/>
    </row>
    <row r="1149" customFormat="false" ht="15.75" hidden="true" customHeight="true" outlineLevel="0" collapsed="false">
      <c r="F1149" s="59"/>
      <c r="K1149" s="89"/>
      <c r="O1149" s="90"/>
      <c r="AA1149" s="91"/>
      <c r="AP1149" s="92"/>
      <c r="AQ1149" s="93"/>
      <c r="AS1149" s="89"/>
      <c r="AY1149" s="91"/>
      <c r="BV1149" s="58"/>
      <c r="CC1149" s="58"/>
      <c r="CD1149" s="89"/>
      <c r="CE1149" s="58"/>
    </row>
    <row r="1150" customFormat="false" ht="15.75" hidden="true" customHeight="true" outlineLevel="0" collapsed="false">
      <c r="F1150" s="59"/>
      <c r="K1150" s="89"/>
      <c r="O1150" s="90"/>
      <c r="AA1150" s="91"/>
      <c r="AP1150" s="92"/>
      <c r="AQ1150" s="93"/>
      <c r="AS1150" s="89"/>
      <c r="AY1150" s="91"/>
      <c r="BV1150" s="58"/>
      <c r="CC1150" s="58"/>
      <c r="CD1150" s="89"/>
      <c r="CE1150" s="58"/>
    </row>
    <row r="1151" customFormat="false" ht="15.75" hidden="true" customHeight="true" outlineLevel="0" collapsed="false">
      <c r="F1151" s="59"/>
      <c r="K1151" s="89"/>
      <c r="O1151" s="90"/>
      <c r="AA1151" s="91"/>
      <c r="AP1151" s="92"/>
      <c r="AQ1151" s="93"/>
      <c r="AS1151" s="89"/>
      <c r="AY1151" s="91"/>
      <c r="BV1151" s="58"/>
      <c r="CC1151" s="58"/>
      <c r="CD1151" s="89"/>
      <c r="CE1151" s="58"/>
    </row>
    <row r="1152" customFormat="false" ht="15.75" hidden="true" customHeight="true" outlineLevel="0" collapsed="false">
      <c r="F1152" s="59"/>
      <c r="K1152" s="89"/>
      <c r="O1152" s="90"/>
      <c r="AA1152" s="91"/>
      <c r="AP1152" s="92"/>
      <c r="AQ1152" s="93"/>
      <c r="AS1152" s="89"/>
      <c r="AY1152" s="91"/>
      <c r="BV1152" s="58"/>
      <c r="CC1152" s="58"/>
      <c r="CD1152" s="89"/>
      <c r="CE1152" s="58"/>
    </row>
    <row r="1153" customFormat="false" ht="15.75" hidden="true" customHeight="true" outlineLevel="0" collapsed="false">
      <c r="F1153" s="59"/>
      <c r="K1153" s="89"/>
      <c r="O1153" s="90"/>
      <c r="AA1153" s="91"/>
      <c r="AP1153" s="92"/>
      <c r="AQ1153" s="93"/>
      <c r="AS1153" s="89"/>
      <c r="AY1153" s="91"/>
      <c r="BV1153" s="58"/>
      <c r="CC1153" s="58"/>
      <c r="CD1153" s="89"/>
      <c r="CE1153" s="58"/>
    </row>
    <row r="1154" customFormat="false" ht="15.75" hidden="true" customHeight="true" outlineLevel="0" collapsed="false">
      <c r="F1154" s="59"/>
      <c r="K1154" s="89"/>
      <c r="O1154" s="90"/>
      <c r="AA1154" s="91"/>
      <c r="AP1154" s="92"/>
      <c r="AQ1154" s="93"/>
      <c r="AS1154" s="89"/>
      <c r="AY1154" s="91"/>
      <c r="BV1154" s="58"/>
      <c r="CC1154" s="58"/>
      <c r="CD1154" s="89"/>
      <c r="CE1154" s="58"/>
    </row>
    <row r="1155" customFormat="false" ht="15.75" hidden="true" customHeight="true" outlineLevel="0" collapsed="false">
      <c r="F1155" s="59"/>
      <c r="K1155" s="89"/>
      <c r="O1155" s="90"/>
      <c r="AA1155" s="91"/>
      <c r="AP1155" s="92"/>
      <c r="AQ1155" s="93"/>
      <c r="AS1155" s="89"/>
      <c r="AY1155" s="91"/>
      <c r="BV1155" s="58"/>
      <c r="CC1155" s="58"/>
      <c r="CD1155" s="89"/>
      <c r="CE1155" s="58"/>
    </row>
    <row r="1156" customFormat="false" ht="15.75" hidden="true" customHeight="true" outlineLevel="0" collapsed="false">
      <c r="F1156" s="59"/>
      <c r="K1156" s="89"/>
      <c r="O1156" s="90"/>
      <c r="AA1156" s="91"/>
      <c r="AP1156" s="92"/>
      <c r="AQ1156" s="93"/>
      <c r="AS1156" s="89"/>
      <c r="AY1156" s="91"/>
      <c r="BV1156" s="58"/>
      <c r="CC1156" s="58"/>
      <c r="CD1156" s="89"/>
      <c r="CE1156" s="58"/>
    </row>
    <row r="1157" customFormat="false" ht="15.75" hidden="true" customHeight="true" outlineLevel="0" collapsed="false">
      <c r="F1157" s="59"/>
      <c r="K1157" s="89"/>
      <c r="O1157" s="90"/>
      <c r="AA1157" s="91"/>
      <c r="AP1157" s="92"/>
      <c r="AQ1157" s="93"/>
      <c r="AS1157" s="89"/>
      <c r="AY1157" s="91"/>
      <c r="BV1157" s="58"/>
      <c r="CC1157" s="58"/>
      <c r="CD1157" s="89"/>
      <c r="CE1157" s="58"/>
    </row>
    <row r="1158" customFormat="false" ht="15.75" hidden="true" customHeight="true" outlineLevel="0" collapsed="false">
      <c r="F1158" s="59"/>
      <c r="K1158" s="89"/>
      <c r="O1158" s="90"/>
      <c r="AA1158" s="91"/>
      <c r="AP1158" s="92"/>
      <c r="AQ1158" s="93"/>
      <c r="AS1158" s="89"/>
      <c r="AY1158" s="91"/>
      <c r="BV1158" s="58"/>
      <c r="CC1158" s="58"/>
      <c r="CD1158" s="89"/>
      <c r="CE1158" s="58"/>
    </row>
    <row r="1159" customFormat="false" ht="15.75" hidden="true" customHeight="true" outlineLevel="0" collapsed="false">
      <c r="F1159" s="59"/>
      <c r="K1159" s="89"/>
      <c r="O1159" s="90"/>
      <c r="AA1159" s="91"/>
      <c r="AP1159" s="92"/>
      <c r="AQ1159" s="93"/>
      <c r="AS1159" s="89"/>
      <c r="AY1159" s="91"/>
      <c r="BV1159" s="58"/>
      <c r="CC1159" s="58"/>
      <c r="CD1159" s="89"/>
      <c r="CE1159" s="58"/>
    </row>
    <row r="1160" customFormat="false" ht="15.75" hidden="true" customHeight="true" outlineLevel="0" collapsed="false">
      <c r="F1160" s="59"/>
      <c r="K1160" s="89"/>
      <c r="O1160" s="90"/>
      <c r="AA1160" s="91"/>
      <c r="AP1160" s="92"/>
      <c r="AQ1160" s="93"/>
      <c r="AS1160" s="89"/>
      <c r="AY1160" s="91"/>
      <c r="BV1160" s="58"/>
      <c r="CC1160" s="58"/>
      <c r="CD1160" s="89"/>
      <c r="CE1160" s="58"/>
    </row>
    <row r="1161" customFormat="false" ht="15.75" hidden="true" customHeight="true" outlineLevel="0" collapsed="false">
      <c r="F1161" s="59"/>
      <c r="K1161" s="89"/>
      <c r="O1161" s="90"/>
      <c r="AA1161" s="91"/>
      <c r="AP1161" s="92"/>
      <c r="AQ1161" s="93"/>
      <c r="AS1161" s="89"/>
      <c r="AY1161" s="91"/>
      <c r="BV1161" s="58"/>
      <c r="CC1161" s="58"/>
      <c r="CD1161" s="89"/>
      <c r="CE1161" s="58"/>
    </row>
    <row r="1162" customFormat="false" ht="15.75" hidden="true" customHeight="true" outlineLevel="0" collapsed="false">
      <c r="F1162" s="59"/>
      <c r="K1162" s="89"/>
      <c r="O1162" s="90"/>
      <c r="AA1162" s="91"/>
      <c r="AP1162" s="92"/>
      <c r="AQ1162" s="93"/>
      <c r="AS1162" s="89"/>
      <c r="AY1162" s="91"/>
      <c r="BV1162" s="58"/>
      <c r="CC1162" s="58"/>
      <c r="CD1162" s="89"/>
      <c r="CE1162" s="58"/>
    </row>
    <row r="1163" customFormat="false" ht="15.75" hidden="true" customHeight="true" outlineLevel="0" collapsed="false">
      <c r="F1163" s="59"/>
      <c r="K1163" s="89"/>
      <c r="O1163" s="90"/>
      <c r="AA1163" s="91"/>
      <c r="AP1163" s="92"/>
      <c r="AQ1163" s="93"/>
      <c r="AS1163" s="89"/>
      <c r="AY1163" s="91"/>
      <c r="BV1163" s="58"/>
      <c r="CC1163" s="58"/>
      <c r="CD1163" s="89"/>
      <c r="CE1163" s="58"/>
    </row>
    <row r="1164" customFormat="false" ht="15.75" hidden="true" customHeight="true" outlineLevel="0" collapsed="false">
      <c r="F1164" s="59"/>
      <c r="K1164" s="89"/>
      <c r="O1164" s="90"/>
      <c r="AA1164" s="91"/>
      <c r="AP1164" s="92"/>
      <c r="AQ1164" s="93"/>
      <c r="AS1164" s="89"/>
      <c r="AY1164" s="91"/>
      <c r="BV1164" s="58"/>
      <c r="CC1164" s="58"/>
      <c r="CD1164" s="89"/>
      <c r="CE1164" s="58"/>
    </row>
    <row r="1165" customFormat="false" ht="15.75" hidden="true" customHeight="true" outlineLevel="0" collapsed="false">
      <c r="F1165" s="59"/>
      <c r="K1165" s="89"/>
      <c r="O1165" s="90"/>
      <c r="AA1165" s="91"/>
      <c r="AP1165" s="92"/>
      <c r="AQ1165" s="93"/>
      <c r="AS1165" s="89"/>
      <c r="AY1165" s="91"/>
      <c r="BV1165" s="58"/>
      <c r="CC1165" s="58"/>
      <c r="CD1165" s="89"/>
      <c r="CE1165" s="58"/>
    </row>
    <row r="1166" customFormat="false" ht="15.75" hidden="true" customHeight="true" outlineLevel="0" collapsed="false">
      <c r="F1166" s="59"/>
      <c r="K1166" s="89"/>
      <c r="O1166" s="90"/>
      <c r="AA1166" s="91"/>
      <c r="AP1166" s="92"/>
      <c r="AQ1166" s="93"/>
      <c r="AS1166" s="89"/>
      <c r="AY1166" s="91"/>
      <c r="BV1166" s="58"/>
      <c r="CC1166" s="58"/>
      <c r="CD1166" s="89"/>
      <c r="CE1166" s="58"/>
    </row>
    <row r="1167" customFormat="false" ht="15.75" hidden="true" customHeight="true" outlineLevel="0" collapsed="false">
      <c r="F1167" s="59"/>
      <c r="K1167" s="89"/>
      <c r="O1167" s="90"/>
      <c r="AA1167" s="91"/>
      <c r="AP1167" s="92"/>
      <c r="AQ1167" s="93"/>
      <c r="AS1167" s="89"/>
      <c r="AY1167" s="91"/>
      <c r="BV1167" s="58"/>
      <c r="CC1167" s="58"/>
      <c r="CD1167" s="89"/>
      <c r="CE1167" s="58"/>
    </row>
    <row r="1168" customFormat="false" ht="15.75" hidden="true" customHeight="true" outlineLevel="0" collapsed="false">
      <c r="F1168" s="59"/>
      <c r="K1168" s="89"/>
      <c r="O1168" s="90"/>
      <c r="AA1168" s="91"/>
      <c r="AP1168" s="92"/>
      <c r="AQ1168" s="93"/>
      <c r="AS1168" s="89"/>
      <c r="AY1168" s="91"/>
      <c r="BV1168" s="58"/>
      <c r="CC1168" s="58"/>
      <c r="CD1168" s="89"/>
      <c r="CE1168" s="58"/>
    </row>
    <row r="1169" customFormat="false" ht="15.75" hidden="true" customHeight="true" outlineLevel="0" collapsed="false">
      <c r="F1169" s="59"/>
      <c r="K1169" s="89"/>
      <c r="O1169" s="90"/>
      <c r="AA1169" s="91"/>
      <c r="AP1169" s="92"/>
      <c r="AQ1169" s="93"/>
      <c r="AS1169" s="89"/>
      <c r="AY1169" s="91"/>
      <c r="BV1169" s="58"/>
      <c r="CC1169" s="58"/>
      <c r="CD1169" s="89"/>
      <c r="CE1169" s="58"/>
    </row>
    <row r="1170" customFormat="false" ht="15.75" hidden="true" customHeight="true" outlineLevel="0" collapsed="false">
      <c r="F1170" s="59"/>
      <c r="K1170" s="89"/>
      <c r="O1170" s="90"/>
      <c r="AA1170" s="91"/>
      <c r="AP1170" s="92"/>
      <c r="AQ1170" s="93"/>
      <c r="AS1170" s="89"/>
      <c r="AY1170" s="91"/>
      <c r="BV1170" s="58"/>
      <c r="CC1170" s="58"/>
      <c r="CD1170" s="89"/>
      <c r="CE1170" s="58"/>
    </row>
    <row r="1171" customFormat="false" ht="15.75" hidden="true" customHeight="true" outlineLevel="0" collapsed="false">
      <c r="F1171" s="59"/>
      <c r="K1171" s="89"/>
      <c r="O1171" s="90"/>
      <c r="AA1171" s="91"/>
      <c r="AP1171" s="92"/>
      <c r="AQ1171" s="93"/>
      <c r="AS1171" s="89"/>
      <c r="AY1171" s="91"/>
      <c r="BV1171" s="58"/>
      <c r="CC1171" s="58"/>
      <c r="CD1171" s="89"/>
      <c r="CE1171" s="58"/>
    </row>
    <row r="1172" customFormat="false" ht="15.75" hidden="true" customHeight="true" outlineLevel="0" collapsed="false">
      <c r="F1172" s="59"/>
      <c r="K1172" s="89"/>
      <c r="O1172" s="90"/>
      <c r="AA1172" s="91"/>
      <c r="AP1172" s="92"/>
      <c r="AQ1172" s="93"/>
      <c r="AS1172" s="89"/>
      <c r="AY1172" s="91"/>
      <c r="BV1172" s="58"/>
      <c r="CC1172" s="58"/>
      <c r="CD1172" s="89"/>
      <c r="CE1172" s="58"/>
    </row>
    <row r="1173" customFormat="false" ht="15.75" hidden="true" customHeight="true" outlineLevel="0" collapsed="false">
      <c r="F1173" s="59"/>
      <c r="K1173" s="89"/>
      <c r="O1173" s="90"/>
      <c r="AA1173" s="91"/>
      <c r="AP1173" s="92"/>
      <c r="AQ1173" s="93"/>
      <c r="AS1173" s="89"/>
      <c r="AY1173" s="91"/>
      <c r="BV1173" s="58"/>
      <c r="CC1173" s="58"/>
      <c r="CD1173" s="89"/>
      <c r="CE1173" s="58"/>
    </row>
    <row r="1174" customFormat="false" ht="15.75" hidden="true" customHeight="true" outlineLevel="0" collapsed="false">
      <c r="F1174" s="59"/>
      <c r="K1174" s="89"/>
      <c r="O1174" s="90"/>
      <c r="AA1174" s="91"/>
      <c r="AP1174" s="92"/>
      <c r="AQ1174" s="93"/>
      <c r="AS1174" s="89"/>
      <c r="AY1174" s="91"/>
      <c r="BV1174" s="58"/>
      <c r="CC1174" s="58"/>
      <c r="CD1174" s="89"/>
      <c r="CE1174" s="58"/>
    </row>
    <row r="1175" customFormat="false" ht="15.75" hidden="true" customHeight="true" outlineLevel="0" collapsed="false">
      <c r="F1175" s="59"/>
      <c r="K1175" s="89"/>
      <c r="O1175" s="90"/>
      <c r="AA1175" s="91"/>
      <c r="AP1175" s="92"/>
      <c r="AQ1175" s="93"/>
      <c r="AS1175" s="89"/>
      <c r="AY1175" s="91"/>
      <c r="BV1175" s="58"/>
      <c r="CC1175" s="58"/>
      <c r="CD1175" s="89"/>
      <c r="CE1175" s="58"/>
    </row>
    <row r="1176" customFormat="false" ht="15.75" hidden="true" customHeight="true" outlineLevel="0" collapsed="false">
      <c r="F1176" s="59"/>
      <c r="K1176" s="89"/>
      <c r="O1176" s="90"/>
      <c r="AA1176" s="91"/>
      <c r="AP1176" s="92"/>
      <c r="AQ1176" s="93"/>
      <c r="AS1176" s="89"/>
      <c r="AY1176" s="91"/>
      <c r="BV1176" s="58"/>
      <c r="CC1176" s="58"/>
      <c r="CD1176" s="89"/>
      <c r="CE1176" s="58"/>
    </row>
    <row r="1177" customFormat="false" ht="15.75" hidden="true" customHeight="true" outlineLevel="0" collapsed="false">
      <c r="F1177" s="59"/>
      <c r="K1177" s="89"/>
      <c r="O1177" s="90"/>
      <c r="AA1177" s="91"/>
      <c r="AP1177" s="92"/>
      <c r="AQ1177" s="93"/>
      <c r="AS1177" s="89"/>
      <c r="AY1177" s="91"/>
      <c r="BV1177" s="58"/>
      <c r="CC1177" s="58"/>
      <c r="CD1177" s="89"/>
      <c r="CE1177" s="58"/>
    </row>
    <row r="1178" customFormat="false" ht="15.75" hidden="true" customHeight="true" outlineLevel="0" collapsed="false">
      <c r="F1178" s="59"/>
      <c r="K1178" s="89"/>
      <c r="O1178" s="90"/>
      <c r="AA1178" s="91"/>
      <c r="AP1178" s="92"/>
      <c r="AQ1178" s="93"/>
      <c r="AS1178" s="89"/>
      <c r="AY1178" s="91"/>
      <c r="BV1178" s="58"/>
      <c r="CC1178" s="58"/>
      <c r="CD1178" s="89"/>
      <c r="CE1178" s="58"/>
    </row>
    <row r="1179" customFormat="false" ht="15.75" hidden="true" customHeight="true" outlineLevel="0" collapsed="false">
      <c r="F1179" s="59"/>
      <c r="K1179" s="89"/>
      <c r="O1179" s="90"/>
      <c r="AA1179" s="91"/>
      <c r="AP1179" s="92"/>
      <c r="AQ1179" s="93"/>
      <c r="AS1179" s="89"/>
      <c r="AY1179" s="91"/>
      <c r="BV1179" s="58"/>
      <c r="CC1179" s="58"/>
      <c r="CD1179" s="89"/>
      <c r="CE1179" s="58"/>
    </row>
    <row r="1180" customFormat="false" ht="15.75" hidden="true" customHeight="true" outlineLevel="0" collapsed="false">
      <c r="F1180" s="59"/>
      <c r="K1180" s="89"/>
      <c r="O1180" s="90"/>
      <c r="AA1180" s="91"/>
      <c r="AP1180" s="92"/>
      <c r="AQ1180" s="93"/>
      <c r="AS1180" s="89"/>
      <c r="AY1180" s="91"/>
      <c r="BV1180" s="58"/>
      <c r="CC1180" s="58"/>
      <c r="CD1180" s="89"/>
      <c r="CE1180" s="58"/>
    </row>
    <row r="1181" customFormat="false" ht="15.75" hidden="true" customHeight="true" outlineLevel="0" collapsed="false">
      <c r="F1181" s="59"/>
      <c r="K1181" s="89"/>
      <c r="O1181" s="90"/>
      <c r="AA1181" s="91"/>
      <c r="AP1181" s="92"/>
      <c r="AQ1181" s="93"/>
      <c r="AS1181" s="89"/>
      <c r="AY1181" s="91"/>
      <c r="BV1181" s="58"/>
      <c r="CC1181" s="58"/>
      <c r="CD1181" s="89"/>
      <c r="CE1181" s="58"/>
    </row>
    <row r="1182" customFormat="false" ht="15.75" hidden="true" customHeight="true" outlineLevel="0" collapsed="false">
      <c r="F1182" s="59"/>
      <c r="K1182" s="89"/>
      <c r="O1182" s="90"/>
      <c r="AA1182" s="91"/>
      <c r="AP1182" s="92"/>
      <c r="AQ1182" s="93"/>
      <c r="AS1182" s="89"/>
      <c r="AY1182" s="91"/>
      <c r="BV1182" s="58"/>
      <c r="CC1182" s="58"/>
      <c r="CD1182" s="89"/>
      <c r="CE1182" s="58"/>
    </row>
    <row r="1183" customFormat="false" ht="15.75" hidden="true" customHeight="true" outlineLevel="0" collapsed="false">
      <c r="F1183" s="59"/>
      <c r="K1183" s="89"/>
      <c r="O1183" s="90"/>
      <c r="AA1183" s="91"/>
      <c r="AP1183" s="92"/>
      <c r="AQ1183" s="93"/>
      <c r="AS1183" s="89"/>
      <c r="AY1183" s="91"/>
      <c r="BV1183" s="58"/>
      <c r="CC1183" s="58"/>
      <c r="CD1183" s="89"/>
      <c r="CE1183" s="58"/>
    </row>
    <row r="1184" customFormat="false" ht="15.75" hidden="true" customHeight="true" outlineLevel="0" collapsed="false">
      <c r="F1184" s="59"/>
      <c r="K1184" s="89"/>
      <c r="O1184" s="90"/>
      <c r="AA1184" s="91"/>
      <c r="AP1184" s="92"/>
      <c r="AQ1184" s="93"/>
      <c r="AS1184" s="89"/>
      <c r="AY1184" s="91"/>
      <c r="BV1184" s="58"/>
      <c r="CC1184" s="58"/>
      <c r="CD1184" s="89"/>
      <c r="CE1184" s="58"/>
    </row>
    <row r="1185" customFormat="false" ht="15.75" hidden="true" customHeight="true" outlineLevel="0" collapsed="false">
      <c r="F1185" s="59"/>
      <c r="K1185" s="89"/>
      <c r="O1185" s="90"/>
      <c r="AA1185" s="91"/>
      <c r="AP1185" s="92"/>
      <c r="AQ1185" s="93"/>
      <c r="AS1185" s="89"/>
      <c r="AY1185" s="91"/>
      <c r="BV1185" s="58"/>
      <c r="CC1185" s="58"/>
      <c r="CD1185" s="89"/>
      <c r="CE1185" s="58"/>
    </row>
    <row r="1186" customFormat="false" ht="15.75" hidden="true" customHeight="true" outlineLevel="0" collapsed="false">
      <c r="F1186" s="59"/>
      <c r="K1186" s="89"/>
      <c r="O1186" s="90"/>
      <c r="AA1186" s="91"/>
      <c r="AP1186" s="92"/>
      <c r="AQ1186" s="93"/>
      <c r="AS1186" s="89"/>
      <c r="AY1186" s="91"/>
      <c r="BV1186" s="58"/>
      <c r="CC1186" s="58"/>
      <c r="CD1186" s="89"/>
      <c r="CE1186" s="58"/>
    </row>
    <row r="1187" customFormat="false" ht="15.75" hidden="true" customHeight="true" outlineLevel="0" collapsed="false">
      <c r="F1187" s="59"/>
      <c r="K1187" s="89"/>
      <c r="O1187" s="90"/>
      <c r="AA1187" s="91"/>
      <c r="AP1187" s="92"/>
      <c r="AQ1187" s="93"/>
      <c r="AS1187" s="89"/>
      <c r="AY1187" s="91"/>
      <c r="BV1187" s="58"/>
      <c r="CC1187" s="58"/>
      <c r="CD1187" s="89"/>
      <c r="CE1187" s="58"/>
    </row>
    <row r="1188" customFormat="false" ht="15.75" hidden="true" customHeight="true" outlineLevel="0" collapsed="false">
      <c r="F1188" s="59"/>
      <c r="K1188" s="89"/>
      <c r="O1188" s="90"/>
      <c r="AA1188" s="91"/>
      <c r="AP1188" s="92"/>
      <c r="AQ1188" s="93"/>
      <c r="AS1188" s="89"/>
      <c r="AY1188" s="91"/>
      <c r="BV1188" s="58"/>
      <c r="CC1188" s="58"/>
      <c r="CD1188" s="89"/>
      <c r="CE1188" s="58"/>
    </row>
    <row r="1189" customFormat="false" ht="15.75" hidden="true" customHeight="true" outlineLevel="0" collapsed="false">
      <c r="F1189" s="59"/>
      <c r="K1189" s="89"/>
      <c r="O1189" s="90"/>
      <c r="AA1189" s="91"/>
      <c r="AP1189" s="92"/>
      <c r="AQ1189" s="93"/>
      <c r="AS1189" s="89"/>
      <c r="AY1189" s="91"/>
      <c r="BV1189" s="58"/>
      <c r="CC1189" s="58"/>
      <c r="CD1189" s="89"/>
      <c r="CE1189" s="58"/>
    </row>
    <row r="1190" customFormat="false" ht="15.75" hidden="true" customHeight="true" outlineLevel="0" collapsed="false">
      <c r="F1190" s="59"/>
      <c r="K1190" s="89"/>
      <c r="O1190" s="90"/>
      <c r="AA1190" s="91"/>
      <c r="AP1190" s="92"/>
      <c r="AQ1190" s="93"/>
      <c r="AS1190" s="89"/>
      <c r="AY1190" s="91"/>
      <c r="BV1190" s="58"/>
      <c r="CC1190" s="58"/>
      <c r="CD1190" s="89"/>
      <c r="CE1190" s="58"/>
    </row>
    <row r="1191" customFormat="false" ht="15.75" hidden="true" customHeight="true" outlineLevel="0" collapsed="false">
      <c r="F1191" s="59"/>
      <c r="K1191" s="89"/>
      <c r="O1191" s="90"/>
      <c r="AA1191" s="91"/>
      <c r="AP1191" s="92"/>
      <c r="AQ1191" s="93"/>
      <c r="AS1191" s="89"/>
      <c r="AY1191" s="91"/>
      <c r="BV1191" s="58"/>
      <c r="CC1191" s="58"/>
      <c r="CD1191" s="89"/>
      <c r="CE1191" s="58"/>
    </row>
    <row r="1192" customFormat="false" ht="15.75" hidden="true" customHeight="true" outlineLevel="0" collapsed="false">
      <c r="F1192" s="59"/>
      <c r="K1192" s="89"/>
      <c r="O1192" s="90"/>
      <c r="AA1192" s="91"/>
      <c r="AP1192" s="92"/>
      <c r="AQ1192" s="93"/>
      <c r="AS1192" s="89"/>
      <c r="AY1192" s="91"/>
      <c r="BV1192" s="58"/>
      <c r="CC1192" s="58"/>
      <c r="CD1192" s="89"/>
      <c r="CE1192" s="58"/>
    </row>
    <row r="1193" customFormat="false" ht="15.75" hidden="true" customHeight="true" outlineLevel="0" collapsed="false">
      <c r="F1193" s="59"/>
      <c r="K1193" s="89"/>
      <c r="O1193" s="90"/>
      <c r="AA1193" s="91"/>
      <c r="AP1193" s="92"/>
      <c r="AQ1193" s="93"/>
      <c r="AS1193" s="89"/>
      <c r="AY1193" s="91"/>
      <c r="BV1193" s="58"/>
      <c r="CC1193" s="58"/>
      <c r="CD1193" s="89"/>
      <c r="CE1193" s="58"/>
    </row>
    <row r="1194" customFormat="false" ht="15.75" hidden="true" customHeight="true" outlineLevel="0" collapsed="false">
      <c r="F1194" s="59"/>
      <c r="K1194" s="89"/>
      <c r="O1194" s="90"/>
      <c r="AA1194" s="91"/>
      <c r="AP1194" s="92"/>
      <c r="AQ1194" s="93"/>
      <c r="AS1194" s="89"/>
      <c r="AY1194" s="91"/>
      <c r="BV1194" s="58"/>
      <c r="CC1194" s="58"/>
      <c r="CD1194" s="89"/>
      <c r="CE1194" s="58"/>
    </row>
    <row r="1195" customFormat="false" ht="15.75" hidden="true" customHeight="true" outlineLevel="0" collapsed="false">
      <c r="F1195" s="59"/>
      <c r="K1195" s="89"/>
      <c r="O1195" s="90"/>
      <c r="AA1195" s="91"/>
      <c r="AP1195" s="92"/>
      <c r="AQ1195" s="93"/>
      <c r="AS1195" s="89"/>
      <c r="AY1195" s="91"/>
      <c r="BV1195" s="58"/>
      <c r="CC1195" s="58"/>
      <c r="CD1195" s="89"/>
      <c r="CE1195" s="58"/>
    </row>
    <row r="1196" customFormat="false" ht="15.75" hidden="true" customHeight="true" outlineLevel="0" collapsed="false">
      <c r="F1196" s="59"/>
      <c r="K1196" s="89"/>
      <c r="O1196" s="90"/>
      <c r="AA1196" s="91"/>
      <c r="AP1196" s="92"/>
      <c r="AQ1196" s="93"/>
      <c r="AS1196" s="89"/>
      <c r="AY1196" s="91"/>
      <c r="BV1196" s="58"/>
      <c r="CC1196" s="58"/>
      <c r="CD1196" s="89"/>
      <c r="CE1196" s="58"/>
    </row>
    <row r="1197" customFormat="false" ht="15.75" hidden="true" customHeight="true" outlineLevel="0" collapsed="false">
      <c r="F1197" s="59"/>
      <c r="K1197" s="89"/>
      <c r="O1197" s="90"/>
      <c r="AA1197" s="91"/>
      <c r="AP1197" s="92"/>
      <c r="AQ1197" s="93"/>
      <c r="AS1197" s="89"/>
      <c r="AY1197" s="91"/>
      <c r="BV1197" s="58"/>
      <c r="CC1197" s="58"/>
      <c r="CD1197" s="89"/>
      <c r="CE1197" s="58"/>
    </row>
    <row r="1198" customFormat="false" ht="15.75" hidden="true" customHeight="true" outlineLevel="0" collapsed="false">
      <c r="F1198" s="59"/>
      <c r="K1198" s="89"/>
      <c r="O1198" s="90"/>
      <c r="AA1198" s="91"/>
      <c r="AP1198" s="92"/>
      <c r="AQ1198" s="93"/>
      <c r="AS1198" s="89"/>
      <c r="AY1198" s="91"/>
      <c r="BV1198" s="58"/>
      <c r="CC1198" s="58"/>
      <c r="CD1198" s="89"/>
      <c r="CE1198" s="58"/>
    </row>
    <row r="1199" customFormat="false" ht="15.75" hidden="true" customHeight="true" outlineLevel="0" collapsed="false">
      <c r="F1199" s="59"/>
      <c r="K1199" s="89"/>
      <c r="O1199" s="90"/>
      <c r="AA1199" s="91"/>
      <c r="AP1199" s="92"/>
      <c r="AQ1199" s="93"/>
      <c r="AS1199" s="89"/>
      <c r="AY1199" s="91"/>
      <c r="BV1199" s="58"/>
      <c r="CC1199" s="58"/>
      <c r="CD1199" s="89"/>
      <c r="CE1199" s="58"/>
    </row>
    <row r="1200" customFormat="false" ht="15.75" hidden="true" customHeight="true" outlineLevel="0" collapsed="false">
      <c r="F1200" s="59"/>
      <c r="K1200" s="89"/>
      <c r="O1200" s="90"/>
      <c r="AA1200" s="91"/>
      <c r="AP1200" s="92"/>
      <c r="AQ1200" s="93"/>
      <c r="AS1200" s="89"/>
      <c r="AY1200" s="91"/>
      <c r="BV1200" s="58"/>
      <c r="CC1200" s="58"/>
      <c r="CD1200" s="89"/>
      <c r="CE1200" s="58"/>
    </row>
    <row r="1201" customFormat="false" ht="15" hidden="true" customHeight="false" outlineLevel="0" collapsed="false">
      <c r="B1201" s="58"/>
      <c r="C1201" s="58"/>
      <c r="D1201" s="59"/>
      <c r="E1201" s="60" t="str">
        <f aca="false">IF(LEN(D1201)=11,"PF",IF(LEN(D1201)=14,"PJ",""))</f>
        <v/>
      </c>
      <c r="F1201" s="59"/>
      <c r="G1201" s="59"/>
      <c r="H1201" s="61" t="str">
        <f aca="false">IF(G1201&lt;&gt;"",VLOOKUP(G1201,'Cnae  mcc  id'!$A:$M,9,0),"")</f>
        <v/>
      </c>
      <c r="I1201" s="62"/>
      <c r="J1201" s="63" t="str">
        <f aca="false">IF(I1201&lt;&gt;"",VLOOKUP(I1201,'Legal Nature'!$E$2:$G$84,3,0),"")</f>
        <v/>
      </c>
      <c r="K1201" s="64"/>
      <c r="L1201" s="65"/>
      <c r="M1201" s="66"/>
      <c r="N1201" s="66"/>
      <c r="O1201" s="79"/>
      <c r="P1201" s="26"/>
      <c r="Q1201" s="58"/>
      <c r="R1201" s="58"/>
      <c r="S1201" s="80"/>
      <c r="T1201" s="68"/>
      <c r="U1201" s="58" t="str">
        <f aca="false">IF( T1201&lt;&gt;"",VLOOKUP(T1201,Selects!$M$4:$N$1000,2,0),"")</f>
        <v/>
      </c>
      <c r="V1201" s="26"/>
      <c r="W1201" s="58"/>
      <c r="X1201" s="58"/>
      <c r="Y1201" s="58"/>
      <c r="Z1201" s="58"/>
      <c r="AA1201" s="69"/>
      <c r="AB1201" s="58"/>
      <c r="AC1201" s="58"/>
      <c r="AD1201" s="72" t="str">
        <f aca="false">IF(AC1201&lt;&gt;"",VLOOKUP(AC1201,Selects!$B$4:$C$100,2,0),"")</f>
        <v/>
      </c>
      <c r="AE1201" s="26"/>
      <c r="AF1201" s="58"/>
      <c r="AG1201" s="59"/>
      <c r="AH1201" s="65"/>
      <c r="AI1201" s="66"/>
      <c r="AJ1201" s="66"/>
      <c r="AK1201" s="58"/>
      <c r="AL1201" s="58"/>
      <c r="AM1201" s="68" t="str">
        <f aca="false">IF(LEFT(AL1201,1)="9","Celular",IF(AL1201="","","Fixo"))</f>
        <v/>
      </c>
      <c r="AN1201" s="58" t="str">
        <f aca="false">IF( AM1201&lt;&gt;"",VLOOKUP(AM1201,Selects!$M$4:$N$1000,2,0),"")</f>
        <v/>
      </c>
      <c r="AO1201" s="58"/>
      <c r="AP1201" s="59"/>
      <c r="AQ1201" s="66"/>
      <c r="AR1201" s="58"/>
      <c r="AS1201" s="58"/>
      <c r="AT1201" s="26"/>
      <c r="AU1201" s="58"/>
      <c r="AV1201" s="58"/>
      <c r="AW1201" s="58"/>
      <c r="AX1201" s="58"/>
      <c r="AY1201" s="71"/>
      <c r="AZ1201" s="58"/>
      <c r="BA1201" s="58"/>
      <c r="BB1201" s="72" t="str">
        <f aca="false">IF(BA1201&lt;&gt;"",VLOOKUP(BA1201,Selects!$B$4:$C$100,2,0),"")</f>
        <v/>
      </c>
      <c r="BC1201" s="26"/>
      <c r="BD1201" s="26"/>
      <c r="BE1201" s="73"/>
      <c r="BF1201" s="74"/>
      <c r="BG1201" s="75" t="str">
        <f aca="false">IF(LEN(BF1201)=11,"PF",IF(LEN(BF1201)=14,"PJ",""))</f>
        <v/>
      </c>
      <c r="BH1201" s="66"/>
      <c r="BI1201" s="58" t="str">
        <f aca="false">IF(BH1201&lt;&gt;"",VLOOKUP(BH1201,Selects!$G:$H,2,0),"")</f>
        <v/>
      </c>
      <c r="BJ1201" s="58"/>
      <c r="BK1201" s="58"/>
      <c r="BL1201" s="59"/>
      <c r="BM1201" s="58"/>
      <c r="BN1201" s="58"/>
      <c r="BO1201" s="58" t="str">
        <f aca="false">IF(BN1201&lt;&gt;"",VLOOKUP(BN1201,Selects!$J$4:$K$1000,2,0),"")</f>
        <v/>
      </c>
      <c r="BP1201" s="76"/>
      <c r="BQ1201" s="59"/>
      <c r="BR1201" s="77"/>
      <c r="BS1201" s="59"/>
      <c r="BT1201" s="77"/>
      <c r="BU1201" s="58"/>
      <c r="BV1201" s="58"/>
      <c r="BW1201" s="58"/>
      <c r="BX1201" s="58"/>
      <c r="BY1201" s="58"/>
      <c r="BZ1201" s="58"/>
      <c r="CA1201" s="58"/>
      <c r="CB1201" s="72" t="str">
        <f aca="false">IF(AC1201&lt;&gt;"",VLOOKUP(AC1201,Selects!$B:$E,4,0),"")</f>
        <v/>
      </c>
      <c r="CC1201" s="58"/>
      <c r="CD1201" s="58"/>
      <c r="CE1201" s="58"/>
    </row>
    <row r="1202" customFormat="false" ht="15" hidden="true" customHeight="false" outlineLevel="0" collapsed="false">
      <c r="B1202" s="58"/>
      <c r="C1202" s="58"/>
      <c r="D1202" s="59"/>
      <c r="E1202" s="60" t="str">
        <f aca="false">IF(LEN(D1202)=11,"PF",IF(LEN(D1202)=14,"PJ",""))</f>
        <v/>
      </c>
      <c r="F1202" s="59"/>
      <c r="G1202" s="59"/>
      <c r="H1202" s="61" t="str">
        <f aca="false">IF(G1202&lt;&gt;"",VLOOKUP(G1202,'Cnae  mcc  id'!$A:$M,9,0),"")</f>
        <v/>
      </c>
      <c r="I1202" s="62"/>
      <c r="J1202" s="63" t="str">
        <f aca="false">IF(I1202&lt;&gt;"",VLOOKUP(I1202,'Legal Nature'!$E$2:$G$84,3,0),"")</f>
        <v/>
      </c>
      <c r="K1202" s="64"/>
      <c r="L1202" s="65"/>
      <c r="M1202" s="66"/>
      <c r="N1202" s="66"/>
      <c r="O1202" s="79"/>
      <c r="P1202" s="26"/>
      <c r="Q1202" s="58"/>
      <c r="R1202" s="58"/>
      <c r="S1202" s="80"/>
      <c r="T1202" s="68"/>
      <c r="U1202" s="58" t="str">
        <f aca="false">IF( T1202&lt;&gt;"",VLOOKUP(T1202,Selects!$M$4:$N$1000,2,0),"")</f>
        <v/>
      </c>
      <c r="V1202" s="26"/>
      <c r="W1202" s="58"/>
      <c r="X1202" s="58"/>
      <c r="Y1202" s="58"/>
      <c r="Z1202" s="58"/>
      <c r="AA1202" s="69"/>
      <c r="AB1202" s="58"/>
      <c r="AC1202" s="58"/>
      <c r="AD1202" s="72" t="str">
        <f aca="false">IF(AC1202&lt;&gt;"",VLOOKUP(AC1202,Selects!$B$4:$C$100,2,0),"")</f>
        <v/>
      </c>
      <c r="AE1202" s="26"/>
      <c r="AF1202" s="58"/>
      <c r="AG1202" s="59"/>
      <c r="AH1202" s="65"/>
      <c r="AI1202" s="66"/>
      <c r="AJ1202" s="66"/>
      <c r="AK1202" s="58"/>
      <c r="AL1202" s="58"/>
      <c r="AM1202" s="68" t="str">
        <f aca="false">IF(LEFT(AL1202,1)="9","Celular",IF(AL1202="","","Fixo"))</f>
        <v/>
      </c>
      <c r="AN1202" s="58" t="str">
        <f aca="false">IF( AM1202&lt;&gt;"",VLOOKUP(AM1202,Selects!$M$4:$N$1000,2,0),"")</f>
        <v/>
      </c>
      <c r="AO1202" s="58"/>
      <c r="AP1202" s="59"/>
      <c r="AQ1202" s="66"/>
      <c r="AR1202" s="58"/>
      <c r="AS1202" s="58"/>
      <c r="AT1202" s="26"/>
      <c r="AU1202" s="58"/>
      <c r="AV1202" s="58"/>
      <c r="AW1202" s="58"/>
      <c r="AX1202" s="58"/>
      <c r="AY1202" s="71"/>
      <c r="AZ1202" s="58"/>
      <c r="BA1202" s="58"/>
      <c r="BB1202" s="72" t="str">
        <f aca="false">IF(BA1202&lt;&gt;"",VLOOKUP(BA1202,Selects!$B$4:$C$100,2,0),"")</f>
        <v/>
      </c>
      <c r="BC1202" s="26"/>
      <c r="BD1202" s="26"/>
      <c r="BE1202" s="73"/>
      <c r="BF1202" s="74"/>
      <c r="BG1202" s="75" t="str">
        <f aca="false">IF(LEN(BF1202)=11,"PF",IF(LEN(BF1202)=14,"PJ",""))</f>
        <v/>
      </c>
      <c r="BH1202" s="66"/>
      <c r="BI1202" s="58" t="str">
        <f aca="false">IF(BH1202&lt;&gt;"",VLOOKUP(BH1202,Selects!$G:$H,2,0),"")</f>
        <v/>
      </c>
      <c r="BJ1202" s="58"/>
      <c r="BK1202" s="58"/>
      <c r="BL1202" s="59"/>
      <c r="BM1202" s="58"/>
      <c r="BN1202" s="58"/>
      <c r="BO1202" s="58" t="str">
        <f aca="false">IF(BN1202&lt;&gt;"",VLOOKUP(BN1202,Selects!$J$4:$K$1000,2,0),"")</f>
        <v/>
      </c>
      <c r="BP1202" s="76"/>
      <c r="BQ1202" s="59"/>
      <c r="BR1202" s="77"/>
      <c r="BS1202" s="59"/>
      <c r="BT1202" s="77"/>
      <c r="BU1202" s="58"/>
      <c r="BV1202" s="58"/>
      <c r="BW1202" s="58"/>
      <c r="BX1202" s="58"/>
      <c r="BY1202" s="58"/>
      <c r="BZ1202" s="58"/>
      <c r="CA1202" s="58"/>
      <c r="CB1202" s="72" t="str">
        <f aca="false">IF(AC1202&lt;&gt;"",VLOOKUP(AC1202,Selects!$B:$E,4,0),"")</f>
        <v/>
      </c>
      <c r="CC1202" s="58"/>
      <c r="CD1202" s="58"/>
      <c r="CE1202" s="58"/>
    </row>
    <row r="1203" customFormat="false" ht="15" hidden="true" customHeight="false" outlineLevel="0" collapsed="false">
      <c r="B1203" s="58"/>
      <c r="C1203" s="58"/>
      <c r="D1203" s="59"/>
      <c r="E1203" s="60" t="str">
        <f aca="false">IF(LEN(D1203)=11,"PF",IF(LEN(D1203)=14,"PJ",""))</f>
        <v/>
      </c>
      <c r="F1203" s="59"/>
      <c r="G1203" s="59"/>
      <c r="H1203" s="61" t="str">
        <f aca="false">IF(G1203&lt;&gt;"",VLOOKUP(G1203,'Cnae  mcc  id'!$A:$M,9,0),"")</f>
        <v/>
      </c>
      <c r="I1203" s="62"/>
      <c r="J1203" s="63" t="str">
        <f aca="false">IF(I1203&lt;&gt;"",VLOOKUP(I1203,'Legal Nature'!$E$2:$G$84,3,0),"")</f>
        <v/>
      </c>
      <c r="K1203" s="64"/>
      <c r="L1203" s="65"/>
      <c r="M1203" s="66"/>
      <c r="N1203" s="66"/>
      <c r="O1203" s="79"/>
      <c r="P1203" s="26"/>
      <c r="Q1203" s="58"/>
      <c r="R1203" s="58"/>
      <c r="S1203" s="80"/>
      <c r="T1203" s="68"/>
      <c r="U1203" s="58" t="str">
        <f aca="false">IF( T1203&lt;&gt;"",VLOOKUP(T1203,Selects!$M$4:$N$1000,2,0),"")</f>
        <v/>
      </c>
      <c r="V1203" s="26"/>
      <c r="W1203" s="58"/>
      <c r="X1203" s="58"/>
      <c r="Y1203" s="58"/>
      <c r="Z1203" s="58"/>
      <c r="AA1203" s="69"/>
      <c r="AB1203" s="58"/>
      <c r="AC1203" s="58"/>
      <c r="AD1203" s="72" t="str">
        <f aca="false">IF(AC1203&lt;&gt;"",VLOOKUP(AC1203,Selects!$B$4:$C$100,2,0),"")</f>
        <v/>
      </c>
      <c r="AE1203" s="26"/>
      <c r="AF1203" s="58"/>
      <c r="AG1203" s="59"/>
      <c r="AH1203" s="65"/>
      <c r="AI1203" s="66"/>
      <c r="AJ1203" s="66"/>
      <c r="AK1203" s="58"/>
      <c r="AL1203" s="58"/>
      <c r="AM1203" s="68" t="str">
        <f aca="false">IF(LEFT(AL1203,1)="9","Celular",IF(AL1203="","","Fixo"))</f>
        <v/>
      </c>
      <c r="AN1203" s="58" t="str">
        <f aca="false">IF( AM1203&lt;&gt;"",VLOOKUP(AM1203,Selects!$M$4:$N$1000,2,0),"")</f>
        <v/>
      </c>
      <c r="AO1203" s="58"/>
      <c r="AP1203" s="59"/>
      <c r="AQ1203" s="66"/>
      <c r="AR1203" s="58"/>
      <c r="AS1203" s="58"/>
      <c r="AT1203" s="26"/>
      <c r="AU1203" s="58"/>
      <c r="AV1203" s="58"/>
      <c r="AW1203" s="58"/>
      <c r="AX1203" s="58"/>
      <c r="AY1203" s="71"/>
      <c r="AZ1203" s="58"/>
      <c r="BA1203" s="58"/>
      <c r="BB1203" s="72" t="str">
        <f aca="false">IF(BA1203&lt;&gt;"",VLOOKUP(BA1203,Selects!$B$4:$C$100,2,0),"")</f>
        <v/>
      </c>
      <c r="BC1203" s="26"/>
      <c r="BD1203" s="26"/>
      <c r="BE1203" s="73"/>
      <c r="BF1203" s="74"/>
      <c r="BG1203" s="75" t="str">
        <f aca="false">IF(LEN(BF1203)=11,"PF",IF(LEN(BF1203)=14,"PJ",""))</f>
        <v/>
      </c>
      <c r="BH1203" s="66"/>
      <c r="BI1203" s="58" t="str">
        <f aca="false">IF(BH1203&lt;&gt;"",VLOOKUP(BH1203,Selects!$G:$H,2,0),"")</f>
        <v/>
      </c>
      <c r="BJ1203" s="58"/>
      <c r="BK1203" s="58"/>
      <c r="BL1203" s="59"/>
      <c r="BM1203" s="58"/>
      <c r="BN1203" s="58"/>
      <c r="BO1203" s="58" t="str">
        <f aca="false">IF(BN1203&lt;&gt;"",VLOOKUP(BN1203,Selects!$J$4:$K$1000,2,0),"")</f>
        <v/>
      </c>
      <c r="BP1203" s="76"/>
      <c r="BQ1203" s="59"/>
      <c r="BR1203" s="77"/>
      <c r="BS1203" s="59"/>
      <c r="BT1203" s="77"/>
      <c r="BU1203" s="58"/>
      <c r="BV1203" s="58"/>
      <c r="BW1203" s="58"/>
      <c r="BX1203" s="58"/>
      <c r="BY1203" s="58"/>
      <c r="BZ1203" s="58"/>
      <c r="CA1203" s="58"/>
      <c r="CB1203" s="72" t="str">
        <f aca="false">IF(AC1203&lt;&gt;"",VLOOKUP(AC1203,Selects!$B:$E,4,0),"")</f>
        <v/>
      </c>
      <c r="CC1203" s="58"/>
      <c r="CD1203" s="58"/>
      <c r="CE1203" s="58"/>
    </row>
    <row r="1204" customFormat="false" ht="15" hidden="true" customHeight="false" outlineLevel="0" collapsed="false">
      <c r="B1204" s="58"/>
      <c r="C1204" s="58"/>
      <c r="D1204" s="59"/>
      <c r="E1204" s="60" t="str">
        <f aca="false">IF(LEN(D1204)=11,"PF",IF(LEN(D1204)=14,"PJ",""))</f>
        <v/>
      </c>
      <c r="F1204" s="59"/>
      <c r="G1204" s="59"/>
      <c r="H1204" s="61" t="str">
        <f aca="false">IF(G1204&lt;&gt;"",VLOOKUP(G1204,'Cnae  mcc  id'!$A:$M,9,0),"")</f>
        <v/>
      </c>
      <c r="I1204" s="62"/>
      <c r="J1204" s="63" t="str">
        <f aca="false">IF(I1204&lt;&gt;"",VLOOKUP(I1204,'Legal Nature'!$E$2:$G$84,3,0),"")</f>
        <v/>
      </c>
      <c r="K1204" s="64"/>
      <c r="L1204" s="65"/>
      <c r="M1204" s="66"/>
      <c r="N1204" s="66"/>
      <c r="O1204" s="79"/>
      <c r="P1204" s="26"/>
      <c r="Q1204" s="58"/>
      <c r="R1204" s="58"/>
      <c r="S1204" s="80"/>
      <c r="T1204" s="68"/>
      <c r="U1204" s="58" t="str">
        <f aca="false">IF( T1204&lt;&gt;"",VLOOKUP(T1204,Selects!$M$4:$N$1000,2,0),"")</f>
        <v/>
      </c>
      <c r="V1204" s="26"/>
      <c r="W1204" s="58"/>
      <c r="X1204" s="58"/>
      <c r="Y1204" s="58"/>
      <c r="Z1204" s="58"/>
      <c r="AA1204" s="69"/>
      <c r="AB1204" s="58"/>
      <c r="AC1204" s="58"/>
      <c r="AD1204" s="72" t="str">
        <f aca="false">IF(AC1204&lt;&gt;"",VLOOKUP(AC1204,Selects!$B$4:$C$100,2,0),"")</f>
        <v/>
      </c>
      <c r="AE1204" s="26"/>
      <c r="AF1204" s="58"/>
      <c r="AG1204" s="59"/>
      <c r="AH1204" s="65"/>
      <c r="AI1204" s="66"/>
      <c r="AJ1204" s="66"/>
      <c r="AK1204" s="58"/>
      <c r="AL1204" s="58"/>
      <c r="AM1204" s="68" t="str">
        <f aca="false">IF(LEFT(AL1204,1)="9","Celular",IF(AL1204="","","Fixo"))</f>
        <v/>
      </c>
      <c r="AN1204" s="58" t="str">
        <f aca="false">IF( AM1204&lt;&gt;"",VLOOKUP(AM1204,Selects!$M$4:$N$1000,2,0),"")</f>
        <v/>
      </c>
      <c r="AO1204" s="58"/>
      <c r="AP1204" s="59"/>
      <c r="AQ1204" s="66"/>
      <c r="AR1204" s="58"/>
      <c r="AS1204" s="58"/>
      <c r="AT1204" s="26"/>
      <c r="AU1204" s="58"/>
      <c r="AV1204" s="58"/>
      <c r="AW1204" s="58"/>
      <c r="AX1204" s="58"/>
      <c r="AY1204" s="71"/>
      <c r="AZ1204" s="58"/>
      <c r="BA1204" s="58"/>
      <c r="BB1204" s="72" t="str">
        <f aca="false">IF(BA1204&lt;&gt;"",VLOOKUP(BA1204,Selects!$B$4:$C$100,2,0),"")</f>
        <v/>
      </c>
      <c r="BC1204" s="26"/>
      <c r="BD1204" s="26"/>
      <c r="BE1204" s="73"/>
      <c r="BF1204" s="74"/>
      <c r="BG1204" s="75" t="str">
        <f aca="false">IF(LEN(BF1204)=11,"PF",IF(LEN(BF1204)=14,"PJ",""))</f>
        <v/>
      </c>
      <c r="BH1204" s="66"/>
      <c r="BI1204" s="58" t="str">
        <f aca="false">IF(BH1204&lt;&gt;"",VLOOKUP(BH1204,Selects!$G:$H,2,0),"")</f>
        <v/>
      </c>
      <c r="BJ1204" s="58"/>
      <c r="BK1204" s="58"/>
      <c r="BL1204" s="59"/>
      <c r="BM1204" s="58"/>
      <c r="BN1204" s="58"/>
      <c r="BO1204" s="58" t="str">
        <f aca="false">IF(BN1204&lt;&gt;"",VLOOKUP(BN1204,Selects!$J$4:$K$1000,2,0),"")</f>
        <v/>
      </c>
      <c r="BP1204" s="76"/>
      <c r="BQ1204" s="59"/>
      <c r="BR1204" s="77"/>
      <c r="BS1204" s="59"/>
      <c r="BT1204" s="77"/>
      <c r="BU1204" s="58"/>
      <c r="BV1204" s="58"/>
      <c r="BW1204" s="58"/>
      <c r="BX1204" s="58"/>
      <c r="BY1204" s="58"/>
      <c r="BZ1204" s="58"/>
      <c r="CA1204" s="58"/>
      <c r="CB1204" s="72" t="str">
        <f aca="false">IF(AC1204&lt;&gt;"",VLOOKUP(AC1204,Selects!$B:$E,4,0),"")</f>
        <v/>
      </c>
      <c r="CC1204" s="58"/>
      <c r="CD1204" s="58"/>
      <c r="CE1204" s="58"/>
    </row>
    <row r="1205" customFormat="false" ht="15" hidden="true" customHeight="false" outlineLevel="0" collapsed="false">
      <c r="B1205" s="58"/>
      <c r="C1205" s="58"/>
      <c r="D1205" s="59"/>
      <c r="E1205" s="60" t="str">
        <f aca="false">IF(LEN(D1205)=11,"PF",IF(LEN(D1205)=14,"PJ",""))</f>
        <v/>
      </c>
      <c r="F1205" s="59"/>
      <c r="G1205" s="59"/>
      <c r="H1205" s="61" t="str">
        <f aca="false">IF(G1205&lt;&gt;"",VLOOKUP(G1205,'Cnae  mcc  id'!$A:$M,9,0),"")</f>
        <v/>
      </c>
      <c r="I1205" s="62"/>
      <c r="J1205" s="63" t="str">
        <f aca="false">IF(I1205&lt;&gt;"",VLOOKUP(I1205,'Legal Nature'!$E$2:$G$84,3,0),"")</f>
        <v/>
      </c>
      <c r="K1205" s="64"/>
      <c r="L1205" s="65"/>
      <c r="M1205" s="66"/>
      <c r="N1205" s="66"/>
      <c r="O1205" s="79"/>
      <c r="P1205" s="26"/>
      <c r="Q1205" s="58"/>
      <c r="R1205" s="58"/>
      <c r="S1205" s="80"/>
      <c r="T1205" s="68"/>
      <c r="U1205" s="58" t="str">
        <f aca="false">IF( T1205&lt;&gt;"",VLOOKUP(T1205,Selects!$M$4:$N$1000,2,0),"")</f>
        <v/>
      </c>
      <c r="V1205" s="26"/>
      <c r="W1205" s="58"/>
      <c r="X1205" s="58"/>
      <c r="Y1205" s="58"/>
      <c r="Z1205" s="58"/>
      <c r="AA1205" s="69"/>
      <c r="AB1205" s="58"/>
      <c r="AC1205" s="58"/>
      <c r="AD1205" s="72" t="str">
        <f aca="false">IF(AC1205&lt;&gt;"",VLOOKUP(AC1205,Selects!$B$4:$C$100,2,0),"")</f>
        <v/>
      </c>
      <c r="AE1205" s="26"/>
      <c r="AF1205" s="58"/>
      <c r="AG1205" s="59"/>
      <c r="AH1205" s="65"/>
      <c r="AI1205" s="66"/>
      <c r="AJ1205" s="66"/>
      <c r="AK1205" s="58"/>
      <c r="AL1205" s="58"/>
      <c r="AM1205" s="68" t="str">
        <f aca="false">IF(LEFT(AL1205,1)="9","Celular",IF(AL1205="","","Fixo"))</f>
        <v/>
      </c>
      <c r="AN1205" s="58" t="str">
        <f aca="false">IF( AM1205&lt;&gt;"",VLOOKUP(AM1205,Selects!$M$4:$N$1000,2,0),"")</f>
        <v/>
      </c>
      <c r="AO1205" s="58"/>
      <c r="AP1205" s="59"/>
      <c r="AQ1205" s="66"/>
      <c r="AR1205" s="58"/>
      <c r="AS1205" s="58"/>
      <c r="AT1205" s="26"/>
      <c r="AU1205" s="58"/>
      <c r="AV1205" s="58"/>
      <c r="AW1205" s="58"/>
      <c r="AX1205" s="58"/>
      <c r="AY1205" s="71"/>
      <c r="AZ1205" s="58"/>
      <c r="BA1205" s="58"/>
      <c r="BB1205" s="72" t="str">
        <f aca="false">IF(BA1205&lt;&gt;"",VLOOKUP(BA1205,Selects!$B$4:$C$100,2,0),"")</f>
        <v/>
      </c>
      <c r="BC1205" s="26"/>
      <c r="BD1205" s="26"/>
      <c r="BE1205" s="73"/>
      <c r="BF1205" s="74"/>
      <c r="BG1205" s="75" t="str">
        <f aca="false">IF(LEN(BF1205)=11,"PF",IF(LEN(BF1205)=14,"PJ",""))</f>
        <v/>
      </c>
      <c r="BH1205" s="66"/>
      <c r="BI1205" s="58" t="str">
        <f aca="false">IF(BH1205&lt;&gt;"",VLOOKUP(BH1205,Selects!$G:$H,2,0),"")</f>
        <v/>
      </c>
      <c r="BJ1205" s="58"/>
      <c r="BK1205" s="58"/>
      <c r="BL1205" s="59"/>
      <c r="BM1205" s="58"/>
      <c r="BN1205" s="58"/>
      <c r="BO1205" s="58" t="str">
        <f aca="false">IF(BN1205&lt;&gt;"",VLOOKUP(BN1205,Selects!$J$4:$K$1000,2,0),"")</f>
        <v/>
      </c>
      <c r="BP1205" s="76"/>
      <c r="BQ1205" s="59"/>
      <c r="BR1205" s="77"/>
      <c r="BS1205" s="59"/>
      <c r="BT1205" s="77"/>
      <c r="BU1205" s="58"/>
      <c r="BV1205" s="58"/>
      <c r="BW1205" s="58"/>
      <c r="BX1205" s="58"/>
      <c r="BY1205" s="58"/>
      <c r="BZ1205" s="58"/>
      <c r="CA1205" s="58"/>
      <c r="CB1205" s="72" t="str">
        <f aca="false">IF(AC1205&lt;&gt;"",VLOOKUP(AC1205,Selects!$B:$E,4,0),"")</f>
        <v/>
      </c>
      <c r="CC1205" s="58"/>
      <c r="CD1205" s="58"/>
      <c r="CE1205" s="58"/>
    </row>
    <row r="1206" customFormat="false" ht="15" hidden="true" customHeight="false" outlineLevel="0" collapsed="false">
      <c r="B1206" s="58"/>
      <c r="C1206" s="58"/>
      <c r="D1206" s="59"/>
      <c r="E1206" s="60" t="str">
        <f aca="false">IF(LEN(D1206)=11,"PF",IF(LEN(D1206)=14,"PJ",""))</f>
        <v/>
      </c>
      <c r="F1206" s="59"/>
      <c r="G1206" s="59"/>
      <c r="H1206" s="61" t="str">
        <f aca="false">IF(G1206&lt;&gt;"",VLOOKUP(G1206,'Cnae  mcc  id'!$A:$M,9,0),"")</f>
        <v/>
      </c>
      <c r="I1206" s="62"/>
      <c r="J1206" s="63" t="str">
        <f aca="false">IF(I1206&lt;&gt;"",VLOOKUP(I1206,'Legal Nature'!$E$2:$G$84,3,0),"")</f>
        <v/>
      </c>
      <c r="K1206" s="64"/>
      <c r="L1206" s="65"/>
      <c r="M1206" s="66"/>
      <c r="N1206" s="66"/>
      <c r="O1206" s="79"/>
      <c r="P1206" s="26"/>
      <c r="Q1206" s="58"/>
      <c r="R1206" s="58"/>
      <c r="S1206" s="80"/>
      <c r="T1206" s="68"/>
      <c r="U1206" s="58" t="str">
        <f aca="false">IF( T1206&lt;&gt;"",VLOOKUP(T1206,Selects!$M$4:$N$1000,2,0),"")</f>
        <v/>
      </c>
      <c r="V1206" s="26"/>
      <c r="W1206" s="58"/>
      <c r="X1206" s="58"/>
      <c r="Y1206" s="58"/>
      <c r="Z1206" s="58"/>
      <c r="AA1206" s="69"/>
      <c r="AB1206" s="58"/>
      <c r="AC1206" s="58"/>
      <c r="AD1206" s="72" t="str">
        <f aca="false">IF(AC1206&lt;&gt;"",VLOOKUP(AC1206,Selects!$B$4:$C$100,2,0),"")</f>
        <v/>
      </c>
      <c r="AE1206" s="26"/>
      <c r="AF1206" s="58"/>
      <c r="AG1206" s="59"/>
      <c r="AH1206" s="65"/>
      <c r="AI1206" s="66"/>
      <c r="AJ1206" s="66"/>
      <c r="AK1206" s="58"/>
      <c r="AL1206" s="58"/>
      <c r="AM1206" s="68" t="str">
        <f aca="false">IF(LEFT(AL1206,1)="9","Celular",IF(AL1206="","","Fixo"))</f>
        <v/>
      </c>
      <c r="AN1206" s="58" t="str">
        <f aca="false">IF( AM1206&lt;&gt;"",VLOOKUP(AM1206,Selects!$M$4:$N$1000,2,0),"")</f>
        <v/>
      </c>
      <c r="AO1206" s="58"/>
      <c r="AP1206" s="59"/>
      <c r="AQ1206" s="66"/>
      <c r="AR1206" s="58"/>
      <c r="AS1206" s="58"/>
      <c r="AT1206" s="26"/>
      <c r="AU1206" s="58"/>
      <c r="AV1206" s="58"/>
      <c r="AW1206" s="58"/>
      <c r="AX1206" s="58"/>
      <c r="AY1206" s="71"/>
      <c r="AZ1206" s="58"/>
      <c r="BA1206" s="58"/>
      <c r="BB1206" s="72" t="str">
        <f aca="false">IF(BA1206&lt;&gt;"",VLOOKUP(BA1206,Selects!$B$4:$C$100,2,0),"")</f>
        <v/>
      </c>
      <c r="BC1206" s="26"/>
      <c r="BD1206" s="26"/>
      <c r="BE1206" s="73"/>
      <c r="BF1206" s="74"/>
      <c r="BG1206" s="75" t="str">
        <f aca="false">IF(LEN(BF1206)=11,"PF",IF(LEN(BF1206)=14,"PJ",""))</f>
        <v/>
      </c>
      <c r="BH1206" s="66"/>
      <c r="BI1206" s="58" t="str">
        <f aca="false">IF(BH1206&lt;&gt;"",VLOOKUP(BH1206,Selects!$G:$H,2,0),"")</f>
        <v/>
      </c>
      <c r="BJ1206" s="58"/>
      <c r="BK1206" s="58"/>
      <c r="BL1206" s="59"/>
      <c r="BM1206" s="58"/>
      <c r="BN1206" s="58"/>
      <c r="BO1206" s="58" t="str">
        <f aca="false">IF(BN1206&lt;&gt;"",VLOOKUP(BN1206,Selects!$J$4:$K$1000,2,0),"")</f>
        <v/>
      </c>
      <c r="BP1206" s="76"/>
      <c r="BQ1206" s="59"/>
      <c r="BR1206" s="77"/>
      <c r="BS1206" s="59"/>
      <c r="BT1206" s="77"/>
      <c r="BU1206" s="58"/>
      <c r="BV1206" s="58"/>
      <c r="BW1206" s="58"/>
      <c r="BX1206" s="58"/>
      <c r="BY1206" s="58"/>
      <c r="BZ1206" s="58"/>
      <c r="CA1206" s="58"/>
      <c r="CB1206" s="72" t="str">
        <f aca="false">IF(AC1206&lt;&gt;"",VLOOKUP(AC1206,Selects!$B:$E,4,0),"")</f>
        <v/>
      </c>
      <c r="CC1206" s="58"/>
      <c r="CD1206" s="58"/>
      <c r="CE1206" s="58"/>
    </row>
    <row r="1207" customFormat="false" ht="15" hidden="true" customHeight="false" outlineLevel="0" collapsed="false">
      <c r="B1207" s="58"/>
      <c r="C1207" s="58"/>
      <c r="D1207" s="59"/>
      <c r="E1207" s="60" t="str">
        <f aca="false">IF(LEN(D1207)=11,"PF",IF(LEN(D1207)=14,"PJ",""))</f>
        <v/>
      </c>
      <c r="F1207" s="59"/>
      <c r="G1207" s="59"/>
      <c r="H1207" s="61" t="str">
        <f aca="false">IF(G1207&lt;&gt;"",VLOOKUP(G1207,'Cnae  mcc  id'!$A:$M,9,0),"")</f>
        <v/>
      </c>
      <c r="I1207" s="62"/>
      <c r="J1207" s="63" t="str">
        <f aca="false">IF(I1207&lt;&gt;"",VLOOKUP(I1207,'Legal Nature'!$E$2:$G$84,3,0),"")</f>
        <v/>
      </c>
      <c r="K1207" s="64"/>
      <c r="L1207" s="65"/>
      <c r="M1207" s="66"/>
      <c r="N1207" s="66"/>
      <c r="O1207" s="79"/>
      <c r="P1207" s="26"/>
      <c r="Q1207" s="58"/>
      <c r="R1207" s="58"/>
      <c r="S1207" s="80"/>
      <c r="T1207" s="68"/>
      <c r="U1207" s="58" t="str">
        <f aca="false">IF( T1207&lt;&gt;"",VLOOKUP(T1207,Selects!$M$4:$N$1000,2,0),"")</f>
        <v/>
      </c>
      <c r="V1207" s="26"/>
      <c r="W1207" s="58"/>
      <c r="X1207" s="58"/>
      <c r="Y1207" s="58"/>
      <c r="Z1207" s="58"/>
      <c r="AA1207" s="69"/>
      <c r="AB1207" s="58"/>
      <c r="AC1207" s="58"/>
      <c r="AD1207" s="72" t="str">
        <f aca="false">IF(AC1207&lt;&gt;"",VLOOKUP(AC1207,Selects!$B$4:$C$100,2,0),"")</f>
        <v/>
      </c>
      <c r="AE1207" s="26"/>
      <c r="AF1207" s="58"/>
      <c r="AG1207" s="59"/>
      <c r="AH1207" s="65"/>
      <c r="AI1207" s="66"/>
      <c r="AJ1207" s="66"/>
      <c r="AK1207" s="58"/>
      <c r="AL1207" s="58"/>
      <c r="AM1207" s="68" t="str">
        <f aca="false">IF(LEFT(AL1207,1)="9","Celular",IF(AL1207="","","Fixo"))</f>
        <v/>
      </c>
      <c r="AN1207" s="58" t="str">
        <f aca="false">IF( AM1207&lt;&gt;"",VLOOKUP(AM1207,Selects!$M$4:$N$1000,2,0),"")</f>
        <v/>
      </c>
      <c r="AO1207" s="58"/>
      <c r="AP1207" s="59"/>
      <c r="AQ1207" s="66"/>
      <c r="AR1207" s="58"/>
      <c r="AS1207" s="58"/>
      <c r="AT1207" s="26"/>
      <c r="AU1207" s="58"/>
      <c r="AV1207" s="58"/>
      <c r="AW1207" s="58"/>
      <c r="AX1207" s="58"/>
      <c r="AY1207" s="71"/>
      <c r="AZ1207" s="58"/>
      <c r="BA1207" s="58"/>
      <c r="BB1207" s="72" t="str">
        <f aca="false">IF(BA1207&lt;&gt;"",VLOOKUP(BA1207,Selects!$B$4:$C$100,2,0),"")</f>
        <v/>
      </c>
      <c r="BC1207" s="26"/>
      <c r="BD1207" s="26"/>
      <c r="BE1207" s="73"/>
      <c r="BF1207" s="74"/>
      <c r="BG1207" s="75" t="str">
        <f aca="false">IF(LEN(BF1207)=11,"PF",IF(LEN(BF1207)=14,"PJ",""))</f>
        <v/>
      </c>
      <c r="BH1207" s="66"/>
      <c r="BI1207" s="58" t="str">
        <f aca="false">IF(BH1207&lt;&gt;"",VLOOKUP(BH1207,Selects!$G:$H,2,0),"")</f>
        <v/>
      </c>
      <c r="BJ1207" s="58"/>
      <c r="BK1207" s="58"/>
      <c r="BL1207" s="59"/>
      <c r="BM1207" s="58"/>
      <c r="BN1207" s="58"/>
      <c r="BO1207" s="58" t="str">
        <f aca="false">IF(BN1207&lt;&gt;"",VLOOKUP(BN1207,Selects!$J$4:$K$1000,2,0),"")</f>
        <v/>
      </c>
      <c r="BP1207" s="76"/>
      <c r="BQ1207" s="59"/>
      <c r="BR1207" s="77"/>
      <c r="BS1207" s="59"/>
      <c r="BT1207" s="77"/>
      <c r="BU1207" s="58"/>
      <c r="BV1207" s="58"/>
      <c r="BW1207" s="58"/>
      <c r="BX1207" s="58"/>
      <c r="BY1207" s="58"/>
      <c r="BZ1207" s="58"/>
      <c r="CA1207" s="58"/>
      <c r="CB1207" s="72" t="str">
        <f aca="false">IF(AC1207&lt;&gt;"",VLOOKUP(AC1207,Selects!$B:$E,4,0),"")</f>
        <v/>
      </c>
      <c r="CC1207" s="58"/>
      <c r="CD1207" s="58"/>
      <c r="CE1207" s="58"/>
    </row>
    <row r="1208" customFormat="false" ht="15" hidden="true" customHeight="false" outlineLevel="0" collapsed="false">
      <c r="B1208" s="58"/>
      <c r="C1208" s="58"/>
      <c r="D1208" s="59"/>
      <c r="E1208" s="60" t="str">
        <f aca="false">IF(LEN(D1208)=11,"PF",IF(LEN(D1208)=14,"PJ",""))</f>
        <v/>
      </c>
      <c r="F1208" s="59"/>
      <c r="G1208" s="59"/>
      <c r="H1208" s="61" t="str">
        <f aca="false">IF(G1208&lt;&gt;"",VLOOKUP(G1208,'Cnae  mcc  id'!$A:$M,9,0),"")</f>
        <v/>
      </c>
      <c r="I1208" s="62"/>
      <c r="J1208" s="63" t="str">
        <f aca="false">IF(I1208&lt;&gt;"",VLOOKUP(I1208,'Legal Nature'!$E$2:$G$84,3,0),"")</f>
        <v/>
      </c>
      <c r="K1208" s="64"/>
      <c r="L1208" s="65"/>
      <c r="M1208" s="66"/>
      <c r="N1208" s="66"/>
      <c r="O1208" s="79"/>
      <c r="P1208" s="26"/>
      <c r="Q1208" s="58"/>
      <c r="R1208" s="58"/>
      <c r="S1208" s="80"/>
      <c r="T1208" s="68"/>
      <c r="U1208" s="58" t="str">
        <f aca="false">IF( T1208&lt;&gt;"",VLOOKUP(T1208,Selects!$M$4:$N$1000,2,0),"")</f>
        <v/>
      </c>
      <c r="V1208" s="26"/>
      <c r="W1208" s="58"/>
      <c r="X1208" s="58"/>
      <c r="Y1208" s="58"/>
      <c r="Z1208" s="58"/>
      <c r="AA1208" s="69"/>
      <c r="AB1208" s="58"/>
      <c r="AC1208" s="58"/>
      <c r="AD1208" s="72" t="str">
        <f aca="false">IF(AC1208&lt;&gt;"",VLOOKUP(AC1208,Selects!$B$4:$C$100,2,0),"")</f>
        <v/>
      </c>
      <c r="AE1208" s="26"/>
      <c r="AF1208" s="58"/>
      <c r="AG1208" s="59"/>
      <c r="AH1208" s="65"/>
      <c r="AI1208" s="66"/>
      <c r="AJ1208" s="66"/>
      <c r="AK1208" s="58"/>
      <c r="AL1208" s="58"/>
      <c r="AM1208" s="68" t="str">
        <f aca="false">IF(LEFT(AL1208,1)="9","Celular",IF(AL1208="","","Fixo"))</f>
        <v/>
      </c>
      <c r="AN1208" s="58" t="str">
        <f aca="false">IF( AM1208&lt;&gt;"",VLOOKUP(AM1208,Selects!$M$4:$N$1000,2,0),"")</f>
        <v/>
      </c>
      <c r="AO1208" s="58"/>
      <c r="AP1208" s="59"/>
      <c r="AQ1208" s="66"/>
      <c r="AR1208" s="58"/>
      <c r="AS1208" s="58"/>
      <c r="AT1208" s="26"/>
      <c r="AU1208" s="58"/>
      <c r="AV1208" s="58"/>
      <c r="AW1208" s="58"/>
      <c r="AX1208" s="58"/>
      <c r="AY1208" s="71"/>
      <c r="AZ1208" s="58"/>
      <c r="BA1208" s="58"/>
      <c r="BB1208" s="72" t="str">
        <f aca="false">IF(BA1208&lt;&gt;"",VLOOKUP(BA1208,Selects!$B$4:$C$100,2,0),"")</f>
        <v/>
      </c>
      <c r="BC1208" s="26"/>
      <c r="BD1208" s="26"/>
      <c r="BE1208" s="73"/>
      <c r="BF1208" s="74"/>
      <c r="BG1208" s="75" t="str">
        <f aca="false">IF(LEN(BF1208)=11,"PF",IF(LEN(BF1208)=14,"PJ",""))</f>
        <v/>
      </c>
      <c r="BH1208" s="66"/>
      <c r="BI1208" s="58" t="str">
        <f aca="false">IF(BH1208&lt;&gt;"",VLOOKUP(BH1208,Selects!$G:$H,2,0),"")</f>
        <v/>
      </c>
      <c r="BJ1208" s="58"/>
      <c r="BK1208" s="58"/>
      <c r="BL1208" s="59"/>
      <c r="BM1208" s="58"/>
      <c r="BN1208" s="58"/>
      <c r="BO1208" s="58" t="str">
        <f aca="false">IF(BN1208&lt;&gt;"",VLOOKUP(BN1208,Selects!$J$4:$K$1000,2,0),"")</f>
        <v/>
      </c>
      <c r="BP1208" s="76"/>
      <c r="BQ1208" s="59"/>
      <c r="BR1208" s="77"/>
      <c r="BS1208" s="59"/>
      <c r="BT1208" s="77"/>
      <c r="BU1208" s="58"/>
      <c r="BV1208" s="58"/>
      <c r="BW1208" s="58"/>
      <c r="BX1208" s="58"/>
      <c r="BY1208" s="58"/>
      <c r="BZ1208" s="58"/>
      <c r="CA1208" s="58"/>
      <c r="CB1208" s="72" t="str">
        <f aca="false">IF(AC1208&lt;&gt;"",VLOOKUP(AC1208,Selects!$B:$E,4,0),"")</f>
        <v/>
      </c>
      <c r="CC1208" s="58"/>
      <c r="CD1208" s="58"/>
      <c r="CE1208" s="58"/>
    </row>
    <row r="1209" customFormat="false" ht="15" hidden="true" customHeight="false" outlineLevel="0" collapsed="false">
      <c r="B1209" s="58"/>
      <c r="C1209" s="58"/>
      <c r="D1209" s="59"/>
      <c r="E1209" s="60" t="str">
        <f aca="false">IF(LEN(D1209)=11,"PF",IF(LEN(D1209)=14,"PJ",""))</f>
        <v/>
      </c>
      <c r="F1209" s="59"/>
      <c r="G1209" s="59"/>
      <c r="H1209" s="61" t="str">
        <f aca="false">IF(G1209&lt;&gt;"",VLOOKUP(G1209,'Cnae  mcc  id'!$A:$M,9,0),"")</f>
        <v/>
      </c>
      <c r="I1209" s="62"/>
      <c r="J1209" s="63" t="str">
        <f aca="false">IF(I1209&lt;&gt;"",VLOOKUP(I1209,'Legal Nature'!$E$2:$G$84,3,0),"")</f>
        <v/>
      </c>
      <c r="K1209" s="64"/>
      <c r="L1209" s="65"/>
      <c r="M1209" s="66"/>
      <c r="N1209" s="66"/>
      <c r="O1209" s="79"/>
      <c r="P1209" s="26"/>
      <c r="Q1209" s="58"/>
      <c r="R1209" s="58"/>
      <c r="S1209" s="80"/>
      <c r="T1209" s="68"/>
      <c r="U1209" s="58" t="str">
        <f aca="false">IF( T1209&lt;&gt;"",VLOOKUP(T1209,Selects!$M$4:$N$1000,2,0),"")</f>
        <v/>
      </c>
      <c r="V1209" s="26"/>
      <c r="W1209" s="58"/>
      <c r="X1209" s="58"/>
      <c r="Y1209" s="58"/>
      <c r="Z1209" s="58"/>
      <c r="AA1209" s="69"/>
      <c r="AB1209" s="58"/>
      <c r="AC1209" s="58"/>
      <c r="AD1209" s="72" t="str">
        <f aca="false">IF(AC1209&lt;&gt;"",VLOOKUP(AC1209,Selects!$B$4:$C$100,2,0),"")</f>
        <v/>
      </c>
      <c r="AE1209" s="26"/>
      <c r="AF1209" s="58"/>
      <c r="AG1209" s="59"/>
      <c r="AH1209" s="65"/>
      <c r="AI1209" s="66"/>
      <c r="AJ1209" s="66"/>
      <c r="AK1209" s="58"/>
      <c r="AL1209" s="58"/>
      <c r="AM1209" s="68" t="str">
        <f aca="false">IF(LEFT(AL1209,1)="9","Celular",IF(AL1209="","","Fixo"))</f>
        <v/>
      </c>
      <c r="AN1209" s="58" t="str">
        <f aca="false">IF( AM1209&lt;&gt;"",VLOOKUP(AM1209,Selects!$M$4:$N$1000,2,0),"")</f>
        <v/>
      </c>
      <c r="AO1209" s="58"/>
      <c r="AP1209" s="59"/>
      <c r="AQ1209" s="66"/>
      <c r="AR1209" s="58"/>
      <c r="AS1209" s="58"/>
      <c r="AT1209" s="26"/>
      <c r="AU1209" s="58"/>
      <c r="AV1209" s="58"/>
      <c r="AW1209" s="58"/>
      <c r="AX1209" s="58"/>
      <c r="AY1209" s="71"/>
      <c r="AZ1209" s="58"/>
      <c r="BA1209" s="58"/>
      <c r="BB1209" s="72" t="str">
        <f aca="false">IF(BA1209&lt;&gt;"",VLOOKUP(BA1209,Selects!$B$4:$C$100,2,0),"")</f>
        <v/>
      </c>
      <c r="BC1209" s="26"/>
      <c r="BD1209" s="26"/>
      <c r="BE1209" s="73"/>
      <c r="BF1209" s="74"/>
      <c r="BG1209" s="75" t="str">
        <f aca="false">IF(LEN(BF1209)=11,"PF",IF(LEN(BF1209)=14,"PJ",""))</f>
        <v/>
      </c>
      <c r="BH1209" s="66"/>
      <c r="BI1209" s="58" t="str">
        <f aca="false">IF(BH1209&lt;&gt;"",VLOOKUP(BH1209,Selects!$G:$H,2,0),"")</f>
        <v/>
      </c>
      <c r="BJ1209" s="58"/>
      <c r="BK1209" s="58"/>
      <c r="BL1209" s="59"/>
      <c r="BM1209" s="58"/>
      <c r="BN1209" s="58"/>
      <c r="BO1209" s="58" t="str">
        <f aca="false">IF(BN1209&lt;&gt;"",VLOOKUP(BN1209,Selects!$J$4:$K$1000,2,0),"")</f>
        <v/>
      </c>
      <c r="BP1209" s="76"/>
      <c r="BQ1209" s="59"/>
      <c r="BR1209" s="77"/>
      <c r="BS1209" s="59"/>
      <c r="BT1209" s="77"/>
      <c r="BU1209" s="58"/>
      <c r="BV1209" s="58"/>
      <c r="BW1209" s="58"/>
      <c r="BX1209" s="58"/>
      <c r="BY1209" s="58"/>
      <c r="BZ1209" s="58"/>
      <c r="CA1209" s="58"/>
      <c r="CB1209" s="72" t="str">
        <f aca="false">IF(AC1209&lt;&gt;"",VLOOKUP(AC1209,Selects!$B:$E,4,0),"")</f>
        <v/>
      </c>
      <c r="CC1209" s="58"/>
      <c r="CD1209" s="58"/>
      <c r="CE1209" s="58"/>
    </row>
    <row r="1210" customFormat="false" ht="15" hidden="true" customHeight="false" outlineLevel="0" collapsed="false">
      <c r="B1210" s="58"/>
      <c r="C1210" s="58"/>
      <c r="D1210" s="59"/>
      <c r="E1210" s="60" t="str">
        <f aca="false">IF(LEN(D1210)=11,"PF",IF(LEN(D1210)=14,"PJ",""))</f>
        <v/>
      </c>
      <c r="F1210" s="59"/>
      <c r="G1210" s="59"/>
      <c r="H1210" s="61" t="str">
        <f aca="false">IF(G1210&lt;&gt;"",VLOOKUP(G1210,'Cnae  mcc  id'!$A:$M,9,0),"")</f>
        <v/>
      </c>
      <c r="I1210" s="62"/>
      <c r="J1210" s="63" t="str">
        <f aca="false">IF(I1210&lt;&gt;"",VLOOKUP(I1210,'Legal Nature'!$E$2:$G$84,3,0),"")</f>
        <v/>
      </c>
      <c r="K1210" s="64"/>
      <c r="L1210" s="65"/>
      <c r="M1210" s="66"/>
      <c r="N1210" s="66"/>
      <c r="O1210" s="79"/>
      <c r="P1210" s="26"/>
      <c r="Q1210" s="58"/>
      <c r="R1210" s="58"/>
      <c r="S1210" s="80"/>
      <c r="T1210" s="68" t="str">
        <f aca="false">IF(LEFT(S1210,1)="9","Celular",IF(S1210="","","Fixo"))</f>
        <v/>
      </c>
      <c r="U1210" s="58" t="str">
        <f aca="false">IF( T1210&lt;&gt;"",VLOOKUP(T1210,Selects!$M$4:$N$1000,2,0),"")</f>
        <v/>
      </c>
      <c r="V1210" s="26"/>
      <c r="W1210" s="58"/>
      <c r="X1210" s="58"/>
      <c r="Y1210" s="58"/>
      <c r="Z1210" s="58"/>
      <c r="AA1210" s="69"/>
      <c r="AB1210" s="58"/>
      <c r="AC1210" s="58"/>
      <c r="AD1210" s="72" t="str">
        <f aca="false">IF(AC1210&lt;&gt;"",VLOOKUP(AC1210,Selects!$B$4:$C$100,2,0),"")</f>
        <v/>
      </c>
      <c r="AE1210" s="26"/>
      <c r="AF1210" s="58"/>
      <c r="AG1210" s="59"/>
      <c r="AH1210" s="65"/>
      <c r="AI1210" s="66"/>
      <c r="AJ1210" s="66"/>
      <c r="AK1210" s="58"/>
      <c r="AL1210" s="58"/>
      <c r="AM1210" s="68" t="str">
        <f aca="false">IF(LEFT(AL1210,1)="9","Celular",IF(AL1210="","","Fixo"))</f>
        <v/>
      </c>
      <c r="AN1210" s="58" t="str">
        <f aca="false">IF( AM1210&lt;&gt;"",VLOOKUP(AM1210,Selects!$M$4:$N$1000,2,0),"")</f>
        <v/>
      </c>
      <c r="AO1210" s="58"/>
      <c r="AP1210" s="59"/>
      <c r="AQ1210" s="66"/>
      <c r="AR1210" s="58"/>
      <c r="AS1210" s="58"/>
      <c r="AT1210" s="26"/>
      <c r="AU1210" s="58"/>
      <c r="AV1210" s="58"/>
      <c r="AW1210" s="58"/>
      <c r="AX1210" s="58"/>
      <c r="AY1210" s="71"/>
      <c r="AZ1210" s="58"/>
      <c r="BA1210" s="58"/>
      <c r="BB1210" s="72" t="str">
        <f aca="false">IF(BA1210&lt;&gt;"",VLOOKUP(BA1210,Selects!$B$4:$C$100,2,0),"")</f>
        <v/>
      </c>
      <c r="BC1210" s="26"/>
      <c r="BD1210" s="26"/>
      <c r="BE1210" s="73"/>
      <c r="BF1210" s="74"/>
      <c r="BG1210" s="75" t="str">
        <f aca="false">IF(LEN(BF1210)=11,"PF",IF(LEN(BF1210)=14,"PJ",""))</f>
        <v/>
      </c>
      <c r="BH1210" s="66"/>
      <c r="BI1210" s="58" t="str">
        <f aca="false">IF(BH1210&lt;&gt;"",VLOOKUP(BH1210,Selects!$G:$H,2,0),"")</f>
        <v/>
      </c>
      <c r="BJ1210" s="58"/>
      <c r="BK1210" s="58"/>
      <c r="BL1210" s="59"/>
      <c r="BM1210" s="58"/>
      <c r="BN1210" s="58"/>
      <c r="BO1210" s="58" t="str">
        <f aca="false">IF(BN1210&lt;&gt;"",VLOOKUP(BN1210,Selects!$J$4:$K$1000,2,0),"")</f>
        <v/>
      </c>
      <c r="BP1210" s="76"/>
      <c r="BQ1210" s="59"/>
      <c r="BR1210" s="77"/>
      <c r="BS1210" s="59"/>
      <c r="BT1210" s="77"/>
      <c r="BU1210" s="58"/>
      <c r="BV1210" s="58"/>
      <c r="BW1210" s="58"/>
      <c r="BX1210" s="58"/>
      <c r="BY1210" s="58"/>
      <c r="BZ1210" s="58"/>
      <c r="CA1210" s="58"/>
      <c r="CB1210" s="72" t="str">
        <f aca="false">IF(AC1210&lt;&gt;"",VLOOKUP(AC1210,Selects!$B:$E,4,0),"")</f>
        <v/>
      </c>
      <c r="CC1210" s="58"/>
      <c r="CD1210" s="58"/>
      <c r="CE1210" s="58"/>
    </row>
    <row r="1211" customFormat="false" ht="15" hidden="true" customHeight="false" outlineLevel="0" collapsed="false">
      <c r="B1211" s="58"/>
      <c r="C1211" s="58"/>
      <c r="D1211" s="59"/>
      <c r="E1211" s="60" t="str">
        <f aca="false">IF(LEN(D1211)=11,"PF",IF(LEN(D1211)=14,"PJ",""))</f>
        <v/>
      </c>
      <c r="F1211" s="59"/>
      <c r="G1211" s="59"/>
      <c r="H1211" s="61" t="str">
        <f aca="false">IF(G1211&lt;&gt;"",VLOOKUP(G1211,'Cnae  mcc  id'!$A:$M,9,0),"")</f>
        <v/>
      </c>
      <c r="I1211" s="62"/>
      <c r="J1211" s="63" t="str">
        <f aca="false">IF(I1211&lt;&gt;"",VLOOKUP(I1211,'Legal Nature'!$E$2:$G$84,3,0),"")</f>
        <v/>
      </c>
      <c r="K1211" s="64"/>
      <c r="L1211" s="65"/>
      <c r="M1211" s="66"/>
      <c r="N1211" s="66"/>
      <c r="O1211" s="79"/>
      <c r="P1211" s="26"/>
      <c r="Q1211" s="58"/>
      <c r="R1211" s="58"/>
      <c r="S1211" s="80"/>
      <c r="T1211" s="68" t="str">
        <f aca="false">IF(LEFT(S1211,1)="9","Celular",IF(S1211="","","Fixo"))</f>
        <v/>
      </c>
      <c r="U1211" s="58" t="str">
        <f aca="false">IF( T1211&lt;&gt;"",VLOOKUP(T1211,Selects!$M$4:$N$1000,2,0),"")</f>
        <v/>
      </c>
      <c r="V1211" s="26"/>
      <c r="W1211" s="58"/>
      <c r="X1211" s="58"/>
      <c r="Y1211" s="58"/>
      <c r="Z1211" s="58"/>
      <c r="AA1211" s="69"/>
      <c r="AB1211" s="58"/>
      <c r="AC1211" s="58"/>
      <c r="AD1211" s="72" t="str">
        <f aca="false">IF(AC1211&lt;&gt;"",VLOOKUP(AC1211,Selects!$B$4:$C$100,2,0),"")</f>
        <v/>
      </c>
      <c r="AE1211" s="26"/>
      <c r="AF1211" s="58"/>
      <c r="AG1211" s="59"/>
      <c r="AH1211" s="65"/>
      <c r="AI1211" s="66"/>
      <c r="AJ1211" s="66"/>
      <c r="AK1211" s="58"/>
      <c r="AL1211" s="58"/>
      <c r="AM1211" s="68" t="str">
        <f aca="false">IF(LEFT(AL1211,1)="9","Celular",IF(AL1211="","","Fixo"))</f>
        <v/>
      </c>
      <c r="AN1211" s="58" t="str">
        <f aca="false">IF( AM1211&lt;&gt;"",VLOOKUP(AM1211,Selects!$M$4:$N$1000,2,0),"")</f>
        <v/>
      </c>
      <c r="AO1211" s="58"/>
      <c r="AP1211" s="59"/>
      <c r="AQ1211" s="66"/>
      <c r="AR1211" s="58"/>
      <c r="AS1211" s="58"/>
      <c r="AT1211" s="26"/>
      <c r="AU1211" s="58"/>
      <c r="AV1211" s="58"/>
      <c r="AW1211" s="58"/>
      <c r="AX1211" s="58"/>
      <c r="AY1211" s="71"/>
      <c r="AZ1211" s="58"/>
      <c r="BA1211" s="58"/>
      <c r="BB1211" s="72" t="str">
        <f aca="false">IF(BA1211&lt;&gt;"",VLOOKUP(BA1211,Selects!$B$4:$C$100,2,0),"")</f>
        <v/>
      </c>
      <c r="BC1211" s="26"/>
      <c r="BD1211" s="26"/>
      <c r="BE1211" s="73"/>
      <c r="BF1211" s="74"/>
      <c r="BG1211" s="75" t="str">
        <f aca="false">IF(LEN(BF1211)=11,"PF",IF(LEN(BF1211)=14,"PJ",""))</f>
        <v/>
      </c>
      <c r="BH1211" s="66"/>
      <c r="BI1211" s="58" t="str">
        <f aca="false">IF(BH1211&lt;&gt;"",VLOOKUP(BH1211,Selects!$G:$H,2,0),"")</f>
        <v/>
      </c>
      <c r="BJ1211" s="58"/>
      <c r="BK1211" s="58"/>
      <c r="BL1211" s="59"/>
      <c r="BM1211" s="58"/>
      <c r="BN1211" s="58"/>
      <c r="BO1211" s="58" t="str">
        <f aca="false">IF(BN1211&lt;&gt;"",VLOOKUP(BN1211,Selects!$J$4:$K$1000,2,0),"")</f>
        <v/>
      </c>
      <c r="BP1211" s="76"/>
      <c r="BQ1211" s="59"/>
      <c r="BR1211" s="77"/>
      <c r="BS1211" s="59"/>
      <c r="BT1211" s="77"/>
      <c r="BU1211" s="58"/>
      <c r="BV1211" s="58"/>
      <c r="BW1211" s="58"/>
      <c r="BX1211" s="58"/>
      <c r="BY1211" s="58"/>
      <c r="BZ1211" s="58"/>
      <c r="CA1211" s="58"/>
      <c r="CB1211" s="72" t="str">
        <f aca="false">IF(AC1211&lt;&gt;"",VLOOKUP(AC1211,Selects!$B:$E,4,0),"")</f>
        <v/>
      </c>
      <c r="CC1211" s="58"/>
      <c r="CD1211" s="58"/>
      <c r="CE1211" s="58"/>
    </row>
    <row r="1212" customFormat="false" ht="15" hidden="true" customHeight="false" outlineLevel="0" collapsed="false">
      <c r="B1212" s="58"/>
      <c r="C1212" s="58"/>
      <c r="D1212" s="59"/>
      <c r="E1212" s="60" t="str">
        <f aca="false">IF(LEN(D1212)=11,"PF",IF(LEN(D1212)=14,"PJ",""))</f>
        <v/>
      </c>
      <c r="F1212" s="59"/>
      <c r="G1212" s="59"/>
      <c r="H1212" s="61" t="str">
        <f aca="false">IF(G1212&lt;&gt;"",VLOOKUP(G1212,'Cnae  mcc  id'!$A:$M,9,0),"")</f>
        <v/>
      </c>
      <c r="I1212" s="62"/>
      <c r="J1212" s="63" t="str">
        <f aca="false">IF(I1212&lt;&gt;"",VLOOKUP(I1212,'Legal Nature'!$E$2:$G$84,3,0),"")</f>
        <v/>
      </c>
      <c r="K1212" s="64"/>
      <c r="L1212" s="65"/>
      <c r="M1212" s="66"/>
      <c r="N1212" s="66"/>
      <c r="O1212" s="79"/>
      <c r="P1212" s="26"/>
      <c r="Q1212" s="58"/>
      <c r="R1212" s="58"/>
      <c r="S1212" s="80"/>
      <c r="T1212" s="68" t="str">
        <f aca="false">IF(LEFT(S1212,1)="9","Celular",IF(S1212="","","Fixo"))</f>
        <v/>
      </c>
      <c r="U1212" s="58" t="str">
        <f aca="false">IF( T1212&lt;&gt;"",VLOOKUP(T1212,Selects!$M$4:$N$1000,2,0),"")</f>
        <v/>
      </c>
      <c r="V1212" s="26"/>
      <c r="W1212" s="58"/>
      <c r="X1212" s="58"/>
      <c r="Y1212" s="58"/>
      <c r="Z1212" s="58"/>
      <c r="AA1212" s="69"/>
      <c r="AB1212" s="58"/>
      <c r="AC1212" s="58"/>
      <c r="AD1212" s="72" t="str">
        <f aca="false">IF(AC1212&lt;&gt;"",VLOOKUP(AC1212,Selects!$B$4:$C$100,2,0),"")</f>
        <v/>
      </c>
      <c r="AE1212" s="26"/>
      <c r="AF1212" s="58"/>
      <c r="AG1212" s="59"/>
      <c r="AH1212" s="65"/>
      <c r="AI1212" s="66"/>
      <c r="AJ1212" s="66"/>
      <c r="AK1212" s="58"/>
      <c r="AL1212" s="58"/>
      <c r="AM1212" s="68" t="str">
        <f aca="false">IF(LEFT(AL1212,1)="9","Celular",IF(AL1212="","","Fixo"))</f>
        <v/>
      </c>
      <c r="AN1212" s="58" t="str">
        <f aca="false">IF( AM1212&lt;&gt;"",VLOOKUP(AM1212,Selects!$M$4:$N$1000,2,0),"")</f>
        <v/>
      </c>
      <c r="AO1212" s="58"/>
      <c r="AP1212" s="59"/>
      <c r="AQ1212" s="66"/>
      <c r="AR1212" s="58"/>
      <c r="AS1212" s="58"/>
      <c r="AT1212" s="26"/>
      <c r="AU1212" s="58"/>
      <c r="AV1212" s="58"/>
      <c r="AW1212" s="58"/>
      <c r="AX1212" s="58"/>
      <c r="AY1212" s="71"/>
      <c r="AZ1212" s="58"/>
      <c r="BA1212" s="58"/>
      <c r="BB1212" s="72" t="str">
        <f aca="false">IF(BA1212&lt;&gt;"",VLOOKUP(BA1212,Selects!$B$4:$C$100,2,0),"")</f>
        <v/>
      </c>
      <c r="BC1212" s="26"/>
      <c r="BD1212" s="26"/>
      <c r="BE1212" s="73"/>
      <c r="BF1212" s="74"/>
      <c r="BG1212" s="75" t="str">
        <f aca="false">IF(LEN(BF1212)=11,"PF",IF(LEN(BF1212)=14,"PJ",""))</f>
        <v/>
      </c>
      <c r="BH1212" s="66"/>
      <c r="BI1212" s="58" t="str">
        <f aca="false">IF(BH1212&lt;&gt;"",VLOOKUP(BH1212,Selects!$G:$H,2,0),"")</f>
        <v/>
      </c>
      <c r="BJ1212" s="58"/>
      <c r="BK1212" s="58"/>
      <c r="BL1212" s="59"/>
      <c r="BM1212" s="58"/>
      <c r="BN1212" s="58"/>
      <c r="BO1212" s="58" t="str">
        <f aca="false">IF(BN1212&lt;&gt;"",VLOOKUP(BN1212,Selects!$J$4:$K$1000,2,0),"")</f>
        <v/>
      </c>
      <c r="BP1212" s="76"/>
      <c r="BQ1212" s="59"/>
      <c r="BR1212" s="77"/>
      <c r="BS1212" s="59"/>
      <c r="BT1212" s="77"/>
      <c r="BU1212" s="58"/>
      <c r="BV1212" s="58"/>
      <c r="BW1212" s="58"/>
      <c r="BX1212" s="58"/>
      <c r="BY1212" s="58"/>
      <c r="BZ1212" s="58"/>
      <c r="CA1212" s="58"/>
      <c r="CB1212" s="72" t="str">
        <f aca="false">IF(AC1212&lt;&gt;"",VLOOKUP(AC1212,Selects!$B:$E,4,0),"")</f>
        <v/>
      </c>
      <c r="CC1212" s="58"/>
      <c r="CD1212" s="58"/>
      <c r="CE1212" s="58"/>
    </row>
    <row r="1213" customFormat="false" ht="15" hidden="true" customHeight="false" outlineLevel="0" collapsed="false">
      <c r="B1213" s="58"/>
      <c r="C1213" s="58"/>
      <c r="D1213" s="59"/>
      <c r="E1213" s="60" t="str">
        <f aca="false">IF(LEN(D1213)=11,"PF",IF(LEN(D1213)=14,"PJ",""))</f>
        <v/>
      </c>
      <c r="F1213" s="59"/>
      <c r="G1213" s="59"/>
      <c r="H1213" s="61" t="str">
        <f aca="false">IF(G1213&lt;&gt;"",VLOOKUP(G1213,'Cnae  mcc  id'!$A:$M,9,0),"")</f>
        <v/>
      </c>
      <c r="I1213" s="62"/>
      <c r="J1213" s="63" t="str">
        <f aca="false">IF(I1213&lt;&gt;"",VLOOKUP(I1213,'Legal Nature'!$E$2:$G$84,3,0),"")</f>
        <v/>
      </c>
      <c r="K1213" s="64"/>
      <c r="L1213" s="65"/>
      <c r="M1213" s="66"/>
      <c r="N1213" s="66"/>
      <c r="O1213" s="79"/>
      <c r="P1213" s="26"/>
      <c r="Q1213" s="58"/>
      <c r="R1213" s="58"/>
      <c r="S1213" s="80"/>
      <c r="T1213" s="68" t="str">
        <f aca="false">IF(LEFT(S1213,1)="9","Celular",IF(S1213="","","Fixo"))</f>
        <v/>
      </c>
      <c r="U1213" s="58" t="str">
        <f aca="false">IF( T1213&lt;&gt;"",VLOOKUP(T1213,Selects!$M$4:$N$1000,2,0),"")</f>
        <v/>
      </c>
      <c r="V1213" s="26"/>
      <c r="W1213" s="58"/>
      <c r="X1213" s="58"/>
      <c r="Y1213" s="58"/>
      <c r="Z1213" s="58"/>
      <c r="AA1213" s="69"/>
      <c r="AB1213" s="58"/>
      <c r="AC1213" s="58"/>
      <c r="AD1213" s="72" t="str">
        <f aca="false">IF(AC1213&lt;&gt;"",VLOOKUP(AC1213,Selects!$B$4:$C$100,2,0),"")</f>
        <v/>
      </c>
      <c r="AE1213" s="26"/>
      <c r="AF1213" s="58"/>
      <c r="AG1213" s="59"/>
      <c r="AH1213" s="65"/>
      <c r="AI1213" s="66"/>
      <c r="AJ1213" s="66"/>
      <c r="AK1213" s="58"/>
      <c r="AL1213" s="58"/>
      <c r="AM1213" s="68" t="str">
        <f aca="false">IF(LEFT(AL1213,1)="9","Celular",IF(AL1213="","","Fixo"))</f>
        <v/>
      </c>
      <c r="AN1213" s="58" t="str">
        <f aca="false">IF( AM1213&lt;&gt;"",VLOOKUP(AM1213,Selects!$M$4:$N$1000,2,0),"")</f>
        <v/>
      </c>
      <c r="AO1213" s="58"/>
      <c r="AP1213" s="59"/>
      <c r="AQ1213" s="66"/>
      <c r="AR1213" s="58"/>
      <c r="AS1213" s="58"/>
      <c r="AT1213" s="26"/>
      <c r="AU1213" s="58"/>
      <c r="AV1213" s="58"/>
      <c r="AW1213" s="58"/>
      <c r="AX1213" s="58"/>
      <c r="AY1213" s="71"/>
      <c r="AZ1213" s="58"/>
      <c r="BA1213" s="58"/>
      <c r="BB1213" s="72" t="str">
        <f aca="false">IF(BA1213&lt;&gt;"",VLOOKUP(BA1213,Selects!$B$4:$C$100,2,0),"")</f>
        <v/>
      </c>
      <c r="BC1213" s="26"/>
      <c r="BD1213" s="26"/>
      <c r="BE1213" s="73"/>
      <c r="BF1213" s="74"/>
      <c r="BG1213" s="75" t="str">
        <f aca="false">IF(LEN(BF1213)=11,"PF",IF(LEN(BF1213)=14,"PJ",""))</f>
        <v/>
      </c>
      <c r="BH1213" s="66"/>
      <c r="BI1213" s="58" t="str">
        <f aca="false">IF(BH1213&lt;&gt;"",VLOOKUP(BH1213,Selects!$G:$H,2,0),"")</f>
        <v/>
      </c>
      <c r="BJ1213" s="58"/>
      <c r="BK1213" s="58"/>
      <c r="BL1213" s="59"/>
      <c r="BM1213" s="58"/>
      <c r="BN1213" s="58"/>
      <c r="BO1213" s="58" t="str">
        <f aca="false">IF(BN1213&lt;&gt;"",VLOOKUP(BN1213,Selects!$J$4:$K$1000,2,0),"")</f>
        <v/>
      </c>
      <c r="BP1213" s="76"/>
      <c r="BQ1213" s="59"/>
      <c r="BR1213" s="77"/>
      <c r="BS1213" s="59"/>
      <c r="BT1213" s="77"/>
      <c r="BU1213" s="58"/>
      <c r="BV1213" s="58"/>
      <c r="BW1213" s="58"/>
      <c r="BX1213" s="58"/>
      <c r="BY1213" s="58"/>
      <c r="BZ1213" s="58"/>
      <c r="CA1213" s="58"/>
      <c r="CB1213" s="72" t="str">
        <f aca="false">IF(AC1213&lt;&gt;"",VLOOKUP(AC1213,Selects!$B:$E,4,0),"")</f>
        <v/>
      </c>
      <c r="CC1213" s="58"/>
      <c r="CD1213" s="58"/>
      <c r="CE1213" s="58"/>
    </row>
    <row r="1214" customFormat="false" ht="15" hidden="true" customHeight="false" outlineLevel="0" collapsed="false">
      <c r="B1214" s="58"/>
      <c r="C1214" s="58"/>
      <c r="D1214" s="59"/>
      <c r="E1214" s="60" t="str">
        <f aca="false">IF(LEN(D1214)=11,"PF",IF(LEN(D1214)=14,"PJ",""))</f>
        <v/>
      </c>
      <c r="F1214" s="59"/>
      <c r="G1214" s="59"/>
      <c r="H1214" s="61" t="str">
        <f aca="false">IF(G1214&lt;&gt;"",VLOOKUP(G1214,'Cnae  mcc  id'!$A:$M,9,0),"")</f>
        <v/>
      </c>
      <c r="I1214" s="62"/>
      <c r="J1214" s="63" t="str">
        <f aca="false">IF(I1214&lt;&gt;"",VLOOKUP(I1214,'Legal Nature'!$E$2:$G$84,3,0),"")</f>
        <v/>
      </c>
      <c r="K1214" s="64"/>
      <c r="L1214" s="65"/>
      <c r="M1214" s="66"/>
      <c r="N1214" s="66"/>
      <c r="O1214" s="79"/>
      <c r="P1214" s="26"/>
      <c r="Q1214" s="58"/>
      <c r="R1214" s="58"/>
      <c r="S1214" s="80"/>
      <c r="T1214" s="68" t="str">
        <f aca="false">IF(LEFT(S1214,1)="9","Celular",IF(S1214="","","Fixo"))</f>
        <v/>
      </c>
      <c r="U1214" s="58" t="str">
        <f aca="false">IF( T1214&lt;&gt;"",VLOOKUP(T1214,Selects!$M$4:$N$1000,2,0),"")</f>
        <v/>
      </c>
      <c r="V1214" s="26"/>
      <c r="W1214" s="58"/>
      <c r="X1214" s="58"/>
      <c r="Y1214" s="58"/>
      <c r="Z1214" s="58"/>
      <c r="AA1214" s="69"/>
      <c r="AB1214" s="58"/>
      <c r="AC1214" s="58"/>
      <c r="AD1214" s="72" t="str">
        <f aca="false">IF(AC1214&lt;&gt;"",VLOOKUP(AC1214,Selects!$B$4:$C$100,2,0),"")</f>
        <v/>
      </c>
      <c r="AE1214" s="26"/>
      <c r="AF1214" s="58"/>
      <c r="AG1214" s="59"/>
      <c r="AH1214" s="65"/>
      <c r="AI1214" s="66"/>
      <c r="AJ1214" s="66"/>
      <c r="AK1214" s="58"/>
      <c r="AL1214" s="58"/>
      <c r="AM1214" s="68" t="str">
        <f aca="false">IF(LEFT(AL1214,1)="9","Celular",IF(AL1214="","","Fixo"))</f>
        <v/>
      </c>
      <c r="AN1214" s="58" t="str">
        <f aca="false">IF( AM1214&lt;&gt;"",VLOOKUP(AM1214,Selects!$M$4:$N$1000,2,0),"")</f>
        <v/>
      </c>
      <c r="AO1214" s="58"/>
      <c r="AP1214" s="59"/>
      <c r="AQ1214" s="66"/>
      <c r="AR1214" s="58"/>
      <c r="AS1214" s="58"/>
      <c r="AT1214" s="26"/>
      <c r="AU1214" s="58"/>
      <c r="AV1214" s="58"/>
      <c r="AW1214" s="58"/>
      <c r="AX1214" s="58"/>
      <c r="AY1214" s="71"/>
      <c r="AZ1214" s="58"/>
      <c r="BA1214" s="58"/>
      <c r="BB1214" s="72" t="str">
        <f aca="false">IF(BA1214&lt;&gt;"",VLOOKUP(BA1214,Selects!$B$4:$C$100,2,0),"")</f>
        <v/>
      </c>
      <c r="BC1214" s="26"/>
      <c r="BD1214" s="26"/>
      <c r="BE1214" s="73"/>
      <c r="BF1214" s="74"/>
      <c r="BG1214" s="75" t="str">
        <f aca="false">IF(LEN(BF1214)=11,"PF",IF(LEN(BF1214)=14,"PJ",""))</f>
        <v/>
      </c>
      <c r="BH1214" s="66"/>
      <c r="BI1214" s="58" t="str">
        <f aca="false">IF(BH1214&lt;&gt;"",VLOOKUP(BH1214,Selects!$G:$H,2,0),"")</f>
        <v/>
      </c>
      <c r="BJ1214" s="58"/>
      <c r="BK1214" s="58"/>
      <c r="BL1214" s="59"/>
      <c r="BM1214" s="58"/>
      <c r="BN1214" s="58"/>
      <c r="BO1214" s="58" t="str">
        <f aca="false">IF(BN1214&lt;&gt;"",VLOOKUP(BN1214,Selects!$J$4:$K$1000,2,0),"")</f>
        <v/>
      </c>
      <c r="BP1214" s="76"/>
      <c r="BQ1214" s="59"/>
      <c r="BR1214" s="77"/>
      <c r="BS1214" s="59"/>
      <c r="BT1214" s="77"/>
      <c r="BU1214" s="58"/>
      <c r="BV1214" s="58"/>
      <c r="BW1214" s="58"/>
      <c r="BX1214" s="58"/>
      <c r="BY1214" s="58"/>
      <c r="BZ1214" s="58"/>
      <c r="CA1214" s="58"/>
      <c r="CB1214" s="72" t="str">
        <f aca="false">IF(AC1214&lt;&gt;"",VLOOKUP(AC1214,Selects!$B:$E,4,0),"")</f>
        <v/>
      </c>
      <c r="CC1214" s="58"/>
      <c r="CD1214" s="58"/>
      <c r="CE1214" s="58"/>
    </row>
    <row r="1215" customFormat="false" ht="15" hidden="true" customHeight="false" outlineLevel="0" collapsed="false">
      <c r="B1215" s="58"/>
      <c r="C1215" s="58"/>
      <c r="D1215" s="59"/>
      <c r="E1215" s="60" t="str">
        <f aca="false">IF(LEN(D1215)=11,"PF",IF(LEN(D1215)=14,"PJ",""))</f>
        <v/>
      </c>
      <c r="F1215" s="59"/>
      <c r="G1215" s="59"/>
      <c r="H1215" s="61" t="str">
        <f aca="false">IF(G1215&lt;&gt;"",VLOOKUP(G1215,'Cnae  mcc  id'!$A:$M,9,0),"")</f>
        <v/>
      </c>
      <c r="I1215" s="62"/>
      <c r="J1215" s="63" t="str">
        <f aca="false">IF(I1215&lt;&gt;"",VLOOKUP(I1215,'Legal Nature'!$E$2:$G$84,3,0),"")</f>
        <v/>
      </c>
      <c r="K1215" s="64"/>
      <c r="L1215" s="65"/>
      <c r="M1215" s="66"/>
      <c r="N1215" s="66"/>
      <c r="O1215" s="79"/>
      <c r="P1215" s="26"/>
      <c r="Q1215" s="58"/>
      <c r="R1215" s="58"/>
      <c r="S1215" s="80"/>
      <c r="T1215" s="68" t="str">
        <f aca="false">IF(LEFT(S1215,1)="9","Celular",IF(S1215="","","Fixo"))</f>
        <v/>
      </c>
      <c r="U1215" s="58" t="str">
        <f aca="false">IF( T1215&lt;&gt;"",VLOOKUP(T1215,Selects!$M$4:$N$1000,2,0),"")</f>
        <v/>
      </c>
      <c r="V1215" s="26"/>
      <c r="W1215" s="58"/>
      <c r="X1215" s="58"/>
      <c r="Y1215" s="58"/>
      <c r="Z1215" s="58"/>
      <c r="AA1215" s="69"/>
      <c r="AB1215" s="58"/>
      <c r="AC1215" s="58"/>
      <c r="AD1215" s="72" t="str">
        <f aca="false">IF(AC1215&lt;&gt;"",VLOOKUP(AC1215,Selects!$B$4:$C$100,2,0),"")</f>
        <v/>
      </c>
      <c r="AE1215" s="26"/>
      <c r="AF1215" s="58"/>
      <c r="AG1215" s="59"/>
      <c r="AH1215" s="65"/>
      <c r="AI1215" s="66"/>
      <c r="AJ1215" s="66"/>
      <c r="AK1215" s="58"/>
      <c r="AL1215" s="58"/>
      <c r="AM1215" s="68" t="str">
        <f aca="false">IF(LEFT(AL1215,1)="9","Celular",IF(AL1215="","","Fixo"))</f>
        <v/>
      </c>
      <c r="AN1215" s="58" t="str">
        <f aca="false">IF( AM1215&lt;&gt;"",VLOOKUP(AM1215,Selects!$M$4:$N$1000,2,0),"")</f>
        <v/>
      </c>
      <c r="AO1215" s="58"/>
      <c r="AP1215" s="59"/>
      <c r="AQ1215" s="66"/>
      <c r="AR1215" s="58"/>
      <c r="AS1215" s="58"/>
      <c r="AT1215" s="26"/>
      <c r="AU1215" s="58"/>
      <c r="AV1215" s="58"/>
      <c r="AW1215" s="58"/>
      <c r="AX1215" s="58"/>
      <c r="AY1215" s="71"/>
      <c r="AZ1215" s="58"/>
      <c r="BA1215" s="58"/>
      <c r="BB1215" s="72" t="str">
        <f aca="false">IF(BA1215&lt;&gt;"",VLOOKUP(BA1215,Selects!$B$4:$C$100,2,0),"")</f>
        <v/>
      </c>
      <c r="BC1215" s="26"/>
      <c r="BD1215" s="26"/>
      <c r="BE1215" s="73"/>
      <c r="BF1215" s="74"/>
      <c r="BG1215" s="75" t="str">
        <f aca="false">IF(LEN(BF1215)=11,"PF",IF(LEN(BF1215)=14,"PJ",""))</f>
        <v/>
      </c>
      <c r="BH1215" s="66"/>
      <c r="BI1215" s="58" t="str">
        <f aca="false">IF(BH1215&lt;&gt;"",VLOOKUP(BH1215,Selects!$G:$H,2,0),"")</f>
        <v/>
      </c>
      <c r="BJ1215" s="58"/>
      <c r="BK1215" s="58"/>
      <c r="BL1215" s="59"/>
      <c r="BM1215" s="58"/>
      <c r="BN1215" s="58"/>
      <c r="BO1215" s="58" t="str">
        <f aca="false">IF(BN1215&lt;&gt;"",VLOOKUP(BN1215,Selects!$J$4:$K$1000,2,0),"")</f>
        <v/>
      </c>
      <c r="BP1215" s="76"/>
      <c r="BQ1215" s="59"/>
      <c r="BR1215" s="77"/>
      <c r="BS1215" s="59"/>
      <c r="BT1215" s="77"/>
      <c r="BU1215" s="58"/>
      <c r="BV1215" s="58"/>
      <c r="BW1215" s="58"/>
      <c r="BX1215" s="58"/>
      <c r="BY1215" s="58"/>
      <c r="BZ1215" s="58"/>
      <c r="CA1215" s="58"/>
      <c r="CB1215" s="72" t="str">
        <f aca="false">IF(AC1215&lt;&gt;"",VLOOKUP(AC1215,Selects!$B:$E,4,0),"")</f>
        <v/>
      </c>
      <c r="CC1215" s="58"/>
      <c r="CD1215" s="58"/>
      <c r="CE1215" s="58"/>
    </row>
    <row r="1216" customFormat="false" ht="15" hidden="true" customHeight="false" outlineLevel="0" collapsed="false">
      <c r="B1216" s="58"/>
      <c r="C1216" s="58"/>
      <c r="D1216" s="59"/>
      <c r="E1216" s="60" t="str">
        <f aca="false">IF(LEN(D1216)=11,"PF",IF(LEN(D1216)=14,"PJ",""))</f>
        <v/>
      </c>
      <c r="F1216" s="59"/>
      <c r="G1216" s="59"/>
      <c r="H1216" s="61" t="str">
        <f aca="false">IF(G1216&lt;&gt;"",VLOOKUP(G1216,'Cnae  mcc  id'!$A:$M,9,0),"")</f>
        <v/>
      </c>
      <c r="I1216" s="62"/>
      <c r="J1216" s="63" t="str">
        <f aca="false">IF(I1216&lt;&gt;"",VLOOKUP(I1216,'Legal Nature'!$E$2:$G$84,3,0),"")</f>
        <v/>
      </c>
      <c r="K1216" s="64"/>
      <c r="L1216" s="65"/>
      <c r="M1216" s="66"/>
      <c r="N1216" s="66"/>
      <c r="O1216" s="79"/>
      <c r="P1216" s="26"/>
      <c r="Q1216" s="58"/>
      <c r="R1216" s="58"/>
      <c r="S1216" s="80"/>
      <c r="T1216" s="68" t="str">
        <f aca="false">IF(LEFT(S1216,1)="9","Celular",IF(S1216="","","Fixo"))</f>
        <v/>
      </c>
      <c r="U1216" s="58" t="str">
        <f aca="false">IF( T1216&lt;&gt;"",VLOOKUP(T1216,Selects!$M$4:$N$1000,2,0),"")</f>
        <v/>
      </c>
      <c r="V1216" s="26"/>
      <c r="W1216" s="58"/>
      <c r="X1216" s="58"/>
      <c r="Y1216" s="58"/>
      <c r="Z1216" s="58"/>
      <c r="AA1216" s="69"/>
      <c r="AB1216" s="58"/>
      <c r="AC1216" s="58"/>
      <c r="AD1216" s="72" t="str">
        <f aca="false">IF(AC1216&lt;&gt;"",VLOOKUP(AC1216,Selects!$B$4:$C$100,2,0),"")</f>
        <v/>
      </c>
      <c r="AE1216" s="26"/>
      <c r="AF1216" s="58"/>
      <c r="AG1216" s="59"/>
      <c r="AH1216" s="65"/>
      <c r="AI1216" s="66"/>
      <c r="AJ1216" s="66"/>
      <c r="AK1216" s="58"/>
      <c r="AL1216" s="58"/>
      <c r="AM1216" s="68" t="str">
        <f aca="false">IF(LEFT(AL1216,1)="9","Celular",IF(AL1216="","","Fixo"))</f>
        <v/>
      </c>
      <c r="AN1216" s="58" t="str">
        <f aca="false">IF( AM1216&lt;&gt;"",VLOOKUP(AM1216,Selects!$M$4:$N$1000,2,0),"")</f>
        <v/>
      </c>
      <c r="AO1216" s="58"/>
      <c r="AP1216" s="59"/>
      <c r="AQ1216" s="66"/>
      <c r="AR1216" s="58"/>
      <c r="AS1216" s="58"/>
      <c r="AT1216" s="26"/>
      <c r="AU1216" s="58"/>
      <c r="AV1216" s="58"/>
      <c r="AW1216" s="58"/>
      <c r="AX1216" s="58"/>
      <c r="AY1216" s="71"/>
      <c r="AZ1216" s="58"/>
      <c r="BA1216" s="58"/>
      <c r="BB1216" s="72" t="str">
        <f aca="false">IF(BA1216&lt;&gt;"",VLOOKUP(BA1216,Selects!$B$4:$C$100,2,0),"")</f>
        <v/>
      </c>
      <c r="BC1216" s="26"/>
      <c r="BD1216" s="26"/>
      <c r="BE1216" s="73"/>
      <c r="BF1216" s="74"/>
      <c r="BG1216" s="75" t="str">
        <f aca="false">IF(LEN(BF1216)=11,"PF",IF(LEN(BF1216)=14,"PJ",""))</f>
        <v/>
      </c>
      <c r="BH1216" s="66"/>
      <c r="BI1216" s="58" t="str">
        <f aca="false">IF(BH1216&lt;&gt;"",VLOOKUP(BH1216,Selects!$G:$H,2,0),"")</f>
        <v/>
      </c>
      <c r="BJ1216" s="58"/>
      <c r="BK1216" s="58"/>
      <c r="BL1216" s="59"/>
      <c r="BM1216" s="58"/>
      <c r="BN1216" s="58"/>
      <c r="BO1216" s="58" t="str">
        <f aca="false">IF(BN1216&lt;&gt;"",VLOOKUP(BN1216,Selects!$J$4:$K$1000,2,0),"")</f>
        <v/>
      </c>
      <c r="BP1216" s="76"/>
      <c r="BQ1216" s="59"/>
      <c r="BR1216" s="77"/>
      <c r="BS1216" s="59"/>
      <c r="BT1216" s="77"/>
      <c r="BU1216" s="58"/>
      <c r="BV1216" s="58"/>
      <c r="BW1216" s="58"/>
      <c r="BX1216" s="58"/>
      <c r="BY1216" s="58"/>
      <c r="BZ1216" s="58"/>
      <c r="CA1216" s="58"/>
      <c r="CB1216" s="72" t="str">
        <f aca="false">IF(AC1216&lt;&gt;"",VLOOKUP(AC1216,Selects!$B:$E,4,0),"")</f>
        <v/>
      </c>
      <c r="CC1216" s="58"/>
      <c r="CD1216" s="58"/>
      <c r="CE1216" s="58"/>
    </row>
    <row r="1217" customFormat="false" ht="15" hidden="true" customHeight="false" outlineLevel="0" collapsed="false">
      <c r="B1217" s="58"/>
      <c r="C1217" s="58"/>
      <c r="D1217" s="59"/>
      <c r="E1217" s="60" t="str">
        <f aca="false">IF(LEN(D1217)=11,"PF",IF(LEN(D1217)=14,"PJ",""))</f>
        <v/>
      </c>
      <c r="F1217" s="59"/>
      <c r="G1217" s="59"/>
      <c r="H1217" s="61" t="str">
        <f aca="false">IF(G1217&lt;&gt;"",VLOOKUP(G1217,'Cnae  mcc  id'!$A:$M,9,0),"")</f>
        <v/>
      </c>
      <c r="I1217" s="62"/>
      <c r="J1217" s="63" t="str">
        <f aca="false">IF(I1217&lt;&gt;"",VLOOKUP(I1217,'Legal Nature'!$E$2:$G$84,3,0),"")</f>
        <v/>
      </c>
      <c r="K1217" s="64"/>
      <c r="L1217" s="65"/>
      <c r="M1217" s="66"/>
      <c r="N1217" s="66"/>
      <c r="O1217" s="79"/>
      <c r="P1217" s="26"/>
      <c r="Q1217" s="58"/>
      <c r="R1217" s="58"/>
      <c r="S1217" s="80"/>
      <c r="T1217" s="68" t="str">
        <f aca="false">IF(LEFT(S1217,1)="9","Celular",IF(S1217="","","Fixo"))</f>
        <v/>
      </c>
      <c r="U1217" s="58" t="str">
        <f aca="false">IF( T1217&lt;&gt;"",VLOOKUP(T1217,Selects!$M$4:$N$1000,2,0),"")</f>
        <v/>
      </c>
      <c r="V1217" s="26"/>
      <c r="W1217" s="58"/>
      <c r="X1217" s="58"/>
      <c r="Y1217" s="58"/>
      <c r="Z1217" s="58"/>
      <c r="AA1217" s="69"/>
      <c r="AB1217" s="58"/>
      <c r="AC1217" s="58"/>
      <c r="AD1217" s="72" t="str">
        <f aca="false">IF(AC1217&lt;&gt;"",VLOOKUP(AC1217,Selects!$B$4:$C$100,2,0),"")</f>
        <v/>
      </c>
      <c r="AE1217" s="26"/>
      <c r="AF1217" s="58"/>
      <c r="AG1217" s="59"/>
      <c r="AH1217" s="65"/>
      <c r="AI1217" s="66"/>
      <c r="AJ1217" s="66"/>
      <c r="AK1217" s="58"/>
      <c r="AL1217" s="58"/>
      <c r="AM1217" s="68" t="str">
        <f aca="false">IF(LEFT(AL1217,1)="9","Celular",IF(AL1217="","","Fixo"))</f>
        <v/>
      </c>
      <c r="AN1217" s="58" t="str">
        <f aca="false">IF( AM1217&lt;&gt;"",VLOOKUP(AM1217,Selects!$M$4:$N$1000,2,0),"")</f>
        <v/>
      </c>
      <c r="AO1217" s="58"/>
      <c r="AP1217" s="59"/>
      <c r="AQ1217" s="66"/>
      <c r="AR1217" s="58"/>
      <c r="AS1217" s="58"/>
      <c r="AT1217" s="26"/>
      <c r="AU1217" s="58"/>
      <c r="AV1217" s="58"/>
      <c r="AW1217" s="58"/>
      <c r="AX1217" s="58"/>
      <c r="AY1217" s="71"/>
      <c r="AZ1217" s="58"/>
      <c r="BA1217" s="58"/>
      <c r="BB1217" s="72" t="str">
        <f aca="false">IF(BA1217&lt;&gt;"",VLOOKUP(BA1217,Selects!$B$4:$C$100,2,0),"")</f>
        <v/>
      </c>
      <c r="BC1217" s="26"/>
      <c r="BD1217" s="26"/>
      <c r="BE1217" s="73"/>
      <c r="BF1217" s="74"/>
      <c r="BG1217" s="75" t="str">
        <f aca="false">IF(LEN(BF1217)=11,"PF",IF(LEN(BF1217)=14,"PJ",""))</f>
        <v/>
      </c>
      <c r="BH1217" s="66"/>
      <c r="BI1217" s="58" t="str">
        <f aca="false">IF(BH1217&lt;&gt;"",VLOOKUP(BH1217,Selects!$G:$H,2,0),"")</f>
        <v/>
      </c>
      <c r="BJ1217" s="58"/>
      <c r="BK1217" s="58"/>
      <c r="BL1217" s="59"/>
      <c r="BM1217" s="58"/>
      <c r="BN1217" s="58"/>
      <c r="BO1217" s="58" t="str">
        <f aca="false">IF(BN1217&lt;&gt;"",VLOOKUP(BN1217,Selects!$J$4:$K$1000,2,0),"")</f>
        <v/>
      </c>
      <c r="BP1217" s="76"/>
      <c r="BQ1217" s="59"/>
      <c r="BR1217" s="77"/>
      <c r="BS1217" s="59"/>
      <c r="BT1217" s="77"/>
      <c r="BU1217" s="58"/>
      <c r="BV1217" s="58"/>
      <c r="BW1217" s="58"/>
      <c r="BX1217" s="58"/>
      <c r="BY1217" s="58"/>
      <c r="BZ1217" s="58"/>
      <c r="CA1217" s="58"/>
      <c r="CB1217" s="72" t="str">
        <f aca="false">IF(AC1217&lt;&gt;"",VLOOKUP(AC1217,Selects!$B:$E,4,0),"")</f>
        <v/>
      </c>
      <c r="CC1217" s="58"/>
      <c r="CD1217" s="58"/>
      <c r="CE1217" s="58"/>
    </row>
    <row r="1218" customFormat="false" ht="15" hidden="true" customHeight="false" outlineLevel="0" collapsed="false">
      <c r="B1218" s="58"/>
      <c r="C1218" s="58"/>
      <c r="D1218" s="59"/>
      <c r="E1218" s="60" t="str">
        <f aca="false">IF(LEN(D1218)=11,"PF",IF(LEN(D1218)=14,"PJ",""))</f>
        <v/>
      </c>
      <c r="F1218" s="59"/>
      <c r="G1218" s="59"/>
      <c r="H1218" s="61" t="str">
        <f aca="false">IF(G1218&lt;&gt;"",VLOOKUP(G1218,'Cnae  mcc  id'!$A:$M,9,0),"")</f>
        <v/>
      </c>
      <c r="I1218" s="62"/>
      <c r="J1218" s="63" t="str">
        <f aca="false">IF(I1218&lt;&gt;"",VLOOKUP(I1218,'Legal Nature'!$E$2:$G$84,3,0),"")</f>
        <v/>
      </c>
      <c r="K1218" s="64"/>
      <c r="L1218" s="65"/>
      <c r="M1218" s="66"/>
      <c r="N1218" s="66"/>
      <c r="O1218" s="79"/>
      <c r="P1218" s="26"/>
      <c r="Q1218" s="58"/>
      <c r="R1218" s="58"/>
      <c r="S1218" s="80"/>
      <c r="T1218" s="68" t="str">
        <f aca="false">IF(LEFT(S1218,1)="9","Celular",IF(S1218="","","Fixo"))</f>
        <v/>
      </c>
      <c r="U1218" s="58" t="str">
        <f aca="false">IF( T1218&lt;&gt;"",VLOOKUP(T1218,Selects!$M$4:$N$1000,2,0),"")</f>
        <v/>
      </c>
      <c r="V1218" s="26"/>
      <c r="W1218" s="58"/>
      <c r="X1218" s="58"/>
      <c r="Y1218" s="58"/>
      <c r="Z1218" s="58"/>
      <c r="AA1218" s="69"/>
      <c r="AB1218" s="58"/>
      <c r="AC1218" s="58"/>
      <c r="AD1218" s="72" t="str">
        <f aca="false">IF(AC1218&lt;&gt;"",VLOOKUP(AC1218,Selects!$B$4:$C$100,2,0),"")</f>
        <v/>
      </c>
      <c r="AE1218" s="26"/>
      <c r="AF1218" s="58"/>
      <c r="AG1218" s="59"/>
      <c r="AH1218" s="65"/>
      <c r="AI1218" s="66"/>
      <c r="AJ1218" s="66"/>
      <c r="AK1218" s="58"/>
      <c r="AL1218" s="58"/>
      <c r="AM1218" s="68" t="str">
        <f aca="false">IF(LEFT(AL1218,1)="9","Celular",IF(AL1218="","","Fixo"))</f>
        <v/>
      </c>
      <c r="AN1218" s="58" t="str">
        <f aca="false">IF( AM1218&lt;&gt;"",VLOOKUP(AM1218,Selects!$M$4:$N$1000,2,0),"")</f>
        <v/>
      </c>
      <c r="AO1218" s="58"/>
      <c r="AP1218" s="59"/>
      <c r="AQ1218" s="66"/>
      <c r="AR1218" s="58"/>
      <c r="AS1218" s="58"/>
      <c r="AT1218" s="26"/>
      <c r="AU1218" s="58"/>
      <c r="AV1218" s="58"/>
      <c r="AW1218" s="58"/>
      <c r="AX1218" s="58"/>
      <c r="AY1218" s="71"/>
      <c r="AZ1218" s="58"/>
      <c r="BA1218" s="58"/>
      <c r="BB1218" s="72" t="str">
        <f aca="false">IF(BA1218&lt;&gt;"",VLOOKUP(BA1218,Selects!$B$4:$C$100,2,0),"")</f>
        <v/>
      </c>
      <c r="BC1218" s="26"/>
      <c r="BD1218" s="26"/>
      <c r="BE1218" s="73"/>
      <c r="BF1218" s="74"/>
      <c r="BG1218" s="75" t="str">
        <f aca="false">IF(LEN(BF1218)=11,"PF",IF(LEN(BF1218)=14,"PJ",""))</f>
        <v/>
      </c>
      <c r="BH1218" s="66"/>
      <c r="BI1218" s="58" t="str">
        <f aca="false">IF(BH1218&lt;&gt;"",VLOOKUP(BH1218,Selects!$G:$H,2,0),"")</f>
        <v/>
      </c>
      <c r="BJ1218" s="58"/>
      <c r="BK1218" s="58"/>
      <c r="BL1218" s="59"/>
      <c r="BM1218" s="58"/>
      <c r="BN1218" s="58"/>
      <c r="BO1218" s="58" t="str">
        <f aca="false">IF(BN1218&lt;&gt;"",VLOOKUP(BN1218,Selects!$J$4:$K$1000,2,0),"")</f>
        <v/>
      </c>
      <c r="BP1218" s="76"/>
      <c r="BQ1218" s="59"/>
      <c r="BR1218" s="77"/>
      <c r="BS1218" s="59"/>
      <c r="BT1218" s="77"/>
      <c r="BU1218" s="58"/>
      <c r="BV1218" s="58"/>
      <c r="BW1218" s="58"/>
      <c r="BX1218" s="58"/>
      <c r="BY1218" s="58"/>
      <c r="BZ1218" s="58"/>
      <c r="CA1218" s="58"/>
      <c r="CB1218" s="72" t="str">
        <f aca="false">IF(AC1218&lt;&gt;"",VLOOKUP(AC1218,Selects!$B:$E,4,0),"")</f>
        <v/>
      </c>
      <c r="CC1218" s="58"/>
      <c r="CD1218" s="58"/>
      <c r="CE1218" s="58"/>
    </row>
    <row r="1219" customFormat="false" ht="15" hidden="true" customHeight="false" outlineLevel="0" collapsed="false">
      <c r="B1219" s="58"/>
      <c r="C1219" s="58"/>
      <c r="D1219" s="59"/>
      <c r="E1219" s="60" t="str">
        <f aca="false">IF(LEN(D1219)=11,"PF",IF(LEN(D1219)=14,"PJ",""))</f>
        <v/>
      </c>
      <c r="F1219" s="59"/>
      <c r="G1219" s="59"/>
      <c r="H1219" s="61" t="str">
        <f aca="false">IF(G1219&lt;&gt;"",VLOOKUP(G1219,'Cnae  mcc  id'!$A:$M,9,0),"")</f>
        <v/>
      </c>
      <c r="I1219" s="62"/>
      <c r="J1219" s="63" t="str">
        <f aca="false">IF(I1219&lt;&gt;"",VLOOKUP(I1219,'Legal Nature'!$E$2:$G$84,3,0),"")</f>
        <v/>
      </c>
      <c r="K1219" s="64"/>
      <c r="L1219" s="65"/>
      <c r="M1219" s="66"/>
      <c r="N1219" s="66"/>
      <c r="O1219" s="79"/>
      <c r="P1219" s="26"/>
      <c r="Q1219" s="58"/>
      <c r="R1219" s="58"/>
      <c r="S1219" s="80"/>
      <c r="T1219" s="68" t="str">
        <f aca="false">IF(LEFT(S1219,1)="9","Celular",IF(S1219="","","Fixo"))</f>
        <v/>
      </c>
      <c r="U1219" s="58" t="str">
        <f aca="false">IF( T1219&lt;&gt;"",VLOOKUP(T1219,Selects!$M$4:$N$1000,2,0),"")</f>
        <v/>
      </c>
      <c r="V1219" s="26"/>
      <c r="W1219" s="58"/>
      <c r="X1219" s="58"/>
      <c r="Y1219" s="58"/>
      <c r="Z1219" s="58"/>
      <c r="AA1219" s="69"/>
      <c r="AB1219" s="58"/>
      <c r="AC1219" s="58"/>
      <c r="AD1219" s="72" t="str">
        <f aca="false">IF(AC1219&lt;&gt;"",VLOOKUP(AC1219,Selects!$B$4:$C$100,2,0),"")</f>
        <v/>
      </c>
      <c r="AE1219" s="26"/>
      <c r="AF1219" s="58"/>
      <c r="AG1219" s="59"/>
      <c r="AH1219" s="65"/>
      <c r="AI1219" s="66"/>
      <c r="AJ1219" s="66"/>
      <c r="AK1219" s="58"/>
      <c r="AL1219" s="58"/>
      <c r="AM1219" s="68" t="str">
        <f aca="false">IF(LEFT(AL1219,1)="9","Celular",IF(AL1219="","","Fixo"))</f>
        <v/>
      </c>
      <c r="AN1219" s="58" t="str">
        <f aca="false">IF( AM1219&lt;&gt;"",VLOOKUP(AM1219,Selects!$M$4:$N$1000,2,0),"")</f>
        <v/>
      </c>
      <c r="AO1219" s="58"/>
      <c r="AP1219" s="59"/>
      <c r="AQ1219" s="66"/>
      <c r="AR1219" s="58"/>
      <c r="AS1219" s="58"/>
      <c r="AT1219" s="26"/>
      <c r="AU1219" s="58"/>
      <c r="AV1219" s="58"/>
      <c r="AW1219" s="58"/>
      <c r="AX1219" s="58"/>
      <c r="AY1219" s="71"/>
      <c r="AZ1219" s="58"/>
      <c r="BA1219" s="58"/>
      <c r="BB1219" s="72" t="str">
        <f aca="false">IF(BA1219&lt;&gt;"",VLOOKUP(BA1219,Selects!$B$4:$C$100,2,0),"")</f>
        <v/>
      </c>
      <c r="BC1219" s="26"/>
      <c r="BD1219" s="26"/>
      <c r="BE1219" s="73"/>
      <c r="BF1219" s="74"/>
      <c r="BG1219" s="75" t="str">
        <f aca="false">IF(LEN(BF1219)=11,"PF",IF(LEN(BF1219)=14,"PJ",""))</f>
        <v/>
      </c>
      <c r="BH1219" s="66"/>
      <c r="BI1219" s="58" t="str">
        <f aca="false">IF(BH1219&lt;&gt;"",VLOOKUP(BH1219,Selects!$G:$H,2,0),"")</f>
        <v/>
      </c>
      <c r="BJ1219" s="58"/>
      <c r="BK1219" s="58"/>
      <c r="BL1219" s="59"/>
      <c r="BM1219" s="58"/>
      <c r="BN1219" s="58"/>
      <c r="BO1219" s="58" t="str">
        <f aca="false">IF(BN1219&lt;&gt;"",VLOOKUP(BN1219,Selects!$J$4:$K$1000,2,0),"")</f>
        <v/>
      </c>
      <c r="BP1219" s="76"/>
      <c r="BQ1219" s="59"/>
      <c r="BR1219" s="77"/>
      <c r="BS1219" s="59"/>
      <c r="BT1219" s="77"/>
      <c r="BU1219" s="58"/>
      <c r="BV1219" s="58"/>
      <c r="BW1219" s="58"/>
      <c r="BX1219" s="58"/>
      <c r="BY1219" s="58"/>
      <c r="BZ1219" s="58"/>
      <c r="CA1219" s="58"/>
      <c r="CB1219" s="72" t="str">
        <f aca="false">IF(AC1219&lt;&gt;"",VLOOKUP(AC1219,Selects!$B:$E,4,0),"")</f>
        <v/>
      </c>
      <c r="CC1219" s="58"/>
      <c r="CD1219" s="58"/>
      <c r="CE1219" s="58"/>
    </row>
    <row r="1220" customFormat="false" ht="15" hidden="true" customHeight="false" outlineLevel="0" collapsed="false">
      <c r="B1220" s="58"/>
      <c r="C1220" s="58"/>
      <c r="D1220" s="59"/>
      <c r="E1220" s="60" t="str">
        <f aca="false">IF(LEN(D1220)=11,"PF",IF(LEN(D1220)=14,"PJ",""))</f>
        <v/>
      </c>
      <c r="F1220" s="59"/>
      <c r="G1220" s="59"/>
      <c r="H1220" s="61" t="str">
        <f aca="false">IF(G1220&lt;&gt;"",VLOOKUP(G1220,'Cnae  mcc  id'!$A:$M,9,0),"")</f>
        <v/>
      </c>
      <c r="I1220" s="62"/>
      <c r="J1220" s="63" t="str">
        <f aca="false">IF(I1220&lt;&gt;"",VLOOKUP(I1220,'Legal Nature'!$E$2:$G$84,3,0),"")</f>
        <v/>
      </c>
      <c r="K1220" s="64"/>
      <c r="L1220" s="65"/>
      <c r="M1220" s="66"/>
      <c r="N1220" s="66"/>
      <c r="O1220" s="79"/>
      <c r="P1220" s="26"/>
      <c r="Q1220" s="58"/>
      <c r="R1220" s="58"/>
      <c r="S1220" s="80"/>
      <c r="T1220" s="68" t="str">
        <f aca="false">IF(LEFT(S1220,1)="9","Celular",IF(S1220="","","Fixo"))</f>
        <v/>
      </c>
      <c r="U1220" s="58" t="str">
        <f aca="false">IF( T1220&lt;&gt;"",VLOOKUP(T1220,Selects!$M$4:$N$1000,2,0),"")</f>
        <v/>
      </c>
      <c r="V1220" s="26"/>
      <c r="W1220" s="58"/>
      <c r="X1220" s="58"/>
      <c r="Y1220" s="58"/>
      <c r="Z1220" s="58"/>
      <c r="AA1220" s="69"/>
      <c r="AB1220" s="58"/>
      <c r="AC1220" s="58"/>
      <c r="AD1220" s="72" t="str">
        <f aca="false">IF(AC1220&lt;&gt;"",VLOOKUP(AC1220,Selects!$B$4:$C$100,2,0),"")</f>
        <v/>
      </c>
      <c r="AE1220" s="26"/>
      <c r="AF1220" s="58"/>
      <c r="AG1220" s="59"/>
      <c r="AH1220" s="65"/>
      <c r="AI1220" s="66"/>
      <c r="AJ1220" s="66"/>
      <c r="AK1220" s="58"/>
      <c r="AL1220" s="58"/>
      <c r="AM1220" s="68" t="str">
        <f aca="false">IF(LEFT(AL1220,1)="9","Celular",IF(AL1220="","","Fixo"))</f>
        <v/>
      </c>
      <c r="AN1220" s="58" t="str">
        <f aca="false">IF( AM1220&lt;&gt;"",VLOOKUP(AM1220,Selects!$M$4:$N$1000,2,0),"")</f>
        <v/>
      </c>
      <c r="AO1220" s="58"/>
      <c r="AP1220" s="59"/>
      <c r="AQ1220" s="66"/>
      <c r="AR1220" s="58"/>
      <c r="AS1220" s="58"/>
      <c r="AT1220" s="26"/>
      <c r="AU1220" s="58"/>
      <c r="AV1220" s="58"/>
      <c r="AW1220" s="58"/>
      <c r="AX1220" s="58"/>
      <c r="AY1220" s="71"/>
      <c r="AZ1220" s="58"/>
      <c r="BA1220" s="58"/>
      <c r="BB1220" s="72" t="str">
        <f aca="false">IF(BA1220&lt;&gt;"",VLOOKUP(BA1220,Selects!$B$4:$C$100,2,0),"")</f>
        <v/>
      </c>
      <c r="BC1220" s="26"/>
      <c r="BD1220" s="26"/>
      <c r="BE1220" s="73"/>
      <c r="BF1220" s="74"/>
      <c r="BG1220" s="75" t="str">
        <f aca="false">IF(LEN(BF1220)=11,"PF",IF(LEN(BF1220)=14,"PJ",""))</f>
        <v/>
      </c>
      <c r="BH1220" s="66"/>
      <c r="BI1220" s="58" t="str">
        <f aca="false">IF(BH1220&lt;&gt;"",VLOOKUP(BH1220,Selects!$G:$H,2,0),"")</f>
        <v/>
      </c>
      <c r="BJ1220" s="58"/>
      <c r="BK1220" s="58"/>
      <c r="BL1220" s="59"/>
      <c r="BM1220" s="58"/>
      <c r="BN1220" s="58"/>
      <c r="BO1220" s="58" t="str">
        <f aca="false">IF(BN1220&lt;&gt;"",VLOOKUP(BN1220,Selects!$J$4:$K$1000,2,0),"")</f>
        <v/>
      </c>
      <c r="BP1220" s="76"/>
      <c r="BQ1220" s="59"/>
      <c r="BR1220" s="77"/>
      <c r="BS1220" s="59"/>
      <c r="BT1220" s="77"/>
      <c r="BU1220" s="58"/>
      <c r="BV1220" s="58"/>
      <c r="BW1220" s="58"/>
      <c r="BX1220" s="58"/>
      <c r="BY1220" s="58"/>
      <c r="BZ1220" s="58"/>
      <c r="CA1220" s="58"/>
      <c r="CB1220" s="72" t="str">
        <f aca="false">IF(AC1220&lt;&gt;"",VLOOKUP(AC1220,Selects!$B:$E,4,0),"")</f>
        <v/>
      </c>
      <c r="CC1220" s="58"/>
      <c r="CD1220" s="58"/>
      <c r="CE1220" s="58"/>
    </row>
    <row r="1221" customFormat="false" ht="15" hidden="true" customHeight="false" outlineLevel="0" collapsed="false">
      <c r="B1221" s="58"/>
      <c r="C1221" s="58"/>
      <c r="D1221" s="59"/>
      <c r="E1221" s="60" t="str">
        <f aca="false">IF(LEN(D1221)=11,"PF",IF(LEN(D1221)=14,"PJ",""))</f>
        <v/>
      </c>
      <c r="F1221" s="59"/>
      <c r="G1221" s="59"/>
      <c r="H1221" s="61" t="str">
        <f aca="false">IF(G1221&lt;&gt;"",VLOOKUP(G1221,'Cnae  mcc  id'!$A:$M,9,0),"")</f>
        <v/>
      </c>
      <c r="I1221" s="62"/>
      <c r="J1221" s="63" t="str">
        <f aca="false">IF(I1221&lt;&gt;"",VLOOKUP(I1221,'Legal Nature'!$E$2:$G$84,3,0),"")</f>
        <v/>
      </c>
      <c r="K1221" s="64"/>
      <c r="L1221" s="65"/>
      <c r="M1221" s="66"/>
      <c r="N1221" s="66"/>
      <c r="O1221" s="79"/>
      <c r="P1221" s="26"/>
      <c r="Q1221" s="58"/>
      <c r="R1221" s="58"/>
      <c r="S1221" s="80"/>
      <c r="T1221" s="68" t="str">
        <f aca="false">IF(LEFT(S1221,1)="9","Celular",IF(S1221="","","Fixo"))</f>
        <v/>
      </c>
      <c r="U1221" s="58" t="str">
        <f aca="false">IF( T1221&lt;&gt;"",VLOOKUP(T1221,Selects!$M$4:$N$1000,2,0),"")</f>
        <v/>
      </c>
      <c r="V1221" s="26"/>
      <c r="W1221" s="58"/>
      <c r="X1221" s="58"/>
      <c r="Y1221" s="58"/>
      <c r="Z1221" s="58"/>
      <c r="AA1221" s="69"/>
      <c r="AB1221" s="58"/>
      <c r="AC1221" s="58"/>
      <c r="AD1221" s="72" t="str">
        <f aca="false">IF(AC1221&lt;&gt;"",VLOOKUP(AC1221,Selects!$B$4:$C$100,2,0),"")</f>
        <v/>
      </c>
      <c r="AE1221" s="26"/>
      <c r="AF1221" s="58"/>
      <c r="AG1221" s="59"/>
      <c r="AH1221" s="65"/>
      <c r="AI1221" s="66"/>
      <c r="AJ1221" s="66"/>
      <c r="AK1221" s="58"/>
      <c r="AL1221" s="58"/>
      <c r="AM1221" s="68" t="str">
        <f aca="false">IF(LEFT(AL1221,1)="9","Celular",IF(AL1221="","","Fixo"))</f>
        <v/>
      </c>
      <c r="AN1221" s="58" t="str">
        <f aca="false">IF( AM1221&lt;&gt;"",VLOOKUP(AM1221,Selects!$M$4:$N$1000,2,0),"")</f>
        <v/>
      </c>
      <c r="AO1221" s="58"/>
      <c r="AP1221" s="59"/>
      <c r="AQ1221" s="66"/>
      <c r="AR1221" s="58"/>
      <c r="AS1221" s="58"/>
      <c r="AT1221" s="26"/>
      <c r="AU1221" s="58"/>
      <c r="AV1221" s="58"/>
      <c r="AW1221" s="58"/>
      <c r="AX1221" s="58"/>
      <c r="AY1221" s="71"/>
      <c r="AZ1221" s="58"/>
      <c r="BA1221" s="58"/>
      <c r="BB1221" s="72" t="str">
        <f aca="false">IF(BA1221&lt;&gt;"",VLOOKUP(BA1221,Selects!$B$4:$C$100,2,0),"")</f>
        <v/>
      </c>
      <c r="BC1221" s="26"/>
      <c r="BD1221" s="26"/>
      <c r="BE1221" s="73"/>
      <c r="BF1221" s="74"/>
      <c r="BG1221" s="75" t="str">
        <f aca="false">IF(LEN(BF1221)=11,"PF",IF(LEN(BF1221)=14,"PJ",""))</f>
        <v/>
      </c>
      <c r="BH1221" s="66"/>
      <c r="BI1221" s="58" t="str">
        <f aca="false">IF(BH1221&lt;&gt;"",VLOOKUP(BH1221,Selects!$G:$H,2,0),"")</f>
        <v/>
      </c>
      <c r="BJ1221" s="58"/>
      <c r="BK1221" s="58"/>
      <c r="BL1221" s="59"/>
      <c r="BM1221" s="58"/>
      <c r="BN1221" s="58"/>
      <c r="BO1221" s="58" t="str">
        <f aca="false">IF(BN1221&lt;&gt;"",VLOOKUP(BN1221,Selects!$J$4:$K$1000,2,0),"")</f>
        <v/>
      </c>
      <c r="BP1221" s="76"/>
      <c r="BQ1221" s="59"/>
      <c r="BR1221" s="77"/>
      <c r="BS1221" s="59"/>
      <c r="BT1221" s="77"/>
      <c r="BU1221" s="58"/>
      <c r="BV1221" s="58"/>
      <c r="BW1221" s="58"/>
      <c r="BX1221" s="58"/>
      <c r="BY1221" s="58"/>
      <c r="BZ1221" s="58"/>
      <c r="CA1221" s="58"/>
      <c r="CB1221" s="72" t="str">
        <f aca="false">IF(AC1221&lt;&gt;"",VLOOKUP(AC1221,Selects!$B:$E,4,0),"")</f>
        <v/>
      </c>
      <c r="CC1221" s="58"/>
      <c r="CD1221" s="58"/>
      <c r="CE1221" s="58"/>
    </row>
    <row r="1222" customFormat="false" ht="15" hidden="true" customHeight="false" outlineLevel="0" collapsed="false">
      <c r="B1222" s="58"/>
      <c r="C1222" s="58"/>
      <c r="D1222" s="59"/>
      <c r="E1222" s="60" t="str">
        <f aca="false">IF(LEN(D1222)=11,"PF",IF(LEN(D1222)=14,"PJ",""))</f>
        <v/>
      </c>
      <c r="F1222" s="59"/>
      <c r="G1222" s="59"/>
      <c r="H1222" s="61" t="str">
        <f aca="false">IF(G1222&lt;&gt;"",VLOOKUP(G1222,'Cnae  mcc  id'!$A:$M,9,0),"")</f>
        <v/>
      </c>
      <c r="I1222" s="62"/>
      <c r="J1222" s="63" t="str">
        <f aca="false">IF(I1222&lt;&gt;"",VLOOKUP(I1222,'Legal Nature'!$E$2:$G$84,3,0),"")</f>
        <v/>
      </c>
      <c r="K1222" s="64"/>
      <c r="L1222" s="65"/>
      <c r="M1222" s="66"/>
      <c r="N1222" s="66"/>
      <c r="O1222" s="79"/>
      <c r="P1222" s="26"/>
      <c r="Q1222" s="58"/>
      <c r="R1222" s="58"/>
      <c r="S1222" s="80"/>
      <c r="T1222" s="68" t="str">
        <f aca="false">IF(LEFT(S1222,1)="9","Celular",IF(S1222="","","Fixo"))</f>
        <v/>
      </c>
      <c r="U1222" s="58" t="str">
        <f aca="false">IF( T1222&lt;&gt;"",VLOOKUP(T1222,Selects!$M$4:$N$1000,2,0),"")</f>
        <v/>
      </c>
      <c r="V1222" s="26"/>
      <c r="W1222" s="58"/>
      <c r="X1222" s="58"/>
      <c r="Y1222" s="58"/>
      <c r="Z1222" s="58"/>
      <c r="AA1222" s="69"/>
      <c r="AB1222" s="58"/>
      <c r="AC1222" s="58"/>
      <c r="AD1222" s="72" t="str">
        <f aca="false">IF(AC1222&lt;&gt;"",VLOOKUP(AC1222,Selects!$B$4:$C$100,2,0),"")</f>
        <v/>
      </c>
      <c r="AE1222" s="26"/>
      <c r="AF1222" s="58"/>
      <c r="AG1222" s="59"/>
      <c r="AH1222" s="65"/>
      <c r="AI1222" s="66"/>
      <c r="AJ1222" s="66"/>
      <c r="AK1222" s="58"/>
      <c r="AL1222" s="58"/>
      <c r="AM1222" s="68" t="str">
        <f aca="false">IF(LEFT(AL1222,1)="9","Celular",IF(AL1222="","","Fixo"))</f>
        <v/>
      </c>
      <c r="AN1222" s="58" t="str">
        <f aca="false">IF( AM1222&lt;&gt;"",VLOOKUP(AM1222,Selects!$M$4:$N$1000,2,0),"")</f>
        <v/>
      </c>
      <c r="AO1222" s="58"/>
      <c r="AP1222" s="59"/>
      <c r="AQ1222" s="66"/>
      <c r="AR1222" s="58"/>
      <c r="AS1222" s="58"/>
      <c r="AT1222" s="26"/>
      <c r="AU1222" s="58"/>
      <c r="AV1222" s="58"/>
      <c r="AW1222" s="58"/>
      <c r="AX1222" s="58"/>
      <c r="AY1222" s="71"/>
      <c r="AZ1222" s="58"/>
      <c r="BA1222" s="58"/>
      <c r="BB1222" s="72" t="str">
        <f aca="false">IF(BA1222&lt;&gt;"",VLOOKUP(BA1222,Selects!$B$4:$C$100,2,0),"")</f>
        <v/>
      </c>
      <c r="BC1222" s="26"/>
      <c r="BD1222" s="26"/>
      <c r="BE1222" s="73"/>
      <c r="BF1222" s="74"/>
      <c r="BG1222" s="75" t="str">
        <f aca="false">IF(LEN(BF1222)=11,"PF",IF(LEN(BF1222)=14,"PJ",""))</f>
        <v/>
      </c>
      <c r="BH1222" s="66"/>
      <c r="BI1222" s="58" t="str">
        <f aca="false">IF(BH1222&lt;&gt;"",VLOOKUP(BH1222,Selects!$G:$H,2,0),"")</f>
        <v/>
      </c>
      <c r="BJ1222" s="58"/>
      <c r="BK1222" s="58"/>
      <c r="BL1222" s="59"/>
      <c r="BM1222" s="58"/>
      <c r="BN1222" s="58"/>
      <c r="BO1222" s="58" t="str">
        <f aca="false">IF(BN1222&lt;&gt;"",VLOOKUP(BN1222,Selects!$J$4:$K$1000,2,0),"")</f>
        <v/>
      </c>
      <c r="BP1222" s="76"/>
      <c r="BQ1222" s="59"/>
      <c r="BR1222" s="77"/>
      <c r="BS1222" s="59"/>
      <c r="BT1222" s="77"/>
      <c r="BU1222" s="58"/>
      <c r="BV1222" s="58"/>
      <c r="BW1222" s="58"/>
      <c r="BX1222" s="58"/>
      <c r="BY1222" s="58"/>
      <c r="BZ1222" s="58"/>
      <c r="CA1222" s="58"/>
      <c r="CB1222" s="72" t="str">
        <f aca="false">IF(AC1222&lt;&gt;"",VLOOKUP(AC1222,Selects!$B:$E,4,0),"")</f>
        <v/>
      </c>
      <c r="CC1222" s="58"/>
      <c r="CD1222" s="58"/>
      <c r="CE1222" s="58"/>
    </row>
    <row r="1223" customFormat="false" ht="15" hidden="true" customHeight="false" outlineLevel="0" collapsed="false">
      <c r="B1223" s="58"/>
      <c r="C1223" s="58"/>
      <c r="D1223" s="59"/>
      <c r="E1223" s="60" t="str">
        <f aca="false">IF(LEN(D1223)=11,"PF",IF(LEN(D1223)=14,"PJ",""))</f>
        <v/>
      </c>
      <c r="F1223" s="59"/>
      <c r="G1223" s="59"/>
      <c r="H1223" s="61" t="str">
        <f aca="false">IF(G1223&lt;&gt;"",VLOOKUP(G1223,'Cnae  mcc  id'!$A:$M,9,0),"")</f>
        <v/>
      </c>
      <c r="I1223" s="62"/>
      <c r="J1223" s="63" t="str">
        <f aca="false">IF(I1223&lt;&gt;"",VLOOKUP(I1223,'Legal Nature'!$E$2:$G$84,3,0),"")</f>
        <v/>
      </c>
      <c r="K1223" s="64"/>
      <c r="L1223" s="65"/>
      <c r="M1223" s="66"/>
      <c r="N1223" s="66"/>
      <c r="O1223" s="79"/>
      <c r="P1223" s="26"/>
      <c r="Q1223" s="58"/>
      <c r="R1223" s="58"/>
      <c r="S1223" s="80"/>
      <c r="T1223" s="68" t="str">
        <f aca="false">IF(LEFT(S1223,1)="9","Celular",IF(S1223="","","Fixo"))</f>
        <v/>
      </c>
      <c r="U1223" s="58" t="str">
        <f aca="false">IF( T1223&lt;&gt;"",VLOOKUP(T1223,Selects!$M$4:$N$1000,2,0),"")</f>
        <v/>
      </c>
      <c r="V1223" s="26"/>
      <c r="W1223" s="58"/>
      <c r="X1223" s="58"/>
      <c r="Y1223" s="58"/>
      <c r="Z1223" s="58"/>
      <c r="AA1223" s="69"/>
      <c r="AB1223" s="58"/>
      <c r="AC1223" s="58"/>
      <c r="AD1223" s="72" t="str">
        <f aca="false">IF(AC1223&lt;&gt;"",VLOOKUP(AC1223,Selects!$B$4:$C$100,2,0),"")</f>
        <v/>
      </c>
      <c r="AE1223" s="26"/>
      <c r="AF1223" s="58"/>
      <c r="AG1223" s="59"/>
      <c r="AH1223" s="65"/>
      <c r="AI1223" s="66"/>
      <c r="AJ1223" s="66"/>
      <c r="AK1223" s="58"/>
      <c r="AL1223" s="58"/>
      <c r="AM1223" s="68" t="str">
        <f aca="false">IF(LEFT(AL1223,1)="9","Celular",IF(AL1223="","","Fixo"))</f>
        <v/>
      </c>
      <c r="AN1223" s="58" t="str">
        <f aca="false">IF( AM1223&lt;&gt;"",VLOOKUP(AM1223,Selects!$M$4:$N$1000,2,0),"")</f>
        <v/>
      </c>
      <c r="AO1223" s="58"/>
      <c r="AP1223" s="59"/>
      <c r="AQ1223" s="66"/>
      <c r="AR1223" s="58"/>
      <c r="AS1223" s="58"/>
      <c r="AT1223" s="26"/>
      <c r="AU1223" s="58"/>
      <c r="AV1223" s="58"/>
      <c r="AW1223" s="58"/>
      <c r="AX1223" s="58"/>
      <c r="AY1223" s="71"/>
      <c r="AZ1223" s="58"/>
      <c r="BA1223" s="58"/>
      <c r="BB1223" s="72" t="str">
        <f aca="false">IF(BA1223&lt;&gt;"",VLOOKUP(BA1223,Selects!$B$4:$C$100,2,0),"")</f>
        <v/>
      </c>
      <c r="BC1223" s="26"/>
      <c r="BD1223" s="26"/>
      <c r="BE1223" s="73"/>
      <c r="BF1223" s="74"/>
      <c r="BG1223" s="75" t="str">
        <f aca="false">IF(LEN(BF1223)=11,"PF",IF(LEN(BF1223)=14,"PJ",""))</f>
        <v/>
      </c>
      <c r="BH1223" s="66"/>
      <c r="BI1223" s="58" t="str">
        <f aca="false">IF(BH1223&lt;&gt;"",VLOOKUP(BH1223,Selects!$G:$H,2,0),"")</f>
        <v/>
      </c>
      <c r="BJ1223" s="58"/>
      <c r="BK1223" s="58"/>
      <c r="BL1223" s="59"/>
      <c r="BM1223" s="58"/>
      <c r="BN1223" s="58"/>
      <c r="BO1223" s="58" t="str">
        <f aca="false">IF(BN1223&lt;&gt;"",VLOOKUP(BN1223,Selects!$J$4:$K$1000,2,0),"")</f>
        <v/>
      </c>
      <c r="BP1223" s="76"/>
      <c r="BQ1223" s="59"/>
      <c r="BR1223" s="77"/>
      <c r="BS1223" s="59"/>
      <c r="BT1223" s="77"/>
      <c r="BU1223" s="58"/>
      <c r="BV1223" s="58"/>
      <c r="BW1223" s="58"/>
      <c r="BX1223" s="58"/>
      <c r="BY1223" s="58"/>
      <c r="BZ1223" s="58"/>
      <c r="CA1223" s="58"/>
      <c r="CB1223" s="72" t="str">
        <f aca="false">IF(AC1223&lt;&gt;"",VLOOKUP(AC1223,Selects!$B:$E,4,0),"")</f>
        <v/>
      </c>
      <c r="CC1223" s="58"/>
      <c r="CD1223" s="58"/>
      <c r="CE1223" s="58"/>
    </row>
    <row r="1224" customFormat="false" ht="15" hidden="true" customHeight="false" outlineLevel="0" collapsed="false">
      <c r="B1224" s="58"/>
      <c r="C1224" s="58"/>
      <c r="D1224" s="59"/>
      <c r="E1224" s="60" t="str">
        <f aca="false">IF(LEN(D1224)=11,"PF",IF(LEN(D1224)=14,"PJ",""))</f>
        <v/>
      </c>
      <c r="F1224" s="59"/>
      <c r="G1224" s="59"/>
      <c r="H1224" s="61" t="str">
        <f aca="false">IF(G1224&lt;&gt;"",VLOOKUP(G1224,'Cnae  mcc  id'!$A:$M,9,0),"")</f>
        <v/>
      </c>
      <c r="I1224" s="62"/>
      <c r="J1224" s="63" t="str">
        <f aca="false">IF(I1224&lt;&gt;"",VLOOKUP(I1224,'Legal Nature'!$E$2:$G$84,3,0),"")</f>
        <v/>
      </c>
      <c r="K1224" s="64"/>
      <c r="L1224" s="65"/>
      <c r="M1224" s="66"/>
      <c r="N1224" s="66"/>
      <c r="O1224" s="79"/>
      <c r="P1224" s="26"/>
      <c r="Q1224" s="58"/>
      <c r="R1224" s="58"/>
      <c r="S1224" s="80"/>
      <c r="T1224" s="68" t="str">
        <f aca="false">IF(LEFT(S1224,1)="9","Celular",IF(S1224="","","Fixo"))</f>
        <v/>
      </c>
      <c r="U1224" s="58" t="str">
        <f aca="false">IF( T1224&lt;&gt;"",VLOOKUP(T1224,Selects!$M$4:$N$1000,2,0),"")</f>
        <v/>
      </c>
      <c r="V1224" s="26"/>
      <c r="W1224" s="58"/>
      <c r="X1224" s="58"/>
      <c r="Y1224" s="58"/>
      <c r="Z1224" s="58"/>
      <c r="AA1224" s="69"/>
      <c r="AB1224" s="58"/>
      <c r="AC1224" s="58"/>
      <c r="AD1224" s="72" t="str">
        <f aca="false">IF(AC1224&lt;&gt;"",VLOOKUP(AC1224,Selects!$B$4:$C$100,2,0),"")</f>
        <v/>
      </c>
      <c r="AE1224" s="26"/>
      <c r="AF1224" s="58"/>
      <c r="AG1224" s="59"/>
      <c r="AH1224" s="65"/>
      <c r="AI1224" s="66"/>
      <c r="AJ1224" s="66"/>
      <c r="AK1224" s="58"/>
      <c r="AL1224" s="58"/>
      <c r="AM1224" s="68" t="str">
        <f aca="false">IF(LEFT(AL1224,1)="9","Celular",IF(AL1224="","","Fixo"))</f>
        <v/>
      </c>
      <c r="AN1224" s="58" t="str">
        <f aca="false">IF( AM1224&lt;&gt;"",VLOOKUP(AM1224,Selects!$M$4:$N$1000,2,0),"")</f>
        <v/>
      </c>
      <c r="AO1224" s="58"/>
      <c r="AP1224" s="59"/>
      <c r="AQ1224" s="66"/>
      <c r="AR1224" s="58"/>
      <c r="AS1224" s="58"/>
      <c r="AT1224" s="26"/>
      <c r="AU1224" s="58"/>
      <c r="AV1224" s="58"/>
      <c r="AW1224" s="58"/>
      <c r="AX1224" s="58"/>
      <c r="AY1224" s="71"/>
      <c r="AZ1224" s="58"/>
      <c r="BA1224" s="58"/>
      <c r="BB1224" s="72" t="str">
        <f aca="false">IF(BA1224&lt;&gt;"",VLOOKUP(BA1224,Selects!$B$4:$C$100,2,0),"")</f>
        <v/>
      </c>
      <c r="BC1224" s="26"/>
      <c r="BD1224" s="26"/>
      <c r="BE1224" s="73"/>
      <c r="BF1224" s="74"/>
      <c r="BG1224" s="75" t="str">
        <f aca="false">IF(LEN(BF1224)=11,"PF",IF(LEN(BF1224)=14,"PJ",""))</f>
        <v/>
      </c>
      <c r="BH1224" s="66"/>
      <c r="BI1224" s="58" t="str">
        <f aca="false">IF(BH1224&lt;&gt;"",VLOOKUP(BH1224,Selects!$G:$H,2,0),"")</f>
        <v/>
      </c>
      <c r="BJ1224" s="58"/>
      <c r="BK1224" s="58"/>
      <c r="BL1224" s="59"/>
      <c r="BM1224" s="58"/>
      <c r="BN1224" s="58"/>
      <c r="BO1224" s="58" t="str">
        <f aca="false">IF(BN1224&lt;&gt;"",VLOOKUP(BN1224,Selects!$J$4:$K$1000,2,0),"")</f>
        <v/>
      </c>
      <c r="BP1224" s="76"/>
      <c r="BQ1224" s="59"/>
      <c r="BR1224" s="77"/>
      <c r="BS1224" s="59"/>
      <c r="BT1224" s="77"/>
      <c r="BU1224" s="58"/>
      <c r="BV1224" s="58"/>
      <c r="BW1224" s="58"/>
      <c r="BX1224" s="58"/>
      <c r="BY1224" s="58"/>
      <c r="BZ1224" s="58"/>
      <c r="CA1224" s="58"/>
      <c r="CB1224" s="72" t="str">
        <f aca="false">IF(AC1224&lt;&gt;"",VLOOKUP(AC1224,Selects!$B:$E,4,0),"")</f>
        <v/>
      </c>
      <c r="CC1224" s="58"/>
      <c r="CD1224" s="58"/>
      <c r="CE1224" s="58"/>
    </row>
    <row r="1225" customFormat="false" ht="15" hidden="true" customHeight="false" outlineLevel="0" collapsed="false">
      <c r="B1225" s="58"/>
      <c r="C1225" s="58"/>
      <c r="D1225" s="59"/>
      <c r="E1225" s="60" t="str">
        <f aca="false">IF(LEN(D1225)=11,"PF",IF(LEN(D1225)=14,"PJ",""))</f>
        <v/>
      </c>
      <c r="F1225" s="59"/>
      <c r="G1225" s="59"/>
      <c r="H1225" s="61" t="str">
        <f aca="false">IF(G1225&lt;&gt;"",VLOOKUP(G1225,'Cnae  mcc  id'!$A:$M,9,0),"")</f>
        <v/>
      </c>
      <c r="I1225" s="62"/>
      <c r="J1225" s="63" t="str">
        <f aca="false">IF(I1225&lt;&gt;"",VLOOKUP(I1225,'Legal Nature'!$E$2:$G$84,3,0),"")</f>
        <v/>
      </c>
      <c r="K1225" s="64"/>
      <c r="L1225" s="65"/>
      <c r="M1225" s="66"/>
      <c r="N1225" s="66"/>
      <c r="O1225" s="79"/>
      <c r="P1225" s="26"/>
      <c r="Q1225" s="58"/>
      <c r="R1225" s="58"/>
      <c r="S1225" s="80"/>
      <c r="T1225" s="68" t="str">
        <f aca="false">IF(LEFT(S1225,1)="9","Celular",IF(S1225="","","Fixo"))</f>
        <v/>
      </c>
      <c r="U1225" s="58" t="str">
        <f aca="false">IF( T1225&lt;&gt;"",VLOOKUP(T1225,Selects!$M$4:$N$1000,2,0),"")</f>
        <v/>
      </c>
      <c r="V1225" s="26"/>
      <c r="W1225" s="58"/>
      <c r="X1225" s="58"/>
      <c r="Y1225" s="58"/>
      <c r="Z1225" s="58"/>
      <c r="AA1225" s="69"/>
      <c r="AB1225" s="58"/>
      <c r="AC1225" s="58"/>
      <c r="AD1225" s="72" t="str">
        <f aca="false">IF(AC1225&lt;&gt;"",VLOOKUP(AC1225,Selects!$B$4:$C$100,2,0),"")</f>
        <v/>
      </c>
      <c r="AE1225" s="26"/>
      <c r="AF1225" s="58"/>
      <c r="AG1225" s="59"/>
      <c r="AH1225" s="65"/>
      <c r="AI1225" s="66"/>
      <c r="AJ1225" s="66"/>
      <c r="AK1225" s="58"/>
      <c r="AL1225" s="58"/>
      <c r="AM1225" s="68" t="str">
        <f aca="false">IF(LEFT(AL1225,1)="9","Celular",IF(AL1225="","","Fixo"))</f>
        <v/>
      </c>
      <c r="AN1225" s="58" t="str">
        <f aca="false">IF( AM1225&lt;&gt;"",VLOOKUP(AM1225,Selects!$M$4:$N$1000,2,0),"")</f>
        <v/>
      </c>
      <c r="AO1225" s="58"/>
      <c r="AP1225" s="59"/>
      <c r="AQ1225" s="66"/>
      <c r="AR1225" s="58"/>
      <c r="AS1225" s="58"/>
      <c r="AT1225" s="26"/>
      <c r="AU1225" s="58"/>
      <c r="AV1225" s="58"/>
      <c r="AW1225" s="58"/>
      <c r="AX1225" s="58"/>
      <c r="AY1225" s="71"/>
      <c r="AZ1225" s="58"/>
      <c r="BA1225" s="58"/>
      <c r="BB1225" s="72" t="str">
        <f aca="false">IF(BA1225&lt;&gt;"",VLOOKUP(BA1225,Selects!$B$4:$C$100,2,0),"")</f>
        <v/>
      </c>
      <c r="BC1225" s="26"/>
      <c r="BD1225" s="26"/>
      <c r="BE1225" s="73"/>
      <c r="BF1225" s="74"/>
      <c r="BG1225" s="75" t="str">
        <f aca="false">IF(LEN(BF1225)=11,"PF",IF(LEN(BF1225)=14,"PJ",""))</f>
        <v/>
      </c>
      <c r="BH1225" s="66"/>
      <c r="BI1225" s="58" t="str">
        <f aca="false">IF(BH1225&lt;&gt;"",VLOOKUP(BH1225,Selects!$G:$H,2,0),"")</f>
        <v/>
      </c>
      <c r="BJ1225" s="58"/>
      <c r="BK1225" s="58"/>
      <c r="BL1225" s="59"/>
      <c r="BM1225" s="58"/>
      <c r="BN1225" s="58"/>
      <c r="BO1225" s="58" t="str">
        <f aca="false">IF(BN1225&lt;&gt;"",VLOOKUP(BN1225,Selects!$J$4:$K$1000,2,0),"")</f>
        <v/>
      </c>
      <c r="BP1225" s="76"/>
      <c r="BQ1225" s="59"/>
      <c r="BR1225" s="77"/>
      <c r="BS1225" s="59"/>
      <c r="BT1225" s="77"/>
      <c r="BU1225" s="58"/>
      <c r="BV1225" s="58"/>
      <c r="BW1225" s="58"/>
      <c r="BX1225" s="58"/>
      <c r="BY1225" s="58"/>
      <c r="BZ1225" s="58"/>
      <c r="CA1225" s="58"/>
      <c r="CB1225" s="72" t="str">
        <f aca="false">IF(AC1225&lt;&gt;"",VLOOKUP(AC1225,Selects!$B:$E,4,0),"")</f>
        <v/>
      </c>
      <c r="CC1225" s="58"/>
      <c r="CD1225" s="58"/>
      <c r="CE1225" s="58"/>
    </row>
    <row r="1226" customFormat="false" ht="15" hidden="true" customHeight="false" outlineLevel="0" collapsed="false">
      <c r="B1226" s="58"/>
      <c r="C1226" s="58"/>
      <c r="D1226" s="59"/>
      <c r="E1226" s="60" t="str">
        <f aca="false">IF(LEN(D1226)=11,"PF",IF(LEN(D1226)=14,"PJ",""))</f>
        <v/>
      </c>
      <c r="F1226" s="59"/>
      <c r="G1226" s="59"/>
      <c r="H1226" s="61" t="str">
        <f aca="false">IF(G1226&lt;&gt;"",VLOOKUP(G1226,'Cnae  mcc  id'!$A:$M,9,0),"")</f>
        <v/>
      </c>
      <c r="I1226" s="62"/>
      <c r="J1226" s="63" t="str">
        <f aca="false">IF(I1226&lt;&gt;"",VLOOKUP(I1226,'Legal Nature'!$E$2:$G$84,3,0),"")</f>
        <v/>
      </c>
      <c r="K1226" s="64"/>
      <c r="L1226" s="65"/>
      <c r="M1226" s="66"/>
      <c r="N1226" s="66"/>
      <c r="O1226" s="79"/>
      <c r="P1226" s="26"/>
      <c r="Q1226" s="58"/>
      <c r="R1226" s="58"/>
      <c r="S1226" s="80"/>
      <c r="T1226" s="68" t="str">
        <f aca="false">IF(LEFT(S1226,1)="9","Celular",IF(S1226="","","Fixo"))</f>
        <v/>
      </c>
      <c r="U1226" s="58" t="str">
        <f aca="false">IF( T1226&lt;&gt;"",VLOOKUP(T1226,Selects!$M$4:$N$1000,2,0),"")</f>
        <v/>
      </c>
      <c r="V1226" s="26"/>
      <c r="W1226" s="58"/>
      <c r="X1226" s="58"/>
      <c r="Y1226" s="58"/>
      <c r="Z1226" s="58"/>
      <c r="AA1226" s="69"/>
      <c r="AB1226" s="58"/>
      <c r="AC1226" s="58"/>
      <c r="AD1226" s="72" t="str">
        <f aca="false">IF(AC1226&lt;&gt;"",VLOOKUP(AC1226,Selects!$B$4:$C$100,2,0),"")</f>
        <v/>
      </c>
      <c r="AE1226" s="26"/>
      <c r="AF1226" s="58"/>
      <c r="AG1226" s="59"/>
      <c r="AH1226" s="65"/>
      <c r="AI1226" s="66"/>
      <c r="AJ1226" s="66"/>
      <c r="AK1226" s="58"/>
      <c r="AL1226" s="58"/>
      <c r="AM1226" s="68" t="str">
        <f aca="false">IF(LEFT(AL1226,1)="9","Celular",IF(AL1226="","","Fixo"))</f>
        <v/>
      </c>
      <c r="AN1226" s="58" t="str">
        <f aca="false">IF( AM1226&lt;&gt;"",VLOOKUP(AM1226,Selects!$M$4:$N$1000,2,0),"")</f>
        <v/>
      </c>
      <c r="AO1226" s="58"/>
      <c r="AP1226" s="59"/>
      <c r="AQ1226" s="66"/>
      <c r="AR1226" s="58"/>
      <c r="AS1226" s="58"/>
      <c r="AT1226" s="26"/>
      <c r="AU1226" s="58"/>
      <c r="AV1226" s="58"/>
      <c r="AW1226" s="58"/>
      <c r="AX1226" s="58"/>
      <c r="AY1226" s="71"/>
      <c r="AZ1226" s="58"/>
      <c r="BA1226" s="58"/>
      <c r="BB1226" s="72" t="str">
        <f aca="false">IF(BA1226&lt;&gt;"",VLOOKUP(BA1226,Selects!$B$4:$C$100,2,0),"")</f>
        <v/>
      </c>
      <c r="BC1226" s="26"/>
      <c r="BD1226" s="26"/>
      <c r="BE1226" s="73"/>
      <c r="BF1226" s="74"/>
      <c r="BG1226" s="75" t="str">
        <f aca="false">IF(LEN(BF1226)=11,"PF",IF(LEN(BF1226)=14,"PJ",""))</f>
        <v/>
      </c>
      <c r="BH1226" s="66"/>
      <c r="BI1226" s="58" t="str">
        <f aca="false">IF(BH1226&lt;&gt;"",VLOOKUP(BH1226,Selects!$G:$H,2,0),"")</f>
        <v/>
      </c>
      <c r="BJ1226" s="58"/>
      <c r="BK1226" s="58"/>
      <c r="BL1226" s="59"/>
      <c r="BM1226" s="58"/>
      <c r="BN1226" s="58"/>
      <c r="BO1226" s="58" t="str">
        <f aca="false">IF(BN1226&lt;&gt;"",VLOOKUP(BN1226,Selects!$J$4:$K$1000,2,0),"")</f>
        <v/>
      </c>
      <c r="BP1226" s="76"/>
      <c r="BQ1226" s="59"/>
      <c r="BR1226" s="77"/>
      <c r="BS1226" s="59"/>
      <c r="BT1226" s="77"/>
      <c r="BU1226" s="58"/>
      <c r="BV1226" s="58"/>
      <c r="BW1226" s="58"/>
      <c r="BX1226" s="58"/>
      <c r="BY1226" s="58"/>
      <c r="BZ1226" s="58"/>
      <c r="CA1226" s="58"/>
      <c r="CB1226" s="72" t="str">
        <f aca="false">IF(AC1226&lt;&gt;"",VLOOKUP(AC1226,Selects!$B:$E,4,0),"")</f>
        <v/>
      </c>
      <c r="CC1226" s="58"/>
      <c r="CD1226" s="58"/>
      <c r="CE1226" s="58"/>
    </row>
    <row r="1227" customFormat="false" ht="15" hidden="true" customHeight="false" outlineLevel="0" collapsed="false">
      <c r="B1227" s="58"/>
      <c r="C1227" s="58"/>
      <c r="D1227" s="59"/>
      <c r="E1227" s="60" t="str">
        <f aca="false">IF(LEN(D1227)=11,"PF",IF(LEN(D1227)=14,"PJ",""))</f>
        <v/>
      </c>
      <c r="F1227" s="59"/>
      <c r="G1227" s="59"/>
      <c r="H1227" s="61" t="str">
        <f aca="false">IF(G1227&lt;&gt;"",VLOOKUP(G1227,'Cnae  mcc  id'!$A:$M,9,0),"")</f>
        <v/>
      </c>
      <c r="I1227" s="62"/>
      <c r="J1227" s="63" t="str">
        <f aca="false">IF(I1227&lt;&gt;"",VLOOKUP(I1227,'Legal Nature'!$E$2:$G$84,3,0),"")</f>
        <v/>
      </c>
      <c r="K1227" s="64"/>
      <c r="L1227" s="65"/>
      <c r="M1227" s="66"/>
      <c r="N1227" s="66"/>
      <c r="O1227" s="79"/>
      <c r="P1227" s="26"/>
      <c r="Q1227" s="58"/>
      <c r="R1227" s="58"/>
      <c r="S1227" s="80"/>
      <c r="T1227" s="68" t="str">
        <f aca="false">IF(LEFT(S1227,1)="9","Celular",IF(S1227="","","Fixo"))</f>
        <v/>
      </c>
      <c r="U1227" s="58" t="str">
        <f aca="false">IF( T1227&lt;&gt;"",VLOOKUP(T1227,Selects!$M$4:$N$1000,2,0),"")</f>
        <v/>
      </c>
      <c r="V1227" s="26"/>
      <c r="W1227" s="58"/>
      <c r="X1227" s="58"/>
      <c r="Y1227" s="58"/>
      <c r="Z1227" s="58"/>
      <c r="AA1227" s="69"/>
      <c r="AB1227" s="58"/>
      <c r="AC1227" s="58"/>
      <c r="AD1227" s="72" t="str">
        <f aca="false">IF(AC1227&lt;&gt;"",VLOOKUP(AC1227,Selects!$B$4:$C$100,2,0),"")</f>
        <v/>
      </c>
      <c r="AE1227" s="26"/>
      <c r="AF1227" s="58"/>
      <c r="AG1227" s="59"/>
      <c r="AH1227" s="65"/>
      <c r="AI1227" s="66"/>
      <c r="AJ1227" s="66"/>
      <c r="AK1227" s="58"/>
      <c r="AL1227" s="58"/>
      <c r="AM1227" s="68" t="str">
        <f aca="false">IF(LEFT(AL1227,1)="9","Celular",IF(AL1227="","","Fixo"))</f>
        <v/>
      </c>
      <c r="AN1227" s="58" t="str">
        <f aca="false">IF( AM1227&lt;&gt;"",VLOOKUP(AM1227,Selects!$M$4:$N$1000,2,0),"")</f>
        <v/>
      </c>
      <c r="AO1227" s="58"/>
      <c r="AP1227" s="59"/>
      <c r="AQ1227" s="66"/>
      <c r="AR1227" s="58"/>
      <c r="AS1227" s="58"/>
      <c r="AT1227" s="26"/>
      <c r="AU1227" s="58"/>
      <c r="AV1227" s="58"/>
      <c r="AW1227" s="58"/>
      <c r="AX1227" s="58"/>
      <c r="AY1227" s="71"/>
      <c r="AZ1227" s="58"/>
      <c r="BA1227" s="58"/>
      <c r="BB1227" s="72" t="str">
        <f aca="false">IF(BA1227&lt;&gt;"",VLOOKUP(BA1227,Selects!$B$4:$C$100,2,0),"")</f>
        <v/>
      </c>
      <c r="BC1227" s="26"/>
      <c r="BD1227" s="26"/>
      <c r="BE1227" s="73"/>
      <c r="BF1227" s="74"/>
      <c r="BG1227" s="75" t="str">
        <f aca="false">IF(LEN(BF1227)=11,"PF",IF(LEN(BF1227)=14,"PJ",""))</f>
        <v/>
      </c>
      <c r="BH1227" s="66"/>
      <c r="BI1227" s="58" t="str">
        <f aca="false">IF(BH1227&lt;&gt;"",VLOOKUP(BH1227,Selects!$G:$H,2,0),"")</f>
        <v/>
      </c>
      <c r="BJ1227" s="58"/>
      <c r="BK1227" s="58"/>
      <c r="BL1227" s="59"/>
      <c r="BM1227" s="58"/>
      <c r="BN1227" s="58"/>
      <c r="BO1227" s="58" t="str">
        <f aca="false">IF(BN1227&lt;&gt;"",VLOOKUP(BN1227,Selects!$J$4:$K$1000,2,0),"")</f>
        <v/>
      </c>
      <c r="BP1227" s="76"/>
      <c r="BQ1227" s="59"/>
      <c r="BR1227" s="77"/>
      <c r="BS1227" s="59"/>
      <c r="BT1227" s="77"/>
      <c r="BU1227" s="58"/>
      <c r="BV1227" s="58"/>
      <c r="BW1227" s="58"/>
      <c r="BX1227" s="58"/>
      <c r="BY1227" s="58"/>
      <c r="BZ1227" s="58"/>
      <c r="CA1227" s="58"/>
      <c r="CB1227" s="72" t="str">
        <f aca="false">IF(AC1227&lt;&gt;"",VLOOKUP(AC1227,Selects!$B:$E,4,0),"")</f>
        <v/>
      </c>
      <c r="CC1227" s="58"/>
      <c r="CD1227" s="58"/>
      <c r="CE1227" s="58"/>
    </row>
    <row r="1228" customFormat="false" ht="15" hidden="true" customHeight="false" outlineLevel="0" collapsed="false">
      <c r="B1228" s="58"/>
      <c r="C1228" s="58"/>
      <c r="D1228" s="59"/>
      <c r="E1228" s="60" t="str">
        <f aca="false">IF(LEN(D1228)=11,"PF",IF(LEN(D1228)=14,"PJ",""))</f>
        <v/>
      </c>
      <c r="F1228" s="59"/>
      <c r="G1228" s="59"/>
      <c r="H1228" s="61" t="str">
        <f aca="false">IF(G1228&lt;&gt;"",VLOOKUP(G1228,'Cnae  mcc  id'!$A:$M,9,0),"")</f>
        <v/>
      </c>
      <c r="I1228" s="62"/>
      <c r="J1228" s="63" t="str">
        <f aca="false">IF(I1228&lt;&gt;"",VLOOKUP(I1228,'Legal Nature'!$E$2:$G$84,3,0),"")</f>
        <v/>
      </c>
      <c r="K1228" s="64"/>
      <c r="L1228" s="65"/>
      <c r="M1228" s="66"/>
      <c r="N1228" s="66"/>
      <c r="O1228" s="79"/>
      <c r="P1228" s="26"/>
      <c r="Q1228" s="58"/>
      <c r="R1228" s="58"/>
      <c r="S1228" s="80"/>
      <c r="T1228" s="68" t="str">
        <f aca="false">IF(LEFT(S1228,1)="9","Celular",IF(S1228="","","Fixo"))</f>
        <v/>
      </c>
      <c r="U1228" s="58" t="str">
        <f aca="false">IF( T1228&lt;&gt;"",VLOOKUP(T1228,Selects!$M$4:$N$1000,2,0),"")</f>
        <v/>
      </c>
      <c r="V1228" s="26"/>
      <c r="W1228" s="58"/>
      <c r="X1228" s="58"/>
      <c r="Y1228" s="58"/>
      <c r="Z1228" s="58"/>
      <c r="AA1228" s="69"/>
      <c r="AB1228" s="58"/>
      <c r="AC1228" s="58"/>
      <c r="AD1228" s="72" t="str">
        <f aca="false">IF(AC1228&lt;&gt;"",VLOOKUP(AC1228,Selects!$B$4:$C$100,2,0),"")</f>
        <v/>
      </c>
      <c r="AE1228" s="26"/>
      <c r="AF1228" s="58"/>
      <c r="AG1228" s="59"/>
      <c r="AH1228" s="65"/>
      <c r="AI1228" s="66"/>
      <c r="AJ1228" s="66"/>
      <c r="AK1228" s="58"/>
      <c r="AL1228" s="58"/>
      <c r="AM1228" s="68" t="str">
        <f aca="false">IF(LEFT(AL1228,1)="9","Celular",IF(AL1228="","","Fixo"))</f>
        <v/>
      </c>
      <c r="AN1228" s="58" t="str">
        <f aca="false">IF( AM1228&lt;&gt;"",VLOOKUP(AM1228,Selects!$M$4:$N$1000,2,0),"")</f>
        <v/>
      </c>
      <c r="AO1228" s="58"/>
      <c r="AP1228" s="59"/>
      <c r="AQ1228" s="66"/>
      <c r="AR1228" s="58"/>
      <c r="AS1228" s="58"/>
      <c r="AT1228" s="26"/>
      <c r="AU1228" s="58"/>
      <c r="AV1228" s="58"/>
      <c r="AW1228" s="58"/>
      <c r="AX1228" s="58"/>
      <c r="AY1228" s="71"/>
      <c r="AZ1228" s="58"/>
      <c r="BA1228" s="58"/>
      <c r="BB1228" s="72" t="str">
        <f aca="false">IF(BA1228&lt;&gt;"",VLOOKUP(BA1228,Selects!$B$4:$C$100,2,0),"")</f>
        <v/>
      </c>
      <c r="BC1228" s="26"/>
      <c r="BD1228" s="26"/>
      <c r="BE1228" s="73"/>
      <c r="BF1228" s="74"/>
      <c r="BG1228" s="75" t="str">
        <f aca="false">IF(LEN(BF1228)=11,"PF",IF(LEN(BF1228)=14,"PJ",""))</f>
        <v/>
      </c>
      <c r="BH1228" s="66"/>
      <c r="BI1228" s="58" t="str">
        <f aca="false">IF(BH1228&lt;&gt;"",VLOOKUP(BH1228,Selects!$G:$H,2,0),"")</f>
        <v/>
      </c>
      <c r="BJ1228" s="58"/>
      <c r="BK1228" s="58"/>
      <c r="BL1228" s="59"/>
      <c r="BM1228" s="58"/>
      <c r="BN1228" s="58"/>
      <c r="BO1228" s="58" t="str">
        <f aca="false">IF(BN1228&lt;&gt;"",VLOOKUP(BN1228,Selects!$J$4:$K$1000,2,0),"")</f>
        <v/>
      </c>
      <c r="BP1228" s="76"/>
      <c r="BQ1228" s="59"/>
      <c r="BR1228" s="77"/>
      <c r="BS1228" s="59"/>
      <c r="BT1228" s="77"/>
      <c r="BU1228" s="58"/>
      <c r="BV1228" s="58"/>
      <c r="BW1228" s="58"/>
      <c r="BX1228" s="58"/>
      <c r="BY1228" s="58"/>
      <c r="BZ1228" s="58"/>
      <c r="CA1228" s="58"/>
      <c r="CB1228" s="72" t="str">
        <f aca="false">IF(AC1228&lt;&gt;"",VLOOKUP(AC1228,Selects!$B:$E,4,0),"")</f>
        <v/>
      </c>
      <c r="CC1228" s="58"/>
      <c r="CD1228" s="58"/>
      <c r="CE1228" s="58"/>
    </row>
    <row r="1229" customFormat="false" ht="15" hidden="true" customHeight="false" outlineLevel="0" collapsed="false">
      <c r="B1229" s="58"/>
      <c r="C1229" s="58"/>
      <c r="D1229" s="59"/>
      <c r="E1229" s="60" t="str">
        <f aca="false">IF(LEN(D1229)=11,"PF",IF(LEN(D1229)=14,"PJ",""))</f>
        <v/>
      </c>
      <c r="F1229" s="59"/>
      <c r="G1229" s="59"/>
      <c r="H1229" s="61" t="str">
        <f aca="false">IF(G1229&lt;&gt;"",VLOOKUP(G1229,'Cnae  mcc  id'!$A:$M,9,0),"")</f>
        <v/>
      </c>
      <c r="I1229" s="62"/>
      <c r="J1229" s="63" t="str">
        <f aca="false">IF(I1229&lt;&gt;"",VLOOKUP(I1229,'Legal Nature'!$E$2:$G$84,3,0),"")</f>
        <v/>
      </c>
      <c r="K1229" s="64"/>
      <c r="L1229" s="65"/>
      <c r="M1229" s="66"/>
      <c r="N1229" s="66"/>
      <c r="O1229" s="79"/>
      <c r="P1229" s="26"/>
      <c r="Q1229" s="58"/>
      <c r="R1229" s="58"/>
      <c r="S1229" s="80"/>
      <c r="T1229" s="68" t="str">
        <f aca="false">IF(LEFT(S1229,1)="9","Celular",IF(S1229="","","Fixo"))</f>
        <v/>
      </c>
      <c r="U1229" s="58" t="str">
        <f aca="false">IF( T1229&lt;&gt;"",VLOOKUP(T1229,Selects!$M$4:$N$1000,2,0),"")</f>
        <v/>
      </c>
      <c r="V1229" s="26"/>
      <c r="W1229" s="58"/>
      <c r="X1229" s="58"/>
      <c r="Y1229" s="58"/>
      <c r="Z1229" s="58"/>
      <c r="AA1229" s="69"/>
      <c r="AB1229" s="58"/>
      <c r="AC1229" s="58"/>
      <c r="AD1229" s="72" t="str">
        <f aca="false">IF(AC1229&lt;&gt;"",VLOOKUP(AC1229,Selects!$B$4:$C$100,2,0),"")</f>
        <v/>
      </c>
      <c r="AE1229" s="26"/>
      <c r="AF1229" s="58"/>
      <c r="AG1229" s="59"/>
      <c r="AH1229" s="65"/>
      <c r="AI1229" s="66"/>
      <c r="AJ1229" s="66"/>
      <c r="AK1229" s="58"/>
      <c r="AL1229" s="58"/>
      <c r="AM1229" s="68" t="str">
        <f aca="false">IF(LEFT(AL1229,1)="9","Celular",IF(AL1229="","","Fixo"))</f>
        <v/>
      </c>
      <c r="AN1229" s="58" t="str">
        <f aca="false">IF( AM1229&lt;&gt;"",VLOOKUP(AM1229,Selects!$M$4:$N$1000,2,0),"")</f>
        <v/>
      </c>
      <c r="AO1229" s="58"/>
      <c r="AP1229" s="59"/>
      <c r="AQ1229" s="66"/>
      <c r="AR1229" s="58"/>
      <c r="AS1229" s="58"/>
      <c r="AT1229" s="26"/>
      <c r="AU1229" s="58"/>
      <c r="AV1229" s="58"/>
      <c r="AW1229" s="58"/>
      <c r="AX1229" s="58"/>
      <c r="AY1229" s="71"/>
      <c r="AZ1229" s="58"/>
      <c r="BA1229" s="58"/>
      <c r="BB1229" s="72" t="str">
        <f aca="false">IF(BA1229&lt;&gt;"",VLOOKUP(BA1229,Selects!$B$4:$C$100,2,0),"")</f>
        <v/>
      </c>
      <c r="BC1229" s="26"/>
      <c r="BD1229" s="26"/>
      <c r="BE1229" s="73"/>
      <c r="BF1229" s="74"/>
      <c r="BG1229" s="75" t="str">
        <f aca="false">IF(LEN(BF1229)=11,"PF",IF(LEN(BF1229)=14,"PJ",""))</f>
        <v/>
      </c>
      <c r="BH1229" s="66"/>
      <c r="BI1229" s="58" t="str">
        <f aca="false">IF(BH1229&lt;&gt;"",VLOOKUP(BH1229,Selects!$G:$H,2,0),"")</f>
        <v/>
      </c>
      <c r="BJ1229" s="58"/>
      <c r="BK1229" s="58"/>
      <c r="BL1229" s="59"/>
      <c r="BM1229" s="58"/>
      <c r="BN1229" s="58"/>
      <c r="BO1229" s="58" t="str">
        <f aca="false">IF(BN1229&lt;&gt;"",VLOOKUP(BN1229,Selects!$J$4:$K$1000,2,0),"")</f>
        <v/>
      </c>
      <c r="BP1229" s="76"/>
      <c r="BQ1229" s="59"/>
      <c r="BR1229" s="77"/>
      <c r="BS1229" s="59"/>
      <c r="BT1229" s="77"/>
      <c r="BU1229" s="58"/>
      <c r="BV1229" s="58"/>
      <c r="BW1229" s="58"/>
      <c r="BX1229" s="58"/>
      <c r="BY1229" s="58"/>
      <c r="BZ1229" s="58"/>
      <c r="CA1229" s="58"/>
      <c r="CB1229" s="72" t="str">
        <f aca="false">IF(AC1229&lt;&gt;"",VLOOKUP(AC1229,Selects!$B:$E,4,0),"")</f>
        <v/>
      </c>
      <c r="CC1229" s="58"/>
      <c r="CD1229" s="58"/>
      <c r="CE1229" s="58"/>
    </row>
    <row r="1230" customFormat="false" ht="15" hidden="true" customHeight="false" outlineLevel="0" collapsed="false">
      <c r="B1230" s="58"/>
      <c r="C1230" s="58"/>
      <c r="D1230" s="59"/>
      <c r="E1230" s="60" t="str">
        <f aca="false">IF(LEN(D1230)=11,"PF",IF(LEN(D1230)=14,"PJ",""))</f>
        <v/>
      </c>
      <c r="F1230" s="59"/>
      <c r="G1230" s="59"/>
      <c r="H1230" s="61" t="str">
        <f aca="false">IF(G1230&lt;&gt;"",VLOOKUP(G1230,'Cnae  mcc  id'!$A:$M,9,0),"")</f>
        <v/>
      </c>
      <c r="I1230" s="62"/>
      <c r="J1230" s="63" t="str">
        <f aca="false">IF(I1230&lt;&gt;"",VLOOKUP(I1230,'Legal Nature'!$E$2:$G$84,3,0),"")</f>
        <v/>
      </c>
      <c r="K1230" s="64"/>
      <c r="L1230" s="65"/>
      <c r="M1230" s="66"/>
      <c r="N1230" s="66"/>
      <c r="O1230" s="79"/>
      <c r="P1230" s="26"/>
      <c r="Q1230" s="58"/>
      <c r="R1230" s="58"/>
      <c r="S1230" s="80"/>
      <c r="T1230" s="68" t="str">
        <f aca="false">IF(LEFT(S1230,1)="9","Celular",IF(S1230="","","Fixo"))</f>
        <v/>
      </c>
      <c r="U1230" s="58" t="str">
        <f aca="false">IF( T1230&lt;&gt;"",VLOOKUP(T1230,Selects!$M$4:$N$1000,2,0),"")</f>
        <v/>
      </c>
      <c r="V1230" s="26"/>
      <c r="W1230" s="58"/>
      <c r="X1230" s="58"/>
      <c r="Y1230" s="58"/>
      <c r="Z1230" s="58"/>
      <c r="AA1230" s="69"/>
      <c r="AB1230" s="58"/>
      <c r="AC1230" s="58"/>
      <c r="AD1230" s="72" t="str">
        <f aca="false">IF(AC1230&lt;&gt;"",VLOOKUP(AC1230,Selects!$B$4:$C$100,2,0),"")</f>
        <v/>
      </c>
      <c r="AE1230" s="26"/>
      <c r="AF1230" s="58"/>
      <c r="AG1230" s="59"/>
      <c r="AH1230" s="65"/>
      <c r="AI1230" s="66"/>
      <c r="AJ1230" s="66"/>
      <c r="AK1230" s="58"/>
      <c r="AL1230" s="58"/>
      <c r="AM1230" s="68" t="str">
        <f aca="false">IF(LEFT(AL1230,1)="9","Celular",IF(AL1230="","","Fixo"))</f>
        <v/>
      </c>
      <c r="AN1230" s="58" t="str">
        <f aca="false">IF( AM1230&lt;&gt;"",VLOOKUP(AM1230,Selects!$M$4:$N$1000,2,0),"")</f>
        <v/>
      </c>
      <c r="AO1230" s="58"/>
      <c r="AP1230" s="59"/>
      <c r="AQ1230" s="66"/>
      <c r="AR1230" s="58"/>
      <c r="AS1230" s="58"/>
      <c r="AT1230" s="26"/>
      <c r="AU1230" s="58"/>
      <c r="AV1230" s="58"/>
      <c r="AW1230" s="58"/>
      <c r="AX1230" s="58"/>
      <c r="AY1230" s="71"/>
      <c r="AZ1230" s="58"/>
      <c r="BA1230" s="58"/>
      <c r="BB1230" s="72" t="str">
        <f aca="false">IF(BA1230&lt;&gt;"",VLOOKUP(BA1230,Selects!$B$4:$C$100,2,0),"")</f>
        <v/>
      </c>
      <c r="BC1230" s="26"/>
      <c r="BD1230" s="26"/>
      <c r="BE1230" s="73"/>
      <c r="BF1230" s="74"/>
      <c r="BG1230" s="75" t="str">
        <f aca="false">IF(LEN(BF1230)=11,"PF",IF(LEN(BF1230)=14,"PJ",""))</f>
        <v/>
      </c>
      <c r="BH1230" s="66"/>
      <c r="BI1230" s="58" t="str">
        <f aca="false">IF(BH1230&lt;&gt;"",VLOOKUP(BH1230,Selects!$G:$H,2,0),"")</f>
        <v/>
      </c>
      <c r="BJ1230" s="58"/>
      <c r="BK1230" s="58"/>
      <c r="BL1230" s="59"/>
      <c r="BM1230" s="58"/>
      <c r="BN1230" s="58"/>
      <c r="BO1230" s="58" t="str">
        <f aca="false">IF(BN1230&lt;&gt;"",VLOOKUP(BN1230,Selects!$J$4:$K$1000,2,0),"")</f>
        <v/>
      </c>
      <c r="BP1230" s="76"/>
      <c r="BQ1230" s="59"/>
      <c r="BR1230" s="77"/>
      <c r="BS1230" s="59"/>
      <c r="BT1230" s="77"/>
      <c r="BU1230" s="58"/>
      <c r="BV1230" s="58"/>
      <c r="BW1230" s="58"/>
      <c r="BX1230" s="58"/>
      <c r="BY1230" s="58"/>
      <c r="BZ1230" s="58"/>
      <c r="CA1230" s="58"/>
      <c r="CB1230" s="72" t="str">
        <f aca="false">IF(AC1230&lt;&gt;"",VLOOKUP(AC1230,Selects!$B:$E,4,0),"")</f>
        <v/>
      </c>
      <c r="CC1230" s="58"/>
      <c r="CD1230" s="58"/>
      <c r="CE1230" s="58"/>
    </row>
    <row r="1231" customFormat="false" ht="15" hidden="true" customHeight="false" outlineLevel="0" collapsed="false">
      <c r="B1231" s="58"/>
      <c r="C1231" s="58"/>
      <c r="D1231" s="59"/>
      <c r="E1231" s="60" t="str">
        <f aca="false">IF(LEN(D1231)=11,"PF",IF(LEN(D1231)=14,"PJ",""))</f>
        <v/>
      </c>
      <c r="F1231" s="59"/>
      <c r="G1231" s="59"/>
      <c r="H1231" s="61" t="str">
        <f aca="false">IF(G1231&lt;&gt;"",VLOOKUP(G1231,'Cnae  mcc  id'!$A:$M,9,0),"")</f>
        <v/>
      </c>
      <c r="I1231" s="62"/>
      <c r="J1231" s="63" t="str">
        <f aca="false">IF(I1231&lt;&gt;"",VLOOKUP(I1231,'Legal Nature'!$E$2:$G$84,3,0),"")</f>
        <v/>
      </c>
      <c r="K1231" s="64"/>
      <c r="L1231" s="65"/>
      <c r="M1231" s="66"/>
      <c r="N1231" s="66"/>
      <c r="O1231" s="79"/>
      <c r="P1231" s="26"/>
      <c r="Q1231" s="58"/>
      <c r="R1231" s="58"/>
      <c r="S1231" s="80"/>
      <c r="T1231" s="68" t="str">
        <f aca="false">IF(LEFT(S1231,1)="9","Celular",IF(S1231="","","Fixo"))</f>
        <v/>
      </c>
      <c r="U1231" s="58" t="str">
        <f aca="false">IF( T1231&lt;&gt;"",VLOOKUP(T1231,Selects!$M$4:$N$1000,2,0),"")</f>
        <v/>
      </c>
      <c r="V1231" s="26"/>
      <c r="W1231" s="58"/>
      <c r="X1231" s="58"/>
      <c r="Y1231" s="58"/>
      <c r="Z1231" s="58"/>
      <c r="AA1231" s="69"/>
      <c r="AB1231" s="58"/>
      <c r="AC1231" s="58"/>
      <c r="AD1231" s="72" t="str">
        <f aca="false">IF(AC1231&lt;&gt;"",VLOOKUP(AC1231,Selects!$B$4:$C$100,2,0),"")</f>
        <v/>
      </c>
      <c r="AE1231" s="26"/>
      <c r="AF1231" s="58"/>
      <c r="AG1231" s="59"/>
      <c r="AH1231" s="65"/>
      <c r="AI1231" s="66"/>
      <c r="AJ1231" s="66"/>
      <c r="AK1231" s="58"/>
      <c r="AL1231" s="58"/>
      <c r="AM1231" s="68" t="str">
        <f aca="false">IF(LEFT(AL1231,1)="9","Celular",IF(AL1231="","","Fixo"))</f>
        <v/>
      </c>
      <c r="AN1231" s="58" t="str">
        <f aca="false">IF( AM1231&lt;&gt;"",VLOOKUP(AM1231,Selects!$M$4:$N$1000,2,0),"")</f>
        <v/>
      </c>
      <c r="AO1231" s="58"/>
      <c r="AP1231" s="59"/>
      <c r="AQ1231" s="66"/>
      <c r="AR1231" s="58"/>
      <c r="AS1231" s="58"/>
      <c r="AT1231" s="26"/>
      <c r="AU1231" s="58"/>
      <c r="AV1231" s="58"/>
      <c r="AW1231" s="58"/>
      <c r="AX1231" s="58"/>
      <c r="AY1231" s="71"/>
      <c r="AZ1231" s="58"/>
      <c r="BA1231" s="58"/>
      <c r="BB1231" s="72" t="str">
        <f aca="false">IF(BA1231&lt;&gt;"",VLOOKUP(BA1231,Selects!$B$4:$C$100,2,0),"")</f>
        <v/>
      </c>
      <c r="BC1231" s="26"/>
      <c r="BD1231" s="26"/>
      <c r="BE1231" s="73"/>
      <c r="BF1231" s="74"/>
      <c r="BG1231" s="75" t="str">
        <f aca="false">IF(LEN(BF1231)=11,"PF",IF(LEN(BF1231)=14,"PJ",""))</f>
        <v/>
      </c>
      <c r="BH1231" s="66"/>
      <c r="BI1231" s="58" t="str">
        <f aca="false">IF(BH1231&lt;&gt;"",VLOOKUP(BH1231,Selects!$G:$H,2,0),"")</f>
        <v/>
      </c>
      <c r="BJ1231" s="58"/>
      <c r="BK1231" s="58"/>
      <c r="BL1231" s="59"/>
      <c r="BM1231" s="58"/>
      <c r="BN1231" s="58"/>
      <c r="BO1231" s="58" t="str">
        <f aca="false">IF(BN1231&lt;&gt;"",VLOOKUP(BN1231,Selects!$J$4:$K$1000,2,0),"")</f>
        <v/>
      </c>
      <c r="BP1231" s="76"/>
      <c r="BQ1231" s="59"/>
      <c r="BR1231" s="77"/>
      <c r="BS1231" s="59"/>
      <c r="BT1231" s="77"/>
      <c r="BU1231" s="58"/>
      <c r="BV1231" s="58"/>
      <c r="BW1231" s="58"/>
      <c r="BX1231" s="58"/>
      <c r="BY1231" s="58"/>
      <c r="BZ1231" s="58"/>
      <c r="CA1231" s="58"/>
      <c r="CB1231" s="72" t="str">
        <f aca="false">IF(AC1231&lt;&gt;"",VLOOKUP(AC1231,Selects!$B:$E,4,0),"")</f>
        <v/>
      </c>
      <c r="CC1231" s="58"/>
      <c r="CD1231" s="58"/>
      <c r="CE1231" s="58"/>
    </row>
    <row r="1232" customFormat="false" ht="15" hidden="true" customHeight="false" outlineLevel="0" collapsed="false">
      <c r="B1232" s="58"/>
      <c r="C1232" s="58"/>
      <c r="D1232" s="59"/>
      <c r="E1232" s="60" t="str">
        <f aca="false">IF(LEN(D1232)=11,"PF",IF(LEN(D1232)=14,"PJ",""))</f>
        <v/>
      </c>
      <c r="F1232" s="59"/>
      <c r="G1232" s="59"/>
      <c r="H1232" s="61" t="str">
        <f aca="false">IF(G1232&lt;&gt;"",VLOOKUP(G1232,'Cnae  mcc  id'!$A:$M,9,0),"")</f>
        <v/>
      </c>
      <c r="I1232" s="62"/>
      <c r="J1232" s="63" t="str">
        <f aca="false">IF(I1232&lt;&gt;"",VLOOKUP(I1232,'Legal Nature'!$E$2:$G$84,3,0),"")</f>
        <v/>
      </c>
      <c r="K1232" s="64"/>
      <c r="L1232" s="65"/>
      <c r="M1232" s="66"/>
      <c r="N1232" s="66"/>
      <c r="O1232" s="79"/>
      <c r="P1232" s="26"/>
      <c r="Q1232" s="58"/>
      <c r="R1232" s="58"/>
      <c r="S1232" s="80"/>
      <c r="T1232" s="68" t="str">
        <f aca="false">IF(LEFT(S1232,1)="9","Celular",IF(S1232="","","Fixo"))</f>
        <v/>
      </c>
      <c r="U1232" s="58" t="str">
        <f aca="false">IF( T1232&lt;&gt;"",VLOOKUP(T1232,Selects!$M$4:$N$1000,2,0),"")</f>
        <v/>
      </c>
      <c r="V1232" s="26"/>
      <c r="W1232" s="58"/>
      <c r="X1232" s="58"/>
      <c r="Y1232" s="58"/>
      <c r="Z1232" s="58"/>
      <c r="AA1232" s="69"/>
      <c r="AB1232" s="58"/>
      <c r="AC1232" s="58"/>
      <c r="AD1232" s="72" t="str">
        <f aca="false">IF(AC1232&lt;&gt;"",VLOOKUP(AC1232,Selects!$B$4:$C$100,2,0),"")</f>
        <v/>
      </c>
      <c r="AE1232" s="26"/>
      <c r="AF1232" s="58"/>
      <c r="AG1232" s="59"/>
      <c r="AH1232" s="65"/>
      <c r="AI1232" s="66"/>
      <c r="AJ1232" s="66"/>
      <c r="AK1232" s="58"/>
      <c r="AL1232" s="58"/>
      <c r="AM1232" s="68" t="str">
        <f aca="false">IF(LEFT(AL1232,1)="9","Celular",IF(AL1232="","","Fixo"))</f>
        <v/>
      </c>
      <c r="AN1232" s="58" t="str">
        <f aca="false">IF( AM1232&lt;&gt;"",VLOOKUP(AM1232,Selects!$M$4:$N$1000,2,0),"")</f>
        <v/>
      </c>
      <c r="AO1232" s="58"/>
      <c r="AP1232" s="59"/>
      <c r="AQ1232" s="66"/>
      <c r="AR1232" s="58"/>
      <c r="AS1232" s="58"/>
      <c r="AT1232" s="26"/>
      <c r="AU1232" s="58"/>
      <c r="AV1232" s="58"/>
      <c r="AW1232" s="58"/>
      <c r="AX1232" s="58"/>
      <c r="AY1232" s="71"/>
      <c r="AZ1232" s="58"/>
      <c r="BA1232" s="58"/>
      <c r="BB1232" s="72" t="str">
        <f aca="false">IF(BA1232&lt;&gt;"",VLOOKUP(BA1232,Selects!$B$4:$C$100,2,0),"")</f>
        <v/>
      </c>
      <c r="BC1232" s="26"/>
      <c r="BD1232" s="26"/>
      <c r="BE1232" s="73"/>
      <c r="BF1232" s="74"/>
      <c r="BG1232" s="75" t="str">
        <f aca="false">IF(LEN(BF1232)=11,"PF",IF(LEN(BF1232)=14,"PJ",""))</f>
        <v/>
      </c>
      <c r="BH1232" s="66"/>
      <c r="BI1232" s="58" t="str">
        <f aca="false">IF(BH1232&lt;&gt;"",VLOOKUP(BH1232,Selects!$G:$H,2,0),"")</f>
        <v/>
      </c>
      <c r="BJ1232" s="58"/>
      <c r="BK1232" s="58"/>
      <c r="BL1232" s="59"/>
      <c r="BM1232" s="58"/>
      <c r="BN1232" s="58"/>
      <c r="BO1232" s="58" t="str">
        <f aca="false">IF(BN1232&lt;&gt;"",VLOOKUP(BN1232,Selects!$J$4:$K$1000,2,0),"")</f>
        <v/>
      </c>
      <c r="BP1232" s="76"/>
      <c r="BQ1232" s="59"/>
      <c r="BR1232" s="77"/>
      <c r="BS1232" s="59"/>
      <c r="BT1232" s="77"/>
      <c r="BU1232" s="58"/>
      <c r="BV1232" s="58"/>
      <c r="BW1232" s="58"/>
      <c r="BX1232" s="58"/>
      <c r="BY1232" s="58"/>
      <c r="BZ1232" s="58"/>
      <c r="CA1232" s="58"/>
      <c r="CB1232" s="72" t="str">
        <f aca="false">IF(AC1232&lt;&gt;"",VLOOKUP(AC1232,Selects!$B:$E,4,0),"")</f>
        <v/>
      </c>
      <c r="CC1232" s="58"/>
      <c r="CD1232" s="58"/>
      <c r="CE1232" s="58"/>
    </row>
    <row r="1233" customFormat="false" ht="15" hidden="true" customHeight="false" outlineLevel="0" collapsed="false">
      <c r="B1233" s="58"/>
      <c r="C1233" s="58"/>
      <c r="D1233" s="59"/>
      <c r="E1233" s="60" t="str">
        <f aca="false">IF(LEN(D1233)=11,"PF",IF(LEN(D1233)=14,"PJ",""))</f>
        <v/>
      </c>
      <c r="F1233" s="59"/>
      <c r="G1233" s="59"/>
      <c r="H1233" s="61" t="str">
        <f aca="false">IF(G1233&lt;&gt;"",VLOOKUP(G1233,'Cnae  mcc  id'!$A:$M,9,0),"")</f>
        <v/>
      </c>
      <c r="I1233" s="62"/>
      <c r="J1233" s="63" t="str">
        <f aca="false">IF(I1233&lt;&gt;"",VLOOKUP(I1233,'Legal Nature'!$E$2:$G$84,3,0),"")</f>
        <v/>
      </c>
      <c r="K1233" s="64"/>
      <c r="L1233" s="65"/>
      <c r="M1233" s="66"/>
      <c r="N1233" s="66"/>
      <c r="O1233" s="79"/>
      <c r="P1233" s="26"/>
      <c r="Q1233" s="58"/>
      <c r="R1233" s="58"/>
      <c r="S1233" s="80"/>
      <c r="T1233" s="68" t="str">
        <f aca="false">IF(LEFT(S1233,1)="9","Celular",IF(S1233="","","Fixo"))</f>
        <v/>
      </c>
      <c r="U1233" s="58" t="str">
        <f aca="false">IF( T1233&lt;&gt;"",VLOOKUP(T1233,Selects!$M$4:$N$1000,2,0),"")</f>
        <v/>
      </c>
      <c r="V1233" s="26"/>
      <c r="W1233" s="58"/>
      <c r="X1233" s="58"/>
      <c r="Y1233" s="58"/>
      <c r="Z1233" s="58"/>
      <c r="AA1233" s="69"/>
      <c r="AB1233" s="58"/>
      <c r="AC1233" s="58"/>
      <c r="AD1233" s="72" t="str">
        <f aca="false">IF(AC1233&lt;&gt;"",VLOOKUP(AC1233,Selects!$B$4:$C$100,2,0),"")</f>
        <v/>
      </c>
      <c r="AE1233" s="26"/>
      <c r="AF1233" s="58"/>
      <c r="AG1233" s="59"/>
      <c r="AH1233" s="65"/>
      <c r="AI1233" s="66"/>
      <c r="AJ1233" s="66"/>
      <c r="AK1233" s="58"/>
      <c r="AL1233" s="58"/>
      <c r="AM1233" s="68" t="str">
        <f aca="false">IF(LEFT(AL1233,1)="9","Celular",IF(AL1233="","","Fixo"))</f>
        <v/>
      </c>
      <c r="AN1233" s="58" t="str">
        <f aca="false">IF( AM1233&lt;&gt;"",VLOOKUP(AM1233,Selects!$M$4:$N$1000,2,0),"")</f>
        <v/>
      </c>
      <c r="AO1233" s="58"/>
      <c r="AP1233" s="59"/>
      <c r="AQ1233" s="66"/>
      <c r="AR1233" s="58"/>
      <c r="AS1233" s="58"/>
      <c r="AT1233" s="26"/>
      <c r="AU1233" s="58"/>
      <c r="AV1233" s="58"/>
      <c r="AW1233" s="58"/>
      <c r="AX1233" s="58"/>
      <c r="AY1233" s="71"/>
      <c r="AZ1233" s="58"/>
      <c r="BA1233" s="58"/>
      <c r="BB1233" s="72" t="str">
        <f aca="false">IF(BA1233&lt;&gt;"",VLOOKUP(BA1233,Selects!$B$4:$C$100,2,0),"")</f>
        <v/>
      </c>
      <c r="BC1233" s="26"/>
      <c r="BD1233" s="26"/>
      <c r="BE1233" s="73"/>
      <c r="BF1233" s="74"/>
      <c r="BG1233" s="75" t="str">
        <f aca="false">IF(LEN(BF1233)=11,"PF",IF(LEN(BF1233)=14,"PJ",""))</f>
        <v/>
      </c>
      <c r="BH1233" s="66"/>
      <c r="BI1233" s="58" t="str">
        <f aca="false">IF(BH1233&lt;&gt;"",VLOOKUP(BH1233,Selects!$G:$H,2,0),"")</f>
        <v/>
      </c>
      <c r="BJ1233" s="58"/>
      <c r="BK1233" s="58"/>
      <c r="BL1233" s="59"/>
      <c r="BM1233" s="58"/>
      <c r="BN1233" s="58"/>
      <c r="BO1233" s="58" t="str">
        <f aca="false">IF(BN1233&lt;&gt;"",VLOOKUP(BN1233,Selects!$J$4:$K$1000,2,0),"")</f>
        <v/>
      </c>
      <c r="BP1233" s="76"/>
      <c r="BQ1233" s="59"/>
      <c r="BR1233" s="77"/>
      <c r="BS1233" s="59"/>
      <c r="BT1233" s="77"/>
      <c r="BU1233" s="58"/>
      <c r="BV1233" s="58"/>
      <c r="BW1233" s="58"/>
      <c r="BX1233" s="58"/>
      <c r="BY1233" s="58"/>
      <c r="BZ1233" s="58"/>
      <c r="CA1233" s="58"/>
      <c r="CB1233" s="72" t="str">
        <f aca="false">IF(AC1233&lt;&gt;"",VLOOKUP(AC1233,Selects!$B:$E,4,0),"")</f>
        <v/>
      </c>
      <c r="CC1233" s="58"/>
      <c r="CD1233" s="58"/>
      <c r="CE1233" s="58"/>
    </row>
    <row r="1234" customFormat="false" ht="15" hidden="true" customHeight="false" outlineLevel="0" collapsed="false">
      <c r="B1234" s="58"/>
      <c r="C1234" s="58"/>
      <c r="D1234" s="59"/>
      <c r="E1234" s="60" t="str">
        <f aca="false">IF(LEN(D1234)=11,"PF",IF(LEN(D1234)=14,"PJ",""))</f>
        <v/>
      </c>
      <c r="F1234" s="59"/>
      <c r="G1234" s="59"/>
      <c r="H1234" s="61" t="str">
        <f aca="false">IF(G1234&lt;&gt;"",VLOOKUP(G1234,'Cnae  mcc  id'!$A:$M,9,0),"")</f>
        <v/>
      </c>
      <c r="I1234" s="62"/>
      <c r="J1234" s="63" t="str">
        <f aca="false">IF(I1234&lt;&gt;"",VLOOKUP(I1234,'Legal Nature'!$E$2:$G$84,3,0),"")</f>
        <v/>
      </c>
      <c r="K1234" s="64"/>
      <c r="L1234" s="65"/>
      <c r="M1234" s="66"/>
      <c r="N1234" s="66"/>
      <c r="O1234" s="79"/>
      <c r="P1234" s="26"/>
      <c r="Q1234" s="58"/>
      <c r="R1234" s="58"/>
      <c r="S1234" s="80"/>
      <c r="T1234" s="68" t="str">
        <f aca="false">IF(LEFT(S1234,1)="9","Celular",IF(S1234="","","Fixo"))</f>
        <v/>
      </c>
      <c r="U1234" s="58" t="str">
        <f aca="false">IF( T1234&lt;&gt;"",VLOOKUP(T1234,Selects!$M$4:$N$1000,2,0),"")</f>
        <v/>
      </c>
      <c r="V1234" s="26"/>
      <c r="W1234" s="58"/>
      <c r="X1234" s="58"/>
      <c r="Y1234" s="58"/>
      <c r="Z1234" s="58"/>
      <c r="AA1234" s="69"/>
      <c r="AB1234" s="58"/>
      <c r="AC1234" s="58"/>
      <c r="AD1234" s="72" t="str">
        <f aca="false">IF(AC1234&lt;&gt;"",VLOOKUP(AC1234,Selects!$B$4:$C$100,2,0),"")</f>
        <v/>
      </c>
      <c r="AE1234" s="26"/>
      <c r="AF1234" s="58"/>
      <c r="AG1234" s="59"/>
      <c r="AH1234" s="65"/>
      <c r="AI1234" s="66"/>
      <c r="AJ1234" s="66"/>
      <c r="AK1234" s="58"/>
      <c r="AL1234" s="58"/>
      <c r="AM1234" s="68" t="str">
        <f aca="false">IF(LEFT(AL1234,1)="9","Celular",IF(AL1234="","","Fixo"))</f>
        <v/>
      </c>
      <c r="AN1234" s="58" t="str">
        <f aca="false">IF( AM1234&lt;&gt;"",VLOOKUP(AM1234,Selects!$M$4:$N$1000,2,0),"")</f>
        <v/>
      </c>
      <c r="AO1234" s="58"/>
      <c r="AP1234" s="59"/>
      <c r="AQ1234" s="66"/>
      <c r="AR1234" s="58"/>
      <c r="AS1234" s="58"/>
      <c r="AT1234" s="26"/>
      <c r="AU1234" s="58"/>
      <c r="AV1234" s="58"/>
      <c r="AW1234" s="58"/>
      <c r="AX1234" s="58"/>
      <c r="AY1234" s="71"/>
      <c r="AZ1234" s="58"/>
      <c r="BA1234" s="58"/>
      <c r="BB1234" s="72" t="str">
        <f aca="false">IF(BA1234&lt;&gt;"",VLOOKUP(BA1234,Selects!$B$4:$C$100,2,0),"")</f>
        <v/>
      </c>
      <c r="BC1234" s="26"/>
      <c r="BD1234" s="26"/>
      <c r="BE1234" s="73"/>
      <c r="BF1234" s="74"/>
      <c r="BG1234" s="75" t="str">
        <f aca="false">IF(LEN(BF1234)=11,"PF",IF(LEN(BF1234)=14,"PJ",""))</f>
        <v/>
      </c>
      <c r="BH1234" s="66"/>
      <c r="BI1234" s="58" t="str">
        <f aca="false">IF(BH1234&lt;&gt;"",VLOOKUP(BH1234,Selects!$G:$H,2,0),"")</f>
        <v/>
      </c>
      <c r="BJ1234" s="58"/>
      <c r="BK1234" s="58"/>
      <c r="BL1234" s="59"/>
      <c r="BM1234" s="58"/>
      <c r="BN1234" s="58"/>
      <c r="BO1234" s="58" t="str">
        <f aca="false">IF(BN1234&lt;&gt;"",VLOOKUP(BN1234,Selects!$J$4:$K$1000,2,0),"")</f>
        <v/>
      </c>
      <c r="BP1234" s="76"/>
      <c r="BQ1234" s="59"/>
      <c r="BR1234" s="77"/>
      <c r="BS1234" s="59"/>
      <c r="BT1234" s="77"/>
      <c r="BU1234" s="58"/>
      <c r="BV1234" s="58"/>
      <c r="BW1234" s="58"/>
      <c r="BX1234" s="58"/>
      <c r="BY1234" s="58"/>
      <c r="BZ1234" s="58"/>
      <c r="CA1234" s="58"/>
      <c r="CB1234" s="72" t="str">
        <f aca="false">IF(AC1234&lt;&gt;"",VLOOKUP(AC1234,Selects!$B:$E,4,0),"")</f>
        <v/>
      </c>
      <c r="CC1234" s="58"/>
      <c r="CD1234" s="58"/>
      <c r="CE1234" s="58"/>
    </row>
    <row r="1235" customFormat="false" ht="15" hidden="true" customHeight="false" outlineLevel="0" collapsed="false">
      <c r="B1235" s="58"/>
      <c r="C1235" s="58"/>
      <c r="D1235" s="59"/>
      <c r="E1235" s="60" t="str">
        <f aca="false">IF(LEN(D1235)=11,"PF",IF(LEN(D1235)=14,"PJ",""))</f>
        <v/>
      </c>
      <c r="F1235" s="59"/>
      <c r="G1235" s="59"/>
      <c r="H1235" s="61" t="str">
        <f aca="false">IF(G1235&lt;&gt;"",VLOOKUP(G1235,'Cnae  mcc  id'!$A:$M,9,0),"")</f>
        <v/>
      </c>
      <c r="I1235" s="62"/>
      <c r="J1235" s="63" t="str">
        <f aca="false">IF(I1235&lt;&gt;"",VLOOKUP(I1235,'Legal Nature'!$E$2:$G$84,3,0),"")</f>
        <v/>
      </c>
      <c r="K1235" s="64"/>
      <c r="L1235" s="65"/>
      <c r="M1235" s="66"/>
      <c r="N1235" s="66"/>
      <c r="O1235" s="79"/>
      <c r="P1235" s="26"/>
      <c r="Q1235" s="58"/>
      <c r="R1235" s="58"/>
      <c r="S1235" s="80"/>
      <c r="T1235" s="68" t="str">
        <f aca="false">IF(LEFT(S1235,1)="9","Celular",IF(S1235="","","Fixo"))</f>
        <v/>
      </c>
      <c r="U1235" s="58" t="str">
        <f aca="false">IF( T1235&lt;&gt;"",VLOOKUP(T1235,Selects!$M$4:$N$1000,2,0),"")</f>
        <v/>
      </c>
      <c r="V1235" s="26"/>
      <c r="W1235" s="58"/>
      <c r="X1235" s="58"/>
      <c r="Y1235" s="58"/>
      <c r="Z1235" s="58"/>
      <c r="AA1235" s="69"/>
      <c r="AB1235" s="58"/>
      <c r="AC1235" s="58"/>
      <c r="AD1235" s="72" t="str">
        <f aca="false">IF(AC1235&lt;&gt;"",VLOOKUP(AC1235,Selects!$B$4:$C$100,2,0),"")</f>
        <v/>
      </c>
      <c r="AE1235" s="26"/>
      <c r="AF1235" s="58"/>
      <c r="AG1235" s="59"/>
      <c r="AH1235" s="65"/>
      <c r="AI1235" s="66"/>
      <c r="AJ1235" s="66"/>
      <c r="AK1235" s="58"/>
      <c r="AL1235" s="58"/>
      <c r="AM1235" s="68" t="str">
        <f aca="false">IF(LEFT(AL1235,1)="9","Celular",IF(AL1235="","","Fixo"))</f>
        <v/>
      </c>
      <c r="AN1235" s="58" t="str">
        <f aca="false">IF( AM1235&lt;&gt;"",VLOOKUP(AM1235,Selects!$M$4:$N$1000,2,0),"")</f>
        <v/>
      </c>
      <c r="AO1235" s="58"/>
      <c r="AP1235" s="59"/>
      <c r="AQ1235" s="66"/>
      <c r="AR1235" s="58"/>
      <c r="AS1235" s="58"/>
      <c r="AT1235" s="26"/>
      <c r="AU1235" s="58"/>
      <c r="AV1235" s="58"/>
      <c r="AW1235" s="58"/>
      <c r="AX1235" s="58"/>
      <c r="AY1235" s="71"/>
      <c r="AZ1235" s="58"/>
      <c r="BA1235" s="58"/>
      <c r="BB1235" s="72" t="str">
        <f aca="false">IF(BA1235&lt;&gt;"",VLOOKUP(BA1235,Selects!$B$4:$C$100,2,0),"")</f>
        <v/>
      </c>
      <c r="BC1235" s="26"/>
      <c r="BD1235" s="26"/>
      <c r="BE1235" s="73"/>
      <c r="BF1235" s="74"/>
      <c r="BG1235" s="75" t="str">
        <f aca="false">IF(LEN(BF1235)=11,"PF",IF(LEN(BF1235)=14,"PJ",""))</f>
        <v/>
      </c>
      <c r="BH1235" s="66"/>
      <c r="BI1235" s="58" t="str">
        <f aca="false">IF(BH1235&lt;&gt;"",VLOOKUP(BH1235,Selects!$G:$H,2,0),"")</f>
        <v/>
      </c>
      <c r="BJ1235" s="58"/>
      <c r="BK1235" s="58"/>
      <c r="BL1235" s="59"/>
      <c r="BM1235" s="58"/>
      <c r="BN1235" s="58"/>
      <c r="BO1235" s="58" t="str">
        <f aca="false">IF(BN1235&lt;&gt;"",VLOOKUP(BN1235,Selects!$J$4:$K$1000,2,0),"")</f>
        <v/>
      </c>
      <c r="BP1235" s="76"/>
      <c r="BQ1235" s="59"/>
      <c r="BR1235" s="77"/>
      <c r="BS1235" s="59"/>
      <c r="BT1235" s="77"/>
      <c r="BU1235" s="58"/>
      <c r="BV1235" s="58"/>
      <c r="BW1235" s="58"/>
      <c r="BX1235" s="58"/>
      <c r="BY1235" s="58"/>
      <c r="BZ1235" s="58"/>
      <c r="CA1235" s="58"/>
      <c r="CB1235" s="72" t="str">
        <f aca="false">IF(AC1235&lt;&gt;"",VLOOKUP(AC1235,Selects!$B:$E,4,0),"")</f>
        <v/>
      </c>
      <c r="CC1235" s="58"/>
      <c r="CD1235" s="58"/>
      <c r="CE1235" s="58"/>
    </row>
    <row r="1236" customFormat="false" ht="15" hidden="true" customHeight="false" outlineLevel="0" collapsed="false">
      <c r="B1236" s="58"/>
      <c r="C1236" s="58"/>
      <c r="D1236" s="59"/>
      <c r="E1236" s="60" t="str">
        <f aca="false">IF(LEN(D1236)=11,"PF",IF(LEN(D1236)=14,"PJ",""))</f>
        <v/>
      </c>
      <c r="F1236" s="59"/>
      <c r="G1236" s="59"/>
      <c r="H1236" s="61" t="str">
        <f aca="false">IF(G1236&lt;&gt;"",VLOOKUP(G1236,'Cnae  mcc  id'!$A:$M,9,0),"")</f>
        <v/>
      </c>
      <c r="I1236" s="62"/>
      <c r="J1236" s="63" t="str">
        <f aca="false">IF(I1236&lt;&gt;"",VLOOKUP(I1236,'Legal Nature'!$E$2:$G$84,3,0),"")</f>
        <v/>
      </c>
      <c r="K1236" s="64"/>
      <c r="L1236" s="65"/>
      <c r="M1236" s="66"/>
      <c r="N1236" s="66"/>
      <c r="O1236" s="79"/>
      <c r="P1236" s="26"/>
      <c r="Q1236" s="58"/>
      <c r="R1236" s="58"/>
      <c r="S1236" s="80"/>
      <c r="T1236" s="68" t="str">
        <f aca="false">IF(LEFT(S1236,1)="9","Celular",IF(S1236="","","Fixo"))</f>
        <v/>
      </c>
      <c r="U1236" s="58" t="str">
        <f aca="false">IF( T1236&lt;&gt;"",VLOOKUP(T1236,Selects!$M$4:$N$1000,2,0),"")</f>
        <v/>
      </c>
      <c r="V1236" s="26"/>
      <c r="W1236" s="58"/>
      <c r="X1236" s="58"/>
      <c r="Y1236" s="58"/>
      <c r="Z1236" s="58"/>
      <c r="AA1236" s="69"/>
      <c r="AB1236" s="58"/>
      <c r="AC1236" s="58"/>
      <c r="AD1236" s="72" t="str">
        <f aca="false">IF(AC1236&lt;&gt;"",VLOOKUP(AC1236,Selects!$B$4:$C$100,2,0),"")</f>
        <v/>
      </c>
      <c r="AE1236" s="26"/>
      <c r="AF1236" s="58"/>
      <c r="AG1236" s="59"/>
      <c r="AH1236" s="65"/>
      <c r="AI1236" s="66"/>
      <c r="AJ1236" s="66"/>
      <c r="AK1236" s="58"/>
      <c r="AL1236" s="58"/>
      <c r="AM1236" s="68" t="str">
        <f aca="false">IF(LEFT(AL1236,1)="9","Celular",IF(AL1236="","","Fixo"))</f>
        <v/>
      </c>
      <c r="AN1236" s="58" t="str">
        <f aca="false">IF( AM1236&lt;&gt;"",VLOOKUP(AM1236,Selects!$M$4:$N$1000,2,0),"")</f>
        <v/>
      </c>
      <c r="AO1236" s="58"/>
      <c r="AP1236" s="59"/>
      <c r="AQ1236" s="66"/>
      <c r="AR1236" s="58"/>
      <c r="AS1236" s="58"/>
      <c r="AT1236" s="26"/>
      <c r="AU1236" s="58"/>
      <c r="AV1236" s="58"/>
      <c r="AW1236" s="58"/>
      <c r="AX1236" s="58"/>
      <c r="AY1236" s="71"/>
      <c r="AZ1236" s="58"/>
      <c r="BA1236" s="58"/>
      <c r="BB1236" s="72" t="str">
        <f aca="false">IF(BA1236&lt;&gt;"",VLOOKUP(BA1236,Selects!$B$4:$C$100,2,0),"")</f>
        <v/>
      </c>
      <c r="BC1236" s="26"/>
      <c r="BD1236" s="26"/>
      <c r="BE1236" s="73"/>
      <c r="BF1236" s="74"/>
      <c r="BG1236" s="75" t="str">
        <f aca="false">IF(LEN(BF1236)=11,"PF",IF(LEN(BF1236)=14,"PJ",""))</f>
        <v/>
      </c>
      <c r="BH1236" s="66"/>
      <c r="BI1236" s="58" t="str">
        <f aca="false">IF(BH1236&lt;&gt;"",VLOOKUP(BH1236,Selects!$G:$H,2,0),"")</f>
        <v/>
      </c>
      <c r="BJ1236" s="58"/>
      <c r="BK1236" s="58"/>
      <c r="BL1236" s="59"/>
      <c r="BM1236" s="58"/>
      <c r="BN1236" s="58"/>
      <c r="BO1236" s="58" t="str">
        <f aca="false">IF(BN1236&lt;&gt;"",VLOOKUP(BN1236,Selects!$J$4:$K$1000,2,0),"")</f>
        <v/>
      </c>
      <c r="BP1236" s="76"/>
      <c r="BQ1236" s="59"/>
      <c r="BR1236" s="77"/>
      <c r="BS1236" s="59"/>
      <c r="BT1236" s="77"/>
      <c r="BU1236" s="58"/>
      <c r="BV1236" s="58"/>
      <c r="BW1236" s="58"/>
      <c r="BX1236" s="58"/>
      <c r="BY1236" s="58"/>
      <c r="BZ1236" s="58"/>
      <c r="CA1236" s="58"/>
      <c r="CB1236" s="72" t="str">
        <f aca="false">IF(AC1236&lt;&gt;"",VLOOKUP(AC1236,Selects!$B:$E,4,0),"")</f>
        <v/>
      </c>
      <c r="CC1236" s="58"/>
      <c r="CD1236" s="58"/>
      <c r="CE1236" s="58"/>
    </row>
    <row r="1237" customFormat="false" ht="15" hidden="true" customHeight="false" outlineLevel="0" collapsed="false">
      <c r="B1237" s="58"/>
      <c r="C1237" s="58"/>
      <c r="D1237" s="59"/>
      <c r="E1237" s="60" t="str">
        <f aca="false">IF(LEN(D1237)=11,"PF",IF(LEN(D1237)=14,"PJ",""))</f>
        <v/>
      </c>
      <c r="F1237" s="59"/>
      <c r="G1237" s="59"/>
      <c r="H1237" s="61" t="str">
        <f aca="false">IF(G1237&lt;&gt;"",VLOOKUP(G1237,'Cnae  mcc  id'!$A:$M,9,0),"")</f>
        <v/>
      </c>
      <c r="I1237" s="62"/>
      <c r="J1237" s="63" t="str">
        <f aca="false">IF(I1237&lt;&gt;"",VLOOKUP(I1237,'Legal Nature'!$E$2:$G$84,3,0),"")</f>
        <v/>
      </c>
      <c r="K1237" s="64"/>
      <c r="L1237" s="65"/>
      <c r="M1237" s="66"/>
      <c r="N1237" s="66"/>
      <c r="O1237" s="79"/>
      <c r="P1237" s="26"/>
      <c r="Q1237" s="58"/>
      <c r="R1237" s="58"/>
      <c r="S1237" s="80"/>
      <c r="T1237" s="68" t="str">
        <f aca="false">IF(LEFT(S1237,1)="9","Celular",IF(S1237="","","Fixo"))</f>
        <v/>
      </c>
      <c r="U1237" s="58" t="str">
        <f aca="false">IF( T1237&lt;&gt;"",VLOOKUP(T1237,Selects!$M$4:$N$1000,2,0),"")</f>
        <v/>
      </c>
      <c r="V1237" s="26"/>
      <c r="W1237" s="58"/>
      <c r="X1237" s="58"/>
      <c r="Y1237" s="58"/>
      <c r="Z1237" s="58"/>
      <c r="AA1237" s="69"/>
      <c r="AB1237" s="58"/>
      <c r="AC1237" s="58"/>
      <c r="AD1237" s="72" t="str">
        <f aca="false">IF(AC1237&lt;&gt;"",VLOOKUP(AC1237,Selects!$B$4:$C$100,2,0),"")</f>
        <v/>
      </c>
      <c r="AE1237" s="26"/>
      <c r="AF1237" s="58"/>
      <c r="AG1237" s="59"/>
      <c r="AH1237" s="65"/>
      <c r="AI1237" s="66"/>
      <c r="AJ1237" s="66"/>
      <c r="AK1237" s="58"/>
      <c r="AL1237" s="58"/>
      <c r="AM1237" s="68" t="str">
        <f aca="false">IF(LEFT(AL1237,1)="9","Celular",IF(AL1237="","","Fixo"))</f>
        <v/>
      </c>
      <c r="AN1237" s="58" t="str">
        <f aca="false">IF( AM1237&lt;&gt;"",VLOOKUP(AM1237,Selects!$M$4:$N$1000,2,0),"")</f>
        <v/>
      </c>
      <c r="AO1237" s="58"/>
      <c r="AP1237" s="59"/>
      <c r="AQ1237" s="66"/>
      <c r="AR1237" s="58"/>
      <c r="AS1237" s="58"/>
      <c r="AT1237" s="26"/>
      <c r="AU1237" s="58"/>
      <c r="AV1237" s="58"/>
      <c r="AW1237" s="58"/>
      <c r="AX1237" s="58"/>
      <c r="AY1237" s="71"/>
      <c r="AZ1237" s="58"/>
      <c r="BA1237" s="58"/>
      <c r="BB1237" s="72" t="str">
        <f aca="false">IF(BA1237&lt;&gt;"",VLOOKUP(BA1237,Selects!$B$4:$C$100,2,0),"")</f>
        <v/>
      </c>
      <c r="BC1237" s="26"/>
      <c r="BD1237" s="26"/>
      <c r="BE1237" s="73"/>
      <c r="BF1237" s="74"/>
      <c r="BG1237" s="75" t="str">
        <f aca="false">IF(LEN(BF1237)=11,"PF",IF(LEN(BF1237)=14,"PJ",""))</f>
        <v/>
      </c>
      <c r="BH1237" s="66"/>
      <c r="BI1237" s="58" t="str">
        <f aca="false">IF(BH1237&lt;&gt;"",VLOOKUP(BH1237,Selects!$G:$H,2,0),"")</f>
        <v/>
      </c>
      <c r="BJ1237" s="58"/>
      <c r="BK1237" s="58"/>
      <c r="BL1237" s="59"/>
      <c r="BM1237" s="58"/>
      <c r="BN1237" s="58"/>
      <c r="BO1237" s="58" t="str">
        <f aca="false">IF(BN1237&lt;&gt;"",VLOOKUP(BN1237,Selects!$J$4:$K$1000,2,0),"")</f>
        <v/>
      </c>
      <c r="BP1237" s="76"/>
      <c r="BQ1237" s="59"/>
      <c r="BR1237" s="77"/>
      <c r="BS1237" s="59"/>
      <c r="BT1237" s="77"/>
      <c r="BU1237" s="58"/>
      <c r="BV1237" s="58"/>
      <c r="BW1237" s="58"/>
      <c r="BX1237" s="58"/>
      <c r="BY1237" s="58"/>
      <c r="BZ1237" s="58"/>
      <c r="CA1237" s="58"/>
      <c r="CB1237" s="72" t="str">
        <f aca="false">IF(AC1237&lt;&gt;"",VLOOKUP(AC1237,Selects!$B:$E,4,0),"")</f>
        <v/>
      </c>
      <c r="CC1237" s="58"/>
      <c r="CD1237" s="58"/>
      <c r="CE1237" s="58"/>
    </row>
    <row r="1238" customFormat="false" ht="15" hidden="true" customHeight="false" outlineLevel="0" collapsed="false">
      <c r="B1238" s="58"/>
      <c r="C1238" s="58"/>
      <c r="D1238" s="59"/>
      <c r="E1238" s="60" t="str">
        <f aca="false">IF(LEN(D1238)=11,"PF",IF(LEN(D1238)=14,"PJ",""))</f>
        <v/>
      </c>
      <c r="F1238" s="59"/>
      <c r="G1238" s="59"/>
      <c r="H1238" s="61" t="str">
        <f aca="false">IF(G1238&lt;&gt;"",VLOOKUP(G1238,'Cnae  mcc  id'!$A:$M,9,0),"")</f>
        <v/>
      </c>
      <c r="I1238" s="62"/>
      <c r="J1238" s="63" t="str">
        <f aca="false">IF(I1238&lt;&gt;"",VLOOKUP(I1238,'Legal Nature'!$E$2:$G$84,3,0),"")</f>
        <v/>
      </c>
      <c r="K1238" s="64"/>
      <c r="L1238" s="65"/>
      <c r="M1238" s="66"/>
      <c r="N1238" s="66"/>
      <c r="O1238" s="79"/>
      <c r="P1238" s="26"/>
      <c r="Q1238" s="58"/>
      <c r="R1238" s="58"/>
      <c r="S1238" s="80"/>
      <c r="T1238" s="68" t="str">
        <f aca="false">IF(LEFT(S1238,1)="9","Celular",IF(S1238="","","Fixo"))</f>
        <v/>
      </c>
      <c r="U1238" s="58" t="str">
        <f aca="false">IF( T1238&lt;&gt;"",VLOOKUP(T1238,Selects!$M$4:$N$1000,2,0),"")</f>
        <v/>
      </c>
      <c r="V1238" s="26"/>
      <c r="W1238" s="58"/>
      <c r="X1238" s="58"/>
      <c r="Y1238" s="58"/>
      <c r="Z1238" s="58"/>
      <c r="AA1238" s="69"/>
      <c r="AB1238" s="58"/>
      <c r="AC1238" s="58"/>
      <c r="AD1238" s="72" t="str">
        <f aca="false">IF(AC1238&lt;&gt;"",VLOOKUP(AC1238,Selects!$B$4:$C$100,2,0),"")</f>
        <v/>
      </c>
      <c r="AE1238" s="26"/>
      <c r="AF1238" s="58"/>
      <c r="AG1238" s="59"/>
      <c r="AH1238" s="65"/>
      <c r="AI1238" s="66"/>
      <c r="AJ1238" s="66"/>
      <c r="AK1238" s="58"/>
      <c r="AL1238" s="58"/>
      <c r="AM1238" s="68" t="str">
        <f aca="false">IF(LEFT(AL1238,1)="9","Celular",IF(AL1238="","","Fixo"))</f>
        <v/>
      </c>
      <c r="AN1238" s="58" t="str">
        <f aca="false">IF( AM1238&lt;&gt;"",VLOOKUP(AM1238,Selects!$M$4:$N$1000,2,0),"")</f>
        <v/>
      </c>
      <c r="AO1238" s="58"/>
      <c r="AP1238" s="59"/>
      <c r="AQ1238" s="66"/>
      <c r="AR1238" s="58"/>
      <c r="AS1238" s="58"/>
      <c r="AT1238" s="26"/>
      <c r="AU1238" s="58"/>
      <c r="AV1238" s="58"/>
      <c r="AW1238" s="58"/>
      <c r="AX1238" s="58"/>
      <c r="AY1238" s="71"/>
      <c r="AZ1238" s="58"/>
      <c r="BA1238" s="58"/>
      <c r="BB1238" s="72" t="str">
        <f aca="false">IF(BA1238&lt;&gt;"",VLOOKUP(BA1238,Selects!$B$4:$C$100,2,0),"")</f>
        <v/>
      </c>
      <c r="BC1238" s="26"/>
      <c r="BD1238" s="26"/>
      <c r="BE1238" s="73"/>
      <c r="BF1238" s="74"/>
      <c r="BG1238" s="75" t="str">
        <f aca="false">IF(LEN(BF1238)=11,"PF",IF(LEN(BF1238)=14,"PJ",""))</f>
        <v/>
      </c>
      <c r="BH1238" s="66"/>
      <c r="BI1238" s="58" t="str">
        <f aca="false">IF(BH1238&lt;&gt;"",VLOOKUP(BH1238,Selects!$G:$H,2,0),"")</f>
        <v/>
      </c>
      <c r="BJ1238" s="58"/>
      <c r="BK1238" s="58"/>
      <c r="BL1238" s="59"/>
      <c r="BM1238" s="58"/>
      <c r="BN1238" s="58"/>
      <c r="BO1238" s="58" t="str">
        <f aca="false">IF(BN1238&lt;&gt;"",VLOOKUP(BN1238,Selects!$J$4:$K$1000,2,0),"")</f>
        <v/>
      </c>
      <c r="BP1238" s="76"/>
      <c r="BQ1238" s="59"/>
      <c r="BR1238" s="77"/>
      <c r="BS1238" s="59"/>
      <c r="BT1238" s="77"/>
      <c r="BU1238" s="58"/>
      <c r="BV1238" s="58"/>
      <c r="BW1238" s="58"/>
      <c r="BX1238" s="58"/>
      <c r="BY1238" s="58"/>
      <c r="BZ1238" s="58"/>
      <c r="CA1238" s="58"/>
      <c r="CB1238" s="72" t="str">
        <f aca="false">IF(AC1238&lt;&gt;"",VLOOKUP(AC1238,Selects!$B:$E,4,0),"")</f>
        <v/>
      </c>
      <c r="CC1238" s="58"/>
      <c r="CD1238" s="58"/>
      <c r="CE1238" s="58"/>
    </row>
    <row r="1239" customFormat="false" ht="15" hidden="true" customHeight="false" outlineLevel="0" collapsed="false">
      <c r="B1239" s="58"/>
      <c r="C1239" s="58"/>
      <c r="D1239" s="59"/>
      <c r="E1239" s="60" t="str">
        <f aca="false">IF(LEN(D1239)=11,"PF",IF(LEN(D1239)=14,"PJ",""))</f>
        <v/>
      </c>
      <c r="F1239" s="59"/>
      <c r="G1239" s="59"/>
      <c r="H1239" s="61" t="str">
        <f aca="false">IF(G1239&lt;&gt;"",VLOOKUP(G1239,'Cnae  mcc  id'!$A:$M,9,0),"")</f>
        <v/>
      </c>
      <c r="I1239" s="62"/>
      <c r="J1239" s="63" t="str">
        <f aca="false">IF(I1239&lt;&gt;"",VLOOKUP(I1239,'Legal Nature'!$E$2:$G$84,3,0),"")</f>
        <v/>
      </c>
      <c r="K1239" s="64"/>
      <c r="L1239" s="65"/>
      <c r="M1239" s="66"/>
      <c r="N1239" s="66"/>
      <c r="O1239" s="79"/>
      <c r="P1239" s="26"/>
      <c r="Q1239" s="58"/>
      <c r="R1239" s="58"/>
      <c r="S1239" s="80"/>
      <c r="T1239" s="68" t="str">
        <f aca="false">IF(LEFT(S1239,1)="9","Celular",IF(S1239="","","Fixo"))</f>
        <v/>
      </c>
      <c r="U1239" s="58" t="str">
        <f aca="false">IF( T1239&lt;&gt;"",VLOOKUP(T1239,Selects!$M$4:$N$1000,2,0),"")</f>
        <v/>
      </c>
      <c r="V1239" s="26"/>
      <c r="W1239" s="58"/>
      <c r="X1239" s="58"/>
      <c r="Y1239" s="58"/>
      <c r="Z1239" s="58"/>
      <c r="AA1239" s="69"/>
      <c r="AB1239" s="58"/>
      <c r="AC1239" s="58"/>
      <c r="AD1239" s="72" t="str">
        <f aca="false">IF(AC1239&lt;&gt;"",VLOOKUP(AC1239,Selects!$B$4:$C$100,2,0),"")</f>
        <v/>
      </c>
      <c r="AE1239" s="26"/>
      <c r="AF1239" s="58"/>
      <c r="AG1239" s="59"/>
      <c r="AH1239" s="65"/>
      <c r="AI1239" s="66"/>
      <c r="AJ1239" s="66"/>
      <c r="AK1239" s="58"/>
      <c r="AL1239" s="58"/>
      <c r="AM1239" s="68" t="str">
        <f aca="false">IF(LEFT(AL1239,1)="9","Celular",IF(AL1239="","","Fixo"))</f>
        <v/>
      </c>
      <c r="AN1239" s="58" t="str">
        <f aca="false">IF( AM1239&lt;&gt;"",VLOOKUP(AM1239,Selects!$M$4:$N$1000,2,0),"")</f>
        <v/>
      </c>
      <c r="AO1239" s="58"/>
      <c r="AP1239" s="59"/>
      <c r="AQ1239" s="66"/>
      <c r="AR1239" s="58"/>
      <c r="AS1239" s="58"/>
      <c r="AT1239" s="26"/>
      <c r="AU1239" s="58"/>
      <c r="AV1239" s="58"/>
      <c r="AW1239" s="58"/>
      <c r="AX1239" s="58"/>
      <c r="AY1239" s="71"/>
      <c r="AZ1239" s="58"/>
      <c r="BA1239" s="58"/>
      <c r="BB1239" s="72" t="str">
        <f aca="false">IF(BA1239&lt;&gt;"",VLOOKUP(BA1239,Selects!$B$4:$C$100,2,0),"")</f>
        <v/>
      </c>
      <c r="BC1239" s="26"/>
      <c r="BD1239" s="26"/>
      <c r="BE1239" s="73"/>
      <c r="BF1239" s="74"/>
      <c r="BG1239" s="75" t="str">
        <f aca="false">IF(LEN(BF1239)=11,"PF",IF(LEN(BF1239)=14,"PJ",""))</f>
        <v/>
      </c>
      <c r="BH1239" s="66"/>
      <c r="BI1239" s="58" t="str">
        <f aca="false">IF(BH1239&lt;&gt;"",VLOOKUP(BH1239,Selects!$G:$H,2,0),"")</f>
        <v/>
      </c>
      <c r="BJ1239" s="58"/>
      <c r="BK1239" s="58"/>
      <c r="BL1239" s="59"/>
      <c r="BM1239" s="58"/>
      <c r="BN1239" s="58"/>
      <c r="BO1239" s="58" t="str">
        <f aca="false">IF(BN1239&lt;&gt;"",VLOOKUP(BN1239,Selects!$J$4:$K$1000,2,0),"")</f>
        <v/>
      </c>
      <c r="BP1239" s="76"/>
      <c r="BQ1239" s="59"/>
      <c r="BR1239" s="77"/>
      <c r="BS1239" s="59"/>
      <c r="BT1239" s="77"/>
      <c r="BU1239" s="58"/>
      <c r="BV1239" s="58"/>
      <c r="BW1239" s="58"/>
      <c r="BX1239" s="58"/>
      <c r="BY1239" s="58"/>
      <c r="BZ1239" s="58"/>
      <c r="CA1239" s="58"/>
      <c r="CB1239" s="72" t="str">
        <f aca="false">IF(AC1239&lt;&gt;"",VLOOKUP(AC1239,Selects!$B:$E,4,0),"")</f>
        <v/>
      </c>
      <c r="CC1239" s="58"/>
      <c r="CD1239" s="58"/>
      <c r="CE1239" s="58"/>
    </row>
    <row r="1240" customFormat="false" ht="15" hidden="true" customHeight="false" outlineLevel="0" collapsed="false">
      <c r="B1240" s="58"/>
      <c r="C1240" s="58"/>
      <c r="D1240" s="59"/>
      <c r="E1240" s="60" t="str">
        <f aca="false">IF(LEN(D1240)=11,"PF",IF(LEN(D1240)=14,"PJ",""))</f>
        <v/>
      </c>
      <c r="F1240" s="59"/>
      <c r="G1240" s="59"/>
      <c r="H1240" s="61" t="str">
        <f aca="false">IF(G1240&lt;&gt;"",VLOOKUP(G1240,'Cnae  mcc  id'!$A:$M,9,0),"")</f>
        <v/>
      </c>
      <c r="I1240" s="62"/>
      <c r="J1240" s="63" t="str">
        <f aca="false">IF(I1240&lt;&gt;"",VLOOKUP(I1240,'Legal Nature'!$E$2:$G$84,3,0),"")</f>
        <v/>
      </c>
      <c r="K1240" s="64"/>
      <c r="L1240" s="65"/>
      <c r="M1240" s="66"/>
      <c r="N1240" s="66"/>
      <c r="O1240" s="79"/>
      <c r="P1240" s="26"/>
      <c r="Q1240" s="58"/>
      <c r="R1240" s="58"/>
      <c r="S1240" s="80"/>
      <c r="T1240" s="68" t="str">
        <f aca="false">IF(LEFT(S1240,1)="9","Celular",IF(S1240="","","Fixo"))</f>
        <v/>
      </c>
      <c r="U1240" s="58" t="str">
        <f aca="false">IF( T1240&lt;&gt;"",VLOOKUP(T1240,Selects!$M$4:$N$1000,2,0),"")</f>
        <v/>
      </c>
      <c r="V1240" s="26"/>
      <c r="W1240" s="58"/>
      <c r="X1240" s="58"/>
      <c r="Y1240" s="58"/>
      <c r="Z1240" s="58"/>
      <c r="AA1240" s="69"/>
      <c r="AB1240" s="58"/>
      <c r="AC1240" s="58"/>
      <c r="AD1240" s="72" t="str">
        <f aca="false">IF(AC1240&lt;&gt;"",VLOOKUP(AC1240,Selects!$B$4:$C$100,2,0),"")</f>
        <v/>
      </c>
      <c r="AE1240" s="26"/>
      <c r="AF1240" s="58"/>
      <c r="AG1240" s="59"/>
      <c r="AH1240" s="65"/>
      <c r="AI1240" s="66"/>
      <c r="AJ1240" s="66"/>
      <c r="AK1240" s="58"/>
      <c r="AL1240" s="58"/>
      <c r="AM1240" s="68" t="str">
        <f aca="false">IF(LEFT(AL1240,1)="9","Celular",IF(AL1240="","","Fixo"))</f>
        <v/>
      </c>
      <c r="AN1240" s="58" t="str">
        <f aca="false">IF( AM1240&lt;&gt;"",VLOOKUP(AM1240,Selects!$M$4:$N$1000,2,0),"")</f>
        <v/>
      </c>
      <c r="AO1240" s="58"/>
      <c r="AP1240" s="59"/>
      <c r="AQ1240" s="66"/>
      <c r="AR1240" s="58"/>
      <c r="AS1240" s="58"/>
      <c r="AT1240" s="26"/>
      <c r="AU1240" s="58"/>
      <c r="AV1240" s="58"/>
      <c r="AW1240" s="58"/>
      <c r="AX1240" s="58"/>
      <c r="AY1240" s="71"/>
      <c r="AZ1240" s="58"/>
      <c r="BA1240" s="58"/>
      <c r="BB1240" s="72" t="str">
        <f aca="false">IF(BA1240&lt;&gt;"",VLOOKUP(BA1240,Selects!$B$4:$C$100,2,0),"")</f>
        <v/>
      </c>
      <c r="BC1240" s="26"/>
      <c r="BD1240" s="26"/>
      <c r="BE1240" s="73"/>
      <c r="BF1240" s="74"/>
      <c r="BG1240" s="75" t="str">
        <f aca="false">IF(LEN(BF1240)=11,"PF",IF(LEN(BF1240)=14,"PJ",""))</f>
        <v/>
      </c>
      <c r="BH1240" s="66"/>
      <c r="BI1240" s="58" t="str">
        <f aca="false">IF(BH1240&lt;&gt;"",VLOOKUP(BH1240,Selects!$G:$H,2,0),"")</f>
        <v/>
      </c>
      <c r="BJ1240" s="58"/>
      <c r="BK1240" s="58"/>
      <c r="BL1240" s="59"/>
      <c r="BM1240" s="58"/>
      <c r="BN1240" s="58"/>
      <c r="BO1240" s="58" t="str">
        <f aca="false">IF(BN1240&lt;&gt;"",VLOOKUP(BN1240,Selects!$J$4:$K$1000,2,0),"")</f>
        <v/>
      </c>
      <c r="BP1240" s="76"/>
      <c r="BQ1240" s="59"/>
      <c r="BR1240" s="77"/>
      <c r="BS1240" s="59"/>
      <c r="BT1240" s="77"/>
      <c r="BU1240" s="58"/>
      <c r="BV1240" s="58"/>
      <c r="BW1240" s="58"/>
      <c r="BX1240" s="58"/>
      <c r="BY1240" s="58"/>
      <c r="BZ1240" s="58"/>
      <c r="CA1240" s="58"/>
      <c r="CB1240" s="72" t="str">
        <f aca="false">IF(AC1240&lt;&gt;"",VLOOKUP(AC1240,Selects!$B:$E,4,0),"")</f>
        <v/>
      </c>
      <c r="CC1240" s="58"/>
      <c r="CD1240" s="58"/>
      <c r="CE1240" s="58"/>
    </row>
    <row r="1241" customFormat="false" ht="15" hidden="true" customHeight="false" outlineLevel="0" collapsed="false">
      <c r="B1241" s="58"/>
      <c r="C1241" s="58"/>
      <c r="D1241" s="59"/>
      <c r="E1241" s="60" t="str">
        <f aca="false">IF(LEN(D1241)=11,"PF",IF(LEN(D1241)=14,"PJ",""))</f>
        <v/>
      </c>
      <c r="F1241" s="59"/>
      <c r="G1241" s="59"/>
      <c r="H1241" s="61" t="str">
        <f aca="false">IF(G1241&lt;&gt;"",VLOOKUP(G1241,'Cnae  mcc  id'!$A:$M,9,0),"")</f>
        <v/>
      </c>
      <c r="I1241" s="62"/>
      <c r="J1241" s="63" t="str">
        <f aca="false">IF(I1241&lt;&gt;"",VLOOKUP(I1241,'Legal Nature'!$E$2:$G$84,3,0),"")</f>
        <v/>
      </c>
      <c r="K1241" s="64"/>
      <c r="L1241" s="65"/>
      <c r="M1241" s="66"/>
      <c r="N1241" s="66"/>
      <c r="O1241" s="79"/>
      <c r="P1241" s="26"/>
      <c r="Q1241" s="58"/>
      <c r="R1241" s="58"/>
      <c r="S1241" s="80"/>
      <c r="T1241" s="68" t="str">
        <f aca="false">IF(LEFT(S1241,1)="9","Celular",IF(S1241="","","Fixo"))</f>
        <v/>
      </c>
      <c r="U1241" s="58" t="str">
        <f aca="false">IF( T1241&lt;&gt;"",VLOOKUP(T1241,Selects!$M$4:$N$1000,2,0),"")</f>
        <v/>
      </c>
      <c r="V1241" s="26"/>
      <c r="W1241" s="58"/>
      <c r="X1241" s="58"/>
      <c r="Y1241" s="58"/>
      <c r="Z1241" s="58"/>
      <c r="AA1241" s="69"/>
      <c r="AB1241" s="58"/>
      <c r="AC1241" s="58"/>
      <c r="AD1241" s="72" t="str">
        <f aca="false">IF(AC1241&lt;&gt;"",VLOOKUP(AC1241,Selects!$B$4:$C$100,2,0),"")</f>
        <v/>
      </c>
      <c r="AE1241" s="26"/>
      <c r="AF1241" s="58"/>
      <c r="AG1241" s="59"/>
      <c r="AH1241" s="65"/>
      <c r="AI1241" s="66"/>
      <c r="AJ1241" s="66"/>
      <c r="AK1241" s="58"/>
      <c r="AL1241" s="58"/>
      <c r="AM1241" s="68" t="str">
        <f aca="false">IF(LEFT(AL1241,1)="9","Celular",IF(AL1241="","","Fixo"))</f>
        <v/>
      </c>
      <c r="AN1241" s="58" t="str">
        <f aca="false">IF( AM1241&lt;&gt;"",VLOOKUP(AM1241,Selects!$M$4:$N$1000,2,0),"")</f>
        <v/>
      </c>
      <c r="AO1241" s="58"/>
      <c r="AP1241" s="59"/>
      <c r="AQ1241" s="66"/>
      <c r="AR1241" s="58"/>
      <c r="AS1241" s="58"/>
      <c r="AT1241" s="26"/>
      <c r="AU1241" s="58"/>
      <c r="AV1241" s="58"/>
      <c r="AW1241" s="58"/>
      <c r="AX1241" s="58"/>
      <c r="AY1241" s="71"/>
      <c r="AZ1241" s="58"/>
      <c r="BA1241" s="58"/>
      <c r="BB1241" s="72" t="str">
        <f aca="false">IF(BA1241&lt;&gt;"",VLOOKUP(BA1241,Selects!$B$4:$C$100,2,0),"")</f>
        <v/>
      </c>
      <c r="BC1241" s="26"/>
      <c r="BD1241" s="26"/>
      <c r="BE1241" s="73"/>
      <c r="BF1241" s="74"/>
      <c r="BG1241" s="75" t="str">
        <f aca="false">IF(LEN(BF1241)=11,"PF",IF(LEN(BF1241)=14,"PJ",""))</f>
        <v/>
      </c>
      <c r="BH1241" s="66"/>
      <c r="BI1241" s="58" t="str">
        <f aca="false">IF(BH1241&lt;&gt;"",VLOOKUP(BH1241,Selects!$G:$H,2,0),"")</f>
        <v/>
      </c>
      <c r="BJ1241" s="58"/>
      <c r="BK1241" s="58"/>
      <c r="BL1241" s="59"/>
      <c r="BM1241" s="58"/>
      <c r="BN1241" s="58"/>
      <c r="BO1241" s="58" t="str">
        <f aca="false">IF(BN1241&lt;&gt;"",VLOOKUP(BN1241,Selects!$J$4:$K$1000,2,0),"")</f>
        <v/>
      </c>
      <c r="BP1241" s="76"/>
      <c r="BQ1241" s="59"/>
      <c r="BR1241" s="77"/>
      <c r="BS1241" s="59"/>
      <c r="BT1241" s="77"/>
      <c r="BU1241" s="58"/>
      <c r="BV1241" s="58"/>
      <c r="BW1241" s="58"/>
      <c r="BX1241" s="58"/>
      <c r="BY1241" s="58"/>
      <c r="BZ1241" s="58"/>
      <c r="CA1241" s="58"/>
      <c r="CB1241" s="72" t="str">
        <f aca="false">IF(AC1241&lt;&gt;"",VLOOKUP(AC1241,Selects!$B:$E,4,0),"")</f>
        <v/>
      </c>
      <c r="CC1241" s="58"/>
      <c r="CD1241" s="58"/>
      <c r="CE1241" s="58"/>
    </row>
    <row r="1242" customFormat="false" ht="15" hidden="true" customHeight="false" outlineLevel="0" collapsed="false">
      <c r="B1242" s="58"/>
      <c r="C1242" s="58"/>
      <c r="D1242" s="59"/>
      <c r="E1242" s="60" t="str">
        <f aca="false">IF(LEN(D1242)=11,"PF",IF(LEN(D1242)=14,"PJ",""))</f>
        <v/>
      </c>
      <c r="F1242" s="59"/>
      <c r="G1242" s="59"/>
      <c r="H1242" s="61" t="str">
        <f aca="false">IF(G1242&lt;&gt;"",VLOOKUP(G1242,'Cnae  mcc  id'!$A:$M,9,0),"")</f>
        <v/>
      </c>
      <c r="I1242" s="62"/>
      <c r="J1242" s="63" t="str">
        <f aca="false">IF(I1242&lt;&gt;"",VLOOKUP(I1242,'Legal Nature'!$E$2:$G$84,3,0),"")</f>
        <v/>
      </c>
      <c r="K1242" s="64"/>
      <c r="L1242" s="65"/>
      <c r="M1242" s="66"/>
      <c r="N1242" s="66"/>
      <c r="O1242" s="79"/>
      <c r="P1242" s="26"/>
      <c r="Q1242" s="58"/>
      <c r="R1242" s="58"/>
      <c r="S1242" s="80"/>
      <c r="T1242" s="68" t="str">
        <f aca="false">IF(LEFT(S1242,1)="9","Celular",IF(S1242="","","Fixo"))</f>
        <v/>
      </c>
      <c r="U1242" s="58" t="str">
        <f aca="false">IF( T1242&lt;&gt;"",VLOOKUP(T1242,Selects!$M$4:$N$1000,2,0),"")</f>
        <v/>
      </c>
      <c r="V1242" s="26"/>
      <c r="W1242" s="58"/>
      <c r="X1242" s="58"/>
      <c r="Y1242" s="58"/>
      <c r="Z1242" s="58"/>
      <c r="AA1242" s="69"/>
      <c r="AB1242" s="58"/>
      <c r="AC1242" s="58"/>
      <c r="AD1242" s="72" t="str">
        <f aca="false">IF(AC1242&lt;&gt;"",VLOOKUP(AC1242,Selects!$B$4:$C$100,2,0),"")</f>
        <v/>
      </c>
      <c r="AE1242" s="26"/>
      <c r="AF1242" s="58"/>
      <c r="AG1242" s="59"/>
      <c r="AH1242" s="65"/>
      <c r="AI1242" s="66"/>
      <c r="AJ1242" s="66"/>
      <c r="AK1242" s="58"/>
      <c r="AL1242" s="58"/>
      <c r="AM1242" s="68" t="str">
        <f aca="false">IF(LEFT(AL1242,1)="9","Celular",IF(AL1242="","","Fixo"))</f>
        <v/>
      </c>
      <c r="AN1242" s="58" t="str">
        <f aca="false">IF( AM1242&lt;&gt;"",VLOOKUP(AM1242,Selects!$M$4:$N$1000,2,0),"")</f>
        <v/>
      </c>
      <c r="AO1242" s="58"/>
      <c r="AP1242" s="59"/>
      <c r="AQ1242" s="66"/>
      <c r="AR1242" s="58"/>
      <c r="AS1242" s="58"/>
      <c r="AT1242" s="26"/>
      <c r="AU1242" s="58"/>
      <c r="AV1242" s="58"/>
      <c r="AW1242" s="58"/>
      <c r="AX1242" s="58"/>
      <c r="AY1242" s="71"/>
      <c r="AZ1242" s="58"/>
      <c r="BA1242" s="58"/>
      <c r="BB1242" s="72" t="str">
        <f aca="false">IF(BA1242&lt;&gt;"",VLOOKUP(BA1242,Selects!$B$4:$C$100,2,0),"")</f>
        <v/>
      </c>
      <c r="BC1242" s="26"/>
      <c r="BD1242" s="26"/>
      <c r="BE1242" s="73"/>
      <c r="BF1242" s="74"/>
      <c r="BG1242" s="75" t="str">
        <f aca="false">IF(LEN(BF1242)=11,"PF",IF(LEN(BF1242)=14,"PJ",""))</f>
        <v/>
      </c>
      <c r="BH1242" s="66"/>
      <c r="BI1242" s="58" t="str">
        <f aca="false">IF(BH1242&lt;&gt;"",VLOOKUP(BH1242,Selects!$G:$H,2,0),"")</f>
        <v/>
      </c>
      <c r="BJ1242" s="58"/>
      <c r="BK1242" s="58"/>
      <c r="BL1242" s="59"/>
      <c r="BM1242" s="58"/>
      <c r="BN1242" s="58"/>
      <c r="BO1242" s="58" t="str">
        <f aca="false">IF(BN1242&lt;&gt;"",VLOOKUP(BN1242,Selects!$J$4:$K$1000,2,0),"")</f>
        <v/>
      </c>
      <c r="BP1242" s="76"/>
      <c r="BQ1242" s="59"/>
      <c r="BR1242" s="77"/>
      <c r="BS1242" s="59"/>
      <c r="BT1242" s="77"/>
      <c r="BU1242" s="58"/>
      <c r="BV1242" s="58"/>
      <c r="BW1242" s="58"/>
      <c r="BX1242" s="58"/>
      <c r="BY1242" s="58"/>
      <c r="BZ1242" s="58"/>
      <c r="CA1242" s="58"/>
      <c r="CB1242" s="72" t="str">
        <f aca="false">IF(AC1242&lt;&gt;"",VLOOKUP(AC1242,Selects!$B:$E,4,0),"")</f>
        <v/>
      </c>
      <c r="CC1242" s="58"/>
      <c r="CD1242" s="58"/>
      <c r="CE1242" s="58"/>
    </row>
    <row r="1243" customFormat="false" ht="15" hidden="true" customHeight="false" outlineLevel="0" collapsed="false">
      <c r="B1243" s="58"/>
      <c r="C1243" s="58"/>
      <c r="D1243" s="59"/>
      <c r="E1243" s="60" t="str">
        <f aca="false">IF(LEN(D1243)=11,"PF",IF(LEN(D1243)=14,"PJ",""))</f>
        <v/>
      </c>
      <c r="F1243" s="59"/>
      <c r="G1243" s="59"/>
      <c r="H1243" s="61" t="str">
        <f aca="false">IF(G1243&lt;&gt;"",VLOOKUP(G1243,'Cnae  mcc  id'!$A:$M,9,0),"")</f>
        <v/>
      </c>
      <c r="I1243" s="62"/>
      <c r="J1243" s="63" t="str">
        <f aca="false">IF(I1243&lt;&gt;"",VLOOKUP(I1243,'Legal Nature'!$E$2:$G$84,3,0),"")</f>
        <v/>
      </c>
      <c r="K1243" s="64"/>
      <c r="L1243" s="65"/>
      <c r="M1243" s="66"/>
      <c r="N1243" s="66"/>
      <c r="O1243" s="79"/>
      <c r="P1243" s="26"/>
      <c r="Q1243" s="58"/>
      <c r="R1243" s="58"/>
      <c r="S1243" s="80"/>
      <c r="T1243" s="68" t="str">
        <f aca="false">IF(LEFT(S1243,1)="9","Celular",IF(S1243="","","Fixo"))</f>
        <v/>
      </c>
      <c r="U1243" s="58" t="str">
        <f aca="false">IF( T1243&lt;&gt;"",VLOOKUP(T1243,Selects!$M$4:$N$1000,2,0),"")</f>
        <v/>
      </c>
      <c r="V1243" s="26"/>
      <c r="W1243" s="58"/>
      <c r="X1243" s="58"/>
      <c r="Y1243" s="58"/>
      <c r="Z1243" s="58"/>
      <c r="AA1243" s="69"/>
      <c r="AB1243" s="58"/>
      <c r="AC1243" s="58"/>
      <c r="AD1243" s="72" t="str">
        <f aca="false">IF(AC1243&lt;&gt;"",VLOOKUP(AC1243,Selects!$B$4:$C$100,2,0),"")</f>
        <v/>
      </c>
      <c r="AE1243" s="26"/>
      <c r="AF1243" s="58"/>
      <c r="AG1243" s="59"/>
      <c r="AH1243" s="65"/>
      <c r="AI1243" s="66"/>
      <c r="AJ1243" s="66"/>
      <c r="AK1243" s="58"/>
      <c r="AL1243" s="58"/>
      <c r="AM1243" s="68" t="str">
        <f aca="false">IF(LEFT(AL1243,1)="9","Celular",IF(AL1243="","","Fixo"))</f>
        <v/>
      </c>
      <c r="AN1243" s="58" t="str">
        <f aca="false">IF( AM1243&lt;&gt;"",VLOOKUP(AM1243,Selects!$M$4:$N$1000,2,0),"")</f>
        <v/>
      </c>
      <c r="AO1243" s="58"/>
      <c r="AP1243" s="59"/>
      <c r="AQ1243" s="66"/>
      <c r="AR1243" s="58"/>
      <c r="AS1243" s="58"/>
      <c r="AT1243" s="26"/>
      <c r="AU1243" s="58"/>
      <c r="AV1243" s="58"/>
      <c r="AW1243" s="58"/>
      <c r="AX1243" s="58"/>
      <c r="AY1243" s="71"/>
      <c r="AZ1243" s="58"/>
      <c r="BA1243" s="58"/>
      <c r="BB1243" s="72" t="str">
        <f aca="false">IF(BA1243&lt;&gt;"",VLOOKUP(BA1243,Selects!$B$4:$C$100,2,0),"")</f>
        <v/>
      </c>
      <c r="BC1243" s="26"/>
      <c r="BD1243" s="26"/>
      <c r="BE1243" s="73"/>
      <c r="BF1243" s="74"/>
      <c r="BG1243" s="75" t="str">
        <f aca="false">IF(LEN(BF1243)=11,"PF",IF(LEN(BF1243)=14,"PJ",""))</f>
        <v/>
      </c>
      <c r="BH1243" s="66"/>
      <c r="BI1243" s="58" t="str">
        <f aca="false">IF(BH1243&lt;&gt;"",VLOOKUP(BH1243,Selects!$G:$H,2,0),"")</f>
        <v/>
      </c>
      <c r="BJ1243" s="58"/>
      <c r="BK1243" s="58"/>
      <c r="BL1243" s="59"/>
      <c r="BM1243" s="58"/>
      <c r="BN1243" s="58"/>
      <c r="BO1243" s="58" t="str">
        <f aca="false">IF(BN1243&lt;&gt;"",VLOOKUP(BN1243,Selects!$J$4:$K$1000,2,0),"")</f>
        <v/>
      </c>
      <c r="BP1243" s="76"/>
      <c r="BQ1243" s="59"/>
      <c r="BR1243" s="77"/>
      <c r="BS1243" s="59"/>
      <c r="BT1243" s="77"/>
      <c r="BU1243" s="58"/>
      <c r="BV1243" s="58"/>
      <c r="BW1243" s="58"/>
      <c r="BX1243" s="58"/>
      <c r="BY1243" s="58"/>
      <c r="BZ1243" s="58"/>
      <c r="CA1243" s="58"/>
      <c r="CB1243" s="72" t="str">
        <f aca="false">IF(AC1243&lt;&gt;"",VLOOKUP(AC1243,Selects!$B:$E,4,0),"")</f>
        <v/>
      </c>
      <c r="CC1243" s="58"/>
      <c r="CD1243" s="58"/>
      <c r="CE1243" s="58"/>
    </row>
    <row r="1244" customFormat="false" ht="15" hidden="true" customHeight="false" outlineLevel="0" collapsed="false">
      <c r="B1244" s="58"/>
      <c r="C1244" s="58"/>
      <c r="D1244" s="59"/>
      <c r="E1244" s="60" t="str">
        <f aca="false">IF(LEN(D1244)=11,"PF",IF(LEN(D1244)=14,"PJ",""))</f>
        <v/>
      </c>
      <c r="F1244" s="59"/>
      <c r="G1244" s="59"/>
      <c r="H1244" s="61" t="str">
        <f aca="false">IF(G1244&lt;&gt;"",VLOOKUP(G1244,'Cnae  mcc  id'!$A:$M,9,0),"")</f>
        <v/>
      </c>
      <c r="I1244" s="62"/>
      <c r="J1244" s="63" t="str">
        <f aca="false">IF(I1244&lt;&gt;"",VLOOKUP(I1244,'Legal Nature'!$E$2:$G$84,3,0),"")</f>
        <v/>
      </c>
      <c r="K1244" s="64"/>
      <c r="L1244" s="65"/>
      <c r="M1244" s="66"/>
      <c r="N1244" s="66"/>
      <c r="O1244" s="79"/>
      <c r="P1244" s="26"/>
      <c r="Q1244" s="58"/>
      <c r="R1244" s="58"/>
      <c r="S1244" s="80"/>
      <c r="T1244" s="68" t="str">
        <f aca="false">IF(LEFT(S1244,1)="9","Celular",IF(S1244="","","Fixo"))</f>
        <v/>
      </c>
      <c r="U1244" s="58" t="str">
        <f aca="false">IF( T1244&lt;&gt;"",VLOOKUP(T1244,Selects!$M$4:$N$1000,2,0),"")</f>
        <v/>
      </c>
      <c r="V1244" s="26"/>
      <c r="W1244" s="58"/>
      <c r="X1244" s="58"/>
      <c r="Y1244" s="58"/>
      <c r="Z1244" s="58"/>
      <c r="AA1244" s="69"/>
      <c r="AB1244" s="58"/>
      <c r="AC1244" s="58"/>
      <c r="AD1244" s="72" t="str">
        <f aca="false">IF(AC1244&lt;&gt;"",VLOOKUP(AC1244,Selects!$B$4:$C$100,2,0),"")</f>
        <v/>
      </c>
      <c r="AE1244" s="26"/>
      <c r="AF1244" s="58"/>
      <c r="AG1244" s="59"/>
      <c r="AH1244" s="65"/>
      <c r="AI1244" s="66"/>
      <c r="AJ1244" s="66"/>
      <c r="AK1244" s="58"/>
      <c r="AL1244" s="58"/>
      <c r="AM1244" s="68" t="str">
        <f aca="false">IF(LEFT(AL1244,1)="9","Celular",IF(AL1244="","","Fixo"))</f>
        <v/>
      </c>
      <c r="AN1244" s="58" t="str">
        <f aca="false">IF( AM1244&lt;&gt;"",VLOOKUP(AM1244,Selects!$M$4:$N$1000,2,0),"")</f>
        <v/>
      </c>
      <c r="AO1244" s="58"/>
      <c r="AP1244" s="59"/>
      <c r="AQ1244" s="66"/>
      <c r="AR1244" s="58"/>
      <c r="AS1244" s="58"/>
      <c r="AT1244" s="26"/>
      <c r="AU1244" s="58"/>
      <c r="AV1244" s="58"/>
      <c r="AW1244" s="58"/>
      <c r="AX1244" s="58"/>
      <c r="AY1244" s="71"/>
      <c r="AZ1244" s="58"/>
      <c r="BA1244" s="58"/>
      <c r="BB1244" s="72" t="str">
        <f aca="false">IF(BA1244&lt;&gt;"",VLOOKUP(BA1244,Selects!$B$4:$C$100,2,0),"")</f>
        <v/>
      </c>
      <c r="BC1244" s="26"/>
      <c r="BD1244" s="26"/>
      <c r="BE1244" s="73"/>
      <c r="BF1244" s="74"/>
      <c r="BG1244" s="75" t="str">
        <f aca="false">IF(LEN(BF1244)=11,"PF",IF(LEN(BF1244)=14,"PJ",""))</f>
        <v/>
      </c>
      <c r="BH1244" s="66"/>
      <c r="BI1244" s="58" t="str">
        <f aca="false">IF(BH1244&lt;&gt;"",VLOOKUP(BH1244,Selects!$G:$H,2,0),"")</f>
        <v/>
      </c>
      <c r="BJ1244" s="58"/>
      <c r="BK1244" s="58"/>
      <c r="BL1244" s="59"/>
      <c r="BM1244" s="58"/>
      <c r="BN1244" s="58"/>
      <c r="BO1244" s="58" t="str">
        <f aca="false">IF(BN1244&lt;&gt;"",VLOOKUP(BN1244,Selects!$J$4:$K$1000,2,0),"")</f>
        <v/>
      </c>
      <c r="BP1244" s="76"/>
      <c r="BQ1244" s="59"/>
      <c r="BR1244" s="77"/>
      <c r="BS1244" s="59"/>
      <c r="BT1244" s="77"/>
      <c r="BU1244" s="58"/>
      <c r="BV1244" s="58"/>
      <c r="BW1244" s="58"/>
      <c r="BX1244" s="58"/>
      <c r="BY1244" s="58"/>
      <c r="BZ1244" s="58"/>
      <c r="CA1244" s="58"/>
      <c r="CB1244" s="72" t="str">
        <f aca="false">IF(AC1244&lt;&gt;"",VLOOKUP(AC1244,Selects!$B:$E,4,0),"")</f>
        <v/>
      </c>
      <c r="CC1244" s="58"/>
      <c r="CD1244" s="58"/>
      <c r="CE1244" s="58"/>
    </row>
    <row r="1245" customFormat="false" ht="15" hidden="true" customHeight="false" outlineLevel="0" collapsed="false">
      <c r="B1245" s="58"/>
      <c r="C1245" s="58"/>
      <c r="D1245" s="59"/>
      <c r="E1245" s="60" t="str">
        <f aca="false">IF(LEN(D1245)=11,"PF",IF(LEN(D1245)=14,"PJ",""))</f>
        <v/>
      </c>
      <c r="F1245" s="59"/>
      <c r="G1245" s="59"/>
      <c r="H1245" s="61" t="str">
        <f aca="false">IF(G1245&lt;&gt;"",VLOOKUP(G1245,'Cnae  mcc  id'!$A:$M,9,0),"")</f>
        <v/>
      </c>
      <c r="I1245" s="62"/>
      <c r="J1245" s="63" t="str">
        <f aca="false">IF(I1245&lt;&gt;"",VLOOKUP(I1245,'Legal Nature'!$E$2:$G$84,3,0),"")</f>
        <v/>
      </c>
      <c r="K1245" s="64"/>
      <c r="L1245" s="65"/>
      <c r="M1245" s="66"/>
      <c r="N1245" s="66"/>
      <c r="O1245" s="79"/>
      <c r="P1245" s="26"/>
      <c r="Q1245" s="58"/>
      <c r="R1245" s="58"/>
      <c r="S1245" s="80"/>
      <c r="T1245" s="68" t="str">
        <f aca="false">IF(LEFT(S1245,1)="9","Celular",IF(S1245="","","Fixo"))</f>
        <v/>
      </c>
      <c r="U1245" s="58" t="str">
        <f aca="false">IF( T1245&lt;&gt;"",VLOOKUP(T1245,Selects!$M$4:$N$1000,2,0),"")</f>
        <v/>
      </c>
      <c r="V1245" s="26"/>
      <c r="W1245" s="58"/>
      <c r="X1245" s="58"/>
      <c r="Y1245" s="58"/>
      <c r="Z1245" s="58"/>
      <c r="AA1245" s="69"/>
      <c r="AB1245" s="58"/>
      <c r="AC1245" s="58"/>
      <c r="AD1245" s="72" t="str">
        <f aca="false">IF(AC1245&lt;&gt;"",VLOOKUP(AC1245,Selects!$B$4:$C$100,2,0),"")</f>
        <v/>
      </c>
      <c r="AE1245" s="26"/>
      <c r="AF1245" s="58"/>
      <c r="AG1245" s="59"/>
      <c r="AH1245" s="65"/>
      <c r="AI1245" s="66"/>
      <c r="AJ1245" s="66"/>
      <c r="AK1245" s="58"/>
      <c r="AL1245" s="58"/>
      <c r="AM1245" s="68" t="str">
        <f aca="false">IF(LEFT(AL1245,1)="9","Celular",IF(AL1245="","","Fixo"))</f>
        <v/>
      </c>
      <c r="AN1245" s="58" t="str">
        <f aca="false">IF( AM1245&lt;&gt;"",VLOOKUP(AM1245,Selects!$M$4:$N$1000,2,0),"")</f>
        <v/>
      </c>
      <c r="AO1245" s="58"/>
      <c r="AP1245" s="59"/>
      <c r="AQ1245" s="66"/>
      <c r="AR1245" s="58"/>
      <c r="AS1245" s="58"/>
      <c r="AT1245" s="26"/>
      <c r="AU1245" s="58"/>
      <c r="AV1245" s="58"/>
      <c r="AW1245" s="58"/>
      <c r="AX1245" s="58"/>
      <c r="AY1245" s="71"/>
      <c r="AZ1245" s="58"/>
      <c r="BA1245" s="58"/>
      <c r="BB1245" s="72" t="str">
        <f aca="false">IF(BA1245&lt;&gt;"",VLOOKUP(BA1245,Selects!$B$4:$C$100,2,0),"")</f>
        <v/>
      </c>
      <c r="BC1245" s="26"/>
      <c r="BD1245" s="26"/>
      <c r="BE1245" s="73"/>
      <c r="BF1245" s="74"/>
      <c r="BG1245" s="75" t="str">
        <f aca="false">IF(LEN(BF1245)=11,"PF",IF(LEN(BF1245)=14,"PJ",""))</f>
        <v/>
      </c>
      <c r="BH1245" s="66"/>
      <c r="BI1245" s="58" t="str">
        <f aca="false">IF(BH1245&lt;&gt;"",VLOOKUP(BH1245,Selects!$G:$H,2,0),"")</f>
        <v/>
      </c>
      <c r="BJ1245" s="58"/>
      <c r="BK1245" s="58"/>
      <c r="BL1245" s="59"/>
      <c r="BM1245" s="58"/>
      <c r="BN1245" s="58"/>
      <c r="BO1245" s="58" t="str">
        <f aca="false">IF(BN1245&lt;&gt;"",VLOOKUP(BN1245,Selects!$J$4:$K$1000,2,0),"")</f>
        <v/>
      </c>
      <c r="BP1245" s="76"/>
      <c r="BQ1245" s="59"/>
      <c r="BR1245" s="77"/>
      <c r="BS1245" s="59"/>
      <c r="BT1245" s="77"/>
      <c r="BU1245" s="58"/>
      <c r="BV1245" s="58"/>
      <c r="BW1245" s="58"/>
      <c r="BX1245" s="58"/>
      <c r="BY1245" s="58"/>
      <c r="BZ1245" s="58"/>
      <c r="CA1245" s="58"/>
      <c r="CB1245" s="72" t="str">
        <f aca="false">IF(AC1245&lt;&gt;"",VLOOKUP(AC1245,Selects!$B:$E,4,0),"")</f>
        <v/>
      </c>
      <c r="CC1245" s="58"/>
      <c r="CD1245" s="58"/>
      <c r="CE1245" s="58"/>
    </row>
    <row r="1246" customFormat="false" ht="15" hidden="true" customHeight="false" outlineLevel="0" collapsed="false">
      <c r="B1246" s="58"/>
      <c r="C1246" s="58"/>
      <c r="D1246" s="59"/>
      <c r="E1246" s="60" t="str">
        <f aca="false">IF(LEN(D1246)=11,"PF",IF(LEN(D1246)=14,"PJ",""))</f>
        <v/>
      </c>
      <c r="F1246" s="59"/>
      <c r="G1246" s="59"/>
      <c r="H1246" s="61" t="str">
        <f aca="false">IF(G1246&lt;&gt;"",VLOOKUP(G1246,'Cnae  mcc  id'!$A:$M,9,0),"")</f>
        <v/>
      </c>
      <c r="I1246" s="62"/>
      <c r="J1246" s="63" t="str">
        <f aca="false">IF(I1246&lt;&gt;"",VLOOKUP(I1246,'Legal Nature'!$E$2:$G$84,3,0),"")</f>
        <v/>
      </c>
      <c r="K1246" s="64"/>
      <c r="L1246" s="65"/>
      <c r="M1246" s="66"/>
      <c r="N1246" s="66"/>
      <c r="O1246" s="79"/>
      <c r="P1246" s="26"/>
      <c r="Q1246" s="58"/>
      <c r="R1246" s="58"/>
      <c r="S1246" s="80"/>
      <c r="T1246" s="68" t="str">
        <f aca="false">IF(LEFT(S1246,1)="9","Celular",IF(S1246="","","Fixo"))</f>
        <v/>
      </c>
      <c r="U1246" s="58" t="str">
        <f aca="false">IF( T1246&lt;&gt;"",VLOOKUP(T1246,Selects!$M$4:$N$1000,2,0),"")</f>
        <v/>
      </c>
      <c r="V1246" s="26"/>
      <c r="W1246" s="58"/>
      <c r="X1246" s="58"/>
      <c r="Y1246" s="58"/>
      <c r="Z1246" s="58"/>
      <c r="AA1246" s="69"/>
      <c r="AB1246" s="58"/>
      <c r="AC1246" s="58"/>
      <c r="AD1246" s="72" t="str">
        <f aca="false">IF(AC1246&lt;&gt;"",VLOOKUP(AC1246,Selects!$B$4:$C$100,2,0),"")</f>
        <v/>
      </c>
      <c r="AE1246" s="26"/>
      <c r="AF1246" s="58"/>
      <c r="AG1246" s="59"/>
      <c r="AH1246" s="65"/>
      <c r="AI1246" s="66"/>
      <c r="AJ1246" s="66"/>
      <c r="AK1246" s="58"/>
      <c r="AL1246" s="58"/>
      <c r="AM1246" s="68" t="str">
        <f aca="false">IF(LEFT(AL1246,1)="9","Celular",IF(AL1246="","","Fixo"))</f>
        <v/>
      </c>
      <c r="AN1246" s="58" t="str">
        <f aca="false">IF( AM1246&lt;&gt;"",VLOOKUP(AM1246,Selects!$M$4:$N$1000,2,0),"")</f>
        <v/>
      </c>
      <c r="AO1246" s="58"/>
      <c r="AP1246" s="59"/>
      <c r="AQ1246" s="66"/>
      <c r="AR1246" s="58"/>
      <c r="AS1246" s="58"/>
      <c r="AT1246" s="26"/>
      <c r="AU1246" s="58"/>
      <c r="AV1246" s="58"/>
      <c r="AW1246" s="58"/>
      <c r="AX1246" s="58"/>
      <c r="AY1246" s="71"/>
      <c r="AZ1246" s="58"/>
      <c r="BA1246" s="58"/>
      <c r="BB1246" s="72" t="str">
        <f aca="false">IF(BA1246&lt;&gt;"",VLOOKUP(BA1246,Selects!$B$4:$C$100,2,0),"")</f>
        <v/>
      </c>
      <c r="BC1246" s="26"/>
      <c r="BD1246" s="26"/>
      <c r="BE1246" s="73"/>
      <c r="BF1246" s="74"/>
      <c r="BG1246" s="75" t="str">
        <f aca="false">IF(LEN(BF1246)=11,"PF",IF(LEN(BF1246)=14,"PJ",""))</f>
        <v/>
      </c>
      <c r="BH1246" s="66"/>
      <c r="BI1246" s="58" t="str">
        <f aca="false">IF(BH1246&lt;&gt;"",VLOOKUP(BH1246,Selects!$G:$H,2,0),"")</f>
        <v/>
      </c>
      <c r="BJ1246" s="58"/>
      <c r="BK1246" s="58"/>
      <c r="BL1246" s="59"/>
      <c r="BM1246" s="58"/>
      <c r="BN1246" s="58"/>
      <c r="BO1246" s="58" t="str">
        <f aca="false">IF(BN1246&lt;&gt;"",VLOOKUP(BN1246,Selects!$J$4:$K$1000,2,0),"")</f>
        <v/>
      </c>
      <c r="BP1246" s="76"/>
      <c r="BQ1246" s="59"/>
      <c r="BR1246" s="77"/>
      <c r="BS1246" s="59"/>
      <c r="BT1246" s="77"/>
      <c r="BU1246" s="58"/>
      <c r="BV1246" s="58"/>
      <c r="BW1246" s="58"/>
      <c r="BX1246" s="58"/>
      <c r="BY1246" s="58"/>
      <c r="BZ1246" s="58"/>
      <c r="CA1246" s="58"/>
      <c r="CB1246" s="72" t="str">
        <f aca="false">IF(AC1246&lt;&gt;"",VLOOKUP(AC1246,Selects!$B:$E,4,0),"")</f>
        <v/>
      </c>
      <c r="CC1246" s="58"/>
      <c r="CD1246" s="58"/>
      <c r="CE1246" s="58"/>
    </row>
    <row r="1247" customFormat="false" ht="15" hidden="true" customHeight="false" outlineLevel="0" collapsed="false">
      <c r="B1247" s="58"/>
      <c r="C1247" s="58"/>
      <c r="D1247" s="59"/>
      <c r="E1247" s="60" t="str">
        <f aca="false">IF(LEN(D1247)=11,"PF",IF(LEN(D1247)=14,"PJ",""))</f>
        <v/>
      </c>
      <c r="F1247" s="59"/>
      <c r="G1247" s="59"/>
      <c r="H1247" s="61" t="str">
        <f aca="false">IF(G1247&lt;&gt;"",VLOOKUP(G1247,'Cnae  mcc  id'!$A:$M,9,0),"")</f>
        <v/>
      </c>
      <c r="I1247" s="62"/>
      <c r="J1247" s="63" t="str">
        <f aca="false">IF(I1247&lt;&gt;"",VLOOKUP(I1247,'Legal Nature'!$E$2:$G$84,3,0),"")</f>
        <v/>
      </c>
      <c r="K1247" s="64"/>
      <c r="L1247" s="65"/>
      <c r="M1247" s="66"/>
      <c r="N1247" s="66"/>
      <c r="O1247" s="79"/>
      <c r="P1247" s="26"/>
      <c r="Q1247" s="58"/>
      <c r="R1247" s="58"/>
      <c r="S1247" s="80"/>
      <c r="T1247" s="68" t="str">
        <f aca="false">IF(LEFT(S1247,1)="9","Celular",IF(S1247="","","Fixo"))</f>
        <v/>
      </c>
      <c r="U1247" s="58" t="str">
        <f aca="false">IF( T1247&lt;&gt;"",VLOOKUP(T1247,Selects!$M$4:$N$1000,2,0),"")</f>
        <v/>
      </c>
      <c r="V1247" s="26"/>
      <c r="W1247" s="58"/>
      <c r="X1247" s="58"/>
      <c r="Y1247" s="58"/>
      <c r="Z1247" s="58"/>
      <c r="AA1247" s="69"/>
      <c r="AB1247" s="58"/>
      <c r="AC1247" s="58"/>
      <c r="AD1247" s="72" t="str">
        <f aca="false">IF(AC1247&lt;&gt;"",VLOOKUP(AC1247,Selects!$B$4:$C$100,2,0),"")</f>
        <v/>
      </c>
      <c r="AE1247" s="26"/>
      <c r="AF1247" s="58"/>
      <c r="AG1247" s="59"/>
      <c r="AH1247" s="65"/>
      <c r="AI1247" s="66"/>
      <c r="AJ1247" s="66"/>
      <c r="AK1247" s="58"/>
      <c r="AL1247" s="58"/>
      <c r="AM1247" s="68" t="str">
        <f aca="false">IF(LEFT(AL1247,1)="9","Celular",IF(AL1247="","","Fixo"))</f>
        <v/>
      </c>
      <c r="AN1247" s="58" t="str">
        <f aca="false">IF( AM1247&lt;&gt;"",VLOOKUP(AM1247,Selects!$M$4:$N$1000,2,0),"")</f>
        <v/>
      </c>
      <c r="AO1247" s="58"/>
      <c r="AP1247" s="59"/>
      <c r="AQ1247" s="66"/>
      <c r="AR1247" s="58"/>
      <c r="AS1247" s="58"/>
      <c r="AT1247" s="26"/>
      <c r="AU1247" s="58"/>
      <c r="AV1247" s="58"/>
      <c r="AW1247" s="58"/>
      <c r="AX1247" s="58"/>
      <c r="AY1247" s="71"/>
      <c r="AZ1247" s="58"/>
      <c r="BA1247" s="58"/>
      <c r="BB1247" s="72" t="str">
        <f aca="false">IF(BA1247&lt;&gt;"",VLOOKUP(BA1247,Selects!$B$4:$C$100,2,0),"")</f>
        <v/>
      </c>
      <c r="BC1247" s="26"/>
      <c r="BD1247" s="26"/>
      <c r="BE1247" s="73"/>
      <c r="BF1247" s="74"/>
      <c r="BG1247" s="75" t="str">
        <f aca="false">IF(LEN(BF1247)=11,"PF",IF(LEN(BF1247)=14,"PJ",""))</f>
        <v/>
      </c>
      <c r="BH1247" s="66"/>
      <c r="BI1247" s="58" t="str">
        <f aca="false">IF(BH1247&lt;&gt;"",VLOOKUP(BH1247,Selects!$G:$H,2,0),"")</f>
        <v/>
      </c>
      <c r="BJ1247" s="58"/>
      <c r="BK1247" s="58"/>
      <c r="BL1247" s="59"/>
      <c r="BM1247" s="58"/>
      <c r="BN1247" s="58"/>
      <c r="BO1247" s="58" t="str">
        <f aca="false">IF(BN1247&lt;&gt;"",VLOOKUP(BN1247,Selects!$J$4:$K$1000,2,0),"")</f>
        <v/>
      </c>
      <c r="BP1247" s="76"/>
      <c r="BQ1247" s="59"/>
      <c r="BR1247" s="77"/>
      <c r="BS1247" s="59"/>
      <c r="BT1247" s="77"/>
      <c r="BU1247" s="58"/>
      <c r="BV1247" s="58"/>
      <c r="BW1247" s="58"/>
      <c r="BX1247" s="58"/>
      <c r="BY1247" s="58"/>
      <c r="BZ1247" s="58"/>
      <c r="CA1247" s="58"/>
      <c r="CB1247" s="72" t="str">
        <f aca="false">IF(AC1247&lt;&gt;"",VLOOKUP(AC1247,Selects!$B:$E,4,0),"")</f>
        <v/>
      </c>
      <c r="CC1247" s="58"/>
      <c r="CD1247" s="58"/>
      <c r="CE1247" s="58"/>
    </row>
    <row r="1248" customFormat="false" ht="15" hidden="true" customHeight="false" outlineLevel="0" collapsed="false">
      <c r="B1248" s="58"/>
      <c r="C1248" s="58"/>
      <c r="D1248" s="59"/>
      <c r="E1248" s="60" t="str">
        <f aca="false">IF(LEN(D1248)=11,"PF",IF(LEN(D1248)=14,"PJ",""))</f>
        <v/>
      </c>
      <c r="F1248" s="59"/>
      <c r="G1248" s="59"/>
      <c r="H1248" s="61" t="str">
        <f aca="false">IF(G1248&lt;&gt;"",VLOOKUP(G1248,'Cnae  mcc  id'!$A:$M,9,0),"")</f>
        <v/>
      </c>
      <c r="I1248" s="62"/>
      <c r="J1248" s="63" t="str">
        <f aca="false">IF(I1248&lt;&gt;"",VLOOKUP(I1248,'Legal Nature'!$E$2:$G$84,3,0),"")</f>
        <v/>
      </c>
      <c r="K1248" s="64"/>
      <c r="L1248" s="65"/>
      <c r="M1248" s="66"/>
      <c r="N1248" s="66"/>
      <c r="O1248" s="79"/>
      <c r="P1248" s="26"/>
      <c r="Q1248" s="58"/>
      <c r="R1248" s="58"/>
      <c r="S1248" s="80"/>
      <c r="T1248" s="68" t="str">
        <f aca="false">IF(LEFT(S1248,1)="9","Celular",IF(S1248="","","Fixo"))</f>
        <v/>
      </c>
      <c r="U1248" s="58" t="str">
        <f aca="false">IF( T1248&lt;&gt;"",VLOOKUP(T1248,Selects!$M$4:$N$1000,2,0),"")</f>
        <v/>
      </c>
      <c r="V1248" s="26"/>
      <c r="W1248" s="58"/>
      <c r="X1248" s="58"/>
      <c r="Y1248" s="58"/>
      <c r="Z1248" s="58"/>
      <c r="AA1248" s="69"/>
      <c r="AB1248" s="58"/>
      <c r="AC1248" s="58"/>
      <c r="AD1248" s="72" t="str">
        <f aca="false">IF(AC1248&lt;&gt;"",VLOOKUP(AC1248,Selects!$B$4:$C$100,2,0),"")</f>
        <v/>
      </c>
      <c r="AE1248" s="26"/>
      <c r="AF1248" s="58"/>
      <c r="AG1248" s="59"/>
      <c r="AH1248" s="65"/>
      <c r="AI1248" s="66"/>
      <c r="AJ1248" s="66"/>
      <c r="AK1248" s="58"/>
      <c r="AL1248" s="58"/>
      <c r="AM1248" s="68" t="str">
        <f aca="false">IF(LEFT(AL1248,1)="9","Celular",IF(AL1248="","","Fixo"))</f>
        <v/>
      </c>
      <c r="AN1248" s="58" t="str">
        <f aca="false">IF( AM1248&lt;&gt;"",VLOOKUP(AM1248,Selects!$M$4:$N$1000,2,0),"")</f>
        <v/>
      </c>
      <c r="AO1248" s="58"/>
      <c r="AP1248" s="59"/>
      <c r="AQ1248" s="66"/>
      <c r="AR1248" s="58"/>
      <c r="AS1248" s="58"/>
      <c r="AT1248" s="26"/>
      <c r="AU1248" s="58"/>
      <c r="AV1248" s="58"/>
      <c r="AW1248" s="58"/>
      <c r="AX1248" s="58"/>
      <c r="AY1248" s="71"/>
      <c r="AZ1248" s="58"/>
      <c r="BA1248" s="58"/>
      <c r="BB1248" s="72" t="str">
        <f aca="false">IF(BA1248&lt;&gt;"",VLOOKUP(BA1248,Selects!$B$4:$C$100,2,0),"")</f>
        <v/>
      </c>
      <c r="BC1248" s="26"/>
      <c r="BD1248" s="26"/>
      <c r="BE1248" s="73"/>
      <c r="BF1248" s="74"/>
      <c r="BG1248" s="75" t="str">
        <f aca="false">IF(LEN(BF1248)=11,"PF",IF(LEN(BF1248)=14,"PJ",""))</f>
        <v/>
      </c>
      <c r="BH1248" s="66"/>
      <c r="BI1248" s="58" t="str">
        <f aca="false">IF(BH1248&lt;&gt;"",VLOOKUP(BH1248,Selects!$G:$H,2,0),"")</f>
        <v/>
      </c>
      <c r="BJ1248" s="58"/>
      <c r="BK1248" s="58"/>
      <c r="BL1248" s="59"/>
      <c r="BM1248" s="58"/>
      <c r="BN1248" s="58"/>
      <c r="BO1248" s="58" t="str">
        <f aca="false">IF(BN1248&lt;&gt;"",VLOOKUP(BN1248,Selects!$J$4:$K$1000,2,0),"")</f>
        <v/>
      </c>
      <c r="BP1248" s="76"/>
      <c r="BQ1248" s="59"/>
      <c r="BR1248" s="77"/>
      <c r="BS1248" s="59"/>
      <c r="BT1248" s="77"/>
      <c r="BU1248" s="58"/>
      <c r="BV1248" s="58"/>
      <c r="BW1248" s="58"/>
      <c r="BX1248" s="58"/>
      <c r="BY1248" s="58"/>
      <c r="BZ1248" s="58"/>
      <c r="CA1248" s="58"/>
      <c r="CB1248" s="72" t="str">
        <f aca="false">IF(AC1248&lt;&gt;"",VLOOKUP(AC1248,Selects!$B:$E,4,0),"")</f>
        <v/>
      </c>
      <c r="CC1248" s="58"/>
      <c r="CD1248" s="58"/>
      <c r="CE1248" s="58"/>
    </row>
    <row r="1249" customFormat="false" ht="15" hidden="true" customHeight="false" outlineLevel="0" collapsed="false">
      <c r="B1249" s="58"/>
      <c r="C1249" s="58"/>
      <c r="D1249" s="59"/>
      <c r="E1249" s="60" t="str">
        <f aca="false">IF(LEN(D1249)=11,"PF",IF(LEN(D1249)=14,"PJ",""))</f>
        <v/>
      </c>
      <c r="F1249" s="59"/>
      <c r="G1249" s="59"/>
      <c r="H1249" s="61" t="str">
        <f aca="false">IF(G1249&lt;&gt;"",VLOOKUP(G1249,'Cnae  mcc  id'!$A:$M,9,0),"")</f>
        <v/>
      </c>
      <c r="I1249" s="62"/>
      <c r="J1249" s="63" t="str">
        <f aca="false">IF(I1249&lt;&gt;"",VLOOKUP(I1249,'Legal Nature'!$E$2:$G$84,3,0),"")</f>
        <v/>
      </c>
      <c r="K1249" s="64"/>
      <c r="L1249" s="65"/>
      <c r="M1249" s="66"/>
      <c r="N1249" s="66"/>
      <c r="O1249" s="79"/>
      <c r="P1249" s="26"/>
      <c r="Q1249" s="58"/>
      <c r="R1249" s="58"/>
      <c r="S1249" s="80"/>
      <c r="T1249" s="68" t="str">
        <f aca="false">IF(LEFT(S1249,1)="9","Celular",IF(S1249="","","Fixo"))</f>
        <v/>
      </c>
      <c r="U1249" s="58" t="str">
        <f aca="false">IF( T1249&lt;&gt;"",VLOOKUP(T1249,Selects!$M$4:$N$1000,2,0),"")</f>
        <v/>
      </c>
      <c r="V1249" s="26"/>
      <c r="W1249" s="58"/>
      <c r="X1249" s="58"/>
      <c r="Y1249" s="58"/>
      <c r="Z1249" s="58"/>
      <c r="AA1249" s="69"/>
      <c r="AB1249" s="58"/>
      <c r="AC1249" s="58"/>
      <c r="AD1249" s="72" t="str">
        <f aca="false">IF(AC1249&lt;&gt;"",VLOOKUP(AC1249,Selects!$B$4:$C$100,2,0),"")</f>
        <v/>
      </c>
      <c r="AE1249" s="26"/>
      <c r="AF1249" s="58"/>
      <c r="AG1249" s="59"/>
      <c r="AH1249" s="65"/>
      <c r="AI1249" s="66"/>
      <c r="AJ1249" s="66"/>
      <c r="AK1249" s="58"/>
      <c r="AL1249" s="58"/>
      <c r="AM1249" s="68" t="str">
        <f aca="false">IF(LEFT(AL1249,1)="9","Celular",IF(AL1249="","","Fixo"))</f>
        <v/>
      </c>
      <c r="AN1249" s="58" t="str">
        <f aca="false">IF( AM1249&lt;&gt;"",VLOOKUP(AM1249,Selects!$M$4:$N$1000,2,0),"")</f>
        <v/>
      </c>
      <c r="AO1249" s="58"/>
      <c r="AP1249" s="59"/>
      <c r="AQ1249" s="66"/>
      <c r="AR1249" s="58"/>
      <c r="AS1249" s="58"/>
      <c r="AT1249" s="26"/>
      <c r="AU1249" s="58"/>
      <c r="AV1249" s="58"/>
      <c r="AW1249" s="58"/>
      <c r="AX1249" s="58"/>
      <c r="AY1249" s="71"/>
      <c r="AZ1249" s="58"/>
      <c r="BA1249" s="58"/>
      <c r="BB1249" s="72" t="str">
        <f aca="false">IF(BA1249&lt;&gt;"",VLOOKUP(BA1249,Selects!$B$4:$C$100,2,0),"")</f>
        <v/>
      </c>
      <c r="BC1249" s="26"/>
      <c r="BD1249" s="26"/>
      <c r="BE1249" s="73"/>
      <c r="BF1249" s="74"/>
      <c r="BG1249" s="75" t="str">
        <f aca="false">IF(LEN(BF1249)=11,"PF",IF(LEN(BF1249)=14,"PJ",""))</f>
        <v/>
      </c>
      <c r="BH1249" s="66"/>
      <c r="BI1249" s="58" t="str">
        <f aca="false">IF(BH1249&lt;&gt;"",VLOOKUP(BH1249,Selects!$G:$H,2,0),"")</f>
        <v/>
      </c>
      <c r="BJ1249" s="58"/>
      <c r="BK1249" s="58"/>
      <c r="BL1249" s="59"/>
      <c r="BM1249" s="58"/>
      <c r="BN1249" s="58"/>
      <c r="BO1249" s="58" t="str">
        <f aca="false">IF(BN1249&lt;&gt;"",VLOOKUP(BN1249,Selects!$J$4:$K$1000,2,0),"")</f>
        <v/>
      </c>
      <c r="BP1249" s="76"/>
      <c r="BQ1249" s="59"/>
      <c r="BR1249" s="77"/>
      <c r="BS1249" s="59"/>
      <c r="BT1249" s="77"/>
      <c r="BU1249" s="58"/>
      <c r="BV1249" s="58"/>
      <c r="BW1249" s="58"/>
      <c r="BX1249" s="58"/>
      <c r="BY1249" s="58"/>
      <c r="BZ1249" s="58"/>
      <c r="CA1249" s="58"/>
      <c r="CB1249" s="72" t="str">
        <f aca="false">IF(AC1249&lt;&gt;"",VLOOKUP(AC1249,Selects!$B:$E,4,0),"")</f>
        <v/>
      </c>
      <c r="CC1249" s="58"/>
      <c r="CD1249" s="58"/>
      <c r="CE1249" s="58"/>
    </row>
    <row r="1250" customFormat="false" ht="15" hidden="true" customHeight="false" outlineLevel="0" collapsed="false">
      <c r="B1250" s="58"/>
      <c r="C1250" s="58"/>
      <c r="D1250" s="59"/>
      <c r="E1250" s="60" t="str">
        <f aca="false">IF(LEN(D1250)=11,"PF",IF(LEN(D1250)=14,"PJ",""))</f>
        <v/>
      </c>
      <c r="F1250" s="59"/>
      <c r="G1250" s="59"/>
      <c r="H1250" s="61" t="str">
        <f aca="false">IF(G1250&lt;&gt;"",VLOOKUP(G1250,'Cnae  mcc  id'!$A:$M,9,0),"")</f>
        <v/>
      </c>
      <c r="I1250" s="62"/>
      <c r="J1250" s="63" t="str">
        <f aca="false">IF(I1250&lt;&gt;"",VLOOKUP(I1250,'Legal Nature'!$E$2:$G$84,3,0),"")</f>
        <v/>
      </c>
      <c r="K1250" s="64"/>
      <c r="L1250" s="65"/>
      <c r="M1250" s="66"/>
      <c r="N1250" s="66"/>
      <c r="O1250" s="79"/>
      <c r="P1250" s="26"/>
      <c r="Q1250" s="58"/>
      <c r="R1250" s="58"/>
      <c r="S1250" s="80"/>
      <c r="T1250" s="68" t="str">
        <f aca="false">IF(LEFT(S1250,1)="9","Celular",IF(S1250="","","Fixo"))</f>
        <v/>
      </c>
      <c r="U1250" s="58" t="str">
        <f aca="false">IF( T1250&lt;&gt;"",VLOOKUP(T1250,Selects!$M$4:$N$1000,2,0),"")</f>
        <v/>
      </c>
      <c r="V1250" s="26"/>
      <c r="W1250" s="58"/>
      <c r="X1250" s="58"/>
      <c r="Y1250" s="58"/>
      <c r="Z1250" s="58"/>
      <c r="AA1250" s="69"/>
      <c r="AB1250" s="58"/>
      <c r="AC1250" s="58"/>
      <c r="AD1250" s="72" t="str">
        <f aca="false">IF(AC1250&lt;&gt;"",VLOOKUP(AC1250,Selects!$B$4:$C$100,2,0),"")</f>
        <v/>
      </c>
      <c r="AE1250" s="26"/>
      <c r="AF1250" s="58"/>
      <c r="AG1250" s="59"/>
      <c r="AH1250" s="65"/>
      <c r="AI1250" s="66"/>
      <c r="AJ1250" s="66"/>
      <c r="AK1250" s="58"/>
      <c r="AL1250" s="58"/>
      <c r="AM1250" s="68" t="str">
        <f aca="false">IF(LEFT(AL1250,1)="9","Celular",IF(AL1250="","","Fixo"))</f>
        <v/>
      </c>
      <c r="AN1250" s="58" t="str">
        <f aca="false">IF( AM1250&lt;&gt;"",VLOOKUP(AM1250,Selects!$M$4:$N$1000,2,0),"")</f>
        <v/>
      </c>
      <c r="AO1250" s="58"/>
      <c r="AP1250" s="59"/>
      <c r="AQ1250" s="66"/>
      <c r="AR1250" s="58"/>
      <c r="AS1250" s="58"/>
      <c r="AT1250" s="26"/>
      <c r="AU1250" s="58"/>
      <c r="AV1250" s="58"/>
      <c r="AW1250" s="58"/>
      <c r="AX1250" s="58"/>
      <c r="AY1250" s="71"/>
      <c r="AZ1250" s="58"/>
      <c r="BA1250" s="58"/>
      <c r="BB1250" s="72" t="str">
        <f aca="false">IF(BA1250&lt;&gt;"",VLOOKUP(BA1250,Selects!$B$4:$C$100,2,0),"")</f>
        <v/>
      </c>
      <c r="BC1250" s="26"/>
      <c r="BD1250" s="26"/>
      <c r="BE1250" s="73"/>
      <c r="BF1250" s="74"/>
      <c r="BG1250" s="75" t="str">
        <f aca="false">IF(LEN(BF1250)=11,"PF",IF(LEN(BF1250)=14,"PJ",""))</f>
        <v/>
      </c>
      <c r="BH1250" s="66"/>
      <c r="BI1250" s="58" t="str">
        <f aca="false">IF(BH1250&lt;&gt;"",VLOOKUP(BH1250,Selects!$G:$H,2,0),"")</f>
        <v/>
      </c>
      <c r="BJ1250" s="58"/>
      <c r="BK1250" s="58"/>
      <c r="BL1250" s="59"/>
      <c r="BM1250" s="58"/>
      <c r="BN1250" s="58"/>
      <c r="BO1250" s="58" t="str">
        <f aca="false">IF(BN1250&lt;&gt;"",VLOOKUP(BN1250,Selects!$J$4:$K$1000,2,0),"")</f>
        <v/>
      </c>
      <c r="BP1250" s="76"/>
      <c r="BQ1250" s="59"/>
      <c r="BR1250" s="77"/>
      <c r="BS1250" s="59"/>
      <c r="BT1250" s="77"/>
      <c r="BU1250" s="58"/>
      <c r="BV1250" s="58"/>
      <c r="BW1250" s="58"/>
      <c r="BX1250" s="58"/>
      <c r="BY1250" s="58"/>
      <c r="BZ1250" s="58"/>
      <c r="CA1250" s="58"/>
      <c r="CB1250" s="72" t="str">
        <f aca="false">IF(AC1250&lt;&gt;"",VLOOKUP(AC1250,Selects!$B:$E,4,0),"")</f>
        <v/>
      </c>
      <c r="CC1250" s="58"/>
      <c r="CD1250" s="58"/>
      <c r="CE1250" s="58"/>
    </row>
    <row r="1251" customFormat="false" ht="15" hidden="true" customHeight="false" outlineLevel="0" collapsed="false">
      <c r="B1251" s="58"/>
      <c r="C1251" s="58"/>
      <c r="D1251" s="59"/>
      <c r="E1251" s="60" t="str">
        <f aca="false">IF(LEN(D1251)=11,"PF",IF(LEN(D1251)=14,"PJ",""))</f>
        <v/>
      </c>
      <c r="F1251" s="59"/>
      <c r="G1251" s="59"/>
      <c r="H1251" s="61" t="str">
        <f aca="false">IF(G1251&lt;&gt;"",VLOOKUP(G1251,'Cnae  mcc  id'!$A:$M,9,0),"")</f>
        <v/>
      </c>
      <c r="I1251" s="62"/>
      <c r="J1251" s="63" t="str">
        <f aca="false">IF(I1251&lt;&gt;"",VLOOKUP(I1251,'Legal Nature'!$E$2:$G$84,3,0),"")</f>
        <v/>
      </c>
      <c r="K1251" s="64"/>
      <c r="L1251" s="65"/>
      <c r="M1251" s="66"/>
      <c r="N1251" s="66"/>
      <c r="O1251" s="79"/>
      <c r="P1251" s="26"/>
      <c r="Q1251" s="58"/>
      <c r="R1251" s="58"/>
      <c r="S1251" s="80"/>
      <c r="T1251" s="68" t="str">
        <f aca="false">IF(LEFT(S1251,1)="9","Celular",IF(S1251="","","Fixo"))</f>
        <v/>
      </c>
      <c r="U1251" s="58" t="str">
        <f aca="false">IF( T1251&lt;&gt;"",VLOOKUP(T1251,Selects!$M$4:$N$1000,2,0),"")</f>
        <v/>
      </c>
      <c r="V1251" s="26"/>
      <c r="W1251" s="58"/>
      <c r="X1251" s="58"/>
      <c r="Y1251" s="58"/>
      <c r="Z1251" s="58"/>
      <c r="AA1251" s="69"/>
      <c r="AB1251" s="58"/>
      <c r="AC1251" s="58"/>
      <c r="AD1251" s="72" t="str">
        <f aca="false">IF(AC1251&lt;&gt;"",VLOOKUP(AC1251,Selects!$B$4:$C$100,2,0),"")</f>
        <v/>
      </c>
      <c r="AE1251" s="26"/>
      <c r="AF1251" s="58"/>
      <c r="AG1251" s="59"/>
      <c r="AH1251" s="65"/>
      <c r="AI1251" s="66"/>
      <c r="AJ1251" s="66"/>
      <c r="AK1251" s="58"/>
      <c r="AL1251" s="58"/>
      <c r="AM1251" s="68" t="str">
        <f aca="false">IF(LEFT(AL1251,1)="9","Celular",IF(AL1251="","","Fixo"))</f>
        <v/>
      </c>
      <c r="AN1251" s="58" t="str">
        <f aca="false">IF( AM1251&lt;&gt;"",VLOOKUP(AM1251,Selects!$M$4:$N$1000,2,0),"")</f>
        <v/>
      </c>
      <c r="AO1251" s="58"/>
      <c r="AP1251" s="59"/>
      <c r="AQ1251" s="66"/>
      <c r="AR1251" s="58"/>
      <c r="AS1251" s="58"/>
      <c r="AT1251" s="26"/>
      <c r="AU1251" s="58"/>
      <c r="AV1251" s="58"/>
      <c r="AW1251" s="58"/>
      <c r="AX1251" s="58"/>
      <c r="AY1251" s="71"/>
      <c r="AZ1251" s="58"/>
      <c r="BA1251" s="58"/>
      <c r="BB1251" s="72" t="str">
        <f aca="false">IF(BA1251&lt;&gt;"",VLOOKUP(BA1251,Selects!$B$4:$C$100,2,0),"")</f>
        <v/>
      </c>
      <c r="BC1251" s="26"/>
      <c r="BD1251" s="26"/>
      <c r="BE1251" s="73"/>
      <c r="BF1251" s="74"/>
      <c r="BG1251" s="75" t="str">
        <f aca="false">IF(LEN(BF1251)=11,"PF",IF(LEN(BF1251)=14,"PJ",""))</f>
        <v/>
      </c>
      <c r="BH1251" s="66"/>
      <c r="BI1251" s="58" t="str">
        <f aca="false">IF(BH1251&lt;&gt;"",VLOOKUP(BH1251,Selects!$G:$H,2,0),"")</f>
        <v/>
      </c>
      <c r="BJ1251" s="58"/>
      <c r="BK1251" s="58"/>
      <c r="BL1251" s="59"/>
      <c r="BM1251" s="58"/>
      <c r="BN1251" s="58"/>
      <c r="BO1251" s="58" t="str">
        <f aca="false">IF(BN1251&lt;&gt;"",VLOOKUP(BN1251,Selects!$J$4:$K$1000,2,0),"")</f>
        <v/>
      </c>
      <c r="BP1251" s="76"/>
      <c r="BQ1251" s="59"/>
      <c r="BR1251" s="77"/>
      <c r="BS1251" s="59"/>
      <c r="BT1251" s="77"/>
      <c r="BU1251" s="58"/>
      <c r="BV1251" s="58"/>
      <c r="BW1251" s="58"/>
      <c r="BX1251" s="58"/>
      <c r="BY1251" s="58"/>
      <c r="BZ1251" s="58"/>
      <c r="CA1251" s="58"/>
      <c r="CB1251" s="72" t="str">
        <f aca="false">IF(AC1251&lt;&gt;"",VLOOKUP(AC1251,Selects!$B:$E,4,0),"")</f>
        <v/>
      </c>
      <c r="CC1251" s="58"/>
      <c r="CD1251" s="58"/>
      <c r="CE1251" s="58"/>
    </row>
    <row r="1252" customFormat="false" ht="15" hidden="true" customHeight="false" outlineLevel="0" collapsed="false">
      <c r="B1252" s="58"/>
      <c r="C1252" s="58"/>
      <c r="D1252" s="59"/>
      <c r="E1252" s="60" t="str">
        <f aca="false">IF(LEN(D1252)=11,"PF",IF(LEN(D1252)=14,"PJ",""))</f>
        <v/>
      </c>
      <c r="F1252" s="59"/>
      <c r="G1252" s="59"/>
      <c r="H1252" s="61" t="str">
        <f aca="false">IF(G1252&lt;&gt;"",VLOOKUP(G1252,'Cnae  mcc  id'!$A:$M,9,0),"")</f>
        <v/>
      </c>
      <c r="I1252" s="62"/>
      <c r="J1252" s="63" t="str">
        <f aca="false">IF(I1252&lt;&gt;"",VLOOKUP(I1252,'Legal Nature'!$E$2:$G$84,3,0),"")</f>
        <v/>
      </c>
      <c r="K1252" s="64"/>
      <c r="L1252" s="65"/>
      <c r="M1252" s="66"/>
      <c r="N1252" s="66"/>
      <c r="O1252" s="79"/>
      <c r="P1252" s="26"/>
      <c r="Q1252" s="58"/>
      <c r="R1252" s="58"/>
      <c r="S1252" s="80"/>
      <c r="T1252" s="68" t="str">
        <f aca="false">IF(LEFT(S1252,1)="9","Celular",IF(S1252="","","Fixo"))</f>
        <v/>
      </c>
      <c r="U1252" s="58" t="str">
        <f aca="false">IF( T1252&lt;&gt;"",VLOOKUP(T1252,Selects!$M$4:$N$1000,2,0),"")</f>
        <v/>
      </c>
      <c r="V1252" s="26"/>
      <c r="W1252" s="58"/>
      <c r="X1252" s="58"/>
      <c r="Y1252" s="58"/>
      <c r="Z1252" s="58"/>
      <c r="AA1252" s="69"/>
      <c r="AB1252" s="58"/>
      <c r="AC1252" s="58"/>
      <c r="AD1252" s="72" t="str">
        <f aca="false">IF(AC1252&lt;&gt;"",VLOOKUP(AC1252,Selects!$B$4:$C$100,2,0),"")</f>
        <v/>
      </c>
      <c r="AE1252" s="26"/>
      <c r="AF1252" s="58"/>
      <c r="AG1252" s="59"/>
      <c r="AH1252" s="65"/>
      <c r="AI1252" s="66"/>
      <c r="AJ1252" s="66"/>
      <c r="AK1252" s="58"/>
      <c r="AL1252" s="58"/>
      <c r="AM1252" s="68" t="str">
        <f aca="false">IF(LEFT(AL1252,1)="9","Celular",IF(AL1252="","","Fixo"))</f>
        <v/>
      </c>
      <c r="AN1252" s="58" t="str">
        <f aca="false">IF( AM1252&lt;&gt;"",VLOOKUP(AM1252,Selects!$M$4:$N$1000,2,0),"")</f>
        <v/>
      </c>
      <c r="AO1252" s="58"/>
      <c r="AP1252" s="59"/>
      <c r="AQ1252" s="66"/>
      <c r="AR1252" s="58"/>
      <c r="AS1252" s="58"/>
      <c r="AT1252" s="26"/>
      <c r="AU1252" s="58"/>
      <c r="AV1252" s="58"/>
      <c r="AW1252" s="58"/>
      <c r="AX1252" s="58"/>
      <c r="AY1252" s="71"/>
      <c r="AZ1252" s="58"/>
      <c r="BA1252" s="58"/>
      <c r="BB1252" s="72" t="str">
        <f aca="false">IF(BA1252&lt;&gt;"",VLOOKUP(BA1252,Selects!$B$4:$C$100,2,0),"")</f>
        <v/>
      </c>
      <c r="BC1252" s="26"/>
      <c r="BD1252" s="26"/>
      <c r="BE1252" s="73"/>
      <c r="BF1252" s="74"/>
      <c r="BG1252" s="75" t="str">
        <f aca="false">IF(LEN(BF1252)=11,"PF",IF(LEN(BF1252)=14,"PJ",""))</f>
        <v/>
      </c>
      <c r="BH1252" s="66"/>
      <c r="BI1252" s="58" t="str">
        <f aca="false">IF(BH1252&lt;&gt;"",VLOOKUP(BH1252,Selects!$G:$H,2,0),"")</f>
        <v/>
      </c>
      <c r="BJ1252" s="58"/>
      <c r="BK1252" s="58"/>
      <c r="BL1252" s="59"/>
      <c r="BM1252" s="58"/>
      <c r="BN1252" s="58"/>
      <c r="BO1252" s="58" t="str">
        <f aca="false">IF(BN1252&lt;&gt;"",VLOOKUP(BN1252,Selects!$J$4:$K$1000,2,0),"")</f>
        <v/>
      </c>
      <c r="BP1252" s="76"/>
      <c r="BQ1252" s="59"/>
      <c r="BR1252" s="77"/>
      <c r="BS1252" s="59"/>
      <c r="BT1252" s="77"/>
      <c r="BU1252" s="58"/>
      <c r="BV1252" s="58"/>
      <c r="BW1252" s="58"/>
      <c r="BX1252" s="58"/>
      <c r="BY1252" s="58"/>
      <c r="BZ1252" s="58"/>
      <c r="CA1252" s="58"/>
      <c r="CB1252" s="72" t="str">
        <f aca="false">IF(AC1252&lt;&gt;"",VLOOKUP(AC1252,Selects!$B:$E,4,0),"")</f>
        <v/>
      </c>
      <c r="CC1252" s="58"/>
      <c r="CD1252" s="58"/>
      <c r="CE1252" s="58"/>
    </row>
    <row r="1253" customFormat="false" ht="15" hidden="true" customHeight="false" outlineLevel="0" collapsed="false">
      <c r="B1253" s="58"/>
      <c r="C1253" s="58"/>
      <c r="D1253" s="59"/>
      <c r="E1253" s="60" t="str">
        <f aca="false">IF(LEN(D1253)=11,"PF",IF(LEN(D1253)=14,"PJ",""))</f>
        <v/>
      </c>
      <c r="F1253" s="59"/>
      <c r="G1253" s="59"/>
      <c r="H1253" s="61" t="str">
        <f aca="false">IF(G1253&lt;&gt;"",VLOOKUP(G1253,'Cnae  mcc  id'!$A:$M,9,0),"")</f>
        <v/>
      </c>
      <c r="I1253" s="62"/>
      <c r="J1253" s="63" t="str">
        <f aca="false">IF(I1253&lt;&gt;"",VLOOKUP(I1253,'Legal Nature'!$E$2:$G$84,3,0),"")</f>
        <v/>
      </c>
      <c r="K1253" s="64"/>
      <c r="L1253" s="65"/>
      <c r="M1253" s="66"/>
      <c r="N1253" s="66"/>
      <c r="O1253" s="79"/>
      <c r="P1253" s="26"/>
      <c r="Q1253" s="58"/>
      <c r="R1253" s="58"/>
      <c r="S1253" s="80"/>
      <c r="T1253" s="68" t="str">
        <f aca="false">IF(LEFT(S1253,1)="9","Celular",IF(S1253="","","Fixo"))</f>
        <v/>
      </c>
      <c r="U1253" s="58" t="str">
        <f aca="false">IF( T1253&lt;&gt;"",VLOOKUP(T1253,Selects!$M$4:$N$1000,2,0),"")</f>
        <v/>
      </c>
      <c r="V1253" s="26"/>
      <c r="W1253" s="58"/>
      <c r="X1253" s="58"/>
      <c r="Y1253" s="58"/>
      <c r="Z1253" s="58"/>
      <c r="AA1253" s="69"/>
      <c r="AB1253" s="58"/>
      <c r="AC1253" s="58"/>
      <c r="AD1253" s="72" t="str">
        <f aca="false">IF(AC1253&lt;&gt;"",VLOOKUP(AC1253,Selects!$B$4:$C$100,2,0),"")</f>
        <v/>
      </c>
      <c r="AE1253" s="26"/>
      <c r="AF1253" s="58"/>
      <c r="AG1253" s="59"/>
      <c r="AH1253" s="65"/>
      <c r="AI1253" s="66"/>
      <c r="AJ1253" s="66"/>
      <c r="AK1253" s="58"/>
      <c r="AL1253" s="58"/>
      <c r="AM1253" s="68" t="str">
        <f aca="false">IF(LEFT(AL1253,1)="9","Celular",IF(AL1253="","","Fixo"))</f>
        <v/>
      </c>
      <c r="AN1253" s="58" t="str">
        <f aca="false">IF( AM1253&lt;&gt;"",VLOOKUP(AM1253,Selects!$M$4:$N$1000,2,0),"")</f>
        <v/>
      </c>
      <c r="AO1253" s="58"/>
      <c r="AP1253" s="59"/>
      <c r="AQ1253" s="66"/>
      <c r="AR1253" s="58"/>
      <c r="AS1253" s="58"/>
      <c r="AT1253" s="26"/>
      <c r="AU1253" s="58"/>
      <c r="AV1253" s="58"/>
      <c r="AW1253" s="58"/>
      <c r="AX1253" s="58"/>
      <c r="AY1253" s="71"/>
      <c r="AZ1253" s="58"/>
      <c r="BA1253" s="58"/>
      <c r="BB1253" s="72" t="str">
        <f aca="false">IF(BA1253&lt;&gt;"",VLOOKUP(BA1253,Selects!$B$4:$C$100,2,0),"")</f>
        <v/>
      </c>
      <c r="BC1253" s="26"/>
      <c r="BD1253" s="26"/>
      <c r="BE1253" s="73"/>
      <c r="BF1253" s="74"/>
      <c r="BG1253" s="75" t="str">
        <f aca="false">IF(LEN(BF1253)=11,"PF",IF(LEN(BF1253)=14,"PJ",""))</f>
        <v/>
      </c>
      <c r="BH1253" s="66"/>
      <c r="BI1253" s="58" t="str">
        <f aca="false">IF(BH1253&lt;&gt;"",VLOOKUP(BH1253,Selects!$G:$H,2,0),"")</f>
        <v/>
      </c>
      <c r="BJ1253" s="58"/>
      <c r="BK1253" s="58"/>
      <c r="BL1253" s="59"/>
      <c r="BM1253" s="58"/>
      <c r="BN1253" s="58"/>
      <c r="BO1253" s="58" t="str">
        <f aca="false">IF(BN1253&lt;&gt;"",VLOOKUP(BN1253,Selects!$J$4:$K$1000,2,0),"")</f>
        <v/>
      </c>
      <c r="BP1253" s="76"/>
      <c r="BQ1253" s="59"/>
      <c r="BR1253" s="77"/>
      <c r="BS1253" s="59"/>
      <c r="BT1253" s="77"/>
      <c r="BU1253" s="58"/>
      <c r="BV1253" s="58"/>
      <c r="BW1253" s="58"/>
      <c r="BX1253" s="58"/>
      <c r="BY1253" s="58"/>
      <c r="BZ1253" s="58"/>
      <c r="CA1253" s="58"/>
      <c r="CB1253" s="72" t="str">
        <f aca="false">IF(AC1253&lt;&gt;"",VLOOKUP(AC1253,Selects!$B:$E,4,0),"")</f>
        <v/>
      </c>
      <c r="CC1253" s="58"/>
      <c r="CD1253" s="58"/>
      <c r="CE1253" s="58"/>
    </row>
    <row r="1254" customFormat="false" ht="15" hidden="true" customHeight="false" outlineLevel="0" collapsed="false">
      <c r="B1254" s="58"/>
      <c r="C1254" s="58"/>
      <c r="D1254" s="59"/>
      <c r="E1254" s="60" t="str">
        <f aca="false">IF(LEN(D1254)=11,"PF",IF(LEN(D1254)=14,"PJ",""))</f>
        <v/>
      </c>
      <c r="F1254" s="59"/>
      <c r="G1254" s="59"/>
      <c r="H1254" s="61" t="str">
        <f aca="false">IF(G1254&lt;&gt;"",VLOOKUP(G1254,'Cnae  mcc  id'!$A:$M,9,0),"")</f>
        <v/>
      </c>
      <c r="I1254" s="62"/>
      <c r="J1254" s="63" t="str">
        <f aca="false">IF(I1254&lt;&gt;"",VLOOKUP(I1254,'Legal Nature'!$E$2:$G$84,3,0),"")</f>
        <v/>
      </c>
      <c r="K1254" s="64"/>
      <c r="L1254" s="65"/>
      <c r="M1254" s="66"/>
      <c r="N1254" s="66"/>
      <c r="O1254" s="79"/>
      <c r="P1254" s="26"/>
      <c r="Q1254" s="58"/>
      <c r="R1254" s="58"/>
      <c r="S1254" s="80"/>
      <c r="T1254" s="68" t="str">
        <f aca="false">IF(LEFT(S1254,1)="9","Celular",IF(S1254="","","Fixo"))</f>
        <v/>
      </c>
      <c r="U1254" s="58" t="str">
        <f aca="false">IF( T1254&lt;&gt;"",VLOOKUP(T1254,Selects!$M$4:$N$1000,2,0),"")</f>
        <v/>
      </c>
      <c r="V1254" s="26"/>
      <c r="W1254" s="58"/>
      <c r="X1254" s="58"/>
      <c r="Y1254" s="58"/>
      <c r="Z1254" s="58"/>
      <c r="AA1254" s="69"/>
      <c r="AB1254" s="58"/>
      <c r="AC1254" s="58"/>
      <c r="AD1254" s="72" t="str">
        <f aca="false">IF(AC1254&lt;&gt;"",VLOOKUP(AC1254,Selects!$B$4:$C$100,2,0),"")</f>
        <v/>
      </c>
      <c r="AE1254" s="26"/>
      <c r="AF1254" s="58"/>
      <c r="AG1254" s="59"/>
      <c r="AH1254" s="65"/>
      <c r="AI1254" s="66"/>
      <c r="AJ1254" s="66"/>
      <c r="AK1254" s="58"/>
      <c r="AL1254" s="58"/>
      <c r="AM1254" s="68" t="str">
        <f aca="false">IF(LEFT(AL1254,1)="9","Celular",IF(AL1254="","","Fixo"))</f>
        <v/>
      </c>
      <c r="AN1254" s="58" t="str">
        <f aca="false">IF( AM1254&lt;&gt;"",VLOOKUP(AM1254,Selects!$M$4:$N$1000,2,0),"")</f>
        <v/>
      </c>
      <c r="AO1254" s="58"/>
      <c r="AP1254" s="59"/>
      <c r="AQ1254" s="66"/>
      <c r="AR1254" s="58"/>
      <c r="AS1254" s="58"/>
      <c r="AT1254" s="26"/>
      <c r="AU1254" s="58"/>
      <c r="AV1254" s="58"/>
      <c r="AW1254" s="58"/>
      <c r="AX1254" s="58"/>
      <c r="AY1254" s="71"/>
      <c r="AZ1254" s="58"/>
      <c r="BA1254" s="58"/>
      <c r="BB1254" s="72" t="str">
        <f aca="false">IF(BA1254&lt;&gt;"",VLOOKUP(BA1254,Selects!$B$4:$C$100,2,0),"")</f>
        <v/>
      </c>
      <c r="BC1254" s="26"/>
      <c r="BD1254" s="26"/>
      <c r="BE1254" s="73"/>
      <c r="BF1254" s="74"/>
      <c r="BG1254" s="75" t="str">
        <f aca="false">IF(LEN(BF1254)=11,"PF",IF(LEN(BF1254)=14,"PJ",""))</f>
        <v/>
      </c>
      <c r="BH1254" s="66"/>
      <c r="BI1254" s="58" t="str">
        <f aca="false">IF(BH1254&lt;&gt;"",VLOOKUP(BH1254,Selects!$G:$H,2,0),"")</f>
        <v/>
      </c>
      <c r="BJ1254" s="58"/>
      <c r="BK1254" s="58"/>
      <c r="BL1254" s="59"/>
      <c r="BM1254" s="58"/>
      <c r="BN1254" s="58"/>
      <c r="BO1254" s="58" t="str">
        <f aca="false">IF(BN1254&lt;&gt;"",VLOOKUP(BN1254,Selects!$J$4:$K$1000,2,0),"")</f>
        <v/>
      </c>
      <c r="BP1254" s="76"/>
      <c r="BQ1254" s="59"/>
      <c r="BR1254" s="77"/>
      <c r="BS1254" s="59"/>
      <c r="BT1254" s="77"/>
      <c r="BU1254" s="58"/>
      <c r="BV1254" s="58"/>
      <c r="BW1254" s="58"/>
      <c r="BX1254" s="58"/>
      <c r="BY1254" s="58"/>
      <c r="BZ1254" s="58"/>
      <c r="CA1254" s="58"/>
      <c r="CB1254" s="72" t="str">
        <f aca="false">IF(AC1254&lt;&gt;"",VLOOKUP(AC1254,Selects!$B:$E,4,0),"")</f>
        <v/>
      </c>
      <c r="CC1254" s="58"/>
      <c r="CD1254" s="58"/>
      <c r="CE1254" s="58"/>
    </row>
    <row r="1255" customFormat="false" ht="15" hidden="true" customHeight="false" outlineLevel="0" collapsed="false">
      <c r="B1255" s="58"/>
      <c r="C1255" s="58"/>
      <c r="D1255" s="59"/>
      <c r="E1255" s="60" t="str">
        <f aca="false">IF(LEN(D1255)=11,"PF",IF(LEN(D1255)=14,"PJ",""))</f>
        <v/>
      </c>
      <c r="F1255" s="59"/>
      <c r="G1255" s="59"/>
      <c r="H1255" s="61" t="str">
        <f aca="false">IF(G1255&lt;&gt;"",VLOOKUP(G1255,'Cnae  mcc  id'!$A:$M,9,0),"")</f>
        <v/>
      </c>
      <c r="I1255" s="62"/>
      <c r="J1255" s="63" t="str">
        <f aca="false">IF(I1255&lt;&gt;"",VLOOKUP(I1255,'Legal Nature'!$E$2:$G$84,3,0),"")</f>
        <v/>
      </c>
      <c r="K1255" s="64"/>
      <c r="L1255" s="65"/>
      <c r="M1255" s="66"/>
      <c r="N1255" s="66"/>
      <c r="O1255" s="79"/>
      <c r="P1255" s="26"/>
      <c r="Q1255" s="58"/>
      <c r="R1255" s="58"/>
      <c r="S1255" s="80"/>
      <c r="T1255" s="68" t="str">
        <f aca="false">IF(LEFT(S1255,1)="9","Celular",IF(S1255="","","Fixo"))</f>
        <v/>
      </c>
      <c r="U1255" s="58" t="str">
        <f aca="false">IF( T1255&lt;&gt;"",VLOOKUP(T1255,Selects!$M$4:$N$1000,2,0),"")</f>
        <v/>
      </c>
      <c r="V1255" s="26"/>
      <c r="W1255" s="58"/>
      <c r="X1255" s="58"/>
      <c r="Y1255" s="58"/>
      <c r="Z1255" s="58"/>
      <c r="AA1255" s="69"/>
      <c r="AB1255" s="58"/>
      <c r="AC1255" s="58"/>
      <c r="AD1255" s="72" t="str">
        <f aca="false">IF(AC1255&lt;&gt;"",VLOOKUP(AC1255,Selects!$B$4:$C$100,2,0),"")</f>
        <v/>
      </c>
      <c r="AE1255" s="26"/>
      <c r="AF1255" s="58"/>
      <c r="AG1255" s="59"/>
      <c r="AH1255" s="65"/>
      <c r="AI1255" s="66"/>
      <c r="AJ1255" s="66"/>
      <c r="AK1255" s="58"/>
      <c r="AL1255" s="58"/>
      <c r="AM1255" s="68" t="str">
        <f aca="false">IF(LEFT(AL1255,1)="9","Celular",IF(AL1255="","","Fixo"))</f>
        <v/>
      </c>
      <c r="AN1255" s="58" t="str">
        <f aca="false">IF( AM1255&lt;&gt;"",VLOOKUP(AM1255,Selects!$M$4:$N$1000,2,0),"")</f>
        <v/>
      </c>
      <c r="AO1255" s="58"/>
      <c r="AP1255" s="59"/>
      <c r="AQ1255" s="66"/>
      <c r="AR1255" s="58"/>
      <c r="AS1255" s="58"/>
      <c r="AT1255" s="26"/>
      <c r="AU1255" s="58"/>
      <c r="AV1255" s="58"/>
      <c r="AW1255" s="58"/>
      <c r="AX1255" s="58"/>
      <c r="AY1255" s="71"/>
      <c r="AZ1255" s="58"/>
      <c r="BA1255" s="58"/>
      <c r="BB1255" s="72" t="str">
        <f aca="false">IF(BA1255&lt;&gt;"",VLOOKUP(BA1255,Selects!$B$4:$C$100,2,0),"")</f>
        <v/>
      </c>
      <c r="BC1255" s="26"/>
      <c r="BD1255" s="26"/>
      <c r="BE1255" s="73"/>
      <c r="BF1255" s="74"/>
      <c r="BG1255" s="75" t="str">
        <f aca="false">IF(LEN(BF1255)=11,"PF",IF(LEN(BF1255)=14,"PJ",""))</f>
        <v/>
      </c>
      <c r="BH1255" s="66"/>
      <c r="BI1255" s="58" t="str">
        <f aca="false">IF(BH1255&lt;&gt;"",VLOOKUP(BH1255,Selects!$G:$H,2,0),"")</f>
        <v/>
      </c>
      <c r="BJ1255" s="58"/>
      <c r="BK1255" s="58"/>
      <c r="BL1255" s="59"/>
      <c r="BM1255" s="58"/>
      <c r="BN1255" s="58"/>
      <c r="BO1255" s="58" t="str">
        <f aca="false">IF(BN1255&lt;&gt;"",VLOOKUP(BN1255,Selects!$J$4:$K$1000,2,0),"")</f>
        <v/>
      </c>
      <c r="BP1255" s="76"/>
      <c r="BQ1255" s="59"/>
      <c r="BR1255" s="77"/>
      <c r="BS1255" s="59"/>
      <c r="BT1255" s="77"/>
      <c r="BU1255" s="58"/>
      <c r="BV1255" s="58"/>
      <c r="BW1255" s="58"/>
      <c r="BX1255" s="58"/>
      <c r="BY1255" s="58"/>
      <c r="BZ1255" s="58"/>
      <c r="CA1255" s="58"/>
      <c r="CB1255" s="72" t="str">
        <f aca="false">IF(AC1255&lt;&gt;"",VLOOKUP(AC1255,Selects!$B:$E,4,0),"")</f>
        <v/>
      </c>
      <c r="CC1255" s="58"/>
      <c r="CD1255" s="58"/>
      <c r="CE1255" s="58"/>
    </row>
    <row r="1256" customFormat="false" ht="15" hidden="true" customHeight="false" outlineLevel="0" collapsed="false">
      <c r="B1256" s="58"/>
      <c r="C1256" s="58"/>
      <c r="D1256" s="59"/>
      <c r="E1256" s="60" t="str">
        <f aca="false">IF(LEN(D1256)=11,"PF",IF(LEN(D1256)=14,"PJ",""))</f>
        <v/>
      </c>
      <c r="F1256" s="59"/>
      <c r="G1256" s="59"/>
      <c r="H1256" s="61" t="str">
        <f aca="false">IF(G1256&lt;&gt;"",VLOOKUP(G1256,'Cnae  mcc  id'!$A:$M,9,0),"")</f>
        <v/>
      </c>
      <c r="I1256" s="62"/>
      <c r="J1256" s="63" t="str">
        <f aca="false">IF(I1256&lt;&gt;"",VLOOKUP(I1256,'Legal Nature'!$E$2:$G$84,3,0),"")</f>
        <v/>
      </c>
      <c r="K1256" s="64"/>
      <c r="L1256" s="65"/>
      <c r="M1256" s="66"/>
      <c r="N1256" s="66"/>
      <c r="O1256" s="79"/>
      <c r="P1256" s="26"/>
      <c r="Q1256" s="58"/>
      <c r="R1256" s="58"/>
      <c r="S1256" s="80"/>
      <c r="T1256" s="68" t="str">
        <f aca="false">IF(LEFT(S1256,1)="9","Celular",IF(S1256="","","Fixo"))</f>
        <v/>
      </c>
      <c r="U1256" s="58" t="str">
        <f aca="false">IF( T1256&lt;&gt;"",VLOOKUP(T1256,Selects!$M$4:$N$1000,2,0),"")</f>
        <v/>
      </c>
      <c r="V1256" s="26"/>
      <c r="W1256" s="58"/>
      <c r="X1256" s="58"/>
      <c r="Y1256" s="58"/>
      <c r="Z1256" s="58"/>
      <c r="AA1256" s="69"/>
      <c r="AB1256" s="58"/>
      <c r="AC1256" s="58"/>
      <c r="AD1256" s="72" t="str">
        <f aca="false">IF(AC1256&lt;&gt;"",VLOOKUP(AC1256,Selects!$B$4:$C$100,2,0),"")</f>
        <v/>
      </c>
      <c r="AE1256" s="26"/>
      <c r="AF1256" s="58"/>
      <c r="AG1256" s="59"/>
      <c r="AH1256" s="65"/>
      <c r="AI1256" s="66"/>
      <c r="AJ1256" s="66"/>
      <c r="AK1256" s="58"/>
      <c r="AL1256" s="58"/>
      <c r="AM1256" s="68" t="str">
        <f aca="false">IF(LEFT(AL1256,1)="9","Celular",IF(AL1256="","","Fixo"))</f>
        <v/>
      </c>
      <c r="AN1256" s="58" t="str">
        <f aca="false">IF( AM1256&lt;&gt;"",VLOOKUP(AM1256,Selects!$M$4:$N$1000,2,0),"")</f>
        <v/>
      </c>
      <c r="AO1256" s="58"/>
      <c r="AP1256" s="59"/>
      <c r="AQ1256" s="66"/>
      <c r="AR1256" s="58"/>
      <c r="AS1256" s="58"/>
      <c r="AT1256" s="26"/>
      <c r="AU1256" s="58"/>
      <c r="AV1256" s="58"/>
      <c r="AW1256" s="58"/>
      <c r="AX1256" s="58"/>
      <c r="AY1256" s="71"/>
      <c r="AZ1256" s="58"/>
      <c r="BA1256" s="58"/>
      <c r="BB1256" s="72" t="str">
        <f aca="false">IF(BA1256&lt;&gt;"",VLOOKUP(BA1256,Selects!$B$4:$C$100,2,0),"")</f>
        <v/>
      </c>
      <c r="BC1256" s="26"/>
      <c r="BD1256" s="26"/>
      <c r="BE1256" s="73"/>
      <c r="BF1256" s="74"/>
      <c r="BG1256" s="75" t="str">
        <f aca="false">IF(LEN(BF1256)=11,"PF",IF(LEN(BF1256)=14,"PJ",""))</f>
        <v/>
      </c>
      <c r="BH1256" s="66"/>
      <c r="BI1256" s="58" t="str">
        <f aca="false">IF(BH1256&lt;&gt;"",VLOOKUP(BH1256,Selects!$G:$H,2,0),"")</f>
        <v/>
      </c>
      <c r="BJ1256" s="58"/>
      <c r="BK1256" s="58"/>
      <c r="BL1256" s="59"/>
      <c r="BM1256" s="58"/>
      <c r="BN1256" s="58"/>
      <c r="BO1256" s="58" t="str">
        <f aca="false">IF(BN1256&lt;&gt;"",VLOOKUP(BN1256,Selects!$J$4:$K$1000,2,0),"")</f>
        <v/>
      </c>
      <c r="BP1256" s="76"/>
      <c r="BQ1256" s="59"/>
      <c r="BR1256" s="77"/>
      <c r="BS1256" s="59"/>
      <c r="BT1256" s="77"/>
      <c r="BU1256" s="58"/>
      <c r="BV1256" s="58"/>
      <c r="BW1256" s="58"/>
      <c r="BX1256" s="58"/>
      <c r="BY1256" s="58"/>
      <c r="BZ1256" s="58"/>
      <c r="CA1256" s="58"/>
      <c r="CB1256" s="72" t="str">
        <f aca="false">IF(AC1256&lt;&gt;"",VLOOKUP(AC1256,Selects!$B:$E,4,0),"")</f>
        <v/>
      </c>
      <c r="CC1256" s="58"/>
      <c r="CD1256" s="58"/>
      <c r="CE1256" s="58"/>
    </row>
    <row r="1257" customFormat="false" ht="15" hidden="true" customHeight="false" outlineLevel="0" collapsed="false">
      <c r="B1257" s="58"/>
      <c r="C1257" s="58"/>
      <c r="D1257" s="59"/>
      <c r="E1257" s="60" t="str">
        <f aca="false">IF(LEN(D1257)=11,"PF",IF(LEN(D1257)=14,"PJ",""))</f>
        <v/>
      </c>
      <c r="F1257" s="59"/>
      <c r="G1257" s="59"/>
      <c r="H1257" s="61" t="str">
        <f aca="false">IF(G1257&lt;&gt;"",VLOOKUP(G1257,'Cnae  mcc  id'!$A:$M,9,0),"")</f>
        <v/>
      </c>
      <c r="I1257" s="62"/>
      <c r="J1257" s="63" t="str">
        <f aca="false">IF(I1257&lt;&gt;"",VLOOKUP(I1257,'Legal Nature'!$E$2:$G$84,3,0),"")</f>
        <v/>
      </c>
      <c r="K1257" s="64"/>
      <c r="L1257" s="65"/>
      <c r="M1257" s="66"/>
      <c r="N1257" s="66"/>
      <c r="O1257" s="79"/>
      <c r="P1257" s="26"/>
      <c r="Q1257" s="58"/>
      <c r="R1257" s="58"/>
      <c r="S1257" s="80"/>
      <c r="T1257" s="68" t="str">
        <f aca="false">IF(LEFT(S1257,1)="9","Celular",IF(S1257="","","Fixo"))</f>
        <v/>
      </c>
      <c r="U1257" s="58" t="str">
        <f aca="false">IF( T1257&lt;&gt;"",VLOOKUP(T1257,Selects!$M$4:$N$1000,2,0),"")</f>
        <v/>
      </c>
      <c r="V1257" s="26"/>
      <c r="W1257" s="58"/>
      <c r="X1257" s="58"/>
      <c r="Y1257" s="58"/>
      <c r="Z1257" s="58"/>
      <c r="AA1257" s="69"/>
      <c r="AB1257" s="58"/>
      <c r="AC1257" s="58"/>
      <c r="AD1257" s="72" t="str">
        <f aca="false">IF(AC1257&lt;&gt;"",VLOOKUP(AC1257,Selects!$B$4:$C$100,2,0),"")</f>
        <v/>
      </c>
      <c r="AE1257" s="26"/>
      <c r="AF1257" s="58"/>
      <c r="AG1257" s="59"/>
      <c r="AH1257" s="65"/>
      <c r="AI1257" s="66"/>
      <c r="AJ1257" s="66"/>
      <c r="AK1257" s="58"/>
      <c r="AL1257" s="58"/>
      <c r="AM1257" s="68" t="str">
        <f aca="false">IF(LEFT(AL1257,1)="9","Celular",IF(AL1257="","","Fixo"))</f>
        <v/>
      </c>
      <c r="AN1257" s="58" t="str">
        <f aca="false">IF( AM1257&lt;&gt;"",VLOOKUP(AM1257,Selects!$M$4:$N$1000,2,0),"")</f>
        <v/>
      </c>
      <c r="AO1257" s="58"/>
      <c r="AP1257" s="59"/>
      <c r="AQ1257" s="66"/>
      <c r="AR1257" s="58"/>
      <c r="AS1257" s="58"/>
      <c r="AT1257" s="26"/>
      <c r="AU1257" s="58"/>
      <c r="AV1257" s="58"/>
      <c r="AW1257" s="58"/>
      <c r="AX1257" s="58"/>
      <c r="AY1257" s="71"/>
      <c r="AZ1257" s="58"/>
      <c r="BA1257" s="58"/>
      <c r="BB1257" s="72" t="str">
        <f aca="false">IF(BA1257&lt;&gt;"",VLOOKUP(BA1257,Selects!$B$4:$C$100,2,0),"")</f>
        <v/>
      </c>
      <c r="BC1257" s="26"/>
      <c r="BD1257" s="26"/>
      <c r="BE1257" s="73"/>
      <c r="BF1257" s="74"/>
      <c r="BG1257" s="75" t="str">
        <f aca="false">IF(LEN(BF1257)=11,"PF",IF(LEN(BF1257)=14,"PJ",""))</f>
        <v/>
      </c>
      <c r="BH1257" s="66"/>
      <c r="BI1257" s="58" t="str">
        <f aca="false">IF(BH1257&lt;&gt;"",VLOOKUP(BH1257,Selects!$G:$H,2,0),"")</f>
        <v/>
      </c>
      <c r="BJ1257" s="58"/>
      <c r="BK1257" s="58"/>
      <c r="BL1257" s="59"/>
      <c r="BM1257" s="58"/>
      <c r="BN1257" s="58"/>
      <c r="BO1257" s="58" t="str">
        <f aca="false">IF(BN1257&lt;&gt;"",VLOOKUP(BN1257,Selects!$J$4:$K$1000,2,0),"")</f>
        <v/>
      </c>
      <c r="BP1257" s="76"/>
      <c r="BQ1257" s="59"/>
      <c r="BR1257" s="77"/>
      <c r="BS1257" s="59"/>
      <c r="BT1257" s="77"/>
      <c r="BU1257" s="58"/>
      <c r="BV1257" s="58"/>
      <c r="BW1257" s="58"/>
      <c r="BX1257" s="58"/>
      <c r="BY1257" s="58"/>
      <c r="BZ1257" s="58"/>
      <c r="CA1257" s="58"/>
      <c r="CB1257" s="72" t="str">
        <f aca="false">IF(AC1257&lt;&gt;"",VLOOKUP(AC1257,Selects!$B:$E,4,0),"")</f>
        <v/>
      </c>
      <c r="CC1257" s="58"/>
      <c r="CD1257" s="58"/>
      <c r="CE1257" s="58"/>
    </row>
    <row r="1258" customFormat="false" ht="15" hidden="true" customHeight="false" outlineLevel="0" collapsed="false">
      <c r="B1258" s="58"/>
      <c r="C1258" s="58"/>
      <c r="D1258" s="59"/>
      <c r="E1258" s="60" t="str">
        <f aca="false">IF(LEN(D1258)=11,"PF",IF(LEN(D1258)=14,"PJ",""))</f>
        <v/>
      </c>
      <c r="F1258" s="59"/>
      <c r="G1258" s="59"/>
      <c r="H1258" s="61" t="str">
        <f aca="false">IF(G1258&lt;&gt;"",VLOOKUP(G1258,'Cnae  mcc  id'!$A:$M,9,0),"")</f>
        <v/>
      </c>
      <c r="I1258" s="62"/>
      <c r="J1258" s="63" t="str">
        <f aca="false">IF(I1258&lt;&gt;"",VLOOKUP(I1258,'Legal Nature'!$E$2:$G$84,3,0),"")</f>
        <v/>
      </c>
      <c r="K1258" s="64"/>
      <c r="L1258" s="65"/>
      <c r="M1258" s="66"/>
      <c r="N1258" s="66"/>
      <c r="O1258" s="79"/>
      <c r="P1258" s="26"/>
      <c r="Q1258" s="58"/>
      <c r="R1258" s="58"/>
      <c r="S1258" s="80"/>
      <c r="T1258" s="68" t="str">
        <f aca="false">IF(LEFT(S1258,1)="9","Celular",IF(S1258="","","Fixo"))</f>
        <v/>
      </c>
      <c r="U1258" s="58" t="str">
        <f aca="false">IF( T1258&lt;&gt;"",VLOOKUP(T1258,Selects!$M$4:$N$1000,2,0),"")</f>
        <v/>
      </c>
      <c r="V1258" s="26"/>
      <c r="W1258" s="58"/>
      <c r="X1258" s="58"/>
      <c r="Y1258" s="58"/>
      <c r="Z1258" s="58"/>
      <c r="AA1258" s="69"/>
      <c r="AB1258" s="58"/>
      <c r="AC1258" s="58"/>
      <c r="AD1258" s="72" t="str">
        <f aca="false">IF(AC1258&lt;&gt;"",VLOOKUP(AC1258,Selects!$B$4:$C$100,2,0),"")</f>
        <v/>
      </c>
      <c r="AE1258" s="26"/>
      <c r="AF1258" s="58"/>
      <c r="AG1258" s="59"/>
      <c r="AH1258" s="65"/>
      <c r="AI1258" s="66"/>
      <c r="AJ1258" s="66"/>
      <c r="AK1258" s="58"/>
      <c r="AL1258" s="58"/>
      <c r="AM1258" s="68" t="str">
        <f aca="false">IF(LEFT(AL1258,1)="9","Celular",IF(AL1258="","","Fixo"))</f>
        <v/>
      </c>
      <c r="AN1258" s="58" t="str">
        <f aca="false">IF( AM1258&lt;&gt;"",VLOOKUP(AM1258,Selects!$M$4:$N$1000,2,0),"")</f>
        <v/>
      </c>
      <c r="AO1258" s="58"/>
      <c r="AP1258" s="59"/>
      <c r="AQ1258" s="66"/>
      <c r="AR1258" s="58"/>
      <c r="AS1258" s="58"/>
      <c r="AT1258" s="26"/>
      <c r="AU1258" s="58"/>
      <c r="AV1258" s="58"/>
      <c r="AW1258" s="58"/>
      <c r="AX1258" s="58"/>
      <c r="AY1258" s="71"/>
      <c r="AZ1258" s="58"/>
      <c r="BA1258" s="58"/>
      <c r="BB1258" s="72" t="str">
        <f aca="false">IF(BA1258&lt;&gt;"",VLOOKUP(BA1258,Selects!$B$4:$C$100,2,0),"")</f>
        <v/>
      </c>
      <c r="BC1258" s="26"/>
      <c r="BD1258" s="26"/>
      <c r="BE1258" s="73"/>
      <c r="BF1258" s="74"/>
      <c r="BG1258" s="75" t="str">
        <f aca="false">IF(LEN(BF1258)=11,"PF",IF(LEN(BF1258)=14,"PJ",""))</f>
        <v/>
      </c>
      <c r="BH1258" s="66"/>
      <c r="BI1258" s="58" t="str">
        <f aca="false">IF(BH1258&lt;&gt;"",VLOOKUP(BH1258,Selects!$G:$H,2,0),"")</f>
        <v/>
      </c>
      <c r="BJ1258" s="58"/>
      <c r="BK1258" s="58"/>
      <c r="BL1258" s="59"/>
      <c r="BM1258" s="58"/>
      <c r="BN1258" s="58"/>
      <c r="BO1258" s="58" t="str">
        <f aca="false">IF(BN1258&lt;&gt;"",VLOOKUP(BN1258,Selects!$J$4:$K$1000,2,0),"")</f>
        <v/>
      </c>
      <c r="BP1258" s="76"/>
      <c r="BQ1258" s="59"/>
      <c r="BR1258" s="77"/>
      <c r="BS1258" s="59"/>
      <c r="BT1258" s="77"/>
      <c r="BU1258" s="58"/>
      <c r="BV1258" s="58"/>
      <c r="BW1258" s="58"/>
      <c r="BX1258" s="58"/>
      <c r="BY1258" s="58"/>
      <c r="BZ1258" s="58"/>
      <c r="CA1258" s="58"/>
      <c r="CB1258" s="72" t="str">
        <f aca="false">IF(AC1258&lt;&gt;"",VLOOKUP(AC1258,Selects!$B:$E,4,0),"")</f>
        <v/>
      </c>
      <c r="CC1258" s="58"/>
      <c r="CD1258" s="58"/>
      <c r="CE1258" s="58"/>
    </row>
    <row r="1259" customFormat="false" ht="15" hidden="true" customHeight="false" outlineLevel="0" collapsed="false">
      <c r="B1259" s="58"/>
      <c r="C1259" s="58"/>
      <c r="D1259" s="59"/>
      <c r="E1259" s="60" t="str">
        <f aca="false">IF(LEN(D1259)=11,"PF",IF(LEN(D1259)=14,"PJ",""))</f>
        <v/>
      </c>
      <c r="F1259" s="59"/>
      <c r="G1259" s="59"/>
      <c r="H1259" s="61" t="str">
        <f aca="false">IF(G1259&lt;&gt;"",VLOOKUP(G1259,'Cnae  mcc  id'!$A:$M,9,0),"")</f>
        <v/>
      </c>
      <c r="I1259" s="62"/>
      <c r="J1259" s="63" t="str">
        <f aca="false">IF(I1259&lt;&gt;"",VLOOKUP(I1259,'Legal Nature'!$E$2:$G$84,3,0),"")</f>
        <v/>
      </c>
      <c r="K1259" s="64"/>
      <c r="L1259" s="65"/>
      <c r="M1259" s="66"/>
      <c r="N1259" s="66"/>
      <c r="O1259" s="79"/>
      <c r="P1259" s="26"/>
      <c r="Q1259" s="58"/>
      <c r="R1259" s="58"/>
      <c r="S1259" s="80"/>
      <c r="T1259" s="68" t="str">
        <f aca="false">IF(LEFT(S1259,1)="9","Celular",IF(S1259="","","Fixo"))</f>
        <v/>
      </c>
      <c r="U1259" s="58" t="str">
        <f aca="false">IF( T1259&lt;&gt;"",VLOOKUP(T1259,Selects!$M$4:$N$1000,2,0),"")</f>
        <v/>
      </c>
      <c r="V1259" s="26"/>
      <c r="W1259" s="58"/>
      <c r="X1259" s="58"/>
      <c r="Y1259" s="58"/>
      <c r="Z1259" s="58"/>
      <c r="AA1259" s="69"/>
      <c r="AB1259" s="58"/>
      <c r="AC1259" s="58"/>
      <c r="AD1259" s="72" t="str">
        <f aca="false">IF(AC1259&lt;&gt;"",VLOOKUP(AC1259,Selects!$B$4:$C$100,2,0),"")</f>
        <v/>
      </c>
      <c r="AE1259" s="26"/>
      <c r="AF1259" s="58"/>
      <c r="AG1259" s="59"/>
      <c r="AH1259" s="65"/>
      <c r="AI1259" s="66"/>
      <c r="AJ1259" s="66"/>
      <c r="AK1259" s="58"/>
      <c r="AL1259" s="58"/>
      <c r="AM1259" s="68" t="str">
        <f aca="false">IF(LEFT(AL1259,1)="9","Celular",IF(AL1259="","","Fixo"))</f>
        <v/>
      </c>
      <c r="AN1259" s="58" t="str">
        <f aca="false">IF( AM1259&lt;&gt;"",VLOOKUP(AM1259,Selects!$M$4:$N$1000,2,0),"")</f>
        <v/>
      </c>
      <c r="AO1259" s="58"/>
      <c r="AP1259" s="59"/>
      <c r="AQ1259" s="66"/>
      <c r="AR1259" s="58"/>
      <c r="AS1259" s="58"/>
      <c r="AT1259" s="26"/>
      <c r="AU1259" s="58"/>
      <c r="AV1259" s="58"/>
      <c r="AW1259" s="58"/>
      <c r="AX1259" s="58"/>
      <c r="AY1259" s="71"/>
      <c r="AZ1259" s="58"/>
      <c r="BA1259" s="58"/>
      <c r="BB1259" s="72" t="str">
        <f aca="false">IF(BA1259&lt;&gt;"",VLOOKUP(BA1259,Selects!$B$4:$C$100,2,0),"")</f>
        <v/>
      </c>
      <c r="BC1259" s="26"/>
      <c r="BD1259" s="26"/>
      <c r="BE1259" s="73"/>
      <c r="BF1259" s="74"/>
      <c r="BG1259" s="75" t="str">
        <f aca="false">IF(LEN(BF1259)=11,"PF",IF(LEN(BF1259)=14,"PJ",""))</f>
        <v/>
      </c>
      <c r="BH1259" s="66"/>
      <c r="BI1259" s="58" t="str">
        <f aca="false">IF(BH1259&lt;&gt;"",VLOOKUP(BH1259,Selects!$G:$H,2,0),"")</f>
        <v/>
      </c>
      <c r="BJ1259" s="58"/>
      <c r="BK1259" s="58"/>
      <c r="BL1259" s="59"/>
      <c r="BM1259" s="58"/>
      <c r="BN1259" s="58"/>
      <c r="BO1259" s="58" t="str">
        <f aca="false">IF(BN1259&lt;&gt;"",VLOOKUP(BN1259,Selects!$J$4:$K$1000,2,0),"")</f>
        <v/>
      </c>
      <c r="BP1259" s="76"/>
      <c r="BQ1259" s="59"/>
      <c r="BR1259" s="77"/>
      <c r="BS1259" s="59"/>
      <c r="BT1259" s="77"/>
      <c r="BU1259" s="58"/>
      <c r="BV1259" s="58"/>
      <c r="BW1259" s="58"/>
      <c r="BX1259" s="58"/>
      <c r="BY1259" s="58"/>
      <c r="BZ1259" s="58"/>
      <c r="CA1259" s="58"/>
      <c r="CB1259" s="72" t="str">
        <f aca="false">IF(AC1259&lt;&gt;"",VLOOKUP(AC1259,Selects!$B:$E,4,0),"")</f>
        <v/>
      </c>
      <c r="CC1259" s="58"/>
      <c r="CD1259" s="58"/>
      <c r="CE1259" s="58"/>
    </row>
    <row r="1260" customFormat="false" ht="15" hidden="true" customHeight="false" outlineLevel="0" collapsed="false">
      <c r="B1260" s="58"/>
      <c r="C1260" s="58"/>
      <c r="D1260" s="59"/>
      <c r="E1260" s="60" t="str">
        <f aca="false">IF(LEN(D1260)=11,"PF",IF(LEN(D1260)=14,"PJ",""))</f>
        <v/>
      </c>
      <c r="F1260" s="59"/>
      <c r="G1260" s="59"/>
      <c r="H1260" s="61" t="str">
        <f aca="false">IF(G1260&lt;&gt;"",VLOOKUP(G1260,'Cnae  mcc  id'!$A:$M,9,0),"")</f>
        <v/>
      </c>
      <c r="I1260" s="62"/>
      <c r="J1260" s="63" t="str">
        <f aca="false">IF(I1260&lt;&gt;"",VLOOKUP(I1260,'Legal Nature'!$E$2:$G$84,3,0),"")</f>
        <v/>
      </c>
      <c r="K1260" s="64"/>
      <c r="L1260" s="65"/>
      <c r="M1260" s="66"/>
      <c r="N1260" s="66"/>
      <c r="O1260" s="79"/>
      <c r="P1260" s="26"/>
      <c r="Q1260" s="58"/>
      <c r="R1260" s="58"/>
      <c r="S1260" s="80"/>
      <c r="T1260" s="68" t="str">
        <f aca="false">IF(LEFT(S1260,1)="9","Celular",IF(S1260="","","Fixo"))</f>
        <v/>
      </c>
      <c r="U1260" s="58" t="str">
        <f aca="false">IF( T1260&lt;&gt;"",VLOOKUP(T1260,Selects!$M$4:$N$1000,2,0),"")</f>
        <v/>
      </c>
      <c r="V1260" s="26"/>
      <c r="W1260" s="58"/>
      <c r="X1260" s="58"/>
      <c r="Y1260" s="58"/>
      <c r="Z1260" s="58"/>
      <c r="AA1260" s="69"/>
      <c r="AB1260" s="58"/>
      <c r="AC1260" s="58"/>
      <c r="AD1260" s="72" t="str">
        <f aca="false">IF(AC1260&lt;&gt;"",VLOOKUP(AC1260,Selects!$B$4:$C$100,2,0),"")</f>
        <v/>
      </c>
      <c r="AE1260" s="26"/>
      <c r="AF1260" s="58"/>
      <c r="AG1260" s="59"/>
      <c r="AH1260" s="65"/>
      <c r="AI1260" s="66"/>
      <c r="AJ1260" s="66"/>
      <c r="AK1260" s="58"/>
      <c r="AL1260" s="58"/>
      <c r="AM1260" s="68" t="str">
        <f aca="false">IF(LEFT(AL1260,1)="9","Celular",IF(AL1260="","","Fixo"))</f>
        <v/>
      </c>
      <c r="AN1260" s="58" t="str">
        <f aca="false">IF( AM1260&lt;&gt;"",VLOOKUP(AM1260,Selects!$M$4:$N$1000,2,0),"")</f>
        <v/>
      </c>
      <c r="AO1260" s="58"/>
      <c r="AP1260" s="59"/>
      <c r="AQ1260" s="66"/>
      <c r="AR1260" s="58"/>
      <c r="AS1260" s="58"/>
      <c r="AT1260" s="26"/>
      <c r="AU1260" s="58"/>
      <c r="AV1260" s="58"/>
      <c r="AW1260" s="58"/>
      <c r="AX1260" s="58"/>
      <c r="AY1260" s="71"/>
      <c r="AZ1260" s="58"/>
      <c r="BA1260" s="58"/>
      <c r="BB1260" s="72" t="str">
        <f aca="false">IF(BA1260&lt;&gt;"",VLOOKUP(BA1260,Selects!$B$4:$C$100,2,0),"")</f>
        <v/>
      </c>
      <c r="BC1260" s="26"/>
      <c r="BD1260" s="26"/>
      <c r="BE1260" s="73"/>
      <c r="BF1260" s="74"/>
      <c r="BG1260" s="75" t="str">
        <f aca="false">IF(LEN(BF1260)=11,"PF",IF(LEN(BF1260)=14,"PJ",""))</f>
        <v/>
      </c>
      <c r="BH1260" s="66"/>
      <c r="BI1260" s="58" t="str">
        <f aca="false">IF(BH1260&lt;&gt;"",VLOOKUP(BH1260,Selects!$G:$H,2,0),"")</f>
        <v/>
      </c>
      <c r="BJ1260" s="58"/>
      <c r="BK1260" s="58"/>
      <c r="BL1260" s="59"/>
      <c r="BM1260" s="58"/>
      <c r="BN1260" s="58"/>
      <c r="BO1260" s="58" t="str">
        <f aca="false">IF(BN1260&lt;&gt;"",VLOOKUP(BN1260,Selects!$J$4:$K$1000,2,0),"")</f>
        <v/>
      </c>
      <c r="BP1260" s="76"/>
      <c r="BQ1260" s="59"/>
      <c r="BR1260" s="77"/>
      <c r="BS1260" s="59"/>
      <c r="BT1260" s="77"/>
      <c r="BU1260" s="58"/>
      <c r="BV1260" s="58"/>
      <c r="BW1260" s="58"/>
      <c r="BX1260" s="58"/>
      <c r="BY1260" s="58"/>
      <c r="BZ1260" s="58"/>
      <c r="CA1260" s="58"/>
      <c r="CB1260" s="72" t="str">
        <f aca="false">IF(AC1260&lt;&gt;"",VLOOKUP(AC1260,Selects!$B:$E,4,0),"")</f>
        <v/>
      </c>
      <c r="CC1260" s="58"/>
      <c r="CD1260" s="58"/>
      <c r="CE1260" s="58"/>
    </row>
    <row r="1261" customFormat="false" ht="15" hidden="true" customHeight="false" outlineLevel="0" collapsed="false">
      <c r="B1261" s="58"/>
      <c r="C1261" s="58"/>
      <c r="D1261" s="59"/>
      <c r="E1261" s="60" t="str">
        <f aca="false">IF(LEN(D1261)=11,"PF",IF(LEN(D1261)=14,"PJ",""))</f>
        <v/>
      </c>
      <c r="F1261" s="59"/>
      <c r="G1261" s="59"/>
      <c r="H1261" s="61" t="str">
        <f aca="false">IF(G1261&lt;&gt;"",VLOOKUP(G1261,'Cnae  mcc  id'!$A:$M,9,0),"")</f>
        <v/>
      </c>
      <c r="I1261" s="62"/>
      <c r="J1261" s="63" t="str">
        <f aca="false">IF(I1261&lt;&gt;"",VLOOKUP(I1261,'Legal Nature'!$E$2:$G$84,3,0),"")</f>
        <v/>
      </c>
      <c r="K1261" s="64"/>
      <c r="L1261" s="65"/>
      <c r="M1261" s="66"/>
      <c r="N1261" s="66"/>
      <c r="O1261" s="79"/>
      <c r="P1261" s="26"/>
      <c r="Q1261" s="58"/>
      <c r="R1261" s="58"/>
      <c r="S1261" s="80"/>
      <c r="T1261" s="68" t="str">
        <f aca="false">IF(LEFT(S1261,1)="9","Celular",IF(S1261="","","Fixo"))</f>
        <v/>
      </c>
      <c r="U1261" s="58" t="str">
        <f aca="false">IF( T1261&lt;&gt;"",VLOOKUP(T1261,Selects!$M$4:$N$1000,2,0),"")</f>
        <v/>
      </c>
      <c r="V1261" s="26"/>
      <c r="W1261" s="58"/>
      <c r="X1261" s="58"/>
      <c r="Y1261" s="58"/>
      <c r="Z1261" s="58"/>
      <c r="AA1261" s="69"/>
      <c r="AB1261" s="58"/>
      <c r="AC1261" s="58"/>
      <c r="AD1261" s="72" t="str">
        <f aca="false">IF(AC1261&lt;&gt;"",VLOOKUP(AC1261,Selects!$B$4:$C$100,2,0),"")</f>
        <v/>
      </c>
      <c r="AE1261" s="26"/>
      <c r="AF1261" s="58"/>
      <c r="AG1261" s="59"/>
      <c r="AH1261" s="65"/>
      <c r="AI1261" s="66"/>
      <c r="AJ1261" s="66"/>
      <c r="AK1261" s="58"/>
      <c r="AL1261" s="58"/>
      <c r="AM1261" s="68" t="str">
        <f aca="false">IF(LEFT(AL1261,1)="9","Celular",IF(AL1261="","","Fixo"))</f>
        <v/>
      </c>
      <c r="AN1261" s="58" t="str">
        <f aca="false">IF( AM1261&lt;&gt;"",VLOOKUP(AM1261,Selects!$M$4:$N$1000,2,0),"")</f>
        <v/>
      </c>
      <c r="AO1261" s="58"/>
      <c r="AP1261" s="59"/>
      <c r="AQ1261" s="66"/>
      <c r="AR1261" s="58"/>
      <c r="AS1261" s="58"/>
      <c r="AT1261" s="26"/>
      <c r="AU1261" s="58"/>
      <c r="AV1261" s="58"/>
      <c r="AW1261" s="58"/>
      <c r="AX1261" s="58"/>
      <c r="AY1261" s="71"/>
      <c r="AZ1261" s="58"/>
      <c r="BA1261" s="58"/>
      <c r="BB1261" s="72" t="str">
        <f aca="false">IF(BA1261&lt;&gt;"",VLOOKUP(BA1261,Selects!$B$4:$C$100,2,0),"")</f>
        <v/>
      </c>
      <c r="BC1261" s="26"/>
      <c r="BD1261" s="26"/>
      <c r="BE1261" s="73"/>
      <c r="BF1261" s="74"/>
      <c r="BG1261" s="75" t="str">
        <f aca="false">IF(LEN(BF1261)=11,"PF",IF(LEN(BF1261)=14,"PJ",""))</f>
        <v/>
      </c>
      <c r="BH1261" s="66"/>
      <c r="BI1261" s="58" t="str">
        <f aca="false">IF(BH1261&lt;&gt;"",VLOOKUP(BH1261,Selects!$G:$H,2,0),"")</f>
        <v/>
      </c>
      <c r="BJ1261" s="58"/>
      <c r="BK1261" s="58"/>
      <c r="BL1261" s="59"/>
      <c r="BM1261" s="58"/>
      <c r="BN1261" s="58"/>
      <c r="BO1261" s="58" t="str">
        <f aca="false">IF(BN1261&lt;&gt;"",VLOOKUP(BN1261,Selects!$J$4:$K$1000,2,0),"")</f>
        <v/>
      </c>
      <c r="BP1261" s="76"/>
      <c r="BQ1261" s="59"/>
      <c r="BR1261" s="77"/>
      <c r="BS1261" s="59"/>
      <c r="BT1261" s="77"/>
      <c r="BU1261" s="58"/>
      <c r="BV1261" s="58"/>
      <c r="BW1261" s="58"/>
      <c r="BX1261" s="58"/>
      <c r="BY1261" s="58"/>
      <c r="BZ1261" s="58"/>
      <c r="CA1261" s="58"/>
      <c r="CB1261" s="72" t="str">
        <f aca="false">IF(AC1261&lt;&gt;"",VLOOKUP(AC1261,Selects!$B:$E,4,0),"")</f>
        <v/>
      </c>
      <c r="CC1261" s="58"/>
      <c r="CD1261" s="58"/>
      <c r="CE1261" s="58"/>
    </row>
    <row r="1262" customFormat="false" ht="15" hidden="true" customHeight="false" outlineLevel="0" collapsed="false">
      <c r="B1262" s="58"/>
      <c r="C1262" s="58"/>
      <c r="D1262" s="59"/>
      <c r="E1262" s="60" t="str">
        <f aca="false">IF(LEN(D1262)=11,"PF",IF(LEN(D1262)=14,"PJ",""))</f>
        <v/>
      </c>
      <c r="F1262" s="59"/>
      <c r="G1262" s="59"/>
      <c r="H1262" s="61" t="str">
        <f aca="false">IF(G1262&lt;&gt;"",VLOOKUP(G1262,'Cnae  mcc  id'!$A:$M,9,0),"")</f>
        <v/>
      </c>
      <c r="I1262" s="62"/>
      <c r="J1262" s="63" t="str">
        <f aca="false">IF(I1262&lt;&gt;"",VLOOKUP(I1262,'Legal Nature'!$E$2:$G$84,3,0),"")</f>
        <v/>
      </c>
      <c r="K1262" s="64"/>
      <c r="L1262" s="65"/>
      <c r="M1262" s="66"/>
      <c r="N1262" s="66"/>
      <c r="O1262" s="79"/>
      <c r="P1262" s="26"/>
      <c r="Q1262" s="58"/>
      <c r="R1262" s="58"/>
      <c r="S1262" s="80"/>
      <c r="T1262" s="68" t="str">
        <f aca="false">IF(LEFT(S1262,1)="9","Celular",IF(S1262="","","Fixo"))</f>
        <v/>
      </c>
      <c r="U1262" s="58" t="str">
        <f aca="false">IF( T1262&lt;&gt;"",VLOOKUP(T1262,Selects!$M$4:$N$1000,2,0),"")</f>
        <v/>
      </c>
      <c r="V1262" s="26"/>
      <c r="W1262" s="58"/>
      <c r="X1262" s="58"/>
      <c r="Y1262" s="58"/>
      <c r="Z1262" s="58"/>
      <c r="AA1262" s="69"/>
      <c r="AB1262" s="58"/>
      <c r="AC1262" s="58"/>
      <c r="AD1262" s="72" t="str">
        <f aca="false">IF(AC1262&lt;&gt;"",VLOOKUP(AC1262,Selects!$B$4:$C$100,2,0),"")</f>
        <v/>
      </c>
      <c r="AE1262" s="26"/>
      <c r="AF1262" s="58"/>
      <c r="AG1262" s="59"/>
      <c r="AH1262" s="65"/>
      <c r="AI1262" s="66"/>
      <c r="AJ1262" s="66"/>
      <c r="AK1262" s="58"/>
      <c r="AL1262" s="58"/>
      <c r="AM1262" s="68" t="str">
        <f aca="false">IF(LEFT(AL1262,1)="9","Celular",IF(AL1262="","","Fixo"))</f>
        <v/>
      </c>
      <c r="AN1262" s="58" t="str">
        <f aca="false">IF( AM1262&lt;&gt;"",VLOOKUP(AM1262,Selects!$M$4:$N$1000,2,0),"")</f>
        <v/>
      </c>
      <c r="AO1262" s="58"/>
      <c r="AP1262" s="59"/>
      <c r="AQ1262" s="66"/>
      <c r="AR1262" s="58"/>
      <c r="AS1262" s="58"/>
      <c r="AT1262" s="26"/>
      <c r="AU1262" s="58"/>
      <c r="AV1262" s="58"/>
      <c r="AW1262" s="58"/>
      <c r="AX1262" s="58"/>
      <c r="AY1262" s="71"/>
      <c r="AZ1262" s="58"/>
      <c r="BA1262" s="58"/>
      <c r="BB1262" s="72" t="str">
        <f aca="false">IF(BA1262&lt;&gt;"",VLOOKUP(BA1262,Selects!$B$4:$C$100,2,0),"")</f>
        <v/>
      </c>
      <c r="BC1262" s="26"/>
      <c r="BD1262" s="26"/>
      <c r="BE1262" s="73"/>
      <c r="BF1262" s="74"/>
      <c r="BG1262" s="75" t="str">
        <f aca="false">IF(LEN(BF1262)=11,"PF",IF(LEN(BF1262)=14,"PJ",""))</f>
        <v/>
      </c>
      <c r="BH1262" s="66"/>
      <c r="BI1262" s="58" t="str">
        <f aca="false">IF(BH1262&lt;&gt;"",VLOOKUP(BH1262,Selects!$G:$H,2,0),"")</f>
        <v/>
      </c>
      <c r="BJ1262" s="58"/>
      <c r="BK1262" s="58"/>
      <c r="BL1262" s="59"/>
      <c r="BM1262" s="58"/>
      <c r="BN1262" s="58"/>
      <c r="BO1262" s="58" t="str">
        <f aca="false">IF(BN1262&lt;&gt;"",VLOOKUP(BN1262,Selects!$J$4:$K$1000,2,0),"")</f>
        <v/>
      </c>
      <c r="BP1262" s="76"/>
      <c r="BQ1262" s="59"/>
      <c r="BR1262" s="77"/>
      <c r="BS1262" s="59"/>
      <c r="BT1262" s="77"/>
      <c r="BU1262" s="58"/>
      <c r="BV1262" s="58"/>
      <c r="BW1262" s="58"/>
      <c r="BX1262" s="58"/>
      <c r="BY1262" s="58"/>
      <c r="BZ1262" s="58"/>
      <c r="CA1262" s="58"/>
      <c r="CB1262" s="72" t="str">
        <f aca="false">IF(AC1262&lt;&gt;"",VLOOKUP(AC1262,Selects!$B:$E,4,0),"")</f>
        <v/>
      </c>
      <c r="CC1262" s="58"/>
      <c r="CD1262" s="58"/>
      <c r="CE1262" s="58"/>
    </row>
    <row r="1263" customFormat="false" ht="15" hidden="true" customHeight="false" outlineLevel="0" collapsed="false">
      <c r="B1263" s="58"/>
      <c r="C1263" s="58"/>
      <c r="D1263" s="59"/>
      <c r="E1263" s="60" t="str">
        <f aca="false">IF(LEN(D1263)=11,"PF",IF(LEN(D1263)=14,"PJ",""))</f>
        <v/>
      </c>
      <c r="F1263" s="59"/>
      <c r="G1263" s="59"/>
      <c r="H1263" s="61" t="str">
        <f aca="false">IF(G1263&lt;&gt;"",VLOOKUP(G1263,'Cnae  mcc  id'!$A:$M,9,0),"")</f>
        <v/>
      </c>
      <c r="I1263" s="62"/>
      <c r="J1263" s="63" t="str">
        <f aca="false">IF(I1263&lt;&gt;"",VLOOKUP(I1263,'Legal Nature'!$E$2:$G$84,3,0),"")</f>
        <v/>
      </c>
      <c r="K1263" s="64"/>
      <c r="L1263" s="65"/>
      <c r="M1263" s="66"/>
      <c r="N1263" s="66"/>
      <c r="O1263" s="79"/>
      <c r="P1263" s="26"/>
      <c r="Q1263" s="58"/>
      <c r="R1263" s="58"/>
      <c r="S1263" s="80"/>
      <c r="T1263" s="68" t="str">
        <f aca="false">IF(LEFT(S1263,1)="9","Celular",IF(S1263="","","Fixo"))</f>
        <v/>
      </c>
      <c r="U1263" s="58" t="str">
        <f aca="false">IF( T1263&lt;&gt;"",VLOOKUP(T1263,Selects!$M$4:$N$1000,2,0),"")</f>
        <v/>
      </c>
      <c r="V1263" s="26"/>
      <c r="W1263" s="58"/>
      <c r="X1263" s="58"/>
      <c r="Y1263" s="58"/>
      <c r="Z1263" s="58"/>
      <c r="AA1263" s="69"/>
      <c r="AB1263" s="58"/>
      <c r="AC1263" s="58"/>
      <c r="AD1263" s="72" t="str">
        <f aca="false">IF(AC1263&lt;&gt;"",VLOOKUP(AC1263,Selects!$B$4:$C$100,2,0),"")</f>
        <v/>
      </c>
      <c r="AE1263" s="26"/>
      <c r="AF1263" s="58"/>
      <c r="AG1263" s="59"/>
      <c r="AH1263" s="65"/>
      <c r="AI1263" s="66"/>
      <c r="AJ1263" s="66"/>
      <c r="AK1263" s="58"/>
      <c r="AL1263" s="58"/>
      <c r="AM1263" s="68" t="str">
        <f aca="false">IF(LEFT(AL1263,1)="9","Celular",IF(AL1263="","","Fixo"))</f>
        <v/>
      </c>
      <c r="AN1263" s="58" t="str">
        <f aca="false">IF( AM1263&lt;&gt;"",VLOOKUP(AM1263,Selects!$M$4:$N$1000,2,0),"")</f>
        <v/>
      </c>
      <c r="AO1263" s="58"/>
      <c r="AP1263" s="59"/>
      <c r="AQ1263" s="66"/>
      <c r="AR1263" s="58"/>
      <c r="AS1263" s="58"/>
      <c r="AT1263" s="26"/>
      <c r="AU1263" s="58"/>
      <c r="AV1263" s="58"/>
      <c r="AW1263" s="58"/>
      <c r="AX1263" s="58"/>
      <c r="AY1263" s="71"/>
      <c r="AZ1263" s="58"/>
      <c r="BA1263" s="58"/>
      <c r="BB1263" s="72" t="str">
        <f aca="false">IF(BA1263&lt;&gt;"",VLOOKUP(BA1263,Selects!$B$4:$C$100,2,0),"")</f>
        <v/>
      </c>
      <c r="BC1263" s="26"/>
      <c r="BD1263" s="26"/>
      <c r="BE1263" s="73"/>
      <c r="BF1263" s="74"/>
      <c r="BG1263" s="75" t="str">
        <f aca="false">IF(LEN(BF1263)=11,"PF",IF(LEN(BF1263)=14,"PJ",""))</f>
        <v/>
      </c>
      <c r="BH1263" s="66"/>
      <c r="BI1263" s="58" t="str">
        <f aca="false">IF(BH1263&lt;&gt;"",VLOOKUP(BH1263,Selects!$G:$H,2,0),"")</f>
        <v/>
      </c>
      <c r="BJ1263" s="58"/>
      <c r="BK1263" s="58"/>
      <c r="BL1263" s="59"/>
      <c r="BM1263" s="58"/>
      <c r="BN1263" s="58"/>
      <c r="BO1263" s="58" t="str">
        <f aca="false">IF(BN1263&lt;&gt;"",VLOOKUP(BN1263,Selects!$J$4:$K$1000,2,0),"")</f>
        <v/>
      </c>
      <c r="BP1263" s="76"/>
      <c r="BQ1263" s="59"/>
      <c r="BR1263" s="77"/>
      <c r="BS1263" s="59"/>
      <c r="BT1263" s="77"/>
      <c r="BU1263" s="58"/>
      <c r="BV1263" s="58"/>
      <c r="BW1263" s="58"/>
      <c r="BX1263" s="58"/>
      <c r="BY1263" s="58"/>
      <c r="BZ1263" s="58"/>
      <c r="CA1263" s="58"/>
      <c r="CB1263" s="72" t="str">
        <f aca="false">IF(AC1263&lt;&gt;"",VLOOKUP(AC1263,Selects!$B:$E,4,0),"")</f>
        <v/>
      </c>
      <c r="CC1263" s="58"/>
      <c r="CD1263" s="58"/>
      <c r="CE1263" s="58"/>
    </row>
    <row r="1264" customFormat="false" ht="15" hidden="true" customHeight="false" outlineLevel="0" collapsed="false">
      <c r="B1264" s="58"/>
      <c r="C1264" s="58"/>
      <c r="D1264" s="59"/>
      <c r="E1264" s="60" t="str">
        <f aca="false">IF(LEN(D1264)=11,"PF",IF(LEN(D1264)=14,"PJ",""))</f>
        <v/>
      </c>
      <c r="F1264" s="59"/>
      <c r="G1264" s="59"/>
      <c r="H1264" s="61" t="str">
        <f aca="false">IF(G1264&lt;&gt;"",VLOOKUP(G1264,'Cnae  mcc  id'!$A:$M,9,0),"")</f>
        <v/>
      </c>
      <c r="I1264" s="62"/>
      <c r="J1264" s="63" t="str">
        <f aca="false">IF(I1264&lt;&gt;"",VLOOKUP(I1264,'Legal Nature'!$E$2:$G$84,3,0),"")</f>
        <v/>
      </c>
      <c r="K1264" s="64"/>
      <c r="L1264" s="65"/>
      <c r="M1264" s="66"/>
      <c r="N1264" s="66"/>
      <c r="O1264" s="79"/>
      <c r="P1264" s="26"/>
      <c r="Q1264" s="58"/>
      <c r="R1264" s="58"/>
      <c r="S1264" s="80"/>
      <c r="T1264" s="68" t="str">
        <f aca="false">IF(LEFT(S1264,1)="9","Celular",IF(S1264="","","Fixo"))</f>
        <v/>
      </c>
      <c r="U1264" s="58" t="str">
        <f aca="false">IF( T1264&lt;&gt;"",VLOOKUP(T1264,Selects!$M$4:$N$1000,2,0),"")</f>
        <v/>
      </c>
      <c r="V1264" s="26"/>
      <c r="W1264" s="58"/>
      <c r="X1264" s="58"/>
      <c r="Y1264" s="58"/>
      <c r="Z1264" s="58"/>
      <c r="AA1264" s="69"/>
      <c r="AB1264" s="58"/>
      <c r="AC1264" s="58"/>
      <c r="AD1264" s="72" t="str">
        <f aca="false">IF(AC1264&lt;&gt;"",VLOOKUP(AC1264,Selects!$B$4:$C$100,2,0),"")</f>
        <v/>
      </c>
      <c r="AE1264" s="26"/>
      <c r="AF1264" s="58"/>
      <c r="AG1264" s="59"/>
      <c r="AH1264" s="65"/>
      <c r="AI1264" s="66"/>
      <c r="AJ1264" s="66"/>
      <c r="AK1264" s="58"/>
      <c r="AL1264" s="58"/>
      <c r="AM1264" s="68" t="str">
        <f aca="false">IF(LEFT(AL1264,1)="9","Celular",IF(AL1264="","","Fixo"))</f>
        <v/>
      </c>
      <c r="AN1264" s="58" t="str">
        <f aca="false">IF( AM1264&lt;&gt;"",VLOOKUP(AM1264,Selects!$M$4:$N$1000,2,0),"")</f>
        <v/>
      </c>
      <c r="AO1264" s="58"/>
      <c r="AP1264" s="59"/>
      <c r="AQ1264" s="66"/>
      <c r="AR1264" s="58"/>
      <c r="AS1264" s="58"/>
      <c r="AT1264" s="26"/>
      <c r="AU1264" s="58"/>
      <c r="AV1264" s="58"/>
      <c r="AW1264" s="58"/>
      <c r="AX1264" s="58"/>
      <c r="AY1264" s="71"/>
      <c r="AZ1264" s="58"/>
      <c r="BA1264" s="58"/>
      <c r="BB1264" s="72" t="str">
        <f aca="false">IF(BA1264&lt;&gt;"",VLOOKUP(BA1264,Selects!$B$4:$C$100,2,0),"")</f>
        <v/>
      </c>
      <c r="BC1264" s="26"/>
      <c r="BD1264" s="26"/>
      <c r="BE1264" s="73"/>
      <c r="BF1264" s="74"/>
      <c r="BG1264" s="75" t="str">
        <f aca="false">IF(LEN(BF1264)=11,"PF",IF(LEN(BF1264)=14,"PJ",""))</f>
        <v/>
      </c>
      <c r="BH1264" s="66"/>
      <c r="BI1264" s="58" t="str">
        <f aca="false">IF(BH1264&lt;&gt;"",VLOOKUP(BH1264,Selects!$G:$H,2,0),"")</f>
        <v/>
      </c>
      <c r="BJ1264" s="58"/>
      <c r="BK1264" s="58"/>
      <c r="BL1264" s="59"/>
      <c r="BM1264" s="58"/>
      <c r="BN1264" s="58"/>
      <c r="BO1264" s="58" t="str">
        <f aca="false">IF(BN1264&lt;&gt;"",VLOOKUP(BN1264,Selects!$J$4:$K$1000,2,0),"")</f>
        <v/>
      </c>
      <c r="BP1264" s="76"/>
      <c r="BQ1264" s="59"/>
      <c r="BR1264" s="77"/>
      <c r="BS1264" s="59"/>
      <c r="BT1264" s="77"/>
      <c r="BU1264" s="58"/>
      <c r="BV1264" s="58"/>
      <c r="BW1264" s="58"/>
      <c r="BX1264" s="58"/>
      <c r="BY1264" s="58"/>
      <c r="BZ1264" s="58"/>
      <c r="CA1264" s="58"/>
      <c r="CB1264" s="72" t="str">
        <f aca="false">IF(AC1264&lt;&gt;"",VLOOKUP(AC1264,Selects!$B:$E,4,0),"")</f>
        <v/>
      </c>
      <c r="CC1264" s="58"/>
      <c r="CD1264" s="58"/>
      <c r="CE1264" s="58"/>
    </row>
    <row r="1265" customFormat="false" ht="15" hidden="true" customHeight="false" outlineLevel="0" collapsed="false">
      <c r="B1265" s="58"/>
      <c r="C1265" s="58"/>
      <c r="D1265" s="59"/>
      <c r="E1265" s="60" t="str">
        <f aca="false">IF(LEN(D1265)=11,"PF",IF(LEN(D1265)=14,"PJ",""))</f>
        <v/>
      </c>
      <c r="F1265" s="59"/>
      <c r="G1265" s="59"/>
      <c r="H1265" s="61" t="str">
        <f aca="false">IF(G1265&lt;&gt;"",VLOOKUP(G1265,'Cnae  mcc  id'!$A:$M,9,0),"")</f>
        <v/>
      </c>
      <c r="I1265" s="62"/>
      <c r="J1265" s="63" t="str">
        <f aca="false">IF(I1265&lt;&gt;"",VLOOKUP(I1265,'Legal Nature'!$E$2:$G$84,3,0),"")</f>
        <v/>
      </c>
      <c r="K1265" s="64"/>
      <c r="L1265" s="65"/>
      <c r="M1265" s="66"/>
      <c r="N1265" s="66"/>
      <c r="O1265" s="79"/>
      <c r="P1265" s="26"/>
      <c r="Q1265" s="58"/>
      <c r="R1265" s="58"/>
      <c r="S1265" s="80"/>
      <c r="T1265" s="68" t="str">
        <f aca="false">IF(LEFT(S1265,1)="9","Celular",IF(S1265="","","Fixo"))</f>
        <v/>
      </c>
      <c r="U1265" s="58" t="str">
        <f aca="false">IF( T1265&lt;&gt;"",VLOOKUP(T1265,Selects!$M$4:$N$1000,2,0),"")</f>
        <v/>
      </c>
      <c r="V1265" s="26"/>
      <c r="W1265" s="58"/>
      <c r="X1265" s="58"/>
      <c r="Y1265" s="58"/>
      <c r="Z1265" s="58"/>
      <c r="AA1265" s="69"/>
      <c r="AB1265" s="58"/>
      <c r="AC1265" s="58"/>
      <c r="AD1265" s="72" t="str">
        <f aca="false">IF(AC1265&lt;&gt;"",VLOOKUP(AC1265,Selects!$B$4:$C$100,2,0),"")</f>
        <v/>
      </c>
      <c r="AE1265" s="26"/>
      <c r="AF1265" s="58"/>
      <c r="AG1265" s="59"/>
      <c r="AH1265" s="65"/>
      <c r="AI1265" s="66"/>
      <c r="AJ1265" s="66"/>
      <c r="AK1265" s="58"/>
      <c r="AL1265" s="58"/>
      <c r="AM1265" s="68" t="str">
        <f aca="false">IF(LEFT(AL1265,1)="9","Celular",IF(AL1265="","","Fixo"))</f>
        <v/>
      </c>
      <c r="AN1265" s="58" t="str">
        <f aca="false">IF( AM1265&lt;&gt;"",VLOOKUP(AM1265,Selects!$M$4:$N$1000,2,0),"")</f>
        <v/>
      </c>
      <c r="AO1265" s="58"/>
      <c r="AP1265" s="59"/>
      <c r="AQ1265" s="66"/>
      <c r="AR1265" s="58"/>
      <c r="AS1265" s="58"/>
      <c r="AT1265" s="26"/>
      <c r="AU1265" s="58"/>
      <c r="AV1265" s="58"/>
      <c r="AW1265" s="58"/>
      <c r="AX1265" s="58"/>
      <c r="AY1265" s="71"/>
      <c r="AZ1265" s="58"/>
      <c r="BA1265" s="58"/>
      <c r="BB1265" s="72" t="str">
        <f aca="false">IF(BA1265&lt;&gt;"",VLOOKUP(BA1265,Selects!$B$4:$C$100,2,0),"")</f>
        <v/>
      </c>
      <c r="BC1265" s="26"/>
      <c r="BD1265" s="26"/>
      <c r="BE1265" s="73"/>
      <c r="BF1265" s="74"/>
      <c r="BG1265" s="75" t="str">
        <f aca="false">IF(LEN(BF1265)=11,"PF",IF(LEN(BF1265)=14,"PJ",""))</f>
        <v/>
      </c>
      <c r="BH1265" s="66"/>
      <c r="BI1265" s="58" t="str">
        <f aca="false">IF(BH1265&lt;&gt;"",VLOOKUP(BH1265,Selects!$G:$H,2,0),"")</f>
        <v/>
      </c>
      <c r="BJ1265" s="58"/>
      <c r="BK1265" s="58"/>
      <c r="BL1265" s="59"/>
      <c r="BM1265" s="58"/>
      <c r="BN1265" s="58"/>
      <c r="BO1265" s="58" t="str">
        <f aca="false">IF(BN1265&lt;&gt;"",VLOOKUP(BN1265,Selects!$J$4:$K$1000,2,0),"")</f>
        <v/>
      </c>
      <c r="BP1265" s="76"/>
      <c r="BQ1265" s="59"/>
      <c r="BR1265" s="77"/>
      <c r="BS1265" s="59"/>
      <c r="BT1265" s="77"/>
      <c r="BU1265" s="58"/>
      <c r="BV1265" s="58"/>
      <c r="BW1265" s="58"/>
      <c r="BX1265" s="58"/>
      <c r="BY1265" s="58"/>
      <c r="BZ1265" s="58"/>
      <c r="CA1265" s="58"/>
      <c r="CB1265" s="72" t="str">
        <f aca="false">IF(AC1265&lt;&gt;"",VLOOKUP(AC1265,Selects!$B:$E,4,0),"")</f>
        <v/>
      </c>
      <c r="CC1265" s="58"/>
      <c r="CD1265" s="58"/>
      <c r="CE1265" s="58"/>
    </row>
    <row r="1266" customFormat="false" ht="15" hidden="true" customHeight="false" outlineLevel="0" collapsed="false">
      <c r="B1266" s="58"/>
      <c r="C1266" s="58"/>
      <c r="D1266" s="59"/>
      <c r="E1266" s="60" t="str">
        <f aca="false">IF(LEN(D1266)=11,"PF",IF(LEN(D1266)=14,"PJ",""))</f>
        <v/>
      </c>
      <c r="F1266" s="59"/>
      <c r="G1266" s="59"/>
      <c r="H1266" s="61" t="str">
        <f aca="false">IF(G1266&lt;&gt;"",VLOOKUP(G1266,'Cnae  mcc  id'!$A:$M,9,0),"")</f>
        <v/>
      </c>
      <c r="I1266" s="62"/>
      <c r="J1266" s="63" t="str">
        <f aca="false">IF(I1266&lt;&gt;"",VLOOKUP(I1266,'Legal Nature'!$E$2:$G$84,3,0),"")</f>
        <v/>
      </c>
      <c r="K1266" s="64"/>
      <c r="L1266" s="65"/>
      <c r="M1266" s="66"/>
      <c r="N1266" s="66"/>
      <c r="O1266" s="79"/>
      <c r="P1266" s="26"/>
      <c r="Q1266" s="58"/>
      <c r="R1266" s="58"/>
      <c r="S1266" s="80"/>
      <c r="T1266" s="68" t="str">
        <f aca="false">IF(LEFT(S1266,1)="9","Celular",IF(S1266="","","Fixo"))</f>
        <v/>
      </c>
      <c r="U1266" s="58" t="str">
        <f aca="false">IF( T1266&lt;&gt;"",VLOOKUP(T1266,Selects!$M$4:$N$1000,2,0),"")</f>
        <v/>
      </c>
      <c r="V1266" s="26"/>
      <c r="W1266" s="58"/>
      <c r="X1266" s="58"/>
      <c r="Y1266" s="58"/>
      <c r="Z1266" s="58"/>
      <c r="AA1266" s="69"/>
      <c r="AB1266" s="58"/>
      <c r="AC1266" s="58"/>
      <c r="AD1266" s="72" t="str">
        <f aca="false">IF(AC1266&lt;&gt;"",VLOOKUP(AC1266,Selects!$B$4:$C$100,2,0),"")</f>
        <v/>
      </c>
      <c r="AE1266" s="26"/>
      <c r="AF1266" s="58"/>
      <c r="AG1266" s="59"/>
      <c r="AH1266" s="65"/>
      <c r="AI1266" s="66"/>
      <c r="AJ1266" s="66"/>
      <c r="AK1266" s="58"/>
      <c r="AL1266" s="58"/>
      <c r="AM1266" s="68" t="str">
        <f aca="false">IF(LEFT(AL1266,1)="9","Celular",IF(AL1266="","","Fixo"))</f>
        <v/>
      </c>
      <c r="AN1266" s="58" t="str">
        <f aca="false">IF( AM1266&lt;&gt;"",VLOOKUP(AM1266,Selects!$M$4:$N$1000,2,0),"")</f>
        <v/>
      </c>
      <c r="AO1266" s="58"/>
      <c r="AP1266" s="59"/>
      <c r="AQ1266" s="66"/>
      <c r="AR1266" s="58"/>
      <c r="AS1266" s="58"/>
      <c r="AT1266" s="26"/>
      <c r="AU1266" s="58"/>
      <c r="AV1266" s="58"/>
      <c r="AW1266" s="58"/>
      <c r="AX1266" s="58"/>
      <c r="AY1266" s="71"/>
      <c r="AZ1266" s="58"/>
      <c r="BA1266" s="58"/>
      <c r="BB1266" s="72" t="str">
        <f aca="false">IF(BA1266&lt;&gt;"",VLOOKUP(BA1266,Selects!$B$4:$C$100,2,0),"")</f>
        <v/>
      </c>
      <c r="BC1266" s="26"/>
      <c r="BD1266" s="26"/>
      <c r="BE1266" s="73"/>
      <c r="BF1266" s="74"/>
      <c r="BG1266" s="75" t="str">
        <f aca="false">IF(LEN(BF1266)=11,"PF",IF(LEN(BF1266)=14,"PJ",""))</f>
        <v/>
      </c>
      <c r="BH1266" s="66"/>
      <c r="BI1266" s="58" t="str">
        <f aca="false">IF(BH1266&lt;&gt;"",VLOOKUP(BH1266,Selects!$G:$H,2,0),"")</f>
        <v/>
      </c>
      <c r="BJ1266" s="58"/>
      <c r="BK1266" s="58"/>
      <c r="BL1266" s="59"/>
      <c r="BM1266" s="58"/>
      <c r="BN1266" s="58"/>
      <c r="BO1266" s="58" t="str">
        <f aca="false">IF(BN1266&lt;&gt;"",VLOOKUP(BN1266,Selects!$J$4:$K$1000,2,0),"")</f>
        <v/>
      </c>
      <c r="BP1266" s="76"/>
      <c r="BQ1266" s="59"/>
      <c r="BR1266" s="77"/>
      <c r="BS1266" s="59"/>
      <c r="BT1266" s="77"/>
      <c r="BU1266" s="58"/>
      <c r="BV1266" s="58"/>
      <c r="BW1266" s="58"/>
      <c r="BX1266" s="58"/>
      <c r="BY1266" s="58"/>
      <c r="BZ1266" s="58"/>
      <c r="CA1266" s="58"/>
      <c r="CB1266" s="72" t="str">
        <f aca="false">IF(AC1266&lt;&gt;"",VLOOKUP(AC1266,Selects!$B:$E,4,0),"")</f>
        <v/>
      </c>
      <c r="CC1266" s="58"/>
      <c r="CD1266" s="58"/>
      <c r="CE1266" s="58"/>
    </row>
    <row r="1267" customFormat="false" ht="15" hidden="true" customHeight="false" outlineLevel="0" collapsed="false">
      <c r="B1267" s="58"/>
      <c r="C1267" s="58"/>
      <c r="D1267" s="59"/>
      <c r="E1267" s="60" t="str">
        <f aca="false">IF(LEN(D1267)=11,"PF",IF(LEN(D1267)=14,"PJ",""))</f>
        <v/>
      </c>
      <c r="F1267" s="59"/>
      <c r="G1267" s="59"/>
      <c r="H1267" s="61" t="str">
        <f aca="false">IF(G1267&lt;&gt;"",VLOOKUP(G1267,'Cnae  mcc  id'!$A:$M,9,0),"")</f>
        <v/>
      </c>
      <c r="I1267" s="62"/>
      <c r="J1267" s="63" t="str">
        <f aca="false">IF(I1267&lt;&gt;"",VLOOKUP(I1267,'Legal Nature'!$E$2:$G$84,3,0),"")</f>
        <v/>
      </c>
      <c r="K1267" s="64"/>
      <c r="L1267" s="65"/>
      <c r="M1267" s="66"/>
      <c r="N1267" s="66"/>
      <c r="O1267" s="79"/>
      <c r="P1267" s="26"/>
      <c r="Q1267" s="58"/>
      <c r="R1267" s="58"/>
      <c r="S1267" s="80"/>
      <c r="T1267" s="68" t="str">
        <f aca="false">IF(LEFT(S1267,1)="9","Celular",IF(S1267="","","Fixo"))</f>
        <v/>
      </c>
      <c r="U1267" s="58" t="str">
        <f aca="false">IF( T1267&lt;&gt;"",VLOOKUP(T1267,Selects!$M$4:$N$1000,2,0),"")</f>
        <v/>
      </c>
      <c r="V1267" s="26"/>
      <c r="W1267" s="58"/>
      <c r="X1267" s="58"/>
      <c r="Y1267" s="58"/>
      <c r="Z1267" s="58"/>
      <c r="AA1267" s="69"/>
      <c r="AB1267" s="58"/>
      <c r="AC1267" s="58"/>
      <c r="AD1267" s="72" t="str">
        <f aca="false">IF(AC1267&lt;&gt;"",VLOOKUP(AC1267,Selects!$B$4:$C$100,2,0),"")</f>
        <v/>
      </c>
      <c r="AE1267" s="26"/>
      <c r="AF1267" s="58"/>
      <c r="AG1267" s="59"/>
      <c r="AH1267" s="65"/>
      <c r="AI1267" s="66"/>
      <c r="AJ1267" s="66"/>
      <c r="AK1267" s="58"/>
      <c r="AL1267" s="58"/>
      <c r="AM1267" s="68" t="str">
        <f aca="false">IF(LEFT(AL1267,1)="9","Celular",IF(AL1267="","","Fixo"))</f>
        <v/>
      </c>
      <c r="AN1267" s="58" t="str">
        <f aca="false">IF( AM1267&lt;&gt;"",VLOOKUP(AM1267,Selects!$M$4:$N$1000,2,0),"")</f>
        <v/>
      </c>
      <c r="AO1267" s="58"/>
      <c r="AP1267" s="59"/>
      <c r="AQ1267" s="66"/>
      <c r="AR1267" s="58"/>
      <c r="AS1267" s="58"/>
      <c r="AT1267" s="26"/>
      <c r="AU1267" s="58"/>
      <c r="AV1267" s="58"/>
      <c r="AW1267" s="58"/>
      <c r="AX1267" s="58"/>
      <c r="AY1267" s="71"/>
      <c r="AZ1267" s="58"/>
      <c r="BA1267" s="58"/>
      <c r="BB1267" s="72" t="str">
        <f aca="false">IF(BA1267&lt;&gt;"",VLOOKUP(BA1267,Selects!$B$4:$C$100,2,0),"")</f>
        <v/>
      </c>
      <c r="BC1267" s="26"/>
      <c r="BD1267" s="26"/>
      <c r="BE1267" s="73"/>
      <c r="BF1267" s="74"/>
      <c r="BG1267" s="75" t="str">
        <f aca="false">IF(LEN(BF1267)=11,"PF",IF(LEN(BF1267)=14,"PJ",""))</f>
        <v/>
      </c>
      <c r="BH1267" s="66"/>
      <c r="BI1267" s="58" t="str">
        <f aca="false">IF(BH1267&lt;&gt;"",VLOOKUP(BH1267,Selects!$G:$H,2,0),"")</f>
        <v/>
      </c>
      <c r="BJ1267" s="58"/>
      <c r="BK1267" s="58"/>
      <c r="BL1267" s="59"/>
      <c r="BM1267" s="58"/>
      <c r="BN1267" s="58"/>
      <c r="BO1267" s="58" t="str">
        <f aca="false">IF(BN1267&lt;&gt;"",VLOOKUP(BN1267,Selects!$J$4:$K$1000,2,0),"")</f>
        <v/>
      </c>
      <c r="BP1267" s="76"/>
      <c r="BQ1267" s="59"/>
      <c r="BR1267" s="77"/>
      <c r="BS1267" s="59"/>
      <c r="BT1267" s="77"/>
      <c r="BU1267" s="58"/>
      <c r="BV1267" s="58"/>
      <c r="BW1267" s="58"/>
      <c r="BX1267" s="58"/>
      <c r="BY1267" s="58"/>
      <c r="BZ1267" s="58"/>
      <c r="CA1267" s="58"/>
      <c r="CB1267" s="72" t="str">
        <f aca="false">IF(AC1267&lt;&gt;"",VLOOKUP(AC1267,Selects!$B:$E,4,0),"")</f>
        <v/>
      </c>
      <c r="CC1267" s="58"/>
      <c r="CD1267" s="58"/>
      <c r="CE1267" s="58"/>
    </row>
    <row r="1268" customFormat="false" ht="15" hidden="true" customHeight="false" outlineLevel="0" collapsed="false">
      <c r="B1268" s="58"/>
      <c r="C1268" s="58"/>
      <c r="D1268" s="59"/>
      <c r="E1268" s="60" t="str">
        <f aca="false">IF(LEN(D1268)=11,"PF",IF(LEN(D1268)=14,"PJ",""))</f>
        <v/>
      </c>
      <c r="F1268" s="59"/>
      <c r="G1268" s="59"/>
      <c r="H1268" s="61" t="str">
        <f aca="false">IF(G1268&lt;&gt;"",VLOOKUP(G1268,'Cnae  mcc  id'!$A:$M,9,0),"")</f>
        <v/>
      </c>
      <c r="I1268" s="62"/>
      <c r="J1268" s="63" t="str">
        <f aca="false">IF(I1268&lt;&gt;"",VLOOKUP(I1268,'Legal Nature'!$E$2:$G$84,3,0),"")</f>
        <v/>
      </c>
      <c r="K1268" s="64"/>
      <c r="L1268" s="65"/>
      <c r="M1268" s="66"/>
      <c r="N1268" s="66"/>
      <c r="O1268" s="79"/>
      <c r="P1268" s="26"/>
      <c r="Q1268" s="58"/>
      <c r="R1268" s="58"/>
      <c r="S1268" s="80"/>
      <c r="T1268" s="68" t="str">
        <f aca="false">IF(LEFT(S1268,1)="9","Celular",IF(S1268="","","Fixo"))</f>
        <v/>
      </c>
      <c r="U1268" s="58" t="str">
        <f aca="false">IF( T1268&lt;&gt;"",VLOOKUP(T1268,Selects!$M$4:$N$1000,2,0),"")</f>
        <v/>
      </c>
      <c r="V1268" s="26"/>
      <c r="W1268" s="58"/>
      <c r="X1268" s="58"/>
      <c r="Y1268" s="58"/>
      <c r="Z1268" s="58"/>
      <c r="AA1268" s="69"/>
      <c r="AB1268" s="58"/>
      <c r="AC1268" s="58"/>
      <c r="AD1268" s="72" t="str">
        <f aca="false">IF(AC1268&lt;&gt;"",VLOOKUP(AC1268,Selects!$B$4:$C$100,2,0),"")</f>
        <v/>
      </c>
      <c r="AE1268" s="26"/>
      <c r="AF1268" s="58"/>
      <c r="AG1268" s="59"/>
      <c r="AH1268" s="65"/>
      <c r="AI1268" s="66"/>
      <c r="AJ1268" s="66"/>
      <c r="AK1268" s="58"/>
      <c r="AL1268" s="58"/>
      <c r="AM1268" s="68" t="str">
        <f aca="false">IF(LEFT(AL1268,1)="9","Celular",IF(AL1268="","","Fixo"))</f>
        <v/>
      </c>
      <c r="AN1268" s="58" t="str">
        <f aca="false">IF( AM1268&lt;&gt;"",VLOOKUP(AM1268,Selects!$M$4:$N$1000,2,0),"")</f>
        <v/>
      </c>
      <c r="AO1268" s="58"/>
      <c r="AP1268" s="59"/>
      <c r="AQ1268" s="66"/>
      <c r="AR1268" s="58"/>
      <c r="AS1268" s="58"/>
      <c r="AT1268" s="26"/>
      <c r="AU1268" s="58"/>
      <c r="AV1268" s="58"/>
      <c r="AW1268" s="58"/>
      <c r="AX1268" s="58"/>
      <c r="AY1268" s="71"/>
      <c r="AZ1268" s="58"/>
      <c r="BA1268" s="58"/>
      <c r="BB1268" s="72" t="str">
        <f aca="false">IF(BA1268&lt;&gt;"",VLOOKUP(BA1268,Selects!$B$4:$C$100,2,0),"")</f>
        <v/>
      </c>
      <c r="BC1268" s="26"/>
      <c r="BD1268" s="26"/>
      <c r="BE1268" s="73"/>
      <c r="BF1268" s="74"/>
      <c r="BG1268" s="75" t="str">
        <f aca="false">IF(LEN(BF1268)=11,"PF",IF(LEN(BF1268)=14,"PJ",""))</f>
        <v/>
      </c>
      <c r="BH1268" s="66"/>
      <c r="BI1268" s="58" t="str">
        <f aca="false">IF(BH1268&lt;&gt;"",VLOOKUP(BH1268,Selects!$G:$H,2,0),"")</f>
        <v/>
      </c>
      <c r="BJ1268" s="58"/>
      <c r="BK1268" s="58"/>
      <c r="BL1268" s="59"/>
      <c r="BM1268" s="58"/>
      <c r="BN1268" s="58"/>
      <c r="BO1268" s="58" t="str">
        <f aca="false">IF(BN1268&lt;&gt;"",VLOOKUP(BN1268,Selects!$J$4:$K$1000,2,0),"")</f>
        <v/>
      </c>
      <c r="BP1268" s="76"/>
      <c r="BQ1268" s="59"/>
      <c r="BR1268" s="77"/>
      <c r="BS1268" s="59"/>
      <c r="BT1268" s="77"/>
      <c r="BU1268" s="58"/>
      <c r="BV1268" s="58"/>
      <c r="BW1268" s="58"/>
      <c r="BX1268" s="58"/>
      <c r="BY1268" s="58"/>
      <c r="BZ1268" s="58"/>
      <c r="CA1268" s="58"/>
      <c r="CB1268" s="72" t="str">
        <f aca="false">IF(AC1268&lt;&gt;"",VLOOKUP(AC1268,Selects!$B:$E,4,0),"")</f>
        <v/>
      </c>
      <c r="CC1268" s="58"/>
      <c r="CD1268" s="58"/>
      <c r="CE1268" s="58"/>
    </row>
    <row r="1269" customFormat="false" ht="15" hidden="true" customHeight="false" outlineLevel="0" collapsed="false">
      <c r="B1269" s="58"/>
      <c r="C1269" s="58"/>
      <c r="D1269" s="59"/>
      <c r="E1269" s="60" t="str">
        <f aca="false">IF(LEN(D1269)=11,"PF",IF(LEN(D1269)=14,"PJ",""))</f>
        <v/>
      </c>
      <c r="F1269" s="59"/>
      <c r="G1269" s="59"/>
      <c r="H1269" s="61" t="str">
        <f aca="false">IF(G1269&lt;&gt;"",VLOOKUP(G1269,'Cnae  mcc  id'!$A:$M,9,0),"")</f>
        <v/>
      </c>
      <c r="I1269" s="62"/>
      <c r="J1269" s="63" t="str">
        <f aca="false">IF(I1269&lt;&gt;"",VLOOKUP(I1269,'Legal Nature'!$E$2:$G$84,3,0),"")</f>
        <v/>
      </c>
      <c r="K1269" s="64"/>
      <c r="L1269" s="65"/>
      <c r="M1269" s="66"/>
      <c r="N1269" s="66"/>
      <c r="O1269" s="79"/>
      <c r="P1269" s="26"/>
      <c r="Q1269" s="58"/>
      <c r="R1269" s="58"/>
      <c r="S1269" s="80"/>
      <c r="T1269" s="68" t="str">
        <f aca="false">IF(LEFT(S1269,1)="9","Celular",IF(S1269="","","Fixo"))</f>
        <v/>
      </c>
      <c r="U1269" s="58" t="str">
        <f aca="false">IF( T1269&lt;&gt;"",VLOOKUP(T1269,Selects!$M$4:$N$1000,2,0),"")</f>
        <v/>
      </c>
      <c r="V1269" s="26"/>
      <c r="W1269" s="58"/>
      <c r="X1269" s="58"/>
      <c r="Y1269" s="58"/>
      <c r="Z1269" s="58"/>
      <c r="AA1269" s="69"/>
      <c r="AB1269" s="58"/>
      <c r="AC1269" s="58"/>
      <c r="AD1269" s="72" t="str">
        <f aca="false">IF(AC1269&lt;&gt;"",VLOOKUP(AC1269,Selects!$B$4:$C$100,2,0),"")</f>
        <v/>
      </c>
      <c r="AE1269" s="26"/>
      <c r="AF1269" s="58"/>
      <c r="AG1269" s="59"/>
      <c r="AH1269" s="65"/>
      <c r="AI1269" s="66"/>
      <c r="AJ1269" s="66"/>
      <c r="AK1269" s="58"/>
      <c r="AL1269" s="58"/>
      <c r="AM1269" s="68" t="str">
        <f aca="false">IF(LEFT(AL1269,1)="9","Celular",IF(AL1269="","","Fixo"))</f>
        <v/>
      </c>
      <c r="AN1269" s="58" t="str">
        <f aca="false">IF( AM1269&lt;&gt;"",VLOOKUP(AM1269,Selects!$M$4:$N$1000,2,0),"")</f>
        <v/>
      </c>
      <c r="AO1269" s="58"/>
      <c r="AP1269" s="59"/>
      <c r="AQ1269" s="66"/>
      <c r="AR1269" s="58"/>
      <c r="AS1269" s="58"/>
      <c r="AT1269" s="26"/>
      <c r="AU1269" s="58"/>
      <c r="AV1269" s="58"/>
      <c r="AW1269" s="58"/>
      <c r="AX1269" s="58"/>
      <c r="AY1269" s="71"/>
      <c r="AZ1269" s="58"/>
      <c r="BA1269" s="58"/>
      <c r="BB1269" s="72" t="str">
        <f aca="false">IF(BA1269&lt;&gt;"",VLOOKUP(BA1269,Selects!$B$4:$C$100,2,0),"")</f>
        <v/>
      </c>
      <c r="BC1269" s="26"/>
      <c r="BD1269" s="26"/>
      <c r="BE1269" s="73"/>
      <c r="BF1269" s="74"/>
      <c r="BG1269" s="75" t="str">
        <f aca="false">IF(LEN(BF1269)=11,"PF",IF(LEN(BF1269)=14,"PJ",""))</f>
        <v/>
      </c>
      <c r="BH1269" s="66"/>
      <c r="BI1269" s="58" t="str">
        <f aca="false">IF(BH1269&lt;&gt;"",VLOOKUP(BH1269,Selects!$G:$H,2,0),"")</f>
        <v/>
      </c>
      <c r="BJ1269" s="58"/>
      <c r="BK1269" s="58"/>
      <c r="BL1269" s="59"/>
      <c r="BM1269" s="58"/>
      <c r="BN1269" s="58"/>
      <c r="BO1269" s="58" t="str">
        <f aca="false">IF(BN1269&lt;&gt;"",VLOOKUP(BN1269,Selects!$J$4:$K$1000,2,0),"")</f>
        <v/>
      </c>
      <c r="BP1269" s="76"/>
      <c r="BQ1269" s="59"/>
      <c r="BR1269" s="77"/>
      <c r="BS1269" s="59"/>
      <c r="BT1269" s="77"/>
      <c r="BU1269" s="58"/>
      <c r="BV1269" s="58"/>
      <c r="BW1269" s="58"/>
      <c r="BX1269" s="58"/>
      <c r="BY1269" s="58"/>
      <c r="BZ1269" s="58"/>
      <c r="CA1269" s="58"/>
      <c r="CB1269" s="72" t="str">
        <f aca="false">IF(AC1269&lt;&gt;"",VLOOKUP(AC1269,Selects!$B:$E,4,0),"")</f>
        <v/>
      </c>
      <c r="CC1269" s="58"/>
      <c r="CD1269" s="58"/>
      <c r="CE1269" s="58"/>
    </row>
    <row r="1270" customFormat="false" ht="15" hidden="true" customHeight="false" outlineLevel="0" collapsed="false">
      <c r="B1270" s="58"/>
      <c r="C1270" s="58"/>
      <c r="D1270" s="59"/>
      <c r="E1270" s="60" t="str">
        <f aca="false">IF(LEN(D1270)=11,"PF",IF(LEN(D1270)=14,"PJ",""))</f>
        <v/>
      </c>
      <c r="F1270" s="59"/>
      <c r="G1270" s="59"/>
      <c r="H1270" s="61" t="str">
        <f aca="false">IF(G1270&lt;&gt;"",VLOOKUP(G1270,'Cnae  mcc  id'!$A:$M,9,0),"")</f>
        <v/>
      </c>
      <c r="I1270" s="62"/>
      <c r="J1270" s="63" t="str">
        <f aca="false">IF(I1270&lt;&gt;"",VLOOKUP(I1270,'Legal Nature'!$E$2:$G$84,3,0),"")</f>
        <v/>
      </c>
      <c r="K1270" s="64"/>
      <c r="L1270" s="65"/>
      <c r="M1270" s="66"/>
      <c r="N1270" s="66"/>
      <c r="O1270" s="79"/>
      <c r="P1270" s="26"/>
      <c r="Q1270" s="58"/>
      <c r="R1270" s="58"/>
      <c r="S1270" s="80"/>
      <c r="T1270" s="68" t="str">
        <f aca="false">IF(LEFT(S1270,1)="9","Celular",IF(S1270="","","Fixo"))</f>
        <v/>
      </c>
      <c r="U1270" s="58" t="str">
        <f aca="false">IF( T1270&lt;&gt;"",VLOOKUP(T1270,Selects!$M$4:$N$1000,2,0),"")</f>
        <v/>
      </c>
      <c r="V1270" s="26"/>
      <c r="W1270" s="58"/>
      <c r="X1270" s="58"/>
      <c r="Y1270" s="58"/>
      <c r="Z1270" s="58"/>
      <c r="AA1270" s="69"/>
      <c r="AB1270" s="58"/>
      <c r="AC1270" s="58"/>
      <c r="AD1270" s="72" t="str">
        <f aca="false">IF(AC1270&lt;&gt;"",VLOOKUP(AC1270,Selects!$B$4:$C$100,2,0),"")</f>
        <v/>
      </c>
      <c r="AE1270" s="26"/>
      <c r="AF1270" s="58"/>
      <c r="AG1270" s="59"/>
      <c r="AH1270" s="65"/>
      <c r="AI1270" s="66"/>
      <c r="AJ1270" s="66"/>
      <c r="AK1270" s="58"/>
      <c r="AL1270" s="58"/>
      <c r="AM1270" s="68" t="str">
        <f aca="false">IF(LEFT(AL1270,1)="9","Celular",IF(AL1270="","","Fixo"))</f>
        <v/>
      </c>
      <c r="AN1270" s="58" t="str">
        <f aca="false">IF( AM1270&lt;&gt;"",VLOOKUP(AM1270,Selects!$M$4:$N$1000,2,0),"")</f>
        <v/>
      </c>
      <c r="AO1270" s="58"/>
      <c r="AP1270" s="59"/>
      <c r="AQ1270" s="66"/>
      <c r="AR1270" s="58"/>
      <c r="AS1270" s="58"/>
      <c r="AT1270" s="26"/>
      <c r="AU1270" s="58"/>
      <c r="AV1270" s="58"/>
      <c r="AW1270" s="58"/>
      <c r="AX1270" s="58"/>
      <c r="AY1270" s="71"/>
      <c r="AZ1270" s="58"/>
      <c r="BA1270" s="58"/>
      <c r="BB1270" s="72" t="str">
        <f aca="false">IF(BA1270&lt;&gt;"",VLOOKUP(BA1270,Selects!$B$4:$C$100,2,0),"")</f>
        <v/>
      </c>
      <c r="BC1270" s="26"/>
      <c r="BD1270" s="26"/>
      <c r="BE1270" s="73"/>
      <c r="BF1270" s="74"/>
      <c r="BG1270" s="75" t="str">
        <f aca="false">IF(LEN(BF1270)=11,"PF",IF(LEN(BF1270)=14,"PJ",""))</f>
        <v/>
      </c>
      <c r="BH1270" s="66"/>
      <c r="BI1270" s="58" t="str">
        <f aca="false">IF(BH1270&lt;&gt;"",VLOOKUP(BH1270,Selects!$G:$H,2,0),"")</f>
        <v/>
      </c>
      <c r="BJ1270" s="58"/>
      <c r="BK1270" s="58"/>
      <c r="BL1270" s="59"/>
      <c r="BM1270" s="58"/>
      <c r="BN1270" s="58"/>
      <c r="BO1270" s="58" t="str">
        <f aca="false">IF(BN1270&lt;&gt;"",VLOOKUP(BN1270,Selects!$J$4:$K$1000,2,0),"")</f>
        <v/>
      </c>
      <c r="BP1270" s="76"/>
      <c r="BQ1270" s="59"/>
      <c r="BR1270" s="77"/>
      <c r="BS1270" s="59"/>
      <c r="BT1270" s="77"/>
      <c r="BU1270" s="58"/>
      <c r="BV1270" s="58"/>
      <c r="BW1270" s="58"/>
      <c r="BX1270" s="58"/>
      <c r="BY1270" s="58"/>
      <c r="BZ1270" s="58"/>
      <c r="CA1270" s="58"/>
      <c r="CB1270" s="72" t="str">
        <f aca="false">IF(AC1270&lt;&gt;"",VLOOKUP(AC1270,Selects!$B:$E,4,0),"")</f>
        <v/>
      </c>
      <c r="CC1270" s="58"/>
      <c r="CD1270" s="58"/>
      <c r="CE1270" s="58"/>
    </row>
    <row r="1271" customFormat="false" ht="15" hidden="true" customHeight="false" outlineLevel="0" collapsed="false">
      <c r="B1271" s="58"/>
      <c r="C1271" s="58"/>
      <c r="D1271" s="59"/>
      <c r="E1271" s="60" t="str">
        <f aca="false">IF(LEN(D1271)=11,"PF",IF(LEN(D1271)=14,"PJ",""))</f>
        <v/>
      </c>
      <c r="F1271" s="59"/>
      <c r="G1271" s="59"/>
      <c r="H1271" s="61" t="str">
        <f aca="false">IF(G1271&lt;&gt;"",VLOOKUP(G1271,'Cnae  mcc  id'!$A:$M,9,0),"")</f>
        <v/>
      </c>
      <c r="I1271" s="62"/>
      <c r="J1271" s="63" t="str">
        <f aca="false">IF(I1271&lt;&gt;"",VLOOKUP(I1271,'Legal Nature'!$E$2:$G$84,3,0),"")</f>
        <v/>
      </c>
      <c r="K1271" s="64"/>
      <c r="L1271" s="65"/>
      <c r="M1271" s="66"/>
      <c r="N1271" s="66"/>
      <c r="O1271" s="79"/>
      <c r="P1271" s="26"/>
      <c r="Q1271" s="58"/>
      <c r="R1271" s="58"/>
      <c r="S1271" s="80"/>
      <c r="T1271" s="68" t="str">
        <f aca="false">IF(LEFT(S1271,1)="9","Celular",IF(S1271="","","Fixo"))</f>
        <v/>
      </c>
      <c r="U1271" s="58" t="str">
        <f aca="false">IF( T1271&lt;&gt;"",VLOOKUP(T1271,Selects!$M$4:$N$1000,2,0),"")</f>
        <v/>
      </c>
      <c r="V1271" s="26"/>
      <c r="W1271" s="58"/>
      <c r="X1271" s="58"/>
      <c r="Y1271" s="58"/>
      <c r="Z1271" s="58"/>
      <c r="AA1271" s="69"/>
      <c r="AB1271" s="58"/>
      <c r="AC1271" s="58"/>
      <c r="AD1271" s="72" t="str">
        <f aca="false">IF(AC1271&lt;&gt;"",VLOOKUP(AC1271,Selects!$B$4:$C$100,2,0),"")</f>
        <v/>
      </c>
      <c r="AE1271" s="26"/>
      <c r="AF1271" s="58"/>
      <c r="AG1271" s="59"/>
      <c r="AH1271" s="65"/>
      <c r="AI1271" s="66"/>
      <c r="AJ1271" s="66"/>
      <c r="AK1271" s="58"/>
      <c r="AL1271" s="58"/>
      <c r="AM1271" s="68" t="str">
        <f aca="false">IF(LEFT(AL1271,1)="9","Celular",IF(AL1271="","","Fixo"))</f>
        <v/>
      </c>
      <c r="AN1271" s="58" t="str">
        <f aca="false">IF( AM1271&lt;&gt;"",VLOOKUP(AM1271,Selects!$M$4:$N$1000,2,0),"")</f>
        <v/>
      </c>
      <c r="AO1271" s="58"/>
      <c r="AP1271" s="59"/>
      <c r="AQ1271" s="66"/>
      <c r="AR1271" s="58"/>
      <c r="AS1271" s="58"/>
      <c r="AT1271" s="26"/>
      <c r="AU1271" s="58"/>
      <c r="AV1271" s="58"/>
      <c r="AW1271" s="58"/>
      <c r="AX1271" s="58"/>
      <c r="AY1271" s="71"/>
      <c r="AZ1271" s="58"/>
      <c r="BA1271" s="58"/>
      <c r="BB1271" s="72" t="str">
        <f aca="false">IF(BA1271&lt;&gt;"",VLOOKUP(BA1271,Selects!$B$4:$C$100,2,0),"")</f>
        <v/>
      </c>
      <c r="BC1271" s="26"/>
      <c r="BD1271" s="26"/>
      <c r="BE1271" s="73"/>
      <c r="BF1271" s="74"/>
      <c r="BG1271" s="75" t="str">
        <f aca="false">IF(LEN(BF1271)=11,"PF",IF(LEN(BF1271)=14,"PJ",""))</f>
        <v/>
      </c>
      <c r="BH1271" s="66"/>
      <c r="BI1271" s="58" t="str">
        <f aca="false">IF(BH1271&lt;&gt;"",VLOOKUP(BH1271,Selects!$G:$H,2,0),"")</f>
        <v/>
      </c>
      <c r="BJ1271" s="58"/>
      <c r="BK1271" s="58"/>
      <c r="BL1271" s="59"/>
      <c r="BM1271" s="58"/>
      <c r="BN1271" s="58"/>
      <c r="BO1271" s="58" t="str">
        <f aca="false">IF(BN1271&lt;&gt;"",VLOOKUP(BN1271,Selects!$J$4:$K$1000,2,0),"")</f>
        <v/>
      </c>
      <c r="BP1271" s="76"/>
      <c r="BQ1271" s="59"/>
      <c r="BR1271" s="77"/>
      <c r="BS1271" s="59"/>
      <c r="BT1271" s="77"/>
      <c r="BU1271" s="58"/>
      <c r="BV1271" s="58"/>
      <c r="BW1271" s="58"/>
      <c r="BX1271" s="58"/>
      <c r="BY1271" s="58"/>
      <c r="BZ1271" s="58"/>
      <c r="CA1271" s="58"/>
      <c r="CB1271" s="72" t="str">
        <f aca="false">IF(AC1271&lt;&gt;"",VLOOKUP(AC1271,Selects!$B:$E,4,0),"")</f>
        <v/>
      </c>
      <c r="CC1271" s="58"/>
      <c r="CD1271" s="58"/>
      <c r="CE1271" s="58"/>
    </row>
    <row r="1272" customFormat="false" ht="15" hidden="true" customHeight="false" outlineLevel="0" collapsed="false">
      <c r="B1272" s="58"/>
      <c r="C1272" s="58"/>
      <c r="D1272" s="59"/>
      <c r="E1272" s="60" t="str">
        <f aca="false">IF(LEN(D1272)=11,"PF",IF(LEN(D1272)=14,"PJ",""))</f>
        <v/>
      </c>
      <c r="F1272" s="59"/>
      <c r="G1272" s="59"/>
      <c r="H1272" s="61" t="str">
        <f aca="false">IF(G1272&lt;&gt;"",VLOOKUP(G1272,'Cnae  mcc  id'!$A:$M,9,0),"")</f>
        <v/>
      </c>
      <c r="I1272" s="62"/>
      <c r="J1272" s="63" t="str">
        <f aca="false">IF(I1272&lt;&gt;"",VLOOKUP(I1272,'Legal Nature'!$E$2:$G$84,3,0),"")</f>
        <v/>
      </c>
      <c r="K1272" s="64"/>
      <c r="L1272" s="65"/>
      <c r="M1272" s="66"/>
      <c r="N1272" s="66"/>
      <c r="O1272" s="79"/>
      <c r="P1272" s="26"/>
      <c r="Q1272" s="58"/>
      <c r="R1272" s="58"/>
      <c r="S1272" s="80"/>
      <c r="T1272" s="68" t="str">
        <f aca="false">IF(LEFT(S1272,1)="9","Celular",IF(S1272="","","Fixo"))</f>
        <v/>
      </c>
      <c r="U1272" s="58" t="str">
        <f aca="false">IF( T1272&lt;&gt;"",VLOOKUP(T1272,Selects!$M$4:$N$1000,2,0),"")</f>
        <v/>
      </c>
      <c r="V1272" s="26"/>
      <c r="W1272" s="58"/>
      <c r="X1272" s="58"/>
      <c r="Y1272" s="58"/>
      <c r="Z1272" s="58"/>
      <c r="AA1272" s="69"/>
      <c r="AB1272" s="58"/>
      <c r="AC1272" s="58"/>
      <c r="AD1272" s="72" t="str">
        <f aca="false">IF(AC1272&lt;&gt;"",VLOOKUP(AC1272,Selects!$B$4:$C$100,2,0),"")</f>
        <v/>
      </c>
      <c r="AE1272" s="26"/>
      <c r="AF1272" s="58"/>
      <c r="AG1272" s="59"/>
      <c r="AH1272" s="65"/>
      <c r="AI1272" s="66"/>
      <c r="AJ1272" s="66"/>
      <c r="AK1272" s="58"/>
      <c r="AL1272" s="58"/>
      <c r="AM1272" s="68" t="str">
        <f aca="false">IF(LEFT(AL1272,1)="9","Celular",IF(AL1272="","","Fixo"))</f>
        <v/>
      </c>
      <c r="AN1272" s="58" t="str">
        <f aca="false">IF( AM1272&lt;&gt;"",VLOOKUP(AM1272,Selects!$M$4:$N$1000,2,0),"")</f>
        <v/>
      </c>
      <c r="AO1272" s="58"/>
      <c r="AP1272" s="59"/>
      <c r="AQ1272" s="66"/>
      <c r="AR1272" s="58"/>
      <c r="AS1272" s="58"/>
      <c r="AT1272" s="26"/>
      <c r="AU1272" s="58"/>
      <c r="AV1272" s="58"/>
      <c r="AW1272" s="58"/>
      <c r="AX1272" s="58"/>
      <c r="AY1272" s="71"/>
      <c r="AZ1272" s="58"/>
      <c r="BA1272" s="58"/>
      <c r="BB1272" s="72" t="str">
        <f aca="false">IF(BA1272&lt;&gt;"",VLOOKUP(BA1272,Selects!$B$4:$C$100,2,0),"")</f>
        <v/>
      </c>
      <c r="BC1272" s="26"/>
      <c r="BD1272" s="26"/>
      <c r="BE1272" s="73"/>
      <c r="BF1272" s="74"/>
      <c r="BG1272" s="75" t="str">
        <f aca="false">IF(LEN(BF1272)=11,"PF",IF(LEN(BF1272)=14,"PJ",""))</f>
        <v/>
      </c>
      <c r="BH1272" s="66"/>
      <c r="BI1272" s="58" t="str">
        <f aca="false">IF(BH1272&lt;&gt;"",VLOOKUP(BH1272,Selects!$G:$H,2,0),"")</f>
        <v/>
      </c>
      <c r="BJ1272" s="58"/>
      <c r="BK1272" s="58"/>
      <c r="BL1272" s="59"/>
      <c r="BM1272" s="58"/>
      <c r="BN1272" s="58"/>
      <c r="BO1272" s="58" t="str">
        <f aca="false">IF(BN1272&lt;&gt;"",VLOOKUP(BN1272,Selects!$J$4:$K$1000,2,0),"")</f>
        <v/>
      </c>
      <c r="BP1272" s="76"/>
      <c r="BQ1272" s="59"/>
      <c r="BR1272" s="77"/>
      <c r="BS1272" s="59"/>
      <c r="BT1272" s="77"/>
      <c r="BU1272" s="58"/>
      <c r="BV1272" s="58"/>
      <c r="BW1272" s="58"/>
      <c r="BX1272" s="58"/>
      <c r="BY1272" s="58"/>
      <c r="BZ1272" s="58"/>
      <c r="CA1272" s="58"/>
      <c r="CB1272" s="72" t="str">
        <f aca="false">IF(AC1272&lt;&gt;"",VLOOKUP(AC1272,Selects!$B:$E,4,0),"")</f>
        <v/>
      </c>
      <c r="CC1272" s="58"/>
      <c r="CD1272" s="58"/>
      <c r="CE1272" s="58"/>
    </row>
    <row r="1273" customFormat="false" ht="15" hidden="true" customHeight="false" outlineLevel="0" collapsed="false">
      <c r="B1273" s="58"/>
      <c r="C1273" s="58"/>
      <c r="D1273" s="59"/>
      <c r="E1273" s="60" t="str">
        <f aca="false">IF(LEN(D1273)=11,"PF",IF(LEN(D1273)=14,"PJ",""))</f>
        <v/>
      </c>
      <c r="F1273" s="59"/>
      <c r="G1273" s="59"/>
      <c r="H1273" s="61" t="str">
        <f aca="false">IF(G1273&lt;&gt;"",VLOOKUP(G1273,'Cnae  mcc  id'!$A:$M,9,0),"")</f>
        <v/>
      </c>
      <c r="I1273" s="62"/>
      <c r="J1273" s="63" t="str">
        <f aca="false">IF(I1273&lt;&gt;"",VLOOKUP(I1273,'Legal Nature'!$E$2:$G$84,3,0),"")</f>
        <v/>
      </c>
      <c r="K1273" s="64"/>
      <c r="L1273" s="65"/>
      <c r="M1273" s="66"/>
      <c r="N1273" s="66"/>
      <c r="O1273" s="79"/>
      <c r="P1273" s="26"/>
      <c r="Q1273" s="58"/>
      <c r="R1273" s="58"/>
      <c r="S1273" s="80"/>
      <c r="T1273" s="68" t="str">
        <f aca="false">IF(LEFT(S1273,1)="9","Celular",IF(S1273="","","Fixo"))</f>
        <v/>
      </c>
      <c r="U1273" s="58" t="str">
        <f aca="false">IF( T1273&lt;&gt;"",VLOOKUP(T1273,Selects!$M$4:$N$1000,2,0),"")</f>
        <v/>
      </c>
      <c r="V1273" s="26"/>
      <c r="W1273" s="58"/>
      <c r="X1273" s="58"/>
      <c r="Y1273" s="58"/>
      <c r="Z1273" s="58"/>
      <c r="AA1273" s="69"/>
      <c r="AB1273" s="58"/>
      <c r="AC1273" s="58"/>
      <c r="AD1273" s="72" t="str">
        <f aca="false">IF(AC1273&lt;&gt;"",VLOOKUP(AC1273,Selects!$B$4:$C$100,2,0),"")</f>
        <v/>
      </c>
      <c r="AE1273" s="26"/>
      <c r="AF1273" s="58"/>
      <c r="AG1273" s="59"/>
      <c r="AH1273" s="65"/>
      <c r="AI1273" s="66"/>
      <c r="AJ1273" s="66"/>
      <c r="AK1273" s="58"/>
      <c r="AL1273" s="58"/>
      <c r="AM1273" s="68" t="str">
        <f aca="false">IF(LEFT(AL1273,1)="9","Celular",IF(AL1273="","","Fixo"))</f>
        <v/>
      </c>
      <c r="AN1273" s="58" t="str">
        <f aca="false">IF( AM1273&lt;&gt;"",VLOOKUP(AM1273,Selects!$M$4:$N$1000,2,0),"")</f>
        <v/>
      </c>
      <c r="AO1273" s="58"/>
      <c r="AP1273" s="59"/>
      <c r="AQ1273" s="66"/>
      <c r="AR1273" s="58"/>
      <c r="AS1273" s="58"/>
      <c r="AT1273" s="26"/>
      <c r="AU1273" s="58"/>
      <c r="AV1273" s="58"/>
      <c r="AW1273" s="58"/>
      <c r="AX1273" s="58"/>
      <c r="AY1273" s="71"/>
      <c r="AZ1273" s="58"/>
      <c r="BA1273" s="58"/>
      <c r="BB1273" s="72" t="str">
        <f aca="false">IF(BA1273&lt;&gt;"",VLOOKUP(BA1273,Selects!$B$4:$C$100,2,0),"")</f>
        <v/>
      </c>
      <c r="BC1273" s="26"/>
      <c r="BD1273" s="26"/>
      <c r="BE1273" s="73"/>
      <c r="BF1273" s="74"/>
      <c r="BG1273" s="75" t="str">
        <f aca="false">IF(LEN(BF1273)=11,"PF",IF(LEN(BF1273)=14,"PJ",""))</f>
        <v/>
      </c>
      <c r="BH1273" s="66"/>
      <c r="BI1273" s="58" t="str">
        <f aca="false">IF(BH1273&lt;&gt;"",VLOOKUP(BH1273,Selects!$G:$H,2,0),"")</f>
        <v/>
      </c>
      <c r="BJ1273" s="58"/>
      <c r="BK1273" s="58"/>
      <c r="BL1273" s="59"/>
      <c r="BM1273" s="58"/>
      <c r="BN1273" s="58"/>
      <c r="BO1273" s="58" t="str">
        <f aca="false">IF(BN1273&lt;&gt;"",VLOOKUP(BN1273,Selects!$J$4:$K$1000,2,0),"")</f>
        <v/>
      </c>
      <c r="BP1273" s="76"/>
      <c r="BQ1273" s="59"/>
      <c r="BR1273" s="77"/>
      <c r="BS1273" s="59"/>
      <c r="BT1273" s="77"/>
      <c r="BU1273" s="58"/>
      <c r="BV1273" s="58"/>
      <c r="BW1273" s="58"/>
      <c r="BX1273" s="58"/>
      <c r="BY1273" s="58"/>
      <c r="BZ1273" s="58"/>
      <c r="CA1273" s="58"/>
      <c r="CB1273" s="72" t="str">
        <f aca="false">IF(AC1273&lt;&gt;"",VLOOKUP(AC1273,Selects!$B:$E,4,0),"")</f>
        <v/>
      </c>
      <c r="CC1273" s="58"/>
      <c r="CD1273" s="58"/>
      <c r="CE1273" s="58"/>
    </row>
    <row r="1274" customFormat="false" ht="15" hidden="true" customHeight="false" outlineLevel="0" collapsed="false">
      <c r="B1274" s="58"/>
      <c r="C1274" s="58"/>
      <c r="D1274" s="59"/>
      <c r="E1274" s="60" t="str">
        <f aca="false">IF(LEN(D1274)=11,"PF",IF(LEN(D1274)=14,"PJ",""))</f>
        <v/>
      </c>
      <c r="F1274" s="59"/>
      <c r="G1274" s="59"/>
      <c r="H1274" s="61" t="str">
        <f aca="false">IF(G1274&lt;&gt;"",VLOOKUP(G1274,'Cnae  mcc  id'!$A:$M,9,0),"")</f>
        <v/>
      </c>
      <c r="I1274" s="62"/>
      <c r="J1274" s="63" t="str">
        <f aca="false">IF(I1274&lt;&gt;"",VLOOKUP(I1274,'Legal Nature'!$E$2:$G$84,3,0),"")</f>
        <v/>
      </c>
      <c r="K1274" s="64"/>
      <c r="L1274" s="65"/>
      <c r="M1274" s="66"/>
      <c r="N1274" s="66"/>
      <c r="O1274" s="79"/>
      <c r="P1274" s="26"/>
      <c r="Q1274" s="58"/>
      <c r="R1274" s="58"/>
      <c r="S1274" s="80"/>
      <c r="T1274" s="68" t="str">
        <f aca="false">IF(LEFT(S1274,1)="9","Celular",IF(S1274="","","Fixo"))</f>
        <v/>
      </c>
      <c r="U1274" s="58" t="str">
        <f aca="false">IF( T1274&lt;&gt;"",VLOOKUP(T1274,Selects!$M$4:$N$1000,2,0),"")</f>
        <v/>
      </c>
      <c r="V1274" s="26"/>
      <c r="W1274" s="58"/>
      <c r="X1274" s="58"/>
      <c r="Y1274" s="58"/>
      <c r="Z1274" s="58"/>
      <c r="AA1274" s="69"/>
      <c r="AB1274" s="58"/>
      <c r="AC1274" s="58"/>
      <c r="AD1274" s="72" t="str">
        <f aca="false">IF(AC1274&lt;&gt;"",VLOOKUP(AC1274,Selects!$B$4:$C$100,2,0),"")</f>
        <v/>
      </c>
      <c r="AE1274" s="26"/>
      <c r="AF1274" s="58"/>
      <c r="AG1274" s="59"/>
      <c r="AH1274" s="65"/>
      <c r="AI1274" s="66"/>
      <c r="AJ1274" s="66"/>
      <c r="AK1274" s="58"/>
      <c r="AL1274" s="58"/>
      <c r="AM1274" s="68" t="str">
        <f aca="false">IF(LEFT(AL1274,1)="9","Celular",IF(AL1274="","","Fixo"))</f>
        <v/>
      </c>
      <c r="AN1274" s="58" t="str">
        <f aca="false">IF( AM1274&lt;&gt;"",VLOOKUP(AM1274,Selects!$M$4:$N$1000,2,0),"")</f>
        <v/>
      </c>
      <c r="AO1274" s="58"/>
      <c r="AP1274" s="59"/>
      <c r="AQ1274" s="66"/>
      <c r="AR1274" s="58"/>
      <c r="AS1274" s="58"/>
      <c r="AT1274" s="26"/>
      <c r="AU1274" s="58"/>
      <c r="AV1274" s="58"/>
      <c r="AW1274" s="58"/>
      <c r="AX1274" s="58"/>
      <c r="AY1274" s="71"/>
      <c r="AZ1274" s="58"/>
      <c r="BA1274" s="58"/>
      <c r="BB1274" s="72" t="str">
        <f aca="false">IF(BA1274&lt;&gt;"",VLOOKUP(BA1274,Selects!$B$4:$C$100,2,0),"")</f>
        <v/>
      </c>
      <c r="BC1274" s="26"/>
      <c r="BD1274" s="26"/>
      <c r="BE1274" s="73"/>
      <c r="BF1274" s="74"/>
      <c r="BG1274" s="75" t="str">
        <f aca="false">IF(LEN(BF1274)=11,"PF",IF(LEN(BF1274)=14,"PJ",""))</f>
        <v/>
      </c>
      <c r="BH1274" s="66"/>
      <c r="BI1274" s="58" t="str">
        <f aca="false">IF(BH1274&lt;&gt;"",VLOOKUP(BH1274,Selects!$G:$H,2,0),"")</f>
        <v/>
      </c>
      <c r="BJ1274" s="58"/>
      <c r="BK1274" s="58"/>
      <c r="BL1274" s="59"/>
      <c r="BM1274" s="58"/>
      <c r="BN1274" s="58"/>
      <c r="BO1274" s="58" t="str">
        <f aca="false">IF(BN1274&lt;&gt;"",VLOOKUP(BN1274,Selects!$J$4:$K$1000,2,0),"")</f>
        <v/>
      </c>
      <c r="BP1274" s="76"/>
      <c r="BQ1274" s="59"/>
      <c r="BR1274" s="77"/>
      <c r="BS1274" s="59"/>
      <c r="BT1274" s="77"/>
      <c r="BU1274" s="58"/>
      <c r="BV1274" s="58"/>
      <c r="BW1274" s="58"/>
      <c r="BX1274" s="58"/>
      <c r="BY1274" s="58"/>
      <c r="BZ1274" s="58"/>
      <c r="CA1274" s="58"/>
      <c r="CB1274" s="72" t="str">
        <f aca="false">IF(AC1274&lt;&gt;"",VLOOKUP(AC1274,Selects!$B:$E,4,0),"")</f>
        <v/>
      </c>
      <c r="CC1274" s="58"/>
      <c r="CD1274" s="58"/>
      <c r="CE1274" s="58"/>
    </row>
    <row r="1275" customFormat="false" ht="15" hidden="true" customHeight="false" outlineLevel="0" collapsed="false">
      <c r="B1275" s="58"/>
      <c r="C1275" s="58"/>
      <c r="D1275" s="59"/>
      <c r="E1275" s="60" t="str">
        <f aca="false">IF(LEN(D1275)=11,"PF",IF(LEN(D1275)=14,"PJ",""))</f>
        <v/>
      </c>
      <c r="F1275" s="59"/>
      <c r="G1275" s="59"/>
      <c r="H1275" s="61" t="str">
        <f aca="false">IF(G1275&lt;&gt;"",VLOOKUP(G1275,'Cnae  mcc  id'!$A:$M,9,0),"")</f>
        <v/>
      </c>
      <c r="I1275" s="62"/>
      <c r="J1275" s="63" t="str">
        <f aca="false">IF(I1275&lt;&gt;"",VLOOKUP(I1275,'Legal Nature'!$E$2:$G$84,3,0),"")</f>
        <v/>
      </c>
      <c r="K1275" s="64"/>
      <c r="L1275" s="65"/>
      <c r="M1275" s="66"/>
      <c r="N1275" s="66"/>
      <c r="O1275" s="79"/>
      <c r="P1275" s="26"/>
      <c r="Q1275" s="58"/>
      <c r="R1275" s="58"/>
      <c r="S1275" s="80"/>
      <c r="T1275" s="68" t="str">
        <f aca="false">IF(LEFT(S1275,1)="9","Celular",IF(S1275="","","Fixo"))</f>
        <v/>
      </c>
      <c r="U1275" s="58" t="str">
        <f aca="false">IF( T1275&lt;&gt;"",VLOOKUP(T1275,Selects!$M$4:$N$1000,2,0),"")</f>
        <v/>
      </c>
      <c r="V1275" s="26"/>
      <c r="W1275" s="58"/>
      <c r="X1275" s="58"/>
      <c r="Y1275" s="58"/>
      <c r="Z1275" s="58"/>
      <c r="AA1275" s="69"/>
      <c r="AB1275" s="58"/>
      <c r="AC1275" s="58"/>
      <c r="AD1275" s="72" t="str">
        <f aca="false">IF(AC1275&lt;&gt;"",VLOOKUP(AC1275,Selects!$B$4:$C$100,2,0),"")</f>
        <v/>
      </c>
      <c r="AE1275" s="26"/>
      <c r="AF1275" s="58"/>
      <c r="AG1275" s="59"/>
      <c r="AH1275" s="65"/>
      <c r="AI1275" s="66"/>
      <c r="AJ1275" s="66"/>
      <c r="AK1275" s="58"/>
      <c r="AL1275" s="58"/>
      <c r="AM1275" s="68" t="str">
        <f aca="false">IF(LEFT(AL1275,1)="9","Celular",IF(AL1275="","","Fixo"))</f>
        <v/>
      </c>
      <c r="AN1275" s="58" t="str">
        <f aca="false">IF( AM1275&lt;&gt;"",VLOOKUP(AM1275,Selects!$M$4:$N$1000,2,0),"")</f>
        <v/>
      </c>
      <c r="AO1275" s="58"/>
      <c r="AP1275" s="59"/>
      <c r="AQ1275" s="66"/>
      <c r="AR1275" s="58"/>
      <c r="AS1275" s="58"/>
      <c r="AT1275" s="26"/>
      <c r="AU1275" s="58"/>
      <c r="AV1275" s="58"/>
      <c r="AW1275" s="58"/>
      <c r="AX1275" s="58"/>
      <c r="AY1275" s="71"/>
      <c r="AZ1275" s="58"/>
      <c r="BA1275" s="58"/>
      <c r="BB1275" s="72" t="str">
        <f aca="false">IF(BA1275&lt;&gt;"",VLOOKUP(BA1275,Selects!$B$4:$C$100,2,0),"")</f>
        <v/>
      </c>
      <c r="BC1275" s="26"/>
      <c r="BD1275" s="26"/>
      <c r="BE1275" s="73"/>
      <c r="BF1275" s="74"/>
      <c r="BG1275" s="75" t="str">
        <f aca="false">IF(LEN(BF1275)=11,"PF",IF(LEN(BF1275)=14,"PJ",""))</f>
        <v/>
      </c>
      <c r="BH1275" s="66"/>
      <c r="BI1275" s="58" t="str">
        <f aca="false">IF(BH1275&lt;&gt;"",VLOOKUP(BH1275,Selects!$G:$H,2,0),"")</f>
        <v/>
      </c>
      <c r="BJ1275" s="58"/>
      <c r="BK1275" s="58"/>
      <c r="BL1275" s="59"/>
      <c r="BM1275" s="58"/>
      <c r="BN1275" s="58"/>
      <c r="BO1275" s="58" t="str">
        <f aca="false">IF(BN1275&lt;&gt;"",VLOOKUP(BN1275,Selects!$J$4:$K$1000,2,0),"")</f>
        <v/>
      </c>
      <c r="BP1275" s="76"/>
      <c r="BQ1275" s="59"/>
      <c r="BR1275" s="77"/>
      <c r="BS1275" s="59"/>
      <c r="BT1275" s="77"/>
      <c r="BU1275" s="58"/>
      <c r="BV1275" s="58"/>
      <c r="BW1275" s="58"/>
      <c r="BX1275" s="58"/>
      <c r="BY1275" s="58"/>
      <c r="BZ1275" s="58"/>
      <c r="CA1275" s="58"/>
      <c r="CB1275" s="72" t="str">
        <f aca="false">IF(AC1275&lt;&gt;"",VLOOKUP(AC1275,Selects!$B:$E,4,0),"")</f>
        <v/>
      </c>
      <c r="CC1275" s="58"/>
      <c r="CD1275" s="58"/>
      <c r="CE1275" s="58"/>
    </row>
    <row r="1276" customFormat="false" ht="15" hidden="true" customHeight="false" outlineLevel="0" collapsed="false">
      <c r="B1276" s="58"/>
      <c r="C1276" s="58"/>
      <c r="D1276" s="59"/>
      <c r="E1276" s="60" t="str">
        <f aca="false">IF(LEN(D1276)=11,"PF",IF(LEN(D1276)=14,"PJ",""))</f>
        <v/>
      </c>
      <c r="F1276" s="59"/>
      <c r="G1276" s="59"/>
      <c r="H1276" s="61" t="str">
        <f aca="false">IF(G1276&lt;&gt;"",VLOOKUP(G1276,'Cnae  mcc  id'!$A:$M,9,0),"")</f>
        <v/>
      </c>
      <c r="I1276" s="62"/>
      <c r="J1276" s="63" t="str">
        <f aca="false">IF(I1276&lt;&gt;"",VLOOKUP(I1276,'Legal Nature'!$E$2:$G$84,3,0),"")</f>
        <v/>
      </c>
      <c r="K1276" s="64"/>
      <c r="L1276" s="65"/>
      <c r="M1276" s="66"/>
      <c r="N1276" s="66"/>
      <c r="O1276" s="79"/>
      <c r="P1276" s="26"/>
      <c r="Q1276" s="58"/>
      <c r="R1276" s="58"/>
      <c r="S1276" s="80"/>
      <c r="T1276" s="68" t="str">
        <f aca="false">IF(LEFT(S1276,1)="9","Celular",IF(S1276="","","Fixo"))</f>
        <v/>
      </c>
      <c r="U1276" s="58" t="str">
        <f aca="false">IF( T1276&lt;&gt;"",VLOOKUP(T1276,Selects!$M$4:$N$1000,2,0),"")</f>
        <v/>
      </c>
      <c r="V1276" s="26"/>
      <c r="W1276" s="58"/>
      <c r="X1276" s="58"/>
      <c r="Y1276" s="58"/>
      <c r="Z1276" s="58"/>
      <c r="AA1276" s="69"/>
      <c r="AB1276" s="58"/>
      <c r="AC1276" s="58"/>
      <c r="AD1276" s="72" t="str">
        <f aca="false">IF(AC1276&lt;&gt;"",VLOOKUP(AC1276,Selects!$B$4:$C$100,2,0),"")</f>
        <v/>
      </c>
      <c r="AE1276" s="26"/>
      <c r="AF1276" s="58"/>
      <c r="AG1276" s="59"/>
      <c r="AH1276" s="65"/>
      <c r="AI1276" s="66"/>
      <c r="AJ1276" s="66"/>
      <c r="AK1276" s="58"/>
      <c r="AL1276" s="58"/>
      <c r="AM1276" s="68" t="str">
        <f aca="false">IF(LEFT(AL1276,1)="9","Celular",IF(AL1276="","","Fixo"))</f>
        <v/>
      </c>
      <c r="AN1276" s="58" t="str">
        <f aca="false">IF( AM1276&lt;&gt;"",VLOOKUP(AM1276,Selects!$M$4:$N$1000,2,0),"")</f>
        <v/>
      </c>
      <c r="AO1276" s="58"/>
      <c r="AP1276" s="59"/>
      <c r="AQ1276" s="66"/>
      <c r="AR1276" s="58"/>
      <c r="AS1276" s="58"/>
      <c r="AT1276" s="26"/>
      <c r="AU1276" s="58"/>
      <c r="AV1276" s="58"/>
      <c r="AW1276" s="58"/>
      <c r="AX1276" s="58"/>
      <c r="AY1276" s="71"/>
      <c r="AZ1276" s="58"/>
      <c r="BA1276" s="58"/>
      <c r="BB1276" s="72" t="str">
        <f aca="false">IF(BA1276&lt;&gt;"",VLOOKUP(BA1276,Selects!$B$4:$C$100,2,0),"")</f>
        <v/>
      </c>
      <c r="BC1276" s="26"/>
      <c r="BD1276" s="26"/>
      <c r="BE1276" s="73"/>
      <c r="BF1276" s="74"/>
      <c r="BG1276" s="75" t="str">
        <f aca="false">IF(LEN(BF1276)=11,"PF",IF(LEN(BF1276)=14,"PJ",""))</f>
        <v/>
      </c>
      <c r="BH1276" s="66"/>
      <c r="BI1276" s="58" t="str">
        <f aca="false">IF(BH1276&lt;&gt;"",VLOOKUP(BH1276,Selects!$G:$H,2,0),"")</f>
        <v/>
      </c>
      <c r="BJ1276" s="58"/>
      <c r="BK1276" s="58"/>
      <c r="BL1276" s="59"/>
      <c r="BM1276" s="58"/>
      <c r="BN1276" s="58"/>
      <c r="BO1276" s="58" t="str">
        <f aca="false">IF(BN1276&lt;&gt;"",VLOOKUP(BN1276,Selects!$J$4:$K$1000,2,0),"")</f>
        <v/>
      </c>
      <c r="BP1276" s="76"/>
      <c r="BQ1276" s="59"/>
      <c r="BR1276" s="77"/>
      <c r="BS1276" s="59"/>
      <c r="BT1276" s="77"/>
      <c r="BU1276" s="58"/>
      <c r="BV1276" s="58"/>
      <c r="BW1276" s="58"/>
      <c r="BX1276" s="58"/>
      <c r="BY1276" s="58"/>
      <c r="BZ1276" s="58"/>
      <c r="CA1276" s="58"/>
      <c r="CB1276" s="72" t="str">
        <f aca="false">IF(AC1276&lt;&gt;"",VLOOKUP(AC1276,Selects!$B:$E,4,0),"")</f>
        <v/>
      </c>
      <c r="CC1276" s="58"/>
      <c r="CD1276" s="58"/>
      <c r="CE1276" s="58"/>
    </row>
    <row r="1277" customFormat="false" ht="15" hidden="true" customHeight="false" outlineLevel="0" collapsed="false">
      <c r="B1277" s="58"/>
      <c r="C1277" s="58"/>
      <c r="D1277" s="59"/>
      <c r="E1277" s="60" t="str">
        <f aca="false">IF(LEN(D1277)=11,"PF",IF(LEN(D1277)=14,"PJ",""))</f>
        <v/>
      </c>
      <c r="F1277" s="59"/>
      <c r="G1277" s="59"/>
      <c r="H1277" s="61" t="str">
        <f aca="false">IF(G1277&lt;&gt;"",VLOOKUP(G1277,'Cnae  mcc  id'!$A:$M,9,0),"")</f>
        <v/>
      </c>
      <c r="I1277" s="62"/>
      <c r="J1277" s="63" t="str">
        <f aca="false">IF(I1277&lt;&gt;"",VLOOKUP(I1277,'Legal Nature'!$E$2:$G$84,3,0),"")</f>
        <v/>
      </c>
      <c r="K1277" s="64"/>
      <c r="L1277" s="65"/>
      <c r="M1277" s="66"/>
      <c r="N1277" s="66"/>
      <c r="O1277" s="79"/>
      <c r="P1277" s="26"/>
      <c r="Q1277" s="58"/>
      <c r="R1277" s="58"/>
      <c r="S1277" s="80"/>
      <c r="T1277" s="68" t="str">
        <f aca="false">IF(LEFT(S1277,1)="9","Celular",IF(S1277="","","Fixo"))</f>
        <v/>
      </c>
      <c r="U1277" s="58" t="str">
        <f aca="false">IF( T1277&lt;&gt;"",VLOOKUP(T1277,Selects!$M$4:$N$1000,2,0),"")</f>
        <v/>
      </c>
      <c r="V1277" s="26"/>
      <c r="W1277" s="58"/>
      <c r="X1277" s="58"/>
      <c r="Y1277" s="58"/>
      <c r="Z1277" s="58"/>
      <c r="AA1277" s="69"/>
      <c r="AB1277" s="58"/>
      <c r="AC1277" s="58"/>
      <c r="AD1277" s="72" t="str">
        <f aca="false">IF(AC1277&lt;&gt;"",VLOOKUP(AC1277,Selects!$B$4:$C$100,2,0),"")</f>
        <v/>
      </c>
      <c r="AE1277" s="26"/>
      <c r="AF1277" s="58"/>
      <c r="AG1277" s="59"/>
      <c r="AH1277" s="65"/>
      <c r="AI1277" s="66"/>
      <c r="AJ1277" s="66"/>
      <c r="AK1277" s="58"/>
      <c r="AL1277" s="58"/>
      <c r="AM1277" s="68" t="str">
        <f aca="false">IF(LEFT(AL1277,1)="9","Celular",IF(AL1277="","","Fixo"))</f>
        <v/>
      </c>
      <c r="AN1277" s="58" t="str">
        <f aca="false">IF( AM1277&lt;&gt;"",VLOOKUP(AM1277,Selects!$M$4:$N$1000,2,0),"")</f>
        <v/>
      </c>
      <c r="AO1277" s="58"/>
      <c r="AP1277" s="59"/>
      <c r="AQ1277" s="66"/>
      <c r="AR1277" s="58"/>
      <c r="AS1277" s="58"/>
      <c r="AT1277" s="26"/>
      <c r="AU1277" s="58"/>
      <c r="AV1277" s="58"/>
      <c r="AW1277" s="58"/>
      <c r="AX1277" s="58"/>
      <c r="AY1277" s="71"/>
      <c r="AZ1277" s="58"/>
      <c r="BA1277" s="58"/>
      <c r="BB1277" s="72" t="str">
        <f aca="false">IF(BA1277&lt;&gt;"",VLOOKUP(BA1277,Selects!$B$4:$C$100,2,0),"")</f>
        <v/>
      </c>
      <c r="BC1277" s="26"/>
      <c r="BD1277" s="26"/>
      <c r="BE1277" s="73"/>
      <c r="BF1277" s="74"/>
      <c r="BG1277" s="75" t="str">
        <f aca="false">IF(LEN(BF1277)=11,"PF",IF(LEN(BF1277)=14,"PJ",""))</f>
        <v/>
      </c>
      <c r="BH1277" s="66"/>
      <c r="BI1277" s="58" t="str">
        <f aca="false">IF(BH1277&lt;&gt;"",VLOOKUP(BH1277,Selects!$G:$H,2,0),"")</f>
        <v/>
      </c>
      <c r="BJ1277" s="58"/>
      <c r="BK1277" s="58"/>
      <c r="BL1277" s="59"/>
      <c r="BM1277" s="58"/>
      <c r="BN1277" s="58"/>
      <c r="BO1277" s="58" t="str">
        <f aca="false">IF(BN1277&lt;&gt;"",VLOOKUP(BN1277,Selects!$J$4:$K$1000,2,0),"")</f>
        <v/>
      </c>
      <c r="BP1277" s="76"/>
      <c r="BQ1277" s="59"/>
      <c r="BR1277" s="77"/>
      <c r="BS1277" s="59"/>
      <c r="BT1277" s="77"/>
      <c r="BU1277" s="58"/>
      <c r="BV1277" s="58"/>
      <c r="BW1277" s="58"/>
      <c r="BX1277" s="58"/>
      <c r="BY1277" s="58"/>
      <c r="BZ1277" s="58"/>
      <c r="CA1277" s="58"/>
      <c r="CB1277" s="72" t="str">
        <f aca="false">IF(AC1277&lt;&gt;"",VLOOKUP(AC1277,Selects!$B:$E,4,0),"")</f>
        <v/>
      </c>
      <c r="CC1277" s="58"/>
      <c r="CD1277" s="58"/>
      <c r="CE1277" s="58"/>
    </row>
    <row r="1278" customFormat="false" ht="15" hidden="true" customHeight="false" outlineLevel="0" collapsed="false">
      <c r="B1278" s="58"/>
      <c r="C1278" s="58"/>
      <c r="D1278" s="59"/>
      <c r="E1278" s="60" t="str">
        <f aca="false">IF(LEN(D1278)=11,"PF",IF(LEN(D1278)=14,"PJ",""))</f>
        <v/>
      </c>
      <c r="F1278" s="59"/>
      <c r="G1278" s="59"/>
      <c r="H1278" s="61" t="str">
        <f aca="false">IF(G1278&lt;&gt;"",VLOOKUP(G1278,'Cnae  mcc  id'!$A:$M,9,0),"")</f>
        <v/>
      </c>
      <c r="I1278" s="62"/>
      <c r="J1278" s="63" t="str">
        <f aca="false">IF(I1278&lt;&gt;"",VLOOKUP(I1278,'Legal Nature'!$E$2:$G$84,3,0),"")</f>
        <v/>
      </c>
      <c r="K1278" s="64"/>
      <c r="L1278" s="65"/>
      <c r="M1278" s="66"/>
      <c r="N1278" s="66"/>
      <c r="O1278" s="79"/>
      <c r="P1278" s="26"/>
      <c r="Q1278" s="58"/>
      <c r="R1278" s="58"/>
      <c r="S1278" s="80"/>
      <c r="T1278" s="68" t="str">
        <f aca="false">IF(LEFT(S1278,1)="9","Celular",IF(S1278="","","Fixo"))</f>
        <v/>
      </c>
      <c r="U1278" s="58" t="str">
        <f aca="false">IF( T1278&lt;&gt;"",VLOOKUP(T1278,Selects!$M$4:$N$1000,2,0),"")</f>
        <v/>
      </c>
      <c r="V1278" s="26"/>
      <c r="W1278" s="58"/>
      <c r="X1278" s="58"/>
      <c r="Y1278" s="58"/>
      <c r="Z1278" s="58"/>
      <c r="AA1278" s="69"/>
      <c r="AB1278" s="58"/>
      <c r="AC1278" s="58"/>
      <c r="AD1278" s="72" t="str">
        <f aca="false">IF(AC1278&lt;&gt;"",VLOOKUP(AC1278,Selects!$B$4:$C$100,2,0),"")</f>
        <v/>
      </c>
      <c r="AE1278" s="26"/>
      <c r="AF1278" s="58"/>
      <c r="AG1278" s="59"/>
      <c r="AH1278" s="65"/>
      <c r="AI1278" s="66"/>
      <c r="AJ1278" s="66"/>
      <c r="AK1278" s="58"/>
      <c r="AL1278" s="58"/>
      <c r="AM1278" s="68" t="str">
        <f aca="false">IF(LEFT(AL1278,1)="9","Celular",IF(AL1278="","","Fixo"))</f>
        <v/>
      </c>
      <c r="AN1278" s="58" t="str">
        <f aca="false">IF( AM1278&lt;&gt;"",VLOOKUP(AM1278,Selects!$M$4:$N$1000,2,0),"")</f>
        <v/>
      </c>
      <c r="AO1278" s="58"/>
      <c r="AP1278" s="59"/>
      <c r="AQ1278" s="66"/>
      <c r="AR1278" s="58"/>
      <c r="AS1278" s="58"/>
      <c r="AT1278" s="26"/>
      <c r="AU1278" s="58"/>
      <c r="AV1278" s="58"/>
      <c r="AW1278" s="58"/>
      <c r="AX1278" s="58"/>
      <c r="AY1278" s="71"/>
      <c r="AZ1278" s="58"/>
      <c r="BA1278" s="58"/>
      <c r="BB1278" s="72" t="str">
        <f aca="false">IF(BA1278&lt;&gt;"",VLOOKUP(BA1278,Selects!$B$4:$C$100,2,0),"")</f>
        <v/>
      </c>
      <c r="BC1278" s="26"/>
      <c r="BD1278" s="26"/>
      <c r="BE1278" s="73"/>
      <c r="BF1278" s="74"/>
      <c r="BG1278" s="75" t="str">
        <f aca="false">IF(LEN(BF1278)=11,"PF",IF(LEN(BF1278)=14,"PJ",""))</f>
        <v/>
      </c>
      <c r="BH1278" s="66"/>
      <c r="BI1278" s="58" t="str">
        <f aca="false">IF(BH1278&lt;&gt;"",VLOOKUP(BH1278,Selects!$G:$H,2,0),"")</f>
        <v/>
      </c>
      <c r="BJ1278" s="58"/>
      <c r="BK1278" s="58"/>
      <c r="BL1278" s="59"/>
      <c r="BM1278" s="58"/>
      <c r="BN1278" s="58"/>
      <c r="BO1278" s="58" t="str">
        <f aca="false">IF(BN1278&lt;&gt;"",VLOOKUP(BN1278,Selects!$J$4:$K$1000,2,0),"")</f>
        <v/>
      </c>
      <c r="BP1278" s="76"/>
      <c r="BQ1278" s="59"/>
      <c r="BR1278" s="77"/>
      <c r="BS1278" s="59"/>
      <c r="BT1278" s="77"/>
      <c r="BU1278" s="58"/>
      <c r="BV1278" s="58"/>
      <c r="BW1278" s="58"/>
      <c r="BX1278" s="58"/>
      <c r="BY1278" s="58"/>
      <c r="BZ1278" s="58"/>
      <c r="CA1278" s="58"/>
      <c r="CB1278" s="72" t="str">
        <f aca="false">IF(AC1278&lt;&gt;"",VLOOKUP(AC1278,Selects!$B:$E,4,0),"")</f>
        <v/>
      </c>
      <c r="CC1278" s="58"/>
      <c r="CD1278" s="58"/>
      <c r="CE1278" s="58"/>
    </row>
    <row r="1279" customFormat="false" ht="15" hidden="true" customHeight="false" outlineLevel="0" collapsed="false">
      <c r="B1279" s="58"/>
      <c r="C1279" s="58"/>
      <c r="D1279" s="59"/>
      <c r="E1279" s="60" t="str">
        <f aca="false">IF(LEN(D1279)=11,"PF",IF(LEN(D1279)=14,"PJ",""))</f>
        <v/>
      </c>
      <c r="F1279" s="59"/>
      <c r="G1279" s="59"/>
      <c r="H1279" s="61" t="str">
        <f aca="false">IF(G1279&lt;&gt;"",VLOOKUP(G1279,'Cnae  mcc  id'!$A:$M,9,0),"")</f>
        <v/>
      </c>
      <c r="I1279" s="62"/>
      <c r="J1279" s="63" t="str">
        <f aca="false">IF(I1279&lt;&gt;"",VLOOKUP(I1279,'Legal Nature'!$E$2:$G$84,3,0),"")</f>
        <v/>
      </c>
      <c r="K1279" s="64"/>
      <c r="L1279" s="65"/>
      <c r="M1279" s="66"/>
      <c r="N1279" s="66"/>
      <c r="O1279" s="79"/>
      <c r="P1279" s="26"/>
      <c r="Q1279" s="58"/>
      <c r="R1279" s="58"/>
      <c r="S1279" s="80"/>
      <c r="T1279" s="68" t="str">
        <f aca="false">IF(LEFT(S1279,1)="9","Celular",IF(S1279="","","Fixo"))</f>
        <v/>
      </c>
      <c r="U1279" s="58" t="str">
        <f aca="false">IF( T1279&lt;&gt;"",VLOOKUP(T1279,Selects!$M$4:$N$1000,2,0),"")</f>
        <v/>
      </c>
      <c r="V1279" s="26"/>
      <c r="W1279" s="58"/>
      <c r="X1279" s="58"/>
      <c r="Y1279" s="58"/>
      <c r="Z1279" s="58"/>
      <c r="AA1279" s="69"/>
      <c r="AB1279" s="58"/>
      <c r="AC1279" s="58"/>
      <c r="AD1279" s="72" t="str">
        <f aca="false">IF(AC1279&lt;&gt;"",VLOOKUP(AC1279,Selects!$B$4:$C$100,2,0),"")</f>
        <v/>
      </c>
      <c r="AE1279" s="26"/>
      <c r="AF1279" s="58"/>
      <c r="AG1279" s="59"/>
      <c r="AH1279" s="65"/>
      <c r="AI1279" s="66"/>
      <c r="AJ1279" s="66"/>
      <c r="AK1279" s="58"/>
      <c r="AL1279" s="58"/>
      <c r="AM1279" s="68" t="str">
        <f aca="false">IF(LEFT(AL1279,1)="9","Celular",IF(AL1279="","","Fixo"))</f>
        <v/>
      </c>
      <c r="AN1279" s="58" t="str">
        <f aca="false">IF( AM1279&lt;&gt;"",VLOOKUP(AM1279,Selects!$M$4:$N$1000,2,0),"")</f>
        <v/>
      </c>
      <c r="AO1279" s="58"/>
      <c r="AP1279" s="59"/>
      <c r="AQ1279" s="66"/>
      <c r="AR1279" s="58"/>
      <c r="AS1279" s="58"/>
      <c r="AT1279" s="26"/>
      <c r="AU1279" s="58"/>
      <c r="AV1279" s="58"/>
      <c r="AW1279" s="58"/>
      <c r="AX1279" s="58"/>
      <c r="AY1279" s="71"/>
      <c r="AZ1279" s="58"/>
      <c r="BA1279" s="58"/>
      <c r="BB1279" s="72" t="str">
        <f aca="false">IF(BA1279&lt;&gt;"",VLOOKUP(BA1279,Selects!$B$4:$C$100,2,0),"")</f>
        <v/>
      </c>
      <c r="BC1279" s="26"/>
      <c r="BD1279" s="26"/>
      <c r="BE1279" s="73"/>
      <c r="BF1279" s="74"/>
      <c r="BG1279" s="75" t="str">
        <f aca="false">IF(LEN(BF1279)=11,"PF",IF(LEN(BF1279)=14,"PJ",""))</f>
        <v/>
      </c>
      <c r="BH1279" s="66"/>
      <c r="BI1279" s="58" t="str">
        <f aca="false">IF(BH1279&lt;&gt;"",VLOOKUP(BH1279,Selects!$G:$H,2,0),"")</f>
        <v/>
      </c>
      <c r="BJ1279" s="58"/>
      <c r="BK1279" s="58"/>
      <c r="BL1279" s="59"/>
      <c r="BM1279" s="58"/>
      <c r="BN1279" s="58"/>
      <c r="BO1279" s="58" t="str">
        <f aca="false">IF(BN1279&lt;&gt;"",VLOOKUP(BN1279,Selects!$J$4:$K$1000,2,0),"")</f>
        <v/>
      </c>
      <c r="BP1279" s="76"/>
      <c r="BQ1279" s="59"/>
      <c r="BR1279" s="77"/>
      <c r="BS1279" s="59"/>
      <c r="BT1279" s="77"/>
      <c r="BU1279" s="58"/>
      <c r="BV1279" s="58"/>
      <c r="BW1279" s="58"/>
      <c r="BX1279" s="58"/>
      <c r="BY1279" s="58"/>
      <c r="BZ1279" s="58"/>
      <c r="CA1279" s="58"/>
      <c r="CB1279" s="72" t="str">
        <f aca="false">IF(AC1279&lt;&gt;"",VLOOKUP(AC1279,Selects!$B:$E,4,0),"")</f>
        <v/>
      </c>
      <c r="CC1279" s="58"/>
      <c r="CD1279" s="58"/>
      <c r="CE1279" s="58"/>
    </row>
    <row r="1280" customFormat="false" ht="15" hidden="true" customHeight="false" outlineLevel="0" collapsed="false">
      <c r="B1280" s="58"/>
      <c r="C1280" s="58"/>
      <c r="D1280" s="59"/>
      <c r="E1280" s="60" t="str">
        <f aca="false">IF(LEN(D1280)=11,"PF",IF(LEN(D1280)=14,"PJ",""))</f>
        <v/>
      </c>
      <c r="F1280" s="59"/>
      <c r="G1280" s="59"/>
      <c r="H1280" s="61" t="str">
        <f aca="false">IF(G1280&lt;&gt;"",VLOOKUP(G1280,'Cnae  mcc  id'!$A:$M,9,0),"")</f>
        <v/>
      </c>
      <c r="I1280" s="62"/>
      <c r="J1280" s="63" t="str">
        <f aca="false">IF(I1280&lt;&gt;"",VLOOKUP(I1280,'Legal Nature'!$E$2:$G$84,3,0),"")</f>
        <v/>
      </c>
      <c r="K1280" s="64"/>
      <c r="L1280" s="65"/>
      <c r="M1280" s="66"/>
      <c r="N1280" s="66"/>
      <c r="O1280" s="79"/>
      <c r="P1280" s="26"/>
      <c r="Q1280" s="58"/>
      <c r="R1280" s="58"/>
      <c r="S1280" s="80"/>
      <c r="T1280" s="68" t="str">
        <f aca="false">IF(LEFT(S1280,1)="9","Celular",IF(S1280="","","Fixo"))</f>
        <v/>
      </c>
      <c r="U1280" s="58" t="str">
        <f aca="false">IF( T1280&lt;&gt;"",VLOOKUP(T1280,Selects!$M$4:$N$1000,2,0),"")</f>
        <v/>
      </c>
      <c r="V1280" s="26"/>
      <c r="W1280" s="58"/>
      <c r="X1280" s="58"/>
      <c r="Y1280" s="58"/>
      <c r="Z1280" s="58"/>
      <c r="AA1280" s="69"/>
      <c r="AB1280" s="58"/>
      <c r="AC1280" s="58"/>
      <c r="AD1280" s="72" t="str">
        <f aca="false">IF(AC1280&lt;&gt;"",VLOOKUP(AC1280,Selects!$B$4:$C$100,2,0),"")</f>
        <v/>
      </c>
      <c r="AE1280" s="26"/>
      <c r="AF1280" s="58"/>
      <c r="AG1280" s="59"/>
      <c r="AH1280" s="65"/>
      <c r="AI1280" s="66"/>
      <c r="AJ1280" s="66"/>
      <c r="AK1280" s="58"/>
      <c r="AL1280" s="58"/>
      <c r="AM1280" s="68" t="str">
        <f aca="false">IF(LEFT(AL1280,1)="9","Celular",IF(AL1280="","","Fixo"))</f>
        <v/>
      </c>
      <c r="AN1280" s="58" t="str">
        <f aca="false">IF( AM1280&lt;&gt;"",VLOOKUP(AM1280,Selects!$M$4:$N$1000,2,0),"")</f>
        <v/>
      </c>
      <c r="AO1280" s="58"/>
      <c r="AP1280" s="59"/>
      <c r="AQ1280" s="66"/>
      <c r="AR1280" s="58"/>
      <c r="AS1280" s="58"/>
      <c r="AT1280" s="26"/>
      <c r="AU1280" s="58"/>
      <c r="AV1280" s="58"/>
      <c r="AW1280" s="58"/>
      <c r="AX1280" s="58"/>
      <c r="AY1280" s="71"/>
      <c r="AZ1280" s="58"/>
      <c r="BA1280" s="58"/>
      <c r="BB1280" s="72" t="str">
        <f aca="false">IF(BA1280&lt;&gt;"",VLOOKUP(BA1280,Selects!$B$4:$C$100,2,0),"")</f>
        <v/>
      </c>
      <c r="BC1280" s="26"/>
      <c r="BD1280" s="26"/>
      <c r="BE1280" s="73"/>
      <c r="BF1280" s="74"/>
      <c r="BG1280" s="75" t="str">
        <f aca="false">IF(LEN(BF1280)=11,"PF",IF(LEN(BF1280)=14,"PJ",""))</f>
        <v/>
      </c>
      <c r="BH1280" s="66"/>
      <c r="BI1280" s="58" t="str">
        <f aca="false">IF(BH1280&lt;&gt;"",VLOOKUP(BH1280,Selects!$G:$H,2,0),"")</f>
        <v/>
      </c>
      <c r="BJ1280" s="58"/>
      <c r="BK1280" s="58"/>
      <c r="BL1280" s="59"/>
      <c r="BM1280" s="58"/>
      <c r="BN1280" s="58"/>
      <c r="BO1280" s="58" t="str">
        <f aca="false">IF(BN1280&lt;&gt;"",VLOOKUP(BN1280,Selects!$J$4:$K$1000,2,0),"")</f>
        <v/>
      </c>
      <c r="BP1280" s="76"/>
      <c r="BQ1280" s="59"/>
      <c r="BR1280" s="77"/>
      <c r="BS1280" s="59"/>
      <c r="BT1280" s="77"/>
      <c r="BU1280" s="58"/>
      <c r="BV1280" s="58"/>
      <c r="BW1280" s="58"/>
      <c r="BX1280" s="58"/>
      <c r="BY1280" s="58"/>
      <c r="BZ1280" s="58"/>
      <c r="CA1280" s="58"/>
      <c r="CB1280" s="72" t="str">
        <f aca="false">IF(AC1280&lt;&gt;"",VLOOKUP(AC1280,Selects!$B:$E,4,0),"")</f>
        <v/>
      </c>
      <c r="CC1280" s="58"/>
      <c r="CD1280" s="58"/>
      <c r="CE1280" s="58"/>
    </row>
    <row r="1281" customFormat="false" ht="15" hidden="true" customHeight="false" outlineLevel="0" collapsed="false">
      <c r="B1281" s="58"/>
      <c r="C1281" s="58"/>
      <c r="D1281" s="59"/>
      <c r="E1281" s="60" t="str">
        <f aca="false">IF(LEN(D1281)=11,"PF",IF(LEN(D1281)=14,"PJ",""))</f>
        <v/>
      </c>
      <c r="F1281" s="59"/>
      <c r="G1281" s="59"/>
      <c r="H1281" s="61" t="str">
        <f aca="false">IF(G1281&lt;&gt;"",VLOOKUP(G1281,'Cnae  mcc  id'!$A:$M,9,0),"")</f>
        <v/>
      </c>
      <c r="I1281" s="62"/>
      <c r="J1281" s="63" t="str">
        <f aca="false">IF(I1281&lt;&gt;"",VLOOKUP(I1281,'Legal Nature'!$E$2:$G$84,3,0),"")</f>
        <v/>
      </c>
      <c r="K1281" s="64"/>
      <c r="L1281" s="65"/>
      <c r="M1281" s="66"/>
      <c r="N1281" s="66"/>
      <c r="O1281" s="79"/>
      <c r="P1281" s="26"/>
      <c r="Q1281" s="58"/>
      <c r="R1281" s="58"/>
      <c r="S1281" s="80"/>
      <c r="T1281" s="68" t="str">
        <f aca="false">IF(LEFT(S1281,1)="9","Celular",IF(S1281="","","Fixo"))</f>
        <v/>
      </c>
      <c r="U1281" s="58" t="str">
        <f aca="false">IF( T1281&lt;&gt;"",VLOOKUP(T1281,Selects!$M$4:$N$1000,2,0),"")</f>
        <v/>
      </c>
      <c r="V1281" s="26"/>
      <c r="W1281" s="58"/>
      <c r="X1281" s="58"/>
      <c r="Y1281" s="58"/>
      <c r="Z1281" s="58"/>
      <c r="AA1281" s="69"/>
      <c r="AB1281" s="58"/>
      <c r="AC1281" s="58"/>
      <c r="AD1281" s="72" t="str">
        <f aca="false">IF(AC1281&lt;&gt;"",VLOOKUP(AC1281,Selects!$B$4:$C$100,2,0),"")</f>
        <v/>
      </c>
      <c r="AE1281" s="26"/>
      <c r="AF1281" s="58"/>
      <c r="AG1281" s="59"/>
      <c r="AH1281" s="65"/>
      <c r="AI1281" s="66"/>
      <c r="AJ1281" s="66"/>
      <c r="AK1281" s="58"/>
      <c r="AL1281" s="58"/>
      <c r="AM1281" s="68" t="str">
        <f aca="false">IF(LEFT(AL1281,1)="9","Celular",IF(AL1281="","","Fixo"))</f>
        <v/>
      </c>
      <c r="AN1281" s="58" t="str">
        <f aca="false">IF( AM1281&lt;&gt;"",VLOOKUP(AM1281,Selects!$M$4:$N$1000,2,0),"")</f>
        <v/>
      </c>
      <c r="AO1281" s="58"/>
      <c r="AP1281" s="59"/>
      <c r="AQ1281" s="66"/>
      <c r="AR1281" s="58"/>
      <c r="AS1281" s="58"/>
      <c r="AT1281" s="26"/>
      <c r="AU1281" s="58"/>
      <c r="AV1281" s="58"/>
      <c r="AW1281" s="58"/>
      <c r="AX1281" s="58"/>
      <c r="AY1281" s="71"/>
      <c r="AZ1281" s="58"/>
      <c r="BA1281" s="58"/>
      <c r="BB1281" s="72" t="str">
        <f aca="false">IF(BA1281&lt;&gt;"",VLOOKUP(BA1281,Selects!$B$4:$C$100,2,0),"")</f>
        <v/>
      </c>
      <c r="BC1281" s="26"/>
      <c r="BD1281" s="26"/>
      <c r="BE1281" s="73"/>
      <c r="BF1281" s="74"/>
      <c r="BG1281" s="75" t="str">
        <f aca="false">IF(LEN(BF1281)=11,"PF",IF(LEN(BF1281)=14,"PJ",""))</f>
        <v/>
      </c>
      <c r="BH1281" s="66"/>
      <c r="BI1281" s="58" t="str">
        <f aca="false">IF(BH1281&lt;&gt;"",VLOOKUP(BH1281,Selects!$G:$H,2,0),"")</f>
        <v/>
      </c>
      <c r="BJ1281" s="58"/>
      <c r="BK1281" s="58"/>
      <c r="BL1281" s="59"/>
      <c r="BM1281" s="58"/>
      <c r="BN1281" s="58"/>
      <c r="BO1281" s="58" t="str">
        <f aca="false">IF(BN1281&lt;&gt;"",VLOOKUP(BN1281,Selects!$J$4:$K$1000,2,0),"")</f>
        <v/>
      </c>
      <c r="BP1281" s="76"/>
      <c r="BQ1281" s="59"/>
      <c r="BR1281" s="77"/>
      <c r="BS1281" s="59"/>
      <c r="BT1281" s="77"/>
      <c r="BU1281" s="58"/>
      <c r="BV1281" s="58"/>
      <c r="BW1281" s="58"/>
      <c r="BX1281" s="58"/>
      <c r="BY1281" s="58"/>
      <c r="BZ1281" s="58"/>
      <c r="CA1281" s="58"/>
      <c r="CB1281" s="72" t="str">
        <f aca="false">IF(AC1281&lt;&gt;"",VLOOKUP(AC1281,Selects!$B:$E,4,0),"")</f>
        <v/>
      </c>
      <c r="CC1281" s="58"/>
      <c r="CD1281" s="58"/>
      <c r="CE1281" s="58"/>
    </row>
    <row r="1282" customFormat="false" ht="15" hidden="true" customHeight="false" outlineLevel="0" collapsed="false">
      <c r="B1282" s="58"/>
      <c r="C1282" s="58"/>
      <c r="D1282" s="59"/>
      <c r="E1282" s="60" t="str">
        <f aca="false">IF(LEN(D1282)=11,"PF",IF(LEN(D1282)=14,"PJ",""))</f>
        <v/>
      </c>
      <c r="F1282" s="59"/>
      <c r="G1282" s="59"/>
      <c r="H1282" s="61" t="str">
        <f aca="false">IF(G1282&lt;&gt;"",VLOOKUP(G1282,'Cnae  mcc  id'!$A:$M,9,0),"")</f>
        <v/>
      </c>
      <c r="I1282" s="62"/>
      <c r="J1282" s="63" t="str">
        <f aca="false">IF(I1282&lt;&gt;"",VLOOKUP(I1282,'Legal Nature'!$E$2:$G$84,3,0),"")</f>
        <v/>
      </c>
      <c r="K1282" s="64"/>
      <c r="L1282" s="65"/>
      <c r="M1282" s="66"/>
      <c r="N1282" s="66"/>
      <c r="O1282" s="79"/>
      <c r="P1282" s="26"/>
      <c r="Q1282" s="58"/>
      <c r="R1282" s="58"/>
      <c r="S1282" s="80"/>
      <c r="T1282" s="68" t="str">
        <f aca="false">IF(LEFT(S1282,1)="9","Celular",IF(S1282="","","Fixo"))</f>
        <v/>
      </c>
      <c r="U1282" s="58" t="str">
        <f aca="false">IF( T1282&lt;&gt;"",VLOOKUP(T1282,Selects!$M$4:$N$1000,2,0),"")</f>
        <v/>
      </c>
      <c r="V1282" s="26"/>
      <c r="W1282" s="58"/>
      <c r="X1282" s="58"/>
      <c r="Y1282" s="58"/>
      <c r="Z1282" s="58"/>
      <c r="AA1282" s="69"/>
      <c r="AB1282" s="58"/>
      <c r="AC1282" s="58"/>
      <c r="AD1282" s="72" t="str">
        <f aca="false">IF(AC1282&lt;&gt;"",VLOOKUP(AC1282,Selects!$B$4:$C$100,2,0),"")</f>
        <v/>
      </c>
      <c r="AE1282" s="26"/>
      <c r="AF1282" s="58"/>
      <c r="AG1282" s="59"/>
      <c r="AH1282" s="65"/>
      <c r="AI1282" s="66"/>
      <c r="AJ1282" s="66"/>
      <c r="AK1282" s="58"/>
      <c r="AL1282" s="58"/>
      <c r="AM1282" s="68" t="str">
        <f aca="false">IF(LEFT(AL1282,1)="9","Celular",IF(AL1282="","","Fixo"))</f>
        <v/>
      </c>
      <c r="AN1282" s="58" t="str">
        <f aca="false">IF( AM1282&lt;&gt;"",VLOOKUP(AM1282,Selects!$M$4:$N$1000,2,0),"")</f>
        <v/>
      </c>
      <c r="AO1282" s="58"/>
      <c r="AP1282" s="59"/>
      <c r="AQ1282" s="66"/>
      <c r="AR1282" s="58"/>
      <c r="AS1282" s="58"/>
      <c r="AT1282" s="26"/>
      <c r="AU1282" s="58"/>
      <c r="AV1282" s="58"/>
      <c r="AW1282" s="58"/>
      <c r="AX1282" s="58"/>
      <c r="AY1282" s="71"/>
      <c r="AZ1282" s="58"/>
      <c r="BA1282" s="58"/>
      <c r="BB1282" s="72" t="str">
        <f aca="false">IF(BA1282&lt;&gt;"",VLOOKUP(BA1282,Selects!$B$4:$C$100,2,0),"")</f>
        <v/>
      </c>
      <c r="BC1282" s="26"/>
      <c r="BD1282" s="26"/>
      <c r="BE1282" s="73"/>
      <c r="BF1282" s="74"/>
      <c r="BG1282" s="75" t="str">
        <f aca="false">IF(LEN(BF1282)=11,"PF",IF(LEN(BF1282)=14,"PJ",""))</f>
        <v/>
      </c>
      <c r="BH1282" s="66"/>
      <c r="BI1282" s="58" t="str">
        <f aca="false">IF(BH1282&lt;&gt;"",VLOOKUP(BH1282,Selects!$G:$H,2,0),"")</f>
        <v/>
      </c>
      <c r="BJ1282" s="58"/>
      <c r="BK1282" s="58"/>
      <c r="BL1282" s="59"/>
      <c r="BM1282" s="58"/>
      <c r="BN1282" s="58"/>
      <c r="BO1282" s="58" t="str">
        <f aca="false">IF(BN1282&lt;&gt;"",VLOOKUP(BN1282,Selects!$J$4:$K$1000,2,0),"")</f>
        <v/>
      </c>
      <c r="BP1282" s="76"/>
      <c r="BQ1282" s="59"/>
      <c r="BR1282" s="77"/>
      <c r="BS1282" s="59"/>
      <c r="BT1282" s="77"/>
      <c r="BU1282" s="58"/>
      <c r="BV1282" s="58"/>
      <c r="BW1282" s="58"/>
      <c r="BX1282" s="58"/>
      <c r="BY1282" s="58"/>
      <c r="BZ1282" s="58"/>
      <c r="CA1282" s="58"/>
      <c r="CB1282" s="72" t="str">
        <f aca="false">IF(AC1282&lt;&gt;"",VLOOKUP(AC1282,Selects!$B:$E,4,0),"")</f>
        <v/>
      </c>
      <c r="CC1282" s="58"/>
      <c r="CD1282" s="58"/>
      <c r="CE1282" s="58"/>
    </row>
    <row r="1283" customFormat="false" ht="15" hidden="true" customHeight="false" outlineLevel="0" collapsed="false">
      <c r="B1283" s="58"/>
      <c r="C1283" s="58"/>
      <c r="D1283" s="59"/>
      <c r="E1283" s="60" t="str">
        <f aca="false">IF(LEN(D1283)=11,"PF",IF(LEN(D1283)=14,"PJ",""))</f>
        <v/>
      </c>
      <c r="F1283" s="59"/>
      <c r="G1283" s="59"/>
      <c r="H1283" s="61" t="str">
        <f aca="false">IF(G1283&lt;&gt;"",VLOOKUP(G1283,'Cnae  mcc  id'!$A:$M,9,0),"")</f>
        <v/>
      </c>
      <c r="I1283" s="62"/>
      <c r="J1283" s="63" t="str">
        <f aca="false">IF(I1283&lt;&gt;"",VLOOKUP(I1283,'Legal Nature'!$E$2:$G$84,3,0),"")</f>
        <v/>
      </c>
      <c r="K1283" s="64"/>
      <c r="L1283" s="65"/>
      <c r="M1283" s="66"/>
      <c r="N1283" s="66"/>
      <c r="O1283" s="79"/>
      <c r="P1283" s="26"/>
      <c r="Q1283" s="58"/>
      <c r="R1283" s="58"/>
      <c r="S1283" s="80"/>
      <c r="T1283" s="68" t="str">
        <f aca="false">IF(LEFT(S1283,1)="9","Celular",IF(S1283="","","Fixo"))</f>
        <v/>
      </c>
      <c r="U1283" s="58" t="str">
        <f aca="false">IF( T1283&lt;&gt;"",VLOOKUP(T1283,Selects!$M$4:$N$1000,2,0),"")</f>
        <v/>
      </c>
      <c r="V1283" s="26"/>
      <c r="W1283" s="58"/>
      <c r="X1283" s="58"/>
      <c r="Y1283" s="58"/>
      <c r="Z1283" s="58"/>
      <c r="AA1283" s="69"/>
      <c r="AB1283" s="58"/>
      <c r="AC1283" s="58"/>
      <c r="AD1283" s="72" t="str">
        <f aca="false">IF(AC1283&lt;&gt;"",VLOOKUP(AC1283,Selects!$B$4:$C$100,2,0),"")</f>
        <v/>
      </c>
      <c r="AE1283" s="26"/>
      <c r="AF1283" s="58"/>
      <c r="AG1283" s="59"/>
      <c r="AH1283" s="65"/>
      <c r="AI1283" s="66"/>
      <c r="AJ1283" s="66"/>
      <c r="AK1283" s="58"/>
      <c r="AL1283" s="58"/>
      <c r="AM1283" s="68" t="str">
        <f aca="false">IF(LEFT(AL1283,1)="9","Celular",IF(AL1283="","","Fixo"))</f>
        <v/>
      </c>
      <c r="AN1283" s="58" t="str">
        <f aca="false">IF( AM1283&lt;&gt;"",VLOOKUP(AM1283,Selects!$M$4:$N$1000,2,0),"")</f>
        <v/>
      </c>
      <c r="AO1283" s="58"/>
      <c r="AP1283" s="59"/>
      <c r="AQ1283" s="66"/>
      <c r="AR1283" s="58"/>
      <c r="AS1283" s="58"/>
      <c r="AT1283" s="26"/>
      <c r="AU1283" s="58"/>
      <c r="AV1283" s="58"/>
      <c r="AW1283" s="58"/>
      <c r="AX1283" s="58"/>
      <c r="AY1283" s="71"/>
      <c r="AZ1283" s="58"/>
      <c r="BA1283" s="58"/>
      <c r="BB1283" s="72" t="str">
        <f aca="false">IF(BA1283&lt;&gt;"",VLOOKUP(BA1283,Selects!$B$4:$C$100,2,0),"")</f>
        <v/>
      </c>
      <c r="BC1283" s="26"/>
      <c r="BD1283" s="26"/>
      <c r="BE1283" s="73"/>
      <c r="BF1283" s="74"/>
      <c r="BG1283" s="75" t="str">
        <f aca="false">IF(LEN(BF1283)=11,"PF",IF(LEN(BF1283)=14,"PJ",""))</f>
        <v/>
      </c>
      <c r="BH1283" s="66"/>
      <c r="BI1283" s="58" t="str">
        <f aca="false">IF(BH1283&lt;&gt;"",VLOOKUP(BH1283,Selects!$G:$H,2,0),"")</f>
        <v/>
      </c>
      <c r="BJ1283" s="58"/>
      <c r="BK1283" s="58"/>
      <c r="BL1283" s="59"/>
      <c r="BM1283" s="58"/>
      <c r="BN1283" s="58"/>
      <c r="BO1283" s="58" t="str">
        <f aca="false">IF(BN1283&lt;&gt;"",VLOOKUP(BN1283,Selects!$J$4:$K$1000,2,0),"")</f>
        <v/>
      </c>
      <c r="BP1283" s="76"/>
      <c r="BQ1283" s="59"/>
      <c r="BR1283" s="77"/>
      <c r="BS1283" s="59"/>
      <c r="BT1283" s="77"/>
      <c r="BU1283" s="58"/>
      <c r="BV1283" s="58"/>
      <c r="BW1283" s="58"/>
      <c r="BX1283" s="58"/>
      <c r="BY1283" s="58"/>
      <c r="BZ1283" s="58"/>
      <c r="CA1283" s="58"/>
      <c r="CB1283" s="72" t="str">
        <f aca="false">IF(AC1283&lt;&gt;"",VLOOKUP(AC1283,Selects!$B:$E,4,0),"")</f>
        <v/>
      </c>
      <c r="CC1283" s="58"/>
      <c r="CD1283" s="58"/>
      <c r="CE1283" s="58"/>
    </row>
    <row r="1284" customFormat="false" ht="15" hidden="true" customHeight="false" outlineLevel="0" collapsed="false">
      <c r="B1284" s="58"/>
      <c r="C1284" s="58"/>
      <c r="D1284" s="59"/>
      <c r="E1284" s="60" t="str">
        <f aca="false">IF(LEN(D1284)=11,"PF",IF(LEN(D1284)=14,"PJ",""))</f>
        <v/>
      </c>
      <c r="F1284" s="59"/>
      <c r="G1284" s="59"/>
      <c r="H1284" s="61" t="str">
        <f aca="false">IF(G1284&lt;&gt;"",VLOOKUP(G1284,'Cnae  mcc  id'!$A:$M,9,0),"")</f>
        <v/>
      </c>
      <c r="I1284" s="62"/>
      <c r="J1284" s="63" t="str">
        <f aca="false">IF(I1284&lt;&gt;"",VLOOKUP(I1284,'Legal Nature'!$E$2:$G$84,3,0),"")</f>
        <v/>
      </c>
      <c r="K1284" s="64"/>
      <c r="L1284" s="65"/>
      <c r="M1284" s="66"/>
      <c r="N1284" s="66"/>
      <c r="O1284" s="79"/>
      <c r="P1284" s="26"/>
      <c r="Q1284" s="58"/>
      <c r="R1284" s="58"/>
      <c r="S1284" s="80"/>
      <c r="T1284" s="68" t="str">
        <f aca="false">IF(LEFT(S1284,1)="9","Celular",IF(S1284="","","Fixo"))</f>
        <v/>
      </c>
      <c r="U1284" s="58" t="str">
        <f aca="false">IF( T1284&lt;&gt;"",VLOOKUP(T1284,Selects!$M$4:$N$1000,2,0),"")</f>
        <v/>
      </c>
      <c r="V1284" s="26"/>
      <c r="W1284" s="58"/>
      <c r="X1284" s="58"/>
      <c r="Y1284" s="58"/>
      <c r="Z1284" s="58"/>
      <c r="AA1284" s="69"/>
      <c r="AB1284" s="58"/>
      <c r="AC1284" s="58"/>
      <c r="AD1284" s="72" t="str">
        <f aca="false">IF(AC1284&lt;&gt;"",VLOOKUP(AC1284,Selects!$B$4:$C$100,2,0),"")</f>
        <v/>
      </c>
      <c r="AE1284" s="26"/>
      <c r="AF1284" s="58"/>
      <c r="AG1284" s="59"/>
      <c r="AH1284" s="65"/>
      <c r="AI1284" s="66"/>
      <c r="AJ1284" s="66"/>
      <c r="AK1284" s="58"/>
      <c r="AL1284" s="58"/>
      <c r="AM1284" s="68" t="str">
        <f aca="false">IF(LEFT(AL1284,1)="9","Celular",IF(AL1284="","","Fixo"))</f>
        <v/>
      </c>
      <c r="AN1284" s="58" t="str">
        <f aca="false">IF( AM1284&lt;&gt;"",VLOOKUP(AM1284,Selects!$M$4:$N$1000,2,0),"")</f>
        <v/>
      </c>
      <c r="AO1284" s="58"/>
      <c r="AP1284" s="59"/>
      <c r="AQ1284" s="66"/>
      <c r="AR1284" s="58"/>
      <c r="AS1284" s="58"/>
      <c r="AT1284" s="26"/>
      <c r="AU1284" s="58"/>
      <c r="AV1284" s="58"/>
      <c r="AW1284" s="58"/>
      <c r="AX1284" s="58"/>
      <c r="AY1284" s="71"/>
      <c r="AZ1284" s="58"/>
      <c r="BA1284" s="58"/>
      <c r="BB1284" s="72" t="str">
        <f aca="false">IF(BA1284&lt;&gt;"",VLOOKUP(BA1284,Selects!$B$4:$C$100,2,0),"")</f>
        <v/>
      </c>
      <c r="BC1284" s="26"/>
      <c r="BD1284" s="26"/>
      <c r="BE1284" s="73"/>
      <c r="BF1284" s="74"/>
      <c r="BG1284" s="75" t="str">
        <f aca="false">IF(LEN(BF1284)=11,"PF",IF(LEN(BF1284)=14,"PJ",""))</f>
        <v/>
      </c>
      <c r="BH1284" s="66"/>
      <c r="BI1284" s="58" t="str">
        <f aca="false">IF(BH1284&lt;&gt;"",VLOOKUP(BH1284,Selects!$G:$H,2,0),"")</f>
        <v/>
      </c>
      <c r="BJ1284" s="58"/>
      <c r="BK1284" s="58"/>
      <c r="BL1284" s="59"/>
      <c r="BM1284" s="58"/>
      <c r="BN1284" s="58"/>
      <c r="BO1284" s="58" t="str">
        <f aca="false">IF(BN1284&lt;&gt;"",VLOOKUP(BN1284,Selects!$J$4:$K$1000,2,0),"")</f>
        <v/>
      </c>
      <c r="BP1284" s="76"/>
      <c r="BQ1284" s="59"/>
      <c r="BR1284" s="77"/>
      <c r="BS1284" s="59"/>
      <c r="BT1284" s="77"/>
      <c r="BU1284" s="58"/>
      <c r="BV1284" s="58"/>
      <c r="BW1284" s="58"/>
      <c r="BX1284" s="58"/>
      <c r="BY1284" s="58"/>
      <c r="BZ1284" s="58"/>
      <c r="CA1284" s="58"/>
      <c r="CB1284" s="72" t="str">
        <f aca="false">IF(AC1284&lt;&gt;"",VLOOKUP(AC1284,Selects!$B:$E,4,0),"")</f>
        <v/>
      </c>
      <c r="CC1284" s="58"/>
      <c r="CD1284" s="58"/>
      <c r="CE1284" s="58"/>
    </row>
    <row r="1285" customFormat="false" ht="15" hidden="true" customHeight="false" outlineLevel="0" collapsed="false">
      <c r="B1285" s="58"/>
      <c r="C1285" s="58"/>
      <c r="D1285" s="59"/>
      <c r="E1285" s="60" t="str">
        <f aca="false">IF(LEN(D1285)=11,"PF",IF(LEN(D1285)=14,"PJ",""))</f>
        <v/>
      </c>
      <c r="F1285" s="59"/>
      <c r="G1285" s="59"/>
      <c r="H1285" s="61" t="str">
        <f aca="false">IF(G1285&lt;&gt;"",VLOOKUP(G1285,'Cnae  mcc  id'!$A:$M,9,0),"")</f>
        <v/>
      </c>
      <c r="I1285" s="62"/>
      <c r="J1285" s="63" t="str">
        <f aca="false">IF(I1285&lt;&gt;"",VLOOKUP(I1285,'Legal Nature'!$E$2:$G$84,3,0),"")</f>
        <v/>
      </c>
      <c r="K1285" s="64"/>
      <c r="L1285" s="65"/>
      <c r="M1285" s="66"/>
      <c r="N1285" s="66"/>
      <c r="O1285" s="79"/>
      <c r="P1285" s="26"/>
      <c r="Q1285" s="58"/>
      <c r="R1285" s="58"/>
      <c r="S1285" s="80"/>
      <c r="T1285" s="68" t="str">
        <f aca="false">IF(LEFT(S1285,1)="9","Celular",IF(S1285="","","Fixo"))</f>
        <v/>
      </c>
      <c r="U1285" s="58" t="str">
        <f aca="false">IF( T1285&lt;&gt;"",VLOOKUP(T1285,Selects!$M$4:$N$1000,2,0),"")</f>
        <v/>
      </c>
      <c r="V1285" s="26"/>
      <c r="W1285" s="58"/>
      <c r="X1285" s="58"/>
      <c r="Y1285" s="58"/>
      <c r="Z1285" s="58"/>
      <c r="AA1285" s="69"/>
      <c r="AB1285" s="58"/>
      <c r="AC1285" s="58"/>
      <c r="AD1285" s="72" t="str">
        <f aca="false">IF(AC1285&lt;&gt;"",VLOOKUP(AC1285,Selects!$B$4:$C$100,2,0),"")</f>
        <v/>
      </c>
      <c r="AE1285" s="26"/>
      <c r="AF1285" s="58"/>
      <c r="AG1285" s="59"/>
      <c r="AH1285" s="65"/>
      <c r="AI1285" s="66"/>
      <c r="AJ1285" s="66"/>
      <c r="AK1285" s="58"/>
      <c r="AL1285" s="58"/>
      <c r="AM1285" s="68" t="str">
        <f aca="false">IF(LEFT(AL1285,1)="9","Celular",IF(AL1285="","","Fixo"))</f>
        <v/>
      </c>
      <c r="AN1285" s="58" t="str">
        <f aca="false">IF( AM1285&lt;&gt;"",VLOOKUP(AM1285,Selects!$M$4:$N$1000,2,0),"")</f>
        <v/>
      </c>
      <c r="AO1285" s="58"/>
      <c r="AP1285" s="59"/>
      <c r="AQ1285" s="66"/>
      <c r="AR1285" s="58"/>
      <c r="AS1285" s="58"/>
      <c r="AT1285" s="26"/>
      <c r="AU1285" s="58"/>
      <c r="AV1285" s="58"/>
      <c r="AW1285" s="58"/>
      <c r="AX1285" s="58"/>
      <c r="AY1285" s="71"/>
      <c r="AZ1285" s="58"/>
      <c r="BA1285" s="58"/>
      <c r="BB1285" s="72" t="str">
        <f aca="false">IF(BA1285&lt;&gt;"",VLOOKUP(BA1285,Selects!$B$4:$C$100,2,0),"")</f>
        <v/>
      </c>
      <c r="BC1285" s="26"/>
      <c r="BD1285" s="26"/>
      <c r="BE1285" s="73"/>
      <c r="BF1285" s="74"/>
      <c r="BG1285" s="75" t="str">
        <f aca="false">IF(LEN(BF1285)=11,"PF",IF(LEN(BF1285)=14,"PJ",""))</f>
        <v/>
      </c>
      <c r="BH1285" s="66"/>
      <c r="BI1285" s="58" t="str">
        <f aca="false">IF(BH1285&lt;&gt;"",VLOOKUP(BH1285,Selects!$G:$H,2,0),"")</f>
        <v/>
      </c>
      <c r="BJ1285" s="58"/>
      <c r="BK1285" s="58"/>
      <c r="BL1285" s="59"/>
      <c r="BM1285" s="58"/>
      <c r="BN1285" s="58"/>
      <c r="BO1285" s="58" t="str">
        <f aca="false">IF(BN1285&lt;&gt;"",VLOOKUP(BN1285,Selects!$J$4:$K$1000,2,0),"")</f>
        <v/>
      </c>
      <c r="BP1285" s="76"/>
      <c r="BQ1285" s="59"/>
      <c r="BR1285" s="77"/>
      <c r="BS1285" s="59"/>
      <c r="BT1285" s="77"/>
      <c r="BU1285" s="58"/>
      <c r="BV1285" s="58"/>
      <c r="BW1285" s="58"/>
      <c r="BX1285" s="58"/>
      <c r="BY1285" s="58"/>
      <c r="BZ1285" s="58"/>
      <c r="CA1285" s="58"/>
      <c r="CB1285" s="72" t="str">
        <f aca="false">IF(AC1285&lt;&gt;"",VLOOKUP(AC1285,Selects!$B:$E,4,0),"")</f>
        <v/>
      </c>
      <c r="CC1285" s="58"/>
      <c r="CD1285" s="58"/>
      <c r="CE1285" s="58"/>
    </row>
    <row r="1286" customFormat="false" ht="15" hidden="true" customHeight="false" outlineLevel="0" collapsed="false">
      <c r="B1286" s="58"/>
      <c r="C1286" s="58"/>
      <c r="D1286" s="59"/>
      <c r="E1286" s="60" t="str">
        <f aca="false">IF(LEN(D1286)=11,"PF",IF(LEN(D1286)=14,"PJ",""))</f>
        <v/>
      </c>
      <c r="F1286" s="59"/>
      <c r="G1286" s="59"/>
      <c r="H1286" s="61" t="str">
        <f aca="false">IF(G1286&lt;&gt;"",VLOOKUP(G1286,'Cnae  mcc  id'!$A:$M,9,0),"")</f>
        <v/>
      </c>
      <c r="I1286" s="62"/>
      <c r="J1286" s="63" t="str">
        <f aca="false">IF(I1286&lt;&gt;"",VLOOKUP(I1286,'Legal Nature'!$E$2:$G$84,3,0),"")</f>
        <v/>
      </c>
      <c r="K1286" s="64"/>
      <c r="L1286" s="65"/>
      <c r="M1286" s="66"/>
      <c r="N1286" s="66"/>
      <c r="O1286" s="79"/>
      <c r="P1286" s="26"/>
      <c r="Q1286" s="58"/>
      <c r="R1286" s="58"/>
      <c r="S1286" s="80"/>
      <c r="T1286" s="68" t="str">
        <f aca="false">IF(LEFT(S1286,1)="9","Celular",IF(S1286="","","Fixo"))</f>
        <v/>
      </c>
      <c r="U1286" s="58" t="str">
        <f aca="false">IF( T1286&lt;&gt;"",VLOOKUP(T1286,Selects!$M$4:$N$1000,2,0),"")</f>
        <v/>
      </c>
      <c r="V1286" s="26"/>
      <c r="W1286" s="58"/>
      <c r="X1286" s="58"/>
      <c r="Y1286" s="58"/>
      <c r="Z1286" s="58"/>
      <c r="AA1286" s="69"/>
      <c r="AB1286" s="58"/>
      <c r="AC1286" s="58"/>
      <c r="AD1286" s="72" t="str">
        <f aca="false">IF(AC1286&lt;&gt;"",VLOOKUP(AC1286,Selects!$B$4:$C$100,2,0),"")</f>
        <v/>
      </c>
      <c r="AE1286" s="26"/>
      <c r="AF1286" s="58"/>
      <c r="AG1286" s="59"/>
      <c r="AH1286" s="65"/>
      <c r="AI1286" s="66"/>
      <c r="AJ1286" s="66"/>
      <c r="AK1286" s="58"/>
      <c r="AL1286" s="58"/>
      <c r="AM1286" s="68" t="str">
        <f aca="false">IF(LEFT(AL1286,1)="9","Celular",IF(AL1286="","","Fixo"))</f>
        <v/>
      </c>
      <c r="AN1286" s="58" t="str">
        <f aca="false">IF( AM1286&lt;&gt;"",VLOOKUP(AM1286,Selects!$M$4:$N$1000,2,0),"")</f>
        <v/>
      </c>
      <c r="AO1286" s="58"/>
      <c r="AP1286" s="59"/>
      <c r="AQ1286" s="66"/>
      <c r="AR1286" s="58"/>
      <c r="AS1286" s="58"/>
      <c r="AT1286" s="26"/>
      <c r="AU1286" s="58"/>
      <c r="AV1286" s="58"/>
      <c r="AW1286" s="58"/>
      <c r="AX1286" s="58"/>
      <c r="AY1286" s="71"/>
      <c r="AZ1286" s="58"/>
      <c r="BA1286" s="58"/>
      <c r="BB1286" s="72" t="str">
        <f aca="false">IF(BA1286&lt;&gt;"",VLOOKUP(BA1286,Selects!$B$4:$C$100,2,0),"")</f>
        <v/>
      </c>
      <c r="BC1286" s="26"/>
      <c r="BD1286" s="26"/>
      <c r="BE1286" s="73"/>
      <c r="BF1286" s="74"/>
      <c r="BG1286" s="75" t="str">
        <f aca="false">IF(LEN(BF1286)=11,"PF",IF(LEN(BF1286)=14,"PJ",""))</f>
        <v/>
      </c>
      <c r="BH1286" s="66"/>
      <c r="BI1286" s="58" t="str">
        <f aca="false">IF(BH1286&lt;&gt;"",VLOOKUP(BH1286,Selects!$G:$H,2,0),"")</f>
        <v/>
      </c>
      <c r="BJ1286" s="58"/>
      <c r="BK1286" s="58"/>
      <c r="BL1286" s="59"/>
      <c r="BM1286" s="58"/>
      <c r="BN1286" s="58"/>
      <c r="BO1286" s="58" t="str">
        <f aca="false">IF(BN1286&lt;&gt;"",VLOOKUP(BN1286,Selects!$J$4:$K$1000,2,0),"")</f>
        <v/>
      </c>
      <c r="BP1286" s="76"/>
      <c r="BQ1286" s="59"/>
      <c r="BR1286" s="77"/>
      <c r="BS1286" s="59"/>
      <c r="BT1286" s="77"/>
      <c r="BU1286" s="58"/>
      <c r="BV1286" s="58"/>
      <c r="BW1286" s="58"/>
      <c r="BX1286" s="58"/>
      <c r="BY1286" s="58"/>
      <c r="BZ1286" s="58"/>
      <c r="CA1286" s="58"/>
      <c r="CB1286" s="72" t="str">
        <f aca="false">IF(AC1286&lt;&gt;"",VLOOKUP(AC1286,Selects!$B:$E,4,0),"")</f>
        <v/>
      </c>
      <c r="CC1286" s="58"/>
      <c r="CD1286" s="58"/>
      <c r="CE1286" s="58"/>
    </row>
    <row r="1287" customFormat="false" ht="15" hidden="true" customHeight="false" outlineLevel="0" collapsed="false">
      <c r="B1287" s="58"/>
      <c r="C1287" s="58"/>
      <c r="D1287" s="59"/>
      <c r="E1287" s="60" t="str">
        <f aca="false">IF(LEN(D1287)=11,"PF",IF(LEN(D1287)=14,"PJ",""))</f>
        <v/>
      </c>
      <c r="F1287" s="59"/>
      <c r="G1287" s="59"/>
      <c r="H1287" s="61" t="str">
        <f aca="false">IF(G1287&lt;&gt;"",VLOOKUP(G1287,'Cnae  mcc  id'!$A:$M,9,0),"")</f>
        <v/>
      </c>
      <c r="I1287" s="62"/>
      <c r="J1287" s="63" t="str">
        <f aca="false">IF(I1287&lt;&gt;"",VLOOKUP(I1287,'Legal Nature'!$E$2:$G$84,3,0),"")</f>
        <v/>
      </c>
      <c r="K1287" s="64"/>
      <c r="L1287" s="65"/>
      <c r="M1287" s="66"/>
      <c r="N1287" s="66"/>
      <c r="O1287" s="79"/>
      <c r="P1287" s="26"/>
      <c r="Q1287" s="58"/>
      <c r="R1287" s="58"/>
      <c r="S1287" s="80"/>
      <c r="T1287" s="68" t="str">
        <f aca="false">IF(LEFT(S1287,1)="9","Celular",IF(S1287="","","Fixo"))</f>
        <v/>
      </c>
      <c r="U1287" s="58" t="str">
        <f aca="false">IF( T1287&lt;&gt;"",VLOOKUP(T1287,Selects!$M$4:$N$1000,2,0),"")</f>
        <v/>
      </c>
      <c r="V1287" s="26"/>
      <c r="W1287" s="58"/>
      <c r="X1287" s="58"/>
      <c r="Y1287" s="58"/>
      <c r="Z1287" s="58"/>
      <c r="AA1287" s="69"/>
      <c r="AB1287" s="58"/>
      <c r="AC1287" s="58"/>
      <c r="AD1287" s="72" t="str">
        <f aca="false">IF(AC1287&lt;&gt;"",VLOOKUP(AC1287,Selects!$B$4:$C$100,2,0),"")</f>
        <v/>
      </c>
      <c r="AE1287" s="26"/>
      <c r="AF1287" s="58"/>
      <c r="AG1287" s="59"/>
      <c r="AH1287" s="65"/>
      <c r="AI1287" s="66"/>
      <c r="AJ1287" s="66"/>
      <c r="AK1287" s="58"/>
      <c r="AL1287" s="58"/>
      <c r="AM1287" s="68" t="str">
        <f aca="false">IF(LEFT(AL1287,1)="9","Celular",IF(AL1287="","","Fixo"))</f>
        <v/>
      </c>
      <c r="AN1287" s="58" t="str">
        <f aca="false">IF( AM1287&lt;&gt;"",VLOOKUP(AM1287,Selects!$M$4:$N$1000,2,0),"")</f>
        <v/>
      </c>
      <c r="AO1287" s="58"/>
      <c r="AP1287" s="59"/>
      <c r="AQ1287" s="66"/>
      <c r="AR1287" s="58"/>
      <c r="AS1287" s="58"/>
      <c r="AT1287" s="26"/>
      <c r="AU1287" s="58"/>
      <c r="AV1287" s="58"/>
      <c r="AW1287" s="58"/>
      <c r="AX1287" s="58"/>
      <c r="AY1287" s="71"/>
      <c r="AZ1287" s="58"/>
      <c r="BA1287" s="58"/>
      <c r="BB1287" s="72" t="str">
        <f aca="false">IF(BA1287&lt;&gt;"",VLOOKUP(BA1287,Selects!$B$4:$C$100,2,0),"")</f>
        <v/>
      </c>
      <c r="BC1287" s="26"/>
      <c r="BD1287" s="26"/>
      <c r="BE1287" s="73"/>
      <c r="BF1287" s="74"/>
      <c r="BG1287" s="75" t="str">
        <f aca="false">IF(LEN(BF1287)=11,"PF",IF(LEN(BF1287)=14,"PJ",""))</f>
        <v/>
      </c>
      <c r="BH1287" s="66"/>
      <c r="BI1287" s="58" t="str">
        <f aca="false">IF(BH1287&lt;&gt;"",VLOOKUP(BH1287,Selects!$G:$H,2,0),"")</f>
        <v/>
      </c>
      <c r="BJ1287" s="58"/>
      <c r="BK1287" s="58"/>
      <c r="BL1287" s="59"/>
      <c r="BM1287" s="58"/>
      <c r="BN1287" s="58"/>
      <c r="BO1287" s="58" t="str">
        <f aca="false">IF(BN1287&lt;&gt;"",VLOOKUP(BN1287,Selects!$J$4:$K$1000,2,0),"")</f>
        <v/>
      </c>
      <c r="BP1287" s="76"/>
      <c r="BQ1287" s="59"/>
      <c r="BR1287" s="77"/>
      <c r="BS1287" s="59"/>
      <c r="BT1287" s="77"/>
      <c r="BU1287" s="58"/>
      <c r="BV1287" s="58"/>
      <c r="BW1287" s="58"/>
      <c r="BX1287" s="58"/>
      <c r="BY1287" s="58"/>
      <c r="BZ1287" s="58"/>
      <c r="CA1287" s="58"/>
      <c r="CB1287" s="72" t="str">
        <f aca="false">IF(AC1287&lt;&gt;"",VLOOKUP(AC1287,Selects!$B:$E,4,0),"")</f>
        <v/>
      </c>
      <c r="CC1287" s="58"/>
      <c r="CD1287" s="58"/>
      <c r="CE1287" s="58"/>
    </row>
    <row r="1288" customFormat="false" ht="15" hidden="true" customHeight="false" outlineLevel="0" collapsed="false">
      <c r="B1288" s="58"/>
      <c r="C1288" s="58"/>
      <c r="D1288" s="59"/>
      <c r="E1288" s="60" t="str">
        <f aca="false">IF(LEN(D1288)=11,"PF",IF(LEN(D1288)=14,"PJ",""))</f>
        <v/>
      </c>
      <c r="F1288" s="59"/>
      <c r="G1288" s="59"/>
      <c r="H1288" s="61" t="str">
        <f aca="false">IF(G1288&lt;&gt;"",VLOOKUP(G1288,'Cnae  mcc  id'!$A:$M,9,0),"")</f>
        <v/>
      </c>
      <c r="I1288" s="62"/>
      <c r="J1288" s="63" t="str">
        <f aca="false">IF(I1288&lt;&gt;"",VLOOKUP(I1288,'Legal Nature'!$E$2:$G$84,3,0),"")</f>
        <v/>
      </c>
      <c r="K1288" s="64"/>
      <c r="L1288" s="65"/>
      <c r="M1288" s="66"/>
      <c r="N1288" s="66"/>
      <c r="O1288" s="79"/>
      <c r="P1288" s="26"/>
      <c r="Q1288" s="58"/>
      <c r="R1288" s="58"/>
      <c r="S1288" s="80"/>
      <c r="T1288" s="68" t="str">
        <f aca="false">IF(LEFT(S1288,1)="9","Celular",IF(S1288="","","Fixo"))</f>
        <v/>
      </c>
      <c r="U1288" s="58" t="str">
        <f aca="false">IF( T1288&lt;&gt;"",VLOOKUP(T1288,Selects!$M$4:$N$1000,2,0),"")</f>
        <v/>
      </c>
      <c r="V1288" s="26"/>
      <c r="W1288" s="58"/>
      <c r="X1288" s="58"/>
      <c r="Y1288" s="58"/>
      <c r="Z1288" s="58"/>
      <c r="AA1288" s="69"/>
      <c r="AB1288" s="58"/>
      <c r="AC1288" s="58"/>
      <c r="AD1288" s="72" t="str">
        <f aca="false">IF(AC1288&lt;&gt;"",VLOOKUP(AC1288,Selects!$B$4:$C$100,2,0),"")</f>
        <v/>
      </c>
      <c r="AE1288" s="26"/>
      <c r="AF1288" s="58"/>
      <c r="AG1288" s="59"/>
      <c r="AH1288" s="65"/>
      <c r="AI1288" s="66"/>
      <c r="AJ1288" s="66"/>
      <c r="AK1288" s="58"/>
      <c r="AL1288" s="58"/>
      <c r="AM1288" s="68" t="str">
        <f aca="false">IF(LEFT(AL1288,1)="9","Celular",IF(AL1288="","","Fixo"))</f>
        <v/>
      </c>
      <c r="AN1288" s="58" t="str">
        <f aca="false">IF( AM1288&lt;&gt;"",VLOOKUP(AM1288,Selects!$M$4:$N$1000,2,0),"")</f>
        <v/>
      </c>
      <c r="AO1288" s="58"/>
      <c r="AP1288" s="59"/>
      <c r="AQ1288" s="66"/>
      <c r="AR1288" s="58"/>
      <c r="AS1288" s="58"/>
      <c r="AT1288" s="26"/>
      <c r="AU1288" s="58"/>
      <c r="AV1288" s="58"/>
      <c r="AW1288" s="58"/>
      <c r="AX1288" s="58"/>
      <c r="AY1288" s="71"/>
      <c r="AZ1288" s="58"/>
      <c r="BA1288" s="58"/>
      <c r="BB1288" s="72" t="str">
        <f aca="false">IF(BA1288&lt;&gt;"",VLOOKUP(BA1288,Selects!$B$4:$C$100,2,0),"")</f>
        <v/>
      </c>
      <c r="BC1288" s="26"/>
      <c r="BD1288" s="26"/>
      <c r="BE1288" s="73"/>
      <c r="BF1288" s="74"/>
      <c r="BG1288" s="75" t="str">
        <f aca="false">IF(LEN(BF1288)=11,"PF",IF(LEN(BF1288)=14,"PJ",""))</f>
        <v/>
      </c>
      <c r="BH1288" s="66"/>
      <c r="BI1288" s="58" t="str">
        <f aca="false">IF(BH1288&lt;&gt;"",VLOOKUP(BH1288,Selects!$G:$H,2,0),"")</f>
        <v/>
      </c>
      <c r="BJ1288" s="58"/>
      <c r="BK1288" s="58"/>
      <c r="BL1288" s="59"/>
      <c r="BM1288" s="58"/>
      <c r="BN1288" s="58"/>
      <c r="BO1288" s="58" t="str">
        <f aca="false">IF(BN1288&lt;&gt;"",VLOOKUP(BN1288,Selects!$J$4:$K$1000,2,0),"")</f>
        <v/>
      </c>
      <c r="BP1288" s="76"/>
      <c r="BQ1288" s="59"/>
      <c r="BR1288" s="77"/>
      <c r="BS1288" s="59"/>
      <c r="BT1288" s="77"/>
      <c r="BU1288" s="58"/>
      <c r="BV1288" s="58"/>
      <c r="BW1288" s="58"/>
      <c r="BX1288" s="58"/>
      <c r="BY1288" s="58"/>
      <c r="BZ1288" s="58"/>
      <c r="CA1288" s="58"/>
      <c r="CB1288" s="72" t="str">
        <f aca="false">IF(AC1288&lt;&gt;"",VLOOKUP(AC1288,Selects!$B:$E,4,0),"")</f>
        <v/>
      </c>
      <c r="CC1288" s="58"/>
      <c r="CD1288" s="58"/>
      <c r="CE1288" s="58"/>
    </row>
    <row r="1289" customFormat="false" ht="15" hidden="true" customHeight="false" outlineLevel="0" collapsed="false">
      <c r="B1289" s="58"/>
      <c r="C1289" s="58"/>
      <c r="D1289" s="59"/>
      <c r="E1289" s="60" t="str">
        <f aca="false">IF(LEN(D1289)=11,"PF",IF(LEN(D1289)=14,"PJ",""))</f>
        <v/>
      </c>
      <c r="F1289" s="59"/>
      <c r="G1289" s="59"/>
      <c r="H1289" s="61" t="str">
        <f aca="false">IF(G1289&lt;&gt;"",VLOOKUP(G1289,'Cnae  mcc  id'!$A:$M,9,0),"")</f>
        <v/>
      </c>
      <c r="I1289" s="62"/>
      <c r="J1289" s="63" t="str">
        <f aca="false">IF(I1289&lt;&gt;"",VLOOKUP(I1289,'Legal Nature'!$E$2:$G$84,3,0),"")</f>
        <v/>
      </c>
      <c r="K1289" s="64"/>
      <c r="L1289" s="65"/>
      <c r="M1289" s="66"/>
      <c r="N1289" s="66"/>
      <c r="O1289" s="79"/>
      <c r="P1289" s="26"/>
      <c r="Q1289" s="58"/>
      <c r="R1289" s="58"/>
      <c r="S1289" s="80"/>
      <c r="T1289" s="68" t="str">
        <f aca="false">IF(LEFT(S1289,1)="9","Celular",IF(S1289="","","Fixo"))</f>
        <v/>
      </c>
      <c r="U1289" s="58" t="str">
        <f aca="false">IF( T1289&lt;&gt;"",VLOOKUP(T1289,Selects!$M$4:$N$1000,2,0),"")</f>
        <v/>
      </c>
      <c r="V1289" s="26"/>
      <c r="W1289" s="58"/>
      <c r="X1289" s="58"/>
      <c r="Y1289" s="58"/>
      <c r="Z1289" s="58"/>
      <c r="AA1289" s="69"/>
      <c r="AB1289" s="58"/>
      <c r="AC1289" s="58"/>
      <c r="AD1289" s="72" t="str">
        <f aca="false">IF(AC1289&lt;&gt;"",VLOOKUP(AC1289,Selects!$B$4:$C$100,2,0),"")</f>
        <v/>
      </c>
      <c r="AE1289" s="26"/>
      <c r="AF1289" s="58"/>
      <c r="AG1289" s="59"/>
      <c r="AH1289" s="65"/>
      <c r="AI1289" s="66"/>
      <c r="AJ1289" s="66"/>
      <c r="AK1289" s="58"/>
      <c r="AL1289" s="58"/>
      <c r="AM1289" s="68" t="str">
        <f aca="false">IF(LEFT(AL1289,1)="9","Celular",IF(AL1289="","","Fixo"))</f>
        <v/>
      </c>
      <c r="AN1289" s="58" t="str">
        <f aca="false">IF( AM1289&lt;&gt;"",VLOOKUP(AM1289,Selects!$M$4:$N$1000,2,0),"")</f>
        <v/>
      </c>
      <c r="AO1289" s="58"/>
      <c r="AP1289" s="59"/>
      <c r="AQ1289" s="66"/>
      <c r="AR1289" s="58"/>
      <c r="AS1289" s="58"/>
      <c r="AT1289" s="26"/>
      <c r="AU1289" s="58"/>
      <c r="AV1289" s="58"/>
      <c r="AW1289" s="58"/>
      <c r="AX1289" s="58"/>
      <c r="AY1289" s="71"/>
      <c r="AZ1289" s="58"/>
      <c r="BA1289" s="58"/>
      <c r="BB1289" s="72" t="str">
        <f aca="false">IF(BA1289&lt;&gt;"",VLOOKUP(BA1289,Selects!$B$4:$C$100,2,0),"")</f>
        <v/>
      </c>
      <c r="BC1289" s="26"/>
      <c r="BD1289" s="26"/>
      <c r="BE1289" s="73"/>
      <c r="BF1289" s="74"/>
      <c r="BG1289" s="75" t="str">
        <f aca="false">IF(LEN(BF1289)=11,"PF",IF(LEN(BF1289)=14,"PJ",""))</f>
        <v/>
      </c>
      <c r="BH1289" s="66"/>
      <c r="BI1289" s="58" t="str">
        <f aca="false">IF(BH1289&lt;&gt;"",VLOOKUP(BH1289,Selects!$G:$H,2,0),"")</f>
        <v/>
      </c>
      <c r="BJ1289" s="58"/>
      <c r="BK1289" s="58"/>
      <c r="BL1289" s="59"/>
      <c r="BM1289" s="58"/>
      <c r="BN1289" s="58"/>
      <c r="BO1289" s="58" t="str">
        <f aca="false">IF(BN1289&lt;&gt;"",VLOOKUP(BN1289,Selects!$J$4:$K$1000,2,0),"")</f>
        <v/>
      </c>
      <c r="BP1289" s="76"/>
      <c r="BQ1289" s="59"/>
      <c r="BR1289" s="77"/>
      <c r="BS1289" s="59"/>
      <c r="BT1289" s="77"/>
      <c r="BU1289" s="58"/>
      <c r="BV1289" s="58"/>
      <c r="BW1289" s="58"/>
      <c r="BX1289" s="58"/>
      <c r="BY1289" s="58"/>
      <c r="BZ1289" s="58"/>
      <c r="CA1289" s="58"/>
      <c r="CB1289" s="72" t="str">
        <f aca="false">IF(AC1289&lt;&gt;"",VLOOKUP(AC1289,Selects!$B:$E,4,0),"")</f>
        <v/>
      </c>
      <c r="CC1289" s="58"/>
      <c r="CD1289" s="58"/>
      <c r="CE1289" s="58"/>
    </row>
    <row r="1290" customFormat="false" ht="15" hidden="true" customHeight="false" outlineLevel="0" collapsed="false">
      <c r="B1290" s="58"/>
      <c r="C1290" s="58"/>
      <c r="D1290" s="59"/>
      <c r="E1290" s="60" t="str">
        <f aca="false">IF(LEN(D1290)=11,"PF",IF(LEN(D1290)=14,"PJ",""))</f>
        <v/>
      </c>
      <c r="F1290" s="59"/>
      <c r="G1290" s="59"/>
      <c r="H1290" s="61" t="str">
        <f aca="false">IF(G1290&lt;&gt;"",VLOOKUP(G1290,'Cnae  mcc  id'!$A:$M,9,0),"")</f>
        <v/>
      </c>
      <c r="I1290" s="62"/>
      <c r="J1290" s="63" t="str">
        <f aca="false">IF(I1290&lt;&gt;"",VLOOKUP(I1290,'Legal Nature'!$E$2:$G$84,3,0),"")</f>
        <v/>
      </c>
      <c r="K1290" s="64"/>
      <c r="L1290" s="65"/>
      <c r="M1290" s="66"/>
      <c r="N1290" s="66"/>
      <c r="O1290" s="79"/>
      <c r="P1290" s="26"/>
      <c r="Q1290" s="58"/>
      <c r="R1290" s="58"/>
      <c r="S1290" s="80"/>
      <c r="T1290" s="68" t="str">
        <f aca="false">IF(LEFT(S1290,1)="9","Celular",IF(S1290="","","Fixo"))</f>
        <v/>
      </c>
      <c r="U1290" s="58" t="str">
        <f aca="false">IF( T1290&lt;&gt;"",VLOOKUP(T1290,Selects!$M$4:$N$1000,2,0),"")</f>
        <v/>
      </c>
      <c r="V1290" s="26"/>
      <c r="W1290" s="58"/>
      <c r="X1290" s="58"/>
      <c r="Y1290" s="58"/>
      <c r="Z1290" s="58"/>
      <c r="AA1290" s="69"/>
      <c r="AB1290" s="58"/>
      <c r="AC1290" s="58"/>
      <c r="AD1290" s="72" t="str">
        <f aca="false">IF(AC1290&lt;&gt;"",VLOOKUP(AC1290,Selects!$B$4:$C$100,2,0),"")</f>
        <v/>
      </c>
      <c r="AE1290" s="26"/>
      <c r="AF1290" s="58"/>
      <c r="AG1290" s="59"/>
      <c r="AH1290" s="65"/>
      <c r="AI1290" s="66"/>
      <c r="AJ1290" s="66"/>
      <c r="AK1290" s="58"/>
      <c r="AL1290" s="58"/>
      <c r="AM1290" s="68" t="str">
        <f aca="false">IF(LEFT(AL1290,1)="9","Celular",IF(AL1290="","","Fixo"))</f>
        <v/>
      </c>
      <c r="AN1290" s="58" t="str">
        <f aca="false">IF( AM1290&lt;&gt;"",VLOOKUP(AM1290,Selects!$M$4:$N$1000,2,0),"")</f>
        <v/>
      </c>
      <c r="AO1290" s="58"/>
      <c r="AP1290" s="59"/>
      <c r="AQ1290" s="66"/>
      <c r="AR1290" s="58"/>
      <c r="AS1290" s="58"/>
      <c r="AT1290" s="26"/>
      <c r="AU1290" s="58"/>
      <c r="AV1290" s="58"/>
      <c r="AW1290" s="58"/>
      <c r="AX1290" s="58"/>
      <c r="AY1290" s="71"/>
      <c r="AZ1290" s="58"/>
      <c r="BA1290" s="58"/>
      <c r="BB1290" s="72" t="str">
        <f aca="false">IF(BA1290&lt;&gt;"",VLOOKUP(BA1290,Selects!$B$4:$C$100,2,0),"")</f>
        <v/>
      </c>
      <c r="BC1290" s="26"/>
      <c r="BD1290" s="26"/>
      <c r="BE1290" s="73"/>
      <c r="BF1290" s="74"/>
      <c r="BG1290" s="75" t="str">
        <f aca="false">IF(LEN(BF1290)=11,"PF",IF(LEN(BF1290)=14,"PJ",""))</f>
        <v/>
      </c>
      <c r="BH1290" s="66"/>
      <c r="BI1290" s="58" t="str">
        <f aca="false">IF(BH1290&lt;&gt;"",VLOOKUP(BH1290,Selects!$G:$H,2,0),"")</f>
        <v/>
      </c>
      <c r="BJ1290" s="58"/>
      <c r="BK1290" s="58"/>
      <c r="BL1290" s="59"/>
      <c r="BM1290" s="58"/>
      <c r="BN1290" s="58"/>
      <c r="BO1290" s="58" t="str">
        <f aca="false">IF(BN1290&lt;&gt;"",VLOOKUP(BN1290,Selects!$J$4:$K$1000,2,0),"")</f>
        <v/>
      </c>
      <c r="BP1290" s="76"/>
      <c r="BQ1290" s="59"/>
      <c r="BR1290" s="77"/>
      <c r="BS1290" s="59"/>
      <c r="BT1290" s="77"/>
      <c r="BU1290" s="58"/>
      <c r="BV1290" s="58"/>
      <c r="BW1290" s="58"/>
      <c r="BX1290" s="58"/>
      <c r="BY1290" s="58"/>
      <c r="BZ1290" s="58"/>
      <c r="CA1290" s="58"/>
      <c r="CB1290" s="72" t="str">
        <f aca="false">IF(AC1290&lt;&gt;"",VLOOKUP(AC1290,Selects!$B:$E,4,0),"")</f>
        <v/>
      </c>
      <c r="CC1290" s="58"/>
      <c r="CD1290" s="58"/>
      <c r="CE1290" s="58"/>
    </row>
    <row r="1291" customFormat="false" ht="15" hidden="true" customHeight="false" outlineLevel="0" collapsed="false">
      <c r="B1291" s="58"/>
      <c r="C1291" s="58"/>
      <c r="D1291" s="59"/>
      <c r="E1291" s="60" t="str">
        <f aca="false">IF(LEN(D1291)=11,"PF",IF(LEN(D1291)=14,"PJ",""))</f>
        <v/>
      </c>
      <c r="F1291" s="59"/>
      <c r="G1291" s="59"/>
      <c r="H1291" s="61" t="str">
        <f aca="false">IF(G1291&lt;&gt;"",VLOOKUP(G1291,'Cnae  mcc  id'!$A:$M,9,0),"")</f>
        <v/>
      </c>
      <c r="I1291" s="62"/>
      <c r="J1291" s="63" t="str">
        <f aca="false">IF(I1291&lt;&gt;"",VLOOKUP(I1291,'Legal Nature'!$E$2:$G$84,3,0),"")</f>
        <v/>
      </c>
      <c r="K1291" s="64"/>
      <c r="L1291" s="65"/>
      <c r="M1291" s="66"/>
      <c r="N1291" s="66"/>
      <c r="O1291" s="79"/>
      <c r="P1291" s="26"/>
      <c r="Q1291" s="58"/>
      <c r="R1291" s="58"/>
      <c r="S1291" s="80"/>
      <c r="T1291" s="68" t="str">
        <f aca="false">IF(LEFT(S1291,1)="9","Celular",IF(S1291="","","Fixo"))</f>
        <v/>
      </c>
      <c r="U1291" s="58" t="str">
        <f aca="false">IF( T1291&lt;&gt;"",VLOOKUP(T1291,Selects!$M$4:$N$1000,2,0),"")</f>
        <v/>
      </c>
      <c r="V1291" s="26"/>
      <c r="W1291" s="58"/>
      <c r="X1291" s="58"/>
      <c r="Y1291" s="58"/>
      <c r="Z1291" s="58"/>
      <c r="AA1291" s="69"/>
      <c r="AB1291" s="58"/>
      <c r="AC1291" s="58"/>
      <c r="AD1291" s="72" t="str">
        <f aca="false">IF(AC1291&lt;&gt;"",VLOOKUP(AC1291,Selects!$B$4:$C$100,2,0),"")</f>
        <v/>
      </c>
      <c r="AE1291" s="26"/>
      <c r="AF1291" s="58"/>
      <c r="AG1291" s="59"/>
      <c r="AH1291" s="65"/>
      <c r="AI1291" s="66"/>
      <c r="AJ1291" s="66"/>
      <c r="AK1291" s="58"/>
      <c r="AL1291" s="58"/>
      <c r="AM1291" s="68" t="str">
        <f aca="false">IF(LEFT(AL1291,1)="9","Celular",IF(AL1291="","","Fixo"))</f>
        <v/>
      </c>
      <c r="AN1291" s="58" t="str">
        <f aca="false">IF( AM1291&lt;&gt;"",VLOOKUP(AM1291,Selects!$M$4:$N$1000,2,0),"")</f>
        <v/>
      </c>
      <c r="AO1291" s="58"/>
      <c r="AP1291" s="59"/>
      <c r="AQ1291" s="66"/>
      <c r="AR1291" s="58"/>
      <c r="AS1291" s="58"/>
      <c r="AT1291" s="26"/>
      <c r="AU1291" s="58"/>
      <c r="AV1291" s="58"/>
      <c r="AW1291" s="58"/>
      <c r="AX1291" s="58"/>
      <c r="AY1291" s="71"/>
      <c r="AZ1291" s="58"/>
      <c r="BA1291" s="58"/>
      <c r="BB1291" s="72" t="str">
        <f aca="false">IF(BA1291&lt;&gt;"",VLOOKUP(BA1291,Selects!$B$4:$C$100,2,0),"")</f>
        <v/>
      </c>
      <c r="BC1291" s="26"/>
      <c r="BD1291" s="26"/>
      <c r="BE1291" s="73"/>
      <c r="BF1291" s="74"/>
      <c r="BG1291" s="75" t="str">
        <f aca="false">IF(LEN(BF1291)=11,"PF",IF(LEN(BF1291)=14,"PJ",""))</f>
        <v/>
      </c>
      <c r="BH1291" s="66"/>
      <c r="BI1291" s="58" t="str">
        <f aca="false">IF(BH1291&lt;&gt;"",VLOOKUP(BH1291,Selects!$G:$H,2,0),"")</f>
        <v/>
      </c>
      <c r="BJ1291" s="58"/>
      <c r="BK1291" s="58"/>
      <c r="BL1291" s="59"/>
      <c r="BM1291" s="58"/>
      <c r="BN1291" s="58"/>
      <c r="BO1291" s="58" t="str">
        <f aca="false">IF(BN1291&lt;&gt;"",VLOOKUP(BN1291,Selects!$J$4:$K$1000,2,0),"")</f>
        <v/>
      </c>
      <c r="BP1291" s="76"/>
      <c r="BQ1291" s="59"/>
      <c r="BR1291" s="77"/>
      <c r="BS1291" s="59"/>
      <c r="BT1291" s="77"/>
      <c r="BU1291" s="58"/>
      <c r="BV1291" s="58"/>
      <c r="BW1291" s="58"/>
      <c r="BX1291" s="58"/>
      <c r="BY1291" s="58"/>
      <c r="BZ1291" s="58"/>
      <c r="CA1291" s="58"/>
      <c r="CB1291" s="72" t="str">
        <f aca="false">IF(AC1291&lt;&gt;"",VLOOKUP(AC1291,Selects!$B:$E,4,0),"")</f>
        <v/>
      </c>
      <c r="CC1291" s="58"/>
      <c r="CD1291" s="58"/>
      <c r="CE1291" s="58"/>
    </row>
    <row r="1292" customFormat="false" ht="15" hidden="true" customHeight="false" outlineLevel="0" collapsed="false">
      <c r="B1292" s="58"/>
      <c r="C1292" s="58"/>
      <c r="D1292" s="59"/>
      <c r="E1292" s="60" t="str">
        <f aca="false">IF(LEN(D1292)=11,"PF",IF(LEN(D1292)=14,"PJ",""))</f>
        <v/>
      </c>
      <c r="F1292" s="59"/>
      <c r="G1292" s="59"/>
      <c r="H1292" s="61" t="str">
        <f aca="false">IF(G1292&lt;&gt;"",VLOOKUP(G1292,'Cnae  mcc  id'!$A:$M,9,0),"")</f>
        <v/>
      </c>
      <c r="I1292" s="62"/>
      <c r="J1292" s="63" t="str">
        <f aca="false">IF(I1292&lt;&gt;"",VLOOKUP(I1292,'Legal Nature'!$E$2:$G$84,3,0),"")</f>
        <v/>
      </c>
      <c r="K1292" s="64"/>
      <c r="L1292" s="65"/>
      <c r="M1292" s="66"/>
      <c r="N1292" s="66"/>
      <c r="O1292" s="79"/>
      <c r="P1292" s="26"/>
      <c r="Q1292" s="58"/>
      <c r="R1292" s="58"/>
      <c r="S1292" s="80"/>
      <c r="T1292" s="68" t="str">
        <f aca="false">IF(LEFT(S1292,1)="9","Celular",IF(S1292="","","Fixo"))</f>
        <v/>
      </c>
      <c r="U1292" s="58" t="str">
        <f aca="false">IF( T1292&lt;&gt;"",VLOOKUP(T1292,Selects!$M$4:$N$1000,2,0),"")</f>
        <v/>
      </c>
      <c r="V1292" s="26"/>
      <c r="W1292" s="58"/>
      <c r="X1292" s="58"/>
      <c r="Y1292" s="58"/>
      <c r="Z1292" s="58"/>
      <c r="AA1292" s="69"/>
      <c r="AB1292" s="58"/>
      <c r="AC1292" s="58"/>
      <c r="AD1292" s="72" t="str">
        <f aca="false">IF(AC1292&lt;&gt;"",VLOOKUP(AC1292,Selects!$B$4:$C$100,2,0),"")</f>
        <v/>
      </c>
      <c r="AE1292" s="26"/>
      <c r="AF1292" s="58"/>
      <c r="AG1292" s="59"/>
      <c r="AH1292" s="65"/>
      <c r="AI1292" s="66"/>
      <c r="AJ1292" s="66"/>
      <c r="AK1292" s="58"/>
      <c r="AL1292" s="58"/>
      <c r="AM1292" s="68" t="str">
        <f aca="false">IF(LEFT(AL1292,1)="9","Celular",IF(AL1292="","","Fixo"))</f>
        <v/>
      </c>
      <c r="AN1292" s="58" t="str">
        <f aca="false">IF( AM1292&lt;&gt;"",VLOOKUP(AM1292,Selects!$M$4:$N$1000,2,0),"")</f>
        <v/>
      </c>
      <c r="AO1292" s="58"/>
      <c r="AP1292" s="59"/>
      <c r="AQ1292" s="66"/>
      <c r="AR1292" s="58"/>
      <c r="AS1292" s="58"/>
      <c r="AT1292" s="26"/>
      <c r="AU1292" s="58"/>
      <c r="AV1292" s="58"/>
      <c r="AW1292" s="58"/>
      <c r="AX1292" s="58"/>
      <c r="AY1292" s="71"/>
      <c r="AZ1292" s="58"/>
      <c r="BA1292" s="58"/>
      <c r="BB1292" s="72" t="str">
        <f aca="false">IF(BA1292&lt;&gt;"",VLOOKUP(BA1292,Selects!$B$4:$C$100,2,0),"")</f>
        <v/>
      </c>
      <c r="BC1292" s="26"/>
      <c r="BD1292" s="26"/>
      <c r="BE1292" s="73"/>
      <c r="BF1292" s="74"/>
      <c r="BG1292" s="75" t="str">
        <f aca="false">IF(LEN(BF1292)=11,"PF",IF(LEN(BF1292)=14,"PJ",""))</f>
        <v/>
      </c>
      <c r="BH1292" s="66"/>
      <c r="BI1292" s="58" t="str">
        <f aca="false">IF(BH1292&lt;&gt;"",VLOOKUP(BH1292,Selects!$G:$H,2,0),"")</f>
        <v/>
      </c>
      <c r="BJ1292" s="58"/>
      <c r="BK1292" s="58"/>
      <c r="BL1292" s="59"/>
      <c r="BM1292" s="58"/>
      <c r="BN1292" s="58"/>
      <c r="BO1292" s="58" t="str">
        <f aca="false">IF(BN1292&lt;&gt;"",VLOOKUP(BN1292,Selects!$J$4:$K$1000,2,0),"")</f>
        <v/>
      </c>
      <c r="BP1292" s="76"/>
      <c r="BQ1292" s="59"/>
      <c r="BR1292" s="77"/>
      <c r="BS1292" s="59"/>
      <c r="BT1292" s="77"/>
      <c r="BU1292" s="58"/>
      <c r="BV1292" s="58"/>
      <c r="BW1292" s="58"/>
      <c r="BX1292" s="58"/>
      <c r="BY1292" s="58"/>
      <c r="BZ1292" s="58"/>
      <c r="CA1292" s="58"/>
      <c r="CB1292" s="72" t="str">
        <f aca="false">IF(AC1292&lt;&gt;"",VLOOKUP(AC1292,Selects!$B:$E,4,0),"")</f>
        <v/>
      </c>
      <c r="CC1292" s="58"/>
      <c r="CD1292" s="58"/>
      <c r="CE1292" s="58"/>
    </row>
    <row r="1293" customFormat="false" ht="15" hidden="true" customHeight="false" outlineLevel="0" collapsed="false">
      <c r="B1293" s="58"/>
      <c r="C1293" s="58"/>
      <c r="D1293" s="59"/>
      <c r="E1293" s="60" t="str">
        <f aca="false">IF(LEN(D1293)=11,"PF",IF(LEN(D1293)=14,"PJ",""))</f>
        <v/>
      </c>
      <c r="F1293" s="59"/>
      <c r="G1293" s="59"/>
      <c r="H1293" s="61" t="str">
        <f aca="false">IF(G1293&lt;&gt;"",VLOOKUP(G1293,'Cnae  mcc  id'!$A:$M,9,0),"")</f>
        <v/>
      </c>
      <c r="I1293" s="62"/>
      <c r="J1293" s="63" t="str">
        <f aca="false">IF(I1293&lt;&gt;"",VLOOKUP(I1293,'Legal Nature'!$E$2:$G$84,3,0),"")</f>
        <v/>
      </c>
      <c r="K1293" s="64"/>
      <c r="L1293" s="65"/>
      <c r="M1293" s="66"/>
      <c r="N1293" s="66"/>
      <c r="O1293" s="79"/>
      <c r="P1293" s="26"/>
      <c r="Q1293" s="58"/>
      <c r="R1293" s="58"/>
      <c r="S1293" s="80"/>
      <c r="T1293" s="68" t="str">
        <f aca="false">IF(LEFT(S1293,1)="9","Celular",IF(S1293="","","Fixo"))</f>
        <v/>
      </c>
      <c r="U1293" s="58" t="str">
        <f aca="false">IF( T1293&lt;&gt;"",VLOOKUP(T1293,Selects!$M$4:$N$1000,2,0),"")</f>
        <v/>
      </c>
      <c r="V1293" s="26"/>
      <c r="W1293" s="58"/>
      <c r="X1293" s="58"/>
      <c r="Y1293" s="58"/>
      <c r="Z1293" s="58"/>
      <c r="AA1293" s="69"/>
      <c r="AB1293" s="58"/>
      <c r="AC1293" s="58"/>
      <c r="AD1293" s="72" t="str">
        <f aca="false">IF(AC1293&lt;&gt;"",VLOOKUP(AC1293,Selects!$B$4:$C$100,2,0),"")</f>
        <v/>
      </c>
      <c r="AE1293" s="26"/>
      <c r="AF1293" s="58"/>
      <c r="AG1293" s="59"/>
      <c r="AH1293" s="65"/>
      <c r="AI1293" s="66"/>
      <c r="AJ1293" s="66"/>
      <c r="AK1293" s="58"/>
      <c r="AL1293" s="58"/>
      <c r="AM1293" s="68" t="str">
        <f aca="false">IF(LEFT(AL1293,1)="9","Celular",IF(AL1293="","","Fixo"))</f>
        <v/>
      </c>
      <c r="AN1293" s="58" t="str">
        <f aca="false">IF( AM1293&lt;&gt;"",VLOOKUP(AM1293,Selects!$M$4:$N$1000,2,0),"")</f>
        <v/>
      </c>
      <c r="AO1293" s="58"/>
      <c r="AP1293" s="59"/>
      <c r="AQ1293" s="66"/>
      <c r="AR1293" s="58"/>
      <c r="AS1293" s="58"/>
      <c r="AT1293" s="26"/>
      <c r="AU1293" s="58"/>
      <c r="AV1293" s="58"/>
      <c r="AW1293" s="58"/>
      <c r="AX1293" s="58"/>
      <c r="AY1293" s="71"/>
      <c r="AZ1293" s="58"/>
      <c r="BA1293" s="58"/>
      <c r="BB1293" s="72" t="str">
        <f aca="false">IF(BA1293&lt;&gt;"",VLOOKUP(BA1293,Selects!$B$4:$C$100,2,0),"")</f>
        <v/>
      </c>
      <c r="BC1293" s="26"/>
      <c r="BD1293" s="26"/>
      <c r="BE1293" s="73"/>
      <c r="BF1293" s="74"/>
      <c r="BG1293" s="75" t="str">
        <f aca="false">IF(LEN(BF1293)=11,"PF",IF(LEN(BF1293)=14,"PJ",""))</f>
        <v/>
      </c>
      <c r="BH1293" s="66"/>
      <c r="BI1293" s="58" t="str">
        <f aca="false">IF(BH1293&lt;&gt;"",VLOOKUP(BH1293,Selects!$G:$H,2,0),"")</f>
        <v/>
      </c>
      <c r="BJ1293" s="58"/>
      <c r="BK1293" s="58"/>
      <c r="BL1293" s="59"/>
      <c r="BM1293" s="58"/>
      <c r="BN1293" s="58"/>
      <c r="BO1293" s="58" t="str">
        <f aca="false">IF(BN1293&lt;&gt;"",VLOOKUP(BN1293,Selects!$J$4:$K$1000,2,0),"")</f>
        <v/>
      </c>
      <c r="BP1293" s="76"/>
      <c r="BQ1293" s="59"/>
      <c r="BR1293" s="77"/>
      <c r="BS1293" s="59"/>
      <c r="BT1293" s="77"/>
      <c r="BU1293" s="58"/>
      <c r="BV1293" s="58"/>
      <c r="BW1293" s="58"/>
      <c r="BX1293" s="58"/>
      <c r="BY1293" s="58"/>
      <c r="BZ1293" s="58"/>
      <c r="CA1293" s="58"/>
      <c r="CB1293" s="72" t="str">
        <f aca="false">IF(AC1293&lt;&gt;"",VLOOKUP(AC1293,Selects!$B:$E,4,0),"")</f>
        <v/>
      </c>
      <c r="CC1293" s="58"/>
      <c r="CD1293" s="58"/>
      <c r="CE1293" s="58"/>
    </row>
    <row r="1294" customFormat="false" ht="15" hidden="true" customHeight="false" outlineLevel="0" collapsed="false">
      <c r="B1294" s="58"/>
      <c r="C1294" s="58"/>
      <c r="D1294" s="59"/>
      <c r="E1294" s="60" t="str">
        <f aca="false">IF(LEN(D1294)=11,"PF",IF(LEN(D1294)=14,"PJ",""))</f>
        <v/>
      </c>
      <c r="F1294" s="59"/>
      <c r="G1294" s="59"/>
      <c r="H1294" s="61" t="str">
        <f aca="false">IF(G1294&lt;&gt;"",VLOOKUP(G1294,'Cnae  mcc  id'!$A:$M,9,0),"")</f>
        <v/>
      </c>
      <c r="I1294" s="62"/>
      <c r="J1294" s="63" t="str">
        <f aca="false">IF(I1294&lt;&gt;"",VLOOKUP(I1294,'Legal Nature'!$E$2:$G$84,3,0),"")</f>
        <v/>
      </c>
      <c r="K1294" s="64"/>
      <c r="L1294" s="65"/>
      <c r="M1294" s="66"/>
      <c r="N1294" s="66"/>
      <c r="O1294" s="79"/>
      <c r="P1294" s="26"/>
      <c r="Q1294" s="58"/>
      <c r="R1294" s="58"/>
      <c r="S1294" s="80"/>
      <c r="T1294" s="68" t="str">
        <f aca="false">IF(LEFT(S1294,1)="9","Celular",IF(S1294="","","Fixo"))</f>
        <v/>
      </c>
      <c r="U1294" s="58" t="str">
        <f aca="false">IF( T1294&lt;&gt;"",VLOOKUP(T1294,Selects!$M$4:$N$1000,2,0),"")</f>
        <v/>
      </c>
      <c r="V1294" s="26"/>
      <c r="W1294" s="58"/>
      <c r="X1294" s="58"/>
      <c r="Y1294" s="58"/>
      <c r="Z1294" s="58"/>
      <c r="AA1294" s="69"/>
      <c r="AB1294" s="58"/>
      <c r="AC1294" s="58"/>
      <c r="AD1294" s="72" t="str">
        <f aca="false">IF(AC1294&lt;&gt;"",VLOOKUP(AC1294,Selects!$B$4:$C$100,2,0),"")</f>
        <v/>
      </c>
      <c r="AE1294" s="26"/>
      <c r="AF1294" s="58"/>
      <c r="AG1294" s="59"/>
      <c r="AH1294" s="65"/>
      <c r="AI1294" s="66"/>
      <c r="AJ1294" s="66"/>
      <c r="AK1294" s="58"/>
      <c r="AL1294" s="58"/>
      <c r="AM1294" s="68" t="str">
        <f aca="false">IF(LEFT(AL1294,1)="9","Celular",IF(AL1294="","","Fixo"))</f>
        <v/>
      </c>
      <c r="AN1294" s="58" t="str">
        <f aca="false">IF( AM1294&lt;&gt;"",VLOOKUP(AM1294,Selects!$M$4:$N$1000,2,0),"")</f>
        <v/>
      </c>
      <c r="AO1294" s="58"/>
      <c r="AP1294" s="59"/>
      <c r="AQ1294" s="66"/>
      <c r="AR1294" s="58"/>
      <c r="AS1294" s="58"/>
      <c r="AT1294" s="26"/>
      <c r="AU1294" s="58"/>
      <c r="AV1294" s="58"/>
      <c r="AW1294" s="58"/>
      <c r="AX1294" s="58"/>
      <c r="AY1294" s="71"/>
      <c r="AZ1294" s="58"/>
      <c r="BA1294" s="58"/>
      <c r="BB1294" s="72" t="str">
        <f aca="false">IF(BA1294&lt;&gt;"",VLOOKUP(BA1294,Selects!$B$4:$C$100,2,0),"")</f>
        <v/>
      </c>
      <c r="BC1294" s="26"/>
      <c r="BD1294" s="26"/>
      <c r="BE1294" s="73"/>
      <c r="BF1294" s="74"/>
      <c r="BG1294" s="75" t="str">
        <f aca="false">IF(LEN(BF1294)=11,"PF",IF(LEN(BF1294)=14,"PJ",""))</f>
        <v/>
      </c>
      <c r="BH1294" s="66"/>
      <c r="BI1294" s="58" t="str">
        <f aca="false">IF(BH1294&lt;&gt;"",VLOOKUP(BH1294,Selects!$G:$H,2,0),"")</f>
        <v/>
      </c>
      <c r="BJ1294" s="58"/>
      <c r="BK1294" s="58"/>
      <c r="BL1294" s="59"/>
      <c r="BM1294" s="58"/>
      <c r="BN1294" s="58"/>
      <c r="BO1294" s="58" t="str">
        <f aca="false">IF(BN1294&lt;&gt;"",VLOOKUP(BN1294,Selects!$J$4:$K$1000,2,0),"")</f>
        <v/>
      </c>
      <c r="BP1294" s="76"/>
      <c r="BQ1294" s="59"/>
      <c r="BR1294" s="77"/>
      <c r="BS1294" s="59"/>
      <c r="BT1294" s="77"/>
      <c r="BU1294" s="58"/>
      <c r="BV1294" s="58"/>
      <c r="BW1294" s="58"/>
      <c r="BX1294" s="58"/>
      <c r="BY1294" s="58"/>
      <c r="BZ1294" s="58"/>
      <c r="CA1294" s="58"/>
      <c r="CB1294" s="72" t="str">
        <f aca="false">IF(AC1294&lt;&gt;"",VLOOKUP(AC1294,Selects!$B:$E,4,0),"")</f>
        <v/>
      </c>
      <c r="CC1294" s="58"/>
      <c r="CD1294" s="58"/>
      <c r="CE1294" s="58"/>
    </row>
    <row r="1295" customFormat="false" ht="15" hidden="true" customHeight="false" outlineLevel="0" collapsed="false">
      <c r="B1295" s="58"/>
      <c r="C1295" s="58"/>
      <c r="D1295" s="59"/>
      <c r="E1295" s="60" t="str">
        <f aca="false">IF(LEN(D1295)=11,"PF",IF(LEN(D1295)=14,"PJ",""))</f>
        <v/>
      </c>
      <c r="F1295" s="59"/>
      <c r="G1295" s="59"/>
      <c r="H1295" s="61" t="str">
        <f aca="false">IF(G1295&lt;&gt;"",VLOOKUP(G1295,'Cnae  mcc  id'!$A:$M,9,0),"")</f>
        <v/>
      </c>
      <c r="I1295" s="62"/>
      <c r="J1295" s="63" t="str">
        <f aca="false">IF(I1295&lt;&gt;"",VLOOKUP(I1295,'Legal Nature'!$E$2:$G$84,3,0),"")</f>
        <v/>
      </c>
      <c r="K1295" s="64"/>
      <c r="L1295" s="65"/>
      <c r="M1295" s="66"/>
      <c r="N1295" s="66"/>
      <c r="O1295" s="79"/>
      <c r="P1295" s="26"/>
      <c r="Q1295" s="58"/>
      <c r="R1295" s="58"/>
      <c r="S1295" s="80"/>
      <c r="T1295" s="68" t="str">
        <f aca="false">IF(LEFT(S1295,1)="9","Celular",IF(S1295="","","Fixo"))</f>
        <v/>
      </c>
      <c r="U1295" s="58" t="str">
        <f aca="false">IF( T1295&lt;&gt;"",VLOOKUP(T1295,Selects!$M$4:$N$1000,2,0),"")</f>
        <v/>
      </c>
      <c r="V1295" s="26"/>
      <c r="W1295" s="58"/>
      <c r="X1295" s="58"/>
      <c r="Y1295" s="58"/>
      <c r="Z1295" s="58"/>
      <c r="AA1295" s="69"/>
      <c r="AB1295" s="58"/>
      <c r="AC1295" s="58"/>
      <c r="AD1295" s="72" t="str">
        <f aca="false">IF(AC1295&lt;&gt;"",VLOOKUP(AC1295,Selects!$B$4:$C$100,2,0),"")</f>
        <v/>
      </c>
      <c r="AE1295" s="26"/>
      <c r="AF1295" s="58"/>
      <c r="AG1295" s="59"/>
      <c r="AH1295" s="65"/>
      <c r="AI1295" s="66"/>
      <c r="AJ1295" s="66"/>
      <c r="AK1295" s="58"/>
      <c r="AL1295" s="58"/>
      <c r="AM1295" s="68" t="str">
        <f aca="false">IF(LEFT(AL1295,1)="9","Celular",IF(AL1295="","","Fixo"))</f>
        <v/>
      </c>
      <c r="AN1295" s="58" t="str">
        <f aca="false">IF( AM1295&lt;&gt;"",VLOOKUP(AM1295,Selects!$M$4:$N$1000,2,0),"")</f>
        <v/>
      </c>
      <c r="AO1295" s="58"/>
      <c r="AP1295" s="59"/>
      <c r="AQ1295" s="66"/>
      <c r="AR1295" s="58"/>
      <c r="AS1295" s="58"/>
      <c r="AT1295" s="26"/>
      <c r="AU1295" s="58"/>
      <c r="AV1295" s="58"/>
      <c r="AW1295" s="58"/>
      <c r="AX1295" s="58"/>
      <c r="AY1295" s="71"/>
      <c r="AZ1295" s="58"/>
      <c r="BA1295" s="58"/>
      <c r="BB1295" s="72" t="str">
        <f aca="false">IF(BA1295&lt;&gt;"",VLOOKUP(BA1295,Selects!$B$4:$C$100,2,0),"")</f>
        <v/>
      </c>
      <c r="BC1295" s="26"/>
      <c r="BD1295" s="26"/>
      <c r="BE1295" s="73"/>
      <c r="BF1295" s="74"/>
      <c r="BG1295" s="75" t="str">
        <f aca="false">IF(LEN(BF1295)=11,"PF",IF(LEN(BF1295)=14,"PJ",""))</f>
        <v/>
      </c>
      <c r="BH1295" s="66"/>
      <c r="BI1295" s="58" t="str">
        <f aca="false">IF(BH1295&lt;&gt;"",VLOOKUP(BH1295,Selects!$G:$H,2,0),"")</f>
        <v/>
      </c>
      <c r="BJ1295" s="58"/>
      <c r="BK1295" s="58"/>
      <c r="BL1295" s="59"/>
      <c r="BM1295" s="58"/>
      <c r="BN1295" s="58"/>
      <c r="BO1295" s="58" t="str">
        <f aca="false">IF(BN1295&lt;&gt;"",VLOOKUP(BN1295,Selects!$J$4:$K$1000,2,0),"")</f>
        <v/>
      </c>
      <c r="BP1295" s="76"/>
      <c r="BQ1295" s="59"/>
      <c r="BR1295" s="77"/>
      <c r="BS1295" s="59"/>
      <c r="BT1295" s="77"/>
      <c r="BU1295" s="58"/>
      <c r="BV1295" s="58"/>
      <c r="BW1295" s="58"/>
      <c r="BX1295" s="58"/>
      <c r="BY1295" s="58"/>
      <c r="BZ1295" s="58"/>
      <c r="CA1295" s="58"/>
      <c r="CB1295" s="72" t="str">
        <f aca="false">IF(AC1295&lt;&gt;"",VLOOKUP(AC1295,Selects!$B:$E,4,0),"")</f>
        <v/>
      </c>
      <c r="CC1295" s="58"/>
      <c r="CD1295" s="58"/>
      <c r="CE1295" s="58"/>
    </row>
    <row r="1296" customFormat="false" ht="15" hidden="true" customHeight="false" outlineLevel="0" collapsed="false">
      <c r="B1296" s="58"/>
      <c r="C1296" s="58"/>
      <c r="D1296" s="59"/>
      <c r="E1296" s="60" t="str">
        <f aca="false">IF(LEN(D1296)=11,"PF",IF(LEN(D1296)=14,"PJ",""))</f>
        <v/>
      </c>
      <c r="F1296" s="59"/>
      <c r="G1296" s="59"/>
      <c r="H1296" s="61" t="str">
        <f aca="false">IF(G1296&lt;&gt;"",VLOOKUP(G1296,'Cnae  mcc  id'!$A:$M,9,0),"")</f>
        <v/>
      </c>
      <c r="I1296" s="62"/>
      <c r="J1296" s="63" t="str">
        <f aca="false">IF(I1296&lt;&gt;"",VLOOKUP(I1296,'Legal Nature'!$E$2:$G$84,3,0),"")</f>
        <v/>
      </c>
      <c r="K1296" s="64"/>
      <c r="L1296" s="65"/>
      <c r="M1296" s="66"/>
      <c r="N1296" s="66"/>
      <c r="O1296" s="79"/>
      <c r="P1296" s="26"/>
      <c r="Q1296" s="58"/>
      <c r="R1296" s="58"/>
      <c r="S1296" s="80"/>
      <c r="T1296" s="68" t="str">
        <f aca="false">IF(LEFT(S1296,1)="9","Celular",IF(S1296="","","Fixo"))</f>
        <v/>
      </c>
      <c r="U1296" s="58" t="str">
        <f aca="false">IF( T1296&lt;&gt;"",VLOOKUP(T1296,Selects!$M$4:$N$1000,2,0),"")</f>
        <v/>
      </c>
      <c r="V1296" s="26"/>
      <c r="W1296" s="58"/>
      <c r="X1296" s="58"/>
      <c r="Y1296" s="58"/>
      <c r="Z1296" s="58"/>
      <c r="AA1296" s="69"/>
      <c r="AB1296" s="58"/>
      <c r="AC1296" s="58"/>
      <c r="AD1296" s="72" t="str">
        <f aca="false">IF(AC1296&lt;&gt;"",VLOOKUP(AC1296,Selects!$B$4:$C$100,2,0),"")</f>
        <v/>
      </c>
      <c r="AE1296" s="26"/>
      <c r="AF1296" s="58"/>
      <c r="AG1296" s="59"/>
      <c r="AH1296" s="65"/>
      <c r="AI1296" s="66"/>
      <c r="AJ1296" s="66"/>
      <c r="AK1296" s="58"/>
      <c r="AL1296" s="58"/>
      <c r="AM1296" s="68" t="str">
        <f aca="false">IF(LEFT(AL1296,1)="9","Celular",IF(AL1296="","","Fixo"))</f>
        <v/>
      </c>
      <c r="AN1296" s="58" t="str">
        <f aca="false">IF( AM1296&lt;&gt;"",VLOOKUP(AM1296,Selects!$M$4:$N$1000,2,0),"")</f>
        <v/>
      </c>
      <c r="AO1296" s="58"/>
      <c r="AP1296" s="59"/>
      <c r="AQ1296" s="66"/>
      <c r="AR1296" s="58"/>
      <c r="AS1296" s="58"/>
      <c r="AT1296" s="26"/>
      <c r="AU1296" s="58"/>
      <c r="AV1296" s="58"/>
      <c r="AW1296" s="58"/>
      <c r="AX1296" s="58"/>
      <c r="AY1296" s="71"/>
      <c r="AZ1296" s="58"/>
      <c r="BA1296" s="58"/>
      <c r="BB1296" s="72" t="str">
        <f aca="false">IF(BA1296&lt;&gt;"",VLOOKUP(BA1296,Selects!$B$4:$C$100,2,0),"")</f>
        <v/>
      </c>
      <c r="BC1296" s="26"/>
      <c r="BD1296" s="26"/>
      <c r="BE1296" s="73"/>
      <c r="BF1296" s="74"/>
      <c r="BG1296" s="75" t="str">
        <f aca="false">IF(LEN(BF1296)=11,"PF",IF(LEN(BF1296)=14,"PJ",""))</f>
        <v/>
      </c>
      <c r="BH1296" s="66"/>
      <c r="BI1296" s="58" t="str">
        <f aca="false">IF(BH1296&lt;&gt;"",VLOOKUP(BH1296,Selects!$G:$H,2,0),"")</f>
        <v/>
      </c>
      <c r="BJ1296" s="58"/>
      <c r="BK1296" s="58"/>
      <c r="BL1296" s="59"/>
      <c r="BM1296" s="58"/>
      <c r="BN1296" s="58"/>
      <c r="BO1296" s="58" t="str">
        <f aca="false">IF(BN1296&lt;&gt;"",VLOOKUP(BN1296,Selects!$J$4:$K$1000,2,0),"")</f>
        <v/>
      </c>
      <c r="BP1296" s="76"/>
      <c r="BQ1296" s="59"/>
      <c r="BR1296" s="77"/>
      <c r="BS1296" s="59"/>
      <c r="BT1296" s="77"/>
      <c r="BU1296" s="58"/>
      <c r="BV1296" s="58"/>
      <c r="BW1296" s="58"/>
      <c r="BX1296" s="58"/>
      <c r="BY1296" s="58"/>
      <c r="BZ1296" s="58"/>
      <c r="CA1296" s="58"/>
      <c r="CB1296" s="72" t="str">
        <f aca="false">IF(AC1296&lt;&gt;"",VLOOKUP(AC1296,Selects!$B:$E,4,0),"")</f>
        <v/>
      </c>
      <c r="CC1296" s="58"/>
      <c r="CD1296" s="58"/>
      <c r="CE1296" s="58"/>
    </row>
    <row r="1297" customFormat="false" ht="15" hidden="true" customHeight="false" outlineLevel="0" collapsed="false">
      <c r="B1297" s="58"/>
      <c r="C1297" s="58"/>
      <c r="D1297" s="59"/>
      <c r="E1297" s="60" t="str">
        <f aca="false">IF(LEN(D1297)=11,"PF",IF(LEN(D1297)=14,"PJ",""))</f>
        <v/>
      </c>
      <c r="F1297" s="59"/>
      <c r="G1297" s="59"/>
      <c r="H1297" s="61" t="str">
        <f aca="false">IF(G1297&lt;&gt;"",VLOOKUP(G1297,'Cnae  mcc  id'!$A:$M,9,0),"")</f>
        <v/>
      </c>
      <c r="I1297" s="62"/>
      <c r="J1297" s="63" t="str">
        <f aca="false">IF(I1297&lt;&gt;"",VLOOKUP(I1297,'Legal Nature'!$E$2:$G$84,3,0),"")</f>
        <v/>
      </c>
      <c r="K1297" s="64"/>
      <c r="L1297" s="65"/>
      <c r="M1297" s="66"/>
      <c r="N1297" s="66"/>
      <c r="O1297" s="79"/>
      <c r="P1297" s="26"/>
      <c r="Q1297" s="58"/>
      <c r="R1297" s="58"/>
      <c r="S1297" s="80"/>
      <c r="T1297" s="68" t="str">
        <f aca="false">IF(LEFT(S1297,1)="9","Celular",IF(S1297="","","Fixo"))</f>
        <v/>
      </c>
      <c r="U1297" s="58" t="str">
        <f aca="false">IF( T1297&lt;&gt;"",VLOOKUP(T1297,Selects!$M$4:$N$1000,2,0),"")</f>
        <v/>
      </c>
      <c r="V1297" s="26"/>
      <c r="W1297" s="58"/>
      <c r="X1297" s="58"/>
      <c r="Y1297" s="58"/>
      <c r="Z1297" s="58"/>
      <c r="AA1297" s="69"/>
      <c r="AB1297" s="58"/>
      <c r="AC1297" s="58"/>
      <c r="AD1297" s="72" t="str">
        <f aca="false">IF(AC1297&lt;&gt;"",VLOOKUP(AC1297,Selects!$B$4:$C$100,2,0),"")</f>
        <v/>
      </c>
      <c r="AE1297" s="26"/>
      <c r="AF1297" s="58"/>
      <c r="AG1297" s="59"/>
      <c r="AH1297" s="65"/>
      <c r="AI1297" s="66"/>
      <c r="AJ1297" s="66"/>
      <c r="AK1297" s="58"/>
      <c r="AL1297" s="58"/>
      <c r="AM1297" s="68" t="str">
        <f aca="false">IF(LEFT(AL1297,1)="9","Celular",IF(AL1297="","","Fixo"))</f>
        <v/>
      </c>
      <c r="AN1297" s="58" t="str">
        <f aca="false">IF( AM1297&lt;&gt;"",VLOOKUP(AM1297,Selects!$M$4:$N$1000,2,0),"")</f>
        <v/>
      </c>
      <c r="AO1297" s="58"/>
      <c r="AP1297" s="59"/>
      <c r="AQ1297" s="66"/>
      <c r="AR1297" s="58"/>
      <c r="AS1297" s="58"/>
      <c r="AT1297" s="26"/>
      <c r="AU1297" s="58"/>
      <c r="AV1297" s="58"/>
      <c r="AW1297" s="58"/>
      <c r="AX1297" s="58"/>
      <c r="AY1297" s="71"/>
      <c r="AZ1297" s="58"/>
      <c r="BA1297" s="58"/>
      <c r="BB1297" s="72" t="str">
        <f aca="false">IF(BA1297&lt;&gt;"",VLOOKUP(BA1297,Selects!$B$4:$C$100,2,0),"")</f>
        <v/>
      </c>
      <c r="BC1297" s="26"/>
      <c r="BD1297" s="26"/>
      <c r="BE1297" s="73"/>
      <c r="BF1297" s="74"/>
      <c r="BG1297" s="75" t="str">
        <f aca="false">IF(LEN(BF1297)=11,"PF",IF(LEN(BF1297)=14,"PJ",""))</f>
        <v/>
      </c>
      <c r="BH1297" s="66"/>
      <c r="BI1297" s="58" t="str">
        <f aca="false">IF(BH1297&lt;&gt;"",VLOOKUP(BH1297,Selects!$G:$H,2,0),"")</f>
        <v/>
      </c>
      <c r="BJ1297" s="58"/>
      <c r="BK1297" s="58"/>
      <c r="BL1297" s="59"/>
      <c r="BM1297" s="58"/>
      <c r="BN1297" s="58"/>
      <c r="BO1297" s="58" t="str">
        <f aca="false">IF(BN1297&lt;&gt;"",VLOOKUP(BN1297,Selects!$J$4:$K$1000,2,0),"")</f>
        <v/>
      </c>
      <c r="BP1297" s="76"/>
      <c r="BQ1297" s="59"/>
      <c r="BR1297" s="77"/>
      <c r="BS1297" s="59"/>
      <c r="BT1297" s="77"/>
      <c r="BU1297" s="58"/>
      <c r="BV1297" s="58"/>
      <c r="BW1297" s="58"/>
      <c r="BX1297" s="58"/>
      <c r="BY1297" s="58"/>
      <c r="BZ1297" s="58"/>
      <c r="CA1297" s="58"/>
      <c r="CB1297" s="72" t="str">
        <f aca="false">IF(AC1297&lt;&gt;"",VLOOKUP(AC1297,Selects!$B:$E,4,0),"")</f>
        <v/>
      </c>
      <c r="CC1297" s="58"/>
      <c r="CD1297" s="58"/>
      <c r="CE1297" s="58"/>
    </row>
    <row r="1298" customFormat="false" ht="15" hidden="true" customHeight="false" outlineLevel="0" collapsed="false">
      <c r="B1298" s="58"/>
      <c r="C1298" s="58"/>
      <c r="D1298" s="59"/>
      <c r="E1298" s="60" t="str">
        <f aca="false">IF(LEN(D1298)=11,"PF",IF(LEN(D1298)=14,"PJ",""))</f>
        <v/>
      </c>
      <c r="F1298" s="59"/>
      <c r="G1298" s="59"/>
      <c r="H1298" s="61" t="str">
        <f aca="false">IF(G1298&lt;&gt;"",VLOOKUP(G1298,'Cnae  mcc  id'!$A:$M,9,0),"")</f>
        <v/>
      </c>
      <c r="I1298" s="62"/>
      <c r="J1298" s="63" t="str">
        <f aca="false">IF(I1298&lt;&gt;"",VLOOKUP(I1298,'Legal Nature'!$E$2:$G$84,3,0),"")</f>
        <v/>
      </c>
      <c r="K1298" s="64"/>
      <c r="L1298" s="65"/>
      <c r="M1298" s="66"/>
      <c r="N1298" s="66"/>
      <c r="O1298" s="79"/>
      <c r="P1298" s="26"/>
      <c r="Q1298" s="58"/>
      <c r="R1298" s="58"/>
      <c r="S1298" s="80"/>
      <c r="T1298" s="68" t="str">
        <f aca="false">IF(LEFT(S1298,1)="9","Celular",IF(S1298="","","Fixo"))</f>
        <v/>
      </c>
      <c r="U1298" s="58" t="str">
        <f aca="false">IF( T1298&lt;&gt;"",VLOOKUP(T1298,Selects!$M$4:$N$1000,2,0),"")</f>
        <v/>
      </c>
      <c r="V1298" s="26"/>
      <c r="W1298" s="58"/>
      <c r="X1298" s="58"/>
      <c r="Y1298" s="58"/>
      <c r="Z1298" s="58"/>
      <c r="AA1298" s="69"/>
      <c r="AB1298" s="58"/>
      <c r="AC1298" s="58"/>
      <c r="AD1298" s="72" t="str">
        <f aca="false">IF(AC1298&lt;&gt;"",VLOOKUP(AC1298,Selects!$B$4:$C$100,2,0),"")</f>
        <v/>
      </c>
      <c r="AE1298" s="26"/>
      <c r="AF1298" s="58"/>
      <c r="AG1298" s="59"/>
      <c r="AH1298" s="65"/>
      <c r="AI1298" s="66"/>
      <c r="AJ1298" s="66"/>
      <c r="AK1298" s="58"/>
      <c r="AL1298" s="58"/>
      <c r="AM1298" s="68" t="str">
        <f aca="false">IF(LEFT(AL1298,1)="9","Celular",IF(AL1298="","","Fixo"))</f>
        <v/>
      </c>
      <c r="AN1298" s="58" t="str">
        <f aca="false">IF( AM1298&lt;&gt;"",VLOOKUP(AM1298,Selects!$M$4:$N$1000,2,0),"")</f>
        <v/>
      </c>
      <c r="AO1298" s="58"/>
      <c r="AP1298" s="59"/>
      <c r="AQ1298" s="66"/>
      <c r="AR1298" s="58"/>
      <c r="AS1298" s="58"/>
      <c r="AT1298" s="26"/>
      <c r="AU1298" s="58"/>
      <c r="AV1298" s="58"/>
      <c r="AW1298" s="58"/>
      <c r="AX1298" s="58"/>
      <c r="AY1298" s="71"/>
      <c r="AZ1298" s="58"/>
      <c r="BA1298" s="58"/>
      <c r="BB1298" s="72" t="str">
        <f aca="false">IF(BA1298&lt;&gt;"",VLOOKUP(BA1298,Selects!$B$4:$C$100,2,0),"")</f>
        <v/>
      </c>
      <c r="BC1298" s="26"/>
      <c r="BD1298" s="26"/>
      <c r="BE1298" s="73"/>
      <c r="BF1298" s="74"/>
      <c r="BG1298" s="75" t="str">
        <f aca="false">IF(LEN(BF1298)=11,"PF",IF(LEN(BF1298)=14,"PJ",""))</f>
        <v/>
      </c>
      <c r="BH1298" s="66"/>
      <c r="BI1298" s="58" t="str">
        <f aca="false">IF(BH1298&lt;&gt;"",VLOOKUP(BH1298,Selects!$G:$H,2,0),"")</f>
        <v/>
      </c>
      <c r="BJ1298" s="58"/>
      <c r="BK1298" s="58"/>
      <c r="BL1298" s="59"/>
      <c r="BM1298" s="58"/>
      <c r="BN1298" s="58"/>
      <c r="BO1298" s="58" t="str">
        <f aca="false">IF(BN1298&lt;&gt;"",VLOOKUP(BN1298,Selects!$J$4:$K$1000,2,0),"")</f>
        <v/>
      </c>
      <c r="BP1298" s="76"/>
      <c r="BQ1298" s="59"/>
      <c r="BR1298" s="77"/>
      <c r="BS1298" s="59"/>
      <c r="BT1298" s="77"/>
      <c r="BU1298" s="58"/>
      <c r="BV1298" s="58"/>
      <c r="BW1298" s="58"/>
      <c r="BX1298" s="58"/>
      <c r="BY1298" s="58"/>
      <c r="BZ1298" s="58"/>
      <c r="CA1298" s="58"/>
      <c r="CB1298" s="72" t="str">
        <f aca="false">IF(AC1298&lt;&gt;"",VLOOKUP(AC1298,Selects!$B:$E,4,0),"")</f>
        <v/>
      </c>
      <c r="CC1298" s="58"/>
      <c r="CD1298" s="58"/>
      <c r="CE1298" s="58"/>
    </row>
    <row r="1299" customFormat="false" ht="15" hidden="true" customHeight="false" outlineLevel="0" collapsed="false">
      <c r="B1299" s="58"/>
      <c r="C1299" s="58"/>
      <c r="D1299" s="59"/>
      <c r="E1299" s="60" t="str">
        <f aca="false">IF(LEN(D1299)=11,"PF",IF(LEN(D1299)=14,"PJ",""))</f>
        <v/>
      </c>
      <c r="F1299" s="59"/>
      <c r="G1299" s="59"/>
      <c r="H1299" s="61" t="str">
        <f aca="false">IF(G1299&lt;&gt;"",VLOOKUP(G1299,'Cnae  mcc  id'!$A:$M,9,0),"")</f>
        <v/>
      </c>
      <c r="I1299" s="62"/>
      <c r="J1299" s="63" t="str">
        <f aca="false">IF(I1299&lt;&gt;"",VLOOKUP(I1299,'Legal Nature'!$E$2:$G$84,3,0),"")</f>
        <v/>
      </c>
      <c r="K1299" s="64"/>
      <c r="L1299" s="65"/>
      <c r="M1299" s="66"/>
      <c r="N1299" s="66"/>
      <c r="O1299" s="79"/>
      <c r="P1299" s="26"/>
      <c r="Q1299" s="58"/>
      <c r="R1299" s="58"/>
      <c r="S1299" s="80"/>
      <c r="T1299" s="68" t="str">
        <f aca="false">IF(LEFT(S1299,1)="9","Celular",IF(S1299="","","Fixo"))</f>
        <v/>
      </c>
      <c r="U1299" s="58" t="str">
        <f aca="false">IF( T1299&lt;&gt;"",VLOOKUP(T1299,Selects!$M$4:$N$1000,2,0),"")</f>
        <v/>
      </c>
      <c r="V1299" s="26"/>
      <c r="W1299" s="58"/>
      <c r="X1299" s="58"/>
      <c r="Y1299" s="58"/>
      <c r="Z1299" s="58"/>
      <c r="AA1299" s="69"/>
      <c r="AB1299" s="58"/>
      <c r="AC1299" s="58"/>
      <c r="AD1299" s="72" t="str">
        <f aca="false">IF(AC1299&lt;&gt;"",VLOOKUP(AC1299,Selects!$B$4:$C$100,2,0),"")</f>
        <v/>
      </c>
      <c r="AE1299" s="26"/>
      <c r="AF1299" s="58"/>
      <c r="AG1299" s="59"/>
      <c r="AH1299" s="65"/>
      <c r="AI1299" s="66"/>
      <c r="AJ1299" s="66"/>
      <c r="AK1299" s="58"/>
      <c r="AL1299" s="58"/>
      <c r="AM1299" s="68" t="str">
        <f aca="false">IF(LEFT(AL1299,1)="9","Celular",IF(AL1299="","","Fixo"))</f>
        <v/>
      </c>
      <c r="AN1299" s="58" t="str">
        <f aca="false">IF( AM1299&lt;&gt;"",VLOOKUP(AM1299,Selects!$M$4:$N$1000,2,0),"")</f>
        <v/>
      </c>
      <c r="AO1299" s="58"/>
      <c r="AP1299" s="59"/>
      <c r="AQ1299" s="66"/>
      <c r="AR1299" s="58"/>
      <c r="AS1299" s="58"/>
      <c r="AT1299" s="26"/>
      <c r="AU1299" s="58"/>
      <c r="AV1299" s="58"/>
      <c r="AW1299" s="58"/>
      <c r="AX1299" s="58"/>
      <c r="AY1299" s="71"/>
      <c r="AZ1299" s="58"/>
      <c r="BA1299" s="58"/>
      <c r="BB1299" s="72" t="str">
        <f aca="false">IF(BA1299&lt;&gt;"",VLOOKUP(BA1299,Selects!$B$4:$C$100,2,0),"")</f>
        <v/>
      </c>
      <c r="BC1299" s="26"/>
      <c r="BD1299" s="26"/>
      <c r="BE1299" s="73"/>
      <c r="BF1299" s="74"/>
      <c r="BG1299" s="75" t="str">
        <f aca="false">IF(LEN(BF1299)=11,"PF",IF(LEN(BF1299)=14,"PJ",""))</f>
        <v/>
      </c>
      <c r="BH1299" s="66"/>
      <c r="BI1299" s="58" t="str">
        <f aca="false">IF(BH1299&lt;&gt;"",VLOOKUP(BH1299,Selects!$G:$H,2,0),"")</f>
        <v/>
      </c>
      <c r="BJ1299" s="58"/>
      <c r="BK1299" s="58"/>
      <c r="BL1299" s="59"/>
      <c r="BM1299" s="58"/>
      <c r="BN1299" s="58"/>
      <c r="BO1299" s="58" t="str">
        <f aca="false">IF(BN1299&lt;&gt;"",VLOOKUP(BN1299,Selects!$J$4:$K$1000,2,0),"")</f>
        <v/>
      </c>
      <c r="BP1299" s="76"/>
      <c r="BQ1299" s="59"/>
      <c r="BR1299" s="77"/>
      <c r="BS1299" s="59"/>
      <c r="BT1299" s="77"/>
      <c r="BU1299" s="58"/>
      <c r="BV1299" s="58"/>
      <c r="BW1299" s="58"/>
      <c r="BX1299" s="58"/>
      <c r="BY1299" s="58"/>
      <c r="BZ1299" s="58"/>
      <c r="CA1299" s="58"/>
      <c r="CB1299" s="72" t="str">
        <f aca="false">IF(AC1299&lt;&gt;"",VLOOKUP(AC1299,Selects!$B:$E,4,0),"")</f>
        <v/>
      </c>
      <c r="CC1299" s="58"/>
      <c r="CD1299" s="58"/>
      <c r="CE1299" s="58"/>
    </row>
    <row r="1300" customFormat="false" ht="15" hidden="true" customHeight="false" outlineLevel="0" collapsed="false">
      <c r="B1300" s="58"/>
      <c r="C1300" s="58"/>
      <c r="D1300" s="59"/>
      <c r="E1300" s="60" t="str">
        <f aca="false">IF(LEN(D1300)=11,"PF",IF(LEN(D1300)=14,"PJ",""))</f>
        <v/>
      </c>
      <c r="F1300" s="59"/>
      <c r="G1300" s="59"/>
      <c r="H1300" s="61" t="str">
        <f aca="false">IF(G1300&lt;&gt;"",VLOOKUP(G1300,'Cnae  mcc  id'!$A:$M,9,0),"")</f>
        <v/>
      </c>
      <c r="I1300" s="62"/>
      <c r="J1300" s="63" t="str">
        <f aca="false">IF(I1300&lt;&gt;"",VLOOKUP(I1300,'Legal Nature'!$E$2:$G$84,3,0),"")</f>
        <v/>
      </c>
      <c r="K1300" s="64"/>
      <c r="L1300" s="65"/>
      <c r="M1300" s="66"/>
      <c r="N1300" s="66"/>
      <c r="O1300" s="79"/>
      <c r="P1300" s="26"/>
      <c r="Q1300" s="58"/>
      <c r="R1300" s="58"/>
      <c r="S1300" s="80"/>
      <c r="T1300" s="68" t="str">
        <f aca="false">IF(LEFT(S1300,1)="9","Celular",IF(S1300="","","Fixo"))</f>
        <v/>
      </c>
      <c r="U1300" s="58" t="str">
        <f aca="false">IF( T1300&lt;&gt;"",VLOOKUP(T1300,Selects!$M$4:$N$1000,2,0),"")</f>
        <v/>
      </c>
      <c r="V1300" s="26"/>
      <c r="W1300" s="58"/>
      <c r="X1300" s="58"/>
      <c r="Y1300" s="58"/>
      <c r="Z1300" s="58"/>
      <c r="AA1300" s="69"/>
      <c r="AB1300" s="58"/>
      <c r="AC1300" s="58"/>
      <c r="AD1300" s="72" t="str">
        <f aca="false">IF(AC1300&lt;&gt;"",VLOOKUP(AC1300,Selects!$B$4:$C$100,2,0),"")</f>
        <v/>
      </c>
      <c r="AE1300" s="26"/>
      <c r="AF1300" s="58"/>
      <c r="AG1300" s="59"/>
      <c r="AH1300" s="65"/>
      <c r="AI1300" s="66"/>
      <c r="AJ1300" s="66"/>
      <c r="AK1300" s="58"/>
      <c r="AL1300" s="58"/>
      <c r="AM1300" s="68" t="str">
        <f aca="false">IF(LEFT(AL1300,1)="9","Celular",IF(AL1300="","","Fixo"))</f>
        <v/>
      </c>
      <c r="AN1300" s="58" t="str">
        <f aca="false">IF( AM1300&lt;&gt;"",VLOOKUP(AM1300,Selects!$M$4:$N$1000,2,0),"")</f>
        <v/>
      </c>
      <c r="AO1300" s="58"/>
      <c r="AP1300" s="59"/>
      <c r="AQ1300" s="66"/>
      <c r="AR1300" s="58"/>
      <c r="AS1300" s="58"/>
      <c r="AT1300" s="26"/>
      <c r="AU1300" s="58"/>
      <c r="AV1300" s="58"/>
      <c r="AW1300" s="58"/>
      <c r="AX1300" s="58"/>
      <c r="AY1300" s="71"/>
      <c r="AZ1300" s="58"/>
      <c r="BA1300" s="58"/>
      <c r="BB1300" s="72" t="str">
        <f aca="false">IF(BA1300&lt;&gt;"",VLOOKUP(BA1300,Selects!$B$4:$C$100,2,0),"")</f>
        <v/>
      </c>
      <c r="BC1300" s="26"/>
      <c r="BD1300" s="26"/>
      <c r="BE1300" s="73"/>
      <c r="BF1300" s="74"/>
      <c r="BG1300" s="75" t="str">
        <f aca="false">IF(LEN(BF1300)=11,"PF",IF(LEN(BF1300)=14,"PJ",""))</f>
        <v/>
      </c>
      <c r="BH1300" s="66"/>
      <c r="BI1300" s="58" t="str">
        <f aca="false">IF(BH1300&lt;&gt;"",VLOOKUP(BH1300,Selects!$G:$H,2,0),"")</f>
        <v/>
      </c>
      <c r="BJ1300" s="58"/>
      <c r="BK1300" s="58"/>
      <c r="BL1300" s="59"/>
      <c r="BM1300" s="58"/>
      <c r="BN1300" s="58"/>
      <c r="BO1300" s="58" t="str">
        <f aca="false">IF(BN1300&lt;&gt;"",VLOOKUP(BN1300,Selects!$J$4:$K$1000,2,0),"")</f>
        <v/>
      </c>
      <c r="BP1300" s="76"/>
      <c r="BQ1300" s="59"/>
      <c r="BR1300" s="77"/>
      <c r="BS1300" s="59"/>
      <c r="BT1300" s="77"/>
      <c r="BU1300" s="58"/>
      <c r="BV1300" s="58"/>
      <c r="BW1300" s="58"/>
      <c r="BX1300" s="58"/>
      <c r="BY1300" s="58"/>
      <c r="BZ1300" s="58"/>
      <c r="CA1300" s="58"/>
      <c r="CB1300" s="72" t="str">
        <f aca="false">IF(AC1300&lt;&gt;"",VLOOKUP(AC1300,Selects!$B:$E,4,0),"")</f>
        <v/>
      </c>
      <c r="CC1300" s="58"/>
      <c r="CD1300" s="58"/>
      <c r="CE1300" s="58"/>
    </row>
    <row r="1301" customFormat="false" ht="15" hidden="true" customHeight="false" outlineLevel="0" collapsed="false">
      <c r="B1301" s="58"/>
      <c r="C1301" s="58"/>
      <c r="D1301" s="59"/>
      <c r="E1301" s="60" t="str">
        <f aca="false">IF(LEN(D1301)=11,"PF",IF(LEN(D1301)=14,"PJ",""))</f>
        <v/>
      </c>
      <c r="F1301" s="59"/>
      <c r="G1301" s="59"/>
      <c r="H1301" s="61" t="str">
        <f aca="false">IF(G1301&lt;&gt;"",VLOOKUP(G1301,'Cnae  mcc  id'!$A:$M,9,0),"")</f>
        <v/>
      </c>
      <c r="I1301" s="62"/>
      <c r="J1301" s="63" t="str">
        <f aca="false">IF(I1301&lt;&gt;"",VLOOKUP(I1301,'Legal Nature'!$E$2:$G$84,3,0),"")</f>
        <v/>
      </c>
      <c r="K1301" s="64"/>
      <c r="L1301" s="65"/>
      <c r="M1301" s="66"/>
      <c r="N1301" s="66"/>
      <c r="O1301" s="79"/>
      <c r="P1301" s="26"/>
      <c r="Q1301" s="58"/>
      <c r="R1301" s="58"/>
      <c r="S1301" s="80"/>
      <c r="T1301" s="68" t="str">
        <f aca="false">IF(LEFT(S1301,1)="9","Celular",IF(S1301="","","Fixo"))</f>
        <v/>
      </c>
      <c r="U1301" s="58" t="str">
        <f aca="false">IF( T1301&lt;&gt;"",VLOOKUP(T1301,Selects!$M$4:$N$1000,2,0),"")</f>
        <v/>
      </c>
      <c r="V1301" s="26"/>
      <c r="W1301" s="58"/>
      <c r="X1301" s="58"/>
      <c r="Y1301" s="58"/>
      <c r="Z1301" s="58"/>
      <c r="AA1301" s="69"/>
      <c r="AB1301" s="58"/>
      <c r="AC1301" s="58"/>
      <c r="AD1301" s="72" t="str">
        <f aca="false">IF(AC1301&lt;&gt;"",VLOOKUP(AC1301,Selects!$B$4:$C$100,2,0),"")</f>
        <v/>
      </c>
      <c r="AE1301" s="26"/>
      <c r="AF1301" s="58"/>
      <c r="AG1301" s="59"/>
      <c r="AH1301" s="65"/>
      <c r="AI1301" s="66"/>
      <c r="AJ1301" s="66"/>
      <c r="AK1301" s="58"/>
      <c r="AL1301" s="58"/>
      <c r="AM1301" s="68" t="str">
        <f aca="false">IF(LEFT(AL1301,1)="9","Celular",IF(AL1301="","","Fixo"))</f>
        <v/>
      </c>
      <c r="AN1301" s="58" t="str">
        <f aca="false">IF( AM1301&lt;&gt;"",VLOOKUP(AM1301,Selects!$M$4:$N$1000,2,0),"")</f>
        <v/>
      </c>
      <c r="AO1301" s="58"/>
      <c r="AP1301" s="59"/>
      <c r="AQ1301" s="66"/>
      <c r="AR1301" s="58"/>
      <c r="AS1301" s="58"/>
      <c r="AT1301" s="26"/>
      <c r="AU1301" s="58"/>
      <c r="AV1301" s="58"/>
      <c r="AW1301" s="58"/>
      <c r="AX1301" s="58"/>
      <c r="AY1301" s="71"/>
      <c r="AZ1301" s="58"/>
      <c r="BA1301" s="58"/>
      <c r="BB1301" s="72" t="str">
        <f aca="false">IF(BA1301&lt;&gt;"",VLOOKUP(BA1301,Selects!$B$4:$C$100,2,0),"")</f>
        <v/>
      </c>
      <c r="BC1301" s="26"/>
      <c r="BD1301" s="26"/>
      <c r="BE1301" s="73"/>
      <c r="BF1301" s="74"/>
      <c r="BG1301" s="75" t="str">
        <f aca="false">IF(LEN(BF1301)=11,"PF",IF(LEN(BF1301)=14,"PJ",""))</f>
        <v/>
      </c>
      <c r="BH1301" s="66"/>
      <c r="BI1301" s="58" t="str">
        <f aca="false">IF(BH1301&lt;&gt;"",VLOOKUP(BH1301,Selects!$G:$H,2,0),"")</f>
        <v/>
      </c>
      <c r="BJ1301" s="58"/>
      <c r="BK1301" s="58"/>
      <c r="BL1301" s="59"/>
      <c r="BM1301" s="58"/>
      <c r="BN1301" s="58"/>
      <c r="BO1301" s="58" t="str">
        <f aca="false">IF(BN1301&lt;&gt;"",VLOOKUP(BN1301,Selects!$J$4:$K$1000,2,0),"")</f>
        <v/>
      </c>
      <c r="BP1301" s="76"/>
      <c r="BQ1301" s="59"/>
      <c r="BR1301" s="77"/>
      <c r="BS1301" s="59"/>
      <c r="BT1301" s="77"/>
      <c r="BU1301" s="58"/>
      <c r="BV1301" s="58"/>
      <c r="BW1301" s="58"/>
      <c r="BX1301" s="58"/>
      <c r="BY1301" s="58"/>
      <c r="BZ1301" s="58"/>
      <c r="CA1301" s="58"/>
      <c r="CB1301" s="72" t="str">
        <f aca="false">IF(AC1301&lt;&gt;"",VLOOKUP(AC1301,Selects!$B:$E,4,0),"")</f>
        <v/>
      </c>
      <c r="CC1301" s="58"/>
      <c r="CD1301" s="58"/>
      <c r="CE1301" s="58"/>
    </row>
    <row r="1302" customFormat="false" ht="15" hidden="true" customHeight="false" outlineLevel="0" collapsed="false">
      <c r="B1302" s="58"/>
      <c r="C1302" s="58"/>
      <c r="D1302" s="59"/>
      <c r="E1302" s="60" t="str">
        <f aca="false">IF(LEN(D1302)=11,"PF",IF(LEN(D1302)=14,"PJ",""))</f>
        <v/>
      </c>
      <c r="F1302" s="59"/>
      <c r="G1302" s="59"/>
      <c r="H1302" s="61" t="str">
        <f aca="false">IF(G1302&lt;&gt;"",VLOOKUP(G1302,'Cnae  mcc  id'!$A:$M,9,0),"")</f>
        <v/>
      </c>
      <c r="I1302" s="62"/>
      <c r="J1302" s="63" t="str">
        <f aca="false">IF(I1302&lt;&gt;"",VLOOKUP(I1302,'Legal Nature'!$E$2:$G$84,3,0),"")</f>
        <v/>
      </c>
      <c r="K1302" s="64"/>
      <c r="L1302" s="65"/>
      <c r="M1302" s="66"/>
      <c r="N1302" s="66"/>
      <c r="O1302" s="79"/>
      <c r="P1302" s="26"/>
      <c r="Q1302" s="58"/>
      <c r="R1302" s="58"/>
      <c r="S1302" s="80"/>
      <c r="T1302" s="68" t="str">
        <f aca="false">IF(LEFT(S1302,1)="9","Celular",IF(S1302="","","Fixo"))</f>
        <v/>
      </c>
      <c r="U1302" s="58" t="str">
        <f aca="false">IF( T1302&lt;&gt;"",VLOOKUP(T1302,Selects!$M$4:$N$1000,2,0),"")</f>
        <v/>
      </c>
      <c r="V1302" s="26"/>
      <c r="W1302" s="58"/>
      <c r="X1302" s="58"/>
      <c r="Y1302" s="58"/>
      <c r="Z1302" s="58"/>
      <c r="AA1302" s="69"/>
      <c r="AB1302" s="58"/>
      <c r="AC1302" s="58"/>
      <c r="AD1302" s="72" t="str">
        <f aca="false">IF(AC1302&lt;&gt;"",VLOOKUP(AC1302,Selects!$B$4:$C$100,2,0),"")</f>
        <v/>
      </c>
      <c r="AE1302" s="26"/>
      <c r="AF1302" s="58"/>
      <c r="AG1302" s="59"/>
      <c r="AH1302" s="65"/>
      <c r="AI1302" s="66"/>
      <c r="AJ1302" s="66"/>
      <c r="AK1302" s="58"/>
      <c r="AL1302" s="58"/>
      <c r="AM1302" s="68" t="str">
        <f aca="false">IF(LEFT(AL1302,1)="9","Celular",IF(AL1302="","","Fixo"))</f>
        <v/>
      </c>
      <c r="AN1302" s="58" t="str">
        <f aca="false">IF( AM1302&lt;&gt;"",VLOOKUP(AM1302,Selects!$M$4:$N$1000,2,0),"")</f>
        <v/>
      </c>
      <c r="AO1302" s="58"/>
      <c r="AP1302" s="59"/>
      <c r="AQ1302" s="66"/>
      <c r="AR1302" s="58"/>
      <c r="AS1302" s="58"/>
      <c r="AT1302" s="26"/>
      <c r="AU1302" s="58"/>
      <c r="AV1302" s="58"/>
      <c r="AW1302" s="58"/>
      <c r="AX1302" s="58"/>
      <c r="AY1302" s="71"/>
      <c r="AZ1302" s="58"/>
      <c r="BA1302" s="58"/>
      <c r="BB1302" s="72" t="str">
        <f aca="false">IF(BA1302&lt;&gt;"",VLOOKUP(BA1302,Selects!$B$4:$C$100,2,0),"")</f>
        <v/>
      </c>
      <c r="BC1302" s="26"/>
      <c r="BD1302" s="26"/>
      <c r="BE1302" s="73"/>
      <c r="BF1302" s="74"/>
      <c r="BG1302" s="75" t="str">
        <f aca="false">IF(LEN(BF1302)=11,"PF",IF(LEN(BF1302)=14,"PJ",""))</f>
        <v/>
      </c>
      <c r="BH1302" s="66"/>
      <c r="BI1302" s="58" t="str">
        <f aca="false">IF(BH1302&lt;&gt;"",VLOOKUP(BH1302,Selects!$G:$H,2,0),"")</f>
        <v/>
      </c>
      <c r="BJ1302" s="58"/>
      <c r="BK1302" s="58"/>
      <c r="BL1302" s="59"/>
      <c r="BM1302" s="58"/>
      <c r="BN1302" s="58"/>
      <c r="BO1302" s="58" t="str">
        <f aca="false">IF(BN1302&lt;&gt;"",VLOOKUP(BN1302,Selects!$J$4:$K$1000,2,0),"")</f>
        <v/>
      </c>
      <c r="BP1302" s="76"/>
      <c r="BQ1302" s="59"/>
      <c r="BR1302" s="77"/>
      <c r="BS1302" s="59"/>
      <c r="BT1302" s="77"/>
      <c r="BU1302" s="58"/>
      <c r="BV1302" s="58"/>
      <c r="BW1302" s="58"/>
      <c r="BX1302" s="58"/>
      <c r="BY1302" s="58"/>
      <c r="BZ1302" s="58"/>
      <c r="CA1302" s="58"/>
      <c r="CB1302" s="72" t="str">
        <f aca="false">IF(AC1302&lt;&gt;"",VLOOKUP(AC1302,Selects!$B:$E,4,0),"")</f>
        <v/>
      </c>
      <c r="CC1302" s="58"/>
      <c r="CD1302" s="58"/>
      <c r="CE1302" s="58"/>
    </row>
    <row r="1303" customFormat="false" ht="15" hidden="true" customHeight="false" outlineLevel="0" collapsed="false">
      <c r="B1303" s="58"/>
      <c r="C1303" s="58"/>
      <c r="D1303" s="59"/>
      <c r="E1303" s="60" t="str">
        <f aca="false">IF(LEN(D1303)=11,"PF",IF(LEN(D1303)=14,"PJ",""))</f>
        <v/>
      </c>
      <c r="F1303" s="59"/>
      <c r="G1303" s="59"/>
      <c r="H1303" s="61" t="str">
        <f aca="false">IF(G1303&lt;&gt;"",VLOOKUP(G1303,'Cnae  mcc  id'!$A:$M,9,0),"")</f>
        <v/>
      </c>
      <c r="I1303" s="62"/>
      <c r="J1303" s="63" t="str">
        <f aca="false">IF(I1303&lt;&gt;"",VLOOKUP(I1303,'Legal Nature'!$E$2:$G$84,3,0),"")</f>
        <v/>
      </c>
      <c r="K1303" s="64"/>
      <c r="L1303" s="65"/>
      <c r="M1303" s="66"/>
      <c r="N1303" s="66"/>
      <c r="O1303" s="79"/>
      <c r="P1303" s="26"/>
      <c r="Q1303" s="58"/>
      <c r="R1303" s="58"/>
      <c r="S1303" s="80"/>
      <c r="T1303" s="68" t="str">
        <f aca="false">IF(LEFT(S1303,1)="9","Celular",IF(S1303="","","Fixo"))</f>
        <v/>
      </c>
      <c r="U1303" s="58" t="str">
        <f aca="false">IF( T1303&lt;&gt;"",VLOOKUP(T1303,Selects!$M$4:$N$1000,2,0),"")</f>
        <v/>
      </c>
      <c r="V1303" s="26"/>
      <c r="W1303" s="58"/>
      <c r="X1303" s="58"/>
      <c r="Y1303" s="58"/>
      <c r="Z1303" s="58"/>
      <c r="AA1303" s="69"/>
      <c r="AB1303" s="58"/>
      <c r="AC1303" s="58"/>
      <c r="AD1303" s="72" t="str">
        <f aca="false">IF(AC1303&lt;&gt;"",VLOOKUP(AC1303,Selects!$B$4:$C$100,2,0),"")</f>
        <v/>
      </c>
      <c r="AE1303" s="26"/>
      <c r="AF1303" s="58"/>
      <c r="AG1303" s="59"/>
      <c r="AH1303" s="65"/>
      <c r="AI1303" s="66"/>
      <c r="AJ1303" s="66"/>
      <c r="AK1303" s="58"/>
      <c r="AL1303" s="58"/>
      <c r="AM1303" s="68" t="str">
        <f aca="false">IF(LEFT(AL1303,1)="9","Celular",IF(AL1303="","","Fixo"))</f>
        <v/>
      </c>
      <c r="AN1303" s="58" t="str">
        <f aca="false">IF( AM1303&lt;&gt;"",VLOOKUP(AM1303,Selects!$M$4:$N$1000,2,0),"")</f>
        <v/>
      </c>
      <c r="AO1303" s="58"/>
      <c r="AP1303" s="59"/>
      <c r="AQ1303" s="66"/>
      <c r="AR1303" s="58"/>
      <c r="AS1303" s="58"/>
      <c r="AT1303" s="26"/>
      <c r="AU1303" s="58"/>
      <c r="AV1303" s="58"/>
      <c r="AW1303" s="58"/>
      <c r="AX1303" s="58"/>
      <c r="AY1303" s="71"/>
      <c r="AZ1303" s="58"/>
      <c r="BA1303" s="58"/>
      <c r="BB1303" s="72" t="str">
        <f aca="false">IF(BA1303&lt;&gt;"",VLOOKUP(BA1303,Selects!$B$4:$C$100,2,0),"")</f>
        <v/>
      </c>
      <c r="BC1303" s="26"/>
      <c r="BD1303" s="26"/>
      <c r="BE1303" s="73"/>
      <c r="BF1303" s="74"/>
      <c r="BG1303" s="75" t="str">
        <f aca="false">IF(LEN(BF1303)=11,"PF",IF(LEN(BF1303)=14,"PJ",""))</f>
        <v/>
      </c>
      <c r="BH1303" s="66"/>
      <c r="BI1303" s="58" t="str">
        <f aca="false">IF(BH1303&lt;&gt;"",VLOOKUP(BH1303,Selects!$G:$H,2,0),"")</f>
        <v/>
      </c>
      <c r="BJ1303" s="58"/>
      <c r="BK1303" s="58"/>
      <c r="BL1303" s="59"/>
      <c r="BM1303" s="58"/>
      <c r="BN1303" s="58"/>
      <c r="BO1303" s="58" t="str">
        <f aca="false">IF(BN1303&lt;&gt;"",VLOOKUP(BN1303,Selects!$J$4:$K$1000,2,0),"")</f>
        <v/>
      </c>
      <c r="BP1303" s="76"/>
      <c r="BQ1303" s="59"/>
      <c r="BR1303" s="77"/>
      <c r="BS1303" s="59"/>
      <c r="BT1303" s="77"/>
      <c r="BU1303" s="58"/>
      <c r="BV1303" s="58"/>
      <c r="BW1303" s="58"/>
      <c r="BX1303" s="58"/>
      <c r="BY1303" s="58"/>
      <c r="BZ1303" s="58"/>
      <c r="CA1303" s="58"/>
      <c r="CB1303" s="72" t="str">
        <f aca="false">IF(AC1303&lt;&gt;"",VLOOKUP(AC1303,Selects!$B:$E,4,0),"")</f>
        <v/>
      </c>
      <c r="CC1303" s="58"/>
      <c r="CD1303" s="58"/>
      <c r="CE1303" s="58"/>
    </row>
    <row r="1304" customFormat="false" ht="15" hidden="true" customHeight="false" outlineLevel="0" collapsed="false">
      <c r="B1304" s="58"/>
      <c r="C1304" s="58"/>
      <c r="D1304" s="59"/>
      <c r="E1304" s="60" t="str">
        <f aca="false">IF(LEN(D1304)=11,"PF",IF(LEN(D1304)=14,"PJ",""))</f>
        <v/>
      </c>
      <c r="F1304" s="59"/>
      <c r="G1304" s="59"/>
      <c r="H1304" s="61" t="str">
        <f aca="false">IF(G1304&lt;&gt;"",VLOOKUP(G1304,'Cnae  mcc  id'!$A:$M,9,0),"")</f>
        <v/>
      </c>
      <c r="I1304" s="62"/>
      <c r="J1304" s="63" t="str">
        <f aca="false">IF(I1304&lt;&gt;"",VLOOKUP(I1304,'Legal Nature'!$E$2:$G$84,3,0),"")</f>
        <v/>
      </c>
      <c r="K1304" s="64"/>
      <c r="L1304" s="65"/>
      <c r="M1304" s="66"/>
      <c r="N1304" s="66"/>
      <c r="O1304" s="79"/>
      <c r="P1304" s="26"/>
      <c r="Q1304" s="58"/>
      <c r="R1304" s="58"/>
      <c r="S1304" s="80"/>
      <c r="T1304" s="68" t="str">
        <f aca="false">IF(LEFT(S1304,1)="9","Celular",IF(S1304="","","Fixo"))</f>
        <v/>
      </c>
      <c r="U1304" s="58" t="str">
        <f aca="false">IF( T1304&lt;&gt;"",VLOOKUP(T1304,Selects!$M$4:$N$1000,2,0),"")</f>
        <v/>
      </c>
      <c r="V1304" s="26"/>
      <c r="W1304" s="58"/>
      <c r="X1304" s="58"/>
      <c r="Y1304" s="58"/>
      <c r="Z1304" s="58"/>
      <c r="AA1304" s="69"/>
      <c r="AB1304" s="58"/>
      <c r="AC1304" s="58"/>
      <c r="AD1304" s="72" t="str">
        <f aca="false">IF(AC1304&lt;&gt;"",VLOOKUP(AC1304,Selects!$B$4:$C$100,2,0),"")</f>
        <v/>
      </c>
      <c r="AE1304" s="26"/>
      <c r="AF1304" s="58"/>
      <c r="AG1304" s="59"/>
      <c r="AH1304" s="65"/>
      <c r="AI1304" s="66"/>
      <c r="AJ1304" s="66"/>
      <c r="AK1304" s="58"/>
      <c r="AL1304" s="58"/>
      <c r="AM1304" s="68" t="str">
        <f aca="false">IF(LEFT(AL1304,1)="9","Celular",IF(AL1304="","","Fixo"))</f>
        <v/>
      </c>
      <c r="AN1304" s="58" t="str">
        <f aca="false">IF( AM1304&lt;&gt;"",VLOOKUP(AM1304,Selects!$M$4:$N$1000,2,0),"")</f>
        <v/>
      </c>
      <c r="AO1304" s="58"/>
      <c r="AP1304" s="59"/>
      <c r="AQ1304" s="66"/>
      <c r="AR1304" s="58"/>
      <c r="AS1304" s="58"/>
      <c r="AT1304" s="26"/>
      <c r="AU1304" s="58"/>
      <c r="AV1304" s="58"/>
      <c r="AW1304" s="58"/>
      <c r="AX1304" s="58"/>
      <c r="AY1304" s="71"/>
      <c r="AZ1304" s="58"/>
      <c r="BA1304" s="58"/>
      <c r="BB1304" s="72" t="str">
        <f aca="false">IF(BA1304&lt;&gt;"",VLOOKUP(BA1304,Selects!$B$4:$C$100,2,0),"")</f>
        <v/>
      </c>
      <c r="BC1304" s="26"/>
      <c r="BD1304" s="26"/>
      <c r="BE1304" s="73"/>
      <c r="BF1304" s="74"/>
      <c r="BG1304" s="75" t="str">
        <f aca="false">IF(LEN(BF1304)=11,"PF",IF(LEN(BF1304)=14,"PJ",""))</f>
        <v/>
      </c>
      <c r="BH1304" s="66"/>
      <c r="BI1304" s="58" t="str">
        <f aca="false">IF(BH1304&lt;&gt;"",VLOOKUP(BH1304,Selects!$G:$H,2,0),"")</f>
        <v/>
      </c>
      <c r="BJ1304" s="58"/>
      <c r="BK1304" s="58"/>
      <c r="BL1304" s="59"/>
      <c r="BM1304" s="58"/>
      <c r="BN1304" s="58"/>
      <c r="BO1304" s="58" t="str">
        <f aca="false">IF(BN1304&lt;&gt;"",VLOOKUP(BN1304,Selects!$J$4:$K$1000,2,0),"")</f>
        <v/>
      </c>
      <c r="BP1304" s="76"/>
      <c r="BQ1304" s="59"/>
      <c r="BR1304" s="77"/>
      <c r="BS1304" s="59"/>
      <c r="BT1304" s="77"/>
      <c r="BU1304" s="58"/>
      <c r="BV1304" s="58"/>
      <c r="BW1304" s="58"/>
      <c r="BX1304" s="58"/>
      <c r="BY1304" s="58"/>
      <c r="BZ1304" s="58"/>
      <c r="CA1304" s="58"/>
      <c r="CB1304" s="72" t="str">
        <f aca="false">IF(AC1304&lt;&gt;"",VLOOKUP(AC1304,Selects!$B:$E,4,0),"")</f>
        <v/>
      </c>
      <c r="CC1304" s="58"/>
      <c r="CD1304" s="58"/>
      <c r="CE1304" s="58"/>
    </row>
    <row r="1305" customFormat="false" ht="15" hidden="true" customHeight="false" outlineLevel="0" collapsed="false">
      <c r="B1305" s="58"/>
      <c r="C1305" s="58"/>
      <c r="D1305" s="59"/>
      <c r="E1305" s="60" t="str">
        <f aca="false">IF(LEN(D1305)=11,"PF",IF(LEN(D1305)=14,"PJ",""))</f>
        <v/>
      </c>
      <c r="F1305" s="59"/>
      <c r="G1305" s="59"/>
      <c r="H1305" s="61" t="str">
        <f aca="false">IF(G1305&lt;&gt;"",VLOOKUP(G1305,'Cnae  mcc  id'!$A:$M,9,0),"")</f>
        <v/>
      </c>
      <c r="I1305" s="62"/>
      <c r="J1305" s="63" t="str">
        <f aca="false">IF(I1305&lt;&gt;"",VLOOKUP(I1305,'Legal Nature'!$E$2:$G$84,3,0),"")</f>
        <v/>
      </c>
      <c r="K1305" s="64"/>
      <c r="L1305" s="65"/>
      <c r="M1305" s="66"/>
      <c r="N1305" s="66"/>
      <c r="O1305" s="79"/>
      <c r="P1305" s="26"/>
      <c r="Q1305" s="58"/>
      <c r="R1305" s="58"/>
      <c r="S1305" s="80"/>
      <c r="T1305" s="68" t="str">
        <f aca="false">IF(LEFT(S1305,1)="9","Celular",IF(S1305="","","Fixo"))</f>
        <v/>
      </c>
      <c r="U1305" s="58" t="str">
        <f aca="false">IF( T1305&lt;&gt;"",VLOOKUP(T1305,Selects!$M$4:$N$1000,2,0),"")</f>
        <v/>
      </c>
      <c r="V1305" s="26"/>
      <c r="W1305" s="58"/>
      <c r="X1305" s="58"/>
      <c r="Y1305" s="58"/>
      <c r="Z1305" s="58"/>
      <c r="AA1305" s="69"/>
      <c r="AB1305" s="58"/>
      <c r="AC1305" s="58"/>
      <c r="AD1305" s="72" t="str">
        <f aca="false">IF(AC1305&lt;&gt;"",VLOOKUP(AC1305,Selects!$B$4:$C$100,2,0),"")</f>
        <v/>
      </c>
      <c r="AE1305" s="26"/>
      <c r="AF1305" s="58"/>
      <c r="AG1305" s="59"/>
      <c r="AH1305" s="65"/>
      <c r="AI1305" s="66"/>
      <c r="AJ1305" s="66"/>
      <c r="AK1305" s="58"/>
      <c r="AL1305" s="58"/>
      <c r="AM1305" s="68" t="str">
        <f aca="false">IF(LEFT(AL1305,1)="9","Celular",IF(AL1305="","","Fixo"))</f>
        <v/>
      </c>
      <c r="AN1305" s="58" t="str">
        <f aca="false">IF( AM1305&lt;&gt;"",VLOOKUP(AM1305,Selects!$M$4:$N$1000,2,0),"")</f>
        <v/>
      </c>
      <c r="AO1305" s="58"/>
      <c r="AP1305" s="59"/>
      <c r="AQ1305" s="66"/>
      <c r="AR1305" s="58"/>
      <c r="AS1305" s="58"/>
      <c r="AT1305" s="26"/>
      <c r="AU1305" s="58"/>
      <c r="AV1305" s="58"/>
      <c r="AW1305" s="58"/>
      <c r="AX1305" s="58"/>
      <c r="AY1305" s="71"/>
      <c r="AZ1305" s="58"/>
      <c r="BA1305" s="58"/>
      <c r="BB1305" s="72" t="str">
        <f aca="false">IF(BA1305&lt;&gt;"",VLOOKUP(BA1305,Selects!$B$4:$C$100,2,0),"")</f>
        <v/>
      </c>
      <c r="BC1305" s="26"/>
      <c r="BD1305" s="26"/>
      <c r="BE1305" s="73"/>
      <c r="BF1305" s="74"/>
      <c r="BG1305" s="75" t="str">
        <f aca="false">IF(LEN(BF1305)=11,"PF",IF(LEN(BF1305)=14,"PJ",""))</f>
        <v/>
      </c>
      <c r="BH1305" s="66"/>
      <c r="BI1305" s="58" t="str">
        <f aca="false">IF(BH1305&lt;&gt;"",VLOOKUP(BH1305,Selects!$G:$H,2,0),"")</f>
        <v/>
      </c>
      <c r="BJ1305" s="58"/>
      <c r="BK1305" s="58"/>
      <c r="BL1305" s="59"/>
      <c r="BM1305" s="58"/>
      <c r="BN1305" s="58"/>
      <c r="BO1305" s="58" t="str">
        <f aca="false">IF(BN1305&lt;&gt;"",VLOOKUP(BN1305,Selects!$J$4:$K$1000,2,0),"")</f>
        <v/>
      </c>
      <c r="BP1305" s="76"/>
      <c r="BQ1305" s="59"/>
      <c r="BR1305" s="77"/>
      <c r="BS1305" s="59"/>
      <c r="BT1305" s="77"/>
      <c r="BU1305" s="58"/>
      <c r="BV1305" s="58"/>
      <c r="BW1305" s="58"/>
      <c r="BX1305" s="58"/>
      <c r="BY1305" s="58"/>
      <c r="BZ1305" s="58"/>
      <c r="CA1305" s="58"/>
      <c r="CB1305" s="72" t="str">
        <f aca="false">IF(AC1305&lt;&gt;"",VLOOKUP(AC1305,Selects!$B:$E,4,0),"")</f>
        <v/>
      </c>
      <c r="CC1305" s="58"/>
      <c r="CD1305" s="58"/>
      <c r="CE1305" s="58"/>
    </row>
    <row r="1306" customFormat="false" ht="15" hidden="true" customHeight="false" outlineLevel="0" collapsed="false">
      <c r="B1306" s="58"/>
      <c r="C1306" s="58"/>
      <c r="D1306" s="59"/>
      <c r="E1306" s="60" t="str">
        <f aca="false">IF(LEN(D1306)=11,"PF",IF(LEN(D1306)=14,"PJ",""))</f>
        <v/>
      </c>
      <c r="F1306" s="59"/>
      <c r="G1306" s="59"/>
      <c r="H1306" s="61" t="str">
        <f aca="false">IF(G1306&lt;&gt;"",VLOOKUP(G1306,'Cnae  mcc  id'!$A:$M,9,0),"")</f>
        <v/>
      </c>
      <c r="I1306" s="62"/>
      <c r="J1306" s="63" t="str">
        <f aca="false">IF(I1306&lt;&gt;"",VLOOKUP(I1306,'Legal Nature'!$E$2:$G$84,3,0),"")</f>
        <v/>
      </c>
      <c r="K1306" s="64"/>
      <c r="L1306" s="65"/>
      <c r="M1306" s="66"/>
      <c r="N1306" s="66"/>
      <c r="O1306" s="79"/>
      <c r="P1306" s="26"/>
      <c r="Q1306" s="58"/>
      <c r="R1306" s="58"/>
      <c r="S1306" s="80"/>
      <c r="T1306" s="68" t="str">
        <f aca="false">IF(LEFT(S1306,1)="9","Celular",IF(S1306="","","Fixo"))</f>
        <v/>
      </c>
      <c r="U1306" s="58" t="str">
        <f aca="false">IF( T1306&lt;&gt;"",VLOOKUP(T1306,Selects!$M$4:$N$1000,2,0),"")</f>
        <v/>
      </c>
      <c r="V1306" s="26"/>
      <c r="W1306" s="58"/>
      <c r="X1306" s="58"/>
      <c r="Y1306" s="58"/>
      <c r="Z1306" s="58"/>
      <c r="AA1306" s="69"/>
      <c r="AB1306" s="58"/>
      <c r="AC1306" s="58"/>
      <c r="AD1306" s="72" t="str">
        <f aca="false">IF(AC1306&lt;&gt;"",VLOOKUP(AC1306,Selects!$B$4:$C$100,2,0),"")</f>
        <v/>
      </c>
      <c r="AE1306" s="26"/>
      <c r="AF1306" s="58"/>
      <c r="AG1306" s="59"/>
      <c r="AH1306" s="65"/>
      <c r="AI1306" s="66"/>
      <c r="AJ1306" s="66"/>
      <c r="AK1306" s="58"/>
      <c r="AL1306" s="58"/>
      <c r="AM1306" s="68" t="str">
        <f aca="false">IF(LEFT(AL1306,1)="9","Celular",IF(AL1306="","","Fixo"))</f>
        <v/>
      </c>
      <c r="AN1306" s="58" t="str">
        <f aca="false">IF( AM1306&lt;&gt;"",VLOOKUP(AM1306,Selects!$M$4:$N$1000,2,0),"")</f>
        <v/>
      </c>
      <c r="AO1306" s="58"/>
      <c r="AP1306" s="59"/>
      <c r="AQ1306" s="66"/>
      <c r="AR1306" s="58"/>
      <c r="AS1306" s="58"/>
      <c r="AT1306" s="26"/>
      <c r="AU1306" s="58"/>
      <c r="AV1306" s="58"/>
      <c r="AW1306" s="58"/>
      <c r="AX1306" s="58"/>
      <c r="AY1306" s="71"/>
      <c r="AZ1306" s="58"/>
      <c r="BA1306" s="58"/>
      <c r="BB1306" s="72" t="str">
        <f aca="false">IF(BA1306&lt;&gt;"",VLOOKUP(BA1306,Selects!$B$4:$C$100,2,0),"")</f>
        <v/>
      </c>
      <c r="BC1306" s="26"/>
      <c r="BD1306" s="26"/>
      <c r="BE1306" s="73"/>
      <c r="BF1306" s="74"/>
      <c r="BG1306" s="75" t="str">
        <f aca="false">IF(LEN(BF1306)=11,"PF",IF(LEN(BF1306)=14,"PJ",""))</f>
        <v/>
      </c>
      <c r="BH1306" s="66"/>
      <c r="BI1306" s="58" t="str">
        <f aca="false">IF(BH1306&lt;&gt;"",VLOOKUP(BH1306,Selects!$G:$H,2,0),"")</f>
        <v/>
      </c>
      <c r="BJ1306" s="58"/>
      <c r="BK1306" s="58"/>
      <c r="BL1306" s="59"/>
      <c r="BM1306" s="58"/>
      <c r="BN1306" s="58"/>
      <c r="BO1306" s="58" t="str">
        <f aca="false">IF(BN1306&lt;&gt;"",VLOOKUP(BN1306,Selects!$J$4:$K$1000,2,0),"")</f>
        <v/>
      </c>
      <c r="BP1306" s="76"/>
      <c r="BQ1306" s="59"/>
      <c r="BR1306" s="77"/>
      <c r="BS1306" s="59"/>
      <c r="BT1306" s="77"/>
      <c r="BU1306" s="58"/>
      <c r="BV1306" s="58"/>
      <c r="BW1306" s="58"/>
      <c r="BX1306" s="58"/>
      <c r="BY1306" s="58"/>
      <c r="BZ1306" s="58"/>
      <c r="CA1306" s="58"/>
      <c r="CB1306" s="72" t="str">
        <f aca="false">IF(AC1306&lt;&gt;"",VLOOKUP(AC1306,Selects!$B:$E,4,0),"")</f>
        <v/>
      </c>
      <c r="CC1306" s="58"/>
      <c r="CD1306" s="58"/>
      <c r="CE1306" s="58"/>
    </row>
    <row r="1307" customFormat="false" ht="15" hidden="true" customHeight="false" outlineLevel="0" collapsed="false">
      <c r="B1307" s="58"/>
      <c r="C1307" s="58"/>
      <c r="D1307" s="59"/>
      <c r="E1307" s="60" t="str">
        <f aca="false">IF(LEN(D1307)=11,"PF",IF(LEN(D1307)=14,"PJ",""))</f>
        <v/>
      </c>
      <c r="F1307" s="59"/>
      <c r="G1307" s="59"/>
      <c r="H1307" s="61" t="str">
        <f aca="false">IF(G1307&lt;&gt;"",VLOOKUP(G1307,'Cnae  mcc  id'!$A:$M,9,0),"")</f>
        <v/>
      </c>
      <c r="I1307" s="62"/>
      <c r="J1307" s="63" t="str">
        <f aca="false">IF(I1307&lt;&gt;"",VLOOKUP(I1307,'Legal Nature'!$E$2:$G$84,3,0),"")</f>
        <v/>
      </c>
      <c r="K1307" s="64"/>
      <c r="L1307" s="65"/>
      <c r="M1307" s="66"/>
      <c r="N1307" s="66"/>
      <c r="O1307" s="79"/>
      <c r="P1307" s="26"/>
      <c r="Q1307" s="58"/>
      <c r="R1307" s="58"/>
      <c r="S1307" s="80"/>
      <c r="T1307" s="68" t="str">
        <f aca="false">IF(LEFT(S1307,1)="9","Celular",IF(S1307="","","Fixo"))</f>
        <v/>
      </c>
      <c r="U1307" s="58" t="str">
        <f aca="false">IF( T1307&lt;&gt;"",VLOOKUP(T1307,Selects!$M$4:$N$1000,2,0),"")</f>
        <v/>
      </c>
      <c r="V1307" s="26"/>
      <c r="W1307" s="58"/>
      <c r="X1307" s="58"/>
      <c r="Y1307" s="58"/>
      <c r="Z1307" s="58"/>
      <c r="AA1307" s="69"/>
      <c r="AB1307" s="58"/>
      <c r="AC1307" s="58"/>
      <c r="AD1307" s="72" t="str">
        <f aca="false">IF(AC1307&lt;&gt;"",VLOOKUP(AC1307,Selects!$B$4:$C$100,2,0),"")</f>
        <v/>
      </c>
      <c r="AE1307" s="26"/>
      <c r="AF1307" s="58"/>
      <c r="AG1307" s="59"/>
      <c r="AH1307" s="65"/>
      <c r="AI1307" s="66"/>
      <c r="AJ1307" s="66"/>
      <c r="AK1307" s="58"/>
      <c r="AL1307" s="58"/>
      <c r="AM1307" s="68" t="str">
        <f aca="false">IF(LEFT(AL1307,1)="9","Celular",IF(AL1307="","","Fixo"))</f>
        <v/>
      </c>
      <c r="AN1307" s="58" t="str">
        <f aca="false">IF( AM1307&lt;&gt;"",VLOOKUP(AM1307,Selects!$M$4:$N$1000,2,0),"")</f>
        <v/>
      </c>
      <c r="AO1307" s="58"/>
      <c r="AP1307" s="59"/>
      <c r="AQ1307" s="66"/>
      <c r="AR1307" s="58"/>
      <c r="AS1307" s="58"/>
      <c r="AT1307" s="26"/>
      <c r="AU1307" s="58"/>
      <c r="AV1307" s="58"/>
      <c r="AW1307" s="58"/>
      <c r="AX1307" s="58"/>
      <c r="AY1307" s="71"/>
      <c r="AZ1307" s="58"/>
      <c r="BA1307" s="58"/>
      <c r="BB1307" s="72" t="str">
        <f aca="false">IF(BA1307&lt;&gt;"",VLOOKUP(BA1307,Selects!$B$4:$C$100,2,0),"")</f>
        <v/>
      </c>
      <c r="BC1307" s="26"/>
      <c r="BD1307" s="26"/>
      <c r="BE1307" s="73"/>
      <c r="BF1307" s="74"/>
      <c r="BG1307" s="75" t="str">
        <f aca="false">IF(LEN(BF1307)=11,"PF",IF(LEN(BF1307)=14,"PJ",""))</f>
        <v/>
      </c>
      <c r="BH1307" s="66"/>
      <c r="BI1307" s="58" t="str">
        <f aca="false">IF(BH1307&lt;&gt;"",VLOOKUP(BH1307,Selects!$G:$H,2,0),"")</f>
        <v/>
      </c>
      <c r="BJ1307" s="58"/>
      <c r="BK1307" s="58"/>
      <c r="BL1307" s="59"/>
      <c r="BM1307" s="58"/>
      <c r="BN1307" s="58"/>
      <c r="BO1307" s="58" t="str">
        <f aca="false">IF(BN1307&lt;&gt;"",VLOOKUP(BN1307,Selects!$J$4:$K$1000,2,0),"")</f>
        <v/>
      </c>
      <c r="BP1307" s="76"/>
      <c r="BQ1307" s="59"/>
      <c r="BR1307" s="77"/>
      <c r="BS1307" s="59"/>
      <c r="BT1307" s="77"/>
      <c r="BU1307" s="58"/>
      <c r="BV1307" s="58"/>
      <c r="BW1307" s="58"/>
      <c r="BX1307" s="58"/>
      <c r="BY1307" s="58"/>
      <c r="BZ1307" s="58"/>
      <c r="CA1307" s="58"/>
      <c r="CB1307" s="72" t="str">
        <f aca="false">IF(AC1307&lt;&gt;"",VLOOKUP(AC1307,Selects!$B:$E,4,0),"")</f>
        <v/>
      </c>
      <c r="CC1307" s="58"/>
      <c r="CD1307" s="58"/>
      <c r="CE1307" s="58"/>
    </row>
    <row r="1308" customFormat="false" ht="15" hidden="true" customHeight="false" outlineLevel="0" collapsed="false">
      <c r="E1308" s="60" t="str">
        <f aca="false">IF(LEN(D1308)=11,"PF",IF(LEN(D1308)=14,"PJ",""))</f>
        <v/>
      </c>
      <c r="H1308" s="61" t="str">
        <f aca="false">IF(G1308&lt;&gt;"",VLOOKUP(G1308,'Cnae  mcc  id'!$A:$M,9,0),"")</f>
        <v/>
      </c>
      <c r="I1308" s="62"/>
      <c r="J1308" s="63" t="str">
        <f aca="false">IF(I1308&lt;&gt;"",VLOOKUP(I1308,'Legal Nature'!$E$2:$G$84,3,0),"")</f>
        <v/>
      </c>
      <c r="K1308" s="64"/>
      <c r="U1308" s="58" t="str">
        <f aca="false">IF( T1308&lt;&gt;"",VLOOKUP(T1308,Selects!$M$4:$N$1000,2,0),"")</f>
        <v/>
      </c>
      <c r="AD1308" s="72" t="str">
        <f aca="false">IF(AC1308&lt;&gt;"",VLOOKUP(AC1308,Selects!$B$4:$C$100,2,0),"")</f>
        <v/>
      </c>
      <c r="AG1308" s="59"/>
      <c r="AH1308" s="65"/>
      <c r="AJ1308" s="66"/>
      <c r="AK1308" s="58"/>
      <c r="AM1308" s="68" t="str">
        <f aca="false">IF(LEFT(AL1308,1)="9","Celular",IF(AL1308="","","Fixo"))</f>
        <v/>
      </c>
      <c r="AN1308" s="58" t="str">
        <f aca="false">IF( AM1308&lt;&gt;"",VLOOKUP(AM1308,Selects!$M$4:$N$1000,2,0),"")</f>
        <v/>
      </c>
      <c r="BB1308" s="72" t="str">
        <f aca="false">IF(BA1308&lt;&gt;"",VLOOKUP(BA1308,Selects!$B$4:$C$100,2,0),"")</f>
        <v/>
      </c>
      <c r="BG1308" s="75" t="str">
        <f aca="false">IF(LEN(BF1308)=11,"PF",IF(LEN(BF1308)=14,"PJ",""))</f>
        <v/>
      </c>
      <c r="BH1308" s="66"/>
      <c r="BI1308" s="58" t="str">
        <f aca="false">IF(BH1308&lt;&gt;"",VLOOKUP(BH1308,Selects!$G:$H,2,0),"")</f>
        <v/>
      </c>
      <c r="BN1308" s="58"/>
      <c r="BO1308" s="58" t="str">
        <f aca="false">IF(BN1308&lt;&gt;"",VLOOKUP(BN1308,Selects!$J$4:$K$1000,2,0),"")</f>
        <v/>
      </c>
      <c r="CB1308" s="72" t="str">
        <f aca="false">IF(AC1308&lt;&gt;"",VLOOKUP(AC1308,Selects!$B:$E,4,0),"")</f>
        <v/>
      </c>
    </row>
    <row r="1309" customFormat="false" ht="15" hidden="true" customHeight="false" outlineLevel="0" collapsed="false">
      <c r="E1309" s="60" t="str">
        <f aca="false">IF(LEN(D1309)=11,"PF",IF(LEN(D1309)=14,"PJ",""))</f>
        <v/>
      </c>
      <c r="H1309" s="61" t="str">
        <f aca="false">IF(G1309&lt;&gt;"",VLOOKUP(G1309,'Cnae  mcc  id'!$A:$M,9,0),"")</f>
        <v/>
      </c>
      <c r="I1309" s="62"/>
      <c r="J1309" s="63" t="str">
        <f aca="false">IF(I1309&lt;&gt;"",VLOOKUP(I1309,'Legal Nature'!$E$2:$G$84,3,0),"")</f>
        <v/>
      </c>
      <c r="K1309" s="64"/>
      <c r="U1309" s="58" t="str">
        <f aca="false">IF( T1309&lt;&gt;"",VLOOKUP(T1309,Selects!$M$4:$N$1000,2,0),"")</f>
        <v/>
      </c>
      <c r="AD1309" s="72" t="str">
        <f aca="false">IF(AC1309&lt;&gt;"",VLOOKUP(AC1309,Selects!$B$4:$C$100,2,0),"")</f>
        <v/>
      </c>
      <c r="AG1309" s="59"/>
      <c r="AH1309" s="65"/>
      <c r="AJ1309" s="66"/>
      <c r="AK1309" s="58"/>
      <c r="AM1309" s="68" t="str">
        <f aca="false">IF(LEFT(AL1309,1)="9","Celular",IF(AL1309="","","Fixo"))</f>
        <v/>
      </c>
      <c r="AN1309" s="58" t="str">
        <f aca="false">IF( AM1309&lt;&gt;"",VLOOKUP(AM1309,Selects!$M$4:$N$1000,2,0),"")</f>
        <v/>
      </c>
      <c r="BB1309" s="72" t="str">
        <f aca="false">IF(BA1309&lt;&gt;"",VLOOKUP(BA1309,Selects!$B$4:$C$100,2,0),"")</f>
        <v/>
      </c>
      <c r="BG1309" s="75" t="str">
        <f aca="false">IF(LEN(BF1309)=11,"PF",IF(LEN(BF1309)=14,"PJ",""))</f>
        <v/>
      </c>
      <c r="BH1309" s="66"/>
      <c r="BI1309" s="58" t="str">
        <f aca="false">IF(BH1309&lt;&gt;"",VLOOKUP(BH1309,Selects!$G:$H,2,0),"")</f>
        <v/>
      </c>
      <c r="BN1309" s="58"/>
      <c r="BO1309" s="58" t="str">
        <f aca="false">IF(BN1309&lt;&gt;"",VLOOKUP(BN1309,Selects!$J$4:$K$1000,2,0),"")</f>
        <v/>
      </c>
      <c r="CB1309" s="72" t="str">
        <f aca="false">IF(AC1309&lt;&gt;"",VLOOKUP(AC1309,Selects!$B:$E,4,0),"")</f>
        <v/>
      </c>
    </row>
    <row r="1310" customFormat="false" ht="15" hidden="true" customHeight="false" outlineLevel="0" collapsed="false">
      <c r="E1310" s="60" t="str">
        <f aca="false">IF(LEN(D1310)=11,"PF",IF(LEN(D1310)=14,"PJ",""))</f>
        <v/>
      </c>
      <c r="H1310" s="61" t="str">
        <f aca="false">IF(G1310&lt;&gt;"",VLOOKUP(G1310,'Cnae  mcc  id'!$A:$M,9,0),"")</f>
        <v/>
      </c>
      <c r="I1310" s="62"/>
      <c r="J1310" s="63" t="str">
        <f aca="false">IF(I1310&lt;&gt;"",VLOOKUP(I1310,'Legal Nature'!$E$2:$G$84,3,0),"")</f>
        <v/>
      </c>
      <c r="K1310" s="64"/>
      <c r="U1310" s="58" t="str">
        <f aca="false">IF( T1310&lt;&gt;"",VLOOKUP(T1310,Selects!$M$4:$N$1000,2,0),"")</f>
        <v/>
      </c>
      <c r="AD1310" s="72" t="str">
        <f aca="false">IF(AC1310&lt;&gt;"",VLOOKUP(AC1310,Selects!$B$4:$C$100,2,0),"")</f>
        <v/>
      </c>
      <c r="AG1310" s="59"/>
      <c r="AH1310" s="65"/>
      <c r="AJ1310" s="66"/>
      <c r="AK1310" s="58"/>
      <c r="AM1310" s="68" t="str">
        <f aca="false">IF(LEFT(AL1310,1)="9","Celular",IF(AL1310="","","Fixo"))</f>
        <v/>
      </c>
      <c r="AN1310" s="58" t="str">
        <f aca="false">IF( AM1310&lt;&gt;"",VLOOKUP(AM1310,Selects!$M$4:$N$1000,2,0),"")</f>
        <v/>
      </c>
      <c r="BB1310" s="72" t="str">
        <f aca="false">IF(BA1310&lt;&gt;"",VLOOKUP(BA1310,Selects!$B$4:$C$100,2,0),"")</f>
        <v/>
      </c>
      <c r="BG1310" s="75" t="str">
        <f aca="false">IF(LEN(BF1310)=11,"PF",IF(LEN(BF1310)=14,"PJ",""))</f>
        <v/>
      </c>
      <c r="BH1310" s="66"/>
      <c r="BI1310" s="58" t="str">
        <f aca="false">IF(BH1310&lt;&gt;"",VLOOKUP(BH1310,Selects!$G:$H,2,0),"")</f>
        <v/>
      </c>
      <c r="BN1310" s="58"/>
      <c r="BO1310" s="58" t="str">
        <f aca="false">IF(BN1310&lt;&gt;"",VLOOKUP(BN1310,Selects!$J$4:$K$1000,2,0),"")</f>
        <v/>
      </c>
      <c r="CB1310" s="72" t="str">
        <f aca="false">IF(AC1310&lt;&gt;"",VLOOKUP(AC1310,Selects!$B:$E,4,0),"")</f>
        <v/>
      </c>
    </row>
    <row r="1311" customFormat="false" ht="15" hidden="true" customHeight="false" outlineLevel="0" collapsed="false">
      <c r="E1311" s="60" t="str">
        <f aca="false">IF(LEN(D1311)=11,"PF",IF(LEN(D1311)=14,"PJ",""))</f>
        <v/>
      </c>
      <c r="H1311" s="61" t="str">
        <f aca="false">IF(G1311&lt;&gt;"",VLOOKUP(G1311,'Cnae  mcc  id'!$A:$M,9,0),"")</f>
        <v/>
      </c>
      <c r="I1311" s="62"/>
      <c r="J1311" s="63" t="str">
        <f aca="false">IF(I1311&lt;&gt;"",VLOOKUP(I1311,'Legal Nature'!$E$2:$G$84,3,0),"")</f>
        <v/>
      </c>
      <c r="K1311" s="64"/>
      <c r="U1311" s="58" t="str">
        <f aca="false">IF( T1311&lt;&gt;"",VLOOKUP(T1311,Selects!$M$4:$N$1000,2,0),"")</f>
        <v/>
      </c>
      <c r="AD1311" s="72" t="str">
        <f aca="false">IF(AC1311&lt;&gt;"",VLOOKUP(AC1311,Selects!$B$4:$C$100,2,0),"")</f>
        <v/>
      </c>
      <c r="AG1311" s="59"/>
      <c r="AH1311" s="65"/>
      <c r="AJ1311" s="66"/>
      <c r="AK1311" s="58"/>
      <c r="AM1311" s="68" t="str">
        <f aca="false">IF(LEFT(AL1311,1)="9","Celular",IF(AL1311="","","Fixo"))</f>
        <v/>
      </c>
      <c r="AN1311" s="58" t="str">
        <f aca="false">IF( AM1311&lt;&gt;"",VLOOKUP(AM1311,Selects!$M$4:$N$1000,2,0),"")</f>
        <v/>
      </c>
      <c r="BB1311" s="72" t="str">
        <f aca="false">IF(BA1311&lt;&gt;"",VLOOKUP(BA1311,Selects!$B$4:$C$100,2,0),"")</f>
        <v/>
      </c>
      <c r="BG1311" s="75" t="str">
        <f aca="false">IF(LEN(BF1311)=11,"PF",IF(LEN(BF1311)=14,"PJ",""))</f>
        <v/>
      </c>
      <c r="BH1311" s="66"/>
      <c r="BI1311" s="58" t="str">
        <f aca="false">IF(BH1311&lt;&gt;"",VLOOKUP(BH1311,Selects!$G:$H,2,0),"")</f>
        <v/>
      </c>
      <c r="BN1311" s="58"/>
      <c r="BO1311" s="58" t="str">
        <f aca="false">IF(BN1311&lt;&gt;"",VLOOKUP(BN1311,Selects!$J$4:$K$1000,2,0),"")</f>
        <v/>
      </c>
      <c r="CB1311" s="72" t="str">
        <f aca="false">IF(AC1311&lt;&gt;"",VLOOKUP(AC1311,Selects!$B:$E,4,0),"")</f>
        <v/>
      </c>
    </row>
    <row r="1312" customFormat="false" ht="15" hidden="true" customHeight="false" outlineLevel="0" collapsed="false">
      <c r="E1312" s="60" t="str">
        <f aca="false">IF(LEN(D1312)=11,"PF",IF(LEN(D1312)=14,"PJ",""))</f>
        <v/>
      </c>
      <c r="H1312" s="61" t="str">
        <f aca="false">IF(G1312&lt;&gt;"",VLOOKUP(G1312,'Cnae  mcc  id'!$A:$M,9,0),"")</f>
        <v/>
      </c>
      <c r="I1312" s="62"/>
      <c r="J1312" s="63" t="str">
        <f aca="false">IF(I1312&lt;&gt;"",VLOOKUP(I1312,'Legal Nature'!$E$2:$G$84,3,0),"")</f>
        <v/>
      </c>
      <c r="K1312" s="64"/>
      <c r="U1312" s="58" t="str">
        <f aca="false">IF( T1312&lt;&gt;"",VLOOKUP(T1312,Selects!$M$4:$N$1000,2,0),"")</f>
        <v/>
      </c>
      <c r="AD1312" s="72" t="str">
        <f aca="false">IF(AC1312&lt;&gt;"",VLOOKUP(AC1312,Selects!$B$4:$C$100,2,0),"")</f>
        <v/>
      </c>
      <c r="AG1312" s="59"/>
      <c r="AH1312" s="65"/>
      <c r="AJ1312" s="66"/>
      <c r="AK1312" s="58"/>
      <c r="AM1312" s="68" t="str">
        <f aca="false">IF(LEFT(AL1312,1)="9","Celular",IF(AL1312="","","Fixo"))</f>
        <v/>
      </c>
      <c r="AN1312" s="58" t="str">
        <f aca="false">IF( AM1312&lt;&gt;"",VLOOKUP(AM1312,Selects!$M$4:$N$1000,2,0),"")</f>
        <v/>
      </c>
      <c r="BB1312" s="72" t="str">
        <f aca="false">IF(BA1312&lt;&gt;"",VLOOKUP(BA1312,Selects!$B$4:$C$100,2,0),"")</f>
        <v/>
      </c>
      <c r="BG1312" s="75" t="str">
        <f aca="false">IF(LEN(BF1312)=11,"PF",IF(LEN(BF1312)=14,"PJ",""))</f>
        <v/>
      </c>
      <c r="BH1312" s="66"/>
      <c r="BI1312" s="58" t="str">
        <f aca="false">IF(BH1312&lt;&gt;"",VLOOKUP(BH1312,Selects!$G:$H,2,0),"")</f>
        <v/>
      </c>
      <c r="BN1312" s="58"/>
      <c r="BO1312" s="58" t="str">
        <f aca="false">IF(BN1312&lt;&gt;"",VLOOKUP(BN1312,Selects!$J$4:$K$1000,2,0),"")</f>
        <v/>
      </c>
      <c r="CB1312" s="72" t="str">
        <f aca="false">IF(AC1312&lt;&gt;"",VLOOKUP(AC1312,Selects!$B:$E,4,0),"")</f>
        <v/>
      </c>
    </row>
    <row r="1313" customFormat="false" ht="15" hidden="true" customHeight="false" outlineLevel="0" collapsed="false">
      <c r="E1313" s="60" t="str">
        <f aca="false">IF(LEN(D1313)=11,"PF",IF(LEN(D1313)=14,"PJ",""))</f>
        <v/>
      </c>
      <c r="H1313" s="61" t="str">
        <f aca="false">IF(G1313&lt;&gt;"",VLOOKUP(G1313,'Cnae  mcc  id'!$A:$M,9,0),"")</f>
        <v/>
      </c>
      <c r="I1313" s="62"/>
      <c r="J1313" s="63" t="str">
        <f aca="false">IF(I1313&lt;&gt;"",VLOOKUP(I1313,'Legal Nature'!$E$2:$G$84,3,0),"")</f>
        <v/>
      </c>
      <c r="K1313" s="64"/>
      <c r="U1313" s="58" t="str">
        <f aca="false">IF( T1313&lt;&gt;"",VLOOKUP(T1313,Selects!$M$4:$N$1000,2,0),"")</f>
        <v/>
      </c>
      <c r="AD1313" s="72" t="str">
        <f aca="false">IF(AC1313&lt;&gt;"",VLOOKUP(AC1313,Selects!$B$4:$C$100,2,0),"")</f>
        <v/>
      </c>
      <c r="AG1313" s="59"/>
      <c r="AH1313" s="65"/>
      <c r="AJ1313" s="66"/>
      <c r="AK1313" s="58"/>
      <c r="AM1313" s="68" t="str">
        <f aca="false">IF(LEFT(AL1313,1)="9","Celular",IF(AL1313="","","Fixo"))</f>
        <v/>
      </c>
      <c r="AN1313" s="58" t="str">
        <f aca="false">IF( AM1313&lt;&gt;"",VLOOKUP(AM1313,Selects!$M$4:$N$1000,2,0),"")</f>
        <v/>
      </c>
      <c r="BB1313" s="72" t="str">
        <f aca="false">IF(BA1313&lt;&gt;"",VLOOKUP(BA1313,Selects!$B$4:$C$100,2,0),"")</f>
        <v/>
      </c>
      <c r="BG1313" s="75" t="str">
        <f aca="false">IF(LEN(BF1313)=11,"PF",IF(LEN(BF1313)=14,"PJ",""))</f>
        <v/>
      </c>
      <c r="BH1313" s="66"/>
      <c r="BI1313" s="58" t="str">
        <f aca="false">IF(BH1313&lt;&gt;"",VLOOKUP(BH1313,Selects!$G:$H,2,0),"")</f>
        <v/>
      </c>
      <c r="BN1313" s="58"/>
      <c r="BO1313" s="58" t="str">
        <f aca="false">IF(BN1313&lt;&gt;"",VLOOKUP(BN1313,Selects!$J$4:$K$1000,2,0),"")</f>
        <v/>
      </c>
      <c r="CB1313" s="72" t="str">
        <f aca="false">IF(AC1313&lt;&gt;"",VLOOKUP(AC1313,Selects!$B:$E,4,0),"")</f>
        <v/>
      </c>
    </row>
    <row r="1314" customFormat="false" ht="15" hidden="true" customHeight="false" outlineLevel="0" collapsed="false">
      <c r="E1314" s="60" t="str">
        <f aca="false">IF(LEN(D1314)=11,"PF",IF(LEN(D1314)=14,"PJ",""))</f>
        <v/>
      </c>
      <c r="H1314" s="61" t="str">
        <f aca="false">IF(G1314&lt;&gt;"",VLOOKUP(G1314,'Cnae  mcc  id'!$A:$M,9,0),"")</f>
        <v/>
      </c>
      <c r="I1314" s="62"/>
      <c r="J1314" s="63" t="str">
        <f aca="false">IF(I1314&lt;&gt;"",VLOOKUP(I1314,'Legal Nature'!$E$2:$G$84,3,0),"")</f>
        <v/>
      </c>
      <c r="K1314" s="64"/>
      <c r="U1314" s="58" t="str">
        <f aca="false">IF( T1314&lt;&gt;"",VLOOKUP(T1314,Selects!$M$4:$N$1000,2,0),"")</f>
        <v/>
      </c>
      <c r="AD1314" s="72" t="str">
        <f aca="false">IF(AC1314&lt;&gt;"",VLOOKUP(AC1314,Selects!$B$4:$C$100,2,0),"")</f>
        <v/>
      </c>
      <c r="AG1314" s="59"/>
      <c r="AH1314" s="65"/>
      <c r="AJ1314" s="66"/>
      <c r="AK1314" s="58"/>
      <c r="AM1314" s="68" t="str">
        <f aca="false">IF(LEFT(AL1314,1)="9","Celular",IF(AL1314="","","Fixo"))</f>
        <v/>
      </c>
      <c r="AN1314" s="58" t="str">
        <f aca="false">IF( AM1314&lt;&gt;"",VLOOKUP(AM1314,Selects!$M$4:$N$1000,2,0),"")</f>
        <v/>
      </c>
      <c r="BB1314" s="72" t="str">
        <f aca="false">IF(BA1314&lt;&gt;"",VLOOKUP(BA1314,Selects!$B$4:$C$100,2,0),"")</f>
        <v/>
      </c>
      <c r="BG1314" s="75" t="str">
        <f aca="false">IF(LEN(BF1314)=11,"PF",IF(LEN(BF1314)=14,"PJ",""))</f>
        <v/>
      </c>
      <c r="BH1314" s="66"/>
      <c r="BI1314" s="58" t="str">
        <f aca="false">IF(BH1314&lt;&gt;"",VLOOKUP(BH1314,Selects!$G:$H,2,0),"")</f>
        <v/>
      </c>
      <c r="BN1314" s="58"/>
      <c r="BO1314" s="58" t="str">
        <f aca="false">IF(BN1314&lt;&gt;"",VLOOKUP(BN1314,Selects!$J$4:$K$1000,2,0),"")</f>
        <v/>
      </c>
      <c r="CB1314" s="72" t="str">
        <f aca="false">IF(AC1314&lt;&gt;"",VLOOKUP(AC1314,Selects!$B:$E,4,0),"")</f>
        <v/>
      </c>
    </row>
    <row r="1315" customFormat="false" ht="15" hidden="true" customHeight="false" outlineLevel="0" collapsed="false">
      <c r="E1315" s="60" t="str">
        <f aca="false">IF(LEN(D1315)=11,"PF",IF(LEN(D1315)=14,"PJ",""))</f>
        <v/>
      </c>
      <c r="H1315" s="61" t="str">
        <f aca="false">IF(G1315&lt;&gt;"",VLOOKUP(G1315,'Cnae  mcc  id'!$A:$M,9,0),"")</f>
        <v/>
      </c>
      <c r="I1315" s="62"/>
      <c r="J1315" s="63" t="str">
        <f aca="false">IF(I1315&lt;&gt;"",VLOOKUP(I1315,'Legal Nature'!$E$2:$G$84,3,0),"")</f>
        <v/>
      </c>
      <c r="K1315" s="64"/>
      <c r="U1315" s="58" t="str">
        <f aca="false">IF( T1315&lt;&gt;"",VLOOKUP(T1315,Selects!$M$4:$N$1000,2,0),"")</f>
        <v/>
      </c>
      <c r="AD1315" s="72" t="str">
        <f aca="false">IF(AC1315&lt;&gt;"",VLOOKUP(AC1315,Selects!$B$4:$C$100,2,0),"")</f>
        <v/>
      </c>
      <c r="AG1315" s="59"/>
      <c r="AH1315" s="65"/>
      <c r="AJ1315" s="66"/>
      <c r="AK1315" s="58"/>
      <c r="AM1315" s="68" t="str">
        <f aca="false">IF(LEFT(AL1315,1)="9","Celular",IF(AL1315="","","Fixo"))</f>
        <v/>
      </c>
      <c r="AN1315" s="58" t="str">
        <f aca="false">IF( AM1315&lt;&gt;"",VLOOKUP(AM1315,Selects!$M$4:$N$1000,2,0),"")</f>
        <v/>
      </c>
      <c r="BB1315" s="72" t="str">
        <f aca="false">IF(BA1315&lt;&gt;"",VLOOKUP(BA1315,Selects!$B$4:$C$100,2,0),"")</f>
        <v/>
      </c>
      <c r="BG1315" s="75" t="str">
        <f aca="false">IF(LEN(BF1315)=11,"PF",IF(LEN(BF1315)=14,"PJ",""))</f>
        <v/>
      </c>
      <c r="BH1315" s="66"/>
      <c r="BI1315" s="58" t="str">
        <f aca="false">IF(BH1315&lt;&gt;"",VLOOKUP(BH1315,Selects!$G:$H,2,0),"")</f>
        <v/>
      </c>
      <c r="BN1315" s="58"/>
      <c r="BO1315" s="58" t="str">
        <f aca="false">IF(BN1315&lt;&gt;"",VLOOKUP(BN1315,Selects!$J$4:$K$1000,2,0),"")</f>
        <v/>
      </c>
      <c r="CB1315" s="72" t="str">
        <f aca="false">IF(AC1315&lt;&gt;"",VLOOKUP(AC1315,Selects!$B:$E,4,0),"")</f>
        <v/>
      </c>
    </row>
    <row r="1316" customFormat="false" ht="15" hidden="true" customHeight="false" outlineLevel="0" collapsed="false">
      <c r="E1316" s="60" t="str">
        <f aca="false">IF(LEN(D1316)=11,"PF",IF(LEN(D1316)=14,"PJ",""))</f>
        <v/>
      </c>
      <c r="H1316" s="61" t="str">
        <f aca="false">IF(G1316&lt;&gt;"",VLOOKUP(G1316,'Cnae  mcc  id'!$A:$M,9,0),"")</f>
        <v/>
      </c>
      <c r="I1316" s="62"/>
      <c r="J1316" s="63" t="str">
        <f aca="false">IF(I1316&lt;&gt;"",VLOOKUP(I1316,'Legal Nature'!$E$2:$G$84,3,0),"")</f>
        <v/>
      </c>
      <c r="K1316" s="64"/>
      <c r="U1316" s="58" t="str">
        <f aca="false">IF( T1316&lt;&gt;"",VLOOKUP(T1316,Selects!$M$4:$N$1000,2,0),"")</f>
        <v/>
      </c>
      <c r="AD1316" s="72" t="str">
        <f aca="false">IF(AC1316&lt;&gt;"",VLOOKUP(AC1316,Selects!$B$4:$C$100,2,0),"")</f>
        <v/>
      </c>
      <c r="AG1316" s="59"/>
      <c r="AH1316" s="65"/>
      <c r="AJ1316" s="66"/>
      <c r="AK1316" s="58"/>
      <c r="AM1316" s="68" t="str">
        <f aca="false">IF(LEFT(AL1316,1)="9","Celular",IF(AL1316="","","Fixo"))</f>
        <v/>
      </c>
      <c r="AN1316" s="58" t="str">
        <f aca="false">IF( AM1316&lt;&gt;"",VLOOKUP(AM1316,Selects!$M$4:$N$1000,2,0),"")</f>
        <v/>
      </c>
      <c r="BB1316" s="72" t="str">
        <f aca="false">IF(BA1316&lt;&gt;"",VLOOKUP(BA1316,Selects!$B$4:$C$100,2,0),"")</f>
        <v/>
      </c>
      <c r="BG1316" s="75" t="str">
        <f aca="false">IF(LEN(BF1316)=11,"PF",IF(LEN(BF1316)=14,"PJ",""))</f>
        <v/>
      </c>
      <c r="BH1316" s="66"/>
      <c r="BI1316" s="58" t="str">
        <f aca="false">IF(BH1316&lt;&gt;"",VLOOKUP(BH1316,Selects!$G:$H,2,0),"")</f>
        <v/>
      </c>
      <c r="BN1316" s="58"/>
      <c r="BO1316" s="58" t="str">
        <f aca="false">IF(BN1316&lt;&gt;"",VLOOKUP(BN1316,Selects!$J$4:$K$1000,2,0),"")</f>
        <v/>
      </c>
      <c r="CB1316" s="72" t="str">
        <f aca="false">IF(AC1316&lt;&gt;"",VLOOKUP(AC1316,Selects!$B:$E,4,0),"")</f>
        <v/>
      </c>
    </row>
    <row r="1317" customFormat="false" ht="15" hidden="true" customHeight="false" outlineLevel="0" collapsed="false">
      <c r="E1317" s="60" t="str">
        <f aca="false">IF(LEN(D1317)=11,"PF",IF(LEN(D1317)=14,"PJ",""))</f>
        <v/>
      </c>
      <c r="H1317" s="61" t="str">
        <f aca="false">IF(G1317&lt;&gt;"",VLOOKUP(G1317,'Cnae  mcc  id'!$A:$M,9,0),"")</f>
        <v/>
      </c>
      <c r="I1317" s="62"/>
      <c r="J1317" s="63" t="str">
        <f aca="false">IF(I1317&lt;&gt;"",VLOOKUP(I1317,'Legal Nature'!$E$2:$G$84,3,0),"")</f>
        <v/>
      </c>
      <c r="K1317" s="64"/>
      <c r="U1317" s="58" t="str">
        <f aca="false">IF( T1317&lt;&gt;"",VLOOKUP(T1317,Selects!$M$4:$N$1000,2,0),"")</f>
        <v/>
      </c>
      <c r="AD1317" s="72" t="str">
        <f aca="false">IF(AC1317&lt;&gt;"",VLOOKUP(AC1317,Selects!$B$4:$C$100,2,0),"")</f>
        <v/>
      </c>
      <c r="AG1317" s="59"/>
      <c r="AH1317" s="65"/>
      <c r="AJ1317" s="66"/>
      <c r="AK1317" s="58"/>
      <c r="AM1317" s="68" t="str">
        <f aca="false">IF(LEFT(AL1317,1)="9","Celular",IF(AL1317="","","Fixo"))</f>
        <v/>
      </c>
      <c r="AN1317" s="58" t="str">
        <f aca="false">IF( AM1317&lt;&gt;"",VLOOKUP(AM1317,Selects!$M$4:$N$1000,2,0),"")</f>
        <v/>
      </c>
      <c r="BB1317" s="72" t="str">
        <f aca="false">IF(BA1317&lt;&gt;"",VLOOKUP(BA1317,Selects!$B$4:$C$100,2,0),"")</f>
        <v/>
      </c>
      <c r="BG1317" s="75" t="str">
        <f aca="false">IF(LEN(BF1317)=11,"PF",IF(LEN(BF1317)=14,"PJ",""))</f>
        <v/>
      </c>
      <c r="BH1317" s="66"/>
      <c r="BI1317" s="58" t="str">
        <f aca="false">IF(BH1317&lt;&gt;"",VLOOKUP(BH1317,Selects!$G:$H,2,0),"")</f>
        <v/>
      </c>
      <c r="BN1317" s="58"/>
      <c r="BO1317" s="58" t="str">
        <f aca="false">IF(BN1317&lt;&gt;"",VLOOKUP(BN1317,Selects!$J$4:$K$1000,2,0),"")</f>
        <v/>
      </c>
      <c r="CB1317" s="72" t="str">
        <f aca="false">IF(AC1317&lt;&gt;"",VLOOKUP(AC1317,Selects!$B:$E,4,0),"")</f>
        <v/>
      </c>
    </row>
    <row r="1318" customFormat="false" ht="15" hidden="true" customHeight="false" outlineLevel="0" collapsed="false">
      <c r="E1318" s="60" t="str">
        <f aca="false">IF(LEN(D1318)=11,"PF",IF(LEN(D1318)=14,"PJ",""))</f>
        <v/>
      </c>
      <c r="H1318" s="61" t="str">
        <f aca="false">IF(G1318&lt;&gt;"",VLOOKUP(G1318,'Cnae  mcc  id'!$A:$M,9,0),"")</f>
        <v/>
      </c>
      <c r="I1318" s="62"/>
      <c r="J1318" s="63" t="str">
        <f aca="false">IF(I1318&lt;&gt;"",VLOOKUP(I1318,'Legal Nature'!$E$2:$G$84,3,0),"")</f>
        <v/>
      </c>
      <c r="K1318" s="64"/>
      <c r="U1318" s="58" t="str">
        <f aca="false">IF( T1318&lt;&gt;"",VLOOKUP(T1318,Selects!$M$4:$N$1000,2,0),"")</f>
        <v/>
      </c>
      <c r="AD1318" s="72" t="str">
        <f aca="false">IF(AC1318&lt;&gt;"",VLOOKUP(AC1318,Selects!$B$4:$C$100,2,0),"")</f>
        <v/>
      </c>
      <c r="AG1318" s="59"/>
      <c r="AH1318" s="65"/>
      <c r="AJ1318" s="66"/>
      <c r="AK1318" s="58"/>
      <c r="AM1318" s="68" t="str">
        <f aca="false">IF(LEFT(AL1318,1)="9","Celular",IF(AL1318="","","Fixo"))</f>
        <v/>
      </c>
      <c r="AN1318" s="58" t="str">
        <f aca="false">IF( AM1318&lt;&gt;"",VLOOKUP(AM1318,Selects!$M$4:$N$1000,2,0),"")</f>
        <v/>
      </c>
      <c r="BB1318" s="72" t="str">
        <f aca="false">IF(BA1318&lt;&gt;"",VLOOKUP(BA1318,Selects!$B$4:$C$100,2,0),"")</f>
        <v/>
      </c>
      <c r="BG1318" s="75" t="str">
        <f aca="false">IF(LEN(BF1318)=11,"PF",IF(LEN(BF1318)=14,"PJ",""))</f>
        <v/>
      </c>
      <c r="BH1318" s="66"/>
      <c r="BI1318" s="58" t="str">
        <f aca="false">IF(BH1318&lt;&gt;"",VLOOKUP(BH1318,Selects!$G:$H,2,0),"")</f>
        <v/>
      </c>
      <c r="BN1318" s="58"/>
      <c r="BO1318" s="58" t="str">
        <f aca="false">IF(BN1318&lt;&gt;"",VLOOKUP(BN1318,Selects!$J$4:$K$1000,2,0),"")</f>
        <v/>
      </c>
      <c r="CB1318" s="72" t="str">
        <f aca="false">IF(AC1318&lt;&gt;"",VLOOKUP(AC1318,Selects!$B:$E,4,0),"")</f>
        <v/>
      </c>
    </row>
    <row r="1319" customFormat="false" ht="15" hidden="true" customHeight="false" outlineLevel="0" collapsed="false">
      <c r="E1319" s="60" t="str">
        <f aca="false">IF(LEN(D1319)=11,"PF",IF(LEN(D1319)=14,"PJ",""))</f>
        <v/>
      </c>
      <c r="H1319" s="61" t="str">
        <f aca="false">IF(G1319&lt;&gt;"",VLOOKUP(G1319,'Cnae  mcc  id'!$A:$M,9,0),"")</f>
        <v/>
      </c>
      <c r="I1319" s="62"/>
      <c r="J1319" s="63" t="str">
        <f aca="false">IF(I1319&lt;&gt;"",VLOOKUP(I1319,'Legal Nature'!$E$2:$G$84,3,0),"")</f>
        <v/>
      </c>
      <c r="K1319" s="64"/>
      <c r="U1319" s="58" t="str">
        <f aca="false">IF( T1319&lt;&gt;"",VLOOKUP(T1319,Selects!$M$4:$N$1000,2,0),"")</f>
        <v/>
      </c>
      <c r="AD1319" s="72" t="str">
        <f aca="false">IF(AC1319&lt;&gt;"",VLOOKUP(AC1319,Selects!$B$4:$C$100,2,0),"")</f>
        <v/>
      </c>
      <c r="AG1319" s="59"/>
      <c r="AH1319" s="65"/>
      <c r="AJ1319" s="66"/>
      <c r="AK1319" s="58"/>
      <c r="AM1319" s="68" t="str">
        <f aca="false">IF(LEFT(AL1319,1)="9","Celular",IF(AL1319="","","Fixo"))</f>
        <v/>
      </c>
      <c r="AN1319" s="58" t="str">
        <f aca="false">IF( AM1319&lt;&gt;"",VLOOKUP(AM1319,Selects!$M$4:$N$1000,2,0),"")</f>
        <v/>
      </c>
      <c r="BB1319" s="72" t="str">
        <f aca="false">IF(BA1319&lt;&gt;"",VLOOKUP(BA1319,Selects!$B$4:$C$100,2,0),"")</f>
        <v/>
      </c>
      <c r="BG1319" s="75" t="str">
        <f aca="false">IF(LEN(BF1319)=11,"PF",IF(LEN(BF1319)=14,"PJ",""))</f>
        <v/>
      </c>
      <c r="BH1319" s="66"/>
      <c r="BI1319" s="58" t="str">
        <f aca="false">IF(BH1319&lt;&gt;"",VLOOKUP(BH1319,Selects!$G:$H,2,0),"")</f>
        <v/>
      </c>
      <c r="BN1319" s="58"/>
      <c r="BO1319" s="58" t="str">
        <f aca="false">IF(BN1319&lt;&gt;"",VLOOKUP(BN1319,Selects!$J$4:$K$1000,2,0),"")</f>
        <v/>
      </c>
      <c r="CB1319" s="72" t="str">
        <f aca="false">IF(AC1319&lt;&gt;"",VLOOKUP(AC1319,Selects!$B:$E,4,0),"")</f>
        <v/>
      </c>
    </row>
    <row r="1320" customFormat="false" ht="15" hidden="true" customHeight="false" outlineLevel="0" collapsed="false">
      <c r="E1320" s="60" t="str">
        <f aca="false">IF(LEN(D1320)=11,"PF",IF(LEN(D1320)=14,"PJ",""))</f>
        <v/>
      </c>
      <c r="H1320" s="61" t="str">
        <f aca="false">IF(G1320&lt;&gt;"",VLOOKUP(G1320,'Cnae  mcc  id'!$A:$M,9,0),"")</f>
        <v/>
      </c>
      <c r="I1320" s="62"/>
      <c r="J1320" s="63" t="str">
        <f aca="false">IF(I1320&lt;&gt;"",VLOOKUP(I1320,'Legal Nature'!$E$2:$G$84,3,0),"")</f>
        <v/>
      </c>
      <c r="K1320" s="64"/>
      <c r="U1320" s="58" t="str">
        <f aca="false">IF( T1320&lt;&gt;"",VLOOKUP(T1320,Selects!$M$4:$N$1000,2,0),"")</f>
        <v/>
      </c>
      <c r="AD1320" s="72" t="str">
        <f aca="false">IF(AC1320&lt;&gt;"",VLOOKUP(AC1320,Selects!$B$4:$C$100,2,0),"")</f>
        <v/>
      </c>
      <c r="AG1320" s="59"/>
      <c r="AH1320" s="65"/>
      <c r="AJ1320" s="66"/>
      <c r="AK1320" s="58"/>
      <c r="AM1320" s="68" t="str">
        <f aca="false">IF(LEFT(AL1320,1)="9","Celular",IF(AL1320="","","Fixo"))</f>
        <v/>
      </c>
      <c r="AN1320" s="58" t="str">
        <f aca="false">IF( AM1320&lt;&gt;"",VLOOKUP(AM1320,Selects!$M$4:$N$1000,2,0),"")</f>
        <v/>
      </c>
      <c r="BB1320" s="72" t="str">
        <f aca="false">IF(BA1320&lt;&gt;"",VLOOKUP(BA1320,Selects!$B$4:$C$100,2,0),"")</f>
        <v/>
      </c>
      <c r="BG1320" s="75" t="str">
        <f aca="false">IF(LEN(BF1320)=11,"PF",IF(LEN(BF1320)=14,"PJ",""))</f>
        <v/>
      </c>
      <c r="BH1320" s="66"/>
      <c r="BI1320" s="58" t="str">
        <f aca="false">IF(BH1320&lt;&gt;"",VLOOKUP(BH1320,Selects!$G:$H,2,0),"")</f>
        <v/>
      </c>
      <c r="BN1320" s="58"/>
      <c r="BO1320" s="58" t="str">
        <f aca="false">IF(BN1320&lt;&gt;"",VLOOKUP(BN1320,Selects!$J$4:$K$1000,2,0),"")</f>
        <v/>
      </c>
      <c r="CB1320" s="72" t="str">
        <f aca="false">IF(AC1320&lt;&gt;"",VLOOKUP(AC1320,Selects!$B:$E,4,0),"")</f>
        <v/>
      </c>
    </row>
    <row r="1321" customFormat="false" ht="15" hidden="true" customHeight="false" outlineLevel="0" collapsed="false">
      <c r="E1321" s="60" t="str">
        <f aca="false">IF(LEN(D1321)=11,"PF",IF(LEN(D1321)=14,"PJ",""))</f>
        <v/>
      </c>
      <c r="H1321" s="61" t="str">
        <f aca="false">IF(G1321&lt;&gt;"",VLOOKUP(G1321,'Cnae  mcc  id'!$A:$M,9,0),"")</f>
        <v/>
      </c>
      <c r="I1321" s="62"/>
      <c r="J1321" s="63" t="str">
        <f aca="false">IF(I1321&lt;&gt;"",VLOOKUP(I1321,'Legal Nature'!$E$2:$G$84,3,0),"")</f>
        <v/>
      </c>
      <c r="K1321" s="64"/>
      <c r="U1321" s="58" t="str">
        <f aca="false">IF( T1321&lt;&gt;"",VLOOKUP(T1321,Selects!$M$4:$N$1000,2,0),"")</f>
        <v/>
      </c>
      <c r="AD1321" s="72" t="str">
        <f aca="false">IF(AC1321&lt;&gt;"",VLOOKUP(AC1321,Selects!$B$4:$C$100,2,0),"")</f>
        <v/>
      </c>
      <c r="AG1321" s="59"/>
      <c r="AH1321" s="65"/>
      <c r="AJ1321" s="66"/>
      <c r="AK1321" s="58"/>
      <c r="AM1321" s="68" t="str">
        <f aca="false">IF(LEFT(AL1321,1)="9","Celular",IF(AL1321="","","Fixo"))</f>
        <v/>
      </c>
      <c r="AN1321" s="58" t="str">
        <f aca="false">IF( AM1321&lt;&gt;"",VLOOKUP(AM1321,Selects!$M$4:$N$1000,2,0),"")</f>
        <v/>
      </c>
      <c r="BB1321" s="72" t="str">
        <f aca="false">IF(BA1321&lt;&gt;"",VLOOKUP(BA1321,Selects!$B$4:$C$100,2,0),"")</f>
        <v/>
      </c>
      <c r="BG1321" s="75" t="str">
        <f aca="false">IF(LEN(BF1321)=11,"PF",IF(LEN(BF1321)=14,"PJ",""))</f>
        <v/>
      </c>
      <c r="BH1321" s="66"/>
      <c r="BI1321" s="58" t="str">
        <f aca="false">IF(BH1321&lt;&gt;"",VLOOKUP(BH1321,Selects!$G:$H,2,0),"")</f>
        <v/>
      </c>
      <c r="BN1321" s="58"/>
      <c r="BO1321" s="58" t="str">
        <f aca="false">IF(BN1321&lt;&gt;"",VLOOKUP(BN1321,Selects!$J$4:$K$1000,2,0),"")</f>
        <v/>
      </c>
      <c r="CB1321" s="72" t="str">
        <f aca="false">IF(AC1321&lt;&gt;"",VLOOKUP(AC1321,Selects!$B:$E,4,0),"")</f>
        <v/>
      </c>
    </row>
    <row r="1322" customFormat="false" ht="15" hidden="true" customHeight="false" outlineLevel="0" collapsed="false">
      <c r="E1322" s="60" t="str">
        <f aca="false">IF(LEN(D1322)=11,"PF",IF(LEN(D1322)=14,"PJ",""))</f>
        <v/>
      </c>
      <c r="H1322" s="61" t="str">
        <f aca="false">IF(G1322&lt;&gt;"",VLOOKUP(G1322,'Cnae  mcc  id'!$A:$M,9,0),"")</f>
        <v/>
      </c>
      <c r="I1322" s="62"/>
      <c r="J1322" s="63" t="str">
        <f aca="false">IF(I1322&lt;&gt;"",VLOOKUP(I1322,'Legal Nature'!$E$2:$G$84,3,0),"")</f>
        <v/>
      </c>
      <c r="K1322" s="64"/>
      <c r="U1322" s="58" t="str">
        <f aca="false">IF( T1322&lt;&gt;"",VLOOKUP(T1322,Selects!$M$4:$N$1000,2,0),"")</f>
        <v/>
      </c>
      <c r="AD1322" s="72" t="str">
        <f aca="false">IF(AC1322&lt;&gt;"",VLOOKUP(AC1322,Selects!$B$4:$C$100,2,0),"")</f>
        <v/>
      </c>
      <c r="AG1322" s="59"/>
      <c r="AH1322" s="65"/>
      <c r="AJ1322" s="66"/>
      <c r="AK1322" s="58"/>
      <c r="AM1322" s="68" t="str">
        <f aca="false">IF(LEFT(AL1322,1)="9","Celular",IF(AL1322="","","Fixo"))</f>
        <v/>
      </c>
      <c r="AN1322" s="58" t="str">
        <f aca="false">IF( AM1322&lt;&gt;"",VLOOKUP(AM1322,Selects!$M$4:$N$1000,2,0),"")</f>
        <v/>
      </c>
      <c r="BB1322" s="72" t="str">
        <f aca="false">IF(BA1322&lt;&gt;"",VLOOKUP(BA1322,Selects!$B$4:$C$100,2,0),"")</f>
        <v/>
      </c>
      <c r="BG1322" s="75" t="str">
        <f aca="false">IF(LEN(BF1322)=11,"PF",IF(LEN(BF1322)=14,"PJ",""))</f>
        <v/>
      </c>
      <c r="BH1322" s="66"/>
      <c r="BI1322" s="58" t="str">
        <f aca="false">IF(BH1322&lt;&gt;"",VLOOKUP(BH1322,Selects!$G:$H,2,0),"")</f>
        <v/>
      </c>
      <c r="BN1322" s="58"/>
      <c r="BO1322" s="58" t="str">
        <f aca="false">IF(BN1322&lt;&gt;"",VLOOKUP(BN1322,Selects!$J$4:$K$1000,2,0),"")</f>
        <v/>
      </c>
      <c r="CB1322" s="72" t="str">
        <f aca="false">IF(AC1322&lt;&gt;"",VLOOKUP(AC1322,Selects!$B:$E,4,0),"")</f>
        <v/>
      </c>
    </row>
    <row r="1323" customFormat="false" ht="15" hidden="true" customHeight="false" outlineLevel="0" collapsed="false">
      <c r="E1323" s="60" t="str">
        <f aca="false">IF(LEN(D1323)=11,"PF",IF(LEN(D1323)=14,"PJ",""))</f>
        <v/>
      </c>
      <c r="H1323" s="61" t="str">
        <f aca="false">IF(G1323&lt;&gt;"",VLOOKUP(G1323,'Cnae  mcc  id'!$A:$M,9,0),"")</f>
        <v/>
      </c>
      <c r="I1323" s="62"/>
      <c r="J1323" s="63" t="str">
        <f aca="false">IF(I1323&lt;&gt;"",VLOOKUP(I1323,'Legal Nature'!$E$2:$G$84,3,0),"")</f>
        <v/>
      </c>
      <c r="K1323" s="64"/>
      <c r="U1323" s="58" t="str">
        <f aca="false">IF( T1323&lt;&gt;"",VLOOKUP(T1323,Selects!$M$4:$N$1000,2,0),"")</f>
        <v/>
      </c>
      <c r="AD1323" s="72" t="str">
        <f aca="false">IF(AC1323&lt;&gt;"",VLOOKUP(AC1323,Selects!$B$4:$C$100,2,0),"")</f>
        <v/>
      </c>
      <c r="AG1323" s="59"/>
      <c r="AH1323" s="65"/>
      <c r="AJ1323" s="66"/>
      <c r="AK1323" s="58"/>
      <c r="AM1323" s="68" t="str">
        <f aca="false">IF(LEFT(AL1323,1)="9","Celular",IF(AL1323="","","Fixo"))</f>
        <v/>
      </c>
      <c r="AN1323" s="58" t="str">
        <f aca="false">IF( AM1323&lt;&gt;"",VLOOKUP(AM1323,Selects!$M$4:$N$1000,2,0),"")</f>
        <v/>
      </c>
      <c r="BB1323" s="72" t="str">
        <f aca="false">IF(BA1323&lt;&gt;"",VLOOKUP(BA1323,Selects!$B$4:$C$100,2,0),"")</f>
        <v/>
      </c>
      <c r="BG1323" s="75" t="str">
        <f aca="false">IF(LEN(BF1323)=11,"PF",IF(LEN(BF1323)=14,"PJ",""))</f>
        <v/>
      </c>
      <c r="BH1323" s="66"/>
      <c r="BI1323" s="58" t="str">
        <f aca="false">IF(BH1323&lt;&gt;"",VLOOKUP(BH1323,Selects!$G:$H,2,0),"")</f>
        <v/>
      </c>
      <c r="BN1323" s="58"/>
      <c r="BO1323" s="58" t="str">
        <f aca="false">IF(BN1323&lt;&gt;"",VLOOKUP(BN1323,Selects!$J$4:$K$1000,2,0),"")</f>
        <v/>
      </c>
      <c r="CB1323" s="72" t="str">
        <f aca="false">IF(AC1323&lt;&gt;"",VLOOKUP(AC1323,Selects!$B:$E,4,0),"")</f>
        <v/>
      </c>
    </row>
    <row r="1324" customFormat="false" ht="15" hidden="true" customHeight="false" outlineLevel="0" collapsed="false">
      <c r="E1324" s="60" t="str">
        <f aca="false">IF(LEN(D1324)=11,"PF",IF(LEN(D1324)=14,"PJ",""))</f>
        <v/>
      </c>
      <c r="H1324" s="61" t="str">
        <f aca="false">IF(G1324&lt;&gt;"",VLOOKUP(G1324,'Cnae  mcc  id'!$A:$M,9,0),"")</f>
        <v/>
      </c>
      <c r="I1324" s="62"/>
      <c r="J1324" s="63" t="str">
        <f aca="false">IF(I1324&lt;&gt;"",VLOOKUP(I1324,'Legal Nature'!$E$2:$G$84,3,0),"")</f>
        <v/>
      </c>
      <c r="K1324" s="64"/>
      <c r="U1324" s="58" t="str">
        <f aca="false">IF( T1324&lt;&gt;"",VLOOKUP(T1324,Selects!$M$4:$N$1000,2,0),"")</f>
        <v/>
      </c>
      <c r="AD1324" s="72" t="str">
        <f aca="false">IF(AC1324&lt;&gt;"",VLOOKUP(AC1324,Selects!$B$4:$C$100,2,0),"")</f>
        <v/>
      </c>
      <c r="AG1324" s="59"/>
      <c r="AH1324" s="65"/>
      <c r="AJ1324" s="66"/>
      <c r="AK1324" s="58"/>
      <c r="AM1324" s="68" t="str">
        <f aca="false">IF(LEFT(AL1324,1)="9","Celular",IF(AL1324="","","Fixo"))</f>
        <v/>
      </c>
      <c r="AN1324" s="58" t="str">
        <f aca="false">IF( AM1324&lt;&gt;"",VLOOKUP(AM1324,Selects!$M$4:$N$1000,2,0),"")</f>
        <v/>
      </c>
      <c r="BB1324" s="72" t="str">
        <f aca="false">IF(BA1324&lt;&gt;"",VLOOKUP(BA1324,Selects!$B$4:$C$100,2,0),"")</f>
        <v/>
      </c>
      <c r="BG1324" s="75" t="str">
        <f aca="false">IF(LEN(BF1324)=11,"PF",IF(LEN(BF1324)=14,"PJ",""))</f>
        <v/>
      </c>
      <c r="BH1324" s="66"/>
      <c r="BI1324" s="58" t="str">
        <f aca="false">IF(BH1324&lt;&gt;"",VLOOKUP(BH1324,Selects!$G:$H,2,0),"")</f>
        <v/>
      </c>
      <c r="BN1324" s="58"/>
      <c r="BO1324" s="58" t="str">
        <f aca="false">IF(BN1324&lt;&gt;"",VLOOKUP(BN1324,Selects!$J$4:$K$1000,2,0),"")</f>
        <v/>
      </c>
      <c r="CB1324" s="72" t="str">
        <f aca="false">IF(AC1324&lt;&gt;"",VLOOKUP(AC1324,Selects!$B:$E,4,0),"")</f>
        <v/>
      </c>
    </row>
    <row r="1325" customFormat="false" ht="15" hidden="true" customHeight="false" outlineLevel="0" collapsed="false">
      <c r="E1325" s="60" t="str">
        <f aca="false">IF(LEN(D1325)=11,"PF",IF(LEN(D1325)=14,"PJ",""))</f>
        <v/>
      </c>
      <c r="H1325" s="61" t="str">
        <f aca="false">IF(G1325&lt;&gt;"",VLOOKUP(G1325,'Cnae  mcc  id'!$A:$M,9,0),"")</f>
        <v/>
      </c>
      <c r="I1325" s="62"/>
      <c r="J1325" s="63" t="str">
        <f aca="false">IF(I1325&lt;&gt;"",VLOOKUP(I1325,'Legal Nature'!$E$2:$G$84,3,0),"")</f>
        <v/>
      </c>
      <c r="U1325" s="58" t="str">
        <f aca="false">IF( T1325&lt;&gt;"",VLOOKUP(T1325,Selects!$M$4:$N$1000,2,0),"")</f>
        <v/>
      </c>
      <c r="AD1325" s="72" t="str">
        <f aca="false">IF(AC1325&lt;&gt;"",VLOOKUP(AC1325,Selects!$B$4:$C$100,2,0),"")</f>
        <v/>
      </c>
      <c r="AG1325" s="59"/>
      <c r="AH1325" s="65"/>
      <c r="AJ1325" s="66"/>
      <c r="AK1325" s="58"/>
      <c r="AM1325" s="68" t="str">
        <f aca="false">IF(LEFT(AL1325,1)="9","Celular",IF(AL1325="","","Fixo"))</f>
        <v/>
      </c>
      <c r="AN1325" s="58" t="str">
        <f aca="false">IF( AM1325&lt;&gt;"",VLOOKUP(AM1325,Selects!$M$4:$N$1000,2,0),"")</f>
        <v/>
      </c>
      <c r="BB1325" s="72" t="str">
        <f aca="false">IF(BA1325&lt;&gt;"",VLOOKUP(BA1325,Selects!$B$4:$C$100,2,0),"")</f>
        <v/>
      </c>
      <c r="BG1325" s="75" t="str">
        <f aca="false">IF(LEN(BF1325)=11,"PF",IF(LEN(BF1325)=14,"PJ",""))</f>
        <v/>
      </c>
      <c r="BH1325" s="66"/>
      <c r="BI1325" s="58" t="str">
        <f aca="false">IF(BH1325&lt;&gt;"",VLOOKUP(BH1325,Selects!$G:$H,2,0),"")</f>
        <v/>
      </c>
      <c r="BN1325" s="58"/>
      <c r="BO1325" s="58" t="str">
        <f aca="false">IF(BN1325&lt;&gt;"",VLOOKUP(BN1325,Selects!$J$4:$K$1000,2,0),"")</f>
        <v/>
      </c>
      <c r="CB1325" s="72" t="str">
        <f aca="false">IF(AC1325&lt;&gt;"",VLOOKUP(AC1325,Selects!$B:$E,4,0),"")</f>
        <v/>
      </c>
    </row>
    <row r="1326" customFormat="false" ht="15" hidden="true" customHeight="false" outlineLevel="0" collapsed="false">
      <c r="E1326" s="60" t="str">
        <f aca="false">IF(LEN(D1326)=11,"PF",IF(LEN(D1326)=14,"PJ",""))</f>
        <v/>
      </c>
      <c r="H1326" s="61" t="str">
        <f aca="false">IF(G1326&lt;&gt;"",VLOOKUP(G1326,'Cnae  mcc  id'!$A:$M,9,0),"")</f>
        <v/>
      </c>
      <c r="I1326" s="62"/>
      <c r="J1326" s="63" t="str">
        <f aca="false">IF(I1326&lt;&gt;"",VLOOKUP(I1326,'Legal Nature'!$E$2:$G$84,3,0),"")</f>
        <v/>
      </c>
      <c r="U1326" s="58" t="str">
        <f aca="false">IF( T1326&lt;&gt;"",VLOOKUP(T1326,Selects!$M$4:$N$1000,2,0),"")</f>
        <v/>
      </c>
      <c r="AD1326" s="72" t="str">
        <f aca="false">IF(AC1326&lt;&gt;"",VLOOKUP(AC1326,Selects!$B$4:$C$100,2,0),"")</f>
        <v/>
      </c>
      <c r="AG1326" s="59"/>
      <c r="AH1326" s="65"/>
      <c r="AJ1326" s="66"/>
      <c r="AK1326" s="58"/>
      <c r="AM1326" s="68" t="str">
        <f aca="false">IF(LEFT(AL1326,1)="9","Celular",IF(AL1326="","","Fixo"))</f>
        <v/>
      </c>
      <c r="AN1326" s="58" t="str">
        <f aca="false">IF( AM1326&lt;&gt;"",VLOOKUP(AM1326,Selects!$M$4:$N$1000,2,0),"")</f>
        <v/>
      </c>
      <c r="BB1326" s="72" t="str">
        <f aca="false">IF(BA1326&lt;&gt;"",VLOOKUP(BA1326,Selects!$B$4:$C$100,2,0),"")</f>
        <v/>
      </c>
      <c r="BG1326" s="75" t="str">
        <f aca="false">IF(LEN(BF1326)=11,"PF",IF(LEN(BF1326)=14,"PJ",""))</f>
        <v/>
      </c>
      <c r="BH1326" s="66"/>
      <c r="BI1326" s="58" t="str">
        <f aca="false">IF(BH1326&lt;&gt;"",VLOOKUP(BH1326,Selects!$G:$H,2,0),"")</f>
        <v/>
      </c>
      <c r="BN1326" s="58"/>
      <c r="BO1326" s="58" t="str">
        <f aca="false">IF(BN1326&lt;&gt;"",VLOOKUP(BN1326,Selects!$J$4:$K$1000,2,0),"")</f>
        <v/>
      </c>
      <c r="CB1326" s="72" t="str">
        <f aca="false">IF(AC1326&lt;&gt;"",VLOOKUP(AC1326,Selects!$B:$E,4,0),"")</f>
        <v/>
      </c>
    </row>
    <row r="1327" customFormat="false" ht="15" hidden="true" customHeight="false" outlineLevel="0" collapsed="false">
      <c r="E1327" s="60" t="str">
        <f aca="false">IF(LEN(D1327)=11,"PF",IF(LEN(D1327)=14,"PJ",""))</f>
        <v/>
      </c>
      <c r="H1327" s="61" t="str">
        <f aca="false">IF(G1327&lt;&gt;"",VLOOKUP(G1327,'Cnae  mcc  id'!$A:$M,9,0),"")</f>
        <v/>
      </c>
      <c r="I1327" s="62"/>
      <c r="J1327" s="63" t="str">
        <f aca="false">IF(I1327&lt;&gt;"",VLOOKUP(I1327,'Legal Nature'!$E$2:$G$84,3,0),"")</f>
        <v/>
      </c>
      <c r="U1327" s="58" t="str">
        <f aca="false">IF( T1327&lt;&gt;"",VLOOKUP(T1327,Selects!$M$4:$N$1000,2,0),"")</f>
        <v/>
      </c>
      <c r="AD1327" s="72" t="str">
        <f aca="false">IF(AC1327&lt;&gt;"",VLOOKUP(AC1327,Selects!$B$4:$C$100,2,0),"")</f>
        <v/>
      </c>
      <c r="AG1327" s="59"/>
      <c r="AH1327" s="65"/>
      <c r="AJ1327" s="66"/>
      <c r="AK1327" s="58"/>
      <c r="AM1327" s="68" t="str">
        <f aca="false">IF(LEFT(AL1327,1)="9","Celular",IF(AL1327="","","Fixo"))</f>
        <v/>
      </c>
      <c r="AN1327" s="58" t="str">
        <f aca="false">IF( AM1327&lt;&gt;"",VLOOKUP(AM1327,Selects!$M$4:$N$1000,2,0),"")</f>
        <v/>
      </c>
      <c r="BB1327" s="72" t="str">
        <f aca="false">IF(BA1327&lt;&gt;"",VLOOKUP(BA1327,Selects!$B$4:$C$100,2,0),"")</f>
        <v/>
      </c>
      <c r="BG1327" s="75" t="str">
        <f aca="false">IF(LEN(BF1327)=11,"PF",IF(LEN(BF1327)=14,"PJ",""))</f>
        <v/>
      </c>
      <c r="BH1327" s="66"/>
      <c r="BI1327" s="58" t="str">
        <f aca="false">IF(BH1327&lt;&gt;"",VLOOKUP(BH1327,Selects!$G:$H,2,0),"")</f>
        <v/>
      </c>
      <c r="BN1327" s="58"/>
      <c r="BO1327" s="58" t="str">
        <f aca="false">IF(BN1327&lt;&gt;"",VLOOKUP(BN1327,Selects!$J$4:$K$1000,2,0),"")</f>
        <v/>
      </c>
      <c r="CB1327" s="72" t="str">
        <f aca="false">IF(AC1327&lt;&gt;"",VLOOKUP(AC1327,Selects!$B:$E,4,0),"")</f>
        <v/>
      </c>
    </row>
    <row r="1328" customFormat="false" ht="15" hidden="true" customHeight="false" outlineLevel="0" collapsed="false">
      <c r="E1328" s="60" t="str">
        <f aca="false">IF(LEN(D1328)=11,"PF",IF(LEN(D1328)=14,"PJ",""))</f>
        <v/>
      </c>
      <c r="H1328" s="61" t="str">
        <f aca="false">IF(G1328&lt;&gt;"",VLOOKUP(G1328,'Cnae  mcc  id'!$A:$M,9,0),"")</f>
        <v/>
      </c>
      <c r="I1328" s="62"/>
      <c r="J1328" s="63" t="str">
        <f aca="false">IF(I1328&lt;&gt;"",VLOOKUP(I1328,'Legal Nature'!$E$2:$G$84,3,0),"")</f>
        <v/>
      </c>
      <c r="U1328" s="58" t="str">
        <f aca="false">IF( T1328&lt;&gt;"",VLOOKUP(T1328,Selects!$M$4:$N$1000,2,0),"")</f>
        <v/>
      </c>
      <c r="AD1328" s="72" t="str">
        <f aca="false">IF(AC1328&lt;&gt;"",VLOOKUP(AC1328,Selects!$B$4:$C$100,2,0),"")</f>
        <v/>
      </c>
      <c r="AG1328" s="59"/>
      <c r="AH1328" s="65"/>
      <c r="AJ1328" s="66"/>
      <c r="AK1328" s="58"/>
      <c r="AM1328" s="68" t="str">
        <f aca="false">IF(LEFT(AL1328,1)="9","Celular",IF(AL1328="","","Fixo"))</f>
        <v/>
      </c>
      <c r="AN1328" s="58" t="str">
        <f aca="false">IF( AM1328&lt;&gt;"",VLOOKUP(AM1328,Selects!$M$4:$N$1000,2,0),"")</f>
        <v/>
      </c>
      <c r="BB1328" s="72" t="str">
        <f aca="false">IF(BA1328&lt;&gt;"",VLOOKUP(BA1328,Selects!$B$4:$C$100,2,0),"")</f>
        <v/>
      </c>
      <c r="BG1328" s="75" t="str">
        <f aca="false">IF(LEN(BF1328)=11,"PF",IF(LEN(BF1328)=14,"PJ",""))</f>
        <v/>
      </c>
      <c r="BH1328" s="66"/>
      <c r="BI1328" s="58" t="str">
        <f aca="false">IF(BH1328&lt;&gt;"",VLOOKUP(BH1328,Selects!$G:$H,2,0),"")</f>
        <v/>
      </c>
      <c r="BN1328" s="58"/>
      <c r="BO1328" s="58" t="str">
        <f aca="false">IF(BN1328&lt;&gt;"",VLOOKUP(BN1328,Selects!$J$4:$K$1000,2,0),"")</f>
        <v/>
      </c>
      <c r="CB1328" s="72" t="str">
        <f aca="false">IF(AC1328&lt;&gt;"",VLOOKUP(AC1328,Selects!$B:$E,4,0),"")</f>
        <v/>
      </c>
    </row>
    <row r="1329" customFormat="false" ht="15" hidden="true" customHeight="false" outlineLevel="0" collapsed="false">
      <c r="E1329" s="60" t="str">
        <f aca="false">IF(LEN(D1329)=11,"PF",IF(LEN(D1329)=14,"PJ",""))</f>
        <v/>
      </c>
      <c r="H1329" s="61" t="str">
        <f aca="false">IF(G1329&lt;&gt;"",VLOOKUP(G1329,'Cnae  mcc  id'!$A:$M,9,0),"")</f>
        <v/>
      </c>
      <c r="I1329" s="62"/>
      <c r="J1329" s="63" t="str">
        <f aca="false">IF(I1329&lt;&gt;"",VLOOKUP(I1329,'Legal Nature'!$E$2:$G$84,3,0),"")</f>
        <v/>
      </c>
      <c r="U1329" s="58" t="str">
        <f aca="false">IF( T1329&lt;&gt;"",VLOOKUP(T1329,Selects!$M$4:$N$1000,2,0),"")</f>
        <v/>
      </c>
      <c r="AD1329" s="72" t="str">
        <f aca="false">IF(AC1329&lt;&gt;"",VLOOKUP(AC1329,Selects!$B$4:$C$100,2,0),"")</f>
        <v/>
      </c>
      <c r="AG1329" s="59"/>
      <c r="AH1329" s="65"/>
      <c r="AJ1329" s="66"/>
      <c r="AK1329" s="58"/>
      <c r="AM1329" s="68" t="str">
        <f aca="false">IF(LEFT(AL1329,1)="9","Celular",IF(AL1329="","","Fixo"))</f>
        <v/>
      </c>
      <c r="AN1329" s="58" t="str">
        <f aca="false">IF( AM1329&lt;&gt;"",VLOOKUP(AM1329,Selects!$M$4:$N$1000,2,0),"")</f>
        <v/>
      </c>
      <c r="BB1329" s="72" t="str">
        <f aca="false">IF(BA1329&lt;&gt;"",VLOOKUP(BA1329,Selects!$B$4:$C$100,2,0),"")</f>
        <v/>
      </c>
      <c r="BG1329" s="75" t="str">
        <f aca="false">IF(LEN(BF1329)=11,"PF",IF(LEN(BF1329)=14,"PJ",""))</f>
        <v/>
      </c>
      <c r="BH1329" s="66"/>
      <c r="BI1329" s="58" t="str">
        <f aca="false">IF(BH1329&lt;&gt;"",VLOOKUP(BH1329,Selects!$G:$H,2,0),"")</f>
        <v/>
      </c>
      <c r="BN1329" s="58"/>
      <c r="BO1329" s="58" t="str">
        <f aca="false">IF(BN1329&lt;&gt;"",VLOOKUP(BN1329,Selects!$J$4:$K$1000,2,0),"")</f>
        <v/>
      </c>
      <c r="CB1329" s="72" t="str">
        <f aca="false">IF(AC1329&lt;&gt;"",VLOOKUP(AC1329,Selects!$B:$E,4,0),"")</f>
        <v/>
      </c>
    </row>
    <row r="1330" customFormat="false" ht="15" hidden="true" customHeight="false" outlineLevel="0" collapsed="false">
      <c r="E1330" s="60" t="str">
        <f aca="false">IF(LEN(D1330)=11,"PF",IF(LEN(D1330)=14,"PJ",""))</f>
        <v/>
      </c>
      <c r="H1330" s="61" t="str">
        <f aca="false">IF(G1330&lt;&gt;"",VLOOKUP(G1330,'Cnae  mcc  id'!$A:$M,9,0),"")</f>
        <v/>
      </c>
      <c r="I1330" s="62"/>
      <c r="J1330" s="63" t="str">
        <f aca="false">IF(I1330&lt;&gt;"",VLOOKUP(I1330,'Legal Nature'!$E$2:$G$84,3,0),"")</f>
        <v/>
      </c>
      <c r="U1330" s="58" t="str">
        <f aca="false">IF( T1330&lt;&gt;"",VLOOKUP(T1330,Selects!$M$4:$N$1000,2,0),"")</f>
        <v/>
      </c>
      <c r="AD1330" s="72" t="str">
        <f aca="false">IF(AC1330&lt;&gt;"",VLOOKUP(AC1330,Selects!$B$4:$C$100,2,0),"")</f>
        <v/>
      </c>
      <c r="AG1330" s="59"/>
      <c r="AH1330" s="65"/>
      <c r="AJ1330" s="66"/>
      <c r="AK1330" s="58"/>
      <c r="AM1330" s="68" t="str">
        <f aca="false">IF(LEFT(AL1330,1)="9","Celular",IF(AL1330="","","Fixo"))</f>
        <v/>
      </c>
      <c r="AN1330" s="58" t="str">
        <f aca="false">IF( AM1330&lt;&gt;"",VLOOKUP(AM1330,Selects!$M$4:$N$1000,2,0),"")</f>
        <v/>
      </c>
      <c r="BB1330" s="72" t="str">
        <f aca="false">IF(BA1330&lt;&gt;"",VLOOKUP(BA1330,Selects!$B$4:$C$100,2,0),"")</f>
        <v/>
      </c>
      <c r="BG1330" s="75" t="str">
        <f aca="false">IF(LEN(BF1330)=11,"PF",IF(LEN(BF1330)=14,"PJ",""))</f>
        <v/>
      </c>
      <c r="BH1330" s="66"/>
      <c r="BI1330" s="58" t="str">
        <f aca="false">IF(BH1330&lt;&gt;"",VLOOKUP(BH1330,Selects!$G:$H,2,0),"")</f>
        <v/>
      </c>
      <c r="BN1330" s="58"/>
      <c r="BO1330" s="58" t="str">
        <f aca="false">IF(BN1330&lt;&gt;"",VLOOKUP(BN1330,Selects!$J$4:$K$1000,2,0),"")</f>
        <v/>
      </c>
      <c r="CB1330" s="72" t="str">
        <f aca="false">IF(AC1330&lt;&gt;"",VLOOKUP(AC1330,Selects!$B:$E,4,0),"")</f>
        <v/>
      </c>
    </row>
    <row r="1331" customFormat="false" ht="15" hidden="true" customHeight="false" outlineLevel="0" collapsed="false">
      <c r="E1331" s="60" t="str">
        <f aca="false">IF(LEN(D1331)=11,"PF",IF(LEN(D1331)=14,"PJ",""))</f>
        <v/>
      </c>
      <c r="H1331" s="61" t="str">
        <f aca="false">IF(G1331&lt;&gt;"",VLOOKUP(G1331,'Cnae  mcc  id'!$A:$M,9,0),"")</f>
        <v/>
      </c>
      <c r="I1331" s="62"/>
      <c r="J1331" s="63" t="str">
        <f aca="false">IF(I1331&lt;&gt;"",VLOOKUP(I1331,'Legal Nature'!$E$2:$G$84,3,0),"")</f>
        <v/>
      </c>
      <c r="U1331" s="58" t="str">
        <f aca="false">IF( T1331&lt;&gt;"",VLOOKUP(T1331,Selects!$M$4:$N$1000,2,0),"")</f>
        <v/>
      </c>
      <c r="AD1331" s="72" t="str">
        <f aca="false">IF(AC1331&lt;&gt;"",VLOOKUP(AC1331,Selects!$B$4:$C$100,2,0),"")</f>
        <v/>
      </c>
      <c r="AG1331" s="59"/>
      <c r="AH1331" s="65"/>
      <c r="AJ1331" s="66"/>
      <c r="AK1331" s="58"/>
      <c r="AM1331" s="68" t="str">
        <f aca="false">IF(LEFT(AL1331,1)="9","Celular",IF(AL1331="","","Fixo"))</f>
        <v/>
      </c>
      <c r="AN1331" s="58" t="str">
        <f aca="false">IF( AM1331&lt;&gt;"",VLOOKUP(AM1331,Selects!$M$4:$N$1000,2,0),"")</f>
        <v/>
      </c>
      <c r="BB1331" s="72" t="str">
        <f aca="false">IF(BA1331&lt;&gt;"",VLOOKUP(BA1331,Selects!$B$4:$C$100,2,0),"")</f>
        <v/>
      </c>
      <c r="BG1331" s="75" t="str">
        <f aca="false">IF(LEN(BF1331)=11,"PF",IF(LEN(BF1331)=14,"PJ",""))</f>
        <v/>
      </c>
      <c r="BH1331" s="66"/>
      <c r="BI1331" s="58" t="str">
        <f aca="false">IF(BH1331&lt;&gt;"",VLOOKUP(BH1331,Selects!$G:$H,2,0),"")</f>
        <v/>
      </c>
      <c r="BN1331" s="58"/>
      <c r="BO1331" s="58" t="str">
        <f aca="false">IF(BN1331&lt;&gt;"",VLOOKUP(BN1331,Selects!$J$4:$K$1000,2,0),"")</f>
        <v/>
      </c>
      <c r="CB1331" s="72" t="str">
        <f aca="false">IF(AC1331&lt;&gt;"",VLOOKUP(AC1331,Selects!$B:$E,4,0),"")</f>
        <v/>
      </c>
    </row>
    <row r="1332" customFormat="false" ht="15" hidden="true" customHeight="false" outlineLevel="0" collapsed="false">
      <c r="E1332" s="60" t="str">
        <f aca="false">IF(LEN(D1332)=11,"PF",IF(LEN(D1332)=14,"PJ",""))</f>
        <v/>
      </c>
      <c r="H1332" s="61" t="str">
        <f aca="false">IF(G1332&lt;&gt;"",VLOOKUP(G1332,'Cnae  mcc  id'!$A:$M,9,0),"")</f>
        <v/>
      </c>
      <c r="I1332" s="62"/>
      <c r="J1332" s="63" t="str">
        <f aca="false">IF(I1332&lt;&gt;"",VLOOKUP(I1332,'Legal Nature'!$E$2:$G$84,3,0),"")</f>
        <v/>
      </c>
      <c r="U1332" s="58" t="str">
        <f aca="false">IF( T1332&lt;&gt;"",VLOOKUP(T1332,Selects!$M$4:$N$1000,2,0),"")</f>
        <v/>
      </c>
      <c r="AD1332" s="72" t="str">
        <f aca="false">IF(AC1332&lt;&gt;"",VLOOKUP(AC1332,Selects!$B$4:$C$100,2,0),"")</f>
        <v/>
      </c>
      <c r="AG1332" s="59"/>
      <c r="AH1332" s="65"/>
      <c r="AJ1332" s="66"/>
      <c r="AK1332" s="58"/>
      <c r="AM1332" s="68" t="str">
        <f aca="false">IF(LEFT(AL1332,1)="9","Celular",IF(AL1332="","","Fixo"))</f>
        <v/>
      </c>
      <c r="AN1332" s="58" t="str">
        <f aca="false">IF( AM1332&lt;&gt;"",VLOOKUP(AM1332,Selects!$M$4:$N$1000,2,0),"")</f>
        <v/>
      </c>
      <c r="BB1332" s="72" t="str">
        <f aca="false">IF(BA1332&lt;&gt;"",VLOOKUP(BA1332,Selects!$B$4:$C$100,2,0),"")</f>
        <v/>
      </c>
      <c r="BG1332" s="75" t="str">
        <f aca="false">IF(LEN(BF1332)=11,"PF",IF(LEN(BF1332)=14,"PJ",""))</f>
        <v/>
      </c>
      <c r="BH1332" s="66"/>
      <c r="BI1332" s="58" t="str">
        <f aca="false">IF(BH1332&lt;&gt;"",VLOOKUP(BH1332,Selects!$G:$H,2,0),"")</f>
        <v/>
      </c>
      <c r="BN1332" s="58"/>
      <c r="BO1332" s="58" t="str">
        <f aca="false">IF(BN1332&lt;&gt;"",VLOOKUP(BN1332,Selects!$J$4:$K$1000,2,0),"")</f>
        <v/>
      </c>
      <c r="CB1332" s="72" t="str">
        <f aca="false">IF(AC1332&lt;&gt;"",VLOOKUP(AC1332,Selects!$B:$E,4,0),"")</f>
        <v/>
      </c>
    </row>
    <row r="1333" customFormat="false" ht="15" hidden="true" customHeight="false" outlineLevel="0" collapsed="false">
      <c r="E1333" s="60" t="str">
        <f aca="false">IF(LEN(D1333)=11,"PF",IF(LEN(D1333)=14,"PJ",""))</f>
        <v/>
      </c>
      <c r="H1333" s="61" t="str">
        <f aca="false">IF(G1333&lt;&gt;"",VLOOKUP(G1333,'Cnae  mcc  id'!$A:$M,9,0),"")</f>
        <v/>
      </c>
      <c r="I1333" s="62"/>
      <c r="J1333" s="63" t="str">
        <f aca="false">IF(I1333&lt;&gt;"",VLOOKUP(I1333,'Legal Nature'!$E$2:$G$84,3,0),"")</f>
        <v/>
      </c>
      <c r="U1333" s="58" t="str">
        <f aca="false">IF( T1333&lt;&gt;"",VLOOKUP(T1333,Selects!$M$4:$N$1000,2,0),"")</f>
        <v/>
      </c>
      <c r="AD1333" s="72" t="str">
        <f aca="false">IF(AC1333&lt;&gt;"",VLOOKUP(AC1333,Selects!$B$4:$C$100,2,0),"")</f>
        <v/>
      </c>
      <c r="AG1333" s="59"/>
      <c r="AH1333" s="65"/>
      <c r="AJ1333" s="66"/>
      <c r="AK1333" s="58"/>
      <c r="AM1333" s="68" t="str">
        <f aca="false">IF(LEFT(AL1333,1)="9","Celular",IF(AL1333="","","Fixo"))</f>
        <v/>
      </c>
      <c r="AN1333" s="58" t="str">
        <f aca="false">IF( AM1333&lt;&gt;"",VLOOKUP(AM1333,Selects!$M$4:$N$1000,2,0),"")</f>
        <v/>
      </c>
      <c r="BB1333" s="72" t="str">
        <f aca="false">IF(BA1333&lt;&gt;"",VLOOKUP(BA1333,Selects!$B$4:$C$100,2,0),"")</f>
        <v/>
      </c>
      <c r="BG1333" s="75" t="str">
        <f aca="false">IF(LEN(BF1333)=11,"PF",IF(LEN(BF1333)=14,"PJ",""))</f>
        <v/>
      </c>
      <c r="BH1333" s="66"/>
      <c r="BI1333" s="58" t="str">
        <f aca="false">IF(BH1333&lt;&gt;"",VLOOKUP(BH1333,Selects!$G:$H,2,0),"")</f>
        <v/>
      </c>
      <c r="BN1333" s="58"/>
      <c r="BO1333" s="58" t="str">
        <f aca="false">IF(BN1333&lt;&gt;"",VLOOKUP(BN1333,Selects!$J$4:$K$1000,2,0),"")</f>
        <v/>
      </c>
      <c r="CB1333" s="72" t="str">
        <f aca="false">IF(AC1333&lt;&gt;"",VLOOKUP(AC1333,Selects!$B:$E,4,0),"")</f>
        <v/>
      </c>
    </row>
    <row r="1334" customFormat="false" ht="15" hidden="true" customHeight="false" outlineLevel="0" collapsed="false">
      <c r="E1334" s="60" t="str">
        <f aca="false">IF(LEN(D1334)=11,"PF",IF(LEN(D1334)=14,"PJ",""))</f>
        <v/>
      </c>
      <c r="H1334" s="61" t="str">
        <f aca="false">IF(G1334&lt;&gt;"",VLOOKUP(G1334,'Cnae  mcc  id'!$A:$M,9,0),"")</f>
        <v/>
      </c>
      <c r="I1334" s="62"/>
      <c r="J1334" s="63" t="str">
        <f aca="false">IF(I1334&lt;&gt;"",VLOOKUP(I1334,'Legal Nature'!$E$2:$G$84,3,0),"")</f>
        <v/>
      </c>
      <c r="U1334" s="58" t="str">
        <f aca="false">IF( T1334&lt;&gt;"",VLOOKUP(T1334,Selects!$M$4:$N$1000,2,0),"")</f>
        <v/>
      </c>
      <c r="AD1334" s="72" t="str">
        <f aca="false">IF(AC1334&lt;&gt;"",VLOOKUP(AC1334,Selects!$B$4:$C$100,2,0),"")</f>
        <v/>
      </c>
      <c r="AG1334" s="59"/>
      <c r="AH1334" s="65"/>
      <c r="AJ1334" s="66"/>
      <c r="AK1334" s="58"/>
      <c r="AM1334" s="68" t="str">
        <f aca="false">IF(LEFT(AL1334,1)="9","Celular",IF(AL1334="","","Fixo"))</f>
        <v/>
      </c>
      <c r="AN1334" s="58" t="str">
        <f aca="false">IF( AM1334&lt;&gt;"",VLOOKUP(AM1334,Selects!$M$4:$N$1000,2,0),"")</f>
        <v/>
      </c>
      <c r="BB1334" s="72" t="str">
        <f aca="false">IF(BA1334&lt;&gt;"",VLOOKUP(BA1334,Selects!$B$4:$C$100,2,0),"")</f>
        <v/>
      </c>
      <c r="BG1334" s="75" t="str">
        <f aca="false">IF(LEN(BF1334)=11,"PF",IF(LEN(BF1334)=14,"PJ",""))</f>
        <v/>
      </c>
      <c r="BH1334" s="66"/>
      <c r="BI1334" s="58" t="str">
        <f aca="false">IF(BH1334&lt;&gt;"",VLOOKUP(BH1334,Selects!$G:$H,2,0),"")</f>
        <v/>
      </c>
      <c r="BN1334" s="58"/>
      <c r="BO1334" s="58" t="str">
        <f aca="false">IF(BN1334&lt;&gt;"",VLOOKUP(BN1334,Selects!$J$4:$K$1000,2,0),"")</f>
        <v/>
      </c>
      <c r="CB1334" s="72" t="str">
        <f aca="false">IF(AC1334&lt;&gt;"",VLOOKUP(AC1334,Selects!$B:$E,4,0),"")</f>
        <v/>
      </c>
    </row>
    <row r="1335" customFormat="false" ht="15" hidden="true" customHeight="false" outlineLevel="0" collapsed="false">
      <c r="E1335" s="60" t="str">
        <f aca="false">IF(LEN(D1335)=11,"PF",IF(LEN(D1335)=14,"PJ",""))</f>
        <v/>
      </c>
      <c r="H1335" s="61" t="str">
        <f aca="false">IF(G1335&lt;&gt;"",VLOOKUP(G1335,'Cnae  mcc  id'!$A:$M,9,0),"")</f>
        <v/>
      </c>
      <c r="I1335" s="62"/>
      <c r="J1335" s="63" t="str">
        <f aca="false">IF(I1335&lt;&gt;"",VLOOKUP(I1335,'Legal Nature'!$E$2:$G$84,3,0),"")</f>
        <v/>
      </c>
      <c r="U1335" s="58" t="str">
        <f aca="false">IF( T1335&lt;&gt;"",VLOOKUP(T1335,Selects!$M$4:$N$1000,2,0),"")</f>
        <v/>
      </c>
      <c r="AD1335" s="72" t="str">
        <f aca="false">IF(AC1335&lt;&gt;"",VLOOKUP(AC1335,Selects!$B$4:$C$100,2,0),"")</f>
        <v/>
      </c>
      <c r="AG1335" s="59"/>
      <c r="AH1335" s="65"/>
      <c r="AJ1335" s="66"/>
      <c r="AK1335" s="58"/>
      <c r="AM1335" s="68" t="str">
        <f aca="false">IF(LEFT(AL1335,1)="9","Celular",IF(AL1335="","","Fixo"))</f>
        <v/>
      </c>
      <c r="AN1335" s="58" t="str">
        <f aca="false">IF( AM1335&lt;&gt;"",VLOOKUP(AM1335,Selects!$M$4:$N$1000,2,0),"")</f>
        <v/>
      </c>
      <c r="BB1335" s="72" t="str">
        <f aca="false">IF(BA1335&lt;&gt;"",VLOOKUP(BA1335,Selects!$B$4:$C$100,2,0),"")</f>
        <v/>
      </c>
      <c r="BG1335" s="75" t="str">
        <f aca="false">IF(LEN(BF1335)=11,"PF",IF(LEN(BF1335)=14,"PJ",""))</f>
        <v/>
      </c>
      <c r="BH1335" s="66"/>
      <c r="BI1335" s="58" t="str">
        <f aca="false">IF(BH1335&lt;&gt;"",VLOOKUP(BH1335,Selects!$G:$H,2,0),"")</f>
        <v/>
      </c>
      <c r="BN1335" s="58"/>
      <c r="BO1335" s="58" t="str">
        <f aca="false">IF(BN1335&lt;&gt;"",VLOOKUP(BN1335,Selects!$J$4:$K$1000,2,0),"")</f>
        <v/>
      </c>
      <c r="CB1335" s="72" t="str">
        <f aca="false">IF(AC1335&lt;&gt;"",VLOOKUP(AC1335,Selects!$B:$E,4,0),"")</f>
        <v/>
      </c>
    </row>
    <row r="1336" customFormat="false" ht="15" hidden="true" customHeight="false" outlineLevel="0" collapsed="false">
      <c r="E1336" s="60" t="str">
        <f aca="false">IF(LEN(D1336)=11,"PF",IF(LEN(D1336)=14,"PJ",""))</f>
        <v/>
      </c>
      <c r="H1336" s="61" t="str">
        <f aca="false">IF(G1336&lt;&gt;"",VLOOKUP(G1336,'Cnae  mcc  id'!$A:$M,9,0),"")</f>
        <v/>
      </c>
      <c r="I1336" s="62"/>
      <c r="J1336" s="63" t="str">
        <f aca="false">IF(I1336&lt;&gt;"",VLOOKUP(I1336,'Legal Nature'!$E$2:$G$84,3,0),"")</f>
        <v/>
      </c>
      <c r="U1336" s="58" t="str">
        <f aca="false">IF( T1336&lt;&gt;"",VLOOKUP(T1336,Selects!$M$4:$N$1000,2,0),"")</f>
        <v/>
      </c>
      <c r="AD1336" s="72" t="str">
        <f aca="false">IF(AC1336&lt;&gt;"",VLOOKUP(AC1336,Selects!$B$4:$C$100,2,0),"")</f>
        <v/>
      </c>
      <c r="AG1336" s="59"/>
      <c r="AH1336" s="65"/>
      <c r="AJ1336" s="66"/>
      <c r="AK1336" s="58"/>
      <c r="AM1336" s="68" t="str">
        <f aca="false">IF(LEFT(AL1336,1)="9","Celular",IF(AL1336="","","Fixo"))</f>
        <v/>
      </c>
      <c r="AN1336" s="58" t="str">
        <f aca="false">IF( AM1336&lt;&gt;"",VLOOKUP(AM1336,Selects!$M$4:$N$1000,2,0),"")</f>
        <v/>
      </c>
      <c r="BB1336" s="72" t="str">
        <f aca="false">IF(BA1336&lt;&gt;"",VLOOKUP(BA1336,Selects!$B$4:$C$100,2,0),"")</f>
        <v/>
      </c>
      <c r="BG1336" s="75" t="str">
        <f aca="false">IF(LEN(BF1336)=11,"PF",IF(LEN(BF1336)=14,"PJ",""))</f>
        <v/>
      </c>
      <c r="BH1336" s="66"/>
      <c r="BI1336" s="58" t="str">
        <f aca="false">IF(BH1336&lt;&gt;"",VLOOKUP(BH1336,Selects!$G:$H,2,0),"")</f>
        <v/>
      </c>
      <c r="BN1336" s="58"/>
      <c r="BO1336" s="58" t="str">
        <f aca="false">IF(BN1336&lt;&gt;"",VLOOKUP(BN1336,Selects!$J$4:$K$1000,2,0),"")</f>
        <v/>
      </c>
      <c r="CB1336" s="72" t="str">
        <f aca="false">IF(AC1336&lt;&gt;"",VLOOKUP(AC1336,Selects!$B:$E,4,0),"")</f>
        <v/>
      </c>
    </row>
    <row r="1337" customFormat="false" ht="15" hidden="true" customHeight="false" outlineLevel="0" collapsed="false">
      <c r="E1337" s="60" t="str">
        <f aca="false">IF(LEN(D1337)=11,"PF",IF(LEN(D1337)=14,"PJ",""))</f>
        <v/>
      </c>
      <c r="H1337" s="61" t="str">
        <f aca="false">IF(G1337&lt;&gt;"",VLOOKUP(G1337,'Cnae  mcc  id'!$A:$M,9,0),"")</f>
        <v/>
      </c>
      <c r="I1337" s="62"/>
      <c r="J1337" s="63" t="str">
        <f aca="false">IF(I1337&lt;&gt;"",VLOOKUP(I1337,'Legal Nature'!$E$2:$G$84,3,0),"")</f>
        <v/>
      </c>
      <c r="U1337" s="58" t="str">
        <f aca="false">IF( T1337&lt;&gt;"",VLOOKUP(T1337,Selects!$M$4:$N$1000,2,0),"")</f>
        <v/>
      </c>
      <c r="AD1337" s="72" t="str">
        <f aca="false">IF(AC1337&lt;&gt;"",VLOOKUP(AC1337,Selects!$B$4:$C$100,2,0),"")</f>
        <v/>
      </c>
      <c r="AG1337" s="59"/>
      <c r="AH1337" s="65"/>
      <c r="AJ1337" s="66"/>
      <c r="AK1337" s="58"/>
      <c r="AM1337" s="68" t="str">
        <f aca="false">IF(LEFT(AL1337,1)="9","Celular",IF(AL1337="","","Fixo"))</f>
        <v/>
      </c>
      <c r="AN1337" s="58" t="str">
        <f aca="false">IF( AM1337&lt;&gt;"",VLOOKUP(AM1337,Selects!$M$4:$N$1000,2,0),"")</f>
        <v/>
      </c>
      <c r="BB1337" s="72" t="str">
        <f aca="false">IF(BA1337&lt;&gt;"",VLOOKUP(BA1337,Selects!$B$4:$C$100,2,0),"")</f>
        <v/>
      </c>
      <c r="BG1337" s="75" t="str">
        <f aca="false">IF(LEN(BF1337)=11,"PF",IF(LEN(BF1337)=14,"PJ",""))</f>
        <v/>
      </c>
      <c r="BH1337" s="66"/>
      <c r="BI1337" s="58" t="str">
        <f aca="false">IF(BH1337&lt;&gt;"",VLOOKUP(BH1337,Selects!$G:$H,2,0),"")</f>
        <v/>
      </c>
      <c r="BN1337" s="58"/>
      <c r="BO1337" s="58" t="str">
        <f aca="false">IF(BN1337&lt;&gt;"",VLOOKUP(BN1337,Selects!$J$4:$K$1000,2,0),"")</f>
        <v/>
      </c>
      <c r="CB1337" s="72" t="str">
        <f aca="false">IF(AC1337&lt;&gt;"",VLOOKUP(AC1337,Selects!$B:$E,4,0),"")</f>
        <v/>
      </c>
    </row>
    <row r="1338" customFormat="false" ht="15" hidden="true" customHeight="false" outlineLevel="0" collapsed="false">
      <c r="E1338" s="60" t="str">
        <f aca="false">IF(LEN(D1338)=11,"PF",IF(LEN(D1338)=14,"PJ",""))</f>
        <v/>
      </c>
      <c r="H1338" s="61" t="str">
        <f aca="false">IF(G1338&lt;&gt;"",VLOOKUP(G1338,'Cnae  mcc  id'!$A:$M,9,0),"")</f>
        <v/>
      </c>
      <c r="I1338" s="62"/>
      <c r="J1338" s="63" t="str">
        <f aca="false">IF(I1338&lt;&gt;"",VLOOKUP(I1338,'Legal Nature'!$E$2:$G$84,3,0),"")</f>
        <v/>
      </c>
      <c r="U1338" s="58" t="str">
        <f aca="false">IF( T1338&lt;&gt;"",VLOOKUP(T1338,Selects!$M$4:$N$1000,2,0),"")</f>
        <v/>
      </c>
      <c r="AD1338" s="72" t="str">
        <f aca="false">IF(AC1338&lt;&gt;"",VLOOKUP(AC1338,Selects!$B$4:$C$100,2,0),"")</f>
        <v/>
      </c>
      <c r="AG1338" s="59"/>
      <c r="AH1338" s="65"/>
      <c r="AJ1338" s="66"/>
      <c r="AK1338" s="58"/>
      <c r="AM1338" s="68" t="str">
        <f aca="false">IF(LEFT(AL1338,1)="9","Celular",IF(AL1338="","","Fixo"))</f>
        <v/>
      </c>
      <c r="AN1338" s="58" t="str">
        <f aca="false">IF( AM1338&lt;&gt;"",VLOOKUP(AM1338,Selects!$M$4:$N$1000,2,0),"")</f>
        <v/>
      </c>
      <c r="BB1338" s="72" t="str">
        <f aca="false">IF(BA1338&lt;&gt;"",VLOOKUP(BA1338,Selects!$B$4:$C$100,2,0),"")</f>
        <v/>
      </c>
      <c r="BG1338" s="75" t="str">
        <f aca="false">IF(LEN(BF1338)=11,"PF",IF(LEN(BF1338)=14,"PJ",""))</f>
        <v/>
      </c>
      <c r="BH1338" s="66"/>
      <c r="BI1338" s="58" t="str">
        <f aca="false">IF(BH1338&lt;&gt;"",VLOOKUP(BH1338,Selects!$G:$H,2,0),"")</f>
        <v/>
      </c>
      <c r="BN1338" s="58"/>
      <c r="BO1338" s="58" t="str">
        <f aca="false">IF(BN1338&lt;&gt;"",VLOOKUP(BN1338,Selects!$J$4:$K$1000,2,0),"")</f>
        <v/>
      </c>
      <c r="CB1338" s="72" t="str">
        <f aca="false">IF(AC1338&lt;&gt;"",VLOOKUP(AC1338,Selects!$B:$E,4,0),"")</f>
        <v/>
      </c>
    </row>
    <row r="1339" customFormat="false" ht="15" hidden="true" customHeight="false" outlineLevel="0" collapsed="false">
      <c r="E1339" s="60" t="str">
        <f aca="false">IF(LEN(D1339)=11,"PF",IF(LEN(D1339)=14,"PJ",""))</f>
        <v/>
      </c>
      <c r="H1339" s="61" t="str">
        <f aca="false">IF(G1339&lt;&gt;"",VLOOKUP(G1339,'Cnae  mcc  id'!$A:$M,9,0),"")</f>
        <v/>
      </c>
      <c r="I1339" s="62"/>
      <c r="J1339" s="63" t="str">
        <f aca="false">IF(I1339&lt;&gt;"",VLOOKUP(I1339,'Legal Nature'!$E$2:$G$84,3,0),"")</f>
        <v/>
      </c>
      <c r="U1339" s="58" t="str">
        <f aca="false">IF( T1339&lt;&gt;"",VLOOKUP(T1339,Selects!$M$4:$N$1000,2,0),"")</f>
        <v/>
      </c>
      <c r="AD1339" s="72" t="str">
        <f aca="false">IF(AC1339&lt;&gt;"",VLOOKUP(AC1339,Selects!$B$4:$C$100,2,0),"")</f>
        <v/>
      </c>
      <c r="AG1339" s="59"/>
      <c r="AH1339" s="65"/>
      <c r="AJ1339" s="66"/>
      <c r="AK1339" s="58"/>
      <c r="AM1339" s="68" t="str">
        <f aca="false">IF(LEFT(AL1339,1)="9","Celular",IF(AL1339="","","Fixo"))</f>
        <v/>
      </c>
      <c r="AN1339" s="58" t="str">
        <f aca="false">IF( AM1339&lt;&gt;"",VLOOKUP(AM1339,Selects!$M$4:$N$1000,2,0),"")</f>
        <v/>
      </c>
      <c r="BB1339" s="72" t="str">
        <f aca="false">IF(BA1339&lt;&gt;"",VLOOKUP(BA1339,Selects!$B$4:$C$100,2,0),"")</f>
        <v/>
      </c>
      <c r="BG1339" s="75" t="str">
        <f aca="false">IF(LEN(BF1339)=11,"PF",IF(LEN(BF1339)=14,"PJ",""))</f>
        <v/>
      </c>
      <c r="BH1339" s="66"/>
      <c r="BI1339" s="58" t="str">
        <f aca="false">IF(BH1339&lt;&gt;"",VLOOKUP(BH1339,Selects!$G:$H,2,0),"")</f>
        <v/>
      </c>
      <c r="BN1339" s="58"/>
      <c r="BO1339" s="58" t="str">
        <f aca="false">IF(BN1339&lt;&gt;"",VLOOKUP(BN1339,Selects!$J$4:$K$1000,2,0),"")</f>
        <v/>
      </c>
      <c r="CB1339" s="72" t="str">
        <f aca="false">IF(AC1339&lt;&gt;"",VLOOKUP(AC1339,Selects!$B:$E,4,0),"")</f>
        <v/>
      </c>
    </row>
    <row r="1340" customFormat="false" ht="15" hidden="true" customHeight="false" outlineLevel="0" collapsed="false">
      <c r="E1340" s="60" t="str">
        <f aca="false">IF(LEN(D1340)=11,"PF",IF(LEN(D1340)=14,"PJ",""))</f>
        <v/>
      </c>
      <c r="H1340" s="61" t="str">
        <f aca="false">IF(G1340&lt;&gt;"",VLOOKUP(G1340,'Cnae  mcc  id'!$A:$M,9,0),"")</f>
        <v/>
      </c>
      <c r="I1340" s="62"/>
      <c r="J1340" s="63" t="str">
        <f aca="false">IF(I1340&lt;&gt;"",VLOOKUP(I1340,'Legal Nature'!$E$2:$G$84,3,0),"")</f>
        <v/>
      </c>
      <c r="U1340" s="58" t="str">
        <f aca="false">IF( T1340&lt;&gt;"",VLOOKUP(T1340,Selects!$M$4:$N$1000,2,0),"")</f>
        <v/>
      </c>
      <c r="AD1340" s="72" t="str">
        <f aca="false">IF(AC1340&lt;&gt;"",VLOOKUP(AC1340,Selects!$B$4:$C$100,2,0),"")</f>
        <v/>
      </c>
      <c r="AG1340" s="59"/>
      <c r="AH1340" s="65"/>
      <c r="AJ1340" s="66"/>
      <c r="AK1340" s="58"/>
      <c r="AM1340" s="68" t="str">
        <f aca="false">IF(LEFT(AL1340,1)="9","Celular",IF(AL1340="","","Fixo"))</f>
        <v/>
      </c>
      <c r="AN1340" s="58" t="str">
        <f aca="false">IF( AM1340&lt;&gt;"",VLOOKUP(AM1340,Selects!$M$4:$N$1000,2,0),"")</f>
        <v/>
      </c>
      <c r="BB1340" s="72" t="str">
        <f aca="false">IF(BA1340&lt;&gt;"",VLOOKUP(BA1340,Selects!$B$4:$C$100,2,0),"")</f>
        <v/>
      </c>
      <c r="BG1340" s="75" t="str">
        <f aca="false">IF(LEN(BF1340)=11,"PF",IF(LEN(BF1340)=14,"PJ",""))</f>
        <v/>
      </c>
      <c r="BH1340" s="66"/>
      <c r="BI1340" s="58" t="str">
        <f aca="false">IF(BH1340&lt;&gt;"",VLOOKUP(BH1340,Selects!$G:$H,2,0),"")</f>
        <v/>
      </c>
      <c r="BN1340" s="58"/>
      <c r="BO1340" s="58" t="str">
        <f aca="false">IF(BN1340&lt;&gt;"",VLOOKUP(BN1340,Selects!$J$4:$K$1000,2,0),"")</f>
        <v/>
      </c>
      <c r="CB1340" s="72" t="str">
        <f aca="false">IF(AC1340&lt;&gt;"",VLOOKUP(AC1340,Selects!$B:$E,4,0),"")</f>
        <v/>
      </c>
    </row>
    <row r="1341" customFormat="false" ht="15" hidden="true" customHeight="false" outlineLevel="0" collapsed="false">
      <c r="E1341" s="60" t="str">
        <f aca="false">IF(LEN(D1341)=11,"PF",IF(LEN(D1341)=14,"PJ",""))</f>
        <v/>
      </c>
      <c r="H1341" s="61" t="str">
        <f aca="false">IF(G1341&lt;&gt;"",VLOOKUP(G1341,'Cnae  mcc  id'!$A:$M,9,0),"")</f>
        <v/>
      </c>
      <c r="I1341" s="62"/>
      <c r="J1341" s="63" t="str">
        <f aca="false">IF(I1341&lt;&gt;"",VLOOKUP(I1341,'Legal Nature'!$E$2:$G$84,3,0),"")</f>
        <v/>
      </c>
      <c r="U1341" s="58" t="str">
        <f aca="false">IF( T1341&lt;&gt;"",VLOOKUP(T1341,Selects!$M$4:$N$1000,2,0),"")</f>
        <v/>
      </c>
      <c r="AD1341" s="72" t="str">
        <f aca="false">IF(AC1341&lt;&gt;"",VLOOKUP(AC1341,Selects!$B$4:$C$100,2,0),"")</f>
        <v/>
      </c>
      <c r="AG1341" s="59"/>
      <c r="AH1341" s="65"/>
      <c r="AJ1341" s="66"/>
      <c r="AK1341" s="58"/>
      <c r="AM1341" s="68" t="str">
        <f aca="false">IF(LEFT(AL1341,1)="9","Celular",IF(AL1341="","","Fixo"))</f>
        <v/>
      </c>
      <c r="AN1341" s="58" t="str">
        <f aca="false">IF( AM1341&lt;&gt;"",VLOOKUP(AM1341,Selects!$M$4:$N$1000,2,0),"")</f>
        <v/>
      </c>
      <c r="BB1341" s="72" t="str">
        <f aca="false">IF(BA1341&lt;&gt;"",VLOOKUP(BA1341,Selects!$B$4:$C$100,2,0),"")</f>
        <v/>
      </c>
      <c r="BG1341" s="75" t="str">
        <f aca="false">IF(LEN(BF1341)=11,"PF",IF(LEN(BF1341)=14,"PJ",""))</f>
        <v/>
      </c>
      <c r="BH1341" s="66"/>
      <c r="BI1341" s="58" t="str">
        <f aca="false">IF(BH1341&lt;&gt;"",VLOOKUP(BH1341,Selects!$G:$H,2,0),"")</f>
        <v/>
      </c>
      <c r="BN1341" s="58"/>
      <c r="BO1341" s="58" t="str">
        <f aca="false">IF(BN1341&lt;&gt;"",VLOOKUP(BN1341,Selects!$J$4:$K$1000,2,0),"")</f>
        <v/>
      </c>
      <c r="CB1341" s="72" t="str">
        <f aca="false">IF(AC1341&lt;&gt;"",VLOOKUP(AC1341,Selects!$B:$E,4,0),"")</f>
        <v/>
      </c>
    </row>
    <row r="1342" customFormat="false" ht="15" hidden="true" customHeight="false" outlineLevel="0" collapsed="false">
      <c r="E1342" s="60" t="str">
        <f aca="false">IF(LEN(D1342)=11,"PF",IF(LEN(D1342)=14,"PJ",""))</f>
        <v/>
      </c>
      <c r="H1342" s="61" t="str">
        <f aca="false">IF(G1342&lt;&gt;"",VLOOKUP(G1342,'Cnae  mcc  id'!$A:$M,9,0),"")</f>
        <v/>
      </c>
      <c r="I1342" s="62"/>
      <c r="J1342" s="63" t="str">
        <f aca="false">IF(I1342&lt;&gt;"",VLOOKUP(I1342,'Legal Nature'!$E$2:$G$84,3,0),"")</f>
        <v/>
      </c>
      <c r="U1342" s="58" t="str">
        <f aca="false">IF( T1342&lt;&gt;"",VLOOKUP(T1342,Selects!$M$4:$N$1000,2,0),"")</f>
        <v/>
      </c>
      <c r="AD1342" s="72" t="str">
        <f aca="false">IF(AC1342&lt;&gt;"",VLOOKUP(AC1342,Selects!$B$4:$C$100,2,0),"")</f>
        <v/>
      </c>
      <c r="AG1342" s="59"/>
      <c r="AH1342" s="65"/>
      <c r="AJ1342" s="66"/>
      <c r="AK1342" s="58"/>
      <c r="AM1342" s="68" t="str">
        <f aca="false">IF(LEFT(AL1342,1)="9","Celular",IF(AL1342="","","Fixo"))</f>
        <v/>
      </c>
      <c r="AN1342" s="58" t="str">
        <f aca="false">IF( AM1342&lt;&gt;"",VLOOKUP(AM1342,Selects!$M$4:$N$1000,2,0),"")</f>
        <v/>
      </c>
      <c r="BB1342" s="72" t="str">
        <f aca="false">IF(BA1342&lt;&gt;"",VLOOKUP(BA1342,Selects!$B$4:$C$100,2,0),"")</f>
        <v/>
      </c>
      <c r="BG1342" s="75" t="str">
        <f aca="false">IF(LEN(BF1342)=11,"PF",IF(LEN(BF1342)=14,"PJ",""))</f>
        <v/>
      </c>
      <c r="BH1342" s="66"/>
      <c r="BI1342" s="58" t="str">
        <f aca="false">IF(BH1342&lt;&gt;"",VLOOKUP(BH1342,Selects!$G:$H,2,0),"")</f>
        <v/>
      </c>
      <c r="BN1342" s="58"/>
      <c r="BO1342" s="58" t="str">
        <f aca="false">IF(BN1342&lt;&gt;"",VLOOKUP(BN1342,Selects!$J$4:$K$1000,2,0),"")</f>
        <v/>
      </c>
      <c r="CB1342" s="72" t="str">
        <f aca="false">IF(AC1342&lt;&gt;"",VLOOKUP(AC1342,Selects!$B:$E,4,0),"")</f>
        <v/>
      </c>
    </row>
    <row r="1343" customFormat="false" ht="15" hidden="true" customHeight="false" outlineLevel="0" collapsed="false">
      <c r="E1343" s="60" t="str">
        <f aca="false">IF(LEN(D1343)=11,"PF",IF(LEN(D1343)=14,"PJ",""))</f>
        <v/>
      </c>
      <c r="H1343" s="61" t="str">
        <f aca="false">IF(G1343&lt;&gt;"",VLOOKUP(G1343,'Cnae  mcc  id'!$A:$M,9,0),"")</f>
        <v/>
      </c>
      <c r="I1343" s="62"/>
      <c r="J1343" s="63" t="str">
        <f aca="false">IF(I1343&lt;&gt;"",VLOOKUP(I1343,'Legal Nature'!$E$2:$G$84,3,0),"")</f>
        <v/>
      </c>
      <c r="U1343" s="58" t="str">
        <f aca="false">IF( T1343&lt;&gt;"",VLOOKUP(T1343,Selects!$M$4:$N$1000,2,0),"")</f>
        <v/>
      </c>
      <c r="AD1343" s="72" t="str">
        <f aca="false">IF(AC1343&lt;&gt;"",VLOOKUP(AC1343,Selects!$B$4:$C$100,2,0),"")</f>
        <v/>
      </c>
      <c r="AG1343" s="59"/>
      <c r="AH1343" s="65"/>
      <c r="AJ1343" s="66"/>
      <c r="AK1343" s="58"/>
      <c r="AM1343" s="68" t="str">
        <f aca="false">IF(LEFT(AL1343,1)="9","Celular",IF(AL1343="","","Fixo"))</f>
        <v/>
      </c>
      <c r="AN1343" s="58" t="str">
        <f aca="false">IF( AM1343&lt;&gt;"",VLOOKUP(AM1343,Selects!$M$4:$N$1000,2,0),"")</f>
        <v/>
      </c>
      <c r="BB1343" s="72" t="str">
        <f aca="false">IF(BA1343&lt;&gt;"",VLOOKUP(BA1343,Selects!$B$4:$C$100,2,0),"")</f>
        <v/>
      </c>
      <c r="BG1343" s="75" t="str">
        <f aca="false">IF(LEN(BF1343)=11,"PF",IF(LEN(BF1343)=14,"PJ",""))</f>
        <v/>
      </c>
      <c r="BH1343" s="66"/>
      <c r="BI1343" s="58" t="str">
        <f aca="false">IF(BH1343&lt;&gt;"",VLOOKUP(BH1343,Selects!$G:$H,2,0),"")</f>
        <v/>
      </c>
      <c r="BN1343" s="58"/>
      <c r="BO1343" s="58" t="str">
        <f aca="false">IF(BN1343&lt;&gt;"",VLOOKUP(BN1343,Selects!$J$4:$K$1000,2,0),"")</f>
        <v/>
      </c>
      <c r="CB1343" s="72" t="str">
        <f aca="false">IF(AC1343&lt;&gt;"",VLOOKUP(AC1343,Selects!$B:$E,4,0),"")</f>
        <v/>
      </c>
    </row>
    <row r="1344" customFormat="false" ht="15" hidden="true" customHeight="false" outlineLevel="0" collapsed="false">
      <c r="E1344" s="60" t="str">
        <f aca="false">IF(LEN(D1344)=11,"PF",IF(LEN(D1344)=14,"PJ",""))</f>
        <v/>
      </c>
      <c r="H1344" s="61" t="str">
        <f aca="false">IF(G1344&lt;&gt;"",VLOOKUP(G1344,'Cnae  mcc  id'!$A:$M,9,0),"")</f>
        <v/>
      </c>
      <c r="I1344" s="62"/>
      <c r="J1344" s="63" t="str">
        <f aca="false">IF(I1344&lt;&gt;"",VLOOKUP(I1344,'Legal Nature'!$E$2:$G$84,3,0),"")</f>
        <v/>
      </c>
      <c r="U1344" s="58" t="str">
        <f aca="false">IF( T1344&lt;&gt;"",VLOOKUP(T1344,Selects!$M$4:$N$1000,2,0),"")</f>
        <v/>
      </c>
      <c r="AD1344" s="72" t="str">
        <f aca="false">IF(AC1344&lt;&gt;"",VLOOKUP(AC1344,Selects!$B$4:$C$100,2,0),"")</f>
        <v/>
      </c>
      <c r="AG1344" s="59"/>
      <c r="AH1344" s="65"/>
      <c r="AJ1344" s="66"/>
      <c r="AK1344" s="58"/>
      <c r="AM1344" s="68" t="str">
        <f aca="false">IF(LEFT(AL1344,1)="9","Celular",IF(AL1344="","","Fixo"))</f>
        <v/>
      </c>
      <c r="AN1344" s="58" t="str">
        <f aca="false">IF( AM1344&lt;&gt;"",VLOOKUP(AM1344,Selects!$M$4:$N$1000,2,0),"")</f>
        <v/>
      </c>
      <c r="BB1344" s="72" t="str">
        <f aca="false">IF(BA1344&lt;&gt;"",VLOOKUP(BA1344,Selects!$B$4:$C$100,2,0),"")</f>
        <v/>
      </c>
      <c r="BG1344" s="75" t="str">
        <f aca="false">IF(LEN(BF1344)=11,"PF",IF(LEN(BF1344)=14,"PJ",""))</f>
        <v/>
      </c>
      <c r="BH1344" s="66"/>
      <c r="BI1344" s="58" t="str">
        <f aca="false">IF(BH1344&lt;&gt;"",VLOOKUP(BH1344,Selects!$G:$H,2,0),"")</f>
        <v/>
      </c>
      <c r="BN1344" s="58"/>
      <c r="BO1344" s="58" t="str">
        <f aca="false">IF(BN1344&lt;&gt;"",VLOOKUP(BN1344,Selects!$J$4:$K$1000,2,0),"")</f>
        <v/>
      </c>
      <c r="CB1344" s="72" t="str">
        <f aca="false">IF(AC1344&lt;&gt;"",VLOOKUP(AC1344,Selects!$B:$E,4,0),"")</f>
        <v/>
      </c>
    </row>
    <row r="1345" customFormat="false" ht="15" hidden="true" customHeight="false" outlineLevel="0" collapsed="false">
      <c r="E1345" s="60" t="str">
        <f aca="false">IF(LEN(D1345)=11,"PF",IF(LEN(D1345)=14,"PJ",""))</f>
        <v/>
      </c>
      <c r="H1345" s="61" t="str">
        <f aca="false">IF(G1345&lt;&gt;"",VLOOKUP(G1345,'Cnae  mcc  id'!$A:$M,9,0),"")</f>
        <v/>
      </c>
      <c r="I1345" s="62"/>
      <c r="J1345" s="63" t="str">
        <f aca="false">IF(I1345&lt;&gt;"",VLOOKUP(I1345,'Legal Nature'!$E$2:$G$84,3,0),"")</f>
        <v/>
      </c>
      <c r="U1345" s="58" t="str">
        <f aca="false">IF( T1345&lt;&gt;"",VLOOKUP(T1345,Selects!$M$4:$N$1000,2,0),"")</f>
        <v/>
      </c>
      <c r="AD1345" s="72" t="str">
        <f aca="false">IF(AC1345&lt;&gt;"",VLOOKUP(AC1345,Selects!$B$4:$C$100,2,0),"")</f>
        <v/>
      </c>
      <c r="AG1345" s="59"/>
      <c r="AH1345" s="65"/>
      <c r="AJ1345" s="66"/>
      <c r="AK1345" s="58"/>
      <c r="AM1345" s="68" t="str">
        <f aca="false">IF(LEFT(AL1345,1)="9","Celular",IF(AL1345="","","Fixo"))</f>
        <v/>
      </c>
      <c r="AN1345" s="58" t="str">
        <f aca="false">IF( AM1345&lt;&gt;"",VLOOKUP(AM1345,Selects!$M$4:$N$1000,2,0),"")</f>
        <v/>
      </c>
      <c r="BB1345" s="72" t="str">
        <f aca="false">IF(BA1345&lt;&gt;"",VLOOKUP(BA1345,Selects!$B$4:$C$100,2,0),"")</f>
        <v/>
      </c>
      <c r="BG1345" s="75" t="str">
        <f aca="false">IF(LEN(BF1345)=11,"PF",IF(LEN(BF1345)=14,"PJ",""))</f>
        <v/>
      </c>
      <c r="BH1345" s="66"/>
      <c r="BI1345" s="58" t="str">
        <f aca="false">IF(BH1345&lt;&gt;"",VLOOKUP(BH1345,Selects!$G:$H,2,0),"")</f>
        <v/>
      </c>
      <c r="BN1345" s="58"/>
      <c r="BO1345" s="58" t="str">
        <f aca="false">IF(BN1345&lt;&gt;"",VLOOKUP(BN1345,Selects!$J$4:$K$1000,2,0),"")</f>
        <v/>
      </c>
      <c r="CB1345" s="72" t="str">
        <f aca="false">IF(AC1345&lt;&gt;"",VLOOKUP(AC1345,Selects!$B:$E,4,0),"")</f>
        <v/>
      </c>
    </row>
    <row r="1346" customFormat="false" ht="15" hidden="true" customHeight="false" outlineLevel="0" collapsed="false">
      <c r="E1346" s="60" t="str">
        <f aca="false">IF(LEN(D1346)=11,"PF",IF(LEN(D1346)=14,"PJ",""))</f>
        <v/>
      </c>
      <c r="H1346" s="61" t="str">
        <f aca="false">IF(G1346&lt;&gt;"",VLOOKUP(G1346,'Cnae  mcc  id'!$A:$M,9,0),"")</f>
        <v/>
      </c>
      <c r="I1346" s="62"/>
      <c r="J1346" s="63" t="str">
        <f aca="false">IF(I1346&lt;&gt;"",VLOOKUP(I1346,'Legal Nature'!$E$2:$G$84,3,0),"")</f>
        <v/>
      </c>
      <c r="U1346" s="58" t="str">
        <f aca="false">IF( T1346&lt;&gt;"",VLOOKUP(T1346,Selects!$M$4:$N$1000,2,0),"")</f>
        <v/>
      </c>
      <c r="AD1346" s="72" t="str">
        <f aca="false">IF(AC1346&lt;&gt;"",VLOOKUP(AC1346,Selects!$B$4:$C$100,2,0),"")</f>
        <v/>
      </c>
      <c r="AG1346" s="59"/>
      <c r="AH1346" s="65"/>
      <c r="AJ1346" s="66"/>
      <c r="AK1346" s="58"/>
      <c r="AM1346" s="68" t="str">
        <f aca="false">IF(LEFT(AL1346,1)="9","Celular",IF(AL1346="","","Fixo"))</f>
        <v/>
      </c>
      <c r="AN1346" s="58" t="str">
        <f aca="false">IF( AM1346&lt;&gt;"",VLOOKUP(AM1346,Selects!$M$4:$N$1000,2,0),"")</f>
        <v/>
      </c>
      <c r="BB1346" s="72" t="str">
        <f aca="false">IF(BA1346&lt;&gt;"",VLOOKUP(BA1346,Selects!$B$4:$C$100,2,0),"")</f>
        <v/>
      </c>
      <c r="BG1346" s="75" t="str">
        <f aca="false">IF(LEN(BF1346)=11,"PF",IF(LEN(BF1346)=14,"PJ",""))</f>
        <v/>
      </c>
      <c r="BH1346" s="66"/>
      <c r="BI1346" s="58" t="str">
        <f aca="false">IF(BH1346&lt;&gt;"",VLOOKUP(BH1346,Selects!$G:$H,2,0),"")</f>
        <v/>
      </c>
      <c r="BN1346" s="58"/>
      <c r="BO1346" s="58" t="str">
        <f aca="false">IF(BN1346&lt;&gt;"",VLOOKUP(BN1346,Selects!$J$4:$K$1000,2,0),"")</f>
        <v/>
      </c>
      <c r="CB1346" s="72" t="str">
        <f aca="false">IF(AC1346&lt;&gt;"",VLOOKUP(AC1346,Selects!$B:$E,4,0),"")</f>
        <v/>
      </c>
    </row>
    <row r="1347" customFormat="false" ht="15" hidden="true" customHeight="false" outlineLevel="0" collapsed="false">
      <c r="E1347" s="60" t="str">
        <f aca="false">IF(LEN(D1347)=11,"PF",IF(LEN(D1347)=14,"PJ",""))</f>
        <v/>
      </c>
      <c r="H1347" s="61" t="str">
        <f aca="false">IF(G1347&lt;&gt;"",VLOOKUP(G1347,'Cnae  mcc  id'!$A:$M,9,0),"")</f>
        <v/>
      </c>
      <c r="I1347" s="62"/>
      <c r="J1347" s="63" t="str">
        <f aca="false">IF(I1347&lt;&gt;"",VLOOKUP(I1347,'Legal Nature'!$E$2:$G$84,3,0),"")</f>
        <v/>
      </c>
      <c r="U1347" s="58" t="str">
        <f aca="false">IF( T1347&lt;&gt;"",VLOOKUP(T1347,Selects!$M$4:$N$1000,2,0),"")</f>
        <v/>
      </c>
      <c r="AD1347" s="72" t="str">
        <f aca="false">IF(AC1347&lt;&gt;"",VLOOKUP(AC1347,Selects!$B$4:$C$100,2,0),"")</f>
        <v/>
      </c>
      <c r="AG1347" s="59"/>
      <c r="AH1347" s="65"/>
      <c r="AJ1347" s="66"/>
      <c r="AK1347" s="58"/>
      <c r="AM1347" s="68" t="str">
        <f aca="false">IF(LEFT(AL1347,1)="9","Celular",IF(AL1347="","","Fixo"))</f>
        <v/>
      </c>
      <c r="AN1347" s="58" t="str">
        <f aca="false">IF( AM1347&lt;&gt;"",VLOOKUP(AM1347,Selects!$M$4:$N$1000,2,0),"")</f>
        <v/>
      </c>
      <c r="BB1347" s="72" t="str">
        <f aca="false">IF(BA1347&lt;&gt;"",VLOOKUP(BA1347,Selects!$B$4:$C$100,2,0),"")</f>
        <v/>
      </c>
      <c r="BG1347" s="75" t="str">
        <f aca="false">IF(LEN(BF1347)=11,"PF",IF(LEN(BF1347)=14,"PJ",""))</f>
        <v/>
      </c>
      <c r="BH1347" s="66"/>
      <c r="BI1347" s="58" t="str">
        <f aca="false">IF(BH1347&lt;&gt;"",VLOOKUP(BH1347,Selects!$G:$H,2,0),"")</f>
        <v/>
      </c>
      <c r="BN1347" s="58"/>
      <c r="BO1347" s="58" t="str">
        <f aca="false">IF(BN1347&lt;&gt;"",VLOOKUP(BN1347,Selects!$J$4:$K$1000,2,0),"")</f>
        <v/>
      </c>
      <c r="CB1347" s="72" t="str">
        <f aca="false">IF(AC1347&lt;&gt;"",VLOOKUP(AC1347,Selects!$B:$E,4,0),"")</f>
        <v/>
      </c>
    </row>
    <row r="1348" customFormat="false" ht="15" hidden="true" customHeight="false" outlineLevel="0" collapsed="false">
      <c r="E1348" s="60" t="str">
        <f aca="false">IF(LEN(D1348)=11,"PF",IF(LEN(D1348)=14,"PJ",""))</f>
        <v/>
      </c>
      <c r="H1348" s="61" t="str">
        <f aca="false">IF(G1348&lt;&gt;"",VLOOKUP(G1348,'Cnae  mcc  id'!$A:$M,9,0),"")</f>
        <v/>
      </c>
      <c r="I1348" s="62"/>
      <c r="J1348" s="63" t="str">
        <f aca="false">IF(I1348&lt;&gt;"",VLOOKUP(I1348,'Legal Nature'!$E$2:$G$84,3,0),"")</f>
        <v/>
      </c>
      <c r="U1348" s="58" t="str">
        <f aca="false">IF( T1348&lt;&gt;"",VLOOKUP(T1348,Selects!$M$4:$N$1000,2,0),"")</f>
        <v/>
      </c>
      <c r="AD1348" s="72" t="str">
        <f aca="false">IF(AC1348&lt;&gt;"",VLOOKUP(AC1348,Selects!$B$4:$C$100,2,0),"")</f>
        <v/>
      </c>
      <c r="AG1348" s="59"/>
      <c r="AH1348" s="65"/>
      <c r="AJ1348" s="66"/>
      <c r="AK1348" s="58"/>
      <c r="AM1348" s="68" t="str">
        <f aca="false">IF(LEFT(AL1348,1)="9","Celular",IF(AL1348="","","Fixo"))</f>
        <v/>
      </c>
      <c r="AN1348" s="58" t="str">
        <f aca="false">IF( AM1348&lt;&gt;"",VLOOKUP(AM1348,Selects!$M$4:$N$1000,2,0),"")</f>
        <v/>
      </c>
      <c r="BB1348" s="72" t="str">
        <f aca="false">IF(BA1348&lt;&gt;"",VLOOKUP(BA1348,Selects!$B$4:$C$100,2,0),"")</f>
        <v/>
      </c>
      <c r="BG1348" s="75" t="str">
        <f aca="false">IF(LEN(BF1348)=11,"PF",IF(LEN(BF1348)=14,"PJ",""))</f>
        <v/>
      </c>
      <c r="BH1348" s="66"/>
      <c r="BI1348" s="58" t="str">
        <f aca="false">IF(BH1348&lt;&gt;"",VLOOKUP(BH1348,Selects!$G:$H,2,0),"")</f>
        <v/>
      </c>
      <c r="BN1348" s="58"/>
      <c r="BO1348" s="58" t="str">
        <f aca="false">IF(BN1348&lt;&gt;"",VLOOKUP(BN1348,Selects!$J$4:$K$1000,2,0),"")</f>
        <v/>
      </c>
      <c r="CB1348" s="72" t="str">
        <f aca="false">IF(AC1348&lt;&gt;"",VLOOKUP(AC1348,Selects!$B:$E,4,0),"")</f>
        <v/>
      </c>
    </row>
    <row r="1349" customFormat="false" ht="15" hidden="true" customHeight="false" outlineLevel="0" collapsed="false">
      <c r="E1349" s="60" t="str">
        <f aca="false">IF(LEN(D1349)=11,"PF",IF(LEN(D1349)=14,"PJ",""))</f>
        <v/>
      </c>
      <c r="H1349" s="61" t="str">
        <f aca="false">IF(G1349&lt;&gt;"",VLOOKUP(G1349,'Cnae  mcc  id'!$A:$M,9,0),"")</f>
        <v/>
      </c>
      <c r="I1349" s="62"/>
      <c r="J1349" s="63" t="str">
        <f aca="false">IF(I1349&lt;&gt;"",VLOOKUP(I1349,'Legal Nature'!$E$2:$G$84,3,0),"")</f>
        <v/>
      </c>
      <c r="U1349" s="58" t="str">
        <f aca="false">IF( T1349&lt;&gt;"",VLOOKUP(T1349,Selects!$M$4:$N$1000,2,0),"")</f>
        <v/>
      </c>
      <c r="AD1349" s="72" t="str">
        <f aca="false">IF(AC1349&lt;&gt;"",VLOOKUP(AC1349,Selects!$B$4:$C$100,2,0),"")</f>
        <v/>
      </c>
      <c r="AG1349" s="59"/>
      <c r="AH1349" s="65"/>
      <c r="AJ1349" s="66"/>
      <c r="AK1349" s="58"/>
      <c r="AM1349" s="68" t="str">
        <f aca="false">IF(LEFT(AL1349,1)="9","Celular",IF(AL1349="","","Fixo"))</f>
        <v/>
      </c>
      <c r="AN1349" s="58" t="str">
        <f aca="false">IF( AM1349&lt;&gt;"",VLOOKUP(AM1349,Selects!$M$4:$N$1000,2,0),"")</f>
        <v/>
      </c>
      <c r="BB1349" s="72" t="str">
        <f aca="false">IF(BA1349&lt;&gt;"",VLOOKUP(BA1349,Selects!$B$4:$C$100,2,0),"")</f>
        <v/>
      </c>
      <c r="BG1349" s="75" t="str">
        <f aca="false">IF(LEN(BF1349)=11,"PF",IF(LEN(BF1349)=14,"PJ",""))</f>
        <v/>
      </c>
      <c r="BH1349" s="66"/>
      <c r="BI1349" s="58" t="str">
        <f aca="false">IF(BH1349&lt;&gt;"",VLOOKUP(BH1349,Selects!$G:$H,2,0),"")</f>
        <v/>
      </c>
      <c r="BN1349" s="58"/>
      <c r="BO1349" s="58" t="str">
        <f aca="false">IF(BN1349&lt;&gt;"",VLOOKUP(BN1349,Selects!$J$4:$K$1000,2,0),"")</f>
        <v/>
      </c>
      <c r="CB1349" s="72" t="str">
        <f aca="false">IF(AC1349&lt;&gt;"",VLOOKUP(AC1349,Selects!$B:$E,4,0),"")</f>
        <v/>
      </c>
    </row>
    <row r="1350" customFormat="false" ht="15" hidden="true" customHeight="false" outlineLevel="0" collapsed="false">
      <c r="E1350" s="60" t="str">
        <f aca="false">IF(LEN(D1350)=11,"PF",IF(LEN(D1350)=14,"PJ",""))</f>
        <v/>
      </c>
      <c r="H1350" s="61" t="str">
        <f aca="false">IF(G1350&lt;&gt;"",VLOOKUP(G1350,'Cnae  mcc  id'!$A:$M,9,0),"")</f>
        <v/>
      </c>
      <c r="I1350" s="62"/>
      <c r="J1350" s="63" t="str">
        <f aca="false">IF(I1350&lt;&gt;"",VLOOKUP(I1350,'Legal Nature'!$E$2:$G$84,3,0),"")</f>
        <v/>
      </c>
      <c r="U1350" s="58" t="str">
        <f aca="false">IF( T1350&lt;&gt;"",VLOOKUP(T1350,Selects!$M$4:$N$1000,2,0),"")</f>
        <v/>
      </c>
      <c r="AD1350" s="72" t="str">
        <f aca="false">IF(AC1350&lt;&gt;"",VLOOKUP(AC1350,Selects!$B$4:$C$100,2,0),"")</f>
        <v/>
      </c>
      <c r="AG1350" s="59"/>
      <c r="AH1350" s="65"/>
      <c r="AJ1350" s="66"/>
      <c r="AK1350" s="58"/>
      <c r="AM1350" s="68" t="str">
        <f aca="false">IF(LEFT(AL1350,1)="9","Celular",IF(AL1350="","","Fixo"))</f>
        <v/>
      </c>
      <c r="AN1350" s="58" t="str">
        <f aca="false">IF( AM1350&lt;&gt;"",VLOOKUP(AM1350,Selects!$M$4:$N$1000,2,0),"")</f>
        <v/>
      </c>
      <c r="BB1350" s="72" t="str">
        <f aca="false">IF(BA1350&lt;&gt;"",VLOOKUP(BA1350,Selects!$B$4:$C$100,2,0),"")</f>
        <v/>
      </c>
      <c r="BG1350" s="75" t="str">
        <f aca="false">IF(LEN(BF1350)=11,"PF",IF(LEN(BF1350)=14,"PJ",""))</f>
        <v/>
      </c>
      <c r="BH1350" s="66"/>
      <c r="BI1350" s="58" t="str">
        <f aca="false">IF(BH1350&lt;&gt;"",VLOOKUP(BH1350,Selects!$G:$H,2,0),"")</f>
        <v/>
      </c>
      <c r="BN1350" s="58"/>
      <c r="BO1350" s="58" t="str">
        <f aca="false">IF(BN1350&lt;&gt;"",VLOOKUP(BN1350,Selects!$J$4:$K$1000,2,0),"")</f>
        <v/>
      </c>
      <c r="CB1350" s="72" t="str">
        <f aca="false">IF(AC1350&lt;&gt;"",VLOOKUP(AC1350,Selects!$B:$E,4,0),"")</f>
        <v/>
      </c>
    </row>
    <row r="1351" customFormat="false" ht="15" hidden="true" customHeight="false" outlineLevel="0" collapsed="false">
      <c r="E1351" s="60" t="str">
        <f aca="false">IF(LEN(D1351)=11,"PF",IF(LEN(D1351)=14,"PJ",""))</f>
        <v/>
      </c>
      <c r="H1351" s="61" t="str">
        <f aca="false">IF(G1351&lt;&gt;"",VLOOKUP(G1351,'Cnae  mcc  id'!$A:$M,9,0),"")</f>
        <v/>
      </c>
      <c r="I1351" s="62"/>
      <c r="J1351" s="63" t="str">
        <f aca="false">IF(I1351&lt;&gt;"",VLOOKUP(I1351,'Legal Nature'!$E$2:$G$84,3,0),"")</f>
        <v/>
      </c>
      <c r="U1351" s="58" t="str">
        <f aca="false">IF( T1351&lt;&gt;"",VLOOKUP(T1351,Selects!$M$4:$N$1000,2,0),"")</f>
        <v/>
      </c>
      <c r="AD1351" s="72" t="str">
        <f aca="false">IF(AC1351&lt;&gt;"",VLOOKUP(AC1351,Selects!$B$4:$C$100,2,0),"")</f>
        <v/>
      </c>
      <c r="AG1351" s="59"/>
      <c r="AH1351" s="65"/>
      <c r="AJ1351" s="66"/>
      <c r="AK1351" s="58"/>
      <c r="AM1351" s="68" t="str">
        <f aca="false">IF(LEFT(AL1351,1)="9","Celular",IF(AL1351="","","Fixo"))</f>
        <v/>
      </c>
      <c r="AN1351" s="58" t="str">
        <f aca="false">IF( AM1351&lt;&gt;"",VLOOKUP(AM1351,Selects!$M$4:$N$1000,2,0),"")</f>
        <v/>
      </c>
      <c r="BB1351" s="72" t="str">
        <f aca="false">IF(BA1351&lt;&gt;"",VLOOKUP(BA1351,Selects!$B$4:$C$100,2,0),"")</f>
        <v/>
      </c>
      <c r="BG1351" s="75" t="str">
        <f aca="false">IF(LEN(BF1351)=11,"PF",IF(LEN(BF1351)=14,"PJ",""))</f>
        <v/>
      </c>
      <c r="BH1351" s="66"/>
      <c r="BI1351" s="58" t="str">
        <f aca="false">IF(BH1351&lt;&gt;"",VLOOKUP(BH1351,Selects!$G:$H,2,0),"")</f>
        <v/>
      </c>
      <c r="BN1351" s="58"/>
      <c r="BO1351" s="58" t="str">
        <f aca="false">IF(BN1351&lt;&gt;"",VLOOKUP(BN1351,Selects!$J$4:$K$1000,2,0),"")</f>
        <v/>
      </c>
      <c r="CB1351" s="72" t="str">
        <f aca="false">IF(AC1351&lt;&gt;"",VLOOKUP(AC1351,Selects!$B:$E,4,0),"")</f>
        <v/>
      </c>
    </row>
    <row r="1352" customFormat="false" ht="15" hidden="true" customHeight="false" outlineLevel="0" collapsed="false">
      <c r="E1352" s="60" t="str">
        <f aca="false">IF(LEN(D1352)=11,"PF",IF(LEN(D1352)=14,"PJ",""))</f>
        <v/>
      </c>
      <c r="H1352" s="61" t="str">
        <f aca="false">IF(G1352&lt;&gt;"",VLOOKUP(G1352,'Cnae  mcc  id'!$A:$M,9,0),"")</f>
        <v/>
      </c>
      <c r="I1352" s="62"/>
      <c r="J1352" s="63" t="str">
        <f aca="false">IF(I1352&lt;&gt;"",VLOOKUP(I1352,'Legal Nature'!$E$2:$G$84,3,0),"")</f>
        <v/>
      </c>
      <c r="U1352" s="58" t="str">
        <f aca="false">IF( T1352&lt;&gt;"",VLOOKUP(T1352,Selects!$M$4:$N$1000,2,0),"")</f>
        <v/>
      </c>
      <c r="AD1352" s="72" t="str">
        <f aca="false">IF(AC1352&lt;&gt;"",VLOOKUP(AC1352,Selects!$B$4:$C$100,2,0),"")</f>
        <v/>
      </c>
      <c r="AG1352" s="59"/>
      <c r="AH1352" s="65"/>
      <c r="AJ1352" s="66"/>
      <c r="AK1352" s="58"/>
      <c r="AM1352" s="68" t="str">
        <f aca="false">IF(LEFT(AL1352,1)="9","Celular",IF(AL1352="","","Fixo"))</f>
        <v/>
      </c>
      <c r="AN1352" s="58" t="str">
        <f aca="false">IF( AM1352&lt;&gt;"",VLOOKUP(AM1352,Selects!$M$4:$N$1000,2,0),"")</f>
        <v/>
      </c>
      <c r="BB1352" s="72" t="str">
        <f aca="false">IF(BA1352&lt;&gt;"",VLOOKUP(BA1352,Selects!$B$4:$C$100,2,0),"")</f>
        <v/>
      </c>
      <c r="BG1352" s="75" t="str">
        <f aca="false">IF(LEN(BF1352)=11,"PF",IF(LEN(BF1352)=14,"PJ",""))</f>
        <v/>
      </c>
      <c r="BH1352" s="66"/>
      <c r="BI1352" s="58" t="str">
        <f aca="false">IF(BH1352&lt;&gt;"",VLOOKUP(BH1352,Selects!$G:$H,2,0),"")</f>
        <v/>
      </c>
      <c r="BN1352" s="58"/>
      <c r="BO1352" s="58" t="str">
        <f aca="false">IF(BN1352&lt;&gt;"",VLOOKUP(BN1352,Selects!$J$4:$K$1000,2,0),"")</f>
        <v/>
      </c>
      <c r="CB1352" s="72" t="str">
        <f aca="false">IF(AC1352&lt;&gt;"",VLOOKUP(AC1352,Selects!$B:$E,4,0),"")</f>
        <v/>
      </c>
    </row>
    <row r="1353" customFormat="false" ht="15" hidden="true" customHeight="false" outlineLevel="0" collapsed="false">
      <c r="E1353" s="60" t="str">
        <f aca="false">IF(LEN(D1353)=11,"PF",IF(LEN(D1353)=14,"PJ",""))</f>
        <v/>
      </c>
      <c r="H1353" s="61" t="str">
        <f aca="false">IF(G1353&lt;&gt;"",VLOOKUP(G1353,'Cnae  mcc  id'!$A:$M,9,0),"")</f>
        <v/>
      </c>
      <c r="I1353" s="62"/>
      <c r="J1353" s="63" t="str">
        <f aca="false">IF(I1353&lt;&gt;"",VLOOKUP(I1353,'Legal Nature'!$E$2:$G$84,3,0),"")</f>
        <v/>
      </c>
      <c r="U1353" s="58" t="str">
        <f aca="false">IF( T1353&lt;&gt;"",VLOOKUP(T1353,Selects!$M$4:$N$1000,2,0),"")</f>
        <v/>
      </c>
      <c r="AD1353" s="72" t="str">
        <f aca="false">IF(AC1353&lt;&gt;"",VLOOKUP(AC1353,Selects!$B$4:$C$100,2,0),"")</f>
        <v/>
      </c>
      <c r="AG1353" s="59"/>
      <c r="AH1353" s="65"/>
      <c r="AJ1353" s="66"/>
      <c r="AK1353" s="58"/>
      <c r="AM1353" s="68" t="str">
        <f aca="false">IF(LEFT(AL1353,1)="9","Celular",IF(AL1353="","","Fixo"))</f>
        <v/>
      </c>
      <c r="AN1353" s="58" t="str">
        <f aca="false">IF( AM1353&lt;&gt;"",VLOOKUP(AM1353,Selects!$M$4:$N$1000,2,0),"")</f>
        <v/>
      </c>
      <c r="BB1353" s="72" t="str">
        <f aca="false">IF(BA1353&lt;&gt;"",VLOOKUP(BA1353,Selects!$B$4:$C$100,2,0),"")</f>
        <v/>
      </c>
      <c r="BG1353" s="75" t="str">
        <f aca="false">IF(LEN(BF1353)=11,"PF",IF(LEN(BF1353)=14,"PJ",""))</f>
        <v/>
      </c>
      <c r="BH1353" s="66"/>
      <c r="BI1353" s="58" t="str">
        <f aca="false">IF(BH1353&lt;&gt;"",VLOOKUP(BH1353,Selects!$G:$H,2,0),"")</f>
        <v/>
      </c>
      <c r="BN1353" s="58"/>
      <c r="BO1353" s="58" t="str">
        <f aca="false">IF(BN1353&lt;&gt;"",VLOOKUP(BN1353,Selects!$J$4:$K$1000,2,0),"")</f>
        <v/>
      </c>
      <c r="CB1353" s="72" t="str">
        <f aca="false">IF(AC1353&lt;&gt;"",VLOOKUP(AC1353,Selects!$B:$E,4,0),"")</f>
        <v/>
      </c>
    </row>
    <row r="1354" customFormat="false" ht="15" hidden="true" customHeight="false" outlineLevel="0" collapsed="false">
      <c r="E1354" s="60" t="str">
        <f aca="false">IF(LEN(D1354)=11,"PF",IF(LEN(D1354)=14,"PJ",""))</f>
        <v/>
      </c>
      <c r="H1354" s="61" t="str">
        <f aca="false">IF(G1354&lt;&gt;"",VLOOKUP(G1354,'Cnae  mcc  id'!$A:$M,9,0),"")</f>
        <v/>
      </c>
      <c r="I1354" s="62"/>
      <c r="J1354" s="63" t="str">
        <f aca="false">IF(I1354&lt;&gt;"",VLOOKUP(I1354,'Legal Nature'!$E$2:$G$84,3,0),"")</f>
        <v/>
      </c>
      <c r="U1354" s="58" t="str">
        <f aca="false">IF( T1354&lt;&gt;"",VLOOKUP(T1354,Selects!$M$4:$N$1000,2,0),"")</f>
        <v/>
      </c>
      <c r="AD1354" s="72" t="str">
        <f aca="false">IF(AC1354&lt;&gt;"",VLOOKUP(AC1354,Selects!$B$4:$C$100,2,0),"")</f>
        <v/>
      </c>
      <c r="AG1354" s="59"/>
      <c r="AH1354" s="65"/>
      <c r="AJ1354" s="66"/>
      <c r="AK1354" s="58"/>
      <c r="AM1354" s="68" t="str">
        <f aca="false">IF(LEFT(AL1354,1)="9","Celular",IF(AL1354="","","Fixo"))</f>
        <v/>
      </c>
      <c r="AN1354" s="58" t="str">
        <f aca="false">IF( AM1354&lt;&gt;"",VLOOKUP(AM1354,Selects!$M$4:$N$1000,2,0),"")</f>
        <v/>
      </c>
      <c r="BB1354" s="72" t="str">
        <f aca="false">IF(BA1354&lt;&gt;"",VLOOKUP(BA1354,Selects!$B$4:$C$100,2,0),"")</f>
        <v/>
      </c>
      <c r="BG1354" s="75" t="str">
        <f aca="false">IF(LEN(BF1354)=11,"PF",IF(LEN(BF1354)=14,"PJ",""))</f>
        <v/>
      </c>
      <c r="BH1354" s="66"/>
      <c r="BI1354" s="58" t="str">
        <f aca="false">IF(BH1354&lt;&gt;"",VLOOKUP(BH1354,Selects!$G:$H,2,0),"")</f>
        <v/>
      </c>
      <c r="BO1354" s="58" t="str">
        <f aca="false">IF(BN1354&lt;&gt;"",VLOOKUP(BN1354,Selects!$J$4:$K$1000,2,0),"")</f>
        <v/>
      </c>
      <c r="CB1354" s="72" t="str">
        <f aca="false">IF(AC1354&lt;&gt;"",VLOOKUP(AC1354,Selects!$B:$E,4,0),"")</f>
        <v/>
      </c>
    </row>
    <row r="1355" customFormat="false" ht="15" hidden="true" customHeight="false" outlineLevel="0" collapsed="false">
      <c r="E1355" s="60" t="str">
        <f aca="false">IF(LEN(D1355)=11,"PF",IF(LEN(D1355)=14,"PJ",""))</f>
        <v/>
      </c>
      <c r="H1355" s="61" t="str">
        <f aca="false">IF(G1355&lt;&gt;"",VLOOKUP(G1355,'Cnae  mcc  id'!$A:$M,9,0),"")</f>
        <v/>
      </c>
      <c r="I1355" s="62"/>
      <c r="J1355" s="63" t="str">
        <f aca="false">IF(I1355&lt;&gt;"",VLOOKUP(I1355,'Legal Nature'!$E$2:$G$84,3,0),"")</f>
        <v/>
      </c>
      <c r="U1355" s="58" t="str">
        <f aca="false">IF( T1355&lt;&gt;"",VLOOKUP(T1355,Selects!$M$4:$N$1000,2,0),"")</f>
        <v/>
      </c>
      <c r="AD1355" s="72" t="str">
        <f aca="false">IF(AC1355&lt;&gt;"",VLOOKUP(AC1355,Selects!$B$4:$C$100,2,0),"")</f>
        <v/>
      </c>
      <c r="AG1355" s="59"/>
      <c r="AH1355" s="65"/>
      <c r="AJ1355" s="66"/>
      <c r="AK1355" s="58"/>
      <c r="AM1355" s="68" t="str">
        <f aca="false">IF(LEFT(AL1355,1)="9","Celular",IF(AL1355="","","Fixo"))</f>
        <v/>
      </c>
      <c r="AN1355" s="58" t="str">
        <f aca="false">IF( AM1355&lt;&gt;"",VLOOKUP(AM1355,Selects!$M$4:$N$1000,2,0),"")</f>
        <v/>
      </c>
      <c r="BB1355" s="72" t="str">
        <f aca="false">IF(BA1355&lt;&gt;"",VLOOKUP(BA1355,Selects!$B$4:$C$100,2,0),"")</f>
        <v/>
      </c>
      <c r="BG1355" s="75" t="str">
        <f aca="false">IF(LEN(BF1355)=11,"PF",IF(LEN(BF1355)=14,"PJ",""))</f>
        <v/>
      </c>
      <c r="BH1355" s="66"/>
      <c r="BI1355" s="58" t="str">
        <f aca="false">IF(BH1355&lt;&gt;"",VLOOKUP(BH1355,Selects!$G:$H,2,0),"")</f>
        <v/>
      </c>
      <c r="BO1355" s="58" t="str">
        <f aca="false">IF(BN1355&lt;&gt;"",VLOOKUP(BN1355,Selects!$J$4:$K$1000,2,0),"")</f>
        <v/>
      </c>
      <c r="CB1355" s="72" t="str">
        <f aca="false">IF(AC1355&lt;&gt;"",VLOOKUP(AC1355,Selects!$B:$E,4,0),"")</f>
        <v/>
      </c>
    </row>
    <row r="1356" customFormat="false" ht="15" hidden="true" customHeight="false" outlineLevel="0" collapsed="false">
      <c r="E1356" s="60" t="str">
        <f aca="false">IF(LEN(D1356)=11,"PF",IF(LEN(D1356)=14,"PJ",""))</f>
        <v/>
      </c>
      <c r="H1356" s="61" t="str">
        <f aca="false">IF(G1356&lt;&gt;"",VLOOKUP(G1356,'Cnae  mcc  id'!$A:$M,9,0),"")</f>
        <v/>
      </c>
      <c r="I1356" s="62"/>
      <c r="J1356" s="63" t="str">
        <f aca="false">IF(I1356&lt;&gt;"",VLOOKUP(I1356,'Legal Nature'!$E$2:$G$84,3,0),"")</f>
        <v/>
      </c>
      <c r="U1356" s="58" t="str">
        <f aca="false">IF( T1356&lt;&gt;"",VLOOKUP(T1356,Selects!$M$4:$N$1000,2,0),"")</f>
        <v/>
      </c>
      <c r="AD1356" s="72" t="str">
        <f aca="false">IF(AC1356&lt;&gt;"",VLOOKUP(AC1356,Selects!$B$4:$C$100,2,0),"")</f>
        <v/>
      </c>
      <c r="AG1356" s="59"/>
      <c r="AH1356" s="65"/>
      <c r="AJ1356" s="66"/>
      <c r="AK1356" s="58"/>
      <c r="AM1356" s="68" t="str">
        <f aca="false">IF(LEFT(AL1356,1)="9","Celular",IF(AL1356="","","Fixo"))</f>
        <v/>
      </c>
      <c r="AN1356" s="58" t="str">
        <f aca="false">IF( AM1356&lt;&gt;"",VLOOKUP(AM1356,Selects!$M$4:$N$1000,2,0),"")</f>
        <v/>
      </c>
      <c r="BB1356" s="72" t="str">
        <f aca="false">IF(BA1356&lt;&gt;"",VLOOKUP(BA1356,Selects!$B$4:$C$100,2,0),"")</f>
        <v/>
      </c>
      <c r="BG1356" s="75" t="str">
        <f aca="false">IF(LEN(BF1356)=11,"PF",IF(LEN(BF1356)=14,"PJ",""))</f>
        <v/>
      </c>
      <c r="BH1356" s="66"/>
      <c r="BI1356" s="58" t="str">
        <f aca="false">IF(BH1356&lt;&gt;"",VLOOKUP(BH1356,Selects!$G:$H,2,0),"")</f>
        <v/>
      </c>
      <c r="BO1356" s="58" t="str">
        <f aca="false">IF(BN1356&lt;&gt;"",VLOOKUP(BN1356,Selects!$J$4:$K$1000,2,0),"")</f>
        <v/>
      </c>
      <c r="CB1356" s="72" t="str">
        <f aca="false">IF(AC1356&lt;&gt;"",VLOOKUP(AC1356,Selects!$B:$E,4,0),"")</f>
        <v/>
      </c>
    </row>
    <row r="1357" customFormat="false" ht="15" hidden="true" customHeight="false" outlineLevel="0" collapsed="false">
      <c r="E1357" s="60" t="str">
        <f aca="false">IF(LEN(D1357)=11,"PF",IF(LEN(D1357)=14,"PJ",""))</f>
        <v/>
      </c>
      <c r="H1357" s="61" t="str">
        <f aca="false">IF(G1357&lt;&gt;"",VLOOKUP(G1357,'Cnae  mcc  id'!$A:$M,9,0),"")</f>
        <v/>
      </c>
      <c r="I1357" s="62"/>
      <c r="J1357" s="63" t="str">
        <f aca="false">IF(I1357&lt;&gt;"",VLOOKUP(I1357,'Legal Nature'!$E$2:$G$84,3,0),"")</f>
        <v/>
      </c>
      <c r="U1357" s="58" t="str">
        <f aca="false">IF( T1357&lt;&gt;"",VLOOKUP(T1357,Selects!$M$4:$N$1000,2,0),"")</f>
        <v/>
      </c>
      <c r="AD1357" s="72" t="str">
        <f aca="false">IF(AC1357&lt;&gt;"",VLOOKUP(AC1357,Selects!$B$4:$C$100,2,0),"")</f>
        <v/>
      </c>
      <c r="AG1357" s="59"/>
      <c r="AH1357" s="65"/>
      <c r="AJ1357" s="66"/>
      <c r="AK1357" s="58"/>
      <c r="AM1357" s="68" t="str">
        <f aca="false">IF(LEFT(AL1357,1)="9","Celular",IF(AL1357="","","Fixo"))</f>
        <v/>
      </c>
      <c r="AN1357" s="58" t="str">
        <f aca="false">IF( AM1357&lt;&gt;"",VLOOKUP(AM1357,Selects!$M$4:$N$1000,2,0),"")</f>
        <v/>
      </c>
      <c r="BB1357" s="72" t="str">
        <f aca="false">IF(BA1357&lt;&gt;"",VLOOKUP(BA1357,Selects!$B$4:$C$100,2,0),"")</f>
        <v/>
      </c>
      <c r="BG1357" s="75" t="str">
        <f aca="false">IF(LEN(BF1357)=11,"PF",IF(LEN(BF1357)=14,"PJ",""))</f>
        <v/>
      </c>
      <c r="BH1357" s="66"/>
      <c r="BI1357" s="58" t="str">
        <f aca="false">IF(BH1357&lt;&gt;"",VLOOKUP(BH1357,Selects!$G:$H,2,0),"")</f>
        <v/>
      </c>
      <c r="BO1357" s="58" t="str">
        <f aca="false">IF(BN1357&lt;&gt;"",VLOOKUP(BN1357,Selects!$J$4:$K$1000,2,0),"")</f>
        <v/>
      </c>
      <c r="CB1357" s="72" t="str">
        <f aca="false">IF(AC1357&lt;&gt;"",VLOOKUP(AC1357,Selects!$B:$E,4,0),"")</f>
        <v/>
      </c>
    </row>
    <row r="1358" customFormat="false" ht="15" hidden="true" customHeight="false" outlineLevel="0" collapsed="false">
      <c r="E1358" s="60" t="str">
        <f aca="false">IF(LEN(D1358)=11,"PF",IF(LEN(D1358)=14,"PJ",""))</f>
        <v/>
      </c>
      <c r="H1358" s="61" t="str">
        <f aca="false">IF(G1358&lt;&gt;"",VLOOKUP(G1358,'Cnae  mcc  id'!$A:$M,9,0),"")</f>
        <v/>
      </c>
      <c r="I1358" s="62"/>
      <c r="J1358" s="63" t="str">
        <f aca="false">IF(I1358&lt;&gt;"",VLOOKUP(I1358,'Legal Nature'!$E$2:$G$84,3,0),"")</f>
        <v/>
      </c>
      <c r="U1358" s="58" t="str">
        <f aca="false">IF( T1358&lt;&gt;"",VLOOKUP(T1358,Selects!$M$4:$N$1000,2,0),"")</f>
        <v/>
      </c>
      <c r="AD1358" s="72" t="str">
        <f aca="false">IF(AC1358&lt;&gt;"",VLOOKUP(AC1358,Selects!$B$4:$C$100,2,0),"")</f>
        <v/>
      </c>
      <c r="AG1358" s="59"/>
      <c r="AH1358" s="65"/>
      <c r="AJ1358" s="66"/>
      <c r="AK1358" s="58"/>
      <c r="AM1358" s="68" t="str">
        <f aca="false">IF(LEFT(AL1358,1)="9","Celular",IF(AL1358="","","Fixo"))</f>
        <v/>
      </c>
      <c r="AN1358" s="58" t="str">
        <f aca="false">IF( AM1358&lt;&gt;"",VLOOKUP(AM1358,Selects!$M$4:$N$1000,2,0),"")</f>
        <v/>
      </c>
      <c r="BB1358" s="72" t="str">
        <f aca="false">IF(BA1358&lt;&gt;"",VLOOKUP(BA1358,Selects!$B$4:$C$100,2,0),"")</f>
        <v/>
      </c>
      <c r="BG1358" s="75" t="str">
        <f aca="false">IF(LEN(BF1358)=11,"PF",IF(LEN(BF1358)=14,"PJ",""))</f>
        <v/>
      </c>
      <c r="BH1358" s="66"/>
      <c r="BI1358" s="58" t="str">
        <f aca="false">IF(BH1358&lt;&gt;"",VLOOKUP(BH1358,Selects!$G:$H,2,0),"")</f>
        <v/>
      </c>
      <c r="BO1358" s="58" t="str">
        <f aca="false">IF(BN1358&lt;&gt;"",VLOOKUP(BN1358,Selects!$J$4:$K$1000,2,0),"")</f>
        <v/>
      </c>
      <c r="CB1358" s="72" t="str">
        <f aca="false">IF(AC1358&lt;&gt;"",VLOOKUP(AC1358,Selects!$B:$E,4,0),"")</f>
        <v/>
      </c>
    </row>
    <row r="1359" customFormat="false" ht="15" hidden="true" customHeight="false" outlineLevel="0" collapsed="false">
      <c r="E1359" s="60" t="str">
        <f aca="false">IF(LEN(D1359)=11,"PF",IF(LEN(D1359)=14,"PJ",""))</f>
        <v/>
      </c>
      <c r="H1359" s="61" t="str">
        <f aca="false">IF(G1359&lt;&gt;"",VLOOKUP(G1359,'Cnae  mcc  id'!$A:$M,9,0),"")</f>
        <v/>
      </c>
      <c r="I1359" s="62"/>
      <c r="J1359" s="63" t="str">
        <f aca="false">IF(I1359&lt;&gt;"",VLOOKUP(I1359,'Legal Nature'!$E$2:$G$84,3,0),"")</f>
        <v/>
      </c>
      <c r="U1359" s="58" t="str">
        <f aca="false">IF( T1359&lt;&gt;"",VLOOKUP(T1359,Selects!$M$4:$N$1000,2,0),"")</f>
        <v/>
      </c>
      <c r="AD1359" s="72" t="str">
        <f aca="false">IF(AC1359&lt;&gt;"",VLOOKUP(AC1359,Selects!$B$4:$C$100,2,0),"")</f>
        <v/>
      </c>
      <c r="AG1359" s="59"/>
      <c r="AH1359" s="65"/>
      <c r="AJ1359" s="66"/>
      <c r="AK1359" s="58"/>
      <c r="AM1359" s="68" t="str">
        <f aca="false">IF(LEFT(AL1359,1)="9","Celular",IF(AL1359="","","Fixo"))</f>
        <v/>
      </c>
      <c r="AN1359" s="58" t="str">
        <f aca="false">IF( AM1359&lt;&gt;"",VLOOKUP(AM1359,Selects!$M$4:$N$1000,2,0),"")</f>
        <v/>
      </c>
      <c r="BB1359" s="72" t="str">
        <f aca="false">IF(BA1359&lt;&gt;"",VLOOKUP(BA1359,Selects!$B$4:$C$100,2,0),"")</f>
        <v/>
      </c>
      <c r="BG1359" s="75" t="str">
        <f aca="false">IF(LEN(BF1359)=11,"PF",IF(LEN(BF1359)=14,"PJ",""))</f>
        <v/>
      </c>
      <c r="BH1359" s="66"/>
      <c r="BI1359" s="58" t="str">
        <f aca="false">IF(BH1359&lt;&gt;"",VLOOKUP(BH1359,Selects!$G:$H,2,0),"")</f>
        <v/>
      </c>
      <c r="BO1359" s="58" t="str">
        <f aca="false">IF(BN1359&lt;&gt;"",VLOOKUP(BN1359,Selects!$J$4:$K$1000,2,0),"")</f>
        <v/>
      </c>
      <c r="CB1359" s="72" t="str">
        <f aca="false">IF(AC1359&lt;&gt;"",VLOOKUP(AC1359,Selects!$B:$E,4,0),"")</f>
        <v/>
      </c>
    </row>
    <row r="1360" customFormat="false" ht="15" hidden="true" customHeight="false" outlineLevel="0" collapsed="false">
      <c r="E1360" s="60" t="str">
        <f aca="false">IF(LEN(D1360)=11,"PF",IF(LEN(D1360)=14,"PJ",""))</f>
        <v/>
      </c>
      <c r="H1360" s="61" t="str">
        <f aca="false">IF(G1360&lt;&gt;"",VLOOKUP(G1360,'Cnae  mcc  id'!$A:$M,9,0),"")</f>
        <v/>
      </c>
      <c r="I1360" s="62"/>
      <c r="J1360" s="63" t="str">
        <f aca="false">IF(I1360&lt;&gt;"",VLOOKUP(I1360,'Legal Nature'!$E$2:$G$84,3,0),"")</f>
        <v/>
      </c>
      <c r="U1360" s="58" t="str">
        <f aca="false">IF( T1360&lt;&gt;"",VLOOKUP(T1360,Selects!$M$4:$N$1000,2,0),"")</f>
        <v/>
      </c>
      <c r="AD1360" s="72" t="str">
        <f aca="false">IF(AC1360&lt;&gt;"",VLOOKUP(AC1360,Selects!$B$4:$C$100,2,0),"")</f>
        <v/>
      </c>
      <c r="AG1360" s="59"/>
      <c r="AH1360" s="65"/>
      <c r="AJ1360" s="66"/>
      <c r="AK1360" s="58"/>
      <c r="AM1360" s="68" t="str">
        <f aca="false">IF(LEFT(AL1360,1)="9","Celular",IF(AL1360="","","Fixo"))</f>
        <v/>
      </c>
      <c r="AN1360" s="58" t="str">
        <f aca="false">IF( AM1360&lt;&gt;"",VLOOKUP(AM1360,Selects!$M$4:$N$1000,2,0),"")</f>
        <v/>
      </c>
      <c r="BB1360" s="72" t="str">
        <f aca="false">IF(BA1360&lt;&gt;"",VLOOKUP(BA1360,Selects!$B$4:$C$100,2,0),"")</f>
        <v/>
      </c>
      <c r="BG1360" s="75" t="str">
        <f aca="false">IF(LEN(BF1360)=11,"PF",IF(LEN(BF1360)=14,"PJ",""))</f>
        <v/>
      </c>
      <c r="BH1360" s="66"/>
      <c r="BI1360" s="58" t="str">
        <f aca="false">IF(BH1360&lt;&gt;"",VLOOKUP(BH1360,Selects!$G:$H,2,0),"")</f>
        <v/>
      </c>
      <c r="BO1360" s="58" t="str">
        <f aca="false">IF(BN1360&lt;&gt;"",VLOOKUP(BN1360,Selects!$J$4:$K$1000,2,0),"")</f>
        <v/>
      </c>
      <c r="CB1360" s="72" t="str">
        <f aca="false">IF(AC1360&lt;&gt;"",VLOOKUP(AC1360,Selects!$B:$E,4,0),"")</f>
        <v/>
      </c>
    </row>
    <row r="1361" customFormat="false" ht="15" hidden="true" customHeight="false" outlineLevel="0" collapsed="false">
      <c r="E1361" s="60" t="str">
        <f aca="false">IF(LEN(D1361)=11,"PF",IF(LEN(D1361)=14,"PJ",""))</f>
        <v/>
      </c>
      <c r="H1361" s="61" t="str">
        <f aca="false">IF(G1361&lt;&gt;"",VLOOKUP(G1361,'Cnae  mcc  id'!$A:$M,9,0),"")</f>
        <v/>
      </c>
      <c r="I1361" s="62"/>
      <c r="J1361" s="63" t="str">
        <f aca="false">IF(I1361&lt;&gt;"",VLOOKUP(I1361,'Legal Nature'!$E$2:$G$84,3,0),"")</f>
        <v/>
      </c>
      <c r="U1361" s="58" t="str">
        <f aca="false">IF( T1361&lt;&gt;"",VLOOKUP(T1361,Selects!$M$4:$N$1000,2,0),"")</f>
        <v/>
      </c>
      <c r="AD1361" s="72" t="str">
        <f aca="false">IF(AC1361&lt;&gt;"",VLOOKUP(AC1361,Selects!$B$4:$C$100,2,0),"")</f>
        <v/>
      </c>
      <c r="AG1361" s="59"/>
      <c r="AH1361" s="65"/>
      <c r="AJ1361" s="66"/>
      <c r="AK1361" s="58"/>
      <c r="AM1361" s="68" t="str">
        <f aca="false">IF(LEFT(AL1361,1)="9","Celular",IF(AL1361="","","Fixo"))</f>
        <v/>
      </c>
      <c r="AN1361" s="58" t="str">
        <f aca="false">IF( AM1361&lt;&gt;"",VLOOKUP(AM1361,Selects!$M$4:$N$1000,2,0),"")</f>
        <v/>
      </c>
      <c r="BB1361" s="72" t="str">
        <f aca="false">IF(BA1361&lt;&gt;"",VLOOKUP(BA1361,Selects!$B$4:$C$100,2,0),"")</f>
        <v/>
      </c>
      <c r="BG1361" s="75" t="str">
        <f aca="false">IF(LEN(BF1361)=11,"PF",IF(LEN(BF1361)=14,"PJ",""))</f>
        <v/>
      </c>
      <c r="BH1361" s="66"/>
      <c r="BI1361" s="58" t="str">
        <f aca="false">IF(BH1361&lt;&gt;"",VLOOKUP(BH1361,Selects!$G:$H,2,0),"")</f>
        <v/>
      </c>
      <c r="BO1361" s="58" t="str">
        <f aca="false">IF(BN1361&lt;&gt;"",VLOOKUP(BN1361,Selects!$J$4:$K$1000,2,0),"")</f>
        <v/>
      </c>
      <c r="CB1361" s="72" t="str">
        <f aca="false">IF(AC1361&lt;&gt;"",VLOOKUP(AC1361,Selects!$B:$E,4,0),"")</f>
        <v/>
      </c>
    </row>
    <row r="1362" customFormat="false" ht="15" hidden="true" customHeight="false" outlineLevel="0" collapsed="false">
      <c r="E1362" s="60" t="str">
        <f aca="false">IF(LEN(D1362)=11,"PF",IF(LEN(D1362)=14,"PJ",""))</f>
        <v/>
      </c>
      <c r="H1362" s="61" t="str">
        <f aca="false">IF(G1362&lt;&gt;"",VLOOKUP(G1362,'Cnae  mcc  id'!$A:$M,9,0),"")</f>
        <v/>
      </c>
      <c r="I1362" s="62"/>
      <c r="J1362" s="63" t="str">
        <f aca="false">IF(I1362&lt;&gt;"",VLOOKUP(I1362,'Legal Nature'!$E$2:$G$84,3,0),"")</f>
        <v/>
      </c>
      <c r="U1362" s="58" t="str">
        <f aca="false">IF( T1362&lt;&gt;"",VLOOKUP(T1362,Selects!$M$4:$N$1000,2,0),"")</f>
        <v/>
      </c>
      <c r="AD1362" s="72" t="str">
        <f aca="false">IF(AC1362&lt;&gt;"",VLOOKUP(AC1362,Selects!$B$4:$C$100,2,0),"")</f>
        <v/>
      </c>
      <c r="AG1362" s="59"/>
      <c r="AH1362" s="65"/>
      <c r="AJ1362" s="66"/>
      <c r="AK1362" s="58"/>
      <c r="AM1362" s="68" t="str">
        <f aca="false">IF(LEFT(AL1362,1)="9","Celular",IF(AL1362="","","Fixo"))</f>
        <v/>
      </c>
      <c r="AN1362" s="58" t="str">
        <f aca="false">IF( AM1362&lt;&gt;"",VLOOKUP(AM1362,Selects!$M$4:$N$1000,2,0),"")</f>
        <v/>
      </c>
      <c r="BB1362" s="72" t="str">
        <f aca="false">IF(BA1362&lt;&gt;"",VLOOKUP(BA1362,Selects!$B$4:$C$100,2,0),"")</f>
        <v/>
      </c>
      <c r="BG1362" s="75" t="str">
        <f aca="false">IF(LEN(BF1362)=11,"PF",IF(LEN(BF1362)=14,"PJ",""))</f>
        <v/>
      </c>
      <c r="BH1362" s="66"/>
      <c r="BI1362" s="58" t="str">
        <f aca="false">IF(BH1362&lt;&gt;"",VLOOKUP(BH1362,Selects!$G:$H,2,0),"")</f>
        <v/>
      </c>
      <c r="BO1362" s="58" t="str">
        <f aca="false">IF(BN1362&lt;&gt;"",VLOOKUP(BN1362,Selects!$J$4:$K$1000,2,0),"")</f>
        <v/>
      </c>
      <c r="CB1362" s="72" t="str">
        <f aca="false">IF(AC1362&lt;&gt;"",VLOOKUP(AC1362,Selects!$B:$E,4,0),"")</f>
        <v/>
      </c>
    </row>
    <row r="1363" customFormat="false" ht="15" hidden="true" customHeight="false" outlineLevel="0" collapsed="false">
      <c r="E1363" s="60" t="str">
        <f aca="false">IF(LEN(D1363)=11,"PF",IF(LEN(D1363)=14,"PJ",""))</f>
        <v/>
      </c>
      <c r="H1363" s="61" t="str">
        <f aca="false">IF(G1363&lt;&gt;"",VLOOKUP(G1363,'Cnae  mcc  id'!$A:$M,9,0),"")</f>
        <v/>
      </c>
      <c r="I1363" s="62"/>
      <c r="J1363" s="63" t="str">
        <f aca="false">IF(I1363&lt;&gt;"",VLOOKUP(I1363,'Legal Nature'!$E$2:$G$84,3,0),"")</f>
        <v/>
      </c>
      <c r="U1363" s="58" t="str">
        <f aca="false">IF( T1363&lt;&gt;"",VLOOKUP(T1363,Selects!$M$4:$N$1000,2,0),"")</f>
        <v/>
      </c>
      <c r="AD1363" s="72" t="str">
        <f aca="false">IF(AC1363&lt;&gt;"",VLOOKUP(AC1363,Selects!$B$4:$C$100,2,0),"")</f>
        <v/>
      </c>
      <c r="AG1363" s="59"/>
      <c r="AH1363" s="65"/>
      <c r="AJ1363" s="66"/>
      <c r="AK1363" s="58"/>
      <c r="AM1363" s="68" t="str">
        <f aca="false">IF(LEFT(AL1363,1)="9","Celular",IF(AL1363="","","Fixo"))</f>
        <v/>
      </c>
      <c r="AN1363" s="58" t="str">
        <f aca="false">IF( AM1363&lt;&gt;"",VLOOKUP(AM1363,Selects!$M$4:$N$1000,2,0),"")</f>
        <v/>
      </c>
      <c r="BB1363" s="72" t="str">
        <f aca="false">IF(BA1363&lt;&gt;"",VLOOKUP(BA1363,Selects!$B$4:$C$100,2,0),"")</f>
        <v/>
      </c>
      <c r="BG1363" s="75" t="str">
        <f aca="false">IF(LEN(BF1363)=11,"PF",IF(LEN(BF1363)=14,"PJ",""))</f>
        <v/>
      </c>
      <c r="BH1363" s="66"/>
      <c r="BI1363" s="58" t="str">
        <f aca="false">IF(BH1363&lt;&gt;"",VLOOKUP(BH1363,Selects!$G:$H,2,0),"")</f>
        <v/>
      </c>
      <c r="BO1363" s="58" t="str">
        <f aca="false">IF(BN1363&lt;&gt;"",VLOOKUP(BN1363,Selects!$J$4:$K$1000,2,0),"")</f>
        <v/>
      </c>
      <c r="CB1363" s="72" t="str">
        <f aca="false">IF(AC1363&lt;&gt;"",VLOOKUP(AC1363,Selects!$B:$E,4,0),"")</f>
        <v/>
      </c>
    </row>
    <row r="1364" customFormat="false" ht="15" hidden="true" customHeight="false" outlineLevel="0" collapsed="false">
      <c r="E1364" s="60" t="str">
        <f aca="false">IF(LEN(D1364)=11,"PF",IF(LEN(D1364)=14,"PJ",""))</f>
        <v/>
      </c>
      <c r="H1364" s="61" t="str">
        <f aca="false">IF(G1364&lt;&gt;"",VLOOKUP(G1364,'Cnae  mcc  id'!$A:$M,9,0),"")</f>
        <v/>
      </c>
      <c r="I1364" s="62"/>
      <c r="J1364" s="63" t="str">
        <f aca="false">IF(I1364&lt;&gt;"",VLOOKUP(I1364,'Legal Nature'!$E$2:$G$84,3,0),"")</f>
        <v/>
      </c>
      <c r="U1364" s="58" t="str">
        <f aca="false">IF( T1364&lt;&gt;"",VLOOKUP(T1364,Selects!$M$4:$N$1000,2,0),"")</f>
        <v/>
      </c>
      <c r="AD1364" s="72" t="str">
        <f aca="false">IF(AC1364&lt;&gt;"",VLOOKUP(AC1364,Selects!$B$4:$C$100,2,0),"")</f>
        <v/>
      </c>
      <c r="AH1364" s="65"/>
      <c r="AJ1364" s="66"/>
      <c r="AK1364" s="58"/>
      <c r="AM1364" s="68" t="str">
        <f aca="false">IF(LEFT(AL1364,1)="9","Celular",IF(AL1364="","","Fixo"))</f>
        <v/>
      </c>
      <c r="AN1364" s="58" t="str">
        <f aca="false">IF( AM1364&lt;&gt;"",VLOOKUP(AM1364,Selects!$M$4:$N$1000,2,0),"")</f>
        <v/>
      </c>
      <c r="BB1364" s="72" t="str">
        <f aca="false">IF(BA1364&lt;&gt;"",VLOOKUP(BA1364,Selects!$B$4:$C$100,2,0),"")</f>
        <v/>
      </c>
      <c r="BG1364" s="75" t="str">
        <f aca="false">IF(LEN(BF1364)=11,"PF",IF(LEN(BF1364)=14,"PJ",""))</f>
        <v/>
      </c>
      <c r="BH1364" s="66"/>
      <c r="BI1364" s="58" t="str">
        <f aca="false">IF(BH1364&lt;&gt;"",VLOOKUP(BH1364,Selects!$G:$H,2,0),"")</f>
        <v/>
      </c>
      <c r="BO1364" s="58" t="str">
        <f aca="false">IF(BN1364&lt;&gt;"",VLOOKUP(BN1364,Selects!$J$4:$K$1000,2,0),"")</f>
        <v/>
      </c>
      <c r="CB1364" s="72" t="str">
        <f aca="false">IF(AC1364&lt;&gt;"",VLOOKUP(AC1364,Selects!$B:$E,4,0),"")</f>
        <v/>
      </c>
    </row>
    <row r="1365" customFormat="false" ht="15" hidden="true" customHeight="false" outlineLevel="0" collapsed="false">
      <c r="E1365" s="60" t="str">
        <f aca="false">IF(LEN(D1365)=11,"PF",IF(LEN(D1365)=14,"PJ",""))</f>
        <v/>
      </c>
      <c r="H1365" s="61" t="str">
        <f aca="false">IF(G1365&lt;&gt;"",VLOOKUP(G1365,'Cnae  mcc  id'!$A:$M,9,0),"")</f>
        <v/>
      </c>
      <c r="I1365" s="62"/>
      <c r="J1365" s="63" t="str">
        <f aca="false">IF(I1365&lt;&gt;"",VLOOKUP(I1365,'Legal Nature'!$E$2:$G$84,3,0),"")</f>
        <v/>
      </c>
      <c r="U1365" s="58" t="str">
        <f aca="false">IF( T1365&lt;&gt;"",VLOOKUP(T1365,Selects!$M$4:$N$1000,2,0),"")</f>
        <v/>
      </c>
      <c r="AD1365" s="72" t="str">
        <f aca="false">IF(AC1365&lt;&gt;"",VLOOKUP(AC1365,Selects!$B$4:$C$100,2,0),"")</f>
        <v/>
      </c>
      <c r="AH1365" s="65"/>
      <c r="AJ1365" s="66"/>
      <c r="AK1365" s="58"/>
      <c r="AM1365" s="68" t="str">
        <f aca="false">IF(LEFT(AL1365,1)="9","Celular",IF(AL1365="","","Fixo"))</f>
        <v/>
      </c>
      <c r="AN1365" s="58" t="str">
        <f aca="false">IF( AM1365&lt;&gt;"",VLOOKUP(AM1365,Selects!$M$4:$N$1000,2,0),"")</f>
        <v/>
      </c>
      <c r="BB1365" s="72" t="str">
        <f aca="false">IF(BA1365&lt;&gt;"",VLOOKUP(BA1365,Selects!$B$4:$C$100,2,0),"")</f>
        <v/>
      </c>
      <c r="BG1365" s="75" t="str">
        <f aca="false">IF(LEN(BF1365)=11,"PF",IF(LEN(BF1365)=14,"PJ",""))</f>
        <v/>
      </c>
      <c r="BH1365" s="66"/>
      <c r="BI1365" s="58" t="str">
        <f aca="false">IF(BH1365&lt;&gt;"",VLOOKUP(BH1365,Selects!$G:$H,2,0),"")</f>
        <v/>
      </c>
      <c r="BO1365" s="58" t="str">
        <f aca="false">IF(BN1365&lt;&gt;"",VLOOKUP(BN1365,Selects!$J$4:$K$1000,2,0),"")</f>
        <v/>
      </c>
      <c r="CB1365" s="72" t="str">
        <f aca="false">IF(AC1365&lt;&gt;"",VLOOKUP(AC1365,Selects!$B:$E,4,0),"")</f>
        <v/>
      </c>
    </row>
    <row r="1366" customFormat="false" ht="15" hidden="true" customHeight="false" outlineLevel="0" collapsed="false">
      <c r="E1366" s="60" t="str">
        <f aca="false">IF(LEN(D1366)=11,"PF",IF(LEN(D1366)=14,"PJ",""))</f>
        <v/>
      </c>
      <c r="H1366" s="61" t="str">
        <f aca="false">IF(G1366&lt;&gt;"",VLOOKUP(G1366,'Cnae  mcc  id'!$A:$M,9,0),"")</f>
        <v/>
      </c>
      <c r="I1366" s="62"/>
      <c r="J1366" s="63" t="str">
        <f aca="false">IF(I1366&lt;&gt;"",VLOOKUP(I1366,'Legal Nature'!$E$2:$G$84,3,0),"")</f>
        <v/>
      </c>
      <c r="U1366" s="58" t="str">
        <f aca="false">IF( T1366&lt;&gt;"",VLOOKUP(T1366,Selects!$M$4:$N$1000,2,0),"")</f>
        <v/>
      </c>
      <c r="AD1366" s="72" t="str">
        <f aca="false">IF(AC1366&lt;&gt;"",VLOOKUP(AC1366,Selects!$B$4:$C$100,2,0),"")</f>
        <v/>
      </c>
      <c r="AH1366" s="65"/>
      <c r="AJ1366" s="66"/>
      <c r="AK1366" s="58"/>
      <c r="AM1366" s="68" t="str">
        <f aca="false">IF(LEFT(AL1366,1)="9","Celular",IF(AL1366="","","Fixo"))</f>
        <v/>
      </c>
      <c r="AN1366" s="58" t="str">
        <f aca="false">IF( AM1366&lt;&gt;"",VLOOKUP(AM1366,Selects!$M$4:$N$1000,2,0),"")</f>
        <v/>
      </c>
      <c r="BB1366" s="72" t="str">
        <f aca="false">IF(BA1366&lt;&gt;"",VLOOKUP(BA1366,Selects!$B$4:$C$100,2,0),"")</f>
        <v/>
      </c>
      <c r="BG1366" s="75" t="str">
        <f aca="false">IF(LEN(BF1366)=11,"PF",IF(LEN(BF1366)=14,"PJ",""))</f>
        <v/>
      </c>
      <c r="BH1366" s="66"/>
      <c r="BI1366" s="58" t="str">
        <f aca="false">IF(BH1366&lt;&gt;"",VLOOKUP(BH1366,Selects!$G:$H,2,0),"")</f>
        <v/>
      </c>
      <c r="BO1366" s="58" t="str">
        <f aca="false">IF(BN1366&lt;&gt;"",VLOOKUP(BN1366,Selects!$J$4:$K$1000,2,0),"")</f>
        <v/>
      </c>
      <c r="CB1366" s="72" t="str">
        <f aca="false">IF(AC1366&lt;&gt;"",VLOOKUP(AC1366,Selects!$B:$E,4,0),"")</f>
        <v/>
      </c>
    </row>
    <row r="1367" customFormat="false" ht="15" hidden="true" customHeight="false" outlineLevel="0" collapsed="false">
      <c r="E1367" s="60" t="str">
        <f aca="false">IF(LEN(D1367)=11,"PF",IF(LEN(D1367)=14,"PJ",""))</f>
        <v/>
      </c>
      <c r="H1367" s="61" t="str">
        <f aca="false">IF(G1367&lt;&gt;"",VLOOKUP(G1367,'Cnae  mcc  id'!$A:$M,9,0),"")</f>
        <v/>
      </c>
      <c r="I1367" s="62"/>
      <c r="J1367" s="63" t="str">
        <f aca="false">IF(I1367&lt;&gt;"",VLOOKUP(I1367,'Legal Nature'!$E$2:$G$84,3,0),"")</f>
        <v/>
      </c>
      <c r="U1367" s="58" t="str">
        <f aca="false">IF( T1367&lt;&gt;"",VLOOKUP(T1367,Selects!$M$4:$N$1000,2,0),"")</f>
        <v/>
      </c>
      <c r="AD1367" s="72" t="str">
        <f aca="false">IF(AC1367&lt;&gt;"",VLOOKUP(AC1367,Selects!$B$4:$C$100,2,0),"")</f>
        <v/>
      </c>
      <c r="AH1367" s="65"/>
      <c r="AJ1367" s="66"/>
      <c r="AK1367" s="58"/>
      <c r="AM1367" s="68" t="str">
        <f aca="false">IF(LEFT(AL1367,1)="9","Celular",IF(AL1367="","","Fixo"))</f>
        <v/>
      </c>
      <c r="AN1367" s="58" t="str">
        <f aca="false">IF( AM1367&lt;&gt;"",VLOOKUP(AM1367,Selects!$M$4:$N$1000,2,0),"")</f>
        <v/>
      </c>
      <c r="BB1367" s="72" t="str">
        <f aca="false">IF(BA1367&lt;&gt;"",VLOOKUP(BA1367,Selects!$B$4:$C$100,2,0),"")</f>
        <v/>
      </c>
      <c r="BG1367" s="75" t="str">
        <f aca="false">IF(LEN(BF1367)=11,"PF",IF(LEN(BF1367)=14,"PJ",""))</f>
        <v/>
      </c>
      <c r="BH1367" s="66"/>
      <c r="BI1367" s="58" t="str">
        <f aca="false">IF(BH1367&lt;&gt;"",VLOOKUP(BH1367,Selects!$G:$H,2,0),"")</f>
        <v/>
      </c>
      <c r="BO1367" s="58" t="str">
        <f aca="false">IF(BN1367&lt;&gt;"",VLOOKUP(BN1367,Selects!$J$4:$K$1000,2,0),"")</f>
        <v/>
      </c>
      <c r="CB1367" s="72" t="str">
        <f aca="false">IF(AC1367&lt;&gt;"",VLOOKUP(AC1367,Selects!$B:$E,4,0),"")</f>
        <v/>
      </c>
    </row>
    <row r="1368" customFormat="false" ht="15" hidden="true" customHeight="false" outlineLevel="0" collapsed="false">
      <c r="E1368" s="60" t="str">
        <f aca="false">IF(LEN(D1368)=11,"PF",IF(LEN(D1368)=14,"PJ",""))</f>
        <v/>
      </c>
      <c r="H1368" s="61" t="str">
        <f aca="false">IF(G1368&lt;&gt;"",VLOOKUP(G1368,'Cnae  mcc  id'!$A:$M,9,0),"")</f>
        <v/>
      </c>
      <c r="I1368" s="62"/>
      <c r="J1368" s="63" t="str">
        <f aca="false">IF(I1368&lt;&gt;"",VLOOKUP(I1368,'Legal Nature'!$E$2:$G$84,3,0),"")</f>
        <v/>
      </c>
      <c r="U1368" s="58" t="str">
        <f aca="false">IF( T1368&lt;&gt;"",VLOOKUP(T1368,Selects!$M$4:$N$1000,2,0),"")</f>
        <v/>
      </c>
      <c r="AD1368" s="72" t="str">
        <f aca="false">IF(AC1368&lt;&gt;"",VLOOKUP(AC1368,Selects!$B$4:$C$100,2,0),"")</f>
        <v/>
      </c>
      <c r="AH1368" s="65"/>
      <c r="AJ1368" s="66"/>
      <c r="AK1368" s="58"/>
      <c r="AM1368" s="68" t="str">
        <f aca="false">IF(LEFT(AL1368,1)="9","Celular",IF(AL1368="","","Fixo"))</f>
        <v/>
      </c>
      <c r="AN1368" s="58" t="str">
        <f aca="false">IF( AM1368&lt;&gt;"",VLOOKUP(AM1368,Selects!$M$4:$N$1000,2,0),"")</f>
        <v/>
      </c>
      <c r="BB1368" s="72" t="str">
        <f aca="false">IF(BA1368&lt;&gt;"",VLOOKUP(BA1368,Selects!$B$4:$C$100,2,0),"")</f>
        <v/>
      </c>
      <c r="BG1368" s="75" t="str">
        <f aca="false">IF(LEN(BF1368)=11,"PF",IF(LEN(BF1368)=14,"PJ",""))</f>
        <v/>
      </c>
      <c r="BH1368" s="66"/>
      <c r="BI1368" s="58" t="str">
        <f aca="false">IF(BH1368&lt;&gt;"",VLOOKUP(BH1368,Selects!$G:$H,2,0),"")</f>
        <v/>
      </c>
      <c r="BO1368" s="58" t="str">
        <f aca="false">IF(BN1368&lt;&gt;"",VLOOKUP(BN1368,Selects!$J$4:$K$1000,2,0),"")</f>
        <v/>
      </c>
      <c r="CB1368" s="72" t="str">
        <f aca="false">IF(AC1368&lt;&gt;"",VLOOKUP(AC1368,Selects!$B:$E,4,0),"")</f>
        <v/>
      </c>
    </row>
    <row r="1369" customFormat="false" ht="15" hidden="true" customHeight="false" outlineLevel="0" collapsed="false">
      <c r="E1369" s="60" t="str">
        <f aca="false">IF(LEN(D1369)=11,"PF",IF(LEN(D1369)=14,"PJ",""))</f>
        <v/>
      </c>
      <c r="H1369" s="61" t="str">
        <f aca="false">IF(G1369&lt;&gt;"",VLOOKUP(G1369,'Cnae  mcc  id'!$A:$M,9,0),"")</f>
        <v/>
      </c>
      <c r="I1369" s="62"/>
      <c r="J1369" s="63" t="str">
        <f aca="false">IF(I1369&lt;&gt;"",VLOOKUP(I1369,'Legal Nature'!$E$2:$G$84,3,0),"")</f>
        <v/>
      </c>
      <c r="U1369" s="58" t="str">
        <f aca="false">IF( T1369&lt;&gt;"",VLOOKUP(T1369,Selects!$M$4:$N$1000,2,0),"")</f>
        <v/>
      </c>
      <c r="AD1369" s="72" t="str">
        <f aca="false">IF(AC1369&lt;&gt;"",VLOOKUP(AC1369,Selects!$B$4:$C$100,2,0),"")</f>
        <v/>
      </c>
      <c r="AH1369" s="65"/>
      <c r="AJ1369" s="66"/>
      <c r="AK1369" s="58"/>
      <c r="AM1369" s="68" t="str">
        <f aca="false">IF(LEFT(AL1369,1)="9","Celular",IF(AL1369="","","Fixo"))</f>
        <v/>
      </c>
      <c r="AN1369" s="58" t="str">
        <f aca="false">IF( AM1369&lt;&gt;"",VLOOKUP(AM1369,Selects!$M$4:$N$1000,2,0),"")</f>
        <v/>
      </c>
      <c r="BB1369" s="72" t="str">
        <f aca="false">IF(BA1369&lt;&gt;"",VLOOKUP(BA1369,Selects!$B$4:$C$100,2,0),"")</f>
        <v/>
      </c>
      <c r="BG1369" s="75" t="str">
        <f aca="false">IF(LEN(BF1369)=11,"PF",IF(LEN(BF1369)=14,"PJ",""))</f>
        <v/>
      </c>
      <c r="BH1369" s="66"/>
      <c r="BI1369" s="58" t="str">
        <f aca="false">IF(BH1369&lt;&gt;"",VLOOKUP(BH1369,Selects!$G:$H,2,0),"")</f>
        <v/>
      </c>
      <c r="BO1369" s="58" t="str">
        <f aca="false">IF(BN1369&lt;&gt;"",VLOOKUP(BN1369,Selects!$J$4:$K$1000,2,0),"")</f>
        <v/>
      </c>
      <c r="CB1369" s="72" t="str">
        <f aca="false">IF(AC1369&lt;&gt;"",VLOOKUP(AC1369,Selects!$B:$E,4,0),"")</f>
        <v/>
      </c>
    </row>
    <row r="1370" customFormat="false" ht="15" hidden="true" customHeight="false" outlineLevel="0" collapsed="false">
      <c r="E1370" s="60" t="str">
        <f aca="false">IF(LEN(D1370)=11,"PF",IF(LEN(D1370)=14,"PJ",""))</f>
        <v/>
      </c>
      <c r="H1370" s="61" t="str">
        <f aca="false">IF(G1370&lt;&gt;"",VLOOKUP(G1370,'Cnae  mcc  id'!$A:$M,9,0),"")</f>
        <v/>
      </c>
      <c r="I1370" s="62"/>
      <c r="J1370" s="63" t="str">
        <f aca="false">IF(I1370&lt;&gt;"",VLOOKUP(I1370,'Legal Nature'!$E$2:$G$84,3,0),"")</f>
        <v/>
      </c>
      <c r="U1370" s="58" t="str">
        <f aca="false">IF( T1370&lt;&gt;"",VLOOKUP(T1370,Selects!$M$4:$N$1000,2,0),"")</f>
        <v/>
      </c>
      <c r="AD1370" s="72" t="str">
        <f aca="false">IF(AC1370&lt;&gt;"",VLOOKUP(AC1370,Selects!$B$4:$C$100,2,0),"")</f>
        <v/>
      </c>
      <c r="AH1370" s="65"/>
      <c r="AJ1370" s="66"/>
      <c r="AK1370" s="58"/>
      <c r="AM1370" s="68" t="str">
        <f aca="false">IF(LEFT(AL1370,1)="9","Celular",IF(AL1370="","","Fixo"))</f>
        <v/>
      </c>
      <c r="AN1370" s="58" t="str">
        <f aca="false">IF( AM1370&lt;&gt;"",VLOOKUP(AM1370,Selects!$M$4:$N$1000,2,0),"")</f>
        <v/>
      </c>
      <c r="BB1370" s="72" t="str">
        <f aca="false">IF(BA1370&lt;&gt;"",VLOOKUP(BA1370,Selects!$B$4:$C$100,2,0),"")</f>
        <v/>
      </c>
      <c r="BG1370" s="75" t="str">
        <f aca="false">IF(LEN(BF1370)=11,"PF",IF(LEN(BF1370)=14,"PJ",""))</f>
        <v/>
      </c>
      <c r="BH1370" s="66"/>
      <c r="BI1370" s="58" t="str">
        <f aca="false">IF(BH1370&lt;&gt;"",VLOOKUP(BH1370,Selects!$G:$H,2,0),"")</f>
        <v/>
      </c>
      <c r="BO1370" s="58" t="str">
        <f aca="false">IF(BN1370&lt;&gt;"",VLOOKUP(BN1370,Selects!$J$4:$K$1000,2,0),"")</f>
        <v/>
      </c>
      <c r="CB1370" s="72" t="str">
        <f aca="false">IF(AC1370&lt;&gt;"",VLOOKUP(AC1370,Selects!$B:$E,4,0),"")</f>
        <v/>
      </c>
    </row>
    <row r="1371" customFormat="false" ht="15" hidden="true" customHeight="false" outlineLevel="0" collapsed="false">
      <c r="E1371" s="60" t="str">
        <f aca="false">IF(LEN(D1371)=11,"PF",IF(LEN(D1371)=14,"PJ",""))</f>
        <v/>
      </c>
      <c r="H1371" s="61" t="str">
        <f aca="false">IF(G1371&lt;&gt;"",VLOOKUP(G1371,'Cnae  mcc  id'!$A:$M,9,0),"")</f>
        <v/>
      </c>
      <c r="I1371" s="62"/>
      <c r="J1371" s="63" t="str">
        <f aca="false">IF(I1371&lt;&gt;"",VLOOKUP(I1371,'Legal Nature'!$E$2:$G$84,3,0),"")</f>
        <v/>
      </c>
      <c r="U1371" s="58" t="str">
        <f aca="false">IF( T1371&lt;&gt;"",VLOOKUP(T1371,Selects!$M$4:$N$1000,2,0),"")</f>
        <v/>
      </c>
      <c r="AD1371" s="72" t="str">
        <f aca="false">IF(AC1371&lt;&gt;"",VLOOKUP(AC1371,Selects!$B$4:$C$100,2,0),"")</f>
        <v/>
      </c>
      <c r="AH1371" s="65"/>
      <c r="AJ1371" s="66"/>
      <c r="AK1371" s="58"/>
      <c r="AM1371" s="68" t="str">
        <f aca="false">IF(LEFT(AL1371,1)="9","Celular",IF(AL1371="","","Fixo"))</f>
        <v/>
      </c>
      <c r="AN1371" s="58" t="str">
        <f aca="false">IF( AM1371&lt;&gt;"",VLOOKUP(AM1371,Selects!$M$4:$N$1000,2,0),"")</f>
        <v/>
      </c>
      <c r="BB1371" s="72" t="str">
        <f aca="false">IF(BA1371&lt;&gt;"",VLOOKUP(BA1371,Selects!$B$4:$C$100,2,0),"")</f>
        <v/>
      </c>
      <c r="BG1371" s="75" t="str">
        <f aca="false">IF(LEN(BF1371)=11,"PF",IF(LEN(BF1371)=14,"PJ",""))</f>
        <v/>
      </c>
      <c r="BH1371" s="66"/>
      <c r="BI1371" s="58" t="str">
        <f aca="false">IF(BH1371&lt;&gt;"",VLOOKUP(BH1371,Selects!$G:$H,2,0),"")</f>
        <v/>
      </c>
      <c r="BO1371" s="58" t="str">
        <f aca="false">IF(BN1371&lt;&gt;"",VLOOKUP(BN1371,Selects!$J$4:$K$1000,2,0),"")</f>
        <v/>
      </c>
      <c r="CB1371" s="72" t="str">
        <f aca="false">IF(AC1371&lt;&gt;"",VLOOKUP(AC1371,Selects!$B:$E,4,0),"")</f>
        <v/>
      </c>
    </row>
    <row r="1372" customFormat="false" ht="15" hidden="true" customHeight="false" outlineLevel="0" collapsed="false">
      <c r="E1372" s="60" t="str">
        <f aca="false">IF(LEN(D1372)=11,"PF",IF(LEN(D1372)=14,"PJ",""))</f>
        <v/>
      </c>
      <c r="H1372" s="61" t="str">
        <f aca="false">IF(G1372&lt;&gt;"",VLOOKUP(G1372,'Cnae  mcc  id'!$A:$M,9,0),"")</f>
        <v/>
      </c>
      <c r="I1372" s="62"/>
      <c r="J1372" s="63" t="str">
        <f aca="false">IF(I1372&lt;&gt;"",VLOOKUP(I1372,'Legal Nature'!$E$2:$G$84,3,0),"")</f>
        <v/>
      </c>
      <c r="U1372" s="58" t="str">
        <f aca="false">IF( T1372&lt;&gt;"",VLOOKUP(T1372,Selects!$M$4:$N$1000,2,0),"")</f>
        <v/>
      </c>
      <c r="AD1372" s="72" t="str">
        <f aca="false">IF(AC1372&lt;&gt;"",VLOOKUP(AC1372,Selects!$B$4:$C$100,2,0),"")</f>
        <v/>
      </c>
      <c r="AH1372" s="65"/>
      <c r="AJ1372" s="66"/>
      <c r="AK1372" s="58"/>
      <c r="AM1372" s="68" t="str">
        <f aca="false">IF(LEFT(AL1372,1)="9","Celular",IF(AL1372="","","Fixo"))</f>
        <v/>
      </c>
      <c r="AN1372" s="58" t="str">
        <f aca="false">IF( AM1372&lt;&gt;"",VLOOKUP(AM1372,Selects!$M$4:$N$1000,2,0),"")</f>
        <v/>
      </c>
      <c r="BB1372" s="72" t="str">
        <f aca="false">IF(BA1372&lt;&gt;"",VLOOKUP(BA1372,Selects!$B$4:$C$100,2,0),"")</f>
        <v/>
      </c>
      <c r="BG1372" s="75" t="str">
        <f aca="false">IF(LEN(BF1372)=11,"PF",IF(LEN(BF1372)=14,"PJ",""))</f>
        <v/>
      </c>
      <c r="BH1372" s="66"/>
      <c r="BI1372" s="58" t="str">
        <f aca="false">IF(BH1372&lt;&gt;"",VLOOKUP(BH1372,Selects!$G:$H,2,0),"")</f>
        <v/>
      </c>
      <c r="BO1372" s="58" t="str">
        <f aca="false">IF(BN1372&lt;&gt;"",VLOOKUP(BN1372,Selects!$J$4:$K$1000,2,0),"")</f>
        <v/>
      </c>
      <c r="CB1372" s="72" t="str">
        <f aca="false">IF(AC1372&lt;&gt;"",VLOOKUP(AC1372,Selects!$B:$E,4,0),"")</f>
        <v/>
      </c>
    </row>
    <row r="1373" customFormat="false" ht="15" hidden="true" customHeight="false" outlineLevel="0" collapsed="false">
      <c r="E1373" s="60" t="str">
        <f aca="false">IF(LEN(D1373)=11,"PF",IF(LEN(D1373)=14,"PJ",""))</f>
        <v/>
      </c>
      <c r="H1373" s="61" t="str">
        <f aca="false">IF(G1373&lt;&gt;"",VLOOKUP(G1373,'Cnae  mcc  id'!$A:$M,9,0),"")</f>
        <v/>
      </c>
      <c r="I1373" s="62"/>
      <c r="J1373" s="63" t="str">
        <f aca="false">IF(I1373&lt;&gt;"",VLOOKUP(I1373,'Legal Nature'!$E$2:$G$84,3,0),"")</f>
        <v/>
      </c>
      <c r="U1373" s="58" t="str">
        <f aca="false">IF( T1373&lt;&gt;"",VLOOKUP(T1373,Selects!$M$4:$N$1000,2,0),"")</f>
        <v/>
      </c>
      <c r="AD1373" s="72" t="str">
        <f aca="false">IF(AC1373&lt;&gt;"",VLOOKUP(AC1373,Selects!$B$4:$C$100,2,0),"")</f>
        <v/>
      </c>
      <c r="AH1373" s="65"/>
      <c r="AJ1373" s="66"/>
      <c r="AK1373" s="58"/>
      <c r="AM1373" s="68" t="str">
        <f aca="false">IF(LEFT(AL1373,1)="9","Celular",IF(AL1373="","","Fixo"))</f>
        <v/>
      </c>
      <c r="AN1373" s="58" t="str">
        <f aca="false">IF( AM1373&lt;&gt;"",VLOOKUP(AM1373,Selects!$M$4:$N$1000,2,0),"")</f>
        <v/>
      </c>
      <c r="BB1373" s="72" t="str">
        <f aca="false">IF(BA1373&lt;&gt;"",VLOOKUP(BA1373,Selects!$B$4:$C$100,2,0),"")</f>
        <v/>
      </c>
      <c r="BG1373" s="75" t="str">
        <f aca="false">IF(LEN(BF1373)=11,"PF",IF(LEN(BF1373)=14,"PJ",""))</f>
        <v/>
      </c>
      <c r="BH1373" s="66"/>
      <c r="BI1373" s="58" t="str">
        <f aca="false">IF(BH1373&lt;&gt;"",VLOOKUP(BH1373,Selects!$G:$H,2,0),"")</f>
        <v/>
      </c>
      <c r="BO1373" s="58" t="str">
        <f aca="false">IF(BN1373&lt;&gt;"",VLOOKUP(BN1373,Selects!$J$4:$K$1000,2,0),"")</f>
        <v/>
      </c>
      <c r="CB1373" s="72" t="str">
        <f aca="false">IF(AC1373&lt;&gt;"",VLOOKUP(AC1373,Selects!$B:$E,4,0),"")</f>
        <v/>
      </c>
    </row>
    <row r="1374" customFormat="false" ht="15" hidden="true" customHeight="false" outlineLevel="0" collapsed="false">
      <c r="E1374" s="60" t="str">
        <f aca="false">IF(LEN(D1374)=11,"PF",IF(LEN(D1374)=14,"PJ",""))</f>
        <v/>
      </c>
      <c r="H1374" s="61" t="str">
        <f aca="false">IF(G1374&lt;&gt;"",VLOOKUP(G1374,'Cnae  mcc  id'!$A:$M,9,0),"")</f>
        <v/>
      </c>
      <c r="I1374" s="62"/>
      <c r="J1374" s="63" t="str">
        <f aca="false">IF(I1374&lt;&gt;"",VLOOKUP(I1374,'Legal Nature'!$E$2:$G$84,3,0),"")</f>
        <v/>
      </c>
      <c r="U1374" s="58" t="str">
        <f aca="false">IF( T1374&lt;&gt;"",VLOOKUP(T1374,Selects!$M$4:$N$1000,2,0),"")</f>
        <v/>
      </c>
      <c r="AD1374" s="72" t="str">
        <f aca="false">IF(AC1374&lt;&gt;"",VLOOKUP(AC1374,Selects!$B$4:$C$100,2,0),"")</f>
        <v/>
      </c>
      <c r="AH1374" s="65"/>
      <c r="AJ1374" s="66"/>
      <c r="AK1374" s="58"/>
      <c r="AM1374" s="68" t="str">
        <f aca="false">IF(LEFT(AL1374,1)="9","Celular",IF(AL1374="","","Fixo"))</f>
        <v/>
      </c>
      <c r="AN1374" s="58" t="str">
        <f aca="false">IF( AM1374&lt;&gt;"",VLOOKUP(AM1374,Selects!$M$4:$N$1000,2,0),"")</f>
        <v/>
      </c>
      <c r="BB1374" s="72" t="str">
        <f aca="false">IF(BA1374&lt;&gt;"",VLOOKUP(BA1374,Selects!$B$4:$C$100,2,0),"")</f>
        <v/>
      </c>
      <c r="BG1374" s="75" t="str">
        <f aca="false">IF(LEN(BF1374)=11,"PF",IF(LEN(BF1374)=14,"PJ",""))</f>
        <v/>
      </c>
      <c r="BH1374" s="66"/>
      <c r="BI1374" s="58" t="str">
        <f aca="false">IF(BH1374&lt;&gt;"",VLOOKUP(BH1374,Selects!$G:$H,2,0),"")</f>
        <v/>
      </c>
      <c r="BO1374" s="58" t="str">
        <f aca="false">IF(BN1374&lt;&gt;"",VLOOKUP(BN1374,Selects!$J$4:$K$1000,2,0),"")</f>
        <v/>
      </c>
      <c r="CB1374" s="72" t="str">
        <f aca="false">IF(AC1374&lt;&gt;"",VLOOKUP(AC1374,Selects!$B:$E,4,0),"")</f>
        <v/>
      </c>
    </row>
    <row r="1375" customFormat="false" ht="15" hidden="true" customHeight="false" outlineLevel="0" collapsed="false">
      <c r="E1375" s="60" t="str">
        <f aca="false">IF(LEN(D1375)=11,"PF",IF(LEN(D1375)=14,"PJ",""))</f>
        <v/>
      </c>
      <c r="H1375" s="61" t="str">
        <f aca="false">IF(G1375&lt;&gt;"",VLOOKUP(G1375,'Cnae  mcc  id'!$A:$M,9,0),"")</f>
        <v/>
      </c>
      <c r="I1375" s="62"/>
      <c r="J1375" s="63" t="str">
        <f aca="false">IF(I1375&lt;&gt;"",VLOOKUP(I1375,'Legal Nature'!$E$2:$G$84,3,0),"")</f>
        <v/>
      </c>
      <c r="U1375" s="58" t="str">
        <f aca="false">IF( T1375&lt;&gt;"",VLOOKUP(T1375,Selects!$M$4:$N$1000,2,0),"")</f>
        <v/>
      </c>
      <c r="AD1375" s="72" t="str">
        <f aca="false">IF(AC1375&lt;&gt;"",VLOOKUP(AC1375,Selects!$B$4:$C$100,2,0),"")</f>
        <v/>
      </c>
      <c r="AH1375" s="65"/>
      <c r="AJ1375" s="66"/>
      <c r="AK1375" s="58"/>
      <c r="AM1375" s="68" t="str">
        <f aca="false">IF(LEFT(AL1375,1)="9","Celular",IF(AL1375="","","Fixo"))</f>
        <v/>
      </c>
      <c r="AN1375" s="58" t="str">
        <f aca="false">IF( AM1375&lt;&gt;"",VLOOKUP(AM1375,Selects!$M$4:$N$1000,2,0),"")</f>
        <v/>
      </c>
      <c r="BB1375" s="72" t="str">
        <f aca="false">IF(BA1375&lt;&gt;"",VLOOKUP(BA1375,Selects!$B$4:$C$100,2,0),"")</f>
        <v/>
      </c>
      <c r="BG1375" s="75" t="str">
        <f aca="false">IF(LEN(BF1375)=11,"PF",IF(LEN(BF1375)=14,"PJ",""))</f>
        <v/>
      </c>
      <c r="BH1375" s="66"/>
      <c r="BI1375" s="58" t="str">
        <f aca="false">IF(BH1375&lt;&gt;"",VLOOKUP(BH1375,Selects!$G:$H,2,0),"")</f>
        <v/>
      </c>
      <c r="BO1375" s="58" t="str">
        <f aca="false">IF(BN1375&lt;&gt;"",VLOOKUP(BN1375,Selects!$J$4:$K$1000,2,0),"")</f>
        <v/>
      </c>
      <c r="CB1375" s="72" t="str">
        <f aca="false">IF(AC1375&lt;&gt;"",VLOOKUP(AC1375,Selects!$B:$E,4,0),"")</f>
        <v/>
      </c>
    </row>
    <row r="1376" customFormat="false" ht="15" hidden="true" customHeight="false" outlineLevel="0" collapsed="false">
      <c r="E1376" s="60" t="str">
        <f aca="false">IF(LEN(D1376)=11,"PF",IF(LEN(D1376)=14,"PJ",""))</f>
        <v/>
      </c>
      <c r="H1376" s="61" t="str">
        <f aca="false">IF(G1376&lt;&gt;"",VLOOKUP(G1376,'Cnae  mcc  id'!$A:$M,9,0),"")</f>
        <v/>
      </c>
      <c r="I1376" s="62"/>
      <c r="J1376" s="63" t="str">
        <f aca="false">IF(I1376&lt;&gt;"",VLOOKUP(I1376,'Legal Nature'!$E$2:$G$84,3,0),"")</f>
        <v/>
      </c>
      <c r="U1376" s="58" t="str">
        <f aca="false">IF( T1376&lt;&gt;"",VLOOKUP(T1376,Selects!$M$4:$N$1000,2,0),"")</f>
        <v/>
      </c>
      <c r="AD1376" s="72" t="str">
        <f aca="false">IF(AC1376&lt;&gt;"",VLOOKUP(AC1376,Selects!$B$4:$C$100,2,0),"")</f>
        <v/>
      </c>
      <c r="AH1376" s="65"/>
      <c r="AJ1376" s="66"/>
      <c r="AK1376" s="58"/>
      <c r="AM1376" s="68" t="str">
        <f aca="false">IF(LEFT(AL1376,1)="9","Celular",IF(AL1376="","","Fixo"))</f>
        <v/>
      </c>
      <c r="AN1376" s="58" t="str">
        <f aca="false">IF( AM1376&lt;&gt;"",VLOOKUP(AM1376,Selects!$M$4:$N$1000,2,0),"")</f>
        <v/>
      </c>
      <c r="BB1376" s="72" t="str">
        <f aca="false">IF(BA1376&lt;&gt;"",VLOOKUP(BA1376,Selects!$B$4:$C$100,2,0),"")</f>
        <v/>
      </c>
      <c r="BG1376" s="75" t="str">
        <f aca="false">IF(LEN(BF1376)=11,"PF",IF(LEN(BF1376)=14,"PJ",""))</f>
        <v/>
      </c>
      <c r="BH1376" s="66"/>
      <c r="BI1376" s="58" t="str">
        <f aca="false">IF(BH1376&lt;&gt;"",VLOOKUP(BH1376,Selects!$G:$H,2,0),"")</f>
        <v/>
      </c>
      <c r="BO1376" s="58" t="str">
        <f aca="false">IF(BN1376&lt;&gt;"",VLOOKUP(BN1376,Selects!$J$4:$K$1000,2,0),"")</f>
        <v/>
      </c>
      <c r="CB1376" s="72" t="str">
        <f aca="false">IF(AC1376&lt;&gt;"",VLOOKUP(AC1376,Selects!$B:$E,4,0),"")</f>
        <v/>
      </c>
    </row>
    <row r="1377" customFormat="false" ht="15" hidden="true" customHeight="false" outlineLevel="0" collapsed="false">
      <c r="E1377" s="60" t="str">
        <f aca="false">IF(LEN(D1377)=11,"PF",IF(LEN(D1377)=14,"PJ",""))</f>
        <v/>
      </c>
      <c r="H1377" s="61" t="str">
        <f aca="false">IF(G1377&lt;&gt;"",VLOOKUP(G1377,'Cnae  mcc  id'!$A:$M,9,0),"")</f>
        <v/>
      </c>
      <c r="I1377" s="62"/>
      <c r="J1377" s="63" t="str">
        <f aca="false">IF(I1377&lt;&gt;"",VLOOKUP(I1377,'Legal Nature'!$E$2:$G$84,3,0),"")</f>
        <v/>
      </c>
      <c r="U1377" s="58" t="str">
        <f aca="false">IF( T1377&lt;&gt;"",VLOOKUP(T1377,Selects!$M$4:$N$1000,2,0),"")</f>
        <v/>
      </c>
      <c r="AD1377" s="72" t="str">
        <f aca="false">IF(AC1377&lt;&gt;"",VLOOKUP(AC1377,Selects!$B$4:$C$100,2,0),"")</f>
        <v/>
      </c>
      <c r="AH1377" s="65"/>
      <c r="AJ1377" s="66"/>
      <c r="AK1377" s="58"/>
      <c r="AM1377" s="68" t="str">
        <f aca="false">IF(LEFT(AL1377,1)="9","Celular",IF(AL1377="","","Fixo"))</f>
        <v/>
      </c>
      <c r="AN1377" s="58" t="str">
        <f aca="false">IF( AM1377&lt;&gt;"",VLOOKUP(AM1377,Selects!$M$4:$N$1000,2,0),"")</f>
        <v/>
      </c>
      <c r="BB1377" s="72" t="str">
        <f aca="false">IF(BA1377&lt;&gt;"",VLOOKUP(BA1377,Selects!$B$4:$C$100,2,0),"")</f>
        <v/>
      </c>
      <c r="BG1377" s="75" t="str">
        <f aca="false">IF(LEN(BF1377)=11,"PF",IF(LEN(BF1377)=14,"PJ",""))</f>
        <v/>
      </c>
      <c r="BH1377" s="66"/>
      <c r="BI1377" s="58" t="str">
        <f aca="false">IF(BH1377&lt;&gt;"",VLOOKUP(BH1377,Selects!$G:$H,2,0),"")</f>
        <v/>
      </c>
      <c r="BO1377" s="58" t="str">
        <f aca="false">IF(BN1377&lt;&gt;"",VLOOKUP(BN1377,Selects!$J$4:$K$1000,2,0),"")</f>
        <v/>
      </c>
      <c r="CB1377" s="72" t="str">
        <f aca="false">IF(AC1377&lt;&gt;"",VLOOKUP(AC1377,Selects!$B:$E,4,0),"")</f>
        <v/>
      </c>
    </row>
    <row r="1378" customFormat="false" ht="15" hidden="true" customHeight="false" outlineLevel="0" collapsed="false">
      <c r="E1378" s="60" t="str">
        <f aca="false">IF(LEN(D1378)=11,"PF",IF(LEN(D1378)=14,"PJ",""))</f>
        <v/>
      </c>
      <c r="H1378" s="61" t="str">
        <f aca="false">IF(G1378&lt;&gt;"",VLOOKUP(G1378,'Cnae  mcc  id'!$A:$M,9,0),"")</f>
        <v/>
      </c>
      <c r="I1378" s="62"/>
      <c r="J1378" s="63" t="str">
        <f aca="false">IF(I1378&lt;&gt;"",VLOOKUP(I1378,'Legal Nature'!$E$2:$G$84,3,0),"")</f>
        <v/>
      </c>
      <c r="U1378" s="58" t="str">
        <f aca="false">IF( T1378&lt;&gt;"",VLOOKUP(T1378,Selects!$M$4:$N$1000,2,0),"")</f>
        <v/>
      </c>
      <c r="AD1378" s="72" t="str">
        <f aca="false">IF(AC1378&lt;&gt;"",VLOOKUP(AC1378,Selects!$B$4:$C$100,2,0),"")</f>
        <v/>
      </c>
      <c r="AH1378" s="65"/>
      <c r="AJ1378" s="66"/>
      <c r="AK1378" s="58"/>
      <c r="AM1378" s="68" t="str">
        <f aca="false">IF(LEFT(AL1378,1)="9","Celular",IF(AL1378="","","Fixo"))</f>
        <v/>
      </c>
      <c r="AN1378" s="58" t="str">
        <f aca="false">IF( AM1378&lt;&gt;"",VLOOKUP(AM1378,Selects!$M$4:$N$1000,2,0),"")</f>
        <v/>
      </c>
      <c r="BB1378" s="72" t="str">
        <f aca="false">IF(BA1378&lt;&gt;"",VLOOKUP(BA1378,Selects!$B$4:$C$100,2,0),"")</f>
        <v/>
      </c>
      <c r="BG1378" s="75" t="str">
        <f aca="false">IF(LEN(BF1378)=11,"PF",IF(LEN(BF1378)=14,"PJ",""))</f>
        <v/>
      </c>
      <c r="BH1378" s="66"/>
      <c r="BI1378" s="58" t="str">
        <f aca="false">IF(BH1378&lt;&gt;"",VLOOKUP(BH1378,Selects!$G:$H,2,0),"")</f>
        <v/>
      </c>
      <c r="BO1378" s="58" t="str">
        <f aca="false">IF(BN1378&lt;&gt;"",VLOOKUP(BN1378,Selects!$J$4:$K$1000,2,0),"")</f>
        <v/>
      </c>
      <c r="CB1378" s="72" t="str">
        <f aca="false">IF(AC1378&lt;&gt;"",VLOOKUP(AC1378,Selects!$B:$E,4,0),"")</f>
        <v/>
      </c>
    </row>
    <row r="1379" customFormat="false" ht="15" hidden="true" customHeight="false" outlineLevel="0" collapsed="false">
      <c r="E1379" s="60" t="str">
        <f aca="false">IF(LEN(D1379)=11,"PF",IF(LEN(D1379)=14,"PJ",""))</f>
        <v/>
      </c>
      <c r="H1379" s="61" t="str">
        <f aca="false">IF(G1379&lt;&gt;"",VLOOKUP(G1379,'Cnae  mcc  id'!$A:$M,9,0),"")</f>
        <v/>
      </c>
      <c r="I1379" s="62"/>
      <c r="J1379" s="63" t="str">
        <f aca="false">IF(I1379&lt;&gt;"",VLOOKUP(I1379,'Legal Nature'!$E$2:$G$84,3,0),"")</f>
        <v/>
      </c>
      <c r="U1379" s="58" t="str">
        <f aca="false">IF( T1379&lt;&gt;"",VLOOKUP(T1379,Selects!$M$4:$N$1000,2,0),"")</f>
        <v/>
      </c>
      <c r="AD1379" s="72" t="str">
        <f aca="false">IF(AC1379&lt;&gt;"",VLOOKUP(AC1379,Selects!$B$4:$C$100,2,0),"")</f>
        <v/>
      </c>
      <c r="AH1379" s="65"/>
      <c r="AJ1379" s="66"/>
      <c r="AK1379" s="58"/>
      <c r="AM1379" s="68" t="str">
        <f aca="false">IF(LEFT(AL1379,1)="9","Celular",IF(AL1379="","","Fixo"))</f>
        <v/>
      </c>
      <c r="AN1379" s="58" t="str">
        <f aca="false">IF( AM1379&lt;&gt;"",VLOOKUP(AM1379,Selects!$M$4:$N$1000,2,0),"")</f>
        <v/>
      </c>
      <c r="BB1379" s="72" t="str">
        <f aca="false">IF(BA1379&lt;&gt;"",VLOOKUP(BA1379,Selects!$B$4:$C$100,2,0),"")</f>
        <v/>
      </c>
      <c r="BG1379" s="75" t="str">
        <f aca="false">IF(LEN(BF1379)=11,"PF",IF(LEN(BF1379)=14,"PJ",""))</f>
        <v/>
      </c>
      <c r="BH1379" s="66"/>
      <c r="BI1379" s="58" t="str">
        <f aca="false">IF(BH1379&lt;&gt;"",VLOOKUP(BH1379,Selects!$G:$H,2,0),"")</f>
        <v/>
      </c>
      <c r="BO1379" s="58" t="str">
        <f aca="false">IF(BN1379&lt;&gt;"",VLOOKUP(BN1379,Selects!$J$4:$K$1000,2,0),"")</f>
        <v/>
      </c>
      <c r="CB1379" s="72" t="str">
        <f aca="false">IF(AC1379&lt;&gt;"",VLOOKUP(AC1379,Selects!$B:$E,4,0),"")</f>
        <v/>
      </c>
    </row>
    <row r="1380" customFormat="false" ht="15" hidden="true" customHeight="false" outlineLevel="0" collapsed="false">
      <c r="E1380" s="60" t="str">
        <f aca="false">IF(LEN(D1380)=11,"PF",IF(LEN(D1380)=14,"PJ",""))</f>
        <v/>
      </c>
      <c r="H1380" s="61" t="str">
        <f aca="false">IF(G1380&lt;&gt;"",VLOOKUP(G1380,'Cnae  mcc  id'!$A:$M,9,0),"")</f>
        <v/>
      </c>
      <c r="I1380" s="62"/>
      <c r="J1380" s="63" t="str">
        <f aca="false">IF(I1380&lt;&gt;"",VLOOKUP(I1380,'Legal Nature'!$E$2:$G$84,3,0),"")</f>
        <v/>
      </c>
      <c r="U1380" s="58" t="str">
        <f aca="false">IF( T1380&lt;&gt;"",VLOOKUP(T1380,Selects!$M$4:$N$1000,2,0),"")</f>
        <v/>
      </c>
      <c r="AD1380" s="72" t="str">
        <f aca="false">IF(AC1380&lt;&gt;"",VLOOKUP(AC1380,Selects!$B$4:$C$100,2,0),"")</f>
        <v/>
      </c>
      <c r="AH1380" s="65"/>
      <c r="AJ1380" s="66"/>
      <c r="AK1380" s="58"/>
      <c r="AM1380" s="68" t="str">
        <f aca="false">IF(LEFT(AL1380,1)="9","Celular",IF(AL1380="","","Fixo"))</f>
        <v/>
      </c>
      <c r="AN1380" s="58" t="str">
        <f aca="false">IF( AM1380&lt;&gt;"",VLOOKUP(AM1380,Selects!$M$4:$N$1000,2,0),"")</f>
        <v/>
      </c>
      <c r="BB1380" s="72" t="str">
        <f aca="false">IF(BA1380&lt;&gt;"",VLOOKUP(BA1380,Selects!$B$4:$C$100,2,0),"")</f>
        <v/>
      </c>
      <c r="BG1380" s="75" t="str">
        <f aca="false">IF(LEN(BF1380)=11,"PF",IF(LEN(BF1380)=14,"PJ",""))</f>
        <v/>
      </c>
      <c r="BH1380" s="66"/>
      <c r="BI1380" s="58" t="str">
        <f aca="false">IF(BH1380&lt;&gt;"",VLOOKUP(BH1380,Selects!$G:$H,2,0),"")</f>
        <v/>
      </c>
      <c r="BO1380" s="58" t="str">
        <f aca="false">IF(BN1380&lt;&gt;"",VLOOKUP(BN1380,Selects!$J$4:$K$1000,2,0),"")</f>
        <v/>
      </c>
      <c r="CB1380" s="72" t="str">
        <f aca="false">IF(AC1380&lt;&gt;"",VLOOKUP(AC1380,Selects!$B:$E,4,0),"")</f>
        <v/>
      </c>
    </row>
    <row r="1381" customFormat="false" ht="15" hidden="true" customHeight="false" outlineLevel="0" collapsed="false">
      <c r="E1381" s="60" t="str">
        <f aca="false">IF(LEN(D1381)=11,"PF",IF(LEN(D1381)=14,"PJ",""))</f>
        <v/>
      </c>
      <c r="H1381" s="61" t="str">
        <f aca="false">IF(G1381&lt;&gt;"",VLOOKUP(G1381,'Cnae  mcc  id'!$A:$M,9,0),"")</f>
        <v/>
      </c>
      <c r="I1381" s="62"/>
      <c r="J1381" s="63" t="str">
        <f aca="false">IF(I1381&lt;&gt;"",VLOOKUP(I1381,'Legal Nature'!$E$2:$G$84,3,0),"")</f>
        <v/>
      </c>
      <c r="U1381" s="58" t="str">
        <f aca="false">IF( T1381&lt;&gt;"",VLOOKUP(T1381,Selects!$M$4:$N$1000,2,0),"")</f>
        <v/>
      </c>
      <c r="AD1381" s="72" t="str">
        <f aca="false">IF(AC1381&lt;&gt;"",VLOOKUP(AC1381,Selects!$B$4:$C$100,2,0),"")</f>
        <v/>
      </c>
      <c r="AH1381" s="65"/>
      <c r="AJ1381" s="66"/>
      <c r="AK1381" s="58"/>
      <c r="AM1381" s="68" t="str">
        <f aca="false">IF(LEFT(AL1381,1)="9","Celular",IF(AL1381="","","Fixo"))</f>
        <v/>
      </c>
      <c r="AN1381" s="58" t="str">
        <f aca="false">IF( AM1381&lt;&gt;"",VLOOKUP(AM1381,Selects!$M$4:$N$1000,2,0),"")</f>
        <v/>
      </c>
      <c r="BB1381" s="72" t="str">
        <f aca="false">IF(BA1381&lt;&gt;"",VLOOKUP(BA1381,Selects!$B$4:$C$100,2,0),"")</f>
        <v/>
      </c>
      <c r="BG1381" s="75" t="str">
        <f aca="false">IF(LEN(BF1381)=11,"PF",IF(LEN(BF1381)=14,"PJ",""))</f>
        <v/>
      </c>
      <c r="BH1381" s="66"/>
      <c r="BI1381" s="58" t="str">
        <f aca="false">IF(BH1381&lt;&gt;"",VLOOKUP(BH1381,Selects!$G:$H,2,0),"")</f>
        <v/>
      </c>
      <c r="BO1381" s="58" t="str">
        <f aca="false">IF(BN1381&lt;&gt;"",VLOOKUP(BN1381,Selects!$J$4:$K$1000,2,0),"")</f>
        <v/>
      </c>
      <c r="CB1381" s="72" t="str">
        <f aca="false">IF(AC1381&lt;&gt;"",VLOOKUP(AC1381,Selects!$B:$E,4,0),"")</f>
        <v/>
      </c>
    </row>
    <row r="1382" customFormat="false" ht="15" hidden="true" customHeight="false" outlineLevel="0" collapsed="false">
      <c r="E1382" s="60" t="str">
        <f aca="false">IF(LEN(D1382)=11,"PF",IF(LEN(D1382)=14,"PJ",""))</f>
        <v/>
      </c>
      <c r="H1382" s="61" t="str">
        <f aca="false">IF(G1382&lt;&gt;"",VLOOKUP(G1382,'Cnae  mcc  id'!$A:$M,9,0),"")</f>
        <v/>
      </c>
      <c r="I1382" s="62"/>
      <c r="J1382" s="63" t="str">
        <f aca="false">IF(I1382&lt;&gt;"",VLOOKUP(I1382,'Legal Nature'!$E$2:$G$84,3,0),"")</f>
        <v/>
      </c>
      <c r="U1382" s="58" t="str">
        <f aca="false">IF( T1382&lt;&gt;"",VLOOKUP(T1382,Selects!$M$4:$N$1000,2,0),"")</f>
        <v/>
      </c>
      <c r="AD1382" s="72" t="str">
        <f aca="false">IF(AC1382&lt;&gt;"",VLOOKUP(AC1382,Selects!$B$4:$C$100,2,0),"")</f>
        <v/>
      </c>
      <c r="AH1382" s="65"/>
      <c r="AJ1382" s="66"/>
      <c r="AK1382" s="58"/>
      <c r="AM1382" s="68" t="str">
        <f aca="false">IF(LEFT(AL1382,1)="9","Celular",IF(AL1382="","","Fixo"))</f>
        <v/>
      </c>
      <c r="AN1382" s="58" t="str">
        <f aca="false">IF( AM1382&lt;&gt;"",VLOOKUP(AM1382,Selects!$M$4:$N$1000,2,0),"")</f>
        <v/>
      </c>
      <c r="BB1382" s="72" t="str">
        <f aca="false">IF(BA1382&lt;&gt;"",VLOOKUP(BA1382,Selects!$B$4:$C$100,2,0),"")</f>
        <v/>
      </c>
      <c r="BG1382" s="75" t="str">
        <f aca="false">IF(LEN(BF1382)=11,"PF",IF(LEN(BF1382)=14,"PJ",""))</f>
        <v/>
      </c>
      <c r="BH1382" s="66"/>
      <c r="BI1382" s="58" t="str">
        <f aca="false">IF(BH1382&lt;&gt;"",VLOOKUP(BH1382,Selects!$G:$H,2,0),"")</f>
        <v/>
      </c>
      <c r="BO1382" s="58" t="str">
        <f aca="false">IF(BN1382&lt;&gt;"",VLOOKUP(BN1382,Selects!$J$4:$K$1000,2,0),"")</f>
        <v/>
      </c>
      <c r="CB1382" s="72" t="str">
        <f aca="false">IF(AC1382&lt;&gt;"",VLOOKUP(AC1382,Selects!$B:$E,4,0),"")</f>
        <v/>
      </c>
    </row>
    <row r="1383" customFormat="false" ht="15" hidden="true" customHeight="false" outlineLevel="0" collapsed="false">
      <c r="E1383" s="60" t="str">
        <f aca="false">IF(LEN(D1383)=11,"PF",IF(LEN(D1383)=14,"PJ",""))</f>
        <v/>
      </c>
      <c r="H1383" s="61" t="str">
        <f aca="false">IF(G1383&lt;&gt;"",VLOOKUP(G1383,'Cnae  mcc  id'!$A:$M,9,0),"")</f>
        <v/>
      </c>
      <c r="I1383" s="62"/>
      <c r="J1383" s="63" t="str">
        <f aca="false">IF(I1383&lt;&gt;"",VLOOKUP(I1383,'Legal Nature'!$E$2:$G$84,3,0),"")</f>
        <v/>
      </c>
      <c r="U1383" s="58" t="str">
        <f aca="false">IF( T1383&lt;&gt;"",VLOOKUP(T1383,Selects!$M$4:$N$1000,2,0),"")</f>
        <v/>
      </c>
      <c r="AD1383" s="72" t="str">
        <f aca="false">IF(AC1383&lt;&gt;"",VLOOKUP(AC1383,Selects!$B$4:$C$100,2,0),"")</f>
        <v/>
      </c>
      <c r="AH1383" s="65"/>
      <c r="AJ1383" s="66"/>
      <c r="AK1383" s="58"/>
      <c r="AM1383" s="68" t="str">
        <f aca="false">IF(LEFT(AL1383,1)="9","Celular",IF(AL1383="","","Fixo"))</f>
        <v/>
      </c>
      <c r="AN1383" s="58" t="str">
        <f aca="false">IF( AM1383&lt;&gt;"",VLOOKUP(AM1383,Selects!$M$4:$N$1000,2,0),"")</f>
        <v/>
      </c>
      <c r="BB1383" s="72" t="str">
        <f aca="false">IF(BA1383&lt;&gt;"",VLOOKUP(BA1383,Selects!$B$4:$C$100,2,0),"")</f>
        <v/>
      </c>
      <c r="BG1383" s="75" t="str">
        <f aca="false">IF(LEN(BF1383)=11,"PF",IF(LEN(BF1383)=14,"PJ",""))</f>
        <v/>
      </c>
      <c r="BH1383" s="66"/>
      <c r="BI1383" s="58" t="str">
        <f aca="false">IF(BH1383&lt;&gt;"",VLOOKUP(BH1383,Selects!$G:$H,2,0),"")</f>
        <v/>
      </c>
      <c r="BO1383" s="58" t="str">
        <f aca="false">IF(BN1383&lt;&gt;"",VLOOKUP(BN1383,Selects!$J$4:$K$1000,2,0),"")</f>
        <v/>
      </c>
      <c r="CB1383" s="72" t="str">
        <f aca="false">IF(AC1383&lt;&gt;"",VLOOKUP(AC1383,Selects!$B:$E,4,0),"")</f>
        <v/>
      </c>
    </row>
    <row r="1384" customFormat="false" ht="15" hidden="true" customHeight="false" outlineLevel="0" collapsed="false">
      <c r="E1384" s="60" t="str">
        <f aca="false">IF(LEN(D1384)=11,"PF",IF(LEN(D1384)=14,"PJ",""))</f>
        <v/>
      </c>
      <c r="H1384" s="61" t="str">
        <f aca="false">IF(G1384&lt;&gt;"",VLOOKUP(G1384,'Cnae  mcc  id'!$A:$M,9,0),"")</f>
        <v/>
      </c>
      <c r="I1384" s="62"/>
      <c r="J1384" s="63" t="str">
        <f aca="false">IF(I1384&lt;&gt;"",VLOOKUP(I1384,'Legal Nature'!$E$2:$G$84,3,0),"")</f>
        <v/>
      </c>
      <c r="U1384" s="58" t="str">
        <f aca="false">IF( T1384&lt;&gt;"",VLOOKUP(T1384,Selects!$M$4:$N$1000,2,0),"")</f>
        <v/>
      </c>
      <c r="AD1384" s="72" t="str">
        <f aca="false">IF(AC1384&lt;&gt;"",VLOOKUP(AC1384,Selects!$B$4:$C$100,2,0),"")</f>
        <v/>
      </c>
      <c r="AH1384" s="65"/>
      <c r="AJ1384" s="66"/>
      <c r="AK1384" s="58"/>
      <c r="AM1384" s="68" t="str">
        <f aca="false">IF(LEFT(AL1384,1)="9","Celular",IF(AL1384="","","Fixo"))</f>
        <v/>
      </c>
      <c r="AN1384" s="58" t="str">
        <f aca="false">IF( AM1384&lt;&gt;"",VLOOKUP(AM1384,Selects!$M$4:$N$1000,2,0),"")</f>
        <v/>
      </c>
      <c r="BB1384" s="72" t="str">
        <f aca="false">IF(BA1384&lt;&gt;"",VLOOKUP(BA1384,Selects!$B$4:$C$100,2,0),"")</f>
        <v/>
      </c>
      <c r="BG1384" s="75" t="str">
        <f aca="false">IF(LEN(BF1384)=11,"PF",IF(LEN(BF1384)=14,"PJ",""))</f>
        <v/>
      </c>
      <c r="BH1384" s="66"/>
      <c r="BI1384" s="58" t="str">
        <f aca="false">IF(BH1384&lt;&gt;"",VLOOKUP(BH1384,Selects!$G:$H,2,0),"")</f>
        <v/>
      </c>
      <c r="BO1384" s="58" t="str">
        <f aca="false">IF(BN1384&lt;&gt;"",VLOOKUP(BN1384,Selects!$J$4:$K$1000,2,0),"")</f>
        <v/>
      </c>
      <c r="CB1384" s="72" t="str">
        <f aca="false">IF(AC1384&lt;&gt;"",VLOOKUP(AC1384,Selects!$B:$E,4,0),"")</f>
        <v/>
      </c>
    </row>
    <row r="1385" customFormat="false" ht="15" hidden="true" customHeight="false" outlineLevel="0" collapsed="false">
      <c r="E1385" s="60" t="str">
        <f aca="false">IF(LEN(D1385)=11,"PF",IF(LEN(D1385)=14,"PJ",""))</f>
        <v/>
      </c>
      <c r="H1385" s="61" t="str">
        <f aca="false">IF(G1385&lt;&gt;"",VLOOKUP(G1385,'Cnae  mcc  id'!$A:$M,9,0),"")</f>
        <v/>
      </c>
      <c r="I1385" s="62"/>
      <c r="J1385" s="63" t="str">
        <f aca="false">IF(I1385&lt;&gt;"",VLOOKUP(I1385,'Legal Nature'!$E$2:$G$84,3,0),"")</f>
        <v/>
      </c>
      <c r="U1385" s="58" t="str">
        <f aca="false">IF( T1385&lt;&gt;"",VLOOKUP(T1385,Selects!$M$4:$N$1000,2,0),"")</f>
        <v/>
      </c>
      <c r="AD1385" s="72" t="str">
        <f aca="false">IF(AC1385&lt;&gt;"",VLOOKUP(AC1385,Selects!$B$4:$C$100,2,0),"")</f>
        <v/>
      </c>
      <c r="AH1385" s="65"/>
      <c r="AJ1385" s="66"/>
      <c r="AK1385" s="58"/>
      <c r="AM1385" s="68" t="str">
        <f aca="false">IF(LEFT(AL1385,1)="9","Celular",IF(AL1385="","","Fixo"))</f>
        <v/>
      </c>
      <c r="AN1385" s="58" t="str">
        <f aca="false">IF( AM1385&lt;&gt;"",VLOOKUP(AM1385,Selects!$M$4:$N$1000,2,0),"")</f>
        <v/>
      </c>
      <c r="BB1385" s="72" t="str">
        <f aca="false">IF(BA1385&lt;&gt;"",VLOOKUP(BA1385,Selects!$B$4:$C$100,2,0),"")</f>
        <v/>
      </c>
      <c r="BG1385" s="75" t="str">
        <f aca="false">IF(LEN(BF1385)=11,"PF",IF(LEN(BF1385)=14,"PJ",""))</f>
        <v/>
      </c>
      <c r="BH1385" s="66"/>
      <c r="BI1385" s="58" t="str">
        <f aca="false">IF(BH1385&lt;&gt;"",VLOOKUP(BH1385,Selects!$G:$H,2,0),"")</f>
        <v/>
      </c>
      <c r="BO1385" s="58" t="str">
        <f aca="false">IF(BN1385&lt;&gt;"",VLOOKUP(BN1385,Selects!$J$4:$K$1000,2,0),"")</f>
        <v/>
      </c>
      <c r="CB1385" s="72" t="str">
        <f aca="false">IF(AC1385&lt;&gt;"",VLOOKUP(AC1385,Selects!$B:$E,4,0),"")</f>
        <v/>
      </c>
    </row>
    <row r="1386" customFormat="false" ht="15" hidden="true" customHeight="false" outlineLevel="0" collapsed="false">
      <c r="E1386" s="60" t="str">
        <f aca="false">IF(LEN(D1386)=11,"PF",IF(LEN(D1386)=14,"PJ",""))</f>
        <v/>
      </c>
      <c r="H1386" s="61" t="str">
        <f aca="false">IF(G1386&lt;&gt;"",VLOOKUP(G1386,'Cnae  mcc  id'!$A:$M,9,0),"")</f>
        <v/>
      </c>
      <c r="I1386" s="62"/>
      <c r="J1386" s="63" t="str">
        <f aca="false">IF(I1386&lt;&gt;"",VLOOKUP(I1386,'Legal Nature'!$E$2:$G$84,3,0),"")</f>
        <v/>
      </c>
      <c r="U1386" s="58" t="str">
        <f aca="false">IF( T1386&lt;&gt;"",VLOOKUP(T1386,Selects!$M$4:$N$1000,2,0),"")</f>
        <v/>
      </c>
      <c r="AD1386" s="72" t="str">
        <f aca="false">IF(AC1386&lt;&gt;"",VLOOKUP(AC1386,Selects!$B$4:$C$100,2,0),"")</f>
        <v/>
      </c>
      <c r="AH1386" s="65"/>
      <c r="AJ1386" s="66"/>
      <c r="AK1386" s="58"/>
      <c r="AM1386" s="68" t="str">
        <f aca="false">IF(LEFT(AL1386,1)="9","Celular",IF(AL1386="","","Fixo"))</f>
        <v/>
      </c>
      <c r="AN1386" s="58" t="str">
        <f aca="false">IF( AM1386&lt;&gt;"",VLOOKUP(AM1386,Selects!$M$4:$N$1000,2,0),"")</f>
        <v/>
      </c>
      <c r="BB1386" s="72" t="str">
        <f aca="false">IF(BA1386&lt;&gt;"",VLOOKUP(BA1386,Selects!$B$4:$C$100,2,0),"")</f>
        <v/>
      </c>
      <c r="BG1386" s="75" t="str">
        <f aca="false">IF(LEN(BF1386)=11,"PF",IF(LEN(BF1386)=14,"PJ",""))</f>
        <v/>
      </c>
      <c r="BH1386" s="66"/>
      <c r="BI1386" s="58" t="str">
        <f aca="false">IF(BH1386&lt;&gt;"",VLOOKUP(BH1386,Selects!$G:$H,2,0),"")</f>
        <v/>
      </c>
      <c r="BO1386" s="58" t="str">
        <f aca="false">IF(BN1386&lt;&gt;"",VLOOKUP(BN1386,Selects!$J$4:$K$1000,2,0),"")</f>
        <v/>
      </c>
      <c r="CB1386" s="72" t="str">
        <f aca="false">IF(AC1386&lt;&gt;"",VLOOKUP(AC1386,Selects!$B:$E,4,0),"")</f>
        <v/>
      </c>
    </row>
    <row r="1387" customFormat="false" ht="15" hidden="true" customHeight="false" outlineLevel="0" collapsed="false">
      <c r="E1387" s="60" t="str">
        <f aca="false">IF(LEN(D1387)=11,"PF",IF(LEN(D1387)=14,"PJ",""))</f>
        <v/>
      </c>
      <c r="H1387" s="61" t="str">
        <f aca="false">IF(G1387&lt;&gt;"",VLOOKUP(G1387,'Cnae  mcc  id'!$A:$M,9,0),"")</f>
        <v/>
      </c>
      <c r="I1387" s="62"/>
      <c r="J1387" s="63" t="str">
        <f aca="false">IF(I1387&lt;&gt;"",VLOOKUP(I1387,'Legal Nature'!$E$2:$G$84,3,0),"")</f>
        <v/>
      </c>
      <c r="U1387" s="58" t="str">
        <f aca="false">IF( T1387&lt;&gt;"",VLOOKUP(T1387,Selects!$M$4:$N$1000,2,0),"")</f>
        <v/>
      </c>
      <c r="AD1387" s="72" t="str">
        <f aca="false">IF(AC1387&lt;&gt;"",VLOOKUP(AC1387,Selects!$B$4:$C$100,2,0),"")</f>
        <v/>
      </c>
      <c r="AH1387" s="65"/>
      <c r="AJ1387" s="66"/>
      <c r="AK1387" s="58"/>
      <c r="AM1387" s="68" t="str">
        <f aca="false">IF(LEFT(AL1387,1)="9","Celular",IF(AL1387="","","Fixo"))</f>
        <v/>
      </c>
      <c r="AN1387" s="58" t="str">
        <f aca="false">IF( AM1387&lt;&gt;"",VLOOKUP(AM1387,Selects!$M$4:$N$1000,2,0),"")</f>
        <v/>
      </c>
      <c r="BB1387" s="72" t="str">
        <f aca="false">IF(BA1387&lt;&gt;"",VLOOKUP(BA1387,Selects!$B$4:$C$100,2,0),"")</f>
        <v/>
      </c>
      <c r="BG1387" s="75" t="str">
        <f aca="false">IF(LEN(BF1387)=11,"PF",IF(LEN(BF1387)=14,"PJ",""))</f>
        <v/>
      </c>
      <c r="BH1387" s="66"/>
      <c r="BI1387" s="58" t="str">
        <f aca="false">IF(BH1387&lt;&gt;"",VLOOKUP(BH1387,Selects!$G:$H,2,0),"")</f>
        <v/>
      </c>
      <c r="BO1387" s="58" t="str">
        <f aca="false">IF(BN1387&lt;&gt;"",VLOOKUP(BN1387,Selects!$J$4:$K$1000,2,0),"")</f>
        <v/>
      </c>
      <c r="CB1387" s="72" t="str">
        <f aca="false">IF(AC1387&lt;&gt;"",VLOOKUP(AC1387,Selects!$B:$E,4,0),"")</f>
        <v/>
      </c>
    </row>
    <row r="1388" customFormat="false" ht="15" hidden="true" customHeight="false" outlineLevel="0" collapsed="false">
      <c r="E1388" s="60" t="str">
        <f aca="false">IF(LEN(D1388)=11,"PF",IF(LEN(D1388)=14,"PJ",""))</f>
        <v/>
      </c>
      <c r="H1388" s="61" t="str">
        <f aca="false">IF(G1388&lt;&gt;"",VLOOKUP(G1388,'Cnae  mcc  id'!$A:$M,9,0),"")</f>
        <v/>
      </c>
      <c r="I1388" s="62"/>
      <c r="J1388" s="63" t="str">
        <f aca="false">IF(I1388&lt;&gt;"",VLOOKUP(I1388,'Legal Nature'!$E$2:$G$84,3,0),"")</f>
        <v/>
      </c>
      <c r="U1388" s="58" t="str">
        <f aca="false">IF( T1388&lt;&gt;"",VLOOKUP(T1388,Selects!$M$4:$N$1000,2,0),"")</f>
        <v/>
      </c>
      <c r="AD1388" s="72" t="str">
        <f aca="false">IF(AC1388&lt;&gt;"",VLOOKUP(AC1388,Selects!$B$4:$C$100,2,0),"")</f>
        <v/>
      </c>
      <c r="AH1388" s="65"/>
      <c r="AJ1388" s="66"/>
      <c r="AK1388" s="58"/>
      <c r="AM1388" s="68" t="str">
        <f aca="false">IF(LEFT(AL1388,1)="9","Celular",IF(AL1388="","","Fixo"))</f>
        <v/>
      </c>
      <c r="AN1388" s="58" t="str">
        <f aca="false">IF( AM1388&lt;&gt;"",VLOOKUP(AM1388,Selects!$M$4:$N$1000,2,0),"")</f>
        <v/>
      </c>
      <c r="BB1388" s="72" t="str">
        <f aca="false">IF(BA1388&lt;&gt;"",VLOOKUP(BA1388,Selects!$B$4:$C$100,2,0),"")</f>
        <v/>
      </c>
      <c r="BG1388" s="75" t="str">
        <f aca="false">IF(LEN(BF1388)=11,"PF",IF(LEN(BF1388)=14,"PJ",""))</f>
        <v/>
      </c>
      <c r="BH1388" s="66"/>
      <c r="BI1388" s="58" t="str">
        <f aca="false">IF(BH1388&lt;&gt;"",VLOOKUP(BH1388,Selects!$G:$H,2,0),"")</f>
        <v/>
      </c>
      <c r="BO1388" s="58" t="str">
        <f aca="false">IF(BN1388&lt;&gt;"",VLOOKUP(BN1388,Selects!$J$4:$K$1000,2,0),"")</f>
        <v/>
      </c>
      <c r="CB1388" s="72" t="str">
        <f aca="false">IF(AC1388&lt;&gt;"",VLOOKUP(AC1388,Selects!$B:$E,4,0),"")</f>
        <v/>
      </c>
    </row>
    <row r="1389" customFormat="false" ht="15" hidden="true" customHeight="false" outlineLevel="0" collapsed="false">
      <c r="E1389" s="60" t="str">
        <f aca="false">IF(LEN(D1389)=11,"PF",IF(LEN(D1389)=14,"PJ",""))</f>
        <v/>
      </c>
      <c r="H1389" s="61" t="str">
        <f aca="false">IF(G1389&lt;&gt;"",VLOOKUP(G1389,'Cnae  mcc  id'!$A:$M,9,0),"")</f>
        <v/>
      </c>
      <c r="I1389" s="62"/>
      <c r="J1389" s="63" t="str">
        <f aca="false">IF(I1389&lt;&gt;"",VLOOKUP(I1389,'Legal Nature'!$E$2:$G$84,3,0),"")</f>
        <v/>
      </c>
      <c r="U1389" s="58" t="str">
        <f aca="false">IF( T1389&lt;&gt;"",VLOOKUP(T1389,Selects!$M$4:$N$1000,2,0),"")</f>
        <v/>
      </c>
      <c r="AD1389" s="72" t="str">
        <f aca="false">IF(AC1389&lt;&gt;"",VLOOKUP(AC1389,Selects!$B$4:$C$100,2,0),"")</f>
        <v/>
      </c>
      <c r="AH1389" s="65"/>
      <c r="AJ1389" s="66"/>
      <c r="AK1389" s="58"/>
      <c r="AM1389" s="68" t="str">
        <f aca="false">IF(LEFT(AL1389,1)="9","Celular",IF(AL1389="","","Fixo"))</f>
        <v/>
      </c>
      <c r="AN1389" s="58" t="str">
        <f aca="false">IF( AM1389&lt;&gt;"",VLOOKUP(AM1389,Selects!$M$4:$N$1000,2,0),"")</f>
        <v/>
      </c>
      <c r="BB1389" s="72" t="str">
        <f aca="false">IF(BA1389&lt;&gt;"",VLOOKUP(BA1389,Selects!$B$4:$C$100,2,0),"")</f>
        <v/>
      </c>
      <c r="BG1389" s="75" t="str">
        <f aca="false">IF(LEN(BF1389)=11,"PF",IF(LEN(BF1389)=14,"PJ",""))</f>
        <v/>
      </c>
      <c r="BH1389" s="66"/>
      <c r="BI1389" s="58" t="str">
        <f aca="false">IF(BH1389&lt;&gt;"",VLOOKUP(BH1389,Selects!$G:$H,2,0),"")</f>
        <v/>
      </c>
      <c r="BO1389" s="58" t="str">
        <f aca="false">IF(BN1389&lt;&gt;"",VLOOKUP(BN1389,Selects!$J$4:$K$1000,2,0),"")</f>
        <v/>
      </c>
      <c r="CB1389" s="72" t="str">
        <f aca="false">IF(AC1389&lt;&gt;"",VLOOKUP(AC1389,Selects!$B:$E,4,0),"")</f>
        <v/>
      </c>
    </row>
    <row r="1390" customFormat="false" ht="15" hidden="true" customHeight="false" outlineLevel="0" collapsed="false">
      <c r="E1390" s="60" t="str">
        <f aca="false">IF(LEN(D1390)=11,"PF",IF(LEN(D1390)=14,"PJ",""))</f>
        <v/>
      </c>
      <c r="H1390" s="61" t="str">
        <f aca="false">IF(G1390&lt;&gt;"",VLOOKUP(G1390,'Cnae  mcc  id'!$A:$M,9,0),"")</f>
        <v/>
      </c>
      <c r="I1390" s="62"/>
      <c r="J1390" s="63" t="str">
        <f aca="false">IF(I1390&lt;&gt;"",VLOOKUP(I1390,'Legal Nature'!$E$2:$G$84,3,0),"")</f>
        <v/>
      </c>
      <c r="U1390" s="58" t="str">
        <f aca="false">IF( T1390&lt;&gt;"",VLOOKUP(T1390,Selects!$M$4:$N$1000,2,0),"")</f>
        <v/>
      </c>
      <c r="AD1390" s="72" t="str">
        <f aca="false">IF(AC1390&lt;&gt;"",VLOOKUP(AC1390,Selects!$B$4:$C$100,2,0),"")</f>
        <v/>
      </c>
      <c r="AH1390" s="65"/>
      <c r="AJ1390" s="66"/>
      <c r="AK1390" s="58"/>
      <c r="AM1390" s="68" t="str">
        <f aca="false">IF(LEFT(AL1390,1)="9","Celular",IF(AL1390="","","Fixo"))</f>
        <v/>
      </c>
      <c r="AN1390" s="58" t="str">
        <f aca="false">IF( AM1390&lt;&gt;"",VLOOKUP(AM1390,Selects!$M$4:$N$1000,2,0),"")</f>
        <v/>
      </c>
      <c r="BB1390" s="72" t="str">
        <f aca="false">IF(BA1390&lt;&gt;"",VLOOKUP(BA1390,Selects!$B$4:$C$100,2,0),"")</f>
        <v/>
      </c>
      <c r="BG1390" s="75" t="str">
        <f aca="false">IF(LEN(BF1390)=11,"PF",IF(LEN(BF1390)=14,"PJ",""))</f>
        <v/>
      </c>
      <c r="BH1390" s="66"/>
      <c r="BI1390" s="58" t="str">
        <f aca="false">IF(BH1390&lt;&gt;"",VLOOKUP(BH1390,Selects!$G:$H,2,0),"")</f>
        <v/>
      </c>
      <c r="BO1390" s="58" t="str">
        <f aca="false">IF(BN1390&lt;&gt;"",VLOOKUP(BN1390,Selects!$J$4:$K$1000,2,0),"")</f>
        <v/>
      </c>
      <c r="CB1390" s="72" t="str">
        <f aca="false">IF(AC1390&lt;&gt;"",VLOOKUP(AC1390,Selects!$B:$E,4,0),"")</f>
        <v/>
      </c>
    </row>
    <row r="1391" customFormat="false" ht="15" hidden="true" customHeight="false" outlineLevel="0" collapsed="false">
      <c r="E1391" s="60" t="str">
        <f aca="false">IF(LEN(D1391)=11,"PF",IF(LEN(D1391)=14,"PJ",""))</f>
        <v/>
      </c>
      <c r="H1391" s="61" t="str">
        <f aca="false">IF(G1391&lt;&gt;"",VLOOKUP(G1391,'Cnae  mcc  id'!$A:$M,9,0),"")</f>
        <v/>
      </c>
      <c r="I1391" s="62"/>
      <c r="J1391" s="63" t="str">
        <f aca="false">IF(I1391&lt;&gt;"",VLOOKUP(I1391,'Legal Nature'!$E$2:$G$84,3,0),"")</f>
        <v/>
      </c>
      <c r="U1391" s="58" t="str">
        <f aca="false">IF( T1391&lt;&gt;"",VLOOKUP(T1391,Selects!$M$4:$N$1000,2,0),"")</f>
        <v/>
      </c>
      <c r="AD1391" s="72" t="str">
        <f aca="false">IF(AC1391&lt;&gt;"",VLOOKUP(AC1391,Selects!$B$4:$C$100,2,0),"")</f>
        <v/>
      </c>
      <c r="AH1391" s="65"/>
      <c r="AJ1391" s="66"/>
      <c r="AK1391" s="58"/>
      <c r="AM1391" s="68" t="str">
        <f aca="false">IF(LEFT(AL1391,1)="9","Celular",IF(AL1391="","","Fixo"))</f>
        <v/>
      </c>
      <c r="AN1391" s="58" t="str">
        <f aca="false">IF( AM1391&lt;&gt;"",VLOOKUP(AM1391,Selects!$M$4:$N$1000,2,0),"")</f>
        <v/>
      </c>
      <c r="BB1391" s="72" t="str">
        <f aca="false">IF(BA1391&lt;&gt;"",VLOOKUP(BA1391,Selects!$B$4:$C$100,2,0),"")</f>
        <v/>
      </c>
      <c r="BG1391" s="75" t="str">
        <f aca="false">IF(LEN(BF1391)=11,"PF",IF(LEN(BF1391)=14,"PJ",""))</f>
        <v/>
      </c>
      <c r="BH1391" s="66"/>
      <c r="BI1391" s="58" t="str">
        <f aca="false">IF(BH1391&lt;&gt;"",VLOOKUP(BH1391,Selects!$G:$H,2,0),"")</f>
        <v/>
      </c>
      <c r="BO1391" s="58" t="str">
        <f aca="false">IF(BN1391&lt;&gt;"",VLOOKUP(BN1391,Selects!$J$4:$K$1000,2,0),"")</f>
        <v/>
      </c>
      <c r="CB1391" s="72" t="str">
        <f aca="false">IF(AC1391&lt;&gt;"",VLOOKUP(AC1391,Selects!$B:$E,4,0),"")</f>
        <v/>
      </c>
    </row>
    <row r="1392" customFormat="false" ht="15" hidden="true" customHeight="false" outlineLevel="0" collapsed="false">
      <c r="E1392" s="60" t="str">
        <f aca="false">IF(LEN(D1392)=11,"PF",IF(LEN(D1392)=14,"PJ",""))</f>
        <v/>
      </c>
      <c r="H1392" s="61" t="str">
        <f aca="false">IF(G1392&lt;&gt;"",VLOOKUP(G1392,'Cnae  mcc  id'!$A:$M,9,0),"")</f>
        <v/>
      </c>
      <c r="I1392" s="62"/>
      <c r="J1392" s="63" t="str">
        <f aca="false">IF(I1392&lt;&gt;"",VLOOKUP(I1392,'Legal Nature'!$E$2:$G$84,3,0),"")</f>
        <v/>
      </c>
      <c r="U1392" s="58" t="str">
        <f aca="false">IF( T1392&lt;&gt;"",VLOOKUP(T1392,Selects!$M$4:$N$1000,2,0),"")</f>
        <v/>
      </c>
      <c r="AD1392" s="72" t="str">
        <f aca="false">IF(AC1392&lt;&gt;"",VLOOKUP(AC1392,Selects!$B$4:$C$100,2,0),"")</f>
        <v/>
      </c>
      <c r="AH1392" s="65"/>
      <c r="AJ1392" s="66"/>
      <c r="AK1392" s="58"/>
      <c r="AM1392" s="68" t="str">
        <f aca="false">IF(LEFT(AL1392,1)="9","Celular",IF(AL1392="","","Fixo"))</f>
        <v/>
      </c>
      <c r="AN1392" s="58" t="str">
        <f aca="false">IF( AM1392&lt;&gt;"",VLOOKUP(AM1392,Selects!$M$4:$N$1000,2,0),"")</f>
        <v/>
      </c>
      <c r="BB1392" s="72" t="str">
        <f aca="false">IF(BA1392&lt;&gt;"",VLOOKUP(BA1392,Selects!$B$4:$C$100,2,0),"")</f>
        <v/>
      </c>
      <c r="BG1392" s="75" t="str">
        <f aca="false">IF(LEN(BF1392)=11,"PF",IF(LEN(BF1392)=14,"PJ",""))</f>
        <v/>
      </c>
      <c r="BH1392" s="66"/>
      <c r="BI1392" s="58" t="str">
        <f aca="false">IF(BH1392&lt;&gt;"",VLOOKUP(BH1392,Selects!$G:$H,2,0),"")</f>
        <v/>
      </c>
      <c r="BO1392" s="58" t="str">
        <f aca="false">IF(BN1392&lt;&gt;"",VLOOKUP(BN1392,Selects!$J$4:$K$1000,2,0),"")</f>
        <v/>
      </c>
      <c r="CB1392" s="72" t="str">
        <f aca="false">IF(AC1392&lt;&gt;"",VLOOKUP(AC1392,Selects!$B:$E,4,0),"")</f>
        <v/>
      </c>
    </row>
    <row r="1393" customFormat="false" ht="15" hidden="true" customHeight="false" outlineLevel="0" collapsed="false">
      <c r="E1393" s="60" t="str">
        <f aca="false">IF(LEN(D1393)=11,"PF",IF(LEN(D1393)=14,"PJ",""))</f>
        <v/>
      </c>
      <c r="H1393" s="61" t="str">
        <f aca="false">IF(G1393&lt;&gt;"",VLOOKUP(G1393,'Cnae  mcc  id'!$A:$M,9,0),"")</f>
        <v/>
      </c>
      <c r="I1393" s="62"/>
      <c r="J1393" s="63" t="str">
        <f aca="false">IF(I1393&lt;&gt;"",VLOOKUP(I1393,'Legal Nature'!$E$2:$G$84,3,0),"")</f>
        <v/>
      </c>
      <c r="U1393" s="58" t="str">
        <f aca="false">IF( T1393&lt;&gt;"",VLOOKUP(T1393,Selects!$M$4:$N$1000,2,0),"")</f>
        <v/>
      </c>
      <c r="AD1393" s="72" t="str">
        <f aca="false">IF(AC1393&lt;&gt;"",VLOOKUP(AC1393,Selects!$B$4:$C$100,2,0),"")</f>
        <v/>
      </c>
      <c r="AH1393" s="65"/>
      <c r="AJ1393" s="66"/>
      <c r="AK1393" s="58"/>
      <c r="AM1393" s="68" t="str">
        <f aca="false">IF(LEFT(AL1393,1)="9","Celular",IF(AL1393="","","Fixo"))</f>
        <v/>
      </c>
      <c r="AN1393" s="58" t="str">
        <f aca="false">IF( AM1393&lt;&gt;"",VLOOKUP(AM1393,Selects!$M$4:$N$1000,2,0),"")</f>
        <v/>
      </c>
      <c r="BB1393" s="72" t="str">
        <f aca="false">IF(BA1393&lt;&gt;"",VLOOKUP(BA1393,Selects!$B$4:$C$100,2,0),"")</f>
        <v/>
      </c>
      <c r="BG1393" s="75" t="str">
        <f aca="false">IF(LEN(BF1393)=11,"PF",IF(LEN(BF1393)=14,"PJ",""))</f>
        <v/>
      </c>
      <c r="BH1393" s="66"/>
      <c r="BI1393" s="58" t="str">
        <f aca="false">IF(BH1393&lt;&gt;"",VLOOKUP(BH1393,Selects!$G:$H,2,0),"")</f>
        <v/>
      </c>
      <c r="BO1393" s="58" t="str">
        <f aca="false">IF(BN1393&lt;&gt;"",VLOOKUP(BN1393,Selects!$J$4:$K$1000,2,0),"")</f>
        <v/>
      </c>
      <c r="CB1393" s="72" t="str">
        <f aca="false">IF(AC1393&lt;&gt;"",VLOOKUP(AC1393,Selects!$B:$E,4,0),"")</f>
        <v/>
      </c>
    </row>
    <row r="1394" customFormat="false" ht="15" hidden="true" customHeight="false" outlineLevel="0" collapsed="false">
      <c r="E1394" s="60" t="str">
        <f aca="false">IF(LEN(D1394)=11,"PF",IF(LEN(D1394)=14,"PJ",""))</f>
        <v/>
      </c>
      <c r="H1394" s="61" t="str">
        <f aca="false">IF(G1394&lt;&gt;"",VLOOKUP(G1394,'Cnae  mcc  id'!$A:$M,9,0),"")</f>
        <v/>
      </c>
      <c r="I1394" s="62"/>
      <c r="J1394" s="63" t="str">
        <f aca="false">IF(I1394&lt;&gt;"",VLOOKUP(I1394,'Legal Nature'!$E$2:$G$84,3,0),"")</f>
        <v/>
      </c>
      <c r="U1394" s="58" t="str">
        <f aca="false">IF( T1394&lt;&gt;"",VLOOKUP(T1394,Selects!$M$4:$N$1000,2,0),"")</f>
        <v/>
      </c>
      <c r="AD1394" s="72" t="str">
        <f aca="false">IF(AC1394&lt;&gt;"",VLOOKUP(AC1394,Selects!$B$4:$C$100,2,0),"")</f>
        <v/>
      </c>
      <c r="AH1394" s="65"/>
      <c r="AJ1394" s="66"/>
      <c r="AK1394" s="58"/>
      <c r="AM1394" s="68" t="str">
        <f aca="false">IF(LEFT(AL1394,1)="9","Celular",IF(AL1394="","","Fixo"))</f>
        <v/>
      </c>
      <c r="AN1394" s="58" t="str">
        <f aca="false">IF( AM1394&lt;&gt;"",VLOOKUP(AM1394,Selects!$M$4:$N$1000,2,0),"")</f>
        <v/>
      </c>
      <c r="BB1394" s="72" t="str">
        <f aca="false">IF(BA1394&lt;&gt;"",VLOOKUP(BA1394,Selects!$B$4:$C$100,2,0),"")</f>
        <v/>
      </c>
      <c r="BG1394" s="75" t="str">
        <f aca="false">IF(LEN(BF1394)=11,"PF",IF(LEN(BF1394)=14,"PJ",""))</f>
        <v/>
      </c>
      <c r="BH1394" s="66"/>
      <c r="BI1394" s="58" t="str">
        <f aca="false">IF(BH1394&lt;&gt;"",VLOOKUP(BH1394,Selects!$G:$H,2,0),"")</f>
        <v/>
      </c>
      <c r="BO1394" s="58" t="str">
        <f aca="false">IF(BN1394&lt;&gt;"",VLOOKUP(BN1394,Selects!$J$4:$K$1000,2,0),"")</f>
        <v/>
      </c>
      <c r="CB1394" s="72" t="str">
        <f aca="false">IF(AC1394&lt;&gt;"",VLOOKUP(AC1394,Selects!$B:$E,4,0),"")</f>
        <v/>
      </c>
    </row>
    <row r="1395" customFormat="false" ht="15" hidden="true" customHeight="false" outlineLevel="0" collapsed="false">
      <c r="E1395" s="60" t="str">
        <f aca="false">IF(LEN(D1395)=11,"PF",IF(LEN(D1395)=14,"PJ",""))</f>
        <v/>
      </c>
      <c r="H1395" s="61" t="str">
        <f aca="false">IF(G1395&lt;&gt;"",VLOOKUP(G1395,'Cnae  mcc  id'!$A:$M,9,0),"")</f>
        <v/>
      </c>
      <c r="I1395" s="62"/>
      <c r="J1395" s="63" t="str">
        <f aca="false">IF(I1395&lt;&gt;"",VLOOKUP(I1395,'Legal Nature'!$E$2:$G$84,3,0),"")</f>
        <v/>
      </c>
      <c r="U1395" s="58" t="str">
        <f aca="false">IF( T1395&lt;&gt;"",VLOOKUP(T1395,Selects!$M$4:$N$1000,2,0),"")</f>
        <v/>
      </c>
      <c r="AD1395" s="72" t="str">
        <f aca="false">IF(AC1395&lt;&gt;"",VLOOKUP(AC1395,Selects!$B$4:$C$100,2,0),"")</f>
        <v/>
      </c>
      <c r="AH1395" s="65"/>
      <c r="AJ1395" s="66"/>
      <c r="AK1395" s="58"/>
      <c r="AM1395" s="68" t="str">
        <f aca="false">IF(LEFT(AL1395,1)="9","Celular",IF(AL1395="","","Fixo"))</f>
        <v/>
      </c>
      <c r="AN1395" s="58" t="str">
        <f aca="false">IF( AM1395&lt;&gt;"",VLOOKUP(AM1395,Selects!$M$4:$N$1000,2,0),"")</f>
        <v/>
      </c>
      <c r="BB1395" s="72" t="str">
        <f aca="false">IF(BA1395&lt;&gt;"",VLOOKUP(BA1395,Selects!$B$4:$C$100,2,0),"")</f>
        <v/>
      </c>
      <c r="BG1395" s="75" t="str">
        <f aca="false">IF(LEN(BF1395)=11,"PF",IF(LEN(BF1395)=14,"PJ",""))</f>
        <v/>
      </c>
      <c r="BH1395" s="66"/>
      <c r="BI1395" s="58" t="str">
        <f aca="false">IF(BH1395&lt;&gt;"",VLOOKUP(BH1395,Selects!$G:$H,2,0),"")</f>
        <v/>
      </c>
      <c r="BO1395" s="58" t="str">
        <f aca="false">IF(BN1395&lt;&gt;"",VLOOKUP(BN1395,Selects!$J$4:$K$1000,2,0),"")</f>
        <v/>
      </c>
      <c r="CB1395" s="72" t="str">
        <f aca="false">IF(AC1395&lt;&gt;"",VLOOKUP(AC1395,Selects!$B:$E,4,0),"")</f>
        <v/>
      </c>
    </row>
    <row r="1396" customFormat="false" ht="15" hidden="true" customHeight="false" outlineLevel="0" collapsed="false">
      <c r="E1396" s="60" t="str">
        <f aca="false">IF(LEN(D1396)=11,"PF",IF(LEN(D1396)=14,"PJ",""))</f>
        <v/>
      </c>
      <c r="H1396" s="61" t="str">
        <f aca="false">IF(G1396&lt;&gt;"",VLOOKUP(G1396,'Cnae  mcc  id'!$A:$M,9,0),"")</f>
        <v/>
      </c>
      <c r="I1396" s="62"/>
      <c r="J1396" s="63" t="str">
        <f aca="false">IF(I1396&lt;&gt;"",VLOOKUP(I1396,'Legal Nature'!$E$2:$G$84,3,0),"")</f>
        <v/>
      </c>
      <c r="U1396" s="58" t="str">
        <f aca="false">IF( T1396&lt;&gt;"",VLOOKUP(T1396,Selects!$M$4:$N$1000,2,0),"")</f>
        <v/>
      </c>
      <c r="AD1396" s="72" t="str">
        <f aca="false">IF(AC1396&lt;&gt;"",VLOOKUP(AC1396,Selects!$B$4:$C$100,2,0),"")</f>
        <v/>
      </c>
      <c r="AH1396" s="65"/>
      <c r="AJ1396" s="66"/>
      <c r="AK1396" s="58"/>
      <c r="AM1396" s="68" t="str">
        <f aca="false">IF(LEFT(AL1396,1)="9","Celular",IF(AL1396="","","Fixo"))</f>
        <v/>
      </c>
      <c r="AN1396" s="58" t="str">
        <f aca="false">IF( AM1396&lt;&gt;"",VLOOKUP(AM1396,Selects!$M$4:$N$1000,2,0),"")</f>
        <v/>
      </c>
      <c r="BB1396" s="72" t="str">
        <f aca="false">IF(BA1396&lt;&gt;"",VLOOKUP(BA1396,Selects!$B$4:$C$100,2,0),"")</f>
        <v/>
      </c>
      <c r="BG1396" s="75" t="str">
        <f aca="false">IF(LEN(BF1396)=11,"PF",IF(LEN(BF1396)=14,"PJ",""))</f>
        <v/>
      </c>
      <c r="BH1396" s="66"/>
      <c r="BI1396" s="58" t="str">
        <f aca="false">IF(BH1396&lt;&gt;"",VLOOKUP(BH1396,Selects!$G:$H,2,0),"")</f>
        <v/>
      </c>
      <c r="CB1396" s="72" t="str">
        <f aca="false">IF(AC1396&lt;&gt;"",VLOOKUP(AC1396,Selects!$B:$E,4,0),"")</f>
        <v/>
      </c>
    </row>
    <row r="1397" customFormat="false" ht="15" hidden="true" customHeight="false" outlineLevel="0" collapsed="false">
      <c r="E1397" s="60" t="str">
        <f aca="false">IF(LEN(D1397)=11,"PF",IF(LEN(D1397)=14,"PJ",""))</f>
        <v/>
      </c>
      <c r="H1397" s="61" t="str">
        <f aca="false">IF(G1397&lt;&gt;"",VLOOKUP(G1397,'Cnae  mcc  id'!$A:$M,9,0),"")</f>
        <v/>
      </c>
      <c r="I1397" s="62"/>
      <c r="J1397" s="63" t="str">
        <f aca="false">IF(I1397&lt;&gt;"",VLOOKUP(I1397,'Legal Nature'!$E$2:$G$84,3,0),"")</f>
        <v/>
      </c>
      <c r="U1397" s="58" t="str">
        <f aca="false">IF( T1397&lt;&gt;"",VLOOKUP(T1397,Selects!$M$4:$N$1000,2,0),"")</f>
        <v/>
      </c>
      <c r="AD1397" s="72" t="str">
        <f aca="false">IF(AC1397&lt;&gt;"",VLOOKUP(AC1397,Selects!$B$4:$C$100,2,0),"")</f>
        <v/>
      </c>
      <c r="AH1397" s="65"/>
      <c r="AJ1397" s="66"/>
      <c r="AK1397" s="58"/>
      <c r="AM1397" s="68" t="str">
        <f aca="false">IF(LEFT(AL1397,1)="9","Celular",IF(AL1397="","","Fixo"))</f>
        <v/>
      </c>
      <c r="AN1397" s="58" t="str">
        <f aca="false">IF( AM1397&lt;&gt;"",VLOOKUP(AM1397,Selects!$M$4:$N$1000,2,0),"")</f>
        <v/>
      </c>
      <c r="BB1397" s="72" t="str">
        <f aca="false">IF(BA1397&lt;&gt;"",VLOOKUP(BA1397,Selects!$B$4:$C$100,2,0),"")</f>
        <v/>
      </c>
      <c r="BG1397" s="75" t="str">
        <f aca="false">IF(LEN(BF1397)=11,"PF",IF(LEN(BF1397)=14,"PJ",""))</f>
        <v/>
      </c>
      <c r="BH1397" s="66"/>
      <c r="BI1397" s="58" t="str">
        <f aca="false">IF(BH1397&lt;&gt;"",VLOOKUP(BH1397,Selects!$G:$H,2,0),"")</f>
        <v/>
      </c>
      <c r="CB1397" s="72" t="str">
        <f aca="false">IF(AC1397&lt;&gt;"",VLOOKUP(AC1397,Selects!$B:$E,4,0),"")</f>
        <v/>
      </c>
    </row>
    <row r="1398" customFormat="false" ht="15" hidden="true" customHeight="false" outlineLevel="0" collapsed="false">
      <c r="E1398" s="60" t="str">
        <f aca="false">IF(LEN(D1398)=11,"PF",IF(LEN(D1398)=14,"PJ",""))</f>
        <v/>
      </c>
      <c r="H1398" s="61" t="str">
        <f aca="false">IF(G1398&lt;&gt;"",VLOOKUP(G1398,'Cnae  mcc  id'!$A:$M,9,0),"")</f>
        <v/>
      </c>
      <c r="I1398" s="62"/>
      <c r="J1398" s="63" t="str">
        <f aca="false">IF(I1398&lt;&gt;"",VLOOKUP(I1398,'Legal Nature'!$E$2:$G$84,3,0),"")</f>
        <v/>
      </c>
      <c r="U1398" s="58" t="str">
        <f aca="false">IF( T1398&lt;&gt;"",VLOOKUP(T1398,Selects!$M$4:$N$1000,2,0),"")</f>
        <v/>
      </c>
      <c r="AD1398" s="72" t="str">
        <f aca="false">IF(AC1398&lt;&gt;"",VLOOKUP(AC1398,Selects!$B$4:$C$100,2,0),"")</f>
        <v/>
      </c>
      <c r="AH1398" s="65"/>
      <c r="AJ1398" s="66"/>
      <c r="AK1398" s="58"/>
      <c r="AM1398" s="68" t="str">
        <f aca="false">IF(LEFT(AL1398,1)="9","Celular",IF(AL1398="","","Fixo"))</f>
        <v/>
      </c>
      <c r="AN1398" s="58" t="str">
        <f aca="false">IF( AM1398&lt;&gt;"",VLOOKUP(AM1398,Selects!$M$4:$N$1000,2,0),"")</f>
        <v/>
      </c>
      <c r="BB1398" s="72" t="str">
        <f aca="false">IF(BA1398&lt;&gt;"",VLOOKUP(BA1398,Selects!$B$4:$C$100,2,0),"")</f>
        <v/>
      </c>
      <c r="BG1398" s="75" t="str">
        <f aca="false">IF(LEN(BF1398)=11,"PF",IF(LEN(BF1398)=14,"PJ",""))</f>
        <v/>
      </c>
      <c r="BH1398" s="66"/>
      <c r="BI1398" s="58" t="str">
        <f aca="false">IF(BH1398&lt;&gt;"",VLOOKUP(BH1398,Selects!$G:$H,2,0),"")</f>
        <v/>
      </c>
      <c r="CB1398" s="72" t="str">
        <f aca="false">IF(AC1398&lt;&gt;"",VLOOKUP(AC1398,Selects!$B:$E,4,0),"")</f>
        <v/>
      </c>
    </row>
    <row r="1399" customFormat="false" ht="15" hidden="true" customHeight="false" outlineLevel="0" collapsed="false">
      <c r="E1399" s="60" t="str">
        <f aca="false">IF(LEN(D1399)=11,"PF",IF(LEN(D1399)=14,"PJ",""))</f>
        <v/>
      </c>
      <c r="H1399" s="61" t="str">
        <f aca="false">IF(G1399&lt;&gt;"",VLOOKUP(G1399,'Cnae  mcc  id'!$A:$M,9,0),"")</f>
        <v/>
      </c>
      <c r="I1399" s="62"/>
      <c r="J1399" s="63" t="str">
        <f aca="false">IF(I1399&lt;&gt;"",VLOOKUP(I1399,'Legal Nature'!$E$2:$G$84,3,0),"")</f>
        <v/>
      </c>
      <c r="U1399" s="58" t="str">
        <f aca="false">IF( T1399&lt;&gt;"",VLOOKUP(T1399,Selects!$M$4:$N$1000,2,0),"")</f>
        <v/>
      </c>
      <c r="AD1399" s="72" t="str">
        <f aca="false">IF(AC1399&lt;&gt;"",VLOOKUP(AC1399,Selects!$B$4:$C$100,2,0),"")</f>
        <v/>
      </c>
      <c r="AH1399" s="65"/>
      <c r="AJ1399" s="66"/>
      <c r="AK1399" s="58"/>
      <c r="AM1399" s="68" t="str">
        <f aca="false">IF(LEFT(AL1399,1)="9","Celular",IF(AL1399="","","Fixo"))</f>
        <v/>
      </c>
      <c r="AN1399" s="58" t="str">
        <f aca="false">IF( AM1399&lt;&gt;"",VLOOKUP(AM1399,Selects!$M$4:$N$1000,2,0),"")</f>
        <v/>
      </c>
      <c r="BB1399" s="72" t="str">
        <f aca="false">IF(BA1399&lt;&gt;"",VLOOKUP(BA1399,Selects!$B$4:$C$100,2,0),"")</f>
        <v/>
      </c>
      <c r="BG1399" s="75" t="str">
        <f aca="false">IF(LEN(BF1399)=11,"PF",IF(LEN(BF1399)=14,"PJ",""))</f>
        <v/>
      </c>
      <c r="BH1399" s="66"/>
      <c r="BI1399" s="58" t="str">
        <f aca="false">IF(BH1399&lt;&gt;"",VLOOKUP(BH1399,Selects!$G:$H,2,0),"")</f>
        <v/>
      </c>
      <c r="CB1399" s="72" t="str">
        <f aca="false">IF(AC1399&lt;&gt;"",VLOOKUP(AC1399,Selects!$B:$E,4,0),"")</f>
        <v/>
      </c>
    </row>
    <row r="1400" customFormat="false" ht="15" hidden="true" customHeight="false" outlineLevel="0" collapsed="false">
      <c r="E1400" s="60" t="str">
        <f aca="false">IF(LEN(D1400)=11,"PF",IF(LEN(D1400)=14,"PJ",""))</f>
        <v/>
      </c>
      <c r="H1400" s="61" t="str">
        <f aca="false">IF(G1400&lt;&gt;"",VLOOKUP(G1400,'Cnae  mcc  id'!$A:$M,9,0),"")</f>
        <v/>
      </c>
      <c r="I1400" s="62"/>
      <c r="J1400" s="63" t="str">
        <f aca="false">IF(I1400&lt;&gt;"",VLOOKUP(I1400,'Legal Nature'!$E$2:$G$84,3,0),"")</f>
        <v/>
      </c>
      <c r="U1400" s="58" t="str">
        <f aca="false">IF( T1400&lt;&gt;"",VLOOKUP(T1400,Selects!$M$4:$N$1000,2,0),"")</f>
        <v/>
      </c>
      <c r="AD1400" s="72" t="str">
        <f aca="false">IF(AC1400&lt;&gt;"",VLOOKUP(AC1400,Selects!$B$4:$C$100,2,0),"")</f>
        <v/>
      </c>
      <c r="AH1400" s="65"/>
      <c r="AJ1400" s="66"/>
      <c r="AK1400" s="58"/>
      <c r="AM1400" s="68" t="str">
        <f aca="false">IF(LEFT(AL1400,1)="9","Celular",IF(AL1400="","","Fixo"))</f>
        <v/>
      </c>
      <c r="AN1400" s="58" t="str">
        <f aca="false">IF( AM1400&lt;&gt;"",VLOOKUP(AM1400,Selects!$M$4:$N$1000,2,0),"")</f>
        <v/>
      </c>
      <c r="BB1400" s="72" t="str">
        <f aca="false">IF(BA1400&lt;&gt;"",VLOOKUP(BA1400,Selects!$B$4:$C$100,2,0),"")</f>
        <v/>
      </c>
      <c r="BG1400" s="75" t="str">
        <f aca="false">IF(LEN(BF1400)=11,"PF",IF(LEN(BF1400)=14,"PJ",""))</f>
        <v/>
      </c>
      <c r="BH1400" s="66"/>
      <c r="BI1400" s="58" t="str">
        <f aca="false">IF(BH1400&lt;&gt;"",VLOOKUP(BH1400,Selects!$G:$H,2,0),"")</f>
        <v/>
      </c>
      <c r="CB1400" s="72" t="str">
        <f aca="false">IF(AC1400&lt;&gt;"",VLOOKUP(AC1400,Selects!$B:$E,4,0),"")</f>
        <v/>
      </c>
    </row>
    <row r="1401" customFormat="false" ht="15" hidden="true" customHeight="false" outlineLevel="0" collapsed="false">
      <c r="E1401" s="60" t="str">
        <f aca="false">IF(LEN(D1401)=11,"PF",IF(LEN(D1401)=14,"PJ",""))</f>
        <v/>
      </c>
      <c r="H1401" s="61" t="str">
        <f aca="false">IF(G1401&lt;&gt;"",VLOOKUP(G1401,'Cnae  mcc  id'!$A:$M,9,0),"")</f>
        <v/>
      </c>
      <c r="I1401" s="62"/>
      <c r="J1401" s="63" t="str">
        <f aca="false">IF(I1401&lt;&gt;"",VLOOKUP(I1401,'Legal Nature'!$E$2:$G$84,3,0),"")</f>
        <v/>
      </c>
      <c r="U1401" s="58" t="str">
        <f aca="false">IF( T1401&lt;&gt;"",VLOOKUP(T1401,Selects!$M$4:$N$1000,2,0),"")</f>
        <v/>
      </c>
      <c r="AD1401" s="72" t="str">
        <f aca="false">IF(AC1401&lt;&gt;"",VLOOKUP(AC1401,Selects!$B$4:$C$100,2,0),"")</f>
        <v/>
      </c>
      <c r="AH1401" s="65"/>
      <c r="AJ1401" s="66"/>
      <c r="AK1401" s="58"/>
      <c r="AM1401" s="68" t="str">
        <f aca="false">IF(LEFT(AL1401,1)="9","Celular",IF(AL1401="","","Fixo"))</f>
        <v/>
      </c>
      <c r="AN1401" s="58" t="str">
        <f aca="false">IF( AM1401&lt;&gt;"",VLOOKUP(AM1401,Selects!$M$4:$N$1000,2,0),"")</f>
        <v/>
      </c>
      <c r="BB1401" s="72" t="str">
        <f aca="false">IF(BA1401&lt;&gt;"",VLOOKUP(BA1401,Selects!$B$4:$C$100,2,0),"")</f>
        <v/>
      </c>
      <c r="BG1401" s="75" t="str">
        <f aca="false">IF(LEN(BF1401)=11,"PF",IF(LEN(BF1401)=14,"PJ",""))</f>
        <v/>
      </c>
      <c r="BH1401" s="66"/>
      <c r="BI1401" s="58" t="str">
        <f aca="false">IF(BH1401&lt;&gt;"",VLOOKUP(BH1401,Selects!$G:$H,2,0),"")</f>
        <v/>
      </c>
      <c r="CB1401" s="72" t="str">
        <f aca="false">IF(AC1401&lt;&gt;"",VLOOKUP(AC1401,Selects!$B:$E,4,0),"")</f>
        <v/>
      </c>
    </row>
    <row r="1402" customFormat="false" ht="15" hidden="true" customHeight="false" outlineLevel="0" collapsed="false">
      <c r="E1402" s="60" t="str">
        <f aca="false">IF(LEN(D1402)=11,"PF",IF(LEN(D1402)=14,"PJ",""))</f>
        <v/>
      </c>
      <c r="H1402" s="61" t="str">
        <f aca="false">IF(G1402&lt;&gt;"",VLOOKUP(G1402,'Cnae  mcc  id'!$A:$M,9,0),"")</f>
        <v/>
      </c>
      <c r="I1402" s="62"/>
      <c r="J1402" s="63" t="str">
        <f aca="false">IF(I1402&lt;&gt;"",VLOOKUP(I1402,'Legal Nature'!$E$2:$G$84,3,0),"")</f>
        <v/>
      </c>
      <c r="U1402" s="58" t="str">
        <f aca="false">IF( T1402&lt;&gt;"",VLOOKUP(T1402,Selects!$M$4:$N$1000,2,0),"")</f>
        <v/>
      </c>
      <c r="AD1402" s="72" t="str">
        <f aca="false">IF(AC1402&lt;&gt;"",VLOOKUP(AC1402,Selects!$B$4:$C$100,2,0),"")</f>
        <v/>
      </c>
      <c r="AH1402" s="65"/>
      <c r="AJ1402" s="66"/>
      <c r="AK1402" s="58"/>
      <c r="AM1402" s="68" t="str">
        <f aca="false">IF(LEFT(AL1402,1)="9","Celular",IF(AL1402="","","Fixo"))</f>
        <v/>
      </c>
      <c r="AN1402" s="58" t="str">
        <f aca="false">IF( AM1402&lt;&gt;"",VLOOKUP(AM1402,Selects!$M$4:$N$1000,2,0),"")</f>
        <v/>
      </c>
      <c r="BB1402" s="72" t="str">
        <f aca="false">IF(BA1402&lt;&gt;"",VLOOKUP(BA1402,Selects!$B$4:$C$100,2,0),"")</f>
        <v/>
      </c>
      <c r="BG1402" s="75" t="str">
        <f aca="false">IF(LEN(BF1402)=11,"PF",IF(LEN(BF1402)=14,"PJ",""))</f>
        <v/>
      </c>
      <c r="BH1402" s="66"/>
      <c r="BI1402" s="58" t="str">
        <f aca="false">IF(BH1402&lt;&gt;"",VLOOKUP(BH1402,Selects!$G:$H,2,0),"")</f>
        <v/>
      </c>
      <c r="CB1402" s="72" t="str">
        <f aca="false">IF(AC1402&lt;&gt;"",VLOOKUP(AC1402,Selects!$B:$E,4,0),"")</f>
        <v/>
      </c>
    </row>
    <row r="1403" customFormat="false" ht="15" hidden="true" customHeight="false" outlineLevel="0" collapsed="false">
      <c r="E1403" s="60" t="str">
        <f aca="false">IF(LEN(D1403)=11,"PF",IF(LEN(D1403)=14,"PJ",""))</f>
        <v/>
      </c>
      <c r="H1403" s="61" t="str">
        <f aca="false">IF(G1403&lt;&gt;"",VLOOKUP(G1403,'Cnae  mcc  id'!$A:$M,9,0),"")</f>
        <v/>
      </c>
      <c r="I1403" s="62"/>
      <c r="J1403" s="63" t="str">
        <f aca="false">IF(I1403&lt;&gt;"",VLOOKUP(I1403,'Legal Nature'!$E$2:$G$84,3,0),"")</f>
        <v/>
      </c>
      <c r="U1403" s="58" t="str">
        <f aca="false">IF( T1403&lt;&gt;"",VLOOKUP(T1403,Selects!$M$4:$N$1000,2,0),"")</f>
        <v/>
      </c>
      <c r="AD1403" s="72" t="str">
        <f aca="false">IF(AC1403&lt;&gt;"",VLOOKUP(AC1403,Selects!$B$4:$C$100,2,0),"")</f>
        <v/>
      </c>
      <c r="AH1403" s="65"/>
      <c r="AJ1403" s="66"/>
      <c r="AK1403" s="58"/>
      <c r="AM1403" s="68" t="str">
        <f aca="false">IF(LEFT(AL1403,1)="9","Celular",IF(AL1403="","","Fixo"))</f>
        <v/>
      </c>
      <c r="AN1403" s="58" t="str">
        <f aca="false">IF( AM1403&lt;&gt;"",VLOOKUP(AM1403,Selects!$M$4:$N$1000,2,0),"")</f>
        <v/>
      </c>
      <c r="BB1403" s="72" t="str">
        <f aca="false">IF(BA1403&lt;&gt;"",VLOOKUP(BA1403,Selects!$B$4:$C$100,2,0),"")</f>
        <v/>
      </c>
      <c r="BG1403" s="75" t="str">
        <f aca="false">IF(LEN(BF1403)=11,"PF",IF(LEN(BF1403)=14,"PJ",""))</f>
        <v/>
      </c>
      <c r="BH1403" s="66"/>
      <c r="BI1403" s="58" t="str">
        <f aca="false">IF(BH1403&lt;&gt;"",VLOOKUP(BH1403,Selects!$G:$H,2,0),"")</f>
        <v/>
      </c>
      <c r="CB1403" s="72" t="str">
        <f aca="false">IF(AC1403&lt;&gt;"",VLOOKUP(AC1403,Selects!$B:$E,4,0),"")</f>
        <v/>
      </c>
    </row>
    <row r="1404" customFormat="false" ht="15" hidden="true" customHeight="false" outlineLevel="0" collapsed="false">
      <c r="E1404" s="60" t="str">
        <f aca="false">IF(LEN(D1404)=11,"PF",IF(LEN(D1404)=14,"PJ",""))</f>
        <v/>
      </c>
      <c r="H1404" s="61" t="str">
        <f aca="false">IF(G1404&lt;&gt;"",VLOOKUP(G1404,'Cnae  mcc  id'!$A:$M,9,0),"")</f>
        <v/>
      </c>
      <c r="I1404" s="62"/>
      <c r="J1404" s="63" t="str">
        <f aca="false">IF(I1404&lt;&gt;"",VLOOKUP(I1404,'Legal Nature'!$E$2:$G$84,3,0),"")</f>
        <v/>
      </c>
      <c r="U1404" s="58" t="str">
        <f aca="false">IF( T1404&lt;&gt;"",VLOOKUP(T1404,Selects!$M$4:$N$1000,2,0),"")</f>
        <v/>
      </c>
      <c r="AD1404" s="72" t="str">
        <f aca="false">IF(AC1404&lt;&gt;"",VLOOKUP(AC1404,Selects!$B$4:$C$100,2,0),"")</f>
        <v/>
      </c>
      <c r="AH1404" s="65"/>
      <c r="AJ1404" s="66"/>
      <c r="AK1404" s="58"/>
      <c r="AM1404" s="68" t="str">
        <f aca="false">IF(LEFT(AL1404,1)="9","Celular",IF(AL1404="","","Fixo"))</f>
        <v/>
      </c>
      <c r="AN1404" s="58" t="str">
        <f aca="false">IF( AM1404&lt;&gt;"",VLOOKUP(AM1404,Selects!$M$4:$N$1000,2,0),"")</f>
        <v/>
      </c>
      <c r="BB1404" s="72" t="str">
        <f aca="false">IF(BA1404&lt;&gt;"",VLOOKUP(BA1404,Selects!$B$4:$C$100,2,0),"")</f>
        <v/>
      </c>
      <c r="BG1404" s="75" t="str">
        <f aca="false">IF(LEN(BF1404)=11,"PF",IF(LEN(BF1404)=14,"PJ",""))</f>
        <v/>
      </c>
      <c r="BH1404" s="66"/>
      <c r="BI1404" s="58" t="str">
        <f aca="false">IF(BH1404&lt;&gt;"",VLOOKUP(BH1404,Selects!$G:$H,2,0),"")</f>
        <v/>
      </c>
      <c r="CB1404" s="72" t="str">
        <f aca="false">IF(AC1404&lt;&gt;"",VLOOKUP(AC1404,Selects!$B:$E,4,0),"")</f>
        <v/>
      </c>
    </row>
    <row r="1405" customFormat="false" ht="15" hidden="true" customHeight="false" outlineLevel="0" collapsed="false">
      <c r="E1405" s="60" t="str">
        <f aca="false">IF(LEN(D1405)=11,"PF",IF(LEN(D1405)=14,"PJ",""))</f>
        <v/>
      </c>
      <c r="H1405" s="61" t="str">
        <f aca="false">IF(G1405&lt;&gt;"",VLOOKUP(G1405,'Cnae  mcc  id'!$A:$M,9,0),"")</f>
        <v/>
      </c>
      <c r="I1405" s="62"/>
      <c r="J1405" s="63" t="str">
        <f aca="false">IF(I1405&lt;&gt;"",VLOOKUP(I1405,'Legal Nature'!$E$2:$G$84,3,0),"")</f>
        <v/>
      </c>
      <c r="U1405" s="58" t="str">
        <f aca="false">IF( T1405&lt;&gt;"",VLOOKUP(T1405,Selects!$M$4:$N$1000,2,0),"")</f>
        <v/>
      </c>
      <c r="AD1405" s="72" t="str">
        <f aca="false">IF(AC1405&lt;&gt;"",VLOOKUP(AC1405,Selects!$B$4:$C$100,2,0),"")</f>
        <v/>
      </c>
      <c r="AH1405" s="65"/>
      <c r="AJ1405" s="66"/>
      <c r="AK1405" s="58"/>
      <c r="AM1405" s="68" t="str">
        <f aca="false">IF(LEFT(AL1405,1)="9","Celular",IF(AL1405="","","Fixo"))</f>
        <v/>
      </c>
      <c r="AN1405" s="58" t="str">
        <f aca="false">IF( AM1405&lt;&gt;"",VLOOKUP(AM1405,Selects!$M$4:$N$1000,2,0),"")</f>
        <v/>
      </c>
      <c r="BB1405" s="72" t="str">
        <f aca="false">IF(BA1405&lt;&gt;"",VLOOKUP(BA1405,Selects!$B$4:$C$100,2,0),"")</f>
        <v/>
      </c>
      <c r="BG1405" s="75" t="str">
        <f aca="false">IF(LEN(BF1405)=11,"PF",IF(LEN(BF1405)=14,"PJ",""))</f>
        <v/>
      </c>
      <c r="BH1405" s="66"/>
      <c r="BI1405" s="58" t="str">
        <f aca="false">IF(BH1405&lt;&gt;"",VLOOKUP(BH1405,Selects!$G:$H,2,0),"")</f>
        <v/>
      </c>
      <c r="CB1405" s="72" t="str">
        <f aca="false">IF(AC1405&lt;&gt;"",VLOOKUP(AC1405,Selects!$B:$E,4,0),"")</f>
        <v/>
      </c>
    </row>
    <row r="1406" customFormat="false" ht="15" hidden="true" customHeight="false" outlineLevel="0" collapsed="false">
      <c r="E1406" s="60" t="str">
        <f aca="false">IF(LEN(D1406)=11,"PF",IF(LEN(D1406)=14,"PJ",""))</f>
        <v/>
      </c>
      <c r="H1406" s="61" t="str">
        <f aca="false">IF(G1406&lt;&gt;"",VLOOKUP(G1406,'Cnae  mcc  id'!$A:$M,9,0),"")</f>
        <v/>
      </c>
      <c r="I1406" s="62"/>
      <c r="J1406" s="63" t="str">
        <f aca="false">IF(I1406&lt;&gt;"",VLOOKUP(I1406,'Legal Nature'!$E$2:$G$84,3,0),"")</f>
        <v/>
      </c>
      <c r="U1406" s="58" t="str">
        <f aca="false">IF( T1406&lt;&gt;"",VLOOKUP(T1406,Selects!$M$4:$N$1000,2,0),"")</f>
        <v/>
      </c>
      <c r="AD1406" s="72" t="str">
        <f aca="false">IF(AC1406&lt;&gt;"",VLOOKUP(AC1406,Selects!$B$4:$C$100,2,0),"")</f>
        <v/>
      </c>
      <c r="AH1406" s="65"/>
      <c r="AJ1406" s="66"/>
      <c r="AK1406" s="58"/>
      <c r="AM1406" s="68" t="str">
        <f aca="false">IF(LEFT(AL1406,1)="9","Celular",IF(AL1406="","","Fixo"))</f>
        <v/>
      </c>
      <c r="AN1406" s="58" t="str">
        <f aca="false">IF( AM1406&lt;&gt;"",VLOOKUP(AM1406,Selects!$M$4:$N$1000,2,0),"")</f>
        <v/>
      </c>
      <c r="BB1406" s="72" t="str">
        <f aca="false">IF(BA1406&lt;&gt;"",VLOOKUP(BA1406,Selects!$B$4:$C$100,2,0),"")</f>
        <v/>
      </c>
      <c r="BG1406" s="75" t="str">
        <f aca="false">IF(LEN(BF1406)=11,"PF",IF(LEN(BF1406)=14,"PJ",""))</f>
        <v/>
      </c>
      <c r="BH1406" s="66"/>
      <c r="BI1406" s="58" t="str">
        <f aca="false">IF(BH1406&lt;&gt;"",VLOOKUP(BH1406,Selects!$G:$H,2,0),"")</f>
        <v/>
      </c>
      <c r="CB1406" s="72" t="str">
        <f aca="false">IF(AC1406&lt;&gt;"",VLOOKUP(AC1406,Selects!$B:$E,4,0),"")</f>
        <v/>
      </c>
    </row>
    <row r="1407" customFormat="false" ht="15" hidden="true" customHeight="false" outlineLevel="0" collapsed="false">
      <c r="E1407" s="60" t="str">
        <f aca="false">IF(LEN(D1407)=11,"PF",IF(LEN(D1407)=14,"PJ",""))</f>
        <v/>
      </c>
      <c r="H1407" s="61" t="str">
        <f aca="false">IF(G1407&lt;&gt;"",VLOOKUP(G1407,'Cnae  mcc  id'!$A:$M,9,0),"")</f>
        <v/>
      </c>
      <c r="I1407" s="62"/>
      <c r="J1407" s="63" t="str">
        <f aca="false">IF(I1407&lt;&gt;"",VLOOKUP(I1407,'Legal Nature'!$E$2:$G$84,3,0),"")</f>
        <v/>
      </c>
      <c r="U1407" s="58" t="str">
        <f aca="false">IF( T1407&lt;&gt;"",VLOOKUP(T1407,Selects!$M$4:$N$1000,2,0),"")</f>
        <v/>
      </c>
      <c r="AD1407" s="72" t="str">
        <f aca="false">IF(AC1407&lt;&gt;"",VLOOKUP(AC1407,Selects!$B$4:$C$100,2,0),"")</f>
        <v/>
      </c>
      <c r="AH1407" s="65"/>
      <c r="AJ1407" s="66"/>
      <c r="AK1407" s="58"/>
      <c r="AM1407" s="68" t="str">
        <f aca="false">IF(LEFT(AL1407,1)="9","Celular",IF(AL1407="","","Fixo"))</f>
        <v/>
      </c>
      <c r="AN1407" s="58" t="str">
        <f aca="false">IF( AM1407&lt;&gt;"",VLOOKUP(AM1407,Selects!$M$4:$N$1000,2,0),"")</f>
        <v/>
      </c>
      <c r="BB1407" s="72" t="str">
        <f aca="false">IF(BA1407&lt;&gt;"",VLOOKUP(BA1407,Selects!$B$4:$C$100,2,0),"")</f>
        <v/>
      </c>
      <c r="BG1407" s="75" t="str">
        <f aca="false">IF(LEN(BF1407)=11,"PF",IF(LEN(BF1407)=14,"PJ",""))</f>
        <v/>
      </c>
      <c r="BH1407" s="66"/>
      <c r="BI1407" s="58" t="str">
        <f aca="false">IF(BH1407&lt;&gt;"",VLOOKUP(BH1407,Selects!$G:$H,2,0),"")</f>
        <v/>
      </c>
      <c r="CB1407" s="72" t="str">
        <f aca="false">IF(AC1407&lt;&gt;"",VLOOKUP(AC1407,Selects!$B:$E,4,0),"")</f>
        <v/>
      </c>
    </row>
    <row r="1408" customFormat="false" ht="15" hidden="true" customHeight="false" outlineLevel="0" collapsed="false">
      <c r="E1408" s="60" t="str">
        <f aca="false">IF(LEN(D1408)=11,"PF",IF(LEN(D1408)=14,"PJ",""))</f>
        <v/>
      </c>
      <c r="H1408" s="61" t="str">
        <f aca="false">IF(G1408&lt;&gt;"",VLOOKUP(G1408,'Cnae  mcc  id'!$A:$M,9,0),"")</f>
        <v/>
      </c>
      <c r="I1408" s="62"/>
      <c r="J1408" s="63" t="str">
        <f aca="false">IF(I1408&lt;&gt;"",VLOOKUP(I1408,'Legal Nature'!$E$2:$G$84,3,0),"")</f>
        <v/>
      </c>
      <c r="U1408" s="58" t="str">
        <f aca="false">IF( T1408&lt;&gt;"",VLOOKUP(T1408,Selects!$M$4:$N$1000,2,0),"")</f>
        <v/>
      </c>
      <c r="AD1408" s="72" t="str">
        <f aca="false">IF(AC1408&lt;&gt;"",VLOOKUP(AC1408,Selects!$B$4:$C$100,2,0),"")</f>
        <v/>
      </c>
      <c r="AH1408" s="65"/>
      <c r="AJ1408" s="66"/>
      <c r="AK1408" s="58"/>
      <c r="AM1408" s="68" t="str">
        <f aca="false">IF(LEFT(AL1408,1)="9","Celular",IF(AL1408="","","Fixo"))</f>
        <v/>
      </c>
      <c r="AN1408" s="58" t="str">
        <f aca="false">IF( AM1408&lt;&gt;"",VLOOKUP(AM1408,Selects!$M$4:$N$1000,2,0),"")</f>
        <v/>
      </c>
      <c r="BB1408" s="72" t="str">
        <f aca="false">IF(BA1408&lt;&gt;"",VLOOKUP(BA1408,Selects!$B$4:$C$100,2,0),"")</f>
        <v/>
      </c>
      <c r="BG1408" s="75" t="str">
        <f aca="false">IF(LEN(BF1408)=11,"PF",IF(LEN(BF1408)=14,"PJ",""))</f>
        <v/>
      </c>
      <c r="BH1408" s="66"/>
      <c r="BI1408" s="58" t="str">
        <f aca="false">IF(BH1408&lt;&gt;"",VLOOKUP(BH1408,Selects!$G:$H,2,0),"")</f>
        <v/>
      </c>
      <c r="CB1408" s="72" t="str">
        <f aca="false">IF(AC1408&lt;&gt;"",VLOOKUP(AC1408,Selects!$B:$E,4,0),"")</f>
        <v/>
      </c>
    </row>
    <row r="1409" customFormat="false" ht="15" hidden="true" customHeight="false" outlineLevel="0" collapsed="false">
      <c r="E1409" s="60" t="str">
        <f aca="false">IF(LEN(D1409)=11,"PF",IF(LEN(D1409)=14,"PJ",""))</f>
        <v/>
      </c>
      <c r="H1409" s="61" t="str">
        <f aca="false">IF(G1409&lt;&gt;"",VLOOKUP(G1409,'Cnae  mcc  id'!$A:$M,9,0),"")</f>
        <v/>
      </c>
      <c r="I1409" s="62"/>
      <c r="J1409" s="63" t="str">
        <f aca="false">IF(I1409&lt;&gt;"",VLOOKUP(I1409,'Legal Nature'!$E$2:$G$84,3,0),"")</f>
        <v/>
      </c>
      <c r="U1409" s="58" t="str">
        <f aca="false">IF( T1409&lt;&gt;"",VLOOKUP(T1409,Selects!$M$4:$N$1000,2,0),"")</f>
        <v/>
      </c>
      <c r="AD1409" s="72" t="str">
        <f aca="false">IF(AC1409&lt;&gt;"",VLOOKUP(AC1409,Selects!$B$4:$C$100,2,0),"")</f>
        <v/>
      </c>
      <c r="AH1409" s="65"/>
      <c r="AJ1409" s="66"/>
      <c r="AK1409" s="58"/>
      <c r="AM1409" s="68" t="str">
        <f aca="false">IF(LEFT(AL1409,1)="9","Celular",IF(AL1409="","","Fixo"))</f>
        <v/>
      </c>
      <c r="AN1409" s="58" t="str">
        <f aca="false">IF( AM1409&lt;&gt;"",VLOOKUP(AM1409,Selects!$M$4:$N$1000,2,0),"")</f>
        <v/>
      </c>
      <c r="BB1409" s="72" t="str">
        <f aca="false">IF(BA1409&lt;&gt;"",VLOOKUP(BA1409,Selects!$B$4:$C$100,2,0),"")</f>
        <v/>
      </c>
      <c r="BG1409" s="75" t="str">
        <f aca="false">IF(LEN(BF1409)=11,"PF",IF(LEN(BF1409)=14,"PJ",""))</f>
        <v/>
      </c>
      <c r="BH1409" s="66"/>
      <c r="BI1409" s="58" t="str">
        <f aca="false">IF(BH1409&lt;&gt;"",VLOOKUP(BH1409,Selects!$G:$H,2,0),"")</f>
        <v/>
      </c>
      <c r="CB1409" s="72" t="str">
        <f aca="false">IF(AC1409&lt;&gt;"",VLOOKUP(AC1409,Selects!$B:$E,4,0),"")</f>
        <v/>
      </c>
    </row>
    <row r="1410" customFormat="false" ht="15" hidden="true" customHeight="false" outlineLevel="0" collapsed="false">
      <c r="E1410" s="60" t="str">
        <f aca="false">IF(LEN(D1410)=11,"PF",IF(LEN(D1410)=14,"PJ",""))</f>
        <v/>
      </c>
      <c r="H1410" s="61" t="str">
        <f aca="false">IF(G1410&lt;&gt;"",VLOOKUP(G1410,'Cnae  mcc  id'!$A:$M,9,0),"")</f>
        <v/>
      </c>
      <c r="I1410" s="62"/>
      <c r="J1410" s="63" t="str">
        <f aca="false">IF(I1410&lt;&gt;"",VLOOKUP(I1410,'Legal Nature'!$E$2:$G$84,3,0),"")</f>
        <v/>
      </c>
      <c r="U1410" s="58" t="str">
        <f aca="false">IF( T1410&lt;&gt;"",VLOOKUP(T1410,Selects!$M$4:$N$1000,2,0),"")</f>
        <v/>
      </c>
      <c r="AD1410" s="72" t="str">
        <f aca="false">IF(AC1410&lt;&gt;"",VLOOKUP(AC1410,Selects!$B$4:$C$100,2,0),"")</f>
        <v/>
      </c>
      <c r="AH1410" s="65"/>
      <c r="AJ1410" s="66"/>
      <c r="AK1410" s="58"/>
      <c r="AM1410" s="68" t="str">
        <f aca="false">IF(LEFT(AL1410,1)="9","Celular",IF(AL1410="","","Fixo"))</f>
        <v/>
      </c>
      <c r="AN1410" s="58" t="str">
        <f aca="false">IF( AM1410&lt;&gt;"",VLOOKUP(AM1410,Selects!$M$4:$N$1000,2,0),"")</f>
        <v/>
      </c>
      <c r="BB1410" s="72" t="str">
        <f aca="false">IF(BA1410&lt;&gt;"",VLOOKUP(BA1410,Selects!$B$4:$C$100,2,0),"")</f>
        <v/>
      </c>
      <c r="BG1410" s="75" t="str">
        <f aca="false">IF(LEN(BF1410)=11,"PF",IF(LEN(BF1410)=14,"PJ",""))</f>
        <v/>
      </c>
      <c r="BH1410" s="66"/>
      <c r="BI1410" s="58" t="str">
        <f aca="false">IF(BH1410&lt;&gt;"",VLOOKUP(BH1410,Selects!$G:$H,2,0),"")</f>
        <v/>
      </c>
      <c r="CB1410" s="72" t="str">
        <f aca="false">IF(AC1410&lt;&gt;"",VLOOKUP(AC1410,Selects!$B:$E,4,0),"")</f>
        <v/>
      </c>
    </row>
    <row r="1411" customFormat="false" ht="15" hidden="true" customHeight="false" outlineLevel="0" collapsed="false">
      <c r="E1411" s="60" t="str">
        <f aca="false">IF(LEN(D1411)=11,"PF",IF(LEN(D1411)=14,"PJ",""))</f>
        <v/>
      </c>
      <c r="H1411" s="61" t="str">
        <f aca="false">IF(G1411&lt;&gt;"",VLOOKUP(G1411,'Cnae  mcc  id'!$A:$M,9,0),"")</f>
        <v/>
      </c>
      <c r="I1411" s="62"/>
      <c r="J1411" s="63" t="str">
        <f aca="false">IF(I1411&lt;&gt;"",VLOOKUP(I1411,'Legal Nature'!$E$2:$G$84,3,0),"")</f>
        <v/>
      </c>
      <c r="U1411" s="58" t="str">
        <f aca="false">IF( T1411&lt;&gt;"",VLOOKUP(T1411,Selects!$M$4:$N$1000,2,0),"")</f>
        <v/>
      </c>
      <c r="AD1411" s="72" t="str">
        <f aca="false">IF(AC1411&lt;&gt;"",VLOOKUP(AC1411,Selects!$B$4:$C$100,2,0),"")</f>
        <v/>
      </c>
      <c r="AH1411" s="65"/>
      <c r="AJ1411" s="66"/>
      <c r="AK1411" s="58"/>
      <c r="AM1411" s="68" t="str">
        <f aca="false">IF(LEFT(AL1411,1)="9","Celular",IF(AL1411="","","Fixo"))</f>
        <v/>
      </c>
      <c r="AN1411" s="58" t="str">
        <f aca="false">IF( AM1411&lt;&gt;"",VLOOKUP(AM1411,Selects!$M$4:$N$1000,2,0),"")</f>
        <v/>
      </c>
      <c r="BB1411" s="72" t="str">
        <f aca="false">IF(BA1411&lt;&gt;"",VLOOKUP(BA1411,Selects!$B$4:$C$100,2,0),"")</f>
        <v/>
      </c>
      <c r="BG1411" s="75" t="str">
        <f aca="false">IF(LEN(BF1411)=11,"PF",IF(LEN(BF1411)=14,"PJ",""))</f>
        <v/>
      </c>
      <c r="BH1411" s="66"/>
      <c r="BI1411" s="58" t="str">
        <f aca="false">IF(BH1411&lt;&gt;"",VLOOKUP(BH1411,Selects!$G:$H,2,0),"")</f>
        <v/>
      </c>
      <c r="CB1411" s="72" t="str">
        <f aca="false">IF(AC1411&lt;&gt;"",VLOOKUP(AC1411,Selects!$B:$E,4,0),"")</f>
        <v/>
      </c>
    </row>
    <row r="1412" customFormat="false" ht="15" hidden="true" customHeight="false" outlineLevel="0" collapsed="false">
      <c r="E1412" s="60" t="str">
        <f aca="false">IF(LEN(D1412)=11,"PF",IF(LEN(D1412)=14,"PJ",""))</f>
        <v/>
      </c>
      <c r="H1412" s="61" t="str">
        <f aca="false">IF(G1412&lt;&gt;"",VLOOKUP(G1412,'Cnae  mcc  id'!$A:$M,9,0),"")</f>
        <v/>
      </c>
      <c r="I1412" s="62"/>
      <c r="J1412" s="63" t="str">
        <f aca="false">IF(I1412&lt;&gt;"",VLOOKUP(I1412,'Legal Nature'!$E$2:$G$84,3,0),"")</f>
        <v/>
      </c>
      <c r="U1412" s="58" t="str">
        <f aca="false">IF( T1412&lt;&gt;"",VLOOKUP(T1412,Selects!$M$4:$N$1000,2,0),"")</f>
        <v/>
      </c>
      <c r="AD1412" s="72" t="str">
        <f aca="false">IF(AC1412&lt;&gt;"",VLOOKUP(AC1412,Selects!$B$4:$C$100,2,0),"")</f>
        <v/>
      </c>
      <c r="AH1412" s="65"/>
      <c r="AJ1412" s="66"/>
      <c r="AK1412" s="58"/>
      <c r="AM1412" s="68" t="str">
        <f aca="false">IF(LEFT(AL1412,1)="9","Celular",IF(AL1412="","","Fixo"))</f>
        <v/>
      </c>
      <c r="AN1412" s="58" t="str">
        <f aca="false">IF( AM1412&lt;&gt;"",VLOOKUP(AM1412,Selects!$M$4:$N$1000,2,0),"")</f>
        <v/>
      </c>
      <c r="BB1412" s="72" t="str">
        <f aca="false">IF(BA1412&lt;&gt;"",VLOOKUP(BA1412,Selects!$B$4:$C$100,2,0),"")</f>
        <v/>
      </c>
      <c r="BG1412" s="75" t="str">
        <f aca="false">IF(LEN(BF1412)=11,"PF",IF(LEN(BF1412)=14,"PJ",""))</f>
        <v/>
      </c>
      <c r="BH1412" s="66"/>
      <c r="BI1412" s="58" t="str">
        <f aca="false">IF(BH1412&lt;&gt;"",VLOOKUP(BH1412,Selects!$G:$H,2,0),"")</f>
        <v/>
      </c>
      <c r="CB1412" s="72" t="str">
        <f aca="false">IF(AC1412&lt;&gt;"",VLOOKUP(AC1412,Selects!$B:$E,4,0),"")</f>
        <v/>
      </c>
    </row>
    <row r="1413" customFormat="false" ht="15" hidden="true" customHeight="false" outlineLevel="0" collapsed="false">
      <c r="E1413" s="60" t="str">
        <f aca="false">IF(LEN(D1413)=11,"PF",IF(LEN(D1413)=14,"PJ",""))</f>
        <v/>
      </c>
      <c r="H1413" s="61" t="str">
        <f aca="false">IF(G1413&lt;&gt;"",VLOOKUP(G1413,'Cnae  mcc  id'!$A:$M,9,0),"")</f>
        <v/>
      </c>
      <c r="I1413" s="62"/>
      <c r="J1413" s="63" t="str">
        <f aca="false">IF(I1413&lt;&gt;"",VLOOKUP(I1413,'Legal Nature'!$E$2:$G$84,3,0),"")</f>
        <v/>
      </c>
      <c r="U1413" s="58" t="str">
        <f aca="false">IF( T1413&lt;&gt;"",VLOOKUP(T1413,Selects!$M$4:$N$1000,2,0),"")</f>
        <v/>
      </c>
      <c r="AD1413" s="72" t="str">
        <f aca="false">IF(AC1413&lt;&gt;"",VLOOKUP(AC1413,Selects!$B$4:$C$100,2,0),"")</f>
        <v/>
      </c>
      <c r="AH1413" s="65"/>
      <c r="AJ1413" s="66"/>
      <c r="AK1413" s="58"/>
      <c r="AM1413" s="68" t="str">
        <f aca="false">IF(LEFT(AL1413,1)="9","Celular",IF(AL1413="","","Fixo"))</f>
        <v/>
      </c>
      <c r="AN1413" s="58" t="str">
        <f aca="false">IF( AM1413&lt;&gt;"",VLOOKUP(AM1413,Selects!$M$4:$N$1000,2,0),"")</f>
        <v/>
      </c>
      <c r="BB1413" s="72" t="str">
        <f aca="false">IF(BA1413&lt;&gt;"",VLOOKUP(BA1413,Selects!$B$4:$C$100,2,0),"")</f>
        <v/>
      </c>
      <c r="BG1413" s="75" t="str">
        <f aca="false">IF(LEN(BF1413)=11,"PF",IF(LEN(BF1413)=14,"PJ",""))</f>
        <v/>
      </c>
      <c r="BH1413" s="66"/>
      <c r="BI1413" s="58" t="str">
        <f aca="false">IF(BH1413&lt;&gt;"",VLOOKUP(BH1413,Selects!$G:$H,2,0),"")</f>
        <v/>
      </c>
      <c r="CB1413" s="72" t="str">
        <f aca="false">IF(AC1413&lt;&gt;"",VLOOKUP(AC1413,Selects!$B:$E,4,0),"")</f>
        <v/>
      </c>
    </row>
    <row r="1414" customFormat="false" ht="15" hidden="true" customHeight="false" outlineLevel="0" collapsed="false">
      <c r="E1414" s="60" t="str">
        <f aca="false">IF(LEN(D1414)=11,"PF",IF(LEN(D1414)=14,"PJ",""))</f>
        <v/>
      </c>
      <c r="I1414" s="62"/>
      <c r="J1414" s="63" t="str">
        <f aca="false">IF(I1414&lt;&gt;"",VLOOKUP(I1414,'Legal Nature'!$E$2:$G$84,3,0),"")</f>
        <v/>
      </c>
      <c r="U1414" s="58" t="str">
        <f aca="false">IF( T1414&lt;&gt;"",VLOOKUP(T1414,Selects!$M$4:$N$1000,2,0),"")</f>
        <v/>
      </c>
      <c r="AD1414" s="72" t="str">
        <f aca="false">IF(AC1414&lt;&gt;"",VLOOKUP(AC1414,Selects!$B$4:$C$100,2,0),"")</f>
        <v/>
      </c>
      <c r="AH1414" s="65"/>
      <c r="AJ1414" s="66"/>
      <c r="AK1414" s="58"/>
      <c r="AM1414" s="68" t="str">
        <f aca="false">IF(LEFT(AL1414,1)="9","Celular",IF(AL1414="","","Fixo"))</f>
        <v/>
      </c>
      <c r="AN1414" s="58" t="str">
        <f aca="false">IF( AM1414&lt;&gt;"",VLOOKUP(AM1414,Selects!$M$4:$N$1000,2,0),"")</f>
        <v/>
      </c>
      <c r="BB1414" s="72" t="str">
        <f aca="false">IF(BA1414&lt;&gt;"",VLOOKUP(BA1414,Selects!$B$4:$C$100,2,0),"")</f>
        <v/>
      </c>
      <c r="BG1414" s="75" t="str">
        <f aca="false">IF(LEN(BF1414)=11,"PF",IF(LEN(BF1414)=14,"PJ",""))</f>
        <v/>
      </c>
      <c r="BH1414" s="66"/>
      <c r="BI1414" s="58" t="str">
        <f aca="false">IF(BH1414&lt;&gt;"",VLOOKUP(BH1414,Selects!$G:$H,2,0),"")</f>
        <v/>
      </c>
      <c r="CB1414" s="72" t="str">
        <f aca="false">IF(AC1414&lt;&gt;"",VLOOKUP(AC1414,Selects!$B:$E,4,0),"")</f>
        <v/>
      </c>
    </row>
    <row r="1415" customFormat="false" ht="15" hidden="true" customHeight="false" outlineLevel="0" collapsed="false">
      <c r="E1415" s="60" t="str">
        <f aca="false">IF(LEN(D1415)=11,"PF",IF(LEN(D1415)=14,"PJ",""))</f>
        <v/>
      </c>
      <c r="I1415" s="62"/>
      <c r="J1415" s="63" t="str">
        <f aca="false">IF(I1415&lt;&gt;"",VLOOKUP(I1415,'Legal Nature'!$E$2:$G$84,3,0),"")</f>
        <v/>
      </c>
      <c r="U1415" s="58" t="str">
        <f aca="false">IF( T1415&lt;&gt;"",VLOOKUP(T1415,Selects!$M$4:$N$1000,2,0),"")</f>
        <v/>
      </c>
      <c r="AD1415" s="72" t="str">
        <f aca="false">IF(AC1415&lt;&gt;"",VLOOKUP(AC1415,Selects!$B$4:$C$100,2,0),"")</f>
        <v/>
      </c>
      <c r="AH1415" s="65"/>
      <c r="AJ1415" s="66"/>
      <c r="AK1415" s="58"/>
      <c r="AM1415" s="68" t="str">
        <f aca="false">IF(LEFT(AL1415,1)="9","Celular",IF(AL1415="","","Fixo"))</f>
        <v/>
      </c>
      <c r="AN1415" s="58" t="str">
        <f aca="false">IF( AM1415&lt;&gt;"",VLOOKUP(AM1415,Selects!$M$4:$N$1000,2,0),"")</f>
        <v/>
      </c>
      <c r="BB1415" s="72" t="str">
        <f aca="false">IF(BA1415&lt;&gt;"",VLOOKUP(BA1415,Selects!$B$4:$C$100,2,0),"")</f>
        <v/>
      </c>
      <c r="BG1415" s="75" t="str">
        <f aca="false">IF(LEN(BF1415)=11,"PF",IF(LEN(BF1415)=14,"PJ",""))</f>
        <v/>
      </c>
      <c r="BH1415" s="66"/>
      <c r="BI1415" s="58" t="str">
        <f aca="false">IF(BH1415&lt;&gt;"",VLOOKUP(BH1415,Selects!$G:$H,2,0),"")</f>
        <v/>
      </c>
      <c r="CB1415" s="72" t="str">
        <f aca="false">IF(AC1415&lt;&gt;"",VLOOKUP(AC1415,Selects!$B:$E,4,0),"")</f>
        <v/>
      </c>
    </row>
    <row r="1416" customFormat="false" ht="15" hidden="true" customHeight="false" outlineLevel="0" collapsed="false">
      <c r="E1416" s="60" t="str">
        <f aca="false">IF(LEN(D1416)=11,"PF",IF(LEN(D1416)=14,"PJ",""))</f>
        <v/>
      </c>
      <c r="I1416" s="62"/>
      <c r="J1416" s="63" t="str">
        <f aca="false">IF(I1416&lt;&gt;"",VLOOKUP(I1416,'Legal Nature'!$E$2:$G$84,3,0),"")</f>
        <v/>
      </c>
      <c r="U1416" s="58" t="str">
        <f aca="false">IF( T1416&lt;&gt;"",VLOOKUP(T1416,Selects!$M$4:$N$1000,2,0),"")</f>
        <v/>
      </c>
      <c r="AD1416" s="72" t="str">
        <f aca="false">IF(AC1416&lt;&gt;"",VLOOKUP(AC1416,Selects!$B$4:$C$100,2,0),"")</f>
        <v/>
      </c>
      <c r="AH1416" s="65"/>
      <c r="AJ1416" s="66"/>
      <c r="AK1416" s="58"/>
      <c r="AM1416" s="68" t="str">
        <f aca="false">IF(LEFT(AL1416,1)="9","Celular",IF(AL1416="","","Fixo"))</f>
        <v/>
      </c>
      <c r="AN1416" s="58" t="str">
        <f aca="false">IF( AM1416&lt;&gt;"",VLOOKUP(AM1416,Selects!$M$4:$N$1000,2,0),"")</f>
        <v/>
      </c>
      <c r="BB1416" s="72" t="str">
        <f aca="false">IF(BA1416&lt;&gt;"",VLOOKUP(BA1416,Selects!$B$4:$C$100,2,0),"")</f>
        <v/>
      </c>
      <c r="BG1416" s="75" t="str">
        <f aca="false">IF(LEN(BF1416)=11,"PF",IF(LEN(BF1416)=14,"PJ",""))</f>
        <v/>
      </c>
      <c r="BH1416" s="66"/>
      <c r="BI1416" s="58" t="str">
        <f aca="false">IF(BH1416&lt;&gt;"",VLOOKUP(BH1416,Selects!$G:$H,2,0),"")</f>
        <v/>
      </c>
      <c r="CB1416" s="72" t="str">
        <f aca="false">IF(AC1416&lt;&gt;"",VLOOKUP(AC1416,Selects!$B:$E,4,0),"")</f>
        <v/>
      </c>
    </row>
    <row r="1417" customFormat="false" ht="15" hidden="true" customHeight="false" outlineLevel="0" collapsed="false">
      <c r="E1417" s="60" t="str">
        <f aca="false">IF(LEN(D1417)=11,"PF",IF(LEN(D1417)=14,"PJ",""))</f>
        <v/>
      </c>
      <c r="I1417" s="62"/>
      <c r="J1417" s="63" t="str">
        <f aca="false">IF(I1417&lt;&gt;"",VLOOKUP(I1417,'Legal Nature'!$E$2:$G$84,3,0),"")</f>
        <v/>
      </c>
      <c r="U1417" s="58" t="str">
        <f aca="false">IF( T1417&lt;&gt;"",VLOOKUP(T1417,Selects!$M$4:$N$1000,2,0),"")</f>
        <v/>
      </c>
      <c r="AD1417" s="72" t="str">
        <f aca="false">IF(AC1417&lt;&gt;"",VLOOKUP(AC1417,Selects!$B$4:$C$100,2,0),"")</f>
        <v/>
      </c>
      <c r="AH1417" s="65"/>
      <c r="AJ1417" s="66"/>
      <c r="AK1417" s="58"/>
      <c r="AM1417" s="68" t="str">
        <f aca="false">IF(LEFT(AL1417,1)="9","Celular",IF(AL1417="","","Fixo"))</f>
        <v/>
      </c>
      <c r="AN1417" s="58" t="str">
        <f aca="false">IF( AM1417&lt;&gt;"",VLOOKUP(AM1417,Selects!$M$4:$N$1000,2,0),"")</f>
        <v/>
      </c>
      <c r="BB1417" s="72" t="str">
        <f aca="false">IF(BA1417&lt;&gt;"",VLOOKUP(BA1417,Selects!$B$4:$C$100,2,0),"")</f>
        <v/>
      </c>
      <c r="BG1417" s="75" t="str">
        <f aca="false">IF(LEN(BF1417)=11,"PF",IF(LEN(BF1417)=14,"PJ",""))</f>
        <v/>
      </c>
      <c r="BH1417" s="66"/>
      <c r="BI1417" s="58" t="str">
        <f aca="false">IF(BH1417&lt;&gt;"",VLOOKUP(BH1417,Selects!$G:$H,2,0),"")</f>
        <v/>
      </c>
      <c r="CB1417" s="72" t="str">
        <f aca="false">IF(AC1417&lt;&gt;"",VLOOKUP(AC1417,Selects!$B:$E,4,0),"")</f>
        <v/>
      </c>
    </row>
    <row r="1418" customFormat="false" ht="15" hidden="true" customHeight="false" outlineLevel="0" collapsed="false">
      <c r="E1418" s="60" t="str">
        <f aca="false">IF(LEN(D1418)=11,"PF",IF(LEN(D1418)=14,"PJ",""))</f>
        <v/>
      </c>
      <c r="I1418" s="62"/>
      <c r="J1418" s="63" t="str">
        <f aca="false">IF(I1418&lt;&gt;"",VLOOKUP(I1418,'Legal Nature'!$E$2:$G$84,3,0),"")</f>
        <v/>
      </c>
      <c r="U1418" s="58" t="str">
        <f aca="false">IF( T1418&lt;&gt;"",VLOOKUP(T1418,Selects!$M$4:$N$1000,2,0),"")</f>
        <v/>
      </c>
      <c r="AD1418" s="72" t="str">
        <f aca="false">IF(AC1418&lt;&gt;"",VLOOKUP(AC1418,Selects!$B$4:$C$100,2,0),"")</f>
        <v/>
      </c>
      <c r="AH1418" s="65"/>
      <c r="AJ1418" s="66"/>
      <c r="AK1418" s="58"/>
      <c r="AM1418" s="68" t="str">
        <f aca="false">IF(LEFT(AL1418,1)="9","Celular",IF(AL1418="","","Fixo"))</f>
        <v/>
      </c>
      <c r="AN1418" s="58" t="str">
        <f aca="false">IF( AM1418&lt;&gt;"",VLOOKUP(AM1418,Selects!$M$4:$N$1000,2,0),"")</f>
        <v/>
      </c>
      <c r="BB1418" s="72" t="str">
        <f aca="false">IF(BA1418&lt;&gt;"",VLOOKUP(BA1418,Selects!$B$4:$C$100,2,0),"")</f>
        <v/>
      </c>
      <c r="BG1418" s="75" t="str">
        <f aca="false">IF(LEN(BF1418)=11,"PF",IF(LEN(BF1418)=14,"PJ",""))</f>
        <v/>
      </c>
      <c r="BH1418" s="66"/>
      <c r="BI1418" s="58" t="str">
        <f aca="false">IF(BH1418&lt;&gt;"",VLOOKUP(BH1418,Selects!$G:$H,2,0),"")</f>
        <v/>
      </c>
      <c r="CB1418" s="72" t="str">
        <f aca="false">IF(AC1418&lt;&gt;"",VLOOKUP(AC1418,Selects!$B:$E,4,0),"")</f>
        <v/>
      </c>
    </row>
    <row r="1419" customFormat="false" ht="15" hidden="true" customHeight="false" outlineLevel="0" collapsed="false">
      <c r="E1419" s="60" t="str">
        <f aca="false">IF(LEN(D1419)=11,"PF",IF(LEN(D1419)=14,"PJ",""))</f>
        <v/>
      </c>
      <c r="I1419" s="62"/>
      <c r="J1419" s="63" t="str">
        <f aca="false">IF(I1419&lt;&gt;"",VLOOKUP(I1419,'Legal Nature'!$E$2:$G$84,3,0),"")</f>
        <v/>
      </c>
      <c r="U1419" s="58" t="str">
        <f aca="false">IF( T1419&lt;&gt;"",VLOOKUP(T1419,Selects!$M$4:$N$1000,2,0),"")</f>
        <v/>
      </c>
      <c r="AD1419" s="72" t="str">
        <f aca="false">IF(AC1419&lt;&gt;"",VLOOKUP(AC1419,Selects!$B$4:$C$100,2,0),"")</f>
        <v/>
      </c>
      <c r="AH1419" s="65"/>
      <c r="AJ1419" s="66"/>
      <c r="AK1419" s="58"/>
      <c r="AM1419" s="68" t="str">
        <f aca="false">IF(LEFT(AL1419,1)="9","Celular",IF(AL1419="","","Fixo"))</f>
        <v/>
      </c>
      <c r="AN1419" s="58" t="str">
        <f aca="false">IF( AM1419&lt;&gt;"",VLOOKUP(AM1419,Selects!$M$4:$N$1000,2,0),"")</f>
        <v/>
      </c>
      <c r="BB1419" s="72" t="str">
        <f aca="false">IF(BA1419&lt;&gt;"",VLOOKUP(BA1419,Selects!$B$4:$C$100,2,0),"")</f>
        <v/>
      </c>
      <c r="BG1419" s="75" t="str">
        <f aca="false">IF(LEN(BF1419)=11,"PF",IF(LEN(BF1419)=14,"PJ",""))</f>
        <v/>
      </c>
      <c r="BH1419" s="66"/>
      <c r="BI1419" s="58" t="str">
        <f aca="false">IF(BH1419&lt;&gt;"",VLOOKUP(BH1419,Selects!$G:$H,2,0),"")</f>
        <v/>
      </c>
      <c r="CB1419" s="72" t="str">
        <f aca="false">IF(AC1419&lt;&gt;"",VLOOKUP(AC1419,Selects!$B:$E,4,0),"")</f>
        <v/>
      </c>
    </row>
    <row r="1420" customFormat="false" ht="15" hidden="true" customHeight="false" outlineLevel="0" collapsed="false">
      <c r="E1420" s="60" t="str">
        <f aca="false">IF(LEN(D1420)=11,"PF",IF(LEN(D1420)=14,"PJ",""))</f>
        <v/>
      </c>
      <c r="I1420" s="62"/>
      <c r="J1420" s="63" t="str">
        <f aca="false">IF(I1420&lt;&gt;"",VLOOKUP(I1420,'Legal Nature'!$E$2:$G$84,3,0),"")</f>
        <v/>
      </c>
      <c r="U1420" s="58" t="str">
        <f aca="false">IF( T1420&lt;&gt;"",VLOOKUP(T1420,Selects!$M$4:$N$1000,2,0),"")</f>
        <v/>
      </c>
      <c r="AD1420" s="72" t="str">
        <f aca="false">IF(AC1420&lt;&gt;"",VLOOKUP(AC1420,Selects!$B$4:$C$100,2,0),"")</f>
        <v/>
      </c>
      <c r="AH1420" s="65"/>
      <c r="AJ1420" s="66"/>
      <c r="AK1420" s="58"/>
      <c r="AM1420" s="68" t="str">
        <f aca="false">IF(LEFT(AL1420,1)="9","Celular",IF(AL1420="","","Fixo"))</f>
        <v/>
      </c>
      <c r="AN1420" s="58" t="str">
        <f aca="false">IF( AM1420&lt;&gt;"",VLOOKUP(AM1420,Selects!$M$4:$N$1000,2,0),"")</f>
        <v/>
      </c>
      <c r="BB1420" s="72" t="str">
        <f aca="false">IF(BA1420&lt;&gt;"",VLOOKUP(BA1420,Selects!$B$4:$C$100,2,0),"")</f>
        <v/>
      </c>
      <c r="BG1420" s="75" t="str">
        <f aca="false">IF(LEN(BF1420)=11,"PF",IF(LEN(BF1420)=14,"PJ",""))</f>
        <v/>
      </c>
      <c r="BH1420" s="66"/>
      <c r="BI1420" s="58" t="str">
        <f aca="false">IF(BH1420&lt;&gt;"",VLOOKUP(BH1420,Selects!$G:$H,2,0),"")</f>
        <v/>
      </c>
      <c r="CB1420" s="72" t="str">
        <f aca="false">IF(AC1420&lt;&gt;"",VLOOKUP(AC1420,Selects!$B:$E,4,0),"")</f>
        <v/>
      </c>
    </row>
    <row r="1421" customFormat="false" ht="15" hidden="true" customHeight="false" outlineLevel="0" collapsed="false">
      <c r="E1421" s="60" t="str">
        <f aca="false">IF(LEN(D1421)=11,"PF",IF(LEN(D1421)=14,"PJ",""))</f>
        <v/>
      </c>
      <c r="I1421" s="62"/>
      <c r="J1421" s="63" t="str">
        <f aca="false">IF(I1421&lt;&gt;"",VLOOKUP(I1421,'Legal Nature'!$E$2:$G$84,3,0),"")</f>
        <v/>
      </c>
      <c r="U1421" s="58" t="str">
        <f aca="false">IF( T1421&lt;&gt;"",VLOOKUP(T1421,Selects!$M$4:$N$1000,2,0),"")</f>
        <v/>
      </c>
      <c r="AD1421" s="72" t="str">
        <f aca="false">IF(AC1421&lt;&gt;"",VLOOKUP(AC1421,Selects!$B$4:$C$100,2,0),"")</f>
        <v/>
      </c>
      <c r="AH1421" s="65"/>
      <c r="AJ1421" s="66"/>
      <c r="AK1421" s="58"/>
      <c r="AM1421" s="68" t="str">
        <f aca="false">IF(LEFT(AL1421,1)="9","Celular",IF(AL1421="","","Fixo"))</f>
        <v/>
      </c>
      <c r="AN1421" s="58" t="str">
        <f aca="false">IF( AM1421&lt;&gt;"",VLOOKUP(AM1421,Selects!$M$4:$N$1000,2,0),"")</f>
        <v/>
      </c>
      <c r="BB1421" s="72" t="str">
        <f aca="false">IF(BA1421&lt;&gt;"",VLOOKUP(BA1421,Selects!$B$4:$C$100,2,0),"")</f>
        <v/>
      </c>
      <c r="BG1421" s="75" t="str">
        <f aca="false">IF(LEN(BF1421)=11,"PF",IF(LEN(BF1421)=14,"PJ",""))</f>
        <v/>
      </c>
      <c r="BH1421" s="66"/>
      <c r="BI1421" s="58" t="str">
        <f aca="false">IF(BH1421&lt;&gt;"",VLOOKUP(BH1421,Selects!$G:$H,2,0),"")</f>
        <v/>
      </c>
      <c r="CB1421" s="72" t="str">
        <f aca="false">IF(AC1421&lt;&gt;"",VLOOKUP(AC1421,Selects!$B:$E,4,0),"")</f>
        <v/>
      </c>
    </row>
    <row r="1422" customFormat="false" ht="15" hidden="true" customHeight="false" outlineLevel="0" collapsed="false">
      <c r="E1422" s="60" t="str">
        <f aca="false">IF(LEN(D1422)=11,"PF",IF(LEN(D1422)=14,"PJ",""))</f>
        <v/>
      </c>
      <c r="I1422" s="62"/>
      <c r="J1422" s="63" t="str">
        <f aca="false">IF(I1422&lt;&gt;"",VLOOKUP(I1422,'Legal Nature'!$E$2:$G$84,3,0),"")</f>
        <v/>
      </c>
      <c r="U1422" s="58" t="str">
        <f aca="false">IF( T1422&lt;&gt;"",VLOOKUP(T1422,Selects!$M$4:$N$1000,2,0),"")</f>
        <v/>
      </c>
      <c r="AD1422" s="72" t="str">
        <f aca="false">IF(AC1422&lt;&gt;"",VLOOKUP(AC1422,Selects!$B$4:$C$100,2,0),"")</f>
        <v/>
      </c>
      <c r="AH1422" s="65"/>
      <c r="AJ1422" s="66"/>
      <c r="AK1422" s="58"/>
      <c r="AM1422" s="68" t="str">
        <f aca="false">IF(LEFT(AL1422,1)="9","Celular",IF(AL1422="","","Fixo"))</f>
        <v/>
      </c>
      <c r="AN1422" s="58" t="str">
        <f aca="false">IF( AM1422&lt;&gt;"",VLOOKUP(AM1422,Selects!$M$4:$N$1000,2,0),"")</f>
        <v/>
      </c>
      <c r="BB1422" s="72" t="str">
        <f aca="false">IF(BA1422&lt;&gt;"",VLOOKUP(BA1422,Selects!$B$4:$C$100,2,0),"")</f>
        <v/>
      </c>
      <c r="BG1422" s="75" t="str">
        <f aca="false">IF(LEN(BF1422)=11,"PF",IF(LEN(BF1422)=14,"PJ",""))</f>
        <v/>
      </c>
      <c r="BH1422" s="66"/>
      <c r="BI1422" s="58" t="str">
        <f aca="false">IF(BH1422&lt;&gt;"",VLOOKUP(BH1422,Selects!$G:$H,2,0),"")</f>
        <v/>
      </c>
      <c r="CB1422" s="72" t="str">
        <f aca="false">IF(AC1422&lt;&gt;"",VLOOKUP(AC1422,Selects!$B:$E,4,0),"")</f>
        <v/>
      </c>
    </row>
    <row r="1423" customFormat="false" ht="15" hidden="true" customHeight="false" outlineLevel="0" collapsed="false">
      <c r="E1423" s="60" t="str">
        <f aca="false">IF(LEN(D1423)=11,"PF",IF(LEN(D1423)=14,"PJ",""))</f>
        <v/>
      </c>
      <c r="I1423" s="62"/>
      <c r="J1423" s="63" t="str">
        <f aca="false">IF(I1423&lt;&gt;"",VLOOKUP(I1423,'Legal Nature'!$E$2:$G$84,3,0),"")</f>
        <v/>
      </c>
      <c r="U1423" s="58" t="str">
        <f aca="false">IF( T1423&lt;&gt;"",VLOOKUP(T1423,Selects!$M$4:$N$1000,2,0),"")</f>
        <v/>
      </c>
      <c r="AD1423" s="72" t="str">
        <f aca="false">IF(AC1423&lt;&gt;"",VLOOKUP(AC1423,Selects!$B$4:$C$100,2,0),"")</f>
        <v/>
      </c>
      <c r="AH1423" s="65"/>
      <c r="AJ1423" s="66"/>
      <c r="AK1423" s="58"/>
      <c r="AM1423" s="68" t="str">
        <f aca="false">IF(LEFT(AL1423,1)="9","Celular",IF(AL1423="","","Fixo"))</f>
        <v/>
      </c>
      <c r="AN1423" s="58" t="str">
        <f aca="false">IF( AM1423&lt;&gt;"",VLOOKUP(AM1423,Selects!$M$4:$N$1000,2,0),"")</f>
        <v/>
      </c>
      <c r="BB1423" s="72" t="str">
        <f aca="false">IF(BA1423&lt;&gt;"",VLOOKUP(BA1423,Selects!$B$4:$C$100,2,0),"")</f>
        <v/>
      </c>
      <c r="BG1423" s="75" t="str">
        <f aca="false">IF(LEN(BF1423)=11,"PF",IF(LEN(BF1423)=14,"PJ",""))</f>
        <v/>
      </c>
      <c r="BH1423" s="66"/>
      <c r="BI1423" s="58" t="str">
        <f aca="false">IF(BH1423&lt;&gt;"",VLOOKUP(BH1423,Selects!$G:$H,2,0),"")</f>
        <v/>
      </c>
      <c r="CB1423" s="72" t="str">
        <f aca="false">IF(AC1423&lt;&gt;"",VLOOKUP(AC1423,Selects!$B:$E,4,0),"")</f>
        <v/>
      </c>
    </row>
    <row r="1424" customFormat="false" ht="15" hidden="true" customHeight="false" outlineLevel="0" collapsed="false">
      <c r="E1424" s="60" t="str">
        <f aca="false">IF(LEN(D1424)=11,"PF",IF(LEN(D1424)=14,"PJ",""))</f>
        <v/>
      </c>
      <c r="I1424" s="62"/>
      <c r="J1424" s="63" t="str">
        <f aca="false">IF(I1424&lt;&gt;"",VLOOKUP(I1424,'Legal Nature'!$E$2:$G$84,3,0),"")</f>
        <v/>
      </c>
      <c r="U1424" s="58" t="str">
        <f aca="false">IF( T1424&lt;&gt;"",VLOOKUP(T1424,Selects!$M$4:$N$1000,2,0),"")</f>
        <v/>
      </c>
      <c r="AD1424" s="72" t="str">
        <f aca="false">IF(AC1424&lt;&gt;"",VLOOKUP(AC1424,Selects!$B$4:$C$100,2,0),"")</f>
        <v/>
      </c>
      <c r="AH1424" s="65"/>
      <c r="AJ1424" s="66"/>
      <c r="AK1424" s="58"/>
      <c r="AM1424" s="68" t="str">
        <f aca="false">IF(LEFT(AL1424,1)="9","Celular",IF(AL1424="","","Fixo"))</f>
        <v/>
      </c>
      <c r="AN1424" s="58" t="str">
        <f aca="false">IF( AM1424&lt;&gt;"",VLOOKUP(AM1424,Selects!$M$4:$N$1000,2,0),"")</f>
        <v/>
      </c>
      <c r="BB1424" s="72" t="str">
        <f aca="false">IF(BA1424&lt;&gt;"",VLOOKUP(BA1424,Selects!$B$4:$C$100,2,0),"")</f>
        <v/>
      </c>
      <c r="BG1424" s="75" t="str">
        <f aca="false">IF(LEN(BF1424)=11,"PF",IF(LEN(BF1424)=14,"PJ",""))</f>
        <v/>
      </c>
      <c r="BH1424" s="66"/>
      <c r="BI1424" s="58" t="str">
        <f aca="false">IF(BH1424&lt;&gt;"",VLOOKUP(BH1424,Selects!$G:$H,2,0),"")</f>
        <v/>
      </c>
      <c r="CB1424" s="72" t="str">
        <f aca="false">IF(AC1424&lt;&gt;"",VLOOKUP(AC1424,Selects!$B:$E,4,0),"")</f>
        <v/>
      </c>
    </row>
    <row r="1425" customFormat="false" ht="15" hidden="true" customHeight="false" outlineLevel="0" collapsed="false">
      <c r="E1425" s="60" t="str">
        <f aca="false">IF(LEN(D1425)=11,"PF",IF(LEN(D1425)=14,"PJ",""))</f>
        <v/>
      </c>
      <c r="I1425" s="62"/>
      <c r="J1425" s="63" t="str">
        <f aca="false">IF(I1425&lt;&gt;"",VLOOKUP(I1425,'Legal Nature'!$E$2:$G$84,3,0),"")</f>
        <v/>
      </c>
      <c r="U1425" s="58" t="str">
        <f aca="false">IF( T1425&lt;&gt;"",VLOOKUP(T1425,Selects!$M$4:$N$1000,2,0),"")</f>
        <v/>
      </c>
      <c r="AD1425" s="72" t="str">
        <f aca="false">IF(AC1425&lt;&gt;"",VLOOKUP(AC1425,Selects!$B$4:$C$100,2,0),"")</f>
        <v/>
      </c>
      <c r="AH1425" s="65"/>
      <c r="AJ1425" s="66"/>
      <c r="AK1425" s="58"/>
      <c r="AM1425" s="68" t="str">
        <f aca="false">IF(LEFT(AL1425,1)="9","Celular",IF(AL1425="","","Fixo"))</f>
        <v/>
      </c>
      <c r="AN1425" s="58" t="str">
        <f aca="false">IF( AM1425&lt;&gt;"",VLOOKUP(AM1425,Selects!$M$4:$N$1000,2,0),"")</f>
        <v/>
      </c>
      <c r="BB1425" s="72" t="str">
        <f aca="false">IF(BA1425&lt;&gt;"",VLOOKUP(BA1425,Selects!$B$4:$C$100,2,0),"")</f>
        <v/>
      </c>
      <c r="BG1425" s="75" t="str">
        <f aca="false">IF(LEN(BF1425)=11,"PF",IF(LEN(BF1425)=14,"PJ",""))</f>
        <v/>
      </c>
      <c r="BH1425" s="66"/>
      <c r="BI1425" s="58" t="str">
        <f aca="false">IF(BH1425&lt;&gt;"",VLOOKUP(BH1425,Selects!$G:$H,2,0),"")</f>
        <v/>
      </c>
      <c r="CB1425" s="72" t="str">
        <f aca="false">IF(AC1425&lt;&gt;"",VLOOKUP(AC1425,Selects!$B:$E,4,0),"")</f>
        <v/>
      </c>
    </row>
    <row r="1426" customFormat="false" ht="15" hidden="true" customHeight="false" outlineLevel="0" collapsed="false">
      <c r="E1426" s="60" t="str">
        <f aca="false">IF(LEN(D1426)=11,"PF",IF(LEN(D1426)=14,"PJ",""))</f>
        <v/>
      </c>
      <c r="I1426" s="62"/>
      <c r="J1426" s="63" t="str">
        <f aca="false">IF(I1426&lt;&gt;"",VLOOKUP(I1426,'Legal Nature'!$E$2:$G$84,3,0),"")</f>
        <v/>
      </c>
      <c r="U1426" s="58" t="str">
        <f aca="false">IF( T1426&lt;&gt;"",VLOOKUP(T1426,Selects!$M$4:$N$1000,2,0),"")</f>
        <v/>
      </c>
      <c r="AD1426" s="72" t="str">
        <f aca="false">IF(AC1426&lt;&gt;"",VLOOKUP(AC1426,Selects!$B$4:$C$100,2,0),"")</f>
        <v/>
      </c>
      <c r="AH1426" s="65"/>
      <c r="AJ1426" s="66"/>
      <c r="AK1426" s="58"/>
      <c r="AM1426" s="68" t="str">
        <f aca="false">IF(LEFT(AL1426,1)="9","Celular",IF(AL1426="","","Fixo"))</f>
        <v/>
      </c>
      <c r="AN1426" s="58" t="str">
        <f aca="false">IF( AM1426&lt;&gt;"",VLOOKUP(AM1426,Selects!$M$4:$N$1000,2,0),"")</f>
        <v/>
      </c>
      <c r="BB1426" s="72" t="str">
        <f aca="false">IF(BA1426&lt;&gt;"",VLOOKUP(BA1426,Selects!$B$4:$C$100,2,0),"")</f>
        <v/>
      </c>
      <c r="BG1426" s="75" t="str">
        <f aca="false">IF(LEN(BF1426)=11,"PF",IF(LEN(BF1426)=14,"PJ",""))</f>
        <v/>
      </c>
      <c r="BH1426" s="66"/>
      <c r="BI1426" s="58" t="str">
        <f aca="false">IF(BH1426&lt;&gt;"",VLOOKUP(BH1426,Selects!$G:$H,2,0),"")</f>
        <v/>
      </c>
      <c r="CB1426" s="72" t="str">
        <f aca="false">IF(AC1426&lt;&gt;"",VLOOKUP(AC1426,Selects!$B:$E,4,0),"")</f>
        <v/>
      </c>
    </row>
    <row r="1427" customFormat="false" ht="15" hidden="true" customHeight="false" outlineLevel="0" collapsed="false">
      <c r="E1427" s="60" t="str">
        <f aca="false">IF(LEN(D1427)=11,"PF",IF(LEN(D1427)=14,"PJ",""))</f>
        <v/>
      </c>
      <c r="I1427" s="62"/>
      <c r="J1427" s="63" t="str">
        <f aca="false">IF(I1427&lt;&gt;"",VLOOKUP(I1427,'Legal Nature'!$E$2:$G$84,3,0),"")</f>
        <v/>
      </c>
      <c r="U1427" s="58" t="str">
        <f aca="false">IF( T1427&lt;&gt;"",VLOOKUP(T1427,Selects!$M$4:$N$1000,2,0),"")</f>
        <v/>
      </c>
      <c r="AD1427" s="72" t="str">
        <f aca="false">IF(AC1427&lt;&gt;"",VLOOKUP(AC1427,Selects!$B$4:$C$100,2,0),"")</f>
        <v/>
      </c>
      <c r="AH1427" s="65"/>
      <c r="AJ1427" s="66"/>
      <c r="AK1427" s="58"/>
      <c r="AM1427" s="68" t="str">
        <f aca="false">IF(LEFT(AL1427,1)="9","Celular",IF(AL1427="","","Fixo"))</f>
        <v/>
      </c>
      <c r="AN1427" s="58" t="str">
        <f aca="false">IF( AM1427&lt;&gt;"",VLOOKUP(AM1427,Selects!$M$4:$N$1000,2,0),"")</f>
        <v/>
      </c>
      <c r="BB1427" s="72" t="str">
        <f aca="false">IF(BA1427&lt;&gt;"",VLOOKUP(BA1427,Selects!$B$4:$C$100,2,0),"")</f>
        <v/>
      </c>
      <c r="BG1427" s="75" t="str">
        <f aca="false">IF(LEN(BF1427)=11,"PF",IF(LEN(BF1427)=14,"PJ",""))</f>
        <v/>
      </c>
      <c r="BH1427" s="66"/>
      <c r="BI1427" s="58" t="str">
        <f aca="false">IF(BH1427&lt;&gt;"",VLOOKUP(BH1427,Selects!$G:$H,2,0),"")</f>
        <v/>
      </c>
      <c r="CB1427" s="72" t="str">
        <f aca="false">IF(AC1427&lt;&gt;"",VLOOKUP(AC1427,Selects!$B:$E,4,0),"")</f>
        <v/>
      </c>
    </row>
    <row r="1428" customFormat="false" ht="15" hidden="true" customHeight="false" outlineLevel="0" collapsed="false">
      <c r="E1428" s="60" t="str">
        <f aca="false">IF(LEN(D1428)=11,"PF",IF(LEN(D1428)=14,"PJ",""))</f>
        <v/>
      </c>
      <c r="I1428" s="62"/>
      <c r="J1428" s="63" t="str">
        <f aca="false">IF(I1428&lt;&gt;"",VLOOKUP(I1428,'Legal Nature'!$E$2:$G$84,3,0),"")</f>
        <v/>
      </c>
      <c r="U1428" s="58" t="str">
        <f aca="false">IF( T1428&lt;&gt;"",VLOOKUP(T1428,Selects!$M$4:$N$1000,2,0),"")</f>
        <v/>
      </c>
      <c r="AD1428" s="72" t="str">
        <f aca="false">IF(AC1428&lt;&gt;"",VLOOKUP(AC1428,Selects!$B$4:$C$100,2,0),"")</f>
        <v/>
      </c>
      <c r="AH1428" s="65"/>
      <c r="AJ1428" s="66"/>
      <c r="AK1428" s="58"/>
      <c r="AM1428" s="68" t="str">
        <f aca="false">IF(LEFT(AL1428,1)="9","Celular",IF(AL1428="","","Fixo"))</f>
        <v/>
      </c>
      <c r="AN1428" s="58" t="str">
        <f aca="false">IF( AM1428&lt;&gt;"",VLOOKUP(AM1428,Selects!$M$4:$N$1000,2,0),"")</f>
        <v/>
      </c>
      <c r="BB1428" s="72" t="str">
        <f aca="false">IF(BA1428&lt;&gt;"",VLOOKUP(BA1428,Selects!$B$4:$C$100,2,0),"")</f>
        <v/>
      </c>
      <c r="BG1428" s="75" t="str">
        <f aca="false">IF(LEN(BF1428)=11,"PF",IF(LEN(BF1428)=14,"PJ",""))</f>
        <v/>
      </c>
      <c r="BH1428" s="66"/>
      <c r="BI1428" s="58" t="str">
        <f aca="false">IF(BH1428&lt;&gt;"",VLOOKUP(BH1428,Selects!$G:$H,2,0),"")</f>
        <v/>
      </c>
      <c r="CB1428" s="72" t="str">
        <f aca="false">IF(AC1428&lt;&gt;"",VLOOKUP(AC1428,Selects!$B:$E,4,0),"")</f>
        <v/>
      </c>
    </row>
    <row r="1429" customFormat="false" ht="15" hidden="true" customHeight="false" outlineLevel="0" collapsed="false">
      <c r="E1429" s="60" t="str">
        <f aca="false">IF(LEN(D1429)=11,"PF",IF(LEN(D1429)=14,"PJ",""))</f>
        <v/>
      </c>
      <c r="I1429" s="62"/>
      <c r="J1429" s="63" t="str">
        <f aca="false">IF(I1429&lt;&gt;"",VLOOKUP(I1429,'Legal Nature'!$E$2:$G$84,3,0),"")</f>
        <v/>
      </c>
      <c r="U1429" s="58" t="str">
        <f aca="false">IF( T1429&lt;&gt;"",VLOOKUP(T1429,Selects!$M$4:$N$1000,2,0),"")</f>
        <v/>
      </c>
      <c r="AD1429" s="72" t="str">
        <f aca="false">IF(AC1429&lt;&gt;"",VLOOKUP(AC1429,Selects!$B$4:$C$100,2,0),"")</f>
        <v/>
      </c>
      <c r="AH1429" s="65"/>
      <c r="AJ1429" s="66"/>
      <c r="AK1429" s="58"/>
      <c r="AM1429" s="68" t="str">
        <f aca="false">IF(LEFT(AL1429,1)="9","Celular",IF(AL1429="","","Fixo"))</f>
        <v/>
      </c>
      <c r="AN1429" s="58" t="str">
        <f aca="false">IF( AM1429&lt;&gt;"",VLOOKUP(AM1429,Selects!$M$4:$N$1000,2,0),"")</f>
        <v/>
      </c>
      <c r="BB1429" s="72" t="str">
        <f aca="false">IF(BA1429&lt;&gt;"",VLOOKUP(BA1429,Selects!$B$4:$C$100,2,0),"")</f>
        <v/>
      </c>
      <c r="BG1429" s="75" t="str">
        <f aca="false">IF(LEN(BF1429)=11,"PF",IF(LEN(BF1429)=14,"PJ",""))</f>
        <v/>
      </c>
      <c r="BH1429" s="66"/>
      <c r="BI1429" s="58" t="str">
        <f aca="false">IF(BH1429&lt;&gt;"",VLOOKUP(BH1429,Selects!$G:$H,2,0),"")</f>
        <v/>
      </c>
      <c r="CB1429" s="72" t="str">
        <f aca="false">IF(AC1429&lt;&gt;"",VLOOKUP(AC1429,Selects!$B:$E,4,0),"")</f>
        <v/>
      </c>
    </row>
    <row r="1430" customFormat="false" ht="15" hidden="true" customHeight="false" outlineLevel="0" collapsed="false">
      <c r="E1430" s="60" t="str">
        <f aca="false">IF(LEN(D1430)=11,"PF",IF(LEN(D1430)=14,"PJ",""))</f>
        <v/>
      </c>
      <c r="I1430" s="62"/>
      <c r="J1430" s="63" t="str">
        <f aca="false">IF(I1430&lt;&gt;"",VLOOKUP(I1430,'Legal Nature'!$E$2:$G$84,3,0),"")</f>
        <v/>
      </c>
      <c r="U1430" s="58" t="str">
        <f aca="false">IF( T1430&lt;&gt;"",VLOOKUP(T1430,Selects!$M$4:$N$1000,2,0),"")</f>
        <v/>
      </c>
      <c r="AD1430" s="72" t="str">
        <f aca="false">IF(AC1430&lt;&gt;"",VLOOKUP(AC1430,Selects!$B$4:$C$100,2,0),"")</f>
        <v/>
      </c>
      <c r="AH1430" s="65"/>
      <c r="AJ1430" s="66"/>
      <c r="AK1430" s="58"/>
      <c r="AM1430" s="68" t="str">
        <f aca="false">IF(LEFT(AL1430,1)="9","Celular",IF(AL1430="","","Fixo"))</f>
        <v/>
      </c>
      <c r="AN1430" s="58" t="str">
        <f aca="false">IF( AM1430&lt;&gt;"",VLOOKUP(AM1430,Selects!$M$4:$N$1000,2,0),"")</f>
        <v/>
      </c>
      <c r="BB1430" s="72" t="str">
        <f aca="false">IF(BA1430&lt;&gt;"",VLOOKUP(BA1430,Selects!$B$4:$C$100,2,0),"")</f>
        <v/>
      </c>
      <c r="BG1430" s="75" t="str">
        <f aca="false">IF(LEN(BF1430)=11,"PF",IF(LEN(BF1430)=14,"PJ",""))</f>
        <v/>
      </c>
      <c r="BH1430" s="66"/>
      <c r="BI1430" s="58" t="str">
        <f aca="false">IF(BH1430&lt;&gt;"",VLOOKUP(BH1430,Selects!$G:$H,2,0),"")</f>
        <v/>
      </c>
      <c r="CB1430" s="72" t="str">
        <f aca="false">IF(AC1430&lt;&gt;"",VLOOKUP(AC1430,Selects!$B:$E,4,0),"")</f>
        <v/>
      </c>
    </row>
    <row r="1431" customFormat="false" ht="15" hidden="true" customHeight="false" outlineLevel="0" collapsed="false">
      <c r="E1431" s="60" t="str">
        <f aca="false">IF(LEN(D1431)=11,"PF",IF(LEN(D1431)=14,"PJ",""))</f>
        <v/>
      </c>
      <c r="I1431" s="62"/>
      <c r="J1431" s="63" t="str">
        <f aca="false">IF(I1431&lt;&gt;"",VLOOKUP(I1431,'Legal Nature'!$E$2:$G$84,3,0),"")</f>
        <v/>
      </c>
      <c r="U1431" s="58" t="str">
        <f aca="false">IF( T1431&lt;&gt;"",VLOOKUP(T1431,Selects!$M$4:$N$1000,2,0),"")</f>
        <v/>
      </c>
      <c r="AD1431" s="72" t="str">
        <f aca="false">IF(AC1431&lt;&gt;"",VLOOKUP(AC1431,Selects!$B$4:$C$100,2,0),"")</f>
        <v/>
      </c>
      <c r="AH1431" s="65"/>
      <c r="AJ1431" s="66"/>
      <c r="AK1431" s="58"/>
      <c r="AM1431" s="68" t="str">
        <f aca="false">IF(LEFT(AL1431,1)="9","Celular",IF(AL1431="","","Fixo"))</f>
        <v/>
      </c>
      <c r="AN1431" s="58" t="str">
        <f aca="false">IF( AM1431&lt;&gt;"",VLOOKUP(AM1431,Selects!$M$4:$N$1000,2,0),"")</f>
        <v/>
      </c>
      <c r="BB1431" s="72" t="str">
        <f aca="false">IF(BA1431&lt;&gt;"",VLOOKUP(BA1431,Selects!$B$4:$C$100,2,0),"")</f>
        <v/>
      </c>
      <c r="BG1431" s="75" t="str">
        <f aca="false">IF(LEN(BF1431)=11,"PF",IF(LEN(BF1431)=14,"PJ",""))</f>
        <v/>
      </c>
      <c r="BH1431" s="66"/>
      <c r="BI1431" s="58" t="str">
        <f aca="false">IF(BH1431&lt;&gt;"",VLOOKUP(BH1431,Selects!$G:$H,2,0),"")</f>
        <v/>
      </c>
      <c r="CB1431" s="72" t="str">
        <f aca="false">IF(AC1431&lt;&gt;"",VLOOKUP(AC1431,Selects!$B:$E,4,0),"")</f>
        <v/>
      </c>
    </row>
    <row r="1432" customFormat="false" ht="15" hidden="true" customHeight="false" outlineLevel="0" collapsed="false">
      <c r="E1432" s="60" t="str">
        <f aca="false">IF(LEN(D1432)=11,"PF",IF(LEN(D1432)=14,"PJ",""))</f>
        <v/>
      </c>
      <c r="I1432" s="62"/>
      <c r="J1432" s="63" t="str">
        <f aca="false">IF(I1432&lt;&gt;"",VLOOKUP(I1432,'Legal Nature'!$E$2:$G$84,3,0),"")</f>
        <v/>
      </c>
      <c r="U1432" s="58" t="str">
        <f aca="false">IF( T1432&lt;&gt;"",VLOOKUP(T1432,Selects!$M$4:$N$1000,2,0),"")</f>
        <v/>
      </c>
      <c r="AD1432" s="72" t="str">
        <f aca="false">IF(AC1432&lt;&gt;"",VLOOKUP(AC1432,Selects!$B$4:$C$100,2,0),"")</f>
        <v/>
      </c>
      <c r="AH1432" s="65"/>
      <c r="AJ1432" s="66"/>
      <c r="AK1432" s="58"/>
      <c r="AM1432" s="68" t="str">
        <f aca="false">IF(LEFT(AL1432,1)="9","Celular",IF(AL1432="","","Fixo"))</f>
        <v/>
      </c>
      <c r="AN1432" s="58" t="str">
        <f aca="false">IF( AM1432&lt;&gt;"",VLOOKUP(AM1432,Selects!$M$4:$N$1000,2,0),"")</f>
        <v/>
      </c>
      <c r="BB1432" s="72" t="str">
        <f aca="false">IF(BA1432&lt;&gt;"",VLOOKUP(BA1432,Selects!$B$4:$C$100,2,0),"")</f>
        <v/>
      </c>
      <c r="BG1432" s="75" t="str">
        <f aca="false">IF(LEN(BF1432)=11,"PF",IF(LEN(BF1432)=14,"PJ",""))</f>
        <v/>
      </c>
      <c r="BH1432" s="66"/>
      <c r="BI1432" s="58" t="str">
        <f aca="false">IF(BH1432&lt;&gt;"",VLOOKUP(BH1432,Selects!$G:$H,2,0),"")</f>
        <v/>
      </c>
      <c r="CB1432" s="72" t="str">
        <f aca="false">IF(AC1432&lt;&gt;"",VLOOKUP(AC1432,Selects!$B:$E,4,0),"")</f>
        <v/>
      </c>
    </row>
    <row r="1433" customFormat="false" ht="15" hidden="true" customHeight="false" outlineLevel="0" collapsed="false">
      <c r="E1433" s="60" t="str">
        <f aca="false">IF(LEN(D1433)=11,"PF",IF(LEN(D1433)=14,"PJ",""))</f>
        <v/>
      </c>
      <c r="I1433" s="62"/>
      <c r="J1433" s="63" t="str">
        <f aca="false">IF(I1433&lt;&gt;"",VLOOKUP(I1433,'Legal Nature'!$E$2:$G$84,3,0),"")</f>
        <v/>
      </c>
      <c r="U1433" s="58" t="str">
        <f aca="false">IF( T1433&lt;&gt;"",VLOOKUP(T1433,Selects!$M$4:$N$1000,2,0),"")</f>
        <v/>
      </c>
      <c r="AD1433" s="72" t="str">
        <f aca="false">IF(AC1433&lt;&gt;"",VLOOKUP(AC1433,Selects!$B$4:$C$100,2,0),"")</f>
        <v/>
      </c>
      <c r="AH1433" s="65"/>
      <c r="AJ1433" s="66"/>
      <c r="AK1433" s="58"/>
      <c r="AM1433" s="68" t="str">
        <f aca="false">IF(LEFT(AL1433,1)="9","Celular",IF(AL1433="","","Fixo"))</f>
        <v/>
      </c>
      <c r="AN1433" s="58" t="str">
        <f aca="false">IF( AM1433&lt;&gt;"",VLOOKUP(AM1433,Selects!$M$4:$N$1000,2,0),"")</f>
        <v/>
      </c>
      <c r="BB1433" s="72" t="str">
        <f aca="false">IF(BA1433&lt;&gt;"",VLOOKUP(BA1433,Selects!$B$4:$C$100,2,0),"")</f>
        <v/>
      </c>
      <c r="BG1433" s="75" t="str">
        <f aca="false">IF(LEN(BF1433)=11,"PF",IF(LEN(BF1433)=14,"PJ",""))</f>
        <v/>
      </c>
      <c r="BH1433" s="66"/>
      <c r="BI1433" s="58" t="str">
        <f aca="false">IF(BH1433&lt;&gt;"",VLOOKUP(BH1433,Selects!$G:$H,2,0),"")</f>
        <v/>
      </c>
      <c r="CB1433" s="72" t="str">
        <f aca="false">IF(AC1433&lt;&gt;"",VLOOKUP(AC1433,Selects!$B:$E,4,0),"")</f>
        <v/>
      </c>
    </row>
    <row r="1434" customFormat="false" ht="15" hidden="true" customHeight="false" outlineLevel="0" collapsed="false">
      <c r="E1434" s="60" t="str">
        <f aca="false">IF(LEN(D1434)=11,"PF",IF(LEN(D1434)=14,"PJ",""))</f>
        <v/>
      </c>
      <c r="I1434" s="62"/>
      <c r="J1434" s="63" t="str">
        <f aca="false">IF(I1434&lt;&gt;"",VLOOKUP(I1434,'Legal Nature'!$E$2:$G$84,3,0),"")</f>
        <v/>
      </c>
      <c r="U1434" s="58" t="str">
        <f aca="false">IF( T1434&lt;&gt;"",VLOOKUP(T1434,Selects!$M$4:$N$1000,2,0),"")</f>
        <v/>
      </c>
      <c r="AD1434" s="72" t="str">
        <f aca="false">IF(AC1434&lt;&gt;"",VLOOKUP(AC1434,Selects!$B$4:$C$100,2,0),"")</f>
        <v/>
      </c>
      <c r="AH1434" s="65"/>
      <c r="AJ1434" s="66"/>
      <c r="AK1434" s="58"/>
      <c r="AM1434" s="68" t="str">
        <f aca="false">IF(LEFT(AL1434,1)="9","Celular",IF(AL1434="","","Fixo"))</f>
        <v/>
      </c>
      <c r="AN1434" s="58" t="str">
        <f aca="false">IF( AM1434&lt;&gt;"",VLOOKUP(AM1434,Selects!$M$4:$N$1000,2,0),"")</f>
        <v/>
      </c>
      <c r="BB1434" s="72" t="str">
        <f aca="false">IF(BA1434&lt;&gt;"",VLOOKUP(BA1434,Selects!$B$4:$C$100,2,0),"")</f>
        <v/>
      </c>
      <c r="BG1434" s="75" t="str">
        <f aca="false">IF(LEN(BF1434)=11,"PF",IF(LEN(BF1434)=14,"PJ",""))</f>
        <v/>
      </c>
      <c r="BH1434" s="66"/>
      <c r="BI1434" s="58" t="str">
        <f aca="false">IF(BH1434&lt;&gt;"",VLOOKUP(BH1434,Selects!$G:$H,2,0),"")</f>
        <v/>
      </c>
      <c r="CB1434" s="72" t="str">
        <f aca="false">IF(AC1434&lt;&gt;"",VLOOKUP(AC1434,Selects!$B:$E,4,0),"")</f>
        <v/>
      </c>
    </row>
    <row r="1435" customFormat="false" ht="15" hidden="true" customHeight="false" outlineLevel="0" collapsed="false">
      <c r="E1435" s="60" t="str">
        <f aca="false">IF(LEN(D1435)=11,"PF",IF(LEN(D1435)=14,"PJ",""))</f>
        <v/>
      </c>
      <c r="I1435" s="62"/>
      <c r="J1435" s="63" t="str">
        <f aca="false">IF(I1435&lt;&gt;"",VLOOKUP(I1435,'Legal Nature'!$E$2:$G$84,3,0),"")</f>
        <v/>
      </c>
      <c r="U1435" s="58" t="str">
        <f aca="false">IF( T1435&lt;&gt;"",VLOOKUP(T1435,Selects!$M$4:$N$1000,2,0),"")</f>
        <v/>
      </c>
      <c r="AD1435" s="72" t="str">
        <f aca="false">IF(AC1435&lt;&gt;"",VLOOKUP(AC1435,Selects!$B$4:$C$100,2,0),"")</f>
        <v/>
      </c>
      <c r="AH1435" s="65"/>
      <c r="AJ1435" s="66"/>
      <c r="AK1435" s="58"/>
      <c r="AM1435" s="68" t="str">
        <f aca="false">IF(LEFT(AL1435,1)="9","Celular",IF(AL1435="","","Fixo"))</f>
        <v/>
      </c>
      <c r="AN1435" s="58" t="str">
        <f aca="false">IF( AM1435&lt;&gt;"",VLOOKUP(AM1435,Selects!$M$4:$N$1000,2,0),"")</f>
        <v/>
      </c>
      <c r="BB1435" s="72" t="str">
        <f aca="false">IF(BA1435&lt;&gt;"",VLOOKUP(BA1435,Selects!$B$4:$C$100,2,0),"")</f>
        <v/>
      </c>
      <c r="BG1435" s="75" t="str">
        <f aca="false">IF(LEN(BF1435)=11,"PF",IF(LEN(BF1435)=14,"PJ",""))</f>
        <v/>
      </c>
      <c r="BH1435" s="66"/>
      <c r="BI1435" s="58" t="str">
        <f aca="false">IF(BH1435&lt;&gt;"",VLOOKUP(BH1435,Selects!$G:$H,2,0),"")</f>
        <v/>
      </c>
      <c r="CB1435" s="72" t="str">
        <f aca="false">IF(AC1435&lt;&gt;"",VLOOKUP(AC1435,Selects!$B:$E,4,0),"")</f>
        <v/>
      </c>
    </row>
    <row r="1436" customFormat="false" ht="15" hidden="true" customHeight="false" outlineLevel="0" collapsed="false">
      <c r="E1436" s="60" t="str">
        <f aca="false">IF(LEN(D1436)=11,"PF",IF(LEN(D1436)=14,"PJ",""))</f>
        <v/>
      </c>
      <c r="I1436" s="62"/>
      <c r="J1436" s="63" t="str">
        <f aca="false">IF(I1436&lt;&gt;"",VLOOKUP(I1436,'Legal Nature'!$E$2:$G$84,3,0),"")</f>
        <v/>
      </c>
      <c r="U1436" s="58" t="str">
        <f aca="false">IF( T1436&lt;&gt;"",VLOOKUP(T1436,Selects!$M$4:$N$1000,2,0),"")</f>
        <v/>
      </c>
      <c r="AD1436" s="72" t="str">
        <f aca="false">IF(AC1436&lt;&gt;"",VLOOKUP(AC1436,Selects!$B$4:$C$100,2,0),"")</f>
        <v/>
      </c>
      <c r="AH1436" s="65"/>
      <c r="AJ1436" s="66"/>
      <c r="AK1436" s="58"/>
      <c r="AM1436" s="68" t="str">
        <f aca="false">IF(LEFT(AL1436,1)="9","Celular",IF(AL1436="","","Fixo"))</f>
        <v/>
      </c>
      <c r="AN1436" s="58" t="str">
        <f aca="false">IF( AM1436&lt;&gt;"",VLOOKUP(AM1436,Selects!$M$4:$N$1000,2,0),"")</f>
        <v/>
      </c>
      <c r="BB1436" s="72" t="str">
        <f aca="false">IF(BA1436&lt;&gt;"",VLOOKUP(BA1436,Selects!$B$4:$C$100,2,0),"")</f>
        <v/>
      </c>
      <c r="BG1436" s="75" t="str">
        <f aca="false">IF(LEN(BF1436)=11,"PF",IF(LEN(BF1436)=14,"PJ",""))</f>
        <v/>
      </c>
      <c r="BH1436" s="66"/>
      <c r="BI1436" s="58" t="str">
        <f aca="false">IF(BH1436&lt;&gt;"",VLOOKUP(BH1436,Selects!$G:$H,2,0),"")</f>
        <v/>
      </c>
      <c r="CB1436" s="72" t="str">
        <f aca="false">IF(AC1436&lt;&gt;"",VLOOKUP(AC1436,Selects!$B:$E,4,0),"")</f>
        <v/>
      </c>
    </row>
    <row r="1437" customFormat="false" ht="15" hidden="true" customHeight="false" outlineLevel="0" collapsed="false">
      <c r="E1437" s="60" t="str">
        <f aca="false">IF(LEN(D1437)=11,"PF",IF(LEN(D1437)=14,"PJ",""))</f>
        <v/>
      </c>
      <c r="I1437" s="62"/>
      <c r="J1437" s="63" t="str">
        <f aca="false">IF(I1437&lt;&gt;"",VLOOKUP(I1437,'Legal Nature'!$E$2:$G$84,3,0),"")</f>
        <v/>
      </c>
      <c r="U1437" s="58" t="str">
        <f aca="false">IF( T1437&lt;&gt;"",VLOOKUP(T1437,Selects!$M$4:$N$1000,2,0),"")</f>
        <v/>
      </c>
      <c r="AD1437" s="72" t="str">
        <f aca="false">IF(AC1437&lt;&gt;"",VLOOKUP(AC1437,Selects!$B$4:$C$100,2,0),"")</f>
        <v/>
      </c>
      <c r="AH1437" s="65"/>
      <c r="AJ1437" s="66"/>
      <c r="AK1437" s="58"/>
      <c r="AM1437" s="68" t="str">
        <f aca="false">IF(LEFT(AL1437,1)="9","Celular",IF(AL1437="","","Fixo"))</f>
        <v/>
      </c>
      <c r="AN1437" s="58" t="str">
        <f aca="false">IF( AM1437&lt;&gt;"",VLOOKUP(AM1437,Selects!$M$4:$N$1000,2,0),"")</f>
        <v/>
      </c>
      <c r="BB1437" s="72" t="str">
        <f aca="false">IF(BA1437&lt;&gt;"",VLOOKUP(BA1437,Selects!$B$4:$C$100,2,0),"")</f>
        <v/>
      </c>
      <c r="BG1437" s="75" t="str">
        <f aca="false">IF(LEN(BF1437)=11,"PF",IF(LEN(BF1437)=14,"PJ",""))</f>
        <v/>
      </c>
      <c r="BH1437" s="66"/>
      <c r="BI1437" s="58" t="str">
        <f aca="false">IF(BH1437&lt;&gt;"",VLOOKUP(BH1437,Selects!$G:$H,2,0),"")</f>
        <v/>
      </c>
      <c r="CB1437" s="72" t="str">
        <f aca="false">IF(AC1437&lt;&gt;"",VLOOKUP(AC1437,Selects!$B:$E,4,0),"")</f>
        <v/>
      </c>
    </row>
    <row r="1438" customFormat="false" ht="15" hidden="true" customHeight="false" outlineLevel="0" collapsed="false">
      <c r="E1438" s="60" t="str">
        <f aca="false">IF(LEN(D1438)=11,"PF",IF(LEN(D1438)=14,"PJ",""))</f>
        <v/>
      </c>
      <c r="I1438" s="62"/>
      <c r="J1438" s="63" t="str">
        <f aca="false">IF(I1438&lt;&gt;"",VLOOKUP(I1438,'Legal Nature'!$E$2:$G$84,3,0),"")</f>
        <v/>
      </c>
      <c r="U1438" s="58" t="str">
        <f aca="false">IF( T1438&lt;&gt;"",VLOOKUP(T1438,Selects!$M$4:$N$1000,2,0),"")</f>
        <v/>
      </c>
      <c r="AD1438" s="72" t="str">
        <f aca="false">IF(AC1438&lt;&gt;"",VLOOKUP(AC1438,Selects!$B$4:$C$100,2,0),"")</f>
        <v/>
      </c>
      <c r="AH1438" s="65"/>
      <c r="AJ1438" s="66"/>
      <c r="AK1438" s="58"/>
      <c r="AM1438" s="68" t="str">
        <f aca="false">IF(LEFT(AL1438,1)="9","Celular",IF(AL1438="","","Fixo"))</f>
        <v/>
      </c>
      <c r="AN1438" s="58" t="str">
        <f aca="false">IF( AM1438&lt;&gt;"",VLOOKUP(AM1438,Selects!$M$4:$N$1000,2,0),"")</f>
        <v/>
      </c>
      <c r="BB1438" s="72" t="str">
        <f aca="false">IF(BA1438&lt;&gt;"",VLOOKUP(BA1438,Selects!$B$4:$C$100,2,0),"")</f>
        <v/>
      </c>
      <c r="BG1438" s="75" t="str">
        <f aca="false">IF(LEN(BF1438)=11,"PF",IF(LEN(BF1438)=14,"PJ",""))</f>
        <v/>
      </c>
      <c r="BH1438" s="66"/>
      <c r="BI1438" s="58" t="str">
        <f aca="false">IF(BH1438&lt;&gt;"",VLOOKUP(BH1438,Selects!$G:$H,2,0),"")</f>
        <v/>
      </c>
      <c r="CB1438" s="72" t="str">
        <f aca="false">IF(AC1438&lt;&gt;"",VLOOKUP(AC1438,Selects!$B:$E,4,0),"")</f>
        <v/>
      </c>
    </row>
    <row r="1439" customFormat="false" ht="15" hidden="true" customHeight="false" outlineLevel="0" collapsed="false">
      <c r="E1439" s="60" t="str">
        <f aca="false">IF(LEN(D1439)=11,"PF",IF(LEN(D1439)=14,"PJ",""))</f>
        <v/>
      </c>
      <c r="I1439" s="62"/>
      <c r="J1439" s="63" t="str">
        <f aca="false">IF(I1439&lt;&gt;"",VLOOKUP(I1439,'Legal Nature'!$E$2:$G$84,3,0),"")</f>
        <v/>
      </c>
      <c r="U1439" s="58" t="str">
        <f aca="false">IF( T1439&lt;&gt;"",VLOOKUP(T1439,Selects!$M$4:$N$1000,2,0),"")</f>
        <v/>
      </c>
      <c r="AD1439" s="72" t="str">
        <f aca="false">IF(AC1439&lt;&gt;"",VLOOKUP(AC1439,Selects!$B$4:$C$100,2,0),"")</f>
        <v/>
      </c>
      <c r="AH1439" s="65"/>
      <c r="AJ1439" s="66"/>
      <c r="AK1439" s="58"/>
      <c r="AM1439" s="68" t="str">
        <f aca="false">IF(LEFT(AL1439,1)="9","Celular",IF(AL1439="","","Fixo"))</f>
        <v/>
      </c>
      <c r="AN1439" s="58" t="str">
        <f aca="false">IF( AM1439&lt;&gt;"",VLOOKUP(AM1439,Selects!$M$4:$N$1000,2,0),"")</f>
        <v/>
      </c>
      <c r="BB1439" s="72" t="str">
        <f aca="false">IF(BA1439&lt;&gt;"",VLOOKUP(BA1439,Selects!$B$4:$C$100,2,0),"")</f>
        <v/>
      </c>
      <c r="BG1439" s="75" t="str">
        <f aca="false">IF(LEN(BF1439)=11,"PF",IF(LEN(BF1439)=14,"PJ",""))</f>
        <v/>
      </c>
      <c r="BH1439" s="66"/>
      <c r="BI1439" s="58" t="str">
        <f aca="false">IF(BH1439&lt;&gt;"",VLOOKUP(BH1439,Selects!$G:$H,2,0),"")</f>
        <v/>
      </c>
      <c r="CB1439" s="72" t="str">
        <f aca="false">IF(AC1439&lt;&gt;"",VLOOKUP(AC1439,Selects!$B:$E,4,0),"")</f>
        <v/>
      </c>
    </row>
    <row r="1440" customFormat="false" ht="15" hidden="true" customHeight="false" outlineLevel="0" collapsed="false">
      <c r="E1440" s="60" t="str">
        <f aca="false">IF(LEN(D1440)=11,"PF",IF(LEN(D1440)=14,"PJ",""))</f>
        <v/>
      </c>
      <c r="I1440" s="62"/>
      <c r="J1440" s="63" t="str">
        <f aca="false">IF(I1440&lt;&gt;"",VLOOKUP(I1440,'Legal Nature'!$E$2:$G$84,3,0),"")</f>
        <v/>
      </c>
      <c r="U1440" s="58" t="str">
        <f aca="false">IF( T1440&lt;&gt;"",VLOOKUP(T1440,Selects!$M$4:$N$1000,2,0),"")</f>
        <v/>
      </c>
      <c r="AD1440" s="72" t="str">
        <f aca="false">IF(AC1440&lt;&gt;"",VLOOKUP(AC1440,Selects!$B$4:$C$100,2,0),"")</f>
        <v/>
      </c>
      <c r="AH1440" s="65"/>
      <c r="AJ1440" s="66"/>
      <c r="AK1440" s="58"/>
      <c r="AM1440" s="68" t="str">
        <f aca="false">IF(LEFT(AL1440,1)="9","Celular",IF(AL1440="","","Fixo"))</f>
        <v/>
      </c>
      <c r="AN1440" s="58" t="str">
        <f aca="false">IF( AM1440&lt;&gt;"",VLOOKUP(AM1440,Selects!$M$4:$N$1000,2,0),"")</f>
        <v/>
      </c>
      <c r="BB1440" s="72" t="str">
        <f aca="false">IF(BA1440&lt;&gt;"",VLOOKUP(BA1440,Selects!$B$4:$C$100,2,0),"")</f>
        <v/>
      </c>
      <c r="BG1440" s="75" t="str">
        <f aca="false">IF(LEN(BF1440)=11,"PF",IF(LEN(BF1440)=14,"PJ",""))</f>
        <v/>
      </c>
      <c r="BH1440" s="66"/>
      <c r="BI1440" s="58" t="str">
        <f aca="false">IF(BH1440&lt;&gt;"",VLOOKUP(BH1440,Selects!$G:$H,2,0),"")</f>
        <v/>
      </c>
      <c r="CB1440" s="72" t="str">
        <f aca="false">IF(AC1440&lt;&gt;"",VLOOKUP(AC1440,Selects!$B:$E,4,0),"")</f>
        <v/>
      </c>
    </row>
    <row r="1441" customFormat="false" ht="15" hidden="true" customHeight="false" outlineLevel="0" collapsed="false">
      <c r="E1441" s="60" t="str">
        <f aca="false">IF(LEN(D1441)=11,"PF",IF(LEN(D1441)=14,"PJ",""))</f>
        <v/>
      </c>
      <c r="I1441" s="62"/>
      <c r="J1441" s="63" t="str">
        <f aca="false">IF(I1441&lt;&gt;"",VLOOKUP(I1441,'Legal Nature'!$E$2:$G$84,3,0),"")</f>
        <v/>
      </c>
      <c r="U1441" s="58" t="str">
        <f aca="false">IF( T1441&lt;&gt;"",VLOOKUP(T1441,Selects!$M$4:$N$1000,2,0),"")</f>
        <v/>
      </c>
      <c r="AD1441" s="72" t="str">
        <f aca="false">IF(AC1441&lt;&gt;"",VLOOKUP(AC1441,Selects!$B$4:$C$100,2,0),"")</f>
        <v/>
      </c>
      <c r="AH1441" s="65"/>
      <c r="AJ1441" s="66"/>
      <c r="AK1441" s="58"/>
      <c r="AM1441" s="68" t="str">
        <f aca="false">IF(LEFT(AL1441,1)="9","Celular",IF(AL1441="","","Fixo"))</f>
        <v/>
      </c>
      <c r="AN1441" s="58" t="str">
        <f aca="false">IF( AM1441&lt;&gt;"",VLOOKUP(AM1441,Selects!$M$4:$N$1000,2,0),"")</f>
        <v/>
      </c>
      <c r="BB1441" s="72" t="str">
        <f aca="false">IF(BA1441&lt;&gt;"",VLOOKUP(BA1441,Selects!$B$4:$C$100,2,0),"")</f>
        <v/>
      </c>
      <c r="BG1441" s="75" t="str">
        <f aca="false">IF(LEN(BF1441)=11,"PF",IF(LEN(BF1441)=14,"PJ",""))</f>
        <v/>
      </c>
      <c r="BH1441" s="66"/>
      <c r="BI1441" s="58" t="str">
        <f aca="false">IF(BH1441&lt;&gt;"",VLOOKUP(BH1441,Selects!$G:$H,2,0),"")</f>
        <v/>
      </c>
      <c r="CB1441" s="72" t="str">
        <f aca="false">IF(AC1441&lt;&gt;"",VLOOKUP(AC1441,Selects!$B:$E,4,0),"")</f>
        <v/>
      </c>
    </row>
    <row r="1442" customFormat="false" ht="15" hidden="true" customHeight="false" outlineLevel="0" collapsed="false">
      <c r="E1442" s="60" t="str">
        <f aca="false">IF(LEN(D1442)=11,"PF",IF(LEN(D1442)=14,"PJ",""))</f>
        <v/>
      </c>
      <c r="I1442" s="62"/>
      <c r="J1442" s="63" t="str">
        <f aca="false">IF(I1442&lt;&gt;"",VLOOKUP(I1442,'Legal Nature'!$E$2:$G$84,3,0),"")</f>
        <v/>
      </c>
      <c r="U1442" s="58" t="str">
        <f aca="false">IF( T1442&lt;&gt;"",VLOOKUP(T1442,Selects!$M$4:$N$1000,2,0),"")</f>
        <v/>
      </c>
      <c r="AD1442" s="72" t="str">
        <f aca="false">IF(AC1442&lt;&gt;"",VLOOKUP(AC1442,Selects!$B$4:$C$100,2,0),"")</f>
        <v/>
      </c>
      <c r="AH1442" s="65"/>
      <c r="AJ1442" s="66"/>
      <c r="AK1442" s="58"/>
      <c r="AM1442" s="68" t="str">
        <f aca="false">IF(LEFT(AL1442,1)="9","Celular",IF(AL1442="","","Fixo"))</f>
        <v/>
      </c>
      <c r="AN1442" s="58" t="str">
        <f aca="false">IF( AM1442&lt;&gt;"",VLOOKUP(AM1442,Selects!$M$4:$N$1000,2,0),"")</f>
        <v/>
      </c>
      <c r="BB1442" s="72" t="str">
        <f aca="false">IF(BA1442&lt;&gt;"",VLOOKUP(BA1442,Selects!$B$4:$C$100,2,0),"")</f>
        <v/>
      </c>
      <c r="BG1442" s="75" t="str">
        <f aca="false">IF(LEN(BF1442)=11,"PF",IF(LEN(BF1442)=14,"PJ",""))</f>
        <v/>
      </c>
      <c r="BH1442" s="66"/>
      <c r="BI1442" s="58" t="str">
        <f aca="false">IF(BH1442&lt;&gt;"",VLOOKUP(BH1442,Selects!$G:$H,2,0),"")</f>
        <v/>
      </c>
      <c r="CB1442" s="72" t="str">
        <f aca="false">IF(AC1442&lt;&gt;"",VLOOKUP(AC1442,Selects!$B:$E,4,0),"")</f>
        <v/>
      </c>
    </row>
    <row r="1443" customFormat="false" ht="15" hidden="true" customHeight="false" outlineLevel="0" collapsed="false">
      <c r="E1443" s="60" t="str">
        <f aca="false">IF(LEN(D1443)=11,"PF",IF(LEN(D1443)=14,"PJ",""))</f>
        <v/>
      </c>
      <c r="I1443" s="62"/>
      <c r="J1443" s="63" t="str">
        <f aca="false">IF(I1443&lt;&gt;"",VLOOKUP(I1443,'Legal Nature'!$E$2:$G$84,3,0),"")</f>
        <v/>
      </c>
      <c r="U1443" s="58" t="str">
        <f aca="false">IF( T1443&lt;&gt;"",VLOOKUP(T1443,Selects!$M$4:$N$1000,2,0),"")</f>
        <v/>
      </c>
      <c r="AD1443" s="72" t="str">
        <f aca="false">IF(AC1443&lt;&gt;"",VLOOKUP(AC1443,Selects!$B$4:$C$100,2,0),"")</f>
        <v/>
      </c>
      <c r="AH1443" s="65"/>
      <c r="AJ1443" s="66"/>
      <c r="AK1443" s="58"/>
      <c r="AM1443" s="68" t="str">
        <f aca="false">IF(LEFT(AL1443,1)="9","Celular",IF(AL1443="","","Fixo"))</f>
        <v/>
      </c>
      <c r="AN1443" s="58" t="str">
        <f aca="false">IF( AM1443&lt;&gt;"",VLOOKUP(AM1443,Selects!$M$4:$N$1000,2,0),"")</f>
        <v/>
      </c>
      <c r="BB1443" s="72" t="str">
        <f aca="false">IF(BA1443&lt;&gt;"",VLOOKUP(BA1443,Selects!$B$4:$C$100,2,0),"")</f>
        <v/>
      </c>
      <c r="BG1443" s="75" t="str">
        <f aca="false">IF(LEN(BF1443)=11,"PF",IF(LEN(BF1443)=14,"PJ",""))</f>
        <v/>
      </c>
      <c r="BH1443" s="66"/>
      <c r="BI1443" s="58" t="str">
        <f aca="false">IF(BH1443&lt;&gt;"",VLOOKUP(BH1443,Selects!$G:$H,2,0),"")</f>
        <v/>
      </c>
      <c r="CB1443" s="72" t="str">
        <f aca="false">IF(AC1443&lt;&gt;"",VLOOKUP(AC1443,Selects!$B:$E,4,0),"")</f>
        <v/>
      </c>
    </row>
    <row r="1444" customFormat="false" ht="15" hidden="true" customHeight="false" outlineLevel="0" collapsed="false">
      <c r="E1444" s="60" t="str">
        <f aca="false">IF(LEN(D1444)=11,"PF",IF(LEN(D1444)=14,"PJ",""))</f>
        <v/>
      </c>
      <c r="I1444" s="62"/>
      <c r="J1444" s="63" t="str">
        <f aca="false">IF(I1444&lt;&gt;"",VLOOKUP(I1444,'Legal Nature'!$E$2:$G$84,3,0),"")</f>
        <v/>
      </c>
      <c r="U1444" s="58" t="str">
        <f aca="false">IF( T1444&lt;&gt;"",VLOOKUP(T1444,Selects!$M$4:$N$1000,2,0),"")</f>
        <v/>
      </c>
      <c r="AD1444" s="72" t="str">
        <f aca="false">IF(AC1444&lt;&gt;"",VLOOKUP(AC1444,Selects!$B$4:$C$100,2,0),"")</f>
        <v/>
      </c>
      <c r="AH1444" s="65"/>
      <c r="AJ1444" s="66"/>
      <c r="AK1444" s="58"/>
      <c r="AM1444" s="68" t="str">
        <f aca="false">IF(LEFT(AL1444,1)="9","Celular",IF(AL1444="","","Fixo"))</f>
        <v/>
      </c>
      <c r="AN1444" s="58" t="str">
        <f aca="false">IF( AM1444&lt;&gt;"",VLOOKUP(AM1444,Selects!$M$4:$N$1000,2,0),"")</f>
        <v/>
      </c>
      <c r="BB1444" s="72" t="str">
        <f aca="false">IF(BA1444&lt;&gt;"",VLOOKUP(BA1444,Selects!$B$4:$C$100,2,0),"")</f>
        <v/>
      </c>
      <c r="BG1444" s="75" t="str">
        <f aca="false">IF(LEN(BF1444)=11,"PF",IF(LEN(BF1444)=14,"PJ",""))</f>
        <v/>
      </c>
      <c r="BH1444" s="66"/>
      <c r="BI1444" s="58" t="str">
        <f aca="false">IF(BH1444&lt;&gt;"",VLOOKUP(BH1444,Selects!$G:$H,2,0),"")</f>
        <v/>
      </c>
      <c r="CB1444" s="72" t="str">
        <f aca="false">IF(AC1444&lt;&gt;"",VLOOKUP(AC1444,Selects!$B:$E,4,0),"")</f>
        <v/>
      </c>
    </row>
    <row r="1445" customFormat="false" ht="15" hidden="true" customHeight="false" outlineLevel="0" collapsed="false">
      <c r="E1445" s="60" t="str">
        <f aca="false">IF(LEN(D1445)=11,"PF",IF(LEN(D1445)=14,"PJ",""))</f>
        <v/>
      </c>
      <c r="I1445" s="62"/>
      <c r="J1445" s="63" t="str">
        <f aca="false">IF(I1445&lt;&gt;"",VLOOKUP(I1445,'Legal Nature'!$E$2:$G$84,3,0),"")</f>
        <v/>
      </c>
      <c r="U1445" s="58" t="str">
        <f aca="false">IF( T1445&lt;&gt;"",VLOOKUP(T1445,Selects!$M$4:$N$1000,2,0),"")</f>
        <v/>
      </c>
      <c r="AD1445" s="72" t="str">
        <f aca="false">IF(AC1445&lt;&gt;"",VLOOKUP(AC1445,Selects!$B$4:$C$100,2,0),"")</f>
        <v/>
      </c>
      <c r="AH1445" s="65"/>
      <c r="AJ1445" s="66"/>
      <c r="AK1445" s="58"/>
      <c r="AM1445" s="68" t="str">
        <f aca="false">IF(LEFT(AL1445,1)="9","Celular",IF(AL1445="","","Fixo"))</f>
        <v/>
      </c>
      <c r="AN1445" s="58" t="str">
        <f aca="false">IF( AM1445&lt;&gt;"",VLOOKUP(AM1445,Selects!$M$4:$N$1000,2,0),"")</f>
        <v/>
      </c>
      <c r="BB1445" s="72" t="str">
        <f aca="false">IF(BA1445&lt;&gt;"",VLOOKUP(BA1445,Selects!$B$4:$C$100,2,0),"")</f>
        <v/>
      </c>
      <c r="BG1445" s="75" t="str">
        <f aca="false">IF(LEN(BF1445)=11,"PF",IF(LEN(BF1445)=14,"PJ",""))</f>
        <v/>
      </c>
      <c r="BH1445" s="66"/>
      <c r="BI1445" s="58" t="str">
        <f aca="false">IF(BH1445&lt;&gt;"",VLOOKUP(BH1445,Selects!$G:$H,2,0),"")</f>
        <v/>
      </c>
      <c r="CB1445" s="72" t="str">
        <f aca="false">IF(AC1445&lt;&gt;"",VLOOKUP(AC1445,Selects!$B:$E,4,0),"")</f>
        <v/>
      </c>
    </row>
    <row r="1446" customFormat="false" ht="15" hidden="true" customHeight="false" outlineLevel="0" collapsed="false">
      <c r="E1446" s="60" t="str">
        <f aca="false">IF(LEN(D1446)=11,"PF",IF(LEN(D1446)=14,"PJ",""))</f>
        <v/>
      </c>
      <c r="I1446" s="62"/>
      <c r="J1446" s="63" t="str">
        <f aca="false">IF(I1446&lt;&gt;"",VLOOKUP(I1446,'Legal Nature'!$E$2:$G$84,3,0),"")</f>
        <v/>
      </c>
      <c r="U1446" s="58" t="str">
        <f aca="false">IF( T1446&lt;&gt;"",VLOOKUP(T1446,Selects!$M$4:$N$1000,2,0),"")</f>
        <v/>
      </c>
      <c r="AD1446" s="72" t="str">
        <f aca="false">IF(AC1446&lt;&gt;"",VLOOKUP(AC1446,Selects!$B$4:$C$100,2,0),"")</f>
        <v/>
      </c>
      <c r="AH1446" s="65"/>
      <c r="AJ1446" s="66"/>
      <c r="AK1446" s="58"/>
      <c r="AM1446" s="68" t="str">
        <f aca="false">IF(LEFT(AL1446,1)="9","Celular",IF(AL1446="","","Fixo"))</f>
        <v/>
      </c>
      <c r="AN1446" s="58" t="str">
        <f aca="false">IF( AM1446&lt;&gt;"",VLOOKUP(AM1446,Selects!$M$4:$N$1000,2,0),"")</f>
        <v/>
      </c>
      <c r="BB1446" s="72" t="str">
        <f aca="false">IF(BA1446&lt;&gt;"",VLOOKUP(BA1446,Selects!$B$4:$C$100,2,0),"")</f>
        <v/>
      </c>
      <c r="BG1446" s="75" t="str">
        <f aca="false">IF(LEN(BF1446)=11,"PF",IF(LEN(BF1446)=14,"PJ",""))</f>
        <v/>
      </c>
      <c r="BH1446" s="66"/>
      <c r="BI1446" s="58" t="str">
        <f aca="false">IF(BH1446&lt;&gt;"",VLOOKUP(BH1446,Selects!$G:$H,2,0),"")</f>
        <v/>
      </c>
      <c r="CB1446" s="72" t="str">
        <f aca="false">IF(AC1446&lt;&gt;"",VLOOKUP(AC1446,Selects!$B:$E,4,0),"")</f>
        <v/>
      </c>
    </row>
    <row r="1447" customFormat="false" ht="15" hidden="true" customHeight="false" outlineLevel="0" collapsed="false">
      <c r="E1447" s="60" t="str">
        <f aca="false">IF(LEN(D1447)=11,"PF",IF(LEN(D1447)=14,"PJ",""))</f>
        <v/>
      </c>
      <c r="I1447" s="62"/>
      <c r="J1447" s="63" t="str">
        <f aca="false">IF(I1447&lt;&gt;"",VLOOKUP(I1447,'Legal Nature'!$E$2:$G$84,3,0),"")</f>
        <v/>
      </c>
      <c r="U1447" s="58" t="str">
        <f aca="false">IF( T1447&lt;&gt;"",VLOOKUP(T1447,Selects!$M$4:$N$1000,2,0),"")</f>
        <v/>
      </c>
      <c r="AD1447" s="72" t="str">
        <f aca="false">IF(AC1447&lt;&gt;"",VLOOKUP(AC1447,Selects!$B$4:$C$100,2,0),"")</f>
        <v/>
      </c>
      <c r="AH1447" s="65"/>
      <c r="AJ1447" s="66"/>
      <c r="AK1447" s="58"/>
      <c r="AM1447" s="68" t="str">
        <f aca="false">IF(LEFT(AL1447,1)="9","Celular",IF(AL1447="","","Fixo"))</f>
        <v/>
      </c>
      <c r="AN1447" s="58" t="str">
        <f aca="false">IF( AM1447&lt;&gt;"",VLOOKUP(AM1447,Selects!$M$4:$N$1000,2,0),"")</f>
        <v/>
      </c>
      <c r="BB1447" s="72" t="str">
        <f aca="false">IF(BA1447&lt;&gt;"",VLOOKUP(BA1447,Selects!$B$4:$C$100,2,0),"")</f>
        <v/>
      </c>
      <c r="BG1447" s="75" t="str">
        <f aca="false">IF(LEN(BF1447)=11,"PF",IF(LEN(BF1447)=14,"PJ",""))</f>
        <v/>
      </c>
      <c r="BH1447" s="66"/>
      <c r="BI1447" s="58" t="str">
        <f aca="false">IF(BH1447&lt;&gt;"",VLOOKUP(BH1447,Selects!$G:$H,2,0),"")</f>
        <v/>
      </c>
      <c r="CB1447" s="72" t="str">
        <f aca="false">IF(AC1447&lt;&gt;"",VLOOKUP(AC1447,Selects!$B:$E,4,0),"")</f>
        <v/>
      </c>
    </row>
    <row r="1448" customFormat="false" ht="15" hidden="true" customHeight="false" outlineLevel="0" collapsed="false">
      <c r="E1448" s="60" t="str">
        <f aca="false">IF(LEN(D1448)=11,"PF",IF(LEN(D1448)=14,"PJ",""))</f>
        <v/>
      </c>
      <c r="I1448" s="62"/>
      <c r="J1448" s="63" t="str">
        <f aca="false">IF(I1448&lt;&gt;"",VLOOKUP(I1448,'Legal Nature'!$E$2:$G$84,3,0),"")</f>
        <v/>
      </c>
      <c r="U1448" s="58" t="str">
        <f aca="false">IF( T1448&lt;&gt;"",VLOOKUP(T1448,Selects!$M$4:$N$1000,2,0),"")</f>
        <v/>
      </c>
      <c r="AD1448" s="72" t="str">
        <f aca="false">IF(AC1448&lt;&gt;"",VLOOKUP(AC1448,Selects!$B$4:$C$100,2,0),"")</f>
        <v/>
      </c>
      <c r="AH1448" s="65"/>
      <c r="AJ1448" s="66"/>
      <c r="AK1448" s="58"/>
      <c r="AM1448" s="68" t="str">
        <f aca="false">IF(LEFT(AL1448,1)="9","Celular",IF(AL1448="","","Fixo"))</f>
        <v/>
      </c>
      <c r="AN1448" s="58" t="str">
        <f aca="false">IF( AM1448&lt;&gt;"",VLOOKUP(AM1448,Selects!$M$4:$N$1000,2,0),"")</f>
        <v/>
      </c>
      <c r="BB1448" s="72" t="str">
        <f aca="false">IF(BA1448&lt;&gt;"",VLOOKUP(BA1448,Selects!$B$4:$C$100,2,0),"")</f>
        <v/>
      </c>
      <c r="BG1448" s="75" t="str">
        <f aca="false">IF(LEN(BF1448)=11,"PF",IF(LEN(BF1448)=14,"PJ",""))</f>
        <v/>
      </c>
      <c r="BH1448" s="66"/>
      <c r="BI1448" s="58" t="str">
        <f aca="false">IF(BH1448&lt;&gt;"",VLOOKUP(BH1448,Selects!$G:$H,2,0),"")</f>
        <v/>
      </c>
      <c r="CB1448" s="72" t="str">
        <f aca="false">IF(AC1448&lt;&gt;"",VLOOKUP(AC1448,Selects!$B:$E,4,0),"")</f>
        <v/>
      </c>
    </row>
    <row r="1449" customFormat="false" ht="15" hidden="true" customHeight="false" outlineLevel="0" collapsed="false">
      <c r="E1449" s="60" t="str">
        <f aca="false">IF(LEN(D1449)=11,"PF",IF(LEN(D1449)=14,"PJ",""))</f>
        <v/>
      </c>
      <c r="I1449" s="62"/>
      <c r="J1449" s="63" t="str">
        <f aca="false">IF(I1449&lt;&gt;"",VLOOKUP(I1449,'Legal Nature'!$E$2:$G$84,3,0),"")</f>
        <v/>
      </c>
      <c r="U1449" s="58" t="str">
        <f aca="false">IF( T1449&lt;&gt;"",VLOOKUP(T1449,Selects!$M$4:$N$1000,2,0),"")</f>
        <v/>
      </c>
      <c r="AD1449" s="72" t="str">
        <f aca="false">IF(AC1449&lt;&gt;"",VLOOKUP(AC1449,Selects!$B$4:$C$100,2,0),"")</f>
        <v/>
      </c>
      <c r="AH1449" s="65"/>
      <c r="AJ1449" s="66"/>
      <c r="AK1449" s="58"/>
      <c r="AM1449" s="68" t="str">
        <f aca="false">IF(LEFT(AL1449,1)="9","Celular",IF(AL1449="","","Fixo"))</f>
        <v/>
      </c>
      <c r="AN1449" s="58" t="str">
        <f aca="false">IF( AM1449&lt;&gt;"",VLOOKUP(AM1449,Selects!$M$4:$N$1000,2,0),"")</f>
        <v/>
      </c>
      <c r="BB1449" s="72" t="str">
        <f aca="false">IF(BA1449&lt;&gt;"",VLOOKUP(BA1449,Selects!$B$4:$C$100,2,0),"")</f>
        <v/>
      </c>
      <c r="BG1449" s="75" t="str">
        <f aca="false">IF(LEN(BF1449)=11,"PF",IF(LEN(BF1449)=14,"PJ",""))</f>
        <v/>
      </c>
      <c r="BH1449" s="66"/>
      <c r="BI1449" s="58" t="str">
        <f aca="false">IF(BH1449&lt;&gt;"",VLOOKUP(BH1449,Selects!$G:$H,2,0),"")</f>
        <v/>
      </c>
      <c r="CB1449" s="72" t="str">
        <f aca="false">IF(AC1449&lt;&gt;"",VLOOKUP(AC1449,Selects!$B:$E,4,0),"")</f>
        <v/>
      </c>
    </row>
    <row r="1450" customFormat="false" ht="15" hidden="true" customHeight="false" outlineLevel="0" collapsed="false">
      <c r="E1450" s="60" t="str">
        <f aca="false">IF(LEN(D1450)=11,"PF",IF(LEN(D1450)=14,"PJ",""))</f>
        <v/>
      </c>
      <c r="I1450" s="62"/>
      <c r="J1450" s="63" t="str">
        <f aca="false">IF(I1450&lt;&gt;"",VLOOKUP(I1450,'Legal Nature'!$E$2:$G$84,3,0),"")</f>
        <v/>
      </c>
      <c r="U1450" s="58" t="str">
        <f aca="false">IF( T1450&lt;&gt;"",VLOOKUP(T1450,Selects!$M$4:$N$1000,2,0),"")</f>
        <v/>
      </c>
      <c r="AD1450" s="72" t="str">
        <f aca="false">IF(AC1450&lt;&gt;"",VLOOKUP(AC1450,Selects!$B$4:$C$100,2,0),"")</f>
        <v/>
      </c>
      <c r="AH1450" s="65"/>
      <c r="AJ1450" s="66"/>
      <c r="AK1450" s="58"/>
      <c r="AM1450" s="68" t="str">
        <f aca="false">IF(LEFT(AL1450,1)="9","Celular",IF(AL1450="","","Fixo"))</f>
        <v/>
      </c>
      <c r="AN1450" s="58" t="str">
        <f aca="false">IF( AM1450&lt;&gt;"",VLOOKUP(AM1450,Selects!$M$4:$N$1000,2,0),"")</f>
        <v/>
      </c>
      <c r="BB1450" s="72" t="str">
        <f aca="false">IF(BA1450&lt;&gt;"",VLOOKUP(BA1450,Selects!$B$4:$C$100,2,0),"")</f>
        <v/>
      </c>
      <c r="BG1450" s="75" t="str">
        <f aca="false">IF(LEN(BF1450)=11,"PF",IF(LEN(BF1450)=14,"PJ",""))</f>
        <v/>
      </c>
      <c r="BH1450" s="66"/>
      <c r="BI1450" s="58" t="str">
        <f aca="false">IF(BH1450&lt;&gt;"",VLOOKUP(BH1450,Selects!$G:$H,2,0),"")</f>
        <v/>
      </c>
      <c r="CB1450" s="72" t="str">
        <f aca="false">IF(AC1450&lt;&gt;"",VLOOKUP(AC1450,Selects!$B:$E,4,0),"")</f>
        <v/>
      </c>
    </row>
    <row r="1451" customFormat="false" ht="15" hidden="true" customHeight="false" outlineLevel="0" collapsed="false">
      <c r="E1451" s="60" t="str">
        <f aca="false">IF(LEN(D1451)=11,"PF",IF(LEN(D1451)=14,"PJ",""))</f>
        <v/>
      </c>
      <c r="I1451" s="62"/>
      <c r="J1451" s="63" t="str">
        <f aca="false">IF(I1451&lt;&gt;"",VLOOKUP(I1451,'Legal Nature'!$E$2:$G$84,3,0),"")</f>
        <v/>
      </c>
      <c r="U1451" s="58" t="str">
        <f aca="false">IF( T1451&lt;&gt;"",VLOOKUP(T1451,Selects!$M$4:$N$1000,2,0),"")</f>
        <v/>
      </c>
      <c r="AD1451" s="72" t="str">
        <f aca="false">IF(AC1451&lt;&gt;"",VLOOKUP(AC1451,Selects!$B$4:$C$100,2,0),"")</f>
        <v/>
      </c>
      <c r="AH1451" s="65"/>
      <c r="AJ1451" s="66"/>
      <c r="AK1451" s="58"/>
      <c r="AM1451" s="68" t="str">
        <f aca="false">IF(LEFT(AL1451,1)="9","Celular",IF(AL1451="","","Fixo"))</f>
        <v/>
      </c>
      <c r="AN1451" s="58" t="str">
        <f aca="false">IF( AM1451&lt;&gt;"",VLOOKUP(AM1451,Selects!$M$4:$N$1000,2,0),"")</f>
        <v/>
      </c>
      <c r="BB1451" s="72" t="str">
        <f aca="false">IF(BA1451&lt;&gt;"",VLOOKUP(BA1451,Selects!$B$4:$C$100,2,0),"")</f>
        <v/>
      </c>
      <c r="BG1451" s="75" t="str">
        <f aca="false">IF(LEN(BF1451)=11,"PF",IF(LEN(BF1451)=14,"PJ",""))</f>
        <v/>
      </c>
      <c r="BH1451" s="66"/>
      <c r="BI1451" s="58" t="str">
        <f aca="false">IF(BH1451&lt;&gt;"",VLOOKUP(BH1451,Selects!$G:$H,2,0),"")</f>
        <v/>
      </c>
      <c r="CB1451" s="72" t="str">
        <f aca="false">IF(AC1451&lt;&gt;"",VLOOKUP(AC1451,Selects!$B:$E,4,0),"")</f>
        <v/>
      </c>
    </row>
    <row r="1452" customFormat="false" ht="15" hidden="true" customHeight="false" outlineLevel="0" collapsed="false">
      <c r="E1452" s="60" t="str">
        <f aca="false">IF(LEN(D1452)=11,"PF",IF(LEN(D1452)=14,"PJ",""))</f>
        <v/>
      </c>
      <c r="I1452" s="62"/>
      <c r="J1452" s="63" t="str">
        <f aca="false">IF(I1452&lt;&gt;"",VLOOKUP(I1452,'Legal Nature'!$E$2:$G$84,3,0),"")</f>
        <v/>
      </c>
      <c r="U1452" s="58" t="str">
        <f aca="false">IF( T1452&lt;&gt;"",VLOOKUP(T1452,Selects!$M$4:$N$1000,2,0),"")</f>
        <v/>
      </c>
      <c r="AD1452" s="72" t="str">
        <f aca="false">IF(AC1452&lt;&gt;"",VLOOKUP(AC1452,Selects!$B$4:$C$100,2,0),"")</f>
        <v/>
      </c>
      <c r="AH1452" s="65"/>
      <c r="AJ1452" s="66"/>
      <c r="AK1452" s="58"/>
      <c r="AM1452" s="68" t="str">
        <f aca="false">IF(LEFT(AL1452,1)="9","Celular",IF(AL1452="","","Fixo"))</f>
        <v/>
      </c>
      <c r="AN1452" s="58" t="str">
        <f aca="false">IF( AM1452&lt;&gt;"",VLOOKUP(AM1452,Selects!$M$4:$N$1000,2,0),"")</f>
        <v/>
      </c>
      <c r="BB1452" s="72" t="str">
        <f aca="false">IF(BA1452&lt;&gt;"",VLOOKUP(BA1452,Selects!$B$4:$C$100,2,0),"")</f>
        <v/>
      </c>
      <c r="BG1452" s="75" t="str">
        <f aca="false">IF(LEN(BF1452)=11,"PF",IF(LEN(BF1452)=14,"PJ",""))</f>
        <v/>
      </c>
      <c r="BH1452" s="66"/>
      <c r="BI1452" s="58" t="str">
        <f aca="false">IF(BH1452&lt;&gt;"",VLOOKUP(BH1452,Selects!$G:$H,2,0),"")</f>
        <v/>
      </c>
      <c r="CB1452" s="72" t="str">
        <f aca="false">IF(AC1452&lt;&gt;"",VLOOKUP(AC1452,Selects!$B:$E,4,0),"")</f>
        <v/>
      </c>
    </row>
    <row r="1453" customFormat="false" ht="15" hidden="true" customHeight="false" outlineLevel="0" collapsed="false">
      <c r="E1453" s="60" t="str">
        <f aca="false">IF(LEN(D1453)=11,"PF",IF(LEN(D1453)=14,"PJ",""))</f>
        <v/>
      </c>
      <c r="I1453" s="62"/>
      <c r="J1453" s="63" t="str">
        <f aca="false">IF(I1453&lt;&gt;"",VLOOKUP(I1453,'Legal Nature'!$E$2:$G$84,3,0),"")</f>
        <v/>
      </c>
      <c r="U1453" s="58" t="str">
        <f aca="false">IF( T1453&lt;&gt;"",VLOOKUP(T1453,Selects!$M$4:$N$1000,2,0),"")</f>
        <v/>
      </c>
      <c r="AD1453" s="72" t="str">
        <f aca="false">IF(AC1453&lt;&gt;"",VLOOKUP(AC1453,Selects!$B$4:$C$100,2,0),"")</f>
        <v/>
      </c>
      <c r="AH1453" s="65"/>
      <c r="AJ1453" s="66"/>
      <c r="AK1453" s="58"/>
      <c r="AM1453" s="68" t="str">
        <f aca="false">IF(LEFT(AL1453,1)="9","Celular",IF(AL1453="","","Fixo"))</f>
        <v/>
      </c>
      <c r="AN1453" s="58" t="str">
        <f aca="false">IF( AM1453&lt;&gt;"",VLOOKUP(AM1453,Selects!$M$4:$N$1000,2,0),"")</f>
        <v/>
      </c>
      <c r="BB1453" s="72" t="str">
        <f aca="false">IF(BA1453&lt;&gt;"",VLOOKUP(BA1453,Selects!$B$4:$C$100,2,0),"")</f>
        <v/>
      </c>
      <c r="BG1453" s="75" t="str">
        <f aca="false">IF(LEN(BF1453)=11,"PF",IF(LEN(BF1453)=14,"PJ",""))</f>
        <v/>
      </c>
      <c r="BH1453" s="66"/>
      <c r="BI1453" s="58" t="str">
        <f aca="false">IF(BH1453&lt;&gt;"",VLOOKUP(BH1453,Selects!$G:$H,2,0),"")</f>
        <v/>
      </c>
      <c r="CB1453" s="72" t="str">
        <f aca="false">IF(AC1453&lt;&gt;"",VLOOKUP(AC1453,Selects!$B:$E,4,0),"")</f>
        <v/>
      </c>
    </row>
    <row r="1454" customFormat="false" ht="15" hidden="true" customHeight="false" outlineLevel="0" collapsed="false">
      <c r="E1454" s="60" t="str">
        <f aca="false">IF(LEN(D1454)=11,"PF",IF(LEN(D1454)=14,"PJ",""))</f>
        <v/>
      </c>
      <c r="I1454" s="62"/>
      <c r="J1454" s="63" t="str">
        <f aca="false">IF(I1454&lt;&gt;"",VLOOKUP(I1454,'Legal Nature'!$E$2:$G$84,3,0),"")</f>
        <v/>
      </c>
      <c r="U1454" s="58" t="str">
        <f aca="false">IF( T1454&lt;&gt;"",VLOOKUP(T1454,Selects!$M$4:$N$1000,2,0),"")</f>
        <v/>
      </c>
      <c r="AD1454" s="72" t="str">
        <f aca="false">IF(AC1454&lt;&gt;"",VLOOKUP(AC1454,Selects!$B$4:$C$100,2,0),"")</f>
        <v/>
      </c>
      <c r="AH1454" s="65"/>
      <c r="AJ1454" s="66"/>
      <c r="AK1454" s="58"/>
      <c r="AM1454" s="68" t="str">
        <f aca="false">IF(LEFT(AL1454,1)="9","Celular",IF(AL1454="","","Fixo"))</f>
        <v/>
      </c>
      <c r="AN1454" s="58" t="str">
        <f aca="false">IF( AM1454&lt;&gt;"",VLOOKUP(AM1454,Selects!$M$4:$N$1000,2,0),"")</f>
        <v/>
      </c>
      <c r="BB1454" s="72" t="str">
        <f aca="false">IF(BA1454&lt;&gt;"",VLOOKUP(BA1454,Selects!$B$4:$C$100,2,0),"")</f>
        <v/>
      </c>
      <c r="BG1454" s="75" t="str">
        <f aca="false">IF(LEN(BF1454)=11,"PF",IF(LEN(BF1454)=14,"PJ",""))</f>
        <v/>
      </c>
      <c r="BH1454" s="66"/>
      <c r="BI1454" s="58" t="str">
        <f aca="false">IF(BH1454&lt;&gt;"",VLOOKUP(BH1454,Selects!$G:$H,2,0),"")</f>
        <v/>
      </c>
      <c r="CB1454" s="72" t="str">
        <f aca="false">IF(AC1454&lt;&gt;"",VLOOKUP(AC1454,Selects!$B:$E,4,0),"")</f>
        <v/>
      </c>
    </row>
    <row r="1455" customFormat="false" ht="15" hidden="true" customHeight="false" outlineLevel="0" collapsed="false">
      <c r="E1455" s="60" t="str">
        <f aca="false">IF(LEN(D1455)=11,"PF",IF(LEN(D1455)=14,"PJ",""))</f>
        <v/>
      </c>
      <c r="I1455" s="62"/>
      <c r="J1455" s="63" t="str">
        <f aca="false">IF(I1455&lt;&gt;"",VLOOKUP(I1455,'Legal Nature'!$E$2:$G$84,3,0),"")</f>
        <v/>
      </c>
      <c r="U1455" s="58" t="str">
        <f aca="false">IF( T1455&lt;&gt;"",VLOOKUP(T1455,Selects!$M$4:$N$1000,2,0),"")</f>
        <v/>
      </c>
      <c r="AD1455" s="72" t="str">
        <f aca="false">IF(AC1455&lt;&gt;"",VLOOKUP(AC1455,Selects!$B$4:$C$100,2,0),"")</f>
        <v/>
      </c>
      <c r="AH1455" s="65"/>
      <c r="AJ1455" s="66"/>
      <c r="AK1455" s="58"/>
      <c r="AM1455" s="68" t="str">
        <f aca="false">IF(LEFT(AL1455,1)="9","Celular",IF(AL1455="","","Fixo"))</f>
        <v/>
      </c>
      <c r="AN1455" s="58" t="str">
        <f aca="false">IF( AM1455&lt;&gt;"",VLOOKUP(AM1455,Selects!$M$4:$N$1000,2,0),"")</f>
        <v/>
      </c>
      <c r="BB1455" s="72" t="str">
        <f aca="false">IF(BA1455&lt;&gt;"",VLOOKUP(BA1455,Selects!$B$4:$C$100,2,0),"")</f>
        <v/>
      </c>
      <c r="BG1455" s="75" t="str">
        <f aca="false">IF(LEN(BF1455)=11,"PF",IF(LEN(BF1455)=14,"PJ",""))</f>
        <v/>
      </c>
      <c r="BH1455" s="66"/>
      <c r="BI1455" s="58" t="str">
        <f aca="false">IF(BH1455&lt;&gt;"",VLOOKUP(BH1455,Selects!$G:$H,2,0),"")</f>
        <v/>
      </c>
      <c r="CB1455" s="72" t="str">
        <f aca="false">IF(AC1455&lt;&gt;"",VLOOKUP(AC1455,Selects!$B:$E,4,0),"")</f>
        <v/>
      </c>
    </row>
    <row r="1456" customFormat="false" ht="15" hidden="true" customHeight="false" outlineLevel="0" collapsed="false">
      <c r="E1456" s="60" t="str">
        <f aca="false">IF(LEN(D1456)=11,"PF",IF(LEN(D1456)=14,"PJ",""))</f>
        <v/>
      </c>
      <c r="I1456" s="62"/>
      <c r="J1456" s="63" t="str">
        <f aca="false">IF(I1456&lt;&gt;"",VLOOKUP(I1456,'Legal Nature'!$E$2:$G$84,3,0),"")</f>
        <v/>
      </c>
      <c r="U1456" s="58" t="str">
        <f aca="false">IF( T1456&lt;&gt;"",VLOOKUP(T1456,Selects!$M$4:$N$1000,2,0),"")</f>
        <v/>
      </c>
      <c r="AD1456" s="72" t="str">
        <f aca="false">IF(AC1456&lt;&gt;"",VLOOKUP(AC1456,Selects!$B$4:$C$100,2,0),"")</f>
        <v/>
      </c>
      <c r="AH1456" s="65"/>
      <c r="AJ1456" s="66"/>
      <c r="AK1456" s="58"/>
      <c r="AM1456" s="68" t="str">
        <f aca="false">IF(LEFT(AL1456,1)="9","Celular",IF(AL1456="","","Fixo"))</f>
        <v/>
      </c>
      <c r="AN1456" s="58" t="str">
        <f aca="false">IF( AM1456&lt;&gt;"",VLOOKUP(AM1456,Selects!$M$4:$N$1000,2,0),"")</f>
        <v/>
      </c>
      <c r="BB1456" s="72" t="str">
        <f aca="false">IF(BA1456&lt;&gt;"",VLOOKUP(BA1456,Selects!$B$4:$C$100,2,0),"")</f>
        <v/>
      </c>
      <c r="BG1456" s="75" t="str">
        <f aca="false">IF(LEN(BF1456)=11,"PF",IF(LEN(BF1456)=14,"PJ",""))</f>
        <v/>
      </c>
      <c r="BH1456" s="66"/>
      <c r="BI1456" s="58" t="str">
        <f aca="false">IF(BH1456&lt;&gt;"",VLOOKUP(BH1456,Selects!$G:$H,2,0),"")</f>
        <v/>
      </c>
      <c r="CB1456" s="72" t="str">
        <f aca="false">IF(AC1456&lt;&gt;"",VLOOKUP(AC1456,Selects!$B:$E,4,0),"")</f>
        <v/>
      </c>
    </row>
    <row r="1457" customFormat="false" ht="15" hidden="true" customHeight="false" outlineLevel="0" collapsed="false">
      <c r="E1457" s="60" t="str">
        <f aca="false">IF(LEN(D1457)=11,"PF",IF(LEN(D1457)=14,"PJ",""))</f>
        <v/>
      </c>
      <c r="I1457" s="62"/>
      <c r="J1457" s="63" t="str">
        <f aca="false">IF(I1457&lt;&gt;"",VLOOKUP(I1457,'Legal Nature'!$E$2:$G$84,3,0),"")</f>
        <v/>
      </c>
      <c r="U1457" s="58" t="str">
        <f aca="false">IF( T1457&lt;&gt;"",VLOOKUP(T1457,Selects!$M$4:$N$1000,2,0),"")</f>
        <v/>
      </c>
      <c r="AD1457" s="72" t="str">
        <f aca="false">IF(AC1457&lt;&gt;"",VLOOKUP(AC1457,Selects!$B$4:$C$100,2,0),"")</f>
        <v/>
      </c>
      <c r="AH1457" s="65"/>
      <c r="AJ1457" s="66"/>
      <c r="AK1457" s="58"/>
      <c r="AM1457" s="68" t="str">
        <f aca="false">IF(LEFT(AL1457,1)="9","Celular",IF(AL1457="","","Fixo"))</f>
        <v/>
      </c>
      <c r="AN1457" s="58" t="str">
        <f aca="false">IF( AM1457&lt;&gt;"",VLOOKUP(AM1457,Selects!$M$4:$N$1000,2,0),"")</f>
        <v/>
      </c>
      <c r="BB1457" s="72" t="str">
        <f aca="false">IF(BA1457&lt;&gt;"",VLOOKUP(BA1457,Selects!$B$4:$C$100,2,0),"")</f>
        <v/>
      </c>
      <c r="BG1457" s="75" t="str">
        <f aca="false">IF(LEN(BF1457)=11,"PF",IF(LEN(BF1457)=14,"PJ",""))</f>
        <v/>
      </c>
      <c r="BH1457" s="66"/>
      <c r="BI1457" s="58" t="str">
        <f aca="false">IF(BH1457&lt;&gt;"",VLOOKUP(BH1457,Selects!$G:$H,2,0),"")</f>
        <v/>
      </c>
      <c r="CB1457" s="72" t="str">
        <f aca="false">IF(AC1457&lt;&gt;"",VLOOKUP(AC1457,Selects!$B:$E,4,0),"")</f>
        <v/>
      </c>
    </row>
    <row r="1458" customFormat="false" ht="15" hidden="true" customHeight="false" outlineLevel="0" collapsed="false">
      <c r="E1458" s="60" t="str">
        <f aca="false">IF(LEN(D1458)=11,"PF",IF(LEN(D1458)=14,"PJ",""))</f>
        <v/>
      </c>
      <c r="I1458" s="62"/>
      <c r="J1458" s="63" t="str">
        <f aca="false">IF(I1458&lt;&gt;"",VLOOKUP(I1458,'Legal Nature'!$E$2:$G$84,3,0),"")</f>
        <v/>
      </c>
      <c r="U1458" s="58" t="str">
        <f aca="false">IF( T1458&lt;&gt;"",VLOOKUP(T1458,Selects!$M$4:$N$1000,2,0),"")</f>
        <v/>
      </c>
      <c r="AD1458" s="72" t="str">
        <f aca="false">IF(AC1458&lt;&gt;"",VLOOKUP(AC1458,Selects!$B$4:$C$100,2,0),"")</f>
        <v/>
      </c>
      <c r="AH1458" s="65"/>
      <c r="AJ1458" s="66"/>
      <c r="AK1458" s="58"/>
      <c r="AM1458" s="68" t="str">
        <f aca="false">IF(LEFT(AL1458,1)="9","Celular",IF(AL1458="","","Fixo"))</f>
        <v/>
      </c>
      <c r="AN1458" s="58" t="str">
        <f aca="false">IF( AM1458&lt;&gt;"",VLOOKUP(AM1458,Selects!$M$4:$N$1000,2,0),"")</f>
        <v/>
      </c>
      <c r="BB1458" s="72" t="str">
        <f aca="false">IF(BA1458&lt;&gt;"",VLOOKUP(BA1458,Selects!$B$4:$C$100,2,0),"")</f>
        <v/>
      </c>
      <c r="BG1458" s="75" t="str">
        <f aca="false">IF(LEN(BF1458)=11,"PF",IF(LEN(BF1458)=14,"PJ",""))</f>
        <v/>
      </c>
      <c r="BH1458" s="66"/>
      <c r="BI1458" s="58" t="str">
        <f aca="false">IF(BH1458&lt;&gt;"",VLOOKUP(BH1458,Selects!$G:$H,2,0),"")</f>
        <v/>
      </c>
      <c r="CB1458" s="72" t="str">
        <f aca="false">IF(AC1458&lt;&gt;"",VLOOKUP(AC1458,Selects!$B:$E,4,0),"")</f>
        <v/>
      </c>
    </row>
    <row r="1459" customFormat="false" ht="15" hidden="true" customHeight="false" outlineLevel="0" collapsed="false">
      <c r="E1459" s="60" t="str">
        <f aca="false">IF(LEN(D1459)=11,"PF",IF(LEN(D1459)=14,"PJ",""))</f>
        <v/>
      </c>
      <c r="I1459" s="62"/>
      <c r="J1459" s="63" t="str">
        <f aca="false">IF(I1459&lt;&gt;"",VLOOKUP(I1459,'Legal Nature'!$E$2:$G$84,3,0),"")</f>
        <v/>
      </c>
      <c r="U1459" s="58" t="str">
        <f aca="false">IF( T1459&lt;&gt;"",VLOOKUP(T1459,Selects!$M$4:$N$1000,2,0),"")</f>
        <v/>
      </c>
      <c r="AD1459" s="72" t="str">
        <f aca="false">IF(AC1459&lt;&gt;"",VLOOKUP(AC1459,Selects!$B$4:$C$100,2,0),"")</f>
        <v/>
      </c>
      <c r="AH1459" s="65"/>
      <c r="AJ1459" s="66"/>
      <c r="AK1459" s="58"/>
      <c r="AM1459" s="68" t="str">
        <f aca="false">IF(LEFT(AL1459,1)="9","Celular",IF(AL1459="","","Fixo"))</f>
        <v/>
      </c>
      <c r="AN1459" s="58" t="str">
        <f aca="false">IF( AM1459&lt;&gt;"",VLOOKUP(AM1459,Selects!$M$4:$N$1000,2,0),"")</f>
        <v/>
      </c>
      <c r="BB1459" s="72" t="str">
        <f aca="false">IF(BA1459&lt;&gt;"",VLOOKUP(BA1459,Selects!$B$4:$C$100,2,0),"")</f>
        <v/>
      </c>
      <c r="BG1459" s="75" t="str">
        <f aca="false">IF(LEN(BF1459)=11,"PF",IF(LEN(BF1459)=14,"PJ",""))</f>
        <v/>
      </c>
      <c r="BH1459" s="66"/>
      <c r="BI1459" s="58" t="str">
        <f aca="false">IF(BH1459&lt;&gt;"",VLOOKUP(BH1459,Selects!$G:$H,2,0),"")</f>
        <v/>
      </c>
      <c r="CB1459" s="72" t="str">
        <f aca="false">IF(AC1459&lt;&gt;"",VLOOKUP(AC1459,Selects!$B:$E,4,0),"")</f>
        <v/>
      </c>
    </row>
    <row r="1460" customFormat="false" ht="15" hidden="true" customHeight="false" outlineLevel="0" collapsed="false">
      <c r="E1460" s="60" t="str">
        <f aca="false">IF(LEN(D1460)=11,"PF",IF(LEN(D1460)=14,"PJ",""))</f>
        <v/>
      </c>
      <c r="I1460" s="62"/>
      <c r="J1460" s="63" t="str">
        <f aca="false">IF(I1460&lt;&gt;"",VLOOKUP(I1460,'Legal Nature'!$E$2:$G$84,3,0),"")</f>
        <v/>
      </c>
      <c r="U1460" s="58" t="str">
        <f aca="false">IF( T1460&lt;&gt;"",VLOOKUP(T1460,Selects!$M$4:$N$1000,2,0),"")</f>
        <v/>
      </c>
      <c r="AD1460" s="72" t="str">
        <f aca="false">IF(AC1460&lt;&gt;"",VLOOKUP(AC1460,Selects!$B$4:$C$100,2,0),"")</f>
        <v/>
      </c>
      <c r="AH1460" s="65"/>
      <c r="AJ1460" s="66"/>
      <c r="AK1460" s="58"/>
      <c r="AM1460" s="68" t="str">
        <f aca="false">IF(LEFT(AL1460,1)="9","Celular",IF(AL1460="","","Fixo"))</f>
        <v/>
      </c>
      <c r="AN1460" s="58" t="str">
        <f aca="false">IF( AM1460&lt;&gt;"",VLOOKUP(AM1460,Selects!$M$4:$N$1000,2,0),"")</f>
        <v/>
      </c>
      <c r="BB1460" s="72" t="str">
        <f aca="false">IF(BA1460&lt;&gt;"",VLOOKUP(BA1460,Selects!$B$4:$C$100,2,0),"")</f>
        <v/>
      </c>
      <c r="BG1460" s="75" t="str">
        <f aca="false">IF(LEN(BF1460)=11,"PF",IF(LEN(BF1460)=14,"PJ",""))</f>
        <v/>
      </c>
      <c r="BH1460" s="66"/>
      <c r="BI1460" s="58" t="str">
        <f aca="false">IF(BH1460&lt;&gt;"",VLOOKUP(BH1460,Selects!$G:$H,2,0),"")</f>
        <v/>
      </c>
      <c r="CB1460" s="72" t="str">
        <f aca="false">IF(AC1460&lt;&gt;"",VLOOKUP(AC1460,Selects!$B:$E,4,0),"")</f>
        <v/>
      </c>
    </row>
    <row r="1461" customFormat="false" ht="15" hidden="true" customHeight="false" outlineLevel="0" collapsed="false">
      <c r="E1461" s="60" t="str">
        <f aca="false">IF(LEN(D1461)=11,"PF",IF(LEN(D1461)=14,"PJ",""))</f>
        <v/>
      </c>
      <c r="I1461" s="62"/>
      <c r="J1461" s="63" t="str">
        <f aca="false">IF(I1461&lt;&gt;"",VLOOKUP(I1461,'Legal Nature'!$E$2:$G$84,3,0),"")</f>
        <v/>
      </c>
      <c r="U1461" s="58" t="str">
        <f aca="false">IF( T1461&lt;&gt;"",VLOOKUP(T1461,Selects!$M$4:$N$1000,2,0),"")</f>
        <v/>
      </c>
      <c r="AD1461" s="72" t="str">
        <f aca="false">IF(AC1461&lt;&gt;"",VLOOKUP(AC1461,Selects!$B$4:$C$100,2,0),"")</f>
        <v/>
      </c>
      <c r="AH1461" s="65"/>
      <c r="AJ1461" s="66"/>
      <c r="AK1461" s="58"/>
      <c r="AM1461" s="68" t="str">
        <f aca="false">IF(LEFT(AL1461,1)="9","Celular",IF(AL1461="","","Fixo"))</f>
        <v/>
      </c>
      <c r="AN1461" s="58" t="str">
        <f aca="false">IF( AM1461&lt;&gt;"",VLOOKUP(AM1461,Selects!$M$4:$N$1000,2,0),"")</f>
        <v/>
      </c>
      <c r="BB1461" s="72" t="str">
        <f aca="false">IF(BA1461&lt;&gt;"",VLOOKUP(BA1461,Selects!$B$4:$C$100,2,0),"")</f>
        <v/>
      </c>
      <c r="BG1461" s="75" t="str">
        <f aca="false">IF(LEN(BF1461)=11,"PF",IF(LEN(BF1461)=14,"PJ",""))</f>
        <v/>
      </c>
      <c r="BH1461" s="66"/>
      <c r="BI1461" s="58" t="str">
        <f aca="false">IF(BH1461&lt;&gt;"",VLOOKUP(BH1461,Selects!$G:$H,2,0),"")</f>
        <v/>
      </c>
      <c r="CB1461" s="72" t="str">
        <f aca="false">IF(AC1461&lt;&gt;"",VLOOKUP(AC1461,Selects!$B:$E,4,0),"")</f>
        <v/>
      </c>
    </row>
    <row r="1462" customFormat="false" ht="15" hidden="true" customHeight="false" outlineLevel="0" collapsed="false">
      <c r="E1462" s="60" t="str">
        <f aca="false">IF(LEN(D1462)=11,"PF",IF(LEN(D1462)=14,"PJ",""))</f>
        <v/>
      </c>
      <c r="I1462" s="62"/>
      <c r="J1462" s="63" t="str">
        <f aca="false">IF(I1462&lt;&gt;"",VLOOKUP(I1462,'Legal Nature'!$E$2:$G$84,3,0),"")</f>
        <v/>
      </c>
      <c r="U1462" s="58" t="str">
        <f aca="false">IF( T1462&lt;&gt;"",VLOOKUP(T1462,Selects!$M$4:$N$1000,2,0),"")</f>
        <v/>
      </c>
      <c r="AD1462" s="72" t="str">
        <f aca="false">IF(AC1462&lt;&gt;"",VLOOKUP(AC1462,Selects!$B$4:$C$100,2,0),"")</f>
        <v/>
      </c>
      <c r="AH1462" s="65"/>
      <c r="AJ1462" s="66"/>
      <c r="AK1462" s="58"/>
      <c r="AM1462" s="68" t="str">
        <f aca="false">IF(LEFT(AL1462,1)="9","Celular",IF(AL1462="","","Fixo"))</f>
        <v/>
      </c>
      <c r="AN1462" s="58" t="str">
        <f aca="false">IF( AM1462&lt;&gt;"",VLOOKUP(AM1462,Selects!$M$4:$N$1000,2,0),"")</f>
        <v/>
      </c>
      <c r="BB1462" s="72" t="str">
        <f aca="false">IF(BA1462&lt;&gt;"",VLOOKUP(BA1462,Selects!$B$4:$C$100,2,0),"")</f>
        <v/>
      </c>
      <c r="BG1462" s="75" t="str">
        <f aca="false">IF(LEN(BF1462)=11,"PF",IF(LEN(BF1462)=14,"PJ",""))</f>
        <v/>
      </c>
      <c r="BH1462" s="66"/>
      <c r="BI1462" s="58" t="str">
        <f aca="false">IF(BH1462&lt;&gt;"",VLOOKUP(BH1462,Selects!$G:$H,2,0),"")</f>
        <v/>
      </c>
      <c r="CB1462" s="72" t="str">
        <f aca="false">IF(AC1462&lt;&gt;"",VLOOKUP(AC1462,Selects!$B:$E,4,0),"")</f>
        <v/>
      </c>
    </row>
    <row r="1463" customFormat="false" ht="15" hidden="true" customHeight="false" outlineLevel="0" collapsed="false">
      <c r="E1463" s="60" t="str">
        <f aca="false">IF(LEN(D1463)=11,"PF",IF(LEN(D1463)=14,"PJ",""))</f>
        <v/>
      </c>
      <c r="I1463" s="62"/>
      <c r="J1463" s="63" t="str">
        <f aca="false">IF(I1463&lt;&gt;"",VLOOKUP(I1463,'Legal Nature'!$E$2:$G$84,3,0),"")</f>
        <v/>
      </c>
      <c r="U1463" s="58" t="str">
        <f aca="false">IF( T1463&lt;&gt;"",VLOOKUP(T1463,Selects!$M$4:$N$1000,2,0),"")</f>
        <v/>
      </c>
      <c r="AD1463" s="72" t="str">
        <f aca="false">IF(AC1463&lt;&gt;"",VLOOKUP(AC1463,Selects!$B$4:$C$100,2,0),"")</f>
        <v/>
      </c>
      <c r="AH1463" s="65"/>
      <c r="AJ1463" s="66"/>
      <c r="AK1463" s="58"/>
      <c r="AM1463" s="68" t="str">
        <f aca="false">IF(LEFT(AL1463,1)="9","Celular",IF(AL1463="","","Fixo"))</f>
        <v/>
      </c>
      <c r="AN1463" s="58" t="str">
        <f aca="false">IF( AM1463&lt;&gt;"",VLOOKUP(AM1463,Selects!$M$4:$N$1000,2,0),"")</f>
        <v/>
      </c>
      <c r="BB1463" s="72" t="str">
        <f aca="false">IF(BA1463&lt;&gt;"",VLOOKUP(BA1463,Selects!$B$4:$C$100,2,0),"")</f>
        <v/>
      </c>
      <c r="BG1463" s="75" t="str">
        <f aca="false">IF(LEN(BF1463)=11,"PF",IF(LEN(BF1463)=14,"PJ",""))</f>
        <v/>
      </c>
      <c r="BH1463" s="66"/>
      <c r="BI1463" s="58" t="str">
        <f aca="false">IF(BH1463&lt;&gt;"",VLOOKUP(BH1463,Selects!$G:$H,2,0),"")</f>
        <v/>
      </c>
      <c r="CB1463" s="72" t="str">
        <f aca="false">IF(AC1463&lt;&gt;"",VLOOKUP(AC1463,Selects!$B:$E,4,0),"")</f>
        <v/>
      </c>
    </row>
    <row r="1464" customFormat="false" ht="15" hidden="true" customHeight="false" outlineLevel="0" collapsed="false">
      <c r="E1464" s="60" t="str">
        <f aca="false">IF(LEN(D1464)=11,"PF",IF(LEN(D1464)=14,"PJ",""))</f>
        <v/>
      </c>
      <c r="I1464" s="62"/>
      <c r="J1464" s="63" t="str">
        <f aca="false">IF(I1464&lt;&gt;"",VLOOKUP(I1464,'Legal Nature'!$E$2:$G$84,3,0),"")</f>
        <v/>
      </c>
      <c r="U1464" s="58" t="str">
        <f aca="false">IF( T1464&lt;&gt;"",VLOOKUP(T1464,Selects!$M$4:$N$1000,2,0),"")</f>
        <v/>
      </c>
      <c r="AD1464" s="72" t="str">
        <f aca="false">IF(AC1464&lt;&gt;"",VLOOKUP(AC1464,Selects!$B$4:$C$100,2,0),"")</f>
        <v/>
      </c>
      <c r="AH1464" s="65"/>
      <c r="AJ1464" s="66"/>
      <c r="AK1464" s="58"/>
      <c r="AM1464" s="68" t="str">
        <f aca="false">IF(LEFT(AL1464,1)="9","Celular",IF(AL1464="","","Fixo"))</f>
        <v/>
      </c>
      <c r="AN1464" s="58" t="str">
        <f aca="false">IF( AM1464&lt;&gt;"",VLOOKUP(AM1464,Selects!$M$4:$N$1000,2,0),"")</f>
        <v/>
      </c>
      <c r="BB1464" s="72" t="str">
        <f aca="false">IF(BA1464&lt;&gt;"",VLOOKUP(BA1464,Selects!$B$4:$C$100,2,0),"")</f>
        <v/>
      </c>
      <c r="BG1464" s="75" t="str">
        <f aca="false">IF(LEN(BF1464)=11,"PF",IF(LEN(BF1464)=14,"PJ",""))</f>
        <v/>
      </c>
      <c r="BH1464" s="66"/>
      <c r="BI1464" s="58" t="str">
        <f aca="false">IF(BH1464&lt;&gt;"",VLOOKUP(BH1464,Selects!$G:$H,2,0),"")</f>
        <v/>
      </c>
      <c r="CB1464" s="72" t="str">
        <f aca="false">IF(AC1464&lt;&gt;"",VLOOKUP(AC1464,Selects!$B:$E,4,0),"")</f>
        <v/>
      </c>
    </row>
    <row r="1465" customFormat="false" ht="15" hidden="true" customHeight="false" outlineLevel="0" collapsed="false">
      <c r="E1465" s="60" t="str">
        <f aca="false">IF(LEN(D1465)=11,"PF",IF(LEN(D1465)=14,"PJ",""))</f>
        <v/>
      </c>
      <c r="I1465" s="62"/>
      <c r="J1465" s="63" t="str">
        <f aca="false">IF(I1465&lt;&gt;"",VLOOKUP(I1465,'Legal Nature'!$E$2:$G$84,3,0),"")</f>
        <v/>
      </c>
      <c r="U1465" s="58" t="str">
        <f aca="false">IF( T1465&lt;&gt;"",VLOOKUP(T1465,Selects!$M$4:$N$1000,2,0),"")</f>
        <v/>
      </c>
      <c r="AD1465" s="72" t="str">
        <f aca="false">IF(AC1465&lt;&gt;"",VLOOKUP(AC1465,Selects!$B$4:$C$100,2,0),"")</f>
        <v/>
      </c>
      <c r="AH1465" s="65"/>
      <c r="AJ1465" s="66"/>
      <c r="AK1465" s="58"/>
      <c r="AM1465" s="68" t="str">
        <f aca="false">IF(LEFT(AL1465,1)="9","Celular",IF(AL1465="","","Fixo"))</f>
        <v/>
      </c>
      <c r="AN1465" s="58" t="str">
        <f aca="false">IF( AM1465&lt;&gt;"",VLOOKUP(AM1465,Selects!$M$4:$N$1000,2,0),"")</f>
        <v/>
      </c>
      <c r="BB1465" s="72" t="str">
        <f aca="false">IF(BA1465&lt;&gt;"",VLOOKUP(BA1465,Selects!$B$4:$C$100,2,0),"")</f>
        <v/>
      </c>
      <c r="BG1465" s="75" t="str">
        <f aca="false">IF(LEN(BF1465)=11,"PF",IF(LEN(BF1465)=14,"PJ",""))</f>
        <v/>
      </c>
      <c r="BH1465" s="66"/>
      <c r="BI1465" s="58" t="str">
        <f aca="false">IF(BH1465&lt;&gt;"",VLOOKUP(BH1465,Selects!$G:$H,2,0),"")</f>
        <v/>
      </c>
      <c r="CB1465" s="72" t="str">
        <f aca="false">IF(AC1465&lt;&gt;"",VLOOKUP(AC1465,Selects!$B:$E,4,0),"")</f>
        <v/>
      </c>
    </row>
    <row r="1466" customFormat="false" ht="15" hidden="true" customHeight="false" outlineLevel="0" collapsed="false">
      <c r="E1466" s="60" t="str">
        <f aca="false">IF(LEN(D1466)=11,"PF",IF(LEN(D1466)=14,"PJ",""))</f>
        <v/>
      </c>
      <c r="I1466" s="62"/>
      <c r="J1466" s="63" t="str">
        <f aca="false">IF(I1466&lt;&gt;"",VLOOKUP(I1466,'Legal Nature'!$E$2:$G$84,3,0),"")</f>
        <v/>
      </c>
      <c r="U1466" s="58" t="str">
        <f aca="false">IF( T1466&lt;&gt;"",VLOOKUP(T1466,Selects!$M$4:$N$1000,2,0),"")</f>
        <v/>
      </c>
      <c r="AD1466" s="72" t="str">
        <f aca="false">IF(AC1466&lt;&gt;"",VLOOKUP(AC1466,Selects!$B$4:$C$100,2,0),"")</f>
        <v/>
      </c>
      <c r="AH1466" s="65"/>
      <c r="AJ1466" s="66"/>
      <c r="AK1466" s="58"/>
      <c r="AM1466" s="68" t="str">
        <f aca="false">IF(LEFT(AL1466,1)="9","Celular",IF(AL1466="","","Fixo"))</f>
        <v/>
      </c>
      <c r="AN1466" s="58" t="str">
        <f aca="false">IF( AM1466&lt;&gt;"",VLOOKUP(AM1466,Selects!$M$4:$N$1000,2,0),"")</f>
        <v/>
      </c>
      <c r="BB1466" s="72" t="str">
        <f aca="false">IF(BA1466&lt;&gt;"",VLOOKUP(BA1466,Selects!$B$4:$C$100,2,0),"")</f>
        <v/>
      </c>
      <c r="BG1466" s="75" t="str">
        <f aca="false">IF(LEN(BF1466)=11,"PF",IF(LEN(BF1466)=14,"PJ",""))</f>
        <v/>
      </c>
      <c r="BH1466" s="66"/>
      <c r="BI1466" s="58" t="str">
        <f aca="false">IF(BH1466&lt;&gt;"",VLOOKUP(BH1466,Selects!$G:$H,2,0),"")</f>
        <v/>
      </c>
      <c r="CB1466" s="72" t="str">
        <f aca="false">IF(AC1466&lt;&gt;"",VLOOKUP(AC1466,Selects!$B:$E,4,0),"")</f>
        <v/>
      </c>
    </row>
    <row r="1467" customFormat="false" ht="15" hidden="true" customHeight="false" outlineLevel="0" collapsed="false">
      <c r="E1467" s="60" t="str">
        <f aca="false">IF(LEN(D1467)=11,"PF",IF(LEN(D1467)=14,"PJ",""))</f>
        <v/>
      </c>
      <c r="I1467" s="62"/>
      <c r="J1467" s="63" t="str">
        <f aca="false">IF(I1467&lt;&gt;"",VLOOKUP(I1467,'Legal Nature'!$E$2:$G$84,3,0),"")</f>
        <v/>
      </c>
      <c r="U1467" s="58" t="str">
        <f aca="false">IF( T1467&lt;&gt;"",VLOOKUP(T1467,Selects!$M$4:$N$1000,2,0),"")</f>
        <v/>
      </c>
      <c r="AD1467" s="72" t="str">
        <f aca="false">IF(AC1467&lt;&gt;"",VLOOKUP(AC1467,Selects!$B$4:$C$100,2,0),"")</f>
        <v/>
      </c>
      <c r="AH1467" s="65"/>
      <c r="AJ1467" s="66"/>
      <c r="AK1467" s="58"/>
      <c r="AM1467" s="68" t="str">
        <f aca="false">IF(LEFT(AL1467,1)="9","Celular",IF(AL1467="","","Fixo"))</f>
        <v/>
      </c>
      <c r="AN1467" s="58" t="str">
        <f aca="false">IF( AM1467&lt;&gt;"",VLOOKUP(AM1467,Selects!$M$4:$N$1000,2,0),"")</f>
        <v/>
      </c>
      <c r="BB1467" s="72" t="str">
        <f aca="false">IF(BA1467&lt;&gt;"",VLOOKUP(BA1467,Selects!$B$4:$C$100,2,0),"")</f>
        <v/>
      </c>
      <c r="BG1467" s="75" t="str">
        <f aca="false">IF(LEN(BF1467)=11,"PF",IF(LEN(BF1467)=14,"PJ",""))</f>
        <v/>
      </c>
      <c r="BH1467" s="66"/>
      <c r="BI1467" s="58" t="str">
        <f aca="false">IF(BH1467&lt;&gt;"",VLOOKUP(BH1467,Selects!$G:$H,2,0),"")</f>
        <v/>
      </c>
      <c r="CB1467" s="72" t="str">
        <f aca="false">IF(AC1467&lt;&gt;"",VLOOKUP(AC1467,Selects!$B:$E,4,0),"")</f>
        <v/>
      </c>
    </row>
    <row r="1468" customFormat="false" ht="15" hidden="true" customHeight="false" outlineLevel="0" collapsed="false">
      <c r="E1468" s="60" t="str">
        <f aca="false">IF(LEN(D1468)=11,"PF",IF(LEN(D1468)=14,"PJ",""))</f>
        <v/>
      </c>
      <c r="I1468" s="62"/>
      <c r="J1468" s="63" t="str">
        <f aca="false">IF(I1468&lt;&gt;"",VLOOKUP(I1468,'Legal Nature'!$E$2:$G$84,3,0),"")</f>
        <v/>
      </c>
      <c r="U1468" s="58" t="str">
        <f aca="false">IF( T1468&lt;&gt;"",VLOOKUP(T1468,Selects!$M$4:$N$1000,2,0),"")</f>
        <v/>
      </c>
      <c r="AD1468" s="72" t="str">
        <f aca="false">IF(AC1468&lt;&gt;"",VLOOKUP(AC1468,Selects!$B$4:$C$100,2,0),"")</f>
        <v/>
      </c>
      <c r="AH1468" s="65"/>
      <c r="AJ1468" s="66"/>
      <c r="AK1468" s="58"/>
      <c r="AM1468" s="68" t="str">
        <f aca="false">IF(LEFT(AL1468,1)="9","Celular",IF(AL1468="","","Fixo"))</f>
        <v/>
      </c>
      <c r="AN1468" s="58" t="str">
        <f aca="false">IF( AM1468&lt;&gt;"",VLOOKUP(AM1468,Selects!$M$4:$N$1000,2,0),"")</f>
        <v/>
      </c>
      <c r="BB1468" s="72" t="str">
        <f aca="false">IF(BA1468&lt;&gt;"",VLOOKUP(BA1468,Selects!$B$4:$C$100,2,0),"")</f>
        <v/>
      </c>
      <c r="BG1468" s="75" t="str">
        <f aca="false">IF(LEN(BF1468)=11,"PF",IF(LEN(BF1468)=14,"PJ",""))</f>
        <v/>
      </c>
      <c r="BH1468" s="66"/>
      <c r="BI1468" s="58" t="str">
        <f aca="false">IF(BH1468&lt;&gt;"",VLOOKUP(BH1468,Selects!$G:$H,2,0),"")</f>
        <v/>
      </c>
      <c r="CB1468" s="72" t="str">
        <f aca="false">IF(AC1468&lt;&gt;"",VLOOKUP(AC1468,Selects!$B:$E,4,0),"")</f>
        <v/>
      </c>
    </row>
    <row r="1469" customFormat="false" ht="15" hidden="true" customHeight="false" outlineLevel="0" collapsed="false">
      <c r="E1469" s="60" t="str">
        <f aca="false">IF(LEN(D1469)=11,"PF",IF(LEN(D1469)=14,"PJ",""))</f>
        <v/>
      </c>
      <c r="I1469" s="62"/>
      <c r="J1469" s="63" t="str">
        <f aca="false">IF(I1469&lt;&gt;"",VLOOKUP(I1469,'Legal Nature'!$E$2:$G$84,3,0),"")</f>
        <v/>
      </c>
      <c r="U1469" s="58" t="str">
        <f aca="false">IF( T1469&lt;&gt;"",VLOOKUP(T1469,Selects!$M$4:$N$1000,2,0),"")</f>
        <v/>
      </c>
      <c r="AD1469" s="72" t="str">
        <f aca="false">IF(AC1469&lt;&gt;"",VLOOKUP(AC1469,Selects!$B$4:$C$100,2,0),"")</f>
        <v/>
      </c>
      <c r="AH1469" s="65"/>
      <c r="AJ1469" s="66"/>
      <c r="AK1469" s="58"/>
      <c r="AM1469" s="68" t="str">
        <f aca="false">IF(LEFT(AL1469,1)="9","Celular",IF(AL1469="","","Fixo"))</f>
        <v/>
      </c>
      <c r="AN1469" s="58" t="str">
        <f aca="false">IF( AM1469&lt;&gt;"",VLOOKUP(AM1469,Selects!$M$4:$N$1000,2,0),"")</f>
        <v/>
      </c>
      <c r="BB1469" s="72" t="str">
        <f aca="false">IF(BA1469&lt;&gt;"",VLOOKUP(BA1469,Selects!$B$4:$C$100,2,0),"")</f>
        <v/>
      </c>
      <c r="BG1469" s="75" t="str">
        <f aca="false">IF(LEN(BF1469)=11,"PF",IF(LEN(BF1469)=14,"PJ",""))</f>
        <v/>
      </c>
      <c r="BH1469" s="66"/>
      <c r="BI1469" s="58" t="str">
        <f aca="false">IF(BH1469&lt;&gt;"",VLOOKUP(BH1469,Selects!$G:$H,2,0),"")</f>
        <v/>
      </c>
      <c r="CB1469" s="72" t="str">
        <f aca="false">IF(AC1469&lt;&gt;"",VLOOKUP(AC1469,Selects!$B:$E,4,0),"")</f>
        <v/>
      </c>
    </row>
    <row r="1470" customFormat="false" ht="15" hidden="true" customHeight="false" outlineLevel="0" collapsed="false">
      <c r="E1470" s="60" t="str">
        <f aca="false">IF(LEN(D1470)=11,"PF",IF(LEN(D1470)=14,"PJ",""))</f>
        <v/>
      </c>
      <c r="I1470" s="62"/>
      <c r="J1470" s="63" t="str">
        <f aca="false">IF(I1470&lt;&gt;"",VLOOKUP(I1470,'Legal Nature'!$E$2:$G$84,3,0),"")</f>
        <v/>
      </c>
      <c r="U1470" s="58" t="str">
        <f aca="false">IF( T1470&lt;&gt;"",VLOOKUP(T1470,Selects!$M$4:$N$1000,2,0),"")</f>
        <v/>
      </c>
      <c r="AD1470" s="72" t="str">
        <f aca="false">IF(AC1470&lt;&gt;"",VLOOKUP(AC1470,Selects!$B$4:$C$100,2,0),"")</f>
        <v/>
      </c>
      <c r="AH1470" s="65"/>
      <c r="AJ1470" s="66"/>
      <c r="AK1470" s="58"/>
      <c r="AM1470" s="68" t="str">
        <f aca="false">IF(LEFT(AL1470,1)="9","Celular",IF(AL1470="","","Fixo"))</f>
        <v/>
      </c>
      <c r="AN1470" s="58" t="str">
        <f aca="false">IF( AM1470&lt;&gt;"",VLOOKUP(AM1470,Selects!$M$4:$N$1000,2,0),"")</f>
        <v/>
      </c>
      <c r="BB1470" s="72" t="str">
        <f aca="false">IF(BA1470&lt;&gt;"",VLOOKUP(BA1470,Selects!$B$4:$C$100,2,0),"")</f>
        <v/>
      </c>
      <c r="BG1470" s="75" t="str">
        <f aca="false">IF(LEN(BF1470)=11,"PF",IF(LEN(BF1470)=14,"PJ",""))</f>
        <v/>
      </c>
      <c r="BH1470" s="66"/>
      <c r="BI1470" s="58" t="str">
        <f aca="false">IF(BH1470&lt;&gt;"",VLOOKUP(BH1470,Selects!$G:$H,2,0),"")</f>
        <v/>
      </c>
      <c r="CB1470" s="72" t="str">
        <f aca="false">IF(AC1470&lt;&gt;"",VLOOKUP(AC1470,Selects!$B:$E,4,0),"")</f>
        <v/>
      </c>
    </row>
    <row r="1471" customFormat="false" ht="15" hidden="true" customHeight="false" outlineLevel="0" collapsed="false">
      <c r="E1471" s="60" t="str">
        <f aca="false">IF(LEN(D1471)=11,"PF",IF(LEN(D1471)=14,"PJ",""))</f>
        <v/>
      </c>
      <c r="I1471" s="62"/>
      <c r="J1471" s="63" t="str">
        <f aca="false">IF(I1471&lt;&gt;"",VLOOKUP(I1471,'Legal Nature'!$E$2:$G$84,3,0),"")</f>
        <v/>
      </c>
      <c r="U1471" s="58" t="str">
        <f aca="false">IF( T1471&lt;&gt;"",VLOOKUP(T1471,Selects!$M$4:$N$1000,2,0),"")</f>
        <v/>
      </c>
      <c r="AD1471" s="72" t="str">
        <f aca="false">IF(AC1471&lt;&gt;"",VLOOKUP(AC1471,Selects!$B$4:$C$100,2,0),"")</f>
        <v/>
      </c>
      <c r="AH1471" s="65"/>
      <c r="AJ1471" s="66"/>
      <c r="AK1471" s="58"/>
      <c r="AM1471" s="68" t="str">
        <f aca="false">IF(LEFT(AL1471,1)="9","Celular",IF(AL1471="","","Fixo"))</f>
        <v/>
      </c>
      <c r="AN1471" s="58" t="str">
        <f aca="false">IF( AM1471&lt;&gt;"",VLOOKUP(AM1471,Selects!$M$4:$N$1000,2,0),"")</f>
        <v/>
      </c>
      <c r="BB1471" s="72" t="str">
        <f aca="false">IF(BA1471&lt;&gt;"",VLOOKUP(BA1471,Selects!$B$4:$C$100,2,0),"")</f>
        <v/>
      </c>
      <c r="BG1471" s="75" t="str">
        <f aca="false">IF(LEN(BF1471)=11,"PF",IF(LEN(BF1471)=14,"PJ",""))</f>
        <v/>
      </c>
      <c r="BH1471" s="66"/>
      <c r="BI1471" s="58" t="str">
        <f aca="false">IF(BH1471&lt;&gt;"",VLOOKUP(BH1471,Selects!$G:$H,2,0),"")</f>
        <v/>
      </c>
      <c r="CB1471" s="72" t="str">
        <f aca="false">IF(AC1471&lt;&gt;"",VLOOKUP(AC1471,Selects!$B:$E,4,0),"")</f>
        <v/>
      </c>
    </row>
    <row r="1472" customFormat="false" ht="15" hidden="true" customHeight="false" outlineLevel="0" collapsed="false">
      <c r="E1472" s="60" t="str">
        <f aca="false">IF(LEN(D1472)=11,"PF",IF(LEN(D1472)=14,"PJ",""))</f>
        <v/>
      </c>
      <c r="I1472" s="62"/>
      <c r="J1472" s="63" t="str">
        <f aca="false">IF(I1472&lt;&gt;"",VLOOKUP(I1472,'Legal Nature'!$E$2:$G$84,3,0),"")</f>
        <v/>
      </c>
      <c r="U1472" s="58" t="str">
        <f aca="false">IF( T1472&lt;&gt;"",VLOOKUP(T1472,Selects!$M$4:$N$1000,2,0),"")</f>
        <v/>
      </c>
      <c r="AD1472" s="72" t="str">
        <f aca="false">IF(AC1472&lt;&gt;"",VLOOKUP(AC1472,Selects!$B$4:$C$100,2,0),"")</f>
        <v/>
      </c>
      <c r="AH1472" s="65"/>
      <c r="AJ1472" s="66"/>
      <c r="AK1472" s="58"/>
      <c r="AM1472" s="68" t="str">
        <f aca="false">IF(LEFT(AL1472,1)="9","Celular",IF(AL1472="","","Fixo"))</f>
        <v/>
      </c>
      <c r="AN1472" s="58" t="str">
        <f aca="false">IF( AM1472&lt;&gt;"",VLOOKUP(AM1472,Selects!$M$4:$N$1000,2,0),"")</f>
        <v/>
      </c>
      <c r="BB1472" s="72" t="str">
        <f aca="false">IF(BA1472&lt;&gt;"",VLOOKUP(BA1472,Selects!$B$4:$C$100,2,0),"")</f>
        <v/>
      </c>
      <c r="BG1472" s="75" t="str">
        <f aca="false">IF(LEN(BF1472)=11,"PF",IF(LEN(BF1472)=14,"PJ",""))</f>
        <v/>
      </c>
      <c r="BH1472" s="66"/>
      <c r="BI1472" s="58" t="str">
        <f aca="false">IF(BH1472&lt;&gt;"",VLOOKUP(BH1472,Selects!$G:$H,2,0),"")</f>
        <v/>
      </c>
      <c r="CB1472" s="72" t="str">
        <f aca="false">IF(AC1472&lt;&gt;"",VLOOKUP(AC1472,Selects!$B:$E,4,0),"")</f>
        <v/>
      </c>
    </row>
    <row r="1473" customFormat="false" ht="15" hidden="true" customHeight="false" outlineLevel="0" collapsed="false">
      <c r="E1473" s="60" t="str">
        <f aca="false">IF(LEN(D1473)=11,"PF",IF(LEN(D1473)=14,"PJ",""))</f>
        <v/>
      </c>
      <c r="I1473" s="62"/>
      <c r="J1473" s="63" t="str">
        <f aca="false">IF(I1473&lt;&gt;"",VLOOKUP(I1473,'Legal Nature'!$E$2:$G$84,3,0),"")</f>
        <v/>
      </c>
      <c r="U1473" s="58" t="str">
        <f aca="false">IF( T1473&lt;&gt;"",VLOOKUP(T1473,Selects!$M$4:$N$1000,2,0),"")</f>
        <v/>
      </c>
      <c r="AD1473" s="72" t="str">
        <f aca="false">IF(AC1473&lt;&gt;"",VLOOKUP(AC1473,Selects!$B$4:$C$100,2,0),"")</f>
        <v/>
      </c>
      <c r="AH1473" s="65"/>
      <c r="AJ1473" s="66"/>
      <c r="AK1473" s="58"/>
      <c r="AM1473" s="68" t="str">
        <f aca="false">IF(LEFT(AL1473,1)="9","Celular",IF(AL1473="","","Fixo"))</f>
        <v/>
      </c>
      <c r="AN1473" s="58" t="str">
        <f aca="false">IF( AM1473&lt;&gt;"",VLOOKUP(AM1473,Selects!$M$4:$N$1000,2,0),"")</f>
        <v/>
      </c>
      <c r="BB1473" s="72" t="str">
        <f aca="false">IF(BA1473&lt;&gt;"",VLOOKUP(BA1473,Selects!$B$4:$C$100,2,0),"")</f>
        <v/>
      </c>
      <c r="BG1473" s="75" t="str">
        <f aca="false">IF(LEN(BF1473)=11,"PF",IF(LEN(BF1473)=14,"PJ",""))</f>
        <v/>
      </c>
      <c r="BH1473" s="66"/>
      <c r="BI1473" s="58" t="str">
        <f aca="false">IF(BH1473&lt;&gt;"",VLOOKUP(BH1473,Selects!$G:$H,2,0),"")</f>
        <v/>
      </c>
      <c r="CB1473" s="72" t="str">
        <f aca="false">IF(AC1473&lt;&gt;"",VLOOKUP(AC1473,Selects!$B:$E,4,0),"")</f>
        <v/>
      </c>
    </row>
    <row r="1474" customFormat="false" ht="15" hidden="true" customHeight="false" outlineLevel="0" collapsed="false">
      <c r="E1474" s="60" t="str">
        <f aca="false">IF(LEN(D1474)=11,"PF",IF(LEN(D1474)=14,"PJ",""))</f>
        <v/>
      </c>
      <c r="I1474" s="62"/>
      <c r="J1474" s="63" t="str">
        <f aca="false">IF(I1474&lt;&gt;"",VLOOKUP(I1474,'Legal Nature'!$E$2:$G$84,3,0),"")</f>
        <v/>
      </c>
      <c r="U1474" s="58" t="str">
        <f aca="false">IF( T1474&lt;&gt;"",VLOOKUP(T1474,Selects!$M$4:$N$1000,2,0),"")</f>
        <v/>
      </c>
      <c r="AD1474" s="72" t="str">
        <f aca="false">IF(AC1474&lt;&gt;"",VLOOKUP(AC1474,Selects!$B$4:$C$100,2,0),"")</f>
        <v/>
      </c>
      <c r="AH1474" s="65"/>
      <c r="AJ1474" s="66"/>
      <c r="AK1474" s="58"/>
      <c r="AM1474" s="68" t="str">
        <f aca="false">IF(LEFT(AL1474,1)="9","Celular",IF(AL1474="","","Fixo"))</f>
        <v/>
      </c>
      <c r="AN1474" s="58" t="str">
        <f aca="false">IF( AM1474&lt;&gt;"",VLOOKUP(AM1474,Selects!$M$4:$N$1000,2,0),"")</f>
        <v/>
      </c>
      <c r="BB1474" s="72" t="str">
        <f aca="false">IF(BA1474&lt;&gt;"",VLOOKUP(BA1474,Selects!$B$4:$C$100,2,0),"")</f>
        <v/>
      </c>
      <c r="BG1474" s="75" t="str">
        <f aca="false">IF(LEN(BF1474)=11,"PF",IF(LEN(BF1474)=14,"PJ",""))</f>
        <v/>
      </c>
      <c r="BH1474" s="66"/>
      <c r="BI1474" s="58" t="str">
        <f aca="false">IF(BH1474&lt;&gt;"",VLOOKUP(BH1474,Selects!$G:$H,2,0),"")</f>
        <v/>
      </c>
      <c r="CB1474" s="72" t="str">
        <f aca="false">IF(AC1474&lt;&gt;"",VLOOKUP(AC1474,Selects!$B:$E,4,0),"")</f>
        <v/>
      </c>
    </row>
    <row r="1475" customFormat="false" ht="15" hidden="true" customHeight="false" outlineLevel="0" collapsed="false">
      <c r="E1475" s="60" t="str">
        <f aca="false">IF(LEN(D1475)=11,"PF",IF(LEN(D1475)=14,"PJ",""))</f>
        <v/>
      </c>
      <c r="I1475" s="62"/>
      <c r="J1475" s="63" t="str">
        <f aca="false">IF(I1475&lt;&gt;"",VLOOKUP(I1475,'Legal Nature'!$E$2:$G$84,3,0),"")</f>
        <v/>
      </c>
      <c r="U1475" s="58" t="str">
        <f aca="false">IF( T1475&lt;&gt;"",VLOOKUP(T1475,Selects!$M$4:$N$1000,2,0),"")</f>
        <v/>
      </c>
      <c r="AD1475" s="72" t="str">
        <f aca="false">IF(AC1475&lt;&gt;"",VLOOKUP(AC1475,Selects!$B$4:$C$100,2,0),"")</f>
        <v/>
      </c>
      <c r="AH1475" s="65"/>
      <c r="AJ1475" s="66"/>
      <c r="AK1475" s="58"/>
      <c r="AM1475" s="68" t="str">
        <f aca="false">IF(LEFT(AL1475,1)="9","Celular",IF(AL1475="","","Fixo"))</f>
        <v/>
      </c>
      <c r="AN1475" s="58" t="str">
        <f aca="false">IF( AM1475&lt;&gt;"",VLOOKUP(AM1475,Selects!$M$4:$N$1000,2,0),"")</f>
        <v/>
      </c>
      <c r="BB1475" s="72" t="str">
        <f aca="false">IF(BA1475&lt;&gt;"",VLOOKUP(BA1475,Selects!$B$4:$C$100,2,0),"")</f>
        <v/>
      </c>
      <c r="BG1475" s="75" t="str">
        <f aca="false">IF(LEN(BF1475)=11,"PF",IF(LEN(BF1475)=14,"PJ",""))</f>
        <v/>
      </c>
      <c r="BH1475" s="66"/>
      <c r="BI1475" s="58" t="str">
        <f aca="false">IF(BH1475&lt;&gt;"",VLOOKUP(BH1475,Selects!$G:$H,2,0),"")</f>
        <v/>
      </c>
      <c r="CB1475" s="72" t="str">
        <f aca="false">IF(AC1475&lt;&gt;"",VLOOKUP(AC1475,Selects!$B:$E,4,0),"")</f>
        <v/>
      </c>
    </row>
    <row r="1476" customFormat="false" ht="15" hidden="true" customHeight="false" outlineLevel="0" collapsed="false">
      <c r="E1476" s="60" t="str">
        <f aca="false">IF(LEN(D1476)=11,"PF",IF(LEN(D1476)=14,"PJ",""))</f>
        <v/>
      </c>
      <c r="I1476" s="62"/>
      <c r="J1476" s="63" t="str">
        <f aca="false">IF(I1476&lt;&gt;"",VLOOKUP(I1476,'Legal Nature'!$E$2:$G$84,3,0),"")</f>
        <v/>
      </c>
      <c r="U1476" s="58" t="str">
        <f aca="false">IF( T1476&lt;&gt;"",VLOOKUP(T1476,Selects!$M$4:$N$1000,2,0),"")</f>
        <v/>
      </c>
      <c r="AD1476" s="72" t="str">
        <f aca="false">IF(AC1476&lt;&gt;"",VLOOKUP(AC1476,Selects!$B$4:$C$100,2,0),"")</f>
        <v/>
      </c>
      <c r="AH1476" s="65"/>
      <c r="AJ1476" s="66"/>
      <c r="AK1476" s="58"/>
      <c r="AM1476" s="68" t="str">
        <f aca="false">IF(LEFT(AL1476,1)="9","Celular",IF(AL1476="","","Fixo"))</f>
        <v/>
      </c>
      <c r="AN1476" s="58" t="str">
        <f aca="false">IF( AM1476&lt;&gt;"",VLOOKUP(AM1476,Selects!$M$4:$N$1000,2,0),"")</f>
        <v/>
      </c>
      <c r="BB1476" s="72" t="str">
        <f aca="false">IF(BA1476&lt;&gt;"",VLOOKUP(BA1476,Selects!$B$4:$C$100,2,0),"")</f>
        <v/>
      </c>
      <c r="BG1476" s="75" t="str">
        <f aca="false">IF(LEN(BF1476)=11,"PF",IF(LEN(BF1476)=14,"PJ",""))</f>
        <v/>
      </c>
      <c r="BH1476" s="66"/>
      <c r="BI1476" s="58" t="str">
        <f aca="false">IF(BH1476&lt;&gt;"",VLOOKUP(BH1476,Selects!$G:$H,2,0),"")</f>
        <v/>
      </c>
      <c r="CB1476" s="72" t="str">
        <f aca="false">IF(AC1476&lt;&gt;"",VLOOKUP(AC1476,Selects!$B:$E,4,0),"")</f>
        <v/>
      </c>
    </row>
    <row r="1477" customFormat="false" ht="15" hidden="true" customHeight="false" outlineLevel="0" collapsed="false">
      <c r="E1477" s="60" t="str">
        <f aca="false">IF(LEN(D1477)=11,"PF",IF(LEN(D1477)=14,"PJ",""))</f>
        <v/>
      </c>
      <c r="I1477" s="62"/>
      <c r="J1477" s="63" t="str">
        <f aca="false">IF(I1477&lt;&gt;"",VLOOKUP(I1477,'Legal Nature'!$E$2:$G$84,3,0),"")</f>
        <v/>
      </c>
      <c r="U1477" s="58" t="str">
        <f aca="false">IF( T1477&lt;&gt;"",VLOOKUP(T1477,Selects!$M$4:$N$1000,2,0),"")</f>
        <v/>
      </c>
      <c r="AD1477" s="72" t="str">
        <f aca="false">IF(AC1477&lt;&gt;"",VLOOKUP(AC1477,Selects!$B$4:$C$100,2,0),"")</f>
        <v/>
      </c>
      <c r="AH1477" s="65"/>
      <c r="AJ1477" s="66"/>
      <c r="AK1477" s="58"/>
      <c r="AM1477" s="68" t="str">
        <f aca="false">IF(LEFT(AL1477,1)="9","Celular",IF(AL1477="","","Fixo"))</f>
        <v/>
      </c>
      <c r="AN1477" s="58" t="str">
        <f aca="false">IF( AM1477&lt;&gt;"",VLOOKUP(AM1477,Selects!$M$4:$N$1000,2,0),"")</f>
        <v/>
      </c>
      <c r="BB1477" s="72" t="str">
        <f aca="false">IF(BA1477&lt;&gt;"",VLOOKUP(BA1477,Selects!$B$4:$C$100,2,0),"")</f>
        <v/>
      </c>
      <c r="BG1477" s="75" t="str">
        <f aca="false">IF(LEN(BF1477)=11,"PF",IF(LEN(BF1477)=14,"PJ",""))</f>
        <v/>
      </c>
      <c r="BH1477" s="66"/>
      <c r="BI1477" s="58" t="str">
        <f aca="false">IF(BH1477&lt;&gt;"",VLOOKUP(BH1477,Selects!$G:$H,2,0),"")</f>
        <v/>
      </c>
      <c r="CB1477" s="72" t="str">
        <f aca="false">IF(AC1477&lt;&gt;"",VLOOKUP(AC1477,Selects!$B:$E,4,0),"")</f>
        <v/>
      </c>
    </row>
    <row r="1478" customFormat="false" ht="15" hidden="true" customHeight="false" outlineLevel="0" collapsed="false">
      <c r="E1478" s="60" t="str">
        <f aca="false">IF(LEN(D1478)=11,"PF",IF(LEN(D1478)=14,"PJ",""))</f>
        <v/>
      </c>
      <c r="I1478" s="62"/>
      <c r="J1478" s="63" t="str">
        <f aca="false">IF(I1478&lt;&gt;"",VLOOKUP(I1478,'Legal Nature'!$E$2:$G$84,3,0),"")</f>
        <v/>
      </c>
      <c r="U1478" s="58" t="str">
        <f aca="false">IF( T1478&lt;&gt;"",VLOOKUP(T1478,Selects!$M$4:$N$1000,2,0),"")</f>
        <v/>
      </c>
      <c r="AD1478" s="72" t="str">
        <f aca="false">IF(AC1478&lt;&gt;"",VLOOKUP(AC1478,Selects!$B$4:$C$100,2,0),"")</f>
        <v/>
      </c>
      <c r="AH1478" s="65"/>
      <c r="AJ1478" s="66"/>
      <c r="AK1478" s="58"/>
      <c r="AM1478" s="68" t="str">
        <f aca="false">IF(LEFT(AL1478,1)="9","Celular",IF(AL1478="","","Fixo"))</f>
        <v/>
      </c>
      <c r="AN1478" s="58" t="str">
        <f aca="false">IF( AM1478&lt;&gt;"",VLOOKUP(AM1478,Selects!$M$4:$N$1000,2,0),"")</f>
        <v/>
      </c>
      <c r="BB1478" s="72" t="str">
        <f aca="false">IF(BA1478&lt;&gt;"",VLOOKUP(BA1478,Selects!$B$4:$C$100,2,0),"")</f>
        <v/>
      </c>
      <c r="BG1478" s="75" t="str">
        <f aca="false">IF(LEN(BF1478)=11,"PF",IF(LEN(BF1478)=14,"PJ",""))</f>
        <v/>
      </c>
      <c r="BH1478" s="66"/>
      <c r="BI1478" s="58" t="str">
        <f aca="false">IF(BH1478&lt;&gt;"",VLOOKUP(BH1478,Selects!$G:$H,2,0),"")</f>
        <v/>
      </c>
      <c r="CB1478" s="72" t="str">
        <f aca="false">IF(AC1478&lt;&gt;"",VLOOKUP(AC1478,Selects!$B:$E,4,0),"")</f>
        <v/>
      </c>
    </row>
    <row r="1479" customFormat="false" ht="15" hidden="true" customHeight="false" outlineLevel="0" collapsed="false">
      <c r="E1479" s="60" t="str">
        <f aca="false">IF(LEN(D1479)=11,"PF",IF(LEN(D1479)=14,"PJ",""))</f>
        <v/>
      </c>
      <c r="I1479" s="62"/>
      <c r="J1479" s="63" t="str">
        <f aca="false">IF(I1479&lt;&gt;"",VLOOKUP(I1479,'Legal Nature'!$E$2:$G$84,3,0),"")</f>
        <v/>
      </c>
      <c r="U1479" s="58" t="str">
        <f aca="false">IF( T1479&lt;&gt;"",VLOOKUP(T1479,Selects!$M$4:$N$1000,2,0),"")</f>
        <v/>
      </c>
      <c r="AD1479" s="72" t="str">
        <f aca="false">IF(AC1479&lt;&gt;"",VLOOKUP(AC1479,Selects!$B$4:$C$100,2,0),"")</f>
        <v/>
      </c>
      <c r="AH1479" s="65"/>
      <c r="AJ1479" s="66"/>
      <c r="AK1479" s="58"/>
      <c r="AM1479" s="68" t="str">
        <f aca="false">IF(LEFT(AL1479,1)="9","Celular",IF(AL1479="","","Fixo"))</f>
        <v/>
      </c>
      <c r="AN1479" s="58" t="str">
        <f aca="false">IF( AM1479&lt;&gt;"",VLOOKUP(AM1479,Selects!$M$4:$N$1000,2,0),"")</f>
        <v/>
      </c>
      <c r="BB1479" s="72" t="str">
        <f aca="false">IF(BA1479&lt;&gt;"",VLOOKUP(BA1479,Selects!$B$4:$C$100,2,0),"")</f>
        <v/>
      </c>
      <c r="BG1479" s="75" t="str">
        <f aca="false">IF(LEN(BF1479)=11,"PF",IF(LEN(BF1479)=14,"PJ",""))</f>
        <v/>
      </c>
      <c r="BH1479" s="66"/>
      <c r="BI1479" s="58" t="str">
        <f aca="false">IF(BH1479&lt;&gt;"",VLOOKUP(BH1479,Selects!$G:$H,2,0),"")</f>
        <v/>
      </c>
      <c r="CB1479" s="72" t="str">
        <f aca="false">IF(AC1479&lt;&gt;"",VLOOKUP(AC1479,Selects!$B:$E,4,0),"")</f>
        <v/>
      </c>
    </row>
    <row r="1480" customFormat="false" ht="15" hidden="true" customHeight="false" outlineLevel="0" collapsed="false">
      <c r="E1480" s="60" t="str">
        <f aca="false">IF(LEN(D1480)=11,"PF",IF(LEN(D1480)=14,"PJ",""))</f>
        <v/>
      </c>
      <c r="I1480" s="62"/>
      <c r="J1480" s="63" t="str">
        <f aca="false">IF(I1480&lt;&gt;"",VLOOKUP(I1480,'Legal Nature'!$E$2:$G$84,3,0),"")</f>
        <v/>
      </c>
      <c r="U1480" s="58" t="str">
        <f aca="false">IF( T1480&lt;&gt;"",VLOOKUP(T1480,Selects!$M$4:$N$1000,2,0),"")</f>
        <v/>
      </c>
      <c r="AD1480" s="72" t="str">
        <f aca="false">IF(AC1480&lt;&gt;"",VLOOKUP(AC1480,Selects!$B$4:$C$100,2,0),"")</f>
        <v/>
      </c>
      <c r="AH1480" s="65"/>
      <c r="AJ1480" s="66"/>
      <c r="AK1480" s="58"/>
      <c r="AM1480" s="68" t="str">
        <f aca="false">IF(LEFT(AL1480,1)="9","Celular",IF(AL1480="","","Fixo"))</f>
        <v/>
      </c>
      <c r="AN1480" s="58" t="str">
        <f aca="false">IF( AM1480&lt;&gt;"",VLOOKUP(AM1480,Selects!$M$4:$N$1000,2,0),"")</f>
        <v/>
      </c>
      <c r="BB1480" s="72" t="str">
        <f aca="false">IF(BA1480&lt;&gt;"",VLOOKUP(BA1480,Selects!$B$4:$C$100,2,0),"")</f>
        <v/>
      </c>
      <c r="BG1480" s="75" t="str">
        <f aca="false">IF(LEN(BF1480)=11,"PF",IF(LEN(BF1480)=14,"PJ",""))</f>
        <v/>
      </c>
      <c r="BH1480" s="66"/>
      <c r="BI1480" s="58" t="str">
        <f aca="false">IF(BH1480&lt;&gt;"",VLOOKUP(BH1480,Selects!$G:$H,2,0),"")</f>
        <v/>
      </c>
      <c r="CB1480" s="72" t="str">
        <f aca="false">IF(AC1480&lt;&gt;"",VLOOKUP(AC1480,Selects!$B:$E,4,0),"")</f>
        <v/>
      </c>
    </row>
    <row r="1481" customFormat="false" ht="15" hidden="true" customHeight="false" outlineLevel="0" collapsed="false">
      <c r="E1481" s="60" t="str">
        <f aca="false">IF(LEN(D1481)=11,"PF",IF(LEN(D1481)=14,"PJ",""))</f>
        <v/>
      </c>
      <c r="I1481" s="62"/>
      <c r="J1481" s="63" t="str">
        <f aca="false">IF(I1481&lt;&gt;"",VLOOKUP(I1481,'Legal Nature'!$E$2:$G$84,3,0),"")</f>
        <v/>
      </c>
      <c r="U1481" s="58" t="str">
        <f aca="false">IF( T1481&lt;&gt;"",VLOOKUP(T1481,Selects!$M$4:$N$1000,2,0),"")</f>
        <v/>
      </c>
      <c r="AD1481" s="72" t="str">
        <f aca="false">IF(AC1481&lt;&gt;"",VLOOKUP(AC1481,Selects!$B$4:$C$100,2,0),"")</f>
        <v/>
      </c>
      <c r="AH1481" s="65"/>
      <c r="AJ1481" s="66"/>
      <c r="AK1481" s="58"/>
      <c r="AM1481" s="68" t="str">
        <f aca="false">IF(LEFT(AL1481,1)="9","Celular",IF(AL1481="","","Fixo"))</f>
        <v/>
      </c>
      <c r="AN1481" s="58" t="str">
        <f aca="false">IF( AM1481&lt;&gt;"",VLOOKUP(AM1481,Selects!$M$4:$N$1000,2,0),"")</f>
        <v/>
      </c>
      <c r="BB1481" s="72" t="str">
        <f aca="false">IF(BA1481&lt;&gt;"",VLOOKUP(BA1481,Selects!$B$4:$C$100,2,0),"")</f>
        <v/>
      </c>
      <c r="BG1481" s="75" t="str">
        <f aca="false">IF(LEN(BF1481)=11,"PF",IF(LEN(BF1481)=14,"PJ",""))</f>
        <v/>
      </c>
      <c r="BH1481" s="66"/>
      <c r="BI1481" s="58" t="str">
        <f aca="false">IF(BH1481&lt;&gt;"",VLOOKUP(BH1481,Selects!$G:$H,2,0),"")</f>
        <v/>
      </c>
      <c r="CB1481" s="72" t="str">
        <f aca="false">IF(AC1481&lt;&gt;"",VLOOKUP(AC1481,Selects!$B:$E,4,0),"")</f>
        <v/>
      </c>
    </row>
    <row r="1482" customFormat="false" ht="15" hidden="true" customHeight="false" outlineLevel="0" collapsed="false">
      <c r="E1482" s="60" t="str">
        <f aca="false">IF(LEN(D1482)=11,"PF",IF(LEN(D1482)=14,"PJ",""))</f>
        <v/>
      </c>
      <c r="I1482" s="62"/>
      <c r="J1482" s="63" t="str">
        <f aca="false">IF(I1482&lt;&gt;"",VLOOKUP(I1482,'Legal Nature'!$E$2:$G$84,3,0),"")</f>
        <v/>
      </c>
      <c r="U1482" s="58" t="str">
        <f aca="false">IF( T1482&lt;&gt;"",VLOOKUP(T1482,Selects!$M$4:$N$1000,2,0),"")</f>
        <v/>
      </c>
      <c r="AD1482" s="72" t="str">
        <f aca="false">IF(AC1482&lt;&gt;"",VLOOKUP(AC1482,Selects!$B$4:$C$100,2,0),"")</f>
        <v/>
      </c>
      <c r="AH1482" s="65"/>
      <c r="AJ1482" s="66"/>
      <c r="AK1482" s="58"/>
      <c r="AM1482" s="68" t="str">
        <f aca="false">IF(LEFT(AL1482,1)="9","Celular",IF(AL1482="","","Fixo"))</f>
        <v/>
      </c>
      <c r="AN1482" s="58" t="str">
        <f aca="false">IF( AM1482&lt;&gt;"",VLOOKUP(AM1482,Selects!$M$4:$N$1000,2,0),"")</f>
        <v/>
      </c>
      <c r="BB1482" s="72" t="str">
        <f aca="false">IF(BA1482&lt;&gt;"",VLOOKUP(BA1482,Selects!$B$4:$C$100,2,0),"")</f>
        <v/>
      </c>
      <c r="BG1482" s="75" t="str">
        <f aca="false">IF(LEN(BF1482)=11,"PF",IF(LEN(BF1482)=14,"PJ",""))</f>
        <v/>
      </c>
      <c r="BH1482" s="66"/>
      <c r="BI1482" s="58" t="str">
        <f aca="false">IF(BH1482&lt;&gt;"",VLOOKUP(BH1482,Selects!$G:$H,2,0),"")</f>
        <v/>
      </c>
      <c r="CB1482" s="72" t="str">
        <f aca="false">IF(AC1482&lt;&gt;"",VLOOKUP(AC1482,Selects!$B:$E,4,0),"")</f>
        <v/>
      </c>
    </row>
    <row r="1483" customFormat="false" ht="15" hidden="true" customHeight="false" outlineLevel="0" collapsed="false">
      <c r="E1483" s="60" t="str">
        <f aca="false">IF(LEN(D1483)=11,"PF",IF(LEN(D1483)=14,"PJ",""))</f>
        <v/>
      </c>
      <c r="I1483" s="62"/>
      <c r="J1483" s="63" t="str">
        <f aca="false">IF(I1483&lt;&gt;"",VLOOKUP(I1483,'Legal Nature'!$E$2:$G$84,3,0),"")</f>
        <v/>
      </c>
      <c r="U1483" s="58" t="str">
        <f aca="false">IF( T1483&lt;&gt;"",VLOOKUP(T1483,Selects!$M$4:$N$1000,2,0),"")</f>
        <v/>
      </c>
      <c r="AD1483" s="72" t="str">
        <f aca="false">IF(AC1483&lt;&gt;"",VLOOKUP(AC1483,Selects!$B$4:$C$100,2,0),"")</f>
        <v/>
      </c>
      <c r="AH1483" s="65"/>
      <c r="AJ1483" s="66"/>
      <c r="AK1483" s="58"/>
      <c r="AM1483" s="68" t="str">
        <f aca="false">IF(LEFT(AL1483,1)="9","Celular",IF(AL1483="","","Fixo"))</f>
        <v/>
      </c>
      <c r="AN1483" s="58" t="str">
        <f aca="false">IF( AM1483&lt;&gt;"",VLOOKUP(AM1483,Selects!$M$4:$N$1000,2,0),"")</f>
        <v/>
      </c>
      <c r="BB1483" s="72" t="str">
        <f aca="false">IF(BA1483&lt;&gt;"",VLOOKUP(BA1483,Selects!$B$4:$C$100,2,0),"")</f>
        <v/>
      </c>
      <c r="BG1483" s="75" t="str">
        <f aca="false">IF(LEN(BF1483)=11,"PF",IF(LEN(BF1483)=14,"PJ",""))</f>
        <v/>
      </c>
      <c r="BH1483" s="66"/>
      <c r="BI1483" s="58" t="str">
        <f aca="false">IF(BH1483&lt;&gt;"",VLOOKUP(BH1483,Selects!$G:$H,2,0),"")</f>
        <v/>
      </c>
      <c r="CB1483" s="72" t="str">
        <f aca="false">IF(AC1483&lt;&gt;"",VLOOKUP(AC1483,Selects!$B:$E,4,0),"")</f>
        <v/>
      </c>
    </row>
    <row r="1484" customFormat="false" ht="15" hidden="true" customHeight="false" outlineLevel="0" collapsed="false">
      <c r="E1484" s="60" t="str">
        <f aca="false">IF(LEN(D1484)=11,"PF",IF(LEN(D1484)=14,"PJ",""))</f>
        <v/>
      </c>
      <c r="I1484" s="62"/>
      <c r="J1484" s="63" t="str">
        <f aca="false">IF(I1484&lt;&gt;"",VLOOKUP(I1484,'Legal Nature'!$E$2:$G$84,3,0),"")</f>
        <v/>
      </c>
      <c r="U1484" s="58" t="str">
        <f aca="false">IF( T1484&lt;&gt;"",VLOOKUP(T1484,Selects!$M$4:$N$1000,2,0),"")</f>
        <v/>
      </c>
      <c r="AD1484" s="72" t="str">
        <f aca="false">IF(AC1484&lt;&gt;"",VLOOKUP(AC1484,Selects!$B$4:$C$100,2,0),"")</f>
        <v/>
      </c>
      <c r="AH1484" s="65"/>
      <c r="AJ1484" s="66"/>
      <c r="AK1484" s="58"/>
      <c r="AM1484" s="68" t="str">
        <f aca="false">IF(LEFT(AL1484,1)="9","Celular",IF(AL1484="","","Fixo"))</f>
        <v/>
      </c>
      <c r="AN1484" s="58" t="str">
        <f aca="false">IF( AM1484&lt;&gt;"",VLOOKUP(AM1484,Selects!$M$4:$N$1000,2,0),"")</f>
        <v/>
      </c>
      <c r="BB1484" s="72" t="str">
        <f aca="false">IF(BA1484&lt;&gt;"",VLOOKUP(BA1484,Selects!$B$4:$C$100,2,0),"")</f>
        <v/>
      </c>
      <c r="BG1484" s="75" t="str">
        <f aca="false">IF(LEN(BF1484)=11,"PF",IF(LEN(BF1484)=14,"PJ",""))</f>
        <v/>
      </c>
      <c r="BH1484" s="66"/>
      <c r="BI1484" s="58" t="str">
        <f aca="false">IF(BH1484&lt;&gt;"",VLOOKUP(BH1484,Selects!$G:$H,2,0),"")</f>
        <v/>
      </c>
      <c r="CB1484" s="72" t="str">
        <f aca="false">IF(AC1484&lt;&gt;"",VLOOKUP(AC1484,Selects!$B:$E,4,0),"")</f>
        <v/>
      </c>
    </row>
    <row r="1485" customFormat="false" ht="15" hidden="true" customHeight="false" outlineLevel="0" collapsed="false">
      <c r="E1485" s="60" t="str">
        <f aca="false">IF(LEN(D1485)=11,"PF",IF(LEN(D1485)=14,"PJ",""))</f>
        <v/>
      </c>
      <c r="I1485" s="62"/>
      <c r="J1485" s="63" t="str">
        <f aca="false">IF(I1485&lt;&gt;"",VLOOKUP(I1485,'Legal Nature'!$E$2:$G$84,3,0),"")</f>
        <v/>
      </c>
      <c r="U1485" s="58" t="str">
        <f aca="false">IF( T1485&lt;&gt;"",VLOOKUP(T1485,Selects!$M$4:$N$1000,2,0),"")</f>
        <v/>
      </c>
      <c r="AD1485" s="72" t="str">
        <f aca="false">IF(AC1485&lt;&gt;"",VLOOKUP(AC1485,Selects!$B$4:$C$100,2,0),"")</f>
        <v/>
      </c>
      <c r="AH1485" s="65"/>
      <c r="AJ1485" s="66"/>
      <c r="AK1485" s="58"/>
      <c r="AM1485" s="68" t="str">
        <f aca="false">IF(LEFT(AL1485,1)="9","Celular",IF(AL1485="","","Fixo"))</f>
        <v/>
      </c>
      <c r="AN1485" s="58" t="str">
        <f aca="false">IF( AM1485&lt;&gt;"",VLOOKUP(AM1485,Selects!$M$4:$N$1000,2,0),"")</f>
        <v/>
      </c>
      <c r="BB1485" s="72" t="str">
        <f aca="false">IF(BA1485&lt;&gt;"",VLOOKUP(BA1485,Selects!$B$4:$C$100,2,0),"")</f>
        <v/>
      </c>
      <c r="BG1485" s="75" t="str">
        <f aca="false">IF(LEN(BF1485)=11,"PF",IF(LEN(BF1485)=14,"PJ",""))</f>
        <v/>
      </c>
      <c r="BH1485" s="66"/>
      <c r="BI1485" s="58" t="str">
        <f aca="false">IF(BH1485&lt;&gt;"",VLOOKUP(BH1485,Selects!$G:$H,2,0),"")</f>
        <v/>
      </c>
      <c r="CB1485" s="72" t="str">
        <f aca="false">IF(AC1485&lt;&gt;"",VLOOKUP(AC1485,Selects!$B:$E,4,0),"")</f>
        <v/>
      </c>
    </row>
    <row r="1486" customFormat="false" ht="15" hidden="true" customHeight="false" outlineLevel="0" collapsed="false">
      <c r="E1486" s="60" t="str">
        <f aca="false">IF(LEN(D1486)=11,"PF",IF(LEN(D1486)=14,"PJ",""))</f>
        <v/>
      </c>
      <c r="I1486" s="62"/>
      <c r="J1486" s="63" t="str">
        <f aca="false">IF(I1486&lt;&gt;"",VLOOKUP(I1486,'Legal Nature'!$E$2:$G$84,3,0),"")</f>
        <v/>
      </c>
      <c r="U1486" s="58" t="str">
        <f aca="false">IF( T1486&lt;&gt;"",VLOOKUP(T1486,Selects!$M$4:$N$1000,2,0),"")</f>
        <v/>
      </c>
      <c r="AD1486" s="72" t="str">
        <f aca="false">IF(AC1486&lt;&gt;"",VLOOKUP(AC1486,Selects!$B$4:$C$100,2,0),"")</f>
        <v/>
      </c>
      <c r="AH1486" s="65"/>
      <c r="AJ1486" s="66"/>
      <c r="AK1486" s="58"/>
      <c r="AM1486" s="68" t="str">
        <f aca="false">IF(LEFT(AL1486,1)="9","Celular",IF(AL1486="","","Fixo"))</f>
        <v/>
      </c>
      <c r="AN1486" s="58" t="str">
        <f aca="false">IF( AM1486&lt;&gt;"",VLOOKUP(AM1486,Selects!$M$4:$N$1000,2,0),"")</f>
        <v/>
      </c>
      <c r="BB1486" s="72" t="str">
        <f aca="false">IF(BA1486&lt;&gt;"",VLOOKUP(BA1486,Selects!$B$4:$C$100,2,0),"")</f>
        <v/>
      </c>
      <c r="BG1486" s="75" t="str">
        <f aca="false">IF(LEN(BF1486)=11,"PF",IF(LEN(BF1486)=14,"PJ",""))</f>
        <v/>
      </c>
      <c r="BH1486" s="66"/>
      <c r="BI1486" s="58" t="str">
        <f aca="false">IF(BH1486&lt;&gt;"",VLOOKUP(BH1486,Selects!$G:$H,2,0),"")</f>
        <v/>
      </c>
      <c r="CB1486" s="72" t="str">
        <f aca="false">IF(AC1486&lt;&gt;"",VLOOKUP(AC1486,Selects!$B:$E,4,0),"")</f>
        <v/>
      </c>
    </row>
    <row r="1487" customFormat="false" ht="15" hidden="true" customHeight="false" outlineLevel="0" collapsed="false">
      <c r="E1487" s="60" t="str">
        <f aca="false">IF(LEN(D1487)=11,"PF",IF(LEN(D1487)=14,"PJ",""))</f>
        <v/>
      </c>
      <c r="I1487" s="62"/>
      <c r="J1487" s="63" t="str">
        <f aca="false">IF(I1487&lt;&gt;"",VLOOKUP(I1487,'Legal Nature'!$E$2:$G$84,3,0),"")</f>
        <v/>
      </c>
      <c r="U1487" s="58" t="str">
        <f aca="false">IF( T1487&lt;&gt;"",VLOOKUP(T1487,Selects!$M$4:$N$1000,2,0),"")</f>
        <v/>
      </c>
      <c r="AD1487" s="72" t="str">
        <f aca="false">IF(AC1487&lt;&gt;"",VLOOKUP(AC1487,Selects!$B$4:$C$100,2,0),"")</f>
        <v/>
      </c>
      <c r="AH1487" s="65"/>
      <c r="AJ1487" s="66"/>
      <c r="AK1487" s="58"/>
      <c r="AM1487" s="68" t="str">
        <f aca="false">IF(LEFT(AL1487,1)="9","Celular",IF(AL1487="","","Fixo"))</f>
        <v/>
      </c>
      <c r="AN1487" s="58" t="str">
        <f aca="false">IF( AM1487&lt;&gt;"",VLOOKUP(AM1487,Selects!$M$4:$N$1000,2,0),"")</f>
        <v/>
      </c>
      <c r="BB1487" s="72" t="str">
        <f aca="false">IF(BA1487&lt;&gt;"",VLOOKUP(BA1487,Selects!$B$4:$C$100,2,0),"")</f>
        <v/>
      </c>
      <c r="BG1487" s="75" t="str">
        <f aca="false">IF(LEN(BF1487)=11,"PF",IF(LEN(BF1487)=14,"PJ",""))</f>
        <v/>
      </c>
      <c r="BH1487" s="66"/>
      <c r="BI1487" s="58" t="str">
        <f aca="false">IF(BH1487&lt;&gt;"",VLOOKUP(BH1487,Selects!$G:$H,2,0),"")</f>
        <v/>
      </c>
      <c r="CB1487" s="72" t="str">
        <f aca="false">IF(AC1487&lt;&gt;"",VLOOKUP(AC1487,Selects!$B:$E,4,0),"")</f>
        <v/>
      </c>
    </row>
    <row r="1488" customFormat="false" ht="15" hidden="true" customHeight="false" outlineLevel="0" collapsed="false">
      <c r="E1488" s="60" t="str">
        <f aca="false">IF(LEN(D1488)=11,"PF",IF(LEN(D1488)=14,"PJ",""))</f>
        <v/>
      </c>
      <c r="I1488" s="62"/>
      <c r="J1488" s="63" t="str">
        <f aca="false">IF(I1488&lt;&gt;"",VLOOKUP(I1488,'Legal Nature'!$E$2:$G$84,3,0),"")</f>
        <v/>
      </c>
      <c r="U1488" s="58" t="str">
        <f aca="false">IF( T1488&lt;&gt;"",VLOOKUP(T1488,Selects!$M$4:$N$1000,2,0),"")</f>
        <v/>
      </c>
      <c r="AD1488" s="72" t="str">
        <f aca="false">IF(AC1488&lt;&gt;"",VLOOKUP(AC1488,Selects!$B$4:$C$100,2,0),"")</f>
        <v/>
      </c>
      <c r="AH1488" s="65"/>
      <c r="AJ1488" s="66"/>
      <c r="AK1488" s="58"/>
      <c r="AM1488" s="68" t="str">
        <f aca="false">IF(LEFT(AL1488,1)="9","Celular",IF(AL1488="","","Fixo"))</f>
        <v/>
      </c>
      <c r="AN1488" s="58" t="str">
        <f aca="false">IF( AM1488&lt;&gt;"",VLOOKUP(AM1488,Selects!$M$4:$N$1000,2,0),"")</f>
        <v/>
      </c>
      <c r="BB1488" s="72" t="str">
        <f aca="false">IF(BA1488&lt;&gt;"",VLOOKUP(BA1488,Selects!$B$4:$C$100,2,0),"")</f>
        <v/>
      </c>
      <c r="BG1488" s="75" t="str">
        <f aca="false">IF(LEN(BF1488)=11,"PF",IF(LEN(BF1488)=14,"PJ",""))</f>
        <v/>
      </c>
      <c r="BH1488" s="66"/>
      <c r="BI1488" s="58" t="str">
        <f aca="false">IF(BH1488&lt;&gt;"",VLOOKUP(BH1488,Selects!$G:$H,2,0),"")</f>
        <v/>
      </c>
      <c r="CB1488" s="72" t="str">
        <f aca="false">IF(AC1488&lt;&gt;"",VLOOKUP(AC1488,Selects!$B:$E,4,0),"")</f>
        <v/>
      </c>
    </row>
    <row r="1489" customFormat="false" ht="15" hidden="true" customHeight="false" outlineLevel="0" collapsed="false">
      <c r="E1489" s="60" t="str">
        <f aca="false">IF(LEN(D1489)=11,"PF",IF(LEN(D1489)=14,"PJ",""))</f>
        <v/>
      </c>
      <c r="I1489" s="62"/>
      <c r="J1489" s="63" t="str">
        <f aca="false">IF(I1489&lt;&gt;"",VLOOKUP(I1489,'Legal Nature'!$E$2:$G$84,3,0),"")</f>
        <v/>
      </c>
      <c r="U1489" s="58" t="str">
        <f aca="false">IF( T1489&lt;&gt;"",VLOOKUP(T1489,Selects!$M$4:$N$1000,2,0),"")</f>
        <v/>
      </c>
      <c r="AD1489" s="72" t="str">
        <f aca="false">IF(AC1489&lt;&gt;"",VLOOKUP(AC1489,Selects!$B$4:$C$100,2,0),"")</f>
        <v/>
      </c>
      <c r="AH1489" s="65"/>
      <c r="AJ1489" s="66"/>
      <c r="AK1489" s="58"/>
      <c r="AM1489" s="68" t="str">
        <f aca="false">IF(LEFT(AL1489,1)="9","Celular",IF(AL1489="","","Fixo"))</f>
        <v/>
      </c>
      <c r="AN1489" s="58" t="str">
        <f aca="false">IF( AM1489&lt;&gt;"",VLOOKUP(AM1489,Selects!$M$4:$N$1000,2,0),"")</f>
        <v/>
      </c>
      <c r="BB1489" s="72" t="str">
        <f aca="false">IF(BA1489&lt;&gt;"",VLOOKUP(BA1489,Selects!$B$4:$C$100,2,0),"")</f>
        <v/>
      </c>
      <c r="BG1489" s="75" t="str">
        <f aca="false">IF(LEN(BF1489)=11,"PF",IF(LEN(BF1489)=14,"PJ",""))</f>
        <v/>
      </c>
      <c r="BH1489" s="66"/>
      <c r="BI1489" s="58" t="str">
        <f aca="false">IF(BH1489&lt;&gt;"",VLOOKUP(BH1489,Selects!$G:$H,2,0),"")</f>
        <v/>
      </c>
      <c r="CB1489" s="72" t="str">
        <f aca="false">IF(AC1489&lt;&gt;"",VLOOKUP(AC1489,Selects!$B:$E,4,0),"")</f>
        <v/>
      </c>
    </row>
    <row r="1490" customFormat="false" ht="15" hidden="true" customHeight="false" outlineLevel="0" collapsed="false">
      <c r="E1490" s="60" t="str">
        <f aca="false">IF(LEN(D1490)=11,"PF",IF(LEN(D1490)=14,"PJ",""))</f>
        <v/>
      </c>
      <c r="I1490" s="62"/>
      <c r="J1490" s="63" t="str">
        <f aca="false">IF(I1490&lt;&gt;"",VLOOKUP(I1490,'Legal Nature'!$E$2:$G$84,3,0),"")</f>
        <v/>
      </c>
      <c r="U1490" s="58" t="str">
        <f aca="false">IF( T1490&lt;&gt;"",VLOOKUP(T1490,Selects!$M$4:$N$1000,2,0),"")</f>
        <v/>
      </c>
      <c r="AD1490" s="72" t="str">
        <f aca="false">IF(AC1490&lt;&gt;"",VLOOKUP(AC1490,Selects!$B$4:$C$100,2,0),"")</f>
        <v/>
      </c>
      <c r="AH1490" s="65"/>
      <c r="AJ1490" s="66"/>
      <c r="AK1490" s="58"/>
      <c r="AM1490" s="68" t="str">
        <f aca="false">IF(LEFT(AL1490,1)="9","Celular",IF(AL1490="","","Fixo"))</f>
        <v/>
      </c>
      <c r="AN1490" s="58" t="str">
        <f aca="false">IF( AM1490&lt;&gt;"",VLOOKUP(AM1490,Selects!$M$4:$N$1000,2,0),"")</f>
        <v/>
      </c>
      <c r="BB1490" s="72" t="str">
        <f aca="false">IF(BA1490&lt;&gt;"",VLOOKUP(BA1490,Selects!$B$4:$C$100,2,0),"")</f>
        <v/>
      </c>
      <c r="BG1490" s="75" t="str">
        <f aca="false">IF(LEN(BF1490)=11,"PF",IF(LEN(BF1490)=14,"PJ",""))</f>
        <v/>
      </c>
      <c r="BH1490" s="66"/>
      <c r="BI1490" s="58" t="str">
        <f aca="false">IF(BH1490&lt;&gt;"",VLOOKUP(BH1490,Selects!$G:$H,2,0),"")</f>
        <v/>
      </c>
      <c r="CB1490" s="72" t="str">
        <f aca="false">IF(AC1490&lt;&gt;"",VLOOKUP(AC1490,Selects!$B:$E,4,0),"")</f>
        <v/>
      </c>
    </row>
    <row r="1491" customFormat="false" ht="15" hidden="true" customHeight="false" outlineLevel="0" collapsed="false">
      <c r="E1491" s="60" t="str">
        <f aca="false">IF(LEN(D1491)=11,"PF",IF(LEN(D1491)=14,"PJ",""))</f>
        <v/>
      </c>
      <c r="I1491" s="62"/>
      <c r="J1491" s="63" t="str">
        <f aca="false">IF(I1491&lt;&gt;"",VLOOKUP(I1491,'Legal Nature'!$E$2:$G$84,3,0),"")</f>
        <v/>
      </c>
      <c r="U1491" s="58" t="str">
        <f aca="false">IF( T1491&lt;&gt;"",VLOOKUP(T1491,Selects!$M$4:$N$1000,2,0),"")</f>
        <v/>
      </c>
      <c r="AD1491" s="72" t="str">
        <f aca="false">IF(AC1491&lt;&gt;"",VLOOKUP(AC1491,Selects!$B$4:$C$100,2,0),"")</f>
        <v/>
      </c>
      <c r="AH1491" s="65"/>
      <c r="AJ1491" s="66"/>
      <c r="AK1491" s="58"/>
      <c r="AM1491" s="68" t="str">
        <f aca="false">IF(LEFT(AL1491,1)="9","Celular",IF(AL1491="","","Fixo"))</f>
        <v/>
      </c>
      <c r="AN1491" s="58" t="str">
        <f aca="false">IF( AM1491&lt;&gt;"",VLOOKUP(AM1491,Selects!$M$4:$N$1000,2,0),"")</f>
        <v/>
      </c>
      <c r="BB1491" s="72" t="str">
        <f aca="false">IF(BA1491&lt;&gt;"",VLOOKUP(BA1491,Selects!$B$4:$C$100,2,0),"")</f>
        <v/>
      </c>
      <c r="BG1491" s="75" t="str">
        <f aca="false">IF(LEN(BF1491)=11,"PF",IF(LEN(BF1491)=14,"PJ",""))</f>
        <v/>
      </c>
      <c r="BH1491" s="66"/>
      <c r="BI1491" s="58" t="str">
        <f aca="false">IF(BH1491&lt;&gt;"",VLOOKUP(BH1491,Selects!$G:$H,2,0),"")</f>
        <v/>
      </c>
      <c r="CB1491" s="72" t="str">
        <f aca="false">IF(AC1491&lt;&gt;"",VLOOKUP(AC1491,Selects!$B:$E,4,0),"")</f>
        <v/>
      </c>
    </row>
    <row r="1492" customFormat="false" ht="15" hidden="true" customHeight="false" outlineLevel="0" collapsed="false">
      <c r="E1492" s="60" t="str">
        <f aca="false">IF(LEN(D1492)=11,"PF",IF(LEN(D1492)=14,"PJ",""))</f>
        <v/>
      </c>
      <c r="I1492" s="62"/>
      <c r="J1492" s="63" t="str">
        <f aca="false">IF(I1492&lt;&gt;"",VLOOKUP(I1492,'Legal Nature'!$E$2:$G$84,3,0),"")</f>
        <v/>
      </c>
      <c r="U1492" s="58" t="str">
        <f aca="false">IF( T1492&lt;&gt;"",VLOOKUP(T1492,Selects!$M$4:$N$1000,2,0),"")</f>
        <v/>
      </c>
      <c r="AD1492" s="72" t="str">
        <f aca="false">IF(AC1492&lt;&gt;"",VLOOKUP(AC1492,Selects!$B$4:$C$100,2,0),"")</f>
        <v/>
      </c>
      <c r="AH1492" s="65"/>
      <c r="AJ1492" s="66"/>
      <c r="AK1492" s="58"/>
      <c r="AM1492" s="68" t="str">
        <f aca="false">IF(LEFT(AL1492,1)="9","Celular",IF(AL1492="","","Fixo"))</f>
        <v/>
      </c>
      <c r="AN1492" s="58" t="str">
        <f aca="false">IF( AM1492&lt;&gt;"",VLOOKUP(AM1492,Selects!$M$4:$N$1000,2,0),"")</f>
        <v/>
      </c>
      <c r="BB1492" s="72" t="str">
        <f aca="false">IF(BA1492&lt;&gt;"",VLOOKUP(BA1492,Selects!$B$4:$C$100,2,0),"")</f>
        <v/>
      </c>
      <c r="BG1492" s="75" t="str">
        <f aca="false">IF(LEN(BF1492)=11,"PF",IF(LEN(BF1492)=14,"PJ",""))</f>
        <v/>
      </c>
      <c r="BH1492" s="66"/>
      <c r="BI1492" s="58" t="str">
        <f aca="false">IF(BH1492&lt;&gt;"",VLOOKUP(BH1492,Selects!$G:$H,2,0),"")</f>
        <v/>
      </c>
      <c r="CB1492" s="72" t="str">
        <f aca="false">IF(AC1492&lt;&gt;"",VLOOKUP(AC1492,Selects!$B:$E,4,0),"")</f>
        <v/>
      </c>
    </row>
    <row r="1493" customFormat="false" ht="15" hidden="true" customHeight="false" outlineLevel="0" collapsed="false">
      <c r="E1493" s="60" t="str">
        <f aca="false">IF(LEN(D1493)=11,"PF",IF(LEN(D1493)=14,"PJ",""))</f>
        <v/>
      </c>
      <c r="I1493" s="62"/>
      <c r="J1493" s="63" t="str">
        <f aca="false">IF(I1493&lt;&gt;"",VLOOKUP(I1493,'Legal Nature'!$E$2:$G$84,3,0),"")</f>
        <v/>
      </c>
      <c r="U1493" s="58" t="str">
        <f aca="false">IF( T1493&lt;&gt;"",VLOOKUP(T1493,Selects!$M$4:$N$1000,2,0),"")</f>
        <v/>
      </c>
      <c r="AD1493" s="72" t="str">
        <f aca="false">IF(AC1493&lt;&gt;"",VLOOKUP(AC1493,Selects!$B$4:$C$100,2,0),"")</f>
        <v/>
      </c>
      <c r="AH1493" s="65"/>
      <c r="AJ1493" s="66"/>
      <c r="AK1493" s="58"/>
      <c r="AM1493" s="68" t="str">
        <f aca="false">IF(LEFT(AL1493,1)="9","Celular",IF(AL1493="","","Fixo"))</f>
        <v/>
      </c>
      <c r="AN1493" s="58" t="str">
        <f aca="false">IF( AM1493&lt;&gt;"",VLOOKUP(AM1493,Selects!$M$4:$N$1000,2,0),"")</f>
        <v/>
      </c>
      <c r="BB1493" s="72" t="str">
        <f aca="false">IF(BA1493&lt;&gt;"",VLOOKUP(BA1493,Selects!$B$4:$C$100,2,0),"")</f>
        <v/>
      </c>
      <c r="BG1493" s="75" t="str">
        <f aca="false">IF(LEN(BF1493)=11,"PF",IF(LEN(BF1493)=14,"PJ",""))</f>
        <v/>
      </c>
      <c r="BH1493" s="66"/>
      <c r="BI1493" s="58" t="str">
        <f aca="false">IF(BH1493&lt;&gt;"",VLOOKUP(BH1493,Selects!$G:$H,2,0),"")</f>
        <v/>
      </c>
      <c r="CB1493" s="72" t="str">
        <f aca="false">IF(AC1493&lt;&gt;"",VLOOKUP(AC1493,Selects!$B:$E,4,0),"")</f>
        <v/>
      </c>
    </row>
    <row r="1494" customFormat="false" ht="15" hidden="true" customHeight="false" outlineLevel="0" collapsed="false">
      <c r="E1494" s="60" t="str">
        <f aca="false">IF(LEN(D1494)=11,"PF",IF(LEN(D1494)=14,"PJ",""))</f>
        <v/>
      </c>
      <c r="I1494" s="62"/>
      <c r="J1494" s="63" t="str">
        <f aca="false">IF(I1494&lt;&gt;"",VLOOKUP(I1494,'Legal Nature'!$E$2:$G$84,3,0),"")</f>
        <v/>
      </c>
      <c r="U1494" s="58" t="str">
        <f aca="false">IF( T1494&lt;&gt;"",VLOOKUP(T1494,Selects!$M$4:$N$1000,2,0),"")</f>
        <v/>
      </c>
      <c r="AD1494" s="72" t="str">
        <f aca="false">IF(AC1494&lt;&gt;"",VLOOKUP(AC1494,Selects!$B$4:$C$100,2,0),"")</f>
        <v/>
      </c>
      <c r="AH1494" s="65"/>
      <c r="AJ1494" s="66"/>
      <c r="AK1494" s="58"/>
      <c r="AM1494" s="68" t="str">
        <f aca="false">IF(LEFT(AL1494,1)="9","Celular",IF(AL1494="","","Fixo"))</f>
        <v/>
      </c>
      <c r="AN1494" s="58" t="str">
        <f aca="false">IF( AM1494&lt;&gt;"",VLOOKUP(AM1494,Selects!$M$4:$N$1000,2,0),"")</f>
        <v/>
      </c>
      <c r="BB1494" s="72" t="str">
        <f aca="false">IF(BA1494&lt;&gt;"",VLOOKUP(BA1494,Selects!$B$4:$C$100,2,0),"")</f>
        <v/>
      </c>
      <c r="BG1494" s="75" t="str">
        <f aca="false">IF(LEN(BF1494)=11,"PF",IF(LEN(BF1494)=14,"PJ",""))</f>
        <v/>
      </c>
      <c r="BH1494" s="66"/>
      <c r="BI1494" s="58" t="str">
        <f aca="false">IF(BH1494&lt;&gt;"",VLOOKUP(BH1494,Selects!$G:$H,2,0),"")</f>
        <v/>
      </c>
      <c r="CB1494" s="72" t="str">
        <f aca="false">IF(AC1494&lt;&gt;"",VLOOKUP(AC1494,Selects!$B:$E,4,0),"")</f>
        <v/>
      </c>
    </row>
    <row r="1495" customFormat="false" ht="15" hidden="true" customHeight="false" outlineLevel="0" collapsed="false">
      <c r="E1495" s="60" t="str">
        <f aca="false">IF(LEN(D1495)=11,"PF",IF(LEN(D1495)=14,"PJ",""))</f>
        <v/>
      </c>
      <c r="I1495" s="62"/>
      <c r="J1495" s="63" t="str">
        <f aca="false">IF(I1495&lt;&gt;"",VLOOKUP(I1495,'Legal Nature'!$E$2:$G$84,3,0),"")</f>
        <v/>
      </c>
      <c r="U1495" s="58" t="str">
        <f aca="false">IF( T1495&lt;&gt;"",VLOOKUP(T1495,Selects!$M$4:$N$1000,2,0),"")</f>
        <v/>
      </c>
      <c r="AD1495" s="72" t="str">
        <f aca="false">IF(AC1495&lt;&gt;"",VLOOKUP(AC1495,Selects!$B$4:$C$100,2,0),"")</f>
        <v/>
      </c>
      <c r="AH1495" s="65"/>
      <c r="AJ1495" s="66"/>
      <c r="AK1495" s="58"/>
      <c r="AM1495" s="68" t="str">
        <f aca="false">IF(LEFT(AL1495,1)="9","Celular",IF(AL1495="","","Fixo"))</f>
        <v/>
      </c>
      <c r="AN1495" s="58" t="str">
        <f aca="false">IF( AM1495&lt;&gt;"",VLOOKUP(AM1495,Selects!$M$4:$N$1000,2,0),"")</f>
        <v/>
      </c>
      <c r="BB1495" s="72" t="str">
        <f aca="false">IF(BA1495&lt;&gt;"",VLOOKUP(BA1495,Selects!$B$4:$C$100,2,0),"")</f>
        <v/>
      </c>
      <c r="BG1495" s="75" t="str">
        <f aca="false">IF(LEN(BF1495)=11,"PF",IF(LEN(BF1495)=14,"PJ",""))</f>
        <v/>
      </c>
      <c r="BH1495" s="66"/>
      <c r="BI1495" s="58" t="str">
        <f aca="false">IF(BH1495&lt;&gt;"",VLOOKUP(BH1495,Selects!$G:$H,2,0),"")</f>
        <v/>
      </c>
      <c r="CB1495" s="72" t="str">
        <f aca="false">IF(AC1495&lt;&gt;"",VLOOKUP(AC1495,Selects!$B:$E,4,0),"")</f>
        <v/>
      </c>
    </row>
    <row r="1496" customFormat="false" ht="15" hidden="true" customHeight="false" outlineLevel="0" collapsed="false">
      <c r="E1496" s="60" t="str">
        <f aca="false">IF(LEN(D1496)=11,"PF",IF(LEN(D1496)=14,"PJ",""))</f>
        <v/>
      </c>
      <c r="I1496" s="62"/>
      <c r="J1496" s="63" t="str">
        <f aca="false">IF(I1496&lt;&gt;"",VLOOKUP(I1496,'Legal Nature'!$E$2:$G$84,3,0),"")</f>
        <v/>
      </c>
      <c r="U1496" s="58" t="str">
        <f aca="false">IF( T1496&lt;&gt;"",VLOOKUP(T1496,Selects!$M$4:$N$1000,2,0),"")</f>
        <v/>
      </c>
      <c r="AD1496" s="72" t="str">
        <f aca="false">IF(AC1496&lt;&gt;"",VLOOKUP(AC1496,Selects!$B$4:$C$100,2,0),"")</f>
        <v/>
      </c>
      <c r="AH1496" s="65"/>
      <c r="AJ1496" s="66"/>
      <c r="AK1496" s="58"/>
      <c r="AM1496" s="68" t="str">
        <f aca="false">IF(LEFT(AL1496,1)="9","Celular",IF(AL1496="","","Fixo"))</f>
        <v/>
      </c>
      <c r="AN1496" s="58" t="str">
        <f aca="false">IF( AM1496&lt;&gt;"",VLOOKUP(AM1496,Selects!$M$4:$N$1000,2,0),"")</f>
        <v/>
      </c>
      <c r="BB1496" s="72" t="str">
        <f aca="false">IF(BA1496&lt;&gt;"",VLOOKUP(BA1496,Selects!$B$4:$C$100,2,0),"")</f>
        <v/>
      </c>
      <c r="BG1496" s="75" t="str">
        <f aca="false">IF(LEN(BF1496)=11,"PF",IF(LEN(BF1496)=14,"PJ",""))</f>
        <v/>
      </c>
      <c r="BH1496" s="66"/>
      <c r="BI1496" s="58" t="str">
        <f aca="false">IF(BH1496&lt;&gt;"",VLOOKUP(BH1496,Selects!$G:$H,2,0),"")</f>
        <v/>
      </c>
      <c r="CB1496" s="72" t="str">
        <f aca="false">IF(AC1496&lt;&gt;"",VLOOKUP(AC1496,Selects!$B:$E,4,0),"")</f>
        <v/>
      </c>
    </row>
    <row r="1497" customFormat="false" ht="15" hidden="true" customHeight="false" outlineLevel="0" collapsed="false">
      <c r="E1497" s="60" t="str">
        <f aca="false">IF(LEN(D1497)=11,"PF",IF(LEN(D1497)=14,"PJ",""))</f>
        <v/>
      </c>
      <c r="I1497" s="62"/>
      <c r="J1497" s="63" t="str">
        <f aca="false">IF(I1497&lt;&gt;"",VLOOKUP(I1497,'Legal Nature'!$E$2:$G$84,3,0),"")</f>
        <v/>
      </c>
      <c r="U1497" s="58" t="str">
        <f aca="false">IF( T1497&lt;&gt;"",VLOOKUP(T1497,Selects!$M$4:$N$1000,2,0),"")</f>
        <v/>
      </c>
      <c r="AD1497" s="72" t="str">
        <f aca="false">IF(AC1497&lt;&gt;"",VLOOKUP(AC1497,Selects!$B$4:$C$100,2,0),"")</f>
        <v/>
      </c>
      <c r="AH1497" s="65"/>
      <c r="AJ1497" s="66"/>
      <c r="AK1497" s="58"/>
      <c r="AM1497" s="68" t="str">
        <f aca="false">IF(LEFT(AL1497,1)="9","Celular",IF(AL1497="","","Fixo"))</f>
        <v/>
      </c>
      <c r="AN1497" s="58" t="str">
        <f aca="false">IF( AM1497&lt;&gt;"",VLOOKUP(AM1497,Selects!$M$4:$N$1000,2,0),"")</f>
        <v/>
      </c>
      <c r="BB1497" s="72" t="str">
        <f aca="false">IF(BA1497&lt;&gt;"",VLOOKUP(BA1497,Selects!$B$4:$C$100,2,0),"")</f>
        <v/>
      </c>
      <c r="BG1497" s="75" t="str">
        <f aca="false">IF(LEN(BF1497)=11,"PF",IF(LEN(BF1497)=14,"PJ",""))</f>
        <v/>
      </c>
      <c r="BH1497" s="66"/>
      <c r="BI1497" s="58" t="str">
        <f aca="false">IF(BH1497&lt;&gt;"",VLOOKUP(BH1497,Selects!$G:$H,2,0),"")</f>
        <v/>
      </c>
      <c r="CB1497" s="72" t="str">
        <f aca="false">IF(AC1497&lt;&gt;"",VLOOKUP(AC1497,Selects!$B:$E,4,0),"")</f>
        <v/>
      </c>
    </row>
    <row r="1498" customFormat="false" ht="15" hidden="true" customHeight="false" outlineLevel="0" collapsed="false">
      <c r="E1498" s="60" t="str">
        <f aca="false">IF(LEN(D1498)=11,"PF",IF(LEN(D1498)=14,"PJ",""))</f>
        <v/>
      </c>
      <c r="I1498" s="62"/>
      <c r="J1498" s="63" t="str">
        <f aca="false">IF(I1498&lt;&gt;"",VLOOKUP(I1498,'Legal Nature'!$E$2:$G$84,3,0),"")</f>
        <v/>
      </c>
      <c r="U1498" s="58" t="str">
        <f aca="false">IF( T1498&lt;&gt;"",VLOOKUP(T1498,Selects!$M$4:$N$1000,2,0),"")</f>
        <v/>
      </c>
      <c r="AD1498" s="72" t="str">
        <f aca="false">IF(AC1498&lt;&gt;"",VLOOKUP(AC1498,Selects!$B$4:$C$100,2,0),"")</f>
        <v/>
      </c>
      <c r="AH1498" s="65"/>
      <c r="AJ1498" s="66"/>
      <c r="AK1498" s="58"/>
      <c r="AM1498" s="68" t="str">
        <f aca="false">IF(LEFT(AL1498,1)="9","Celular",IF(AL1498="","","Fixo"))</f>
        <v/>
      </c>
      <c r="AN1498" s="58" t="str">
        <f aca="false">IF( AM1498&lt;&gt;"",VLOOKUP(AM1498,Selects!$M$4:$N$1000,2,0),"")</f>
        <v/>
      </c>
      <c r="BB1498" s="72" t="str">
        <f aca="false">IF(BA1498&lt;&gt;"",VLOOKUP(BA1498,Selects!$B$4:$C$100,2,0),"")</f>
        <v/>
      </c>
      <c r="BG1498" s="75" t="str">
        <f aca="false">IF(LEN(BF1498)=11,"PF",IF(LEN(BF1498)=14,"PJ",""))</f>
        <v/>
      </c>
      <c r="BH1498" s="66"/>
      <c r="BI1498" s="58" t="str">
        <f aca="false">IF(BH1498&lt;&gt;"",VLOOKUP(BH1498,Selects!$G:$H,2,0),"")</f>
        <v/>
      </c>
      <c r="CB1498" s="72" t="str">
        <f aca="false">IF(AC1498&lt;&gt;"",VLOOKUP(AC1498,Selects!$B:$E,4,0),"")</f>
        <v/>
      </c>
    </row>
    <row r="1499" customFormat="false" ht="15" hidden="true" customHeight="false" outlineLevel="0" collapsed="false">
      <c r="E1499" s="60" t="str">
        <f aca="false">IF(LEN(D1499)=11,"PF",IF(LEN(D1499)=14,"PJ",""))</f>
        <v/>
      </c>
      <c r="I1499" s="62"/>
      <c r="J1499" s="63" t="str">
        <f aca="false">IF(I1499&lt;&gt;"",VLOOKUP(I1499,'Legal Nature'!$E$2:$G$84,3,0),"")</f>
        <v/>
      </c>
      <c r="U1499" s="58" t="str">
        <f aca="false">IF( T1499&lt;&gt;"",VLOOKUP(T1499,Selects!$M$4:$N$1000,2,0),"")</f>
        <v/>
      </c>
      <c r="AD1499" s="72" t="str">
        <f aca="false">IF(AC1499&lt;&gt;"",VLOOKUP(AC1499,Selects!$B$4:$C$100,2,0),"")</f>
        <v/>
      </c>
      <c r="AH1499" s="65"/>
      <c r="AJ1499" s="66"/>
      <c r="AK1499" s="58"/>
      <c r="AM1499" s="68" t="str">
        <f aca="false">IF(LEFT(AL1499,1)="9","Celular",IF(AL1499="","","Fixo"))</f>
        <v/>
      </c>
      <c r="AN1499" s="58" t="str">
        <f aca="false">IF( AM1499&lt;&gt;"",VLOOKUP(AM1499,Selects!$M$4:$N$1000,2,0),"")</f>
        <v/>
      </c>
      <c r="BB1499" s="72" t="str">
        <f aca="false">IF(BA1499&lt;&gt;"",VLOOKUP(BA1499,Selects!$B$4:$C$100,2,0),"")</f>
        <v/>
      </c>
      <c r="BG1499" s="75" t="str">
        <f aca="false">IF(LEN(BF1499)=11,"PF",IF(LEN(BF1499)=14,"PJ",""))</f>
        <v/>
      </c>
      <c r="BH1499" s="66"/>
      <c r="BI1499" s="58" t="str">
        <f aca="false">IF(BH1499&lt;&gt;"",VLOOKUP(BH1499,Selects!$G:$H,2,0),"")</f>
        <v/>
      </c>
      <c r="CB1499" s="72" t="str">
        <f aca="false">IF(AC1499&lt;&gt;"",VLOOKUP(AC1499,Selects!$B:$E,4,0),"")</f>
        <v/>
      </c>
    </row>
    <row r="1500" customFormat="false" ht="15" hidden="true" customHeight="false" outlineLevel="0" collapsed="false">
      <c r="E1500" s="60" t="str">
        <f aca="false">IF(LEN(D1500)=11,"PF",IF(LEN(D1500)=14,"PJ",""))</f>
        <v/>
      </c>
      <c r="I1500" s="62"/>
      <c r="J1500" s="63" t="str">
        <f aca="false">IF(I1500&lt;&gt;"",VLOOKUP(I1500,'Legal Nature'!$E$2:$G$84,3,0),"")</f>
        <v/>
      </c>
      <c r="U1500" s="58" t="str">
        <f aca="false">IF( T1500&lt;&gt;"",VLOOKUP(T1500,Selects!$M$4:$N$1000,2,0),"")</f>
        <v/>
      </c>
      <c r="AD1500" s="72" t="str">
        <f aca="false">IF(AC1500&lt;&gt;"",VLOOKUP(AC1500,Selects!$B$4:$C$100,2,0),"")</f>
        <v/>
      </c>
      <c r="AH1500" s="65"/>
      <c r="AJ1500" s="66"/>
      <c r="AK1500" s="58"/>
      <c r="AM1500" s="68" t="str">
        <f aca="false">IF(LEFT(AL1500,1)="9","Celular",IF(AL1500="","","Fixo"))</f>
        <v/>
      </c>
      <c r="AN1500" s="58" t="str">
        <f aca="false">IF( AM1500&lt;&gt;"",VLOOKUP(AM1500,Selects!$M$4:$N$1000,2,0),"")</f>
        <v/>
      </c>
      <c r="BB1500" s="72" t="str">
        <f aca="false">IF(BA1500&lt;&gt;"",VLOOKUP(BA1500,Selects!$B$4:$C$100,2,0),"")</f>
        <v/>
      </c>
      <c r="BG1500" s="75" t="str">
        <f aca="false">IF(LEN(BF1500)=11,"PF",IF(LEN(BF1500)=14,"PJ",""))</f>
        <v/>
      </c>
      <c r="BH1500" s="66"/>
      <c r="BI1500" s="58" t="str">
        <f aca="false">IF(BH1500&lt;&gt;"",VLOOKUP(BH1500,Selects!$G:$H,2,0),"")</f>
        <v/>
      </c>
      <c r="CB1500" s="72" t="str">
        <f aca="false">IF(AC1500&lt;&gt;"",VLOOKUP(AC1500,Selects!$B:$E,4,0),"")</f>
        <v/>
      </c>
    </row>
    <row r="1501" customFormat="false" ht="15" hidden="true" customHeight="false" outlineLevel="0" collapsed="false">
      <c r="E1501" s="60" t="str">
        <f aca="false">IF(LEN(D1501)=11,"PF",IF(LEN(D1501)=14,"PJ",""))</f>
        <v/>
      </c>
      <c r="I1501" s="62"/>
      <c r="J1501" s="63" t="str">
        <f aca="false">IF(I1501&lt;&gt;"",VLOOKUP(I1501,'Legal Nature'!$E$2:$G$84,3,0),"")</f>
        <v/>
      </c>
      <c r="U1501" s="58" t="str">
        <f aca="false">IF( T1501&lt;&gt;"",VLOOKUP(T1501,Selects!$M$4:$N$1000,2,0),"")</f>
        <v/>
      </c>
      <c r="AD1501" s="72" t="str">
        <f aca="false">IF(AC1501&lt;&gt;"",VLOOKUP(AC1501,Selects!$B$4:$C$100,2,0),"")</f>
        <v/>
      </c>
      <c r="AH1501" s="65"/>
      <c r="AJ1501" s="66"/>
      <c r="AK1501" s="58"/>
      <c r="AM1501" s="68" t="str">
        <f aca="false">IF(LEFT(AL1501,1)="9","Celular",IF(AL1501="","","Fixo"))</f>
        <v/>
      </c>
      <c r="AN1501" s="58" t="str">
        <f aca="false">IF( AM1501&lt;&gt;"",VLOOKUP(AM1501,Selects!$M$4:$N$1000,2,0),"")</f>
        <v/>
      </c>
      <c r="BB1501" s="72" t="str">
        <f aca="false">IF(BA1501&lt;&gt;"",VLOOKUP(BA1501,Selects!$B$4:$C$100,2,0),"")</f>
        <v/>
      </c>
      <c r="BG1501" s="75" t="str">
        <f aca="false">IF(LEN(BF1501)=11,"PF",IF(LEN(BF1501)=14,"PJ",""))</f>
        <v/>
      </c>
      <c r="BH1501" s="66"/>
      <c r="BI1501" s="58" t="str">
        <f aca="false">IF(BH1501&lt;&gt;"",VLOOKUP(BH1501,Selects!$G:$H,2,0),"")</f>
        <v/>
      </c>
      <c r="CB1501" s="72" t="str">
        <f aca="false">IF(AC1501&lt;&gt;"",VLOOKUP(AC1501,Selects!$B:$E,4,0),"")</f>
        <v/>
      </c>
    </row>
    <row r="1502" customFormat="false" ht="15" hidden="true" customHeight="false" outlineLevel="0" collapsed="false">
      <c r="E1502" s="60" t="str">
        <f aca="false">IF(LEN(D1502)=11,"PF",IF(LEN(D1502)=14,"PJ",""))</f>
        <v/>
      </c>
      <c r="I1502" s="62"/>
      <c r="J1502" s="63" t="str">
        <f aca="false">IF(I1502&lt;&gt;"",VLOOKUP(I1502,'Legal Nature'!$E$2:$G$84,3,0),"")</f>
        <v/>
      </c>
      <c r="U1502" s="58" t="str">
        <f aca="false">IF( T1502&lt;&gt;"",VLOOKUP(T1502,Selects!$M$4:$N$1000,2,0),"")</f>
        <v/>
      </c>
      <c r="AD1502" s="72" t="str">
        <f aca="false">IF(AC1502&lt;&gt;"",VLOOKUP(AC1502,Selects!$B$4:$C$100,2,0),"")</f>
        <v/>
      </c>
      <c r="AH1502" s="65"/>
      <c r="AJ1502" s="66"/>
      <c r="AK1502" s="58"/>
      <c r="AM1502" s="68" t="str">
        <f aca="false">IF(LEFT(AL1502,1)="9","Celular",IF(AL1502="","","Fixo"))</f>
        <v/>
      </c>
      <c r="AN1502" s="58" t="str">
        <f aca="false">IF( AM1502&lt;&gt;"",VLOOKUP(AM1502,Selects!$M$4:$N$1000,2,0),"")</f>
        <v/>
      </c>
      <c r="BB1502" s="72" t="str">
        <f aca="false">IF(BA1502&lt;&gt;"",VLOOKUP(BA1502,Selects!$B$4:$C$100,2,0),"")</f>
        <v/>
      </c>
      <c r="BG1502" s="75" t="str">
        <f aca="false">IF(LEN(BF1502)=11,"PF",IF(LEN(BF1502)=14,"PJ",""))</f>
        <v/>
      </c>
      <c r="BH1502" s="66"/>
      <c r="BI1502" s="58" t="str">
        <f aca="false">IF(BH1502&lt;&gt;"",VLOOKUP(BH1502,Selects!$G:$H,2,0),"")</f>
        <v/>
      </c>
      <c r="CB1502" s="72" t="str">
        <f aca="false">IF(AC1502&lt;&gt;"",VLOOKUP(AC1502,Selects!$B:$E,4,0),"")</f>
        <v/>
      </c>
    </row>
    <row r="1503" customFormat="false" ht="15" hidden="true" customHeight="false" outlineLevel="0" collapsed="false">
      <c r="E1503" s="60" t="str">
        <f aca="false">IF(LEN(D1503)=11,"PF",IF(LEN(D1503)=14,"PJ",""))</f>
        <v/>
      </c>
      <c r="I1503" s="62"/>
      <c r="J1503" s="63" t="str">
        <f aca="false">IF(I1503&lt;&gt;"",VLOOKUP(I1503,'Legal Nature'!$E$2:$G$84,3,0),"")</f>
        <v/>
      </c>
      <c r="U1503" s="58" t="str">
        <f aca="false">IF( T1503&lt;&gt;"",VLOOKUP(T1503,Selects!$M$4:$N$1000,2,0),"")</f>
        <v/>
      </c>
      <c r="AD1503" s="72" t="str">
        <f aca="false">IF(AC1503&lt;&gt;"",VLOOKUP(AC1503,Selects!$B$4:$C$100,2,0),"")</f>
        <v/>
      </c>
      <c r="AH1503" s="65"/>
      <c r="AJ1503" s="66"/>
      <c r="AK1503" s="58"/>
      <c r="AM1503" s="68" t="str">
        <f aca="false">IF(LEFT(AL1503,1)="9","Celular",IF(AL1503="","","Fixo"))</f>
        <v/>
      </c>
      <c r="AN1503" s="58" t="str">
        <f aca="false">IF( AM1503&lt;&gt;"",VLOOKUP(AM1503,Selects!$M$4:$N$1000,2,0),"")</f>
        <v/>
      </c>
      <c r="BB1503" s="72" t="str">
        <f aca="false">IF(BA1503&lt;&gt;"",VLOOKUP(BA1503,Selects!$B$4:$C$100,2,0),"")</f>
        <v/>
      </c>
      <c r="BG1503" s="75" t="str">
        <f aca="false">IF(LEN(BF1503)=11,"PF",IF(LEN(BF1503)=14,"PJ",""))</f>
        <v/>
      </c>
      <c r="BH1503" s="66"/>
      <c r="BI1503" s="58" t="str">
        <f aca="false">IF(BH1503&lt;&gt;"",VLOOKUP(BH1503,Selects!$G:$H,2,0),"")</f>
        <v/>
      </c>
      <c r="CB1503" s="72" t="str">
        <f aca="false">IF(AC1503&lt;&gt;"",VLOOKUP(AC1503,Selects!$B:$E,4,0),"")</f>
        <v/>
      </c>
    </row>
    <row r="1504" customFormat="false" ht="15" hidden="true" customHeight="false" outlineLevel="0" collapsed="false">
      <c r="E1504" s="60" t="str">
        <f aca="false">IF(LEN(D1504)=11,"PF",IF(LEN(D1504)=14,"PJ",""))</f>
        <v/>
      </c>
      <c r="I1504" s="62"/>
      <c r="J1504" s="63" t="str">
        <f aca="false">IF(I1504&lt;&gt;"",VLOOKUP(I1504,'Legal Nature'!$E$2:$G$84,3,0),"")</f>
        <v/>
      </c>
      <c r="U1504" s="58" t="str">
        <f aca="false">IF( T1504&lt;&gt;"",VLOOKUP(T1504,Selects!$M$4:$N$1000,2,0),"")</f>
        <v/>
      </c>
      <c r="AD1504" s="72" t="str">
        <f aca="false">IF(AC1504&lt;&gt;"",VLOOKUP(AC1504,Selects!$B$4:$C$100,2,0),"")</f>
        <v/>
      </c>
      <c r="AH1504" s="65"/>
      <c r="AJ1504" s="66"/>
      <c r="AK1504" s="58"/>
      <c r="AM1504" s="68" t="str">
        <f aca="false">IF(LEFT(AL1504,1)="9","Celular",IF(AL1504="","","Fixo"))</f>
        <v/>
      </c>
      <c r="AN1504" s="58" t="str">
        <f aca="false">IF( AM1504&lt;&gt;"",VLOOKUP(AM1504,Selects!$M$4:$N$1000,2,0),"")</f>
        <v/>
      </c>
      <c r="BB1504" s="72" t="str">
        <f aca="false">IF(BA1504&lt;&gt;"",VLOOKUP(BA1504,Selects!$B$4:$C$100,2,0),"")</f>
        <v/>
      </c>
      <c r="BG1504" s="75" t="str">
        <f aca="false">IF(LEN(BF1504)=11,"PF",IF(LEN(BF1504)=14,"PJ",""))</f>
        <v/>
      </c>
      <c r="BH1504" s="66"/>
      <c r="BI1504" s="58" t="str">
        <f aca="false">IF(BH1504&lt;&gt;"",VLOOKUP(BH1504,Selects!$G:$H,2,0),"")</f>
        <v/>
      </c>
      <c r="CB1504" s="72" t="str">
        <f aca="false">IF(AC1504&lt;&gt;"",VLOOKUP(AC1504,Selects!$B:$E,4,0),"")</f>
        <v/>
      </c>
    </row>
    <row r="1505" customFormat="false" ht="15" hidden="true" customHeight="false" outlineLevel="0" collapsed="false">
      <c r="E1505" s="60" t="str">
        <f aca="false">IF(LEN(D1505)=11,"PF",IF(LEN(D1505)=14,"PJ",""))</f>
        <v/>
      </c>
      <c r="I1505" s="62"/>
      <c r="J1505" s="63" t="str">
        <f aca="false">IF(I1505&lt;&gt;"",VLOOKUP(I1505,'Legal Nature'!$E$2:$G$84,3,0),"")</f>
        <v/>
      </c>
      <c r="U1505" s="58" t="str">
        <f aca="false">IF( T1505&lt;&gt;"",VLOOKUP(T1505,Selects!$M$4:$N$1000,2,0),"")</f>
        <v/>
      </c>
      <c r="AD1505" s="72" t="str">
        <f aca="false">IF(AC1505&lt;&gt;"",VLOOKUP(AC1505,Selects!$B$4:$C$100,2,0),"")</f>
        <v/>
      </c>
      <c r="AH1505" s="65"/>
      <c r="AJ1505" s="66"/>
      <c r="AK1505" s="58"/>
      <c r="AM1505" s="68" t="str">
        <f aca="false">IF(LEFT(AL1505,1)="9","Celular",IF(AL1505="","","Fixo"))</f>
        <v/>
      </c>
      <c r="AN1505" s="58" t="str">
        <f aca="false">IF( AM1505&lt;&gt;"",VLOOKUP(AM1505,Selects!$M$4:$N$1000,2,0),"")</f>
        <v/>
      </c>
      <c r="BB1505" s="72" t="str">
        <f aca="false">IF(BA1505&lt;&gt;"",VLOOKUP(BA1505,Selects!$B$4:$C$100,2,0),"")</f>
        <v/>
      </c>
      <c r="BG1505" s="75" t="str">
        <f aca="false">IF(LEN(BF1505)=11,"PF",IF(LEN(BF1505)=14,"PJ",""))</f>
        <v/>
      </c>
      <c r="BH1505" s="66"/>
      <c r="BI1505" s="58" t="str">
        <f aca="false">IF(BH1505&lt;&gt;"",VLOOKUP(BH1505,Selects!$G:$H,2,0),"")</f>
        <v/>
      </c>
      <c r="CB1505" s="72" t="str">
        <f aca="false">IF(AC1505&lt;&gt;"",VLOOKUP(AC1505,Selects!$B:$E,4,0),"")</f>
        <v/>
      </c>
    </row>
    <row r="1506" customFormat="false" ht="15" hidden="true" customHeight="false" outlineLevel="0" collapsed="false">
      <c r="E1506" s="60" t="str">
        <f aca="false">IF(LEN(D1506)=11,"PF",IF(LEN(D1506)=14,"PJ",""))</f>
        <v/>
      </c>
      <c r="I1506" s="62"/>
      <c r="J1506" s="63" t="str">
        <f aca="false">IF(I1506&lt;&gt;"",VLOOKUP(I1506,'Legal Nature'!$E$2:$G$84,3,0),"")</f>
        <v/>
      </c>
      <c r="U1506" s="58" t="str">
        <f aca="false">IF( T1506&lt;&gt;"",VLOOKUP(T1506,Selects!$M$4:$N$1000,2,0),"")</f>
        <v/>
      </c>
      <c r="AD1506" s="72" t="str">
        <f aca="false">IF(AC1506&lt;&gt;"",VLOOKUP(AC1506,Selects!$B$4:$C$100,2,0),"")</f>
        <v/>
      </c>
      <c r="AH1506" s="65"/>
      <c r="AJ1506" s="66"/>
      <c r="AK1506" s="58"/>
      <c r="AM1506" s="68" t="str">
        <f aca="false">IF(LEFT(AL1506,1)="9","Celular",IF(AL1506="","","Fixo"))</f>
        <v/>
      </c>
      <c r="AN1506" s="58" t="str">
        <f aca="false">IF( AM1506&lt;&gt;"",VLOOKUP(AM1506,Selects!$M$4:$N$1000,2,0),"")</f>
        <v/>
      </c>
      <c r="BB1506" s="72" t="str">
        <f aca="false">IF(BA1506&lt;&gt;"",VLOOKUP(BA1506,Selects!$B$4:$C$100,2,0),"")</f>
        <v/>
      </c>
      <c r="BG1506" s="75" t="str">
        <f aca="false">IF(LEN(BF1506)=11,"PF",IF(LEN(BF1506)=14,"PJ",""))</f>
        <v/>
      </c>
      <c r="BH1506" s="66"/>
      <c r="BI1506" s="58" t="str">
        <f aca="false">IF(BH1506&lt;&gt;"",VLOOKUP(BH1506,Selects!$G:$H,2,0),"")</f>
        <v/>
      </c>
      <c r="CB1506" s="72" t="str">
        <f aca="false">IF(AC1506&lt;&gt;"",VLOOKUP(AC1506,Selects!$B:$E,4,0),"")</f>
        <v/>
      </c>
    </row>
    <row r="1507" customFormat="false" ht="15" hidden="true" customHeight="false" outlineLevel="0" collapsed="false">
      <c r="E1507" s="60" t="str">
        <f aca="false">IF(LEN(D1507)=11,"PF",IF(LEN(D1507)=14,"PJ",""))</f>
        <v/>
      </c>
      <c r="I1507" s="62"/>
      <c r="J1507" s="63" t="str">
        <f aca="false">IF(I1507&lt;&gt;"",VLOOKUP(I1507,'Legal Nature'!$E$2:$G$84,3,0),"")</f>
        <v/>
      </c>
      <c r="U1507" s="58" t="str">
        <f aca="false">IF( T1507&lt;&gt;"",VLOOKUP(T1507,Selects!$M$4:$N$1000,2,0),"")</f>
        <v/>
      </c>
      <c r="AD1507" s="72" t="str">
        <f aca="false">IF(AC1507&lt;&gt;"",VLOOKUP(AC1507,Selects!$B$4:$C$100,2,0),"")</f>
        <v/>
      </c>
      <c r="AH1507" s="65"/>
      <c r="AJ1507" s="66"/>
      <c r="AK1507" s="58"/>
      <c r="AM1507" s="68" t="str">
        <f aca="false">IF(LEFT(AL1507,1)="9","Celular",IF(AL1507="","","Fixo"))</f>
        <v/>
      </c>
      <c r="AN1507" s="58" t="str">
        <f aca="false">IF( AM1507&lt;&gt;"",VLOOKUP(AM1507,Selects!$M$4:$N$1000,2,0),"")</f>
        <v/>
      </c>
      <c r="BB1507" s="72" t="str">
        <f aca="false">IF(BA1507&lt;&gt;"",VLOOKUP(BA1507,Selects!$B$4:$C$100,2,0),"")</f>
        <v/>
      </c>
      <c r="BG1507" s="75" t="str">
        <f aca="false">IF(LEN(BF1507)=11,"PF",IF(LEN(BF1507)=14,"PJ",""))</f>
        <v/>
      </c>
      <c r="BH1507" s="66"/>
      <c r="BI1507" s="58" t="str">
        <f aca="false">IF(BH1507&lt;&gt;"",VLOOKUP(BH1507,Selects!$G:$H,2,0),"")</f>
        <v/>
      </c>
      <c r="CB1507" s="72" t="str">
        <f aca="false">IF(AC1507&lt;&gt;"",VLOOKUP(AC1507,Selects!$B:$E,4,0),"")</f>
        <v/>
      </c>
    </row>
    <row r="1508" customFormat="false" ht="15" hidden="true" customHeight="false" outlineLevel="0" collapsed="false">
      <c r="E1508" s="60" t="str">
        <f aca="false">IF(LEN(D1508)=11,"PF",IF(LEN(D1508)=14,"PJ",""))</f>
        <v/>
      </c>
      <c r="I1508" s="62"/>
      <c r="J1508" s="63" t="str">
        <f aca="false">IF(I1508&lt;&gt;"",VLOOKUP(I1508,'Legal Nature'!$E$2:$G$84,3,0),"")</f>
        <v/>
      </c>
      <c r="U1508" s="58" t="str">
        <f aca="false">IF( T1508&lt;&gt;"",VLOOKUP(T1508,Selects!$M$4:$N$1000,2,0),"")</f>
        <v/>
      </c>
      <c r="AD1508" s="72" t="str">
        <f aca="false">IF(AC1508&lt;&gt;"",VLOOKUP(AC1508,Selects!$B$4:$C$100,2,0),"")</f>
        <v/>
      </c>
      <c r="AH1508" s="65"/>
      <c r="AJ1508" s="66"/>
      <c r="AK1508" s="58"/>
      <c r="AM1508" s="68" t="str">
        <f aca="false">IF(LEFT(AL1508,1)="9","Celular",IF(AL1508="","","Fixo"))</f>
        <v/>
      </c>
      <c r="AN1508" s="58" t="str">
        <f aca="false">IF( AM1508&lt;&gt;"",VLOOKUP(AM1508,Selects!$M$4:$N$1000,2,0),"")</f>
        <v/>
      </c>
      <c r="BB1508" s="72" t="str">
        <f aca="false">IF(BA1508&lt;&gt;"",VLOOKUP(BA1508,Selects!$B$4:$C$100,2,0),"")</f>
        <v/>
      </c>
      <c r="BG1508" s="75" t="str">
        <f aca="false">IF(LEN(BF1508)=11,"PF",IF(LEN(BF1508)=14,"PJ",""))</f>
        <v/>
      </c>
      <c r="BH1508" s="66"/>
      <c r="BI1508" s="58" t="str">
        <f aca="false">IF(BH1508&lt;&gt;"",VLOOKUP(BH1508,Selects!$G:$H,2,0),"")</f>
        <v/>
      </c>
      <c r="CB1508" s="72" t="str">
        <f aca="false">IF(AC1508&lt;&gt;"",VLOOKUP(AC1508,Selects!$B:$E,4,0),"")</f>
        <v/>
      </c>
    </row>
    <row r="1509" customFormat="false" ht="15" hidden="true" customHeight="false" outlineLevel="0" collapsed="false">
      <c r="E1509" s="60" t="str">
        <f aca="false">IF(LEN(D1509)=11,"PF",IF(LEN(D1509)=14,"PJ",""))</f>
        <v/>
      </c>
      <c r="I1509" s="62"/>
      <c r="J1509" s="63" t="str">
        <f aca="false">IF(I1509&lt;&gt;"",VLOOKUP(I1509,'Legal Nature'!$E$2:$G$84,3,0),"")</f>
        <v/>
      </c>
      <c r="U1509" s="58" t="str">
        <f aca="false">IF( T1509&lt;&gt;"",VLOOKUP(T1509,Selects!$M$4:$N$1000,2,0),"")</f>
        <v/>
      </c>
      <c r="AD1509" s="72" t="str">
        <f aca="false">IF(AC1509&lt;&gt;"",VLOOKUP(AC1509,Selects!$B$4:$C$100,2,0),"")</f>
        <v/>
      </c>
      <c r="AH1509" s="65"/>
      <c r="AJ1509" s="66"/>
      <c r="AK1509" s="58"/>
      <c r="AM1509" s="68" t="str">
        <f aca="false">IF(LEFT(AL1509,1)="9","Celular",IF(AL1509="","","Fixo"))</f>
        <v/>
      </c>
      <c r="AN1509" s="58" t="str">
        <f aca="false">IF( AM1509&lt;&gt;"",VLOOKUP(AM1509,Selects!$M$4:$N$1000,2,0),"")</f>
        <v/>
      </c>
      <c r="BB1509" s="72" t="str">
        <f aca="false">IF(BA1509&lt;&gt;"",VLOOKUP(BA1509,Selects!$B$4:$C$100,2,0),"")</f>
        <v/>
      </c>
      <c r="BG1509" s="75" t="str">
        <f aca="false">IF(LEN(BF1509)=11,"PF",IF(LEN(BF1509)=14,"PJ",""))</f>
        <v/>
      </c>
      <c r="BH1509" s="66"/>
      <c r="BI1509" s="58" t="str">
        <f aca="false">IF(BH1509&lt;&gt;"",VLOOKUP(BH1509,Selects!$G:$H,2,0),"")</f>
        <v/>
      </c>
      <c r="CB1509" s="72" t="str">
        <f aca="false">IF(AC1509&lt;&gt;"",VLOOKUP(AC1509,Selects!$B:$E,4,0),"")</f>
        <v/>
      </c>
    </row>
    <row r="1510" customFormat="false" ht="15" hidden="true" customHeight="false" outlineLevel="0" collapsed="false">
      <c r="E1510" s="60" t="str">
        <f aca="false">IF(LEN(D1510)=11,"PF",IF(LEN(D1510)=14,"PJ",""))</f>
        <v/>
      </c>
      <c r="I1510" s="62"/>
      <c r="J1510" s="63" t="str">
        <f aca="false">IF(I1510&lt;&gt;"",VLOOKUP(I1510,'Legal Nature'!$E$2:$G$84,3,0),"")</f>
        <v/>
      </c>
      <c r="U1510" s="58" t="str">
        <f aca="false">IF( T1510&lt;&gt;"",VLOOKUP(T1510,Selects!$M$4:$N$1000,2,0),"")</f>
        <v/>
      </c>
      <c r="AD1510" s="72" t="str">
        <f aca="false">IF(AC1510&lt;&gt;"",VLOOKUP(AC1510,Selects!$B$4:$C$100,2,0),"")</f>
        <v/>
      </c>
      <c r="AH1510" s="65"/>
      <c r="AJ1510" s="66"/>
      <c r="AK1510" s="58"/>
      <c r="AM1510" s="68" t="str">
        <f aca="false">IF(LEFT(AL1510,1)="9","Celular",IF(AL1510="","","Fixo"))</f>
        <v/>
      </c>
      <c r="AN1510" s="58" t="str">
        <f aca="false">IF( AM1510&lt;&gt;"",VLOOKUP(AM1510,Selects!$M$4:$N$1000,2,0),"")</f>
        <v/>
      </c>
      <c r="BB1510" s="72" t="str">
        <f aca="false">IF(BA1510&lt;&gt;"",VLOOKUP(BA1510,Selects!$B$4:$C$100,2,0),"")</f>
        <v/>
      </c>
      <c r="BG1510" s="75" t="str">
        <f aca="false">IF(LEN(BF1510)=11,"PF",IF(LEN(BF1510)=14,"PJ",""))</f>
        <v/>
      </c>
      <c r="BH1510" s="66"/>
      <c r="BI1510" s="58" t="str">
        <f aca="false">IF(BH1510&lt;&gt;"",VLOOKUP(BH1510,Selects!$G:$H,2,0),"")</f>
        <v/>
      </c>
      <c r="CB1510" s="72" t="str">
        <f aca="false">IF(AC1510&lt;&gt;"",VLOOKUP(AC1510,Selects!$B:$E,4,0),"")</f>
        <v/>
      </c>
    </row>
    <row r="1511" customFormat="false" ht="15" hidden="true" customHeight="false" outlineLevel="0" collapsed="false">
      <c r="E1511" s="60" t="str">
        <f aca="false">IF(LEN(D1511)=11,"PF",IF(LEN(D1511)=14,"PJ",""))</f>
        <v/>
      </c>
      <c r="I1511" s="62"/>
      <c r="J1511" s="63" t="str">
        <f aca="false">IF(I1511&lt;&gt;"",VLOOKUP(I1511,'Legal Nature'!$E$2:$G$84,3,0),"")</f>
        <v/>
      </c>
      <c r="U1511" s="58" t="str">
        <f aca="false">IF( T1511&lt;&gt;"",VLOOKUP(T1511,Selects!$M$4:$N$1000,2,0),"")</f>
        <v/>
      </c>
      <c r="AD1511" s="72" t="str">
        <f aca="false">IF(AC1511&lt;&gt;"",VLOOKUP(AC1511,Selects!$B$4:$C$100,2,0),"")</f>
        <v/>
      </c>
      <c r="AH1511" s="65"/>
      <c r="AJ1511" s="66"/>
      <c r="AK1511" s="58"/>
      <c r="AM1511" s="68" t="str">
        <f aca="false">IF(LEFT(AL1511,1)="9","Celular",IF(AL1511="","","Fixo"))</f>
        <v/>
      </c>
      <c r="AN1511" s="58" t="str">
        <f aca="false">IF( AM1511&lt;&gt;"",VLOOKUP(AM1511,Selects!$M$4:$N$1000,2,0),"")</f>
        <v/>
      </c>
      <c r="BB1511" s="72" t="str">
        <f aca="false">IF(BA1511&lt;&gt;"",VLOOKUP(BA1511,Selects!$B$4:$C$100,2,0),"")</f>
        <v/>
      </c>
      <c r="BG1511" s="75" t="str">
        <f aca="false">IF(LEN(BF1511)=11,"PF",IF(LEN(BF1511)=14,"PJ",""))</f>
        <v/>
      </c>
      <c r="BH1511" s="66"/>
      <c r="BI1511" s="58" t="str">
        <f aca="false">IF(BH1511&lt;&gt;"",VLOOKUP(BH1511,Selects!$G:$H,2,0),"")</f>
        <v/>
      </c>
      <c r="CB1511" s="72" t="str">
        <f aca="false">IF(AC1511&lt;&gt;"",VLOOKUP(AC1511,Selects!$B:$E,4,0),"")</f>
        <v/>
      </c>
    </row>
    <row r="1512" customFormat="false" ht="15" hidden="true" customHeight="false" outlineLevel="0" collapsed="false">
      <c r="E1512" s="60" t="str">
        <f aca="false">IF(LEN(D1512)=11,"PF",IF(LEN(D1512)=14,"PJ",""))</f>
        <v/>
      </c>
      <c r="I1512" s="62"/>
      <c r="J1512" s="63" t="str">
        <f aca="false">IF(I1512&lt;&gt;"",VLOOKUP(I1512,'Legal Nature'!$E$2:$G$84,3,0),"")</f>
        <v/>
      </c>
      <c r="U1512" s="58" t="str">
        <f aca="false">IF( T1512&lt;&gt;"",VLOOKUP(T1512,Selects!$M$4:$N$1000,2,0),"")</f>
        <v/>
      </c>
      <c r="AD1512" s="72" t="str">
        <f aca="false">IF(AC1512&lt;&gt;"",VLOOKUP(AC1512,Selects!$B$4:$C$100,2,0),"")</f>
        <v/>
      </c>
      <c r="AH1512" s="65"/>
      <c r="AJ1512" s="66"/>
      <c r="AK1512" s="58"/>
      <c r="AM1512" s="68" t="str">
        <f aca="false">IF(LEFT(AL1512,1)="9","Celular",IF(AL1512="","","Fixo"))</f>
        <v/>
      </c>
      <c r="AN1512" s="58" t="str">
        <f aca="false">IF( AM1512&lt;&gt;"",VLOOKUP(AM1512,Selects!$M$4:$N$1000,2,0),"")</f>
        <v/>
      </c>
      <c r="BB1512" s="72" t="str">
        <f aca="false">IF(BA1512&lt;&gt;"",VLOOKUP(BA1512,Selects!$B$4:$C$100,2,0),"")</f>
        <v/>
      </c>
      <c r="BG1512" s="75" t="str">
        <f aca="false">IF(LEN(BF1512)=11,"PF",IF(LEN(BF1512)=14,"PJ",""))</f>
        <v/>
      </c>
      <c r="BH1512" s="66"/>
      <c r="BI1512" s="58" t="str">
        <f aca="false">IF(BH1512&lt;&gt;"",VLOOKUP(BH1512,Selects!$G:$H,2,0),"")</f>
        <v/>
      </c>
      <c r="CB1512" s="72" t="str">
        <f aca="false">IF(AC1512&lt;&gt;"",VLOOKUP(AC1512,Selects!$B:$E,4,0),"")</f>
        <v/>
      </c>
    </row>
    <row r="1513" customFormat="false" ht="15" hidden="true" customHeight="false" outlineLevel="0" collapsed="false">
      <c r="E1513" s="60" t="str">
        <f aca="false">IF(LEN(D1513)=11,"PF",IF(LEN(D1513)=14,"PJ",""))</f>
        <v/>
      </c>
      <c r="I1513" s="62"/>
      <c r="J1513" s="63" t="str">
        <f aca="false">IF(I1513&lt;&gt;"",VLOOKUP(I1513,'Legal Nature'!$E$2:$G$84,3,0),"")</f>
        <v/>
      </c>
      <c r="U1513" s="58" t="str">
        <f aca="false">IF( T1513&lt;&gt;"",VLOOKUP(T1513,Selects!$M$4:$N$1000,2,0),"")</f>
        <v/>
      </c>
      <c r="AD1513" s="72" t="str">
        <f aca="false">IF(AC1513&lt;&gt;"",VLOOKUP(AC1513,Selects!$B$4:$C$100,2,0),"")</f>
        <v/>
      </c>
      <c r="AH1513" s="65"/>
      <c r="AJ1513" s="66"/>
      <c r="AK1513" s="58"/>
      <c r="AM1513" s="68" t="str">
        <f aca="false">IF(LEFT(AL1513,1)="9","Celular",IF(AL1513="","","Fixo"))</f>
        <v/>
      </c>
      <c r="AN1513" s="58" t="str">
        <f aca="false">IF( AM1513&lt;&gt;"",VLOOKUP(AM1513,Selects!$M$4:$N$1000,2,0),"")</f>
        <v/>
      </c>
      <c r="BB1513" s="72" t="str">
        <f aca="false">IF(BA1513&lt;&gt;"",VLOOKUP(BA1513,Selects!$B$4:$C$100,2,0),"")</f>
        <v/>
      </c>
      <c r="BG1513" s="75" t="str">
        <f aca="false">IF(LEN(BF1513)=11,"PF",IF(LEN(BF1513)=14,"PJ",""))</f>
        <v/>
      </c>
      <c r="BH1513" s="66"/>
      <c r="BI1513" s="58" t="str">
        <f aca="false">IF(BH1513&lt;&gt;"",VLOOKUP(BH1513,Selects!$G:$H,2,0),"")</f>
        <v/>
      </c>
      <c r="CB1513" s="72" t="str">
        <f aca="false">IF(AC1513&lt;&gt;"",VLOOKUP(AC1513,Selects!$B:$E,4,0),"")</f>
        <v/>
      </c>
    </row>
    <row r="1514" customFormat="false" ht="15" hidden="true" customHeight="false" outlineLevel="0" collapsed="false">
      <c r="E1514" s="60" t="str">
        <f aca="false">IF(LEN(D1514)=11,"PF",IF(LEN(D1514)=14,"PJ",""))</f>
        <v/>
      </c>
      <c r="I1514" s="62"/>
      <c r="J1514" s="63" t="str">
        <f aca="false">IF(I1514&lt;&gt;"",VLOOKUP(I1514,'Legal Nature'!$E$2:$G$84,3,0),"")</f>
        <v/>
      </c>
      <c r="U1514" s="58" t="str">
        <f aca="false">IF( T1514&lt;&gt;"",VLOOKUP(T1514,Selects!$M$4:$N$1000,2,0),"")</f>
        <v/>
      </c>
      <c r="AD1514" s="72" t="str">
        <f aca="false">IF(AC1514&lt;&gt;"",VLOOKUP(AC1514,Selects!$B$4:$C$100,2,0),"")</f>
        <v/>
      </c>
      <c r="AH1514" s="65"/>
      <c r="AJ1514" s="66"/>
      <c r="AK1514" s="58"/>
      <c r="AM1514" s="68" t="str">
        <f aca="false">IF(LEFT(AL1514,1)="9","Celular",IF(AL1514="","","Fixo"))</f>
        <v/>
      </c>
      <c r="AN1514" s="58" t="str">
        <f aca="false">IF( AM1514&lt;&gt;"",VLOOKUP(AM1514,Selects!$M$4:$N$1000,2,0),"")</f>
        <v/>
      </c>
      <c r="BB1514" s="72" t="str">
        <f aca="false">IF(BA1514&lt;&gt;"",VLOOKUP(BA1514,Selects!$B$4:$C$100,2,0),"")</f>
        <v/>
      </c>
      <c r="BG1514" s="75" t="str">
        <f aca="false">IF(LEN(BF1514)=11,"PF",IF(LEN(BF1514)=14,"PJ",""))</f>
        <v/>
      </c>
      <c r="BH1514" s="66"/>
      <c r="BI1514" s="58" t="str">
        <f aca="false">IF(BH1514&lt;&gt;"",VLOOKUP(BH1514,Selects!$G:$H,2,0),"")</f>
        <v/>
      </c>
      <c r="CB1514" s="72" t="str">
        <f aca="false">IF(AC1514&lt;&gt;"",VLOOKUP(AC1514,Selects!$B:$E,4,0),"")</f>
        <v/>
      </c>
    </row>
    <row r="1515" customFormat="false" ht="15" hidden="true" customHeight="false" outlineLevel="0" collapsed="false">
      <c r="E1515" s="60" t="str">
        <f aca="false">IF(LEN(D1515)=11,"PF",IF(LEN(D1515)=14,"PJ",""))</f>
        <v/>
      </c>
      <c r="I1515" s="62"/>
      <c r="J1515" s="63" t="str">
        <f aca="false">IF(I1515&lt;&gt;"",VLOOKUP(I1515,'Legal Nature'!$E$2:$G$84,3,0),"")</f>
        <v/>
      </c>
      <c r="U1515" s="58" t="str">
        <f aca="false">IF( T1515&lt;&gt;"",VLOOKUP(T1515,Selects!$M$4:$N$1000,2,0),"")</f>
        <v/>
      </c>
      <c r="AD1515" s="72" t="str">
        <f aca="false">IF(AC1515&lt;&gt;"",VLOOKUP(AC1515,Selects!$B$4:$C$100,2,0),"")</f>
        <v/>
      </c>
      <c r="AH1515" s="65"/>
      <c r="AJ1515" s="66"/>
      <c r="AK1515" s="58"/>
      <c r="AM1515" s="68" t="str">
        <f aca="false">IF(LEFT(AL1515,1)="9","Celular",IF(AL1515="","","Fixo"))</f>
        <v/>
      </c>
      <c r="AN1515" s="58" t="str">
        <f aca="false">IF( AM1515&lt;&gt;"",VLOOKUP(AM1515,Selects!$M$4:$N$1000,2,0),"")</f>
        <v/>
      </c>
      <c r="BB1515" s="72" t="str">
        <f aca="false">IF(BA1515&lt;&gt;"",VLOOKUP(BA1515,Selects!$B$4:$C$100,2,0),"")</f>
        <v/>
      </c>
      <c r="BG1515" s="75" t="str">
        <f aca="false">IF(LEN(BF1515)=11,"PF",IF(LEN(BF1515)=14,"PJ",""))</f>
        <v/>
      </c>
      <c r="BH1515" s="66"/>
      <c r="BI1515" s="58" t="str">
        <f aca="false">IF(BH1515&lt;&gt;"",VLOOKUP(BH1515,Selects!$G:$H,2,0),"")</f>
        <v/>
      </c>
      <c r="CB1515" s="72" t="str">
        <f aca="false">IF(AC1515&lt;&gt;"",VLOOKUP(AC1515,Selects!$B:$E,4,0),"")</f>
        <v/>
      </c>
    </row>
    <row r="1516" customFormat="false" ht="15" hidden="true" customHeight="false" outlineLevel="0" collapsed="false">
      <c r="E1516" s="60" t="str">
        <f aca="false">IF(LEN(D1516)=11,"PF",IF(LEN(D1516)=14,"PJ",""))</f>
        <v/>
      </c>
      <c r="I1516" s="62"/>
      <c r="J1516" s="63" t="str">
        <f aca="false">IF(I1516&lt;&gt;"",VLOOKUP(I1516,'Legal Nature'!$E$2:$G$84,3,0),"")</f>
        <v/>
      </c>
      <c r="U1516" s="58" t="str">
        <f aca="false">IF( T1516&lt;&gt;"",VLOOKUP(T1516,Selects!$M$4:$N$1000,2,0),"")</f>
        <v/>
      </c>
      <c r="AD1516" s="72" t="str">
        <f aca="false">IF(AC1516&lt;&gt;"",VLOOKUP(AC1516,Selects!$B$4:$C$100,2,0),"")</f>
        <v/>
      </c>
      <c r="AH1516" s="65"/>
      <c r="AJ1516" s="66"/>
      <c r="AK1516" s="58"/>
      <c r="AM1516" s="68" t="str">
        <f aca="false">IF(LEFT(AL1516,1)="9","Celular",IF(AL1516="","","Fixo"))</f>
        <v/>
      </c>
      <c r="AN1516" s="58" t="str">
        <f aca="false">IF( AM1516&lt;&gt;"",VLOOKUP(AM1516,Selects!$M$4:$N$1000,2,0),"")</f>
        <v/>
      </c>
      <c r="BB1516" s="72" t="str">
        <f aca="false">IF(BA1516&lt;&gt;"",VLOOKUP(BA1516,Selects!$B$4:$C$100,2,0),"")</f>
        <v/>
      </c>
      <c r="BG1516" s="75" t="str">
        <f aca="false">IF(LEN(BF1516)=11,"PF",IF(LEN(BF1516)=14,"PJ",""))</f>
        <v/>
      </c>
      <c r="BH1516" s="66"/>
      <c r="BI1516" s="58" t="str">
        <f aca="false">IF(BH1516&lt;&gt;"",VLOOKUP(BH1516,Selects!$G:$H,2,0),"")</f>
        <v/>
      </c>
      <c r="CB1516" s="72" t="str">
        <f aca="false">IF(AC1516&lt;&gt;"",VLOOKUP(AC1516,Selects!$B:$E,4,0),"")</f>
        <v/>
      </c>
    </row>
    <row r="1517" customFormat="false" ht="15" hidden="true" customHeight="false" outlineLevel="0" collapsed="false">
      <c r="E1517" s="60" t="str">
        <f aca="false">IF(LEN(D1517)=11,"PF",IF(LEN(D1517)=14,"PJ",""))</f>
        <v/>
      </c>
      <c r="I1517" s="62"/>
      <c r="J1517" s="63" t="str">
        <f aca="false">IF(I1517&lt;&gt;"",VLOOKUP(I1517,'Legal Nature'!$E$2:$G$84,3,0),"")</f>
        <v/>
      </c>
      <c r="U1517" s="58" t="str">
        <f aca="false">IF( T1517&lt;&gt;"",VLOOKUP(T1517,Selects!$M$4:$N$1000,2,0),"")</f>
        <v/>
      </c>
      <c r="AD1517" s="72" t="str">
        <f aca="false">IF(AC1517&lt;&gt;"",VLOOKUP(AC1517,Selects!$B$4:$C$100,2,0),"")</f>
        <v/>
      </c>
      <c r="AH1517" s="65"/>
      <c r="AJ1517" s="66"/>
      <c r="AK1517" s="58"/>
      <c r="AM1517" s="68" t="str">
        <f aca="false">IF(LEFT(AL1517,1)="9","Celular",IF(AL1517="","","Fixo"))</f>
        <v/>
      </c>
      <c r="AN1517" s="58" t="str">
        <f aca="false">IF( AM1517&lt;&gt;"",VLOOKUP(AM1517,Selects!$M$4:$N$1000,2,0),"")</f>
        <v/>
      </c>
      <c r="BB1517" s="72" t="str">
        <f aca="false">IF(BA1517&lt;&gt;"",VLOOKUP(BA1517,Selects!$B$4:$C$100,2,0),"")</f>
        <v/>
      </c>
      <c r="BG1517" s="75" t="str">
        <f aca="false">IF(LEN(BF1517)=11,"PF",IF(LEN(BF1517)=14,"PJ",""))</f>
        <v/>
      </c>
      <c r="BH1517" s="66"/>
      <c r="BI1517" s="58" t="str">
        <f aca="false">IF(BH1517&lt;&gt;"",VLOOKUP(BH1517,Selects!$G:$H,2,0),"")</f>
        <v/>
      </c>
      <c r="CB1517" s="72" t="str">
        <f aca="false">IF(AC1517&lt;&gt;"",VLOOKUP(AC1517,Selects!$B:$E,4,0),"")</f>
        <v/>
      </c>
    </row>
    <row r="1518" customFormat="false" ht="15" hidden="true" customHeight="false" outlineLevel="0" collapsed="false">
      <c r="E1518" s="60" t="str">
        <f aca="false">IF(LEN(D1518)=11,"PF",IF(LEN(D1518)=14,"PJ",""))</f>
        <v/>
      </c>
      <c r="I1518" s="62"/>
      <c r="J1518" s="63" t="str">
        <f aca="false">IF(I1518&lt;&gt;"",VLOOKUP(I1518,'Legal Nature'!$E$2:$G$84,3,0),"")</f>
        <v/>
      </c>
      <c r="U1518" s="58" t="str">
        <f aca="false">IF( T1518&lt;&gt;"",VLOOKUP(T1518,Selects!$M$4:$N$1000,2,0),"")</f>
        <v/>
      </c>
      <c r="AD1518" s="72" t="str">
        <f aca="false">IF(AC1518&lt;&gt;"",VLOOKUP(AC1518,Selects!$B$4:$C$100,2,0),"")</f>
        <v/>
      </c>
      <c r="AH1518" s="65"/>
      <c r="AJ1518" s="66"/>
      <c r="AK1518" s="58"/>
      <c r="AM1518" s="68" t="str">
        <f aca="false">IF(LEFT(AL1518,1)="9","Celular",IF(AL1518="","","Fixo"))</f>
        <v/>
      </c>
      <c r="AN1518" s="58" t="str">
        <f aca="false">IF( AM1518&lt;&gt;"",VLOOKUP(AM1518,Selects!$M$4:$N$1000,2,0),"")</f>
        <v/>
      </c>
      <c r="BB1518" s="72" t="str">
        <f aca="false">IF(BA1518&lt;&gt;"",VLOOKUP(BA1518,Selects!$B$4:$C$100,2,0),"")</f>
        <v/>
      </c>
      <c r="BG1518" s="75" t="str">
        <f aca="false">IF(LEN(BF1518)=11,"PF",IF(LEN(BF1518)=14,"PJ",""))</f>
        <v/>
      </c>
      <c r="BH1518" s="66"/>
      <c r="BI1518" s="58" t="str">
        <f aca="false">IF(BH1518&lt;&gt;"",VLOOKUP(BH1518,Selects!$G:$H,2,0),"")</f>
        <v/>
      </c>
      <c r="CB1518" s="72" t="str">
        <f aca="false">IF(AC1518&lt;&gt;"",VLOOKUP(AC1518,Selects!$B:$E,4,0),"")</f>
        <v/>
      </c>
    </row>
    <row r="1519" customFormat="false" ht="15" hidden="true" customHeight="false" outlineLevel="0" collapsed="false">
      <c r="E1519" s="60" t="str">
        <f aca="false">IF(LEN(D1519)=11,"PF",IF(LEN(D1519)=14,"PJ",""))</f>
        <v/>
      </c>
      <c r="I1519" s="62"/>
      <c r="J1519" s="63" t="str">
        <f aca="false">IF(I1519&lt;&gt;"",VLOOKUP(I1519,'Legal Nature'!$E$2:$G$84,3,0),"")</f>
        <v/>
      </c>
      <c r="U1519" s="58" t="str">
        <f aca="false">IF( T1519&lt;&gt;"",VLOOKUP(T1519,Selects!$M$4:$N$1000,2,0),"")</f>
        <v/>
      </c>
      <c r="AD1519" s="72" t="str">
        <f aca="false">IF(AC1519&lt;&gt;"",VLOOKUP(AC1519,Selects!$B$4:$C$100,2,0),"")</f>
        <v/>
      </c>
      <c r="AH1519" s="65"/>
      <c r="AJ1519" s="66"/>
      <c r="AK1519" s="58"/>
      <c r="AM1519" s="68" t="str">
        <f aca="false">IF(LEFT(AL1519,1)="9","Celular",IF(AL1519="","","Fixo"))</f>
        <v/>
      </c>
      <c r="AN1519" s="58" t="str">
        <f aca="false">IF( AM1519&lt;&gt;"",VLOOKUP(AM1519,Selects!$M$4:$N$1000,2,0),"")</f>
        <v/>
      </c>
      <c r="BB1519" s="72" t="str">
        <f aca="false">IF(BA1519&lt;&gt;"",VLOOKUP(BA1519,Selects!$B$4:$C$100,2,0),"")</f>
        <v/>
      </c>
      <c r="BG1519" s="75" t="str">
        <f aca="false">IF(LEN(BF1519)=11,"PF",IF(LEN(BF1519)=14,"PJ",""))</f>
        <v/>
      </c>
      <c r="BH1519" s="66"/>
      <c r="BI1519" s="58" t="str">
        <f aca="false">IF(BH1519&lt;&gt;"",VLOOKUP(BH1519,Selects!$G:$H,2,0),"")</f>
        <v/>
      </c>
      <c r="CB1519" s="72" t="str">
        <f aca="false">IF(AC1519&lt;&gt;"",VLOOKUP(AC1519,Selects!$B:$E,4,0),"")</f>
        <v/>
      </c>
    </row>
    <row r="1520" customFormat="false" ht="15" hidden="true" customHeight="false" outlineLevel="0" collapsed="false">
      <c r="E1520" s="60" t="str">
        <f aca="false">IF(LEN(D1520)=11,"PF",IF(LEN(D1520)=14,"PJ",""))</f>
        <v/>
      </c>
      <c r="I1520" s="62"/>
      <c r="J1520" s="63" t="str">
        <f aca="false">IF(I1520&lt;&gt;"",VLOOKUP(I1520,'Legal Nature'!$E$2:$G$84,3,0),"")</f>
        <v/>
      </c>
      <c r="U1520" s="58" t="str">
        <f aca="false">IF( T1520&lt;&gt;"",VLOOKUP(T1520,Selects!$M$4:$N$1000,2,0),"")</f>
        <v/>
      </c>
      <c r="AD1520" s="72" t="str">
        <f aca="false">IF(AC1520&lt;&gt;"",VLOOKUP(AC1520,Selects!$B$4:$C$100,2,0),"")</f>
        <v/>
      </c>
      <c r="AH1520" s="65"/>
      <c r="AJ1520" s="66"/>
      <c r="AK1520" s="58"/>
      <c r="AM1520" s="68" t="str">
        <f aca="false">IF(LEFT(AL1520,1)="9","Celular",IF(AL1520="","","Fixo"))</f>
        <v/>
      </c>
      <c r="AN1520" s="58" t="str">
        <f aca="false">IF( AM1520&lt;&gt;"",VLOOKUP(AM1520,Selects!$M$4:$N$1000,2,0),"")</f>
        <v/>
      </c>
      <c r="BB1520" s="72" t="str">
        <f aca="false">IF(BA1520&lt;&gt;"",VLOOKUP(BA1520,Selects!$B$4:$C$100,2,0),"")</f>
        <v/>
      </c>
      <c r="BG1520" s="75" t="str">
        <f aca="false">IF(LEN(BF1520)=11,"PF",IF(LEN(BF1520)=14,"PJ",""))</f>
        <v/>
      </c>
      <c r="BH1520" s="66"/>
      <c r="BI1520" s="58" t="str">
        <f aca="false">IF(BH1520&lt;&gt;"",VLOOKUP(BH1520,Selects!$G:$H,2,0),"")</f>
        <v/>
      </c>
      <c r="CB1520" s="72" t="str">
        <f aca="false">IF(AC1520&lt;&gt;"",VLOOKUP(AC1520,Selects!$B:$E,4,0),"")</f>
        <v/>
      </c>
    </row>
    <row r="1521" customFormat="false" ht="15" hidden="true" customHeight="false" outlineLevel="0" collapsed="false">
      <c r="E1521" s="60" t="str">
        <f aca="false">IF(LEN(D1521)=11,"PF",IF(LEN(D1521)=14,"PJ",""))</f>
        <v/>
      </c>
      <c r="I1521" s="62"/>
      <c r="J1521" s="63" t="str">
        <f aca="false">IF(I1521&lt;&gt;"",VLOOKUP(I1521,'Legal Nature'!$E$2:$G$84,3,0),"")</f>
        <v/>
      </c>
      <c r="U1521" s="58" t="str">
        <f aca="false">IF( T1521&lt;&gt;"",VLOOKUP(T1521,Selects!$M$4:$N$1000,2,0),"")</f>
        <v/>
      </c>
      <c r="AD1521" s="72" t="str">
        <f aca="false">IF(AC1521&lt;&gt;"",VLOOKUP(AC1521,Selects!$B$4:$C$100,2,0),"")</f>
        <v/>
      </c>
      <c r="AH1521" s="65"/>
      <c r="AJ1521" s="66"/>
      <c r="AK1521" s="58"/>
      <c r="AM1521" s="68" t="str">
        <f aca="false">IF(LEFT(AL1521,1)="9","Celular",IF(AL1521="","","Fixo"))</f>
        <v/>
      </c>
      <c r="AN1521" s="58" t="str">
        <f aca="false">IF( AM1521&lt;&gt;"",VLOOKUP(AM1521,Selects!$M$4:$N$1000,2,0),"")</f>
        <v/>
      </c>
      <c r="BB1521" s="72" t="str">
        <f aca="false">IF(BA1521&lt;&gt;"",VLOOKUP(BA1521,Selects!$B$4:$C$100,2,0),"")</f>
        <v/>
      </c>
      <c r="BG1521" s="75" t="str">
        <f aca="false">IF(LEN(BF1521)=11,"PF",IF(LEN(BF1521)=14,"PJ",""))</f>
        <v/>
      </c>
      <c r="BH1521" s="66"/>
      <c r="BI1521" s="58" t="str">
        <f aca="false">IF(BH1521&lt;&gt;"",VLOOKUP(BH1521,Selects!$G:$H,2,0),"")</f>
        <v/>
      </c>
      <c r="CB1521" s="72" t="str">
        <f aca="false">IF(AC1521&lt;&gt;"",VLOOKUP(AC1521,Selects!$B:$E,4,0),"")</f>
        <v/>
      </c>
    </row>
    <row r="1522" customFormat="false" ht="15" hidden="true" customHeight="false" outlineLevel="0" collapsed="false">
      <c r="E1522" s="60" t="str">
        <f aca="false">IF(LEN(D1522)=11,"PF",IF(LEN(D1522)=14,"PJ",""))</f>
        <v/>
      </c>
      <c r="I1522" s="62"/>
      <c r="J1522" s="63" t="str">
        <f aca="false">IF(I1522&lt;&gt;"",VLOOKUP(I1522,'Legal Nature'!$E$2:$G$84,3,0),"")</f>
        <v/>
      </c>
      <c r="U1522" s="58" t="str">
        <f aca="false">IF( T1522&lt;&gt;"",VLOOKUP(T1522,Selects!$M$4:$N$1000,2,0),"")</f>
        <v/>
      </c>
      <c r="AD1522" s="72" t="str">
        <f aca="false">IF(AC1522&lt;&gt;"",VLOOKUP(AC1522,Selects!$B$4:$C$100,2,0),"")</f>
        <v/>
      </c>
      <c r="AH1522" s="65"/>
      <c r="AJ1522" s="66"/>
      <c r="AK1522" s="58"/>
      <c r="AM1522" s="68" t="str">
        <f aca="false">IF(LEFT(AL1522,1)="9","Celular",IF(AL1522="","","Fixo"))</f>
        <v/>
      </c>
      <c r="AN1522" s="58" t="str">
        <f aca="false">IF( AM1522&lt;&gt;"",VLOOKUP(AM1522,Selects!$M$4:$N$1000,2,0),"")</f>
        <v/>
      </c>
      <c r="BB1522" s="72" t="str">
        <f aca="false">IF(BA1522&lt;&gt;"",VLOOKUP(BA1522,Selects!$B$4:$C$100,2,0),"")</f>
        <v/>
      </c>
      <c r="BG1522" s="75" t="str">
        <f aca="false">IF(LEN(BF1522)=11,"PF",IF(LEN(BF1522)=14,"PJ",""))</f>
        <v/>
      </c>
      <c r="BH1522" s="66"/>
      <c r="BI1522" s="58" t="str">
        <f aca="false">IF(BH1522&lt;&gt;"",VLOOKUP(BH1522,Selects!$G:$H,2,0),"")</f>
        <v/>
      </c>
      <c r="CB1522" s="72" t="str">
        <f aca="false">IF(AC1522&lt;&gt;"",VLOOKUP(AC1522,Selects!$B:$E,4,0),"")</f>
        <v/>
      </c>
    </row>
    <row r="1523" customFormat="false" ht="15" hidden="true" customHeight="false" outlineLevel="0" collapsed="false">
      <c r="E1523" s="60" t="str">
        <f aca="false">IF(LEN(D1523)=11,"PF",IF(LEN(D1523)=14,"PJ",""))</f>
        <v/>
      </c>
      <c r="I1523" s="62"/>
      <c r="J1523" s="63" t="str">
        <f aca="false">IF(I1523&lt;&gt;"",VLOOKUP(I1523,'Legal Nature'!$E$2:$G$84,3,0),"")</f>
        <v/>
      </c>
      <c r="U1523" s="58" t="str">
        <f aca="false">IF( T1523&lt;&gt;"",VLOOKUP(T1523,Selects!$M$4:$N$1000,2,0),"")</f>
        <v/>
      </c>
      <c r="AD1523" s="72" t="str">
        <f aca="false">IF(AC1523&lt;&gt;"",VLOOKUP(AC1523,Selects!$B$4:$C$100,2,0),"")</f>
        <v/>
      </c>
      <c r="AH1523" s="65"/>
      <c r="AJ1523" s="66"/>
      <c r="AK1523" s="58"/>
      <c r="AM1523" s="68" t="str">
        <f aca="false">IF(LEFT(AL1523,1)="9","Celular",IF(AL1523="","","Fixo"))</f>
        <v/>
      </c>
      <c r="AN1523" s="58" t="str">
        <f aca="false">IF( AM1523&lt;&gt;"",VLOOKUP(AM1523,Selects!$M$4:$N$1000,2,0),"")</f>
        <v/>
      </c>
      <c r="BB1523" s="72" t="str">
        <f aca="false">IF(BA1523&lt;&gt;"",VLOOKUP(BA1523,Selects!$B$4:$C$100,2,0),"")</f>
        <v/>
      </c>
      <c r="BG1523" s="75" t="str">
        <f aca="false">IF(LEN(BF1523)=11,"PF",IF(LEN(BF1523)=14,"PJ",""))</f>
        <v/>
      </c>
      <c r="BH1523" s="66"/>
      <c r="BI1523" s="58" t="str">
        <f aca="false">IF(BH1523&lt;&gt;"",VLOOKUP(BH1523,Selects!$G:$H,2,0),"")</f>
        <v/>
      </c>
      <c r="CB1523" s="72" t="str">
        <f aca="false">IF(AC1523&lt;&gt;"",VLOOKUP(AC1523,Selects!$B:$E,4,0),"")</f>
        <v/>
      </c>
    </row>
    <row r="1524" customFormat="false" ht="15" hidden="true" customHeight="false" outlineLevel="0" collapsed="false">
      <c r="E1524" s="60" t="str">
        <f aca="false">IF(LEN(D1524)=11,"PF",IF(LEN(D1524)=14,"PJ",""))</f>
        <v/>
      </c>
      <c r="I1524" s="62"/>
      <c r="J1524" s="63" t="str">
        <f aca="false">IF(I1524&lt;&gt;"",VLOOKUP(I1524,'Legal Nature'!$E$2:$G$84,3,0),"")</f>
        <v/>
      </c>
      <c r="U1524" s="58" t="str">
        <f aca="false">IF( T1524&lt;&gt;"",VLOOKUP(T1524,Selects!$M$4:$N$1000,2,0),"")</f>
        <v/>
      </c>
      <c r="AD1524" s="72" t="str">
        <f aca="false">IF(AC1524&lt;&gt;"",VLOOKUP(AC1524,Selects!$B$4:$C$100,2,0),"")</f>
        <v/>
      </c>
      <c r="AH1524" s="65"/>
      <c r="AJ1524" s="66"/>
      <c r="AK1524" s="58"/>
      <c r="AM1524" s="68" t="str">
        <f aca="false">IF(LEFT(AL1524,1)="9","Celular",IF(AL1524="","","Fixo"))</f>
        <v/>
      </c>
      <c r="AN1524" s="58" t="str">
        <f aca="false">IF( AM1524&lt;&gt;"",VLOOKUP(AM1524,Selects!$M$4:$N$1000,2,0),"")</f>
        <v/>
      </c>
      <c r="BB1524" s="72" t="str">
        <f aca="false">IF(BA1524&lt;&gt;"",VLOOKUP(BA1524,Selects!$B$4:$C$100,2,0),"")</f>
        <v/>
      </c>
      <c r="BG1524" s="75" t="str">
        <f aca="false">IF(LEN(BF1524)=11,"PF",IF(LEN(BF1524)=14,"PJ",""))</f>
        <v/>
      </c>
      <c r="BH1524" s="66"/>
      <c r="BI1524" s="58" t="str">
        <f aca="false">IF(BH1524&lt;&gt;"",VLOOKUP(BH1524,Selects!$G:$H,2,0),"")</f>
        <v/>
      </c>
      <c r="CB1524" s="72" t="str">
        <f aca="false">IF(AC1524&lt;&gt;"",VLOOKUP(AC1524,Selects!$B:$E,4,0),"")</f>
        <v/>
      </c>
    </row>
    <row r="1525" customFormat="false" ht="15" hidden="true" customHeight="false" outlineLevel="0" collapsed="false">
      <c r="E1525" s="60" t="str">
        <f aca="false">IF(LEN(D1525)=11,"PF",IF(LEN(D1525)=14,"PJ",""))</f>
        <v/>
      </c>
      <c r="I1525" s="62"/>
      <c r="J1525" s="63" t="str">
        <f aca="false">IF(I1525&lt;&gt;"",VLOOKUP(I1525,'Legal Nature'!$E$2:$G$84,3,0),"")</f>
        <v/>
      </c>
      <c r="U1525" s="58" t="str">
        <f aca="false">IF( T1525&lt;&gt;"",VLOOKUP(T1525,Selects!$M$4:$N$1000,2,0),"")</f>
        <v/>
      </c>
      <c r="AD1525" s="72" t="str">
        <f aca="false">IF(AC1525&lt;&gt;"",VLOOKUP(AC1525,Selects!$B$4:$C$100,2,0),"")</f>
        <v/>
      </c>
      <c r="AH1525" s="65"/>
      <c r="AJ1525" s="66"/>
      <c r="AK1525" s="58"/>
      <c r="AM1525" s="68" t="str">
        <f aca="false">IF(LEFT(AL1525,1)="9","Celular",IF(AL1525="","","Fixo"))</f>
        <v/>
      </c>
      <c r="AN1525" s="58" t="str">
        <f aca="false">IF( AM1525&lt;&gt;"",VLOOKUP(AM1525,Selects!$M$4:$N$1000,2,0),"")</f>
        <v/>
      </c>
      <c r="BB1525" s="72" t="str">
        <f aca="false">IF(BA1525&lt;&gt;"",VLOOKUP(BA1525,Selects!$B$4:$C$100,2,0),"")</f>
        <v/>
      </c>
      <c r="BG1525" s="75" t="str">
        <f aca="false">IF(LEN(BF1525)=11,"PF",IF(LEN(BF1525)=14,"PJ",""))</f>
        <v/>
      </c>
      <c r="BH1525" s="66"/>
      <c r="BI1525" s="58" t="str">
        <f aca="false">IF(BH1525&lt;&gt;"",VLOOKUP(BH1525,Selects!$G:$H,2,0),"")</f>
        <v/>
      </c>
      <c r="CB1525" s="72" t="str">
        <f aca="false">IF(AC1525&lt;&gt;"",VLOOKUP(AC1525,Selects!$B:$E,4,0),"")</f>
        <v/>
      </c>
    </row>
    <row r="1526" customFormat="false" ht="15" hidden="true" customHeight="false" outlineLevel="0" collapsed="false">
      <c r="E1526" s="60" t="str">
        <f aca="false">IF(LEN(D1526)=11,"PF",IF(LEN(D1526)=14,"PJ",""))</f>
        <v/>
      </c>
      <c r="I1526" s="62"/>
      <c r="J1526" s="63" t="str">
        <f aca="false">IF(I1526&lt;&gt;"",VLOOKUP(I1526,'Legal Nature'!$E$2:$G$84,3,0),"")</f>
        <v/>
      </c>
      <c r="U1526" s="58" t="str">
        <f aca="false">IF( T1526&lt;&gt;"",VLOOKUP(T1526,Selects!$M$4:$N$1000,2,0),"")</f>
        <v/>
      </c>
      <c r="AD1526" s="72" t="str">
        <f aca="false">IF(AC1526&lt;&gt;"",VLOOKUP(AC1526,Selects!$B$4:$C$100,2,0),"")</f>
        <v/>
      </c>
      <c r="AH1526" s="65"/>
      <c r="AJ1526" s="66"/>
      <c r="AK1526" s="58"/>
      <c r="AM1526" s="68" t="str">
        <f aca="false">IF(LEFT(AL1526,1)="9","Celular",IF(AL1526="","","Fixo"))</f>
        <v/>
      </c>
      <c r="AN1526" s="58" t="str">
        <f aca="false">IF( AM1526&lt;&gt;"",VLOOKUP(AM1526,Selects!$M$4:$N$1000,2,0),"")</f>
        <v/>
      </c>
      <c r="BB1526" s="72" t="str">
        <f aca="false">IF(BA1526&lt;&gt;"",VLOOKUP(BA1526,Selects!$B$4:$C$100,2,0),"")</f>
        <v/>
      </c>
      <c r="BG1526" s="75" t="str">
        <f aca="false">IF(LEN(BF1526)=11,"PF",IF(LEN(BF1526)=14,"PJ",""))</f>
        <v/>
      </c>
      <c r="BH1526" s="66"/>
      <c r="BI1526" s="58" t="str">
        <f aca="false">IF(BH1526&lt;&gt;"",VLOOKUP(BH1526,Selects!$G:$H,2,0),"")</f>
        <v/>
      </c>
      <c r="CB1526" s="72" t="str">
        <f aca="false">IF(AC1526&lt;&gt;"",VLOOKUP(AC1526,Selects!$B:$E,4,0),"")</f>
        <v/>
      </c>
    </row>
    <row r="1527" customFormat="false" ht="15" hidden="true" customHeight="false" outlineLevel="0" collapsed="false">
      <c r="E1527" s="60" t="str">
        <f aca="false">IF(LEN(D1527)=11,"PF",IF(LEN(D1527)=14,"PJ",""))</f>
        <v/>
      </c>
      <c r="I1527" s="62"/>
      <c r="J1527" s="63" t="str">
        <f aca="false">IF(I1527&lt;&gt;"",VLOOKUP(I1527,'Legal Nature'!$E$2:$G$84,3,0),"")</f>
        <v/>
      </c>
      <c r="U1527" s="58" t="str">
        <f aca="false">IF( T1527&lt;&gt;"",VLOOKUP(T1527,Selects!$M$4:$N$1000,2,0),"")</f>
        <v/>
      </c>
      <c r="AD1527" s="72" t="str">
        <f aca="false">IF(AC1527&lt;&gt;"",VLOOKUP(AC1527,Selects!$B$4:$C$100,2,0),"")</f>
        <v/>
      </c>
      <c r="AH1527" s="65"/>
      <c r="AJ1527" s="66"/>
      <c r="AK1527" s="58"/>
      <c r="AM1527" s="68" t="str">
        <f aca="false">IF(LEFT(AL1527,1)="9","Celular",IF(AL1527="","","Fixo"))</f>
        <v/>
      </c>
      <c r="AN1527" s="58" t="str">
        <f aca="false">IF( AM1527&lt;&gt;"",VLOOKUP(AM1527,Selects!$M$4:$N$1000,2,0),"")</f>
        <v/>
      </c>
      <c r="BB1527" s="72" t="str">
        <f aca="false">IF(BA1527&lt;&gt;"",VLOOKUP(BA1527,Selects!$B$4:$C$100,2,0),"")</f>
        <v/>
      </c>
      <c r="BG1527" s="75" t="str">
        <f aca="false">IF(LEN(BF1527)=11,"PF",IF(LEN(BF1527)=14,"PJ",""))</f>
        <v/>
      </c>
      <c r="BH1527" s="66"/>
      <c r="BI1527" s="58" t="str">
        <f aca="false">IF(BH1527&lt;&gt;"",VLOOKUP(BH1527,Selects!$G:$H,2,0),"")</f>
        <v/>
      </c>
      <c r="CB1527" s="72" t="str">
        <f aca="false">IF(AC1527&lt;&gt;"",VLOOKUP(AC1527,Selects!$B:$E,4,0),"")</f>
        <v/>
      </c>
    </row>
    <row r="1528" customFormat="false" ht="15" hidden="true" customHeight="false" outlineLevel="0" collapsed="false">
      <c r="E1528" s="60" t="str">
        <f aca="false">IF(LEN(D1528)=11,"PF",IF(LEN(D1528)=14,"PJ",""))</f>
        <v/>
      </c>
      <c r="I1528" s="62"/>
      <c r="J1528" s="63" t="str">
        <f aca="false">IF(I1528&lt;&gt;"",VLOOKUP(I1528,'Legal Nature'!$E$2:$G$84,3,0),"")</f>
        <v/>
      </c>
      <c r="U1528" s="58" t="str">
        <f aca="false">IF( T1528&lt;&gt;"",VLOOKUP(T1528,Selects!$M$4:$N$1000,2,0),"")</f>
        <v/>
      </c>
      <c r="AD1528" s="72" t="str">
        <f aca="false">IF(AC1528&lt;&gt;"",VLOOKUP(AC1528,Selects!$B$4:$C$100,2,0),"")</f>
        <v/>
      </c>
      <c r="AH1528" s="65"/>
      <c r="AJ1528" s="66"/>
      <c r="AK1528" s="58"/>
      <c r="AM1528" s="68" t="str">
        <f aca="false">IF(LEFT(AL1528,1)="9","Celular",IF(AL1528="","","Fixo"))</f>
        <v/>
      </c>
      <c r="AN1528" s="58" t="str">
        <f aca="false">IF( AM1528&lt;&gt;"",VLOOKUP(AM1528,Selects!$M$4:$N$1000,2,0),"")</f>
        <v/>
      </c>
      <c r="BB1528" s="72" t="str">
        <f aca="false">IF(BA1528&lt;&gt;"",VLOOKUP(BA1528,Selects!$B$4:$C$100,2,0),"")</f>
        <v/>
      </c>
      <c r="BG1528" s="75" t="str">
        <f aca="false">IF(LEN(BF1528)=11,"PF",IF(LEN(BF1528)=14,"PJ",""))</f>
        <v/>
      </c>
      <c r="BH1528" s="66"/>
      <c r="BI1528" s="58" t="str">
        <f aca="false">IF(BH1528&lt;&gt;"",VLOOKUP(BH1528,Selects!$G:$H,2,0),"")</f>
        <v/>
      </c>
      <c r="CB1528" s="72" t="str">
        <f aca="false">IF(AC1528&lt;&gt;"",VLOOKUP(AC1528,Selects!$B:$E,4,0),"")</f>
        <v/>
      </c>
    </row>
    <row r="1529" customFormat="false" ht="15" hidden="true" customHeight="false" outlineLevel="0" collapsed="false">
      <c r="E1529" s="60" t="str">
        <f aca="false">IF(LEN(D1529)=11,"PF",IF(LEN(D1529)=14,"PJ",""))</f>
        <v/>
      </c>
      <c r="I1529" s="62"/>
      <c r="J1529" s="63" t="str">
        <f aca="false">IF(I1529&lt;&gt;"",VLOOKUP(I1529,'Legal Nature'!$E$2:$G$84,3,0),"")</f>
        <v/>
      </c>
      <c r="U1529" s="58" t="str">
        <f aca="false">IF( T1529&lt;&gt;"",VLOOKUP(T1529,Selects!$M$4:$N$1000,2,0),"")</f>
        <v/>
      </c>
      <c r="AD1529" s="72" t="str">
        <f aca="false">IF(AC1529&lt;&gt;"",VLOOKUP(AC1529,Selects!$B$4:$C$100,2,0),"")</f>
        <v/>
      </c>
      <c r="AH1529" s="65"/>
      <c r="AJ1529" s="66"/>
      <c r="AK1529" s="58"/>
      <c r="AM1529" s="68" t="str">
        <f aca="false">IF(LEFT(AL1529,1)="9","Celular",IF(AL1529="","","Fixo"))</f>
        <v/>
      </c>
      <c r="AN1529" s="58" t="str">
        <f aca="false">IF( AM1529&lt;&gt;"",VLOOKUP(AM1529,Selects!$M$4:$N$1000,2,0),"")</f>
        <v/>
      </c>
      <c r="BB1529" s="72" t="str">
        <f aca="false">IF(BA1529&lt;&gt;"",VLOOKUP(BA1529,Selects!$B$4:$C$100,2,0),"")</f>
        <v/>
      </c>
      <c r="BG1529" s="75" t="str">
        <f aca="false">IF(LEN(BF1529)=11,"PF",IF(LEN(BF1529)=14,"PJ",""))</f>
        <v/>
      </c>
      <c r="BH1529" s="66"/>
      <c r="BI1529" s="58" t="str">
        <f aca="false">IF(BH1529&lt;&gt;"",VLOOKUP(BH1529,Selects!$G:$H,2,0),"")</f>
        <v/>
      </c>
      <c r="CB1529" s="72" t="str">
        <f aca="false">IF(AC1529&lt;&gt;"",VLOOKUP(AC1529,Selects!$B:$E,4,0),"")</f>
        <v/>
      </c>
    </row>
    <row r="1530" customFormat="false" ht="15" hidden="true" customHeight="false" outlineLevel="0" collapsed="false">
      <c r="E1530" s="60" t="str">
        <f aca="false">IF(LEN(D1530)=11,"PF",IF(LEN(D1530)=14,"PJ",""))</f>
        <v/>
      </c>
      <c r="I1530" s="62"/>
      <c r="J1530" s="63" t="str">
        <f aca="false">IF(I1530&lt;&gt;"",VLOOKUP(I1530,'Legal Nature'!$E$2:$G$84,3,0),"")</f>
        <v/>
      </c>
      <c r="U1530" s="58" t="str">
        <f aca="false">IF( T1530&lt;&gt;"",VLOOKUP(T1530,Selects!$M$4:$N$1000,2,0),"")</f>
        <v/>
      </c>
      <c r="AD1530" s="72" t="str">
        <f aca="false">IF(AC1530&lt;&gt;"",VLOOKUP(AC1530,Selects!$B$4:$C$100,2,0),"")</f>
        <v/>
      </c>
      <c r="AH1530" s="65"/>
      <c r="AJ1530" s="66"/>
      <c r="AK1530" s="58"/>
      <c r="AM1530" s="68" t="str">
        <f aca="false">IF(LEFT(AL1530,1)="9","Celular",IF(AL1530="","","Fixo"))</f>
        <v/>
      </c>
      <c r="AN1530" s="58" t="str">
        <f aca="false">IF( AM1530&lt;&gt;"",VLOOKUP(AM1530,Selects!$M$4:$N$1000,2,0),"")</f>
        <v/>
      </c>
      <c r="BB1530" s="72" t="str">
        <f aca="false">IF(BA1530&lt;&gt;"",VLOOKUP(BA1530,Selects!$B$4:$C$100,2,0),"")</f>
        <v/>
      </c>
      <c r="BG1530" s="75" t="str">
        <f aca="false">IF(LEN(BF1530)=11,"PF",IF(LEN(BF1530)=14,"PJ",""))</f>
        <v/>
      </c>
      <c r="BH1530" s="66"/>
      <c r="BI1530" s="58" t="str">
        <f aca="false">IF(BH1530&lt;&gt;"",VLOOKUP(BH1530,Selects!$G:$H,2,0),"")</f>
        <v/>
      </c>
      <c r="CB1530" s="72" t="str">
        <f aca="false">IF(AC1530&lt;&gt;"",VLOOKUP(AC1530,Selects!$B:$E,4,0),"")</f>
        <v/>
      </c>
    </row>
    <row r="1531" customFormat="false" ht="15" hidden="true" customHeight="false" outlineLevel="0" collapsed="false">
      <c r="E1531" s="60" t="str">
        <f aca="false">IF(LEN(D1531)=11,"PF",IF(LEN(D1531)=14,"PJ",""))</f>
        <v/>
      </c>
      <c r="I1531" s="62"/>
      <c r="J1531" s="63" t="str">
        <f aca="false">IF(I1531&lt;&gt;"",VLOOKUP(I1531,'Legal Nature'!$E$2:$G$84,3,0),"")</f>
        <v/>
      </c>
      <c r="U1531" s="58" t="str">
        <f aca="false">IF( T1531&lt;&gt;"",VLOOKUP(T1531,Selects!$M$4:$N$1000,2,0),"")</f>
        <v/>
      </c>
      <c r="AD1531" s="72" t="str">
        <f aca="false">IF(AC1531&lt;&gt;"",VLOOKUP(AC1531,Selects!$B$4:$C$100,2,0),"")</f>
        <v/>
      </c>
      <c r="AH1531" s="65"/>
      <c r="AJ1531" s="66"/>
      <c r="AK1531" s="58"/>
      <c r="AM1531" s="68" t="str">
        <f aca="false">IF(LEFT(AL1531,1)="9","Celular",IF(AL1531="","","Fixo"))</f>
        <v/>
      </c>
      <c r="AN1531" s="58" t="str">
        <f aca="false">IF( AM1531&lt;&gt;"",VLOOKUP(AM1531,Selects!$M$4:$N$1000,2,0),"")</f>
        <v/>
      </c>
      <c r="BB1531" s="72" t="str">
        <f aca="false">IF(BA1531&lt;&gt;"",VLOOKUP(BA1531,Selects!$B$4:$C$100,2,0),"")</f>
        <v/>
      </c>
      <c r="BG1531" s="75" t="str">
        <f aca="false">IF(LEN(BF1531)=11,"PF",IF(LEN(BF1531)=14,"PJ",""))</f>
        <v/>
      </c>
      <c r="BH1531" s="66"/>
      <c r="BI1531" s="58" t="str">
        <f aca="false">IF(BH1531&lt;&gt;"",VLOOKUP(BH1531,Selects!$G:$H,2,0),"")</f>
        <v/>
      </c>
      <c r="CB1531" s="72" t="str">
        <f aca="false">IF(AC1531&lt;&gt;"",VLOOKUP(AC1531,Selects!$B:$E,4,0),"")</f>
        <v/>
      </c>
    </row>
    <row r="1532" customFormat="false" ht="15" hidden="true" customHeight="false" outlineLevel="0" collapsed="false">
      <c r="E1532" s="60" t="str">
        <f aca="false">IF(LEN(D1532)=11,"PF",IF(LEN(D1532)=14,"PJ",""))</f>
        <v/>
      </c>
      <c r="I1532" s="62"/>
      <c r="J1532" s="63" t="str">
        <f aca="false">IF(I1532&lt;&gt;"",VLOOKUP(I1532,'Legal Nature'!$E$2:$G$84,3,0),"")</f>
        <v/>
      </c>
      <c r="U1532" s="58" t="str">
        <f aca="false">IF( T1532&lt;&gt;"",VLOOKUP(T1532,Selects!$M$4:$N$1000,2,0),"")</f>
        <v/>
      </c>
      <c r="AD1532" s="72" t="str">
        <f aca="false">IF(AC1532&lt;&gt;"",VLOOKUP(AC1532,Selects!$B$4:$C$100,2,0),"")</f>
        <v/>
      </c>
      <c r="AH1532" s="65"/>
      <c r="AJ1532" s="66"/>
      <c r="AK1532" s="58"/>
      <c r="AM1532" s="68" t="str">
        <f aca="false">IF(LEFT(AL1532,1)="9","Celular",IF(AL1532="","","Fixo"))</f>
        <v/>
      </c>
      <c r="AN1532" s="58" t="str">
        <f aca="false">IF( AM1532&lt;&gt;"",VLOOKUP(AM1532,Selects!$M$4:$N$1000,2,0),"")</f>
        <v/>
      </c>
      <c r="BB1532" s="72" t="str">
        <f aca="false">IF(BA1532&lt;&gt;"",VLOOKUP(BA1532,Selects!$B$4:$C$100,2,0),"")</f>
        <v/>
      </c>
      <c r="BG1532" s="75" t="str">
        <f aca="false">IF(LEN(BF1532)=11,"PF",IF(LEN(BF1532)=14,"PJ",""))</f>
        <v/>
      </c>
      <c r="BH1532" s="66"/>
      <c r="BI1532" s="58" t="str">
        <f aca="false">IF(BH1532&lt;&gt;"",VLOOKUP(BH1532,Selects!$G:$H,2,0),"")</f>
        <v/>
      </c>
      <c r="CB1532" s="72" t="str">
        <f aca="false">IF(AC1532&lt;&gt;"",VLOOKUP(AC1532,Selects!$B:$E,4,0),"")</f>
        <v/>
      </c>
    </row>
    <row r="1533" customFormat="false" ht="15" hidden="true" customHeight="false" outlineLevel="0" collapsed="false">
      <c r="E1533" s="60" t="str">
        <f aca="false">IF(LEN(D1533)=11,"PF",IF(LEN(D1533)=14,"PJ",""))</f>
        <v/>
      </c>
      <c r="I1533" s="62"/>
      <c r="J1533" s="63" t="str">
        <f aca="false">IF(I1533&lt;&gt;"",VLOOKUP(I1533,'Legal Nature'!$E$2:$G$84,3,0),"")</f>
        <v/>
      </c>
      <c r="U1533" s="58" t="str">
        <f aca="false">IF( T1533&lt;&gt;"",VLOOKUP(T1533,Selects!$M$4:$N$1000,2,0),"")</f>
        <v/>
      </c>
      <c r="AD1533" s="72" t="str">
        <f aca="false">IF(AC1533&lt;&gt;"",VLOOKUP(AC1533,Selects!$B$4:$C$100,2,0),"")</f>
        <v/>
      </c>
      <c r="AH1533" s="65"/>
      <c r="AJ1533" s="66"/>
      <c r="AK1533" s="58"/>
      <c r="AM1533" s="68" t="str">
        <f aca="false">IF(LEFT(AL1533,1)="9","Celular",IF(AL1533="","","Fixo"))</f>
        <v/>
      </c>
      <c r="AN1533" s="58" t="str">
        <f aca="false">IF( AM1533&lt;&gt;"",VLOOKUP(AM1533,Selects!$M$4:$N$1000,2,0),"")</f>
        <v/>
      </c>
      <c r="BB1533" s="72" t="str">
        <f aca="false">IF(BA1533&lt;&gt;"",VLOOKUP(BA1533,Selects!$B$4:$C$100,2,0),"")</f>
        <v/>
      </c>
      <c r="BG1533" s="75" t="str">
        <f aca="false">IF(LEN(BF1533)=11,"PF",IF(LEN(BF1533)=14,"PJ",""))</f>
        <v/>
      </c>
      <c r="BH1533" s="66"/>
      <c r="BI1533" s="58" t="str">
        <f aca="false">IF(BH1533&lt;&gt;"",VLOOKUP(BH1533,Selects!$G:$H,2,0),"")</f>
        <v/>
      </c>
      <c r="CB1533" s="72" t="str">
        <f aca="false">IF(AC1533&lt;&gt;"",VLOOKUP(AC1533,Selects!$B:$E,4,0),"")</f>
        <v/>
      </c>
    </row>
    <row r="1534" customFormat="false" ht="15" hidden="true" customHeight="false" outlineLevel="0" collapsed="false">
      <c r="E1534" s="60" t="str">
        <f aca="false">IF(LEN(D1534)=11,"PF",IF(LEN(D1534)=14,"PJ",""))</f>
        <v/>
      </c>
      <c r="I1534" s="62"/>
      <c r="J1534" s="63" t="str">
        <f aca="false">IF(I1534&lt;&gt;"",VLOOKUP(I1534,'Legal Nature'!$E$2:$G$84,3,0),"")</f>
        <v/>
      </c>
      <c r="U1534" s="58" t="str">
        <f aca="false">IF( T1534&lt;&gt;"",VLOOKUP(T1534,Selects!$M$4:$N$1000,2,0),"")</f>
        <v/>
      </c>
      <c r="AD1534" s="72" t="str">
        <f aca="false">IF(AC1534&lt;&gt;"",VLOOKUP(AC1534,Selects!$B$4:$C$100,2,0),"")</f>
        <v/>
      </c>
      <c r="AH1534" s="65"/>
      <c r="AJ1534" s="66"/>
      <c r="AK1534" s="58"/>
      <c r="AM1534" s="68" t="str">
        <f aca="false">IF(LEFT(AL1534,1)="9","Celular",IF(AL1534="","","Fixo"))</f>
        <v/>
      </c>
      <c r="AN1534" s="58" t="str">
        <f aca="false">IF( AM1534&lt;&gt;"",VLOOKUP(AM1534,Selects!$M$4:$N$1000,2,0),"")</f>
        <v/>
      </c>
      <c r="BB1534" s="72" t="str">
        <f aca="false">IF(BA1534&lt;&gt;"",VLOOKUP(BA1534,Selects!$B$4:$C$100,2,0),"")</f>
        <v/>
      </c>
      <c r="BG1534" s="75" t="str">
        <f aca="false">IF(LEN(BF1534)=11,"PF",IF(LEN(BF1534)=14,"PJ",""))</f>
        <v/>
      </c>
      <c r="BH1534" s="66"/>
      <c r="BI1534" s="58" t="str">
        <f aca="false">IF(BH1534&lt;&gt;"",VLOOKUP(BH1534,Selects!$G:$H,2,0),"")</f>
        <v/>
      </c>
      <c r="CB1534" s="72" t="str">
        <f aca="false">IF(AC1534&lt;&gt;"",VLOOKUP(AC1534,Selects!$B:$E,4,0),"")</f>
        <v/>
      </c>
    </row>
    <row r="1535" customFormat="false" ht="15" hidden="true" customHeight="false" outlineLevel="0" collapsed="false">
      <c r="E1535" s="60" t="str">
        <f aca="false">IF(LEN(D1535)=11,"PF",IF(LEN(D1535)=14,"PJ",""))</f>
        <v/>
      </c>
      <c r="I1535" s="62"/>
      <c r="J1535" s="63" t="str">
        <f aca="false">IF(I1535&lt;&gt;"",VLOOKUP(I1535,'Legal Nature'!$E$2:$G$84,3,0),"")</f>
        <v/>
      </c>
      <c r="U1535" s="58" t="str">
        <f aca="false">IF( T1535&lt;&gt;"",VLOOKUP(T1535,Selects!$M$4:$N$1000,2,0),"")</f>
        <v/>
      </c>
      <c r="AD1535" s="72" t="str">
        <f aca="false">IF(AC1535&lt;&gt;"",VLOOKUP(AC1535,Selects!$B$4:$C$100,2,0),"")</f>
        <v/>
      </c>
      <c r="AH1535" s="65"/>
      <c r="AJ1535" s="66"/>
      <c r="AK1535" s="58"/>
      <c r="AM1535" s="68" t="str">
        <f aca="false">IF(LEFT(AL1535,1)="9","Celular",IF(AL1535="","","Fixo"))</f>
        <v/>
      </c>
      <c r="AN1535" s="58" t="str">
        <f aca="false">IF( AM1535&lt;&gt;"",VLOOKUP(AM1535,Selects!$M$4:$N$1000,2,0),"")</f>
        <v/>
      </c>
      <c r="BB1535" s="72" t="str">
        <f aca="false">IF(BA1535&lt;&gt;"",VLOOKUP(BA1535,Selects!$B$4:$C$100,2,0),"")</f>
        <v/>
      </c>
      <c r="BG1535" s="75" t="str">
        <f aca="false">IF(LEN(BF1535)=11,"PF",IF(LEN(BF1535)=14,"PJ",""))</f>
        <v/>
      </c>
      <c r="BH1535" s="66"/>
      <c r="BI1535" s="58" t="str">
        <f aca="false">IF(BH1535&lt;&gt;"",VLOOKUP(BH1535,Selects!$G:$H,2,0),"")</f>
        <v/>
      </c>
      <c r="CB1535" s="72" t="str">
        <f aca="false">IF(AC1535&lt;&gt;"",VLOOKUP(AC1535,Selects!$B:$E,4,0),"")</f>
        <v/>
      </c>
    </row>
    <row r="1536" customFormat="false" ht="15" hidden="true" customHeight="false" outlineLevel="0" collapsed="false">
      <c r="E1536" s="60" t="str">
        <f aca="false">IF(LEN(D1536)=11,"PF",IF(LEN(D1536)=14,"PJ",""))</f>
        <v/>
      </c>
      <c r="I1536" s="62"/>
      <c r="J1536" s="63" t="str">
        <f aca="false">IF(I1536&lt;&gt;"",VLOOKUP(I1536,'Legal Nature'!$E$2:$G$84,3,0),"")</f>
        <v/>
      </c>
      <c r="U1536" s="58" t="str">
        <f aca="false">IF( T1536&lt;&gt;"",VLOOKUP(T1536,Selects!$M$4:$N$1000,2,0),"")</f>
        <v/>
      </c>
      <c r="AD1536" s="72" t="str">
        <f aca="false">IF(AC1536&lt;&gt;"",VLOOKUP(AC1536,Selects!$B$4:$C$100,2,0),"")</f>
        <v/>
      </c>
      <c r="AH1536" s="65"/>
      <c r="AJ1536" s="66"/>
      <c r="AK1536" s="58"/>
      <c r="AM1536" s="68" t="str">
        <f aca="false">IF(LEFT(AL1536,1)="9","Celular",IF(AL1536="","","Fixo"))</f>
        <v/>
      </c>
      <c r="AN1536" s="58" t="str">
        <f aca="false">IF( AM1536&lt;&gt;"",VLOOKUP(AM1536,Selects!$M$4:$N$1000,2,0),"")</f>
        <v/>
      </c>
      <c r="BB1536" s="72" t="str">
        <f aca="false">IF(BA1536&lt;&gt;"",VLOOKUP(BA1536,Selects!$B$4:$C$100,2,0),"")</f>
        <v/>
      </c>
      <c r="BG1536" s="75" t="str">
        <f aca="false">IF(LEN(BF1536)=11,"PF",IF(LEN(BF1536)=14,"PJ",""))</f>
        <v/>
      </c>
      <c r="BH1536" s="66"/>
      <c r="BI1536" s="58" t="str">
        <f aca="false">IF(BH1536&lt;&gt;"",VLOOKUP(BH1536,Selects!$G:$H,2,0),"")</f>
        <v/>
      </c>
      <c r="CB1536" s="72" t="str">
        <f aca="false">IF(AC1536&lt;&gt;"",VLOOKUP(AC1536,Selects!$B:$E,4,0),"")</f>
        <v/>
      </c>
    </row>
    <row r="1537" customFormat="false" ht="15" hidden="true" customHeight="false" outlineLevel="0" collapsed="false">
      <c r="E1537" s="60" t="str">
        <f aca="false">IF(LEN(D1537)=11,"PF",IF(LEN(D1537)=14,"PJ",""))</f>
        <v/>
      </c>
      <c r="I1537" s="62"/>
      <c r="J1537" s="63" t="str">
        <f aca="false">IF(I1537&lt;&gt;"",VLOOKUP(I1537,'Legal Nature'!$E$2:$G$84,3,0),"")</f>
        <v/>
      </c>
      <c r="U1537" s="58" t="str">
        <f aca="false">IF( T1537&lt;&gt;"",VLOOKUP(T1537,Selects!$M$4:$N$1000,2,0),"")</f>
        <v/>
      </c>
      <c r="AD1537" s="72" t="str">
        <f aca="false">IF(AC1537&lt;&gt;"",VLOOKUP(AC1537,Selects!$B$4:$C$100,2,0),"")</f>
        <v/>
      </c>
      <c r="AH1537" s="65"/>
      <c r="AJ1537" s="66"/>
      <c r="AK1537" s="58"/>
      <c r="AM1537" s="68" t="str">
        <f aca="false">IF(LEFT(AL1537,1)="9","Celular",IF(AL1537="","","Fixo"))</f>
        <v/>
      </c>
      <c r="AN1537" s="58" t="str">
        <f aca="false">IF( AM1537&lt;&gt;"",VLOOKUP(AM1537,Selects!$M$4:$N$1000,2,0),"")</f>
        <v/>
      </c>
      <c r="BB1537" s="72" t="str">
        <f aca="false">IF(BA1537&lt;&gt;"",VLOOKUP(BA1537,Selects!$B$4:$C$100,2,0),"")</f>
        <v/>
      </c>
      <c r="BG1537" s="75" t="str">
        <f aca="false">IF(LEN(BF1537)=11,"PF",IF(LEN(BF1537)=14,"PJ",""))</f>
        <v/>
      </c>
      <c r="BH1537" s="66"/>
      <c r="BI1537" s="58" t="str">
        <f aca="false">IF(BH1537&lt;&gt;"",VLOOKUP(BH1537,Selects!$G:$H,2,0),"")</f>
        <v/>
      </c>
      <c r="CB1537" s="72" t="str">
        <f aca="false">IF(AC1537&lt;&gt;"",VLOOKUP(AC1537,Selects!$B:$E,4,0),"")</f>
        <v/>
      </c>
    </row>
    <row r="1538" customFormat="false" ht="15" hidden="true" customHeight="false" outlineLevel="0" collapsed="false">
      <c r="E1538" s="60" t="str">
        <f aca="false">IF(LEN(D1538)=11,"PF",IF(LEN(D1538)=14,"PJ",""))</f>
        <v/>
      </c>
      <c r="I1538" s="62"/>
      <c r="J1538" s="63" t="str">
        <f aca="false">IF(I1538&lt;&gt;"",VLOOKUP(I1538,'Legal Nature'!$E$2:$G$84,3,0),"")</f>
        <v/>
      </c>
      <c r="U1538" s="58" t="str">
        <f aca="false">IF( T1538&lt;&gt;"",VLOOKUP(T1538,Selects!$M$4:$N$1000,2,0),"")</f>
        <v/>
      </c>
      <c r="AD1538" s="72" t="str">
        <f aca="false">IF(AC1538&lt;&gt;"",VLOOKUP(AC1538,Selects!$B$4:$C$100,2,0),"")</f>
        <v/>
      </c>
      <c r="AH1538" s="65"/>
      <c r="AJ1538" s="66"/>
      <c r="AK1538" s="58"/>
      <c r="AM1538" s="68" t="str">
        <f aca="false">IF(LEFT(AL1538,1)="9","Celular",IF(AL1538="","","Fixo"))</f>
        <v/>
      </c>
      <c r="AN1538" s="58" t="str">
        <f aca="false">IF( AM1538&lt;&gt;"",VLOOKUP(AM1538,Selects!$M$4:$N$1000,2,0),"")</f>
        <v/>
      </c>
      <c r="BB1538" s="72" t="str">
        <f aca="false">IF(BA1538&lt;&gt;"",VLOOKUP(BA1538,Selects!$B$4:$C$100,2,0),"")</f>
        <v/>
      </c>
      <c r="BG1538" s="75" t="str">
        <f aca="false">IF(LEN(BF1538)=11,"PF",IF(LEN(BF1538)=14,"PJ",""))</f>
        <v/>
      </c>
      <c r="BH1538" s="66"/>
      <c r="BI1538" s="58" t="str">
        <f aca="false">IF(BH1538&lt;&gt;"",VLOOKUP(BH1538,Selects!$G:$H,2,0),"")</f>
        <v/>
      </c>
      <c r="CB1538" s="72" t="str">
        <f aca="false">IF(AC1538&lt;&gt;"",VLOOKUP(AC1538,Selects!$B:$E,4,0),"")</f>
        <v/>
      </c>
    </row>
    <row r="1539" customFormat="false" ht="15" hidden="true" customHeight="false" outlineLevel="0" collapsed="false">
      <c r="E1539" s="60" t="str">
        <f aca="false">IF(LEN(D1539)=11,"PF",IF(LEN(D1539)=14,"PJ",""))</f>
        <v/>
      </c>
      <c r="I1539" s="62"/>
      <c r="J1539" s="63" t="str">
        <f aca="false">IF(I1539&lt;&gt;"",VLOOKUP(I1539,'Legal Nature'!$E$2:$G$84,3,0),"")</f>
        <v/>
      </c>
      <c r="U1539" s="58" t="str">
        <f aca="false">IF( T1539&lt;&gt;"",VLOOKUP(T1539,Selects!$M$4:$N$1000,2,0),"")</f>
        <v/>
      </c>
      <c r="AD1539" s="72" t="str">
        <f aca="false">IF(AC1539&lt;&gt;"",VLOOKUP(AC1539,Selects!$B$4:$C$100,2,0),"")</f>
        <v/>
      </c>
      <c r="AH1539" s="65"/>
      <c r="AJ1539" s="66"/>
      <c r="AK1539" s="58"/>
      <c r="AM1539" s="68" t="str">
        <f aca="false">IF(LEFT(AL1539,1)="9","Celular",IF(AL1539="","","Fixo"))</f>
        <v/>
      </c>
      <c r="AN1539" s="58" t="str">
        <f aca="false">IF( AM1539&lt;&gt;"",VLOOKUP(AM1539,Selects!$M$4:$N$1000,2,0),"")</f>
        <v/>
      </c>
      <c r="BB1539" s="72" t="str">
        <f aca="false">IF(BA1539&lt;&gt;"",VLOOKUP(BA1539,Selects!$B$4:$C$100,2,0),"")</f>
        <v/>
      </c>
      <c r="BG1539" s="75" t="str">
        <f aca="false">IF(LEN(BF1539)=11,"PF",IF(LEN(BF1539)=14,"PJ",""))</f>
        <v/>
      </c>
      <c r="BH1539" s="66"/>
      <c r="BI1539" s="58" t="str">
        <f aca="false">IF(BH1539&lt;&gt;"",VLOOKUP(BH1539,Selects!$G:$H,2,0),"")</f>
        <v/>
      </c>
      <c r="CB1539" s="72" t="str">
        <f aca="false">IF(AC1539&lt;&gt;"",VLOOKUP(AC1539,Selects!$B:$E,4,0),"")</f>
        <v/>
      </c>
    </row>
    <row r="1540" customFormat="false" ht="15" hidden="true" customHeight="false" outlineLevel="0" collapsed="false">
      <c r="E1540" s="60" t="str">
        <f aca="false">IF(LEN(D1540)=11,"PF",IF(LEN(D1540)=14,"PJ",""))</f>
        <v/>
      </c>
      <c r="I1540" s="62"/>
      <c r="J1540" s="63" t="str">
        <f aca="false">IF(I1540&lt;&gt;"",VLOOKUP(I1540,'Legal Nature'!$E$2:$G$84,3,0),"")</f>
        <v/>
      </c>
      <c r="U1540" s="58" t="str">
        <f aca="false">IF( T1540&lt;&gt;"",VLOOKUP(T1540,Selects!$M$4:$N$1000,2,0),"")</f>
        <v/>
      </c>
      <c r="AD1540" s="72" t="str">
        <f aca="false">IF(AC1540&lt;&gt;"",VLOOKUP(AC1540,Selects!$B$4:$C$100,2,0),"")</f>
        <v/>
      </c>
      <c r="AH1540" s="65"/>
      <c r="AJ1540" s="66"/>
      <c r="AK1540" s="58"/>
      <c r="AM1540" s="68" t="str">
        <f aca="false">IF(LEFT(AL1540,1)="9","Celular",IF(AL1540="","","Fixo"))</f>
        <v/>
      </c>
      <c r="AN1540" s="58" t="str">
        <f aca="false">IF( AM1540&lt;&gt;"",VLOOKUP(AM1540,Selects!$M$4:$N$1000,2,0),"")</f>
        <v/>
      </c>
      <c r="BB1540" s="72" t="str">
        <f aca="false">IF(BA1540&lt;&gt;"",VLOOKUP(BA1540,Selects!$B$4:$C$100,2,0),"")</f>
        <v/>
      </c>
      <c r="BG1540" s="75" t="str">
        <f aca="false">IF(LEN(BF1540)=11,"PF",IF(LEN(BF1540)=14,"PJ",""))</f>
        <v/>
      </c>
      <c r="BH1540" s="66"/>
      <c r="BI1540" s="58" t="str">
        <f aca="false">IF(BH1540&lt;&gt;"",VLOOKUP(BH1540,Selects!$G:$H,2,0),"")</f>
        <v/>
      </c>
      <c r="CB1540" s="72" t="str">
        <f aca="false">IF(AC1540&lt;&gt;"",VLOOKUP(AC1540,Selects!$B:$E,4,0),"")</f>
        <v/>
      </c>
    </row>
    <row r="1541" customFormat="false" ht="15" hidden="true" customHeight="false" outlineLevel="0" collapsed="false">
      <c r="E1541" s="60" t="str">
        <f aca="false">IF(LEN(D1541)=11,"PF",IF(LEN(D1541)=14,"PJ",""))</f>
        <v/>
      </c>
      <c r="I1541" s="62"/>
      <c r="J1541" s="63" t="str">
        <f aca="false">IF(I1541&lt;&gt;"",VLOOKUP(I1541,'Legal Nature'!$E$2:$G$84,3,0),"")</f>
        <v/>
      </c>
      <c r="U1541" s="58" t="str">
        <f aca="false">IF( T1541&lt;&gt;"",VLOOKUP(T1541,Selects!$M$4:$N$1000,2,0),"")</f>
        <v/>
      </c>
      <c r="AD1541" s="72" t="str">
        <f aca="false">IF(AC1541&lt;&gt;"",VLOOKUP(AC1541,Selects!$B$4:$C$100,2,0),"")</f>
        <v/>
      </c>
      <c r="AH1541" s="65"/>
      <c r="AJ1541" s="66"/>
      <c r="AK1541" s="58"/>
      <c r="AM1541" s="68" t="str">
        <f aca="false">IF(LEFT(AL1541,1)="9","Celular",IF(AL1541="","","Fixo"))</f>
        <v/>
      </c>
      <c r="AN1541" s="58" t="str">
        <f aca="false">IF( AM1541&lt;&gt;"",VLOOKUP(AM1541,Selects!$M$4:$N$1000,2,0),"")</f>
        <v/>
      </c>
      <c r="BB1541" s="72" t="str">
        <f aca="false">IF(BA1541&lt;&gt;"",VLOOKUP(BA1541,Selects!$B$4:$C$100,2,0),"")</f>
        <v/>
      </c>
      <c r="BG1541" s="75" t="str">
        <f aca="false">IF(LEN(BF1541)=11,"PF",IF(LEN(BF1541)=14,"PJ",""))</f>
        <v/>
      </c>
      <c r="BH1541" s="66"/>
      <c r="BI1541" s="58" t="str">
        <f aca="false">IF(BH1541&lt;&gt;"",VLOOKUP(BH1541,Selects!$G:$H,2,0),"")</f>
        <v/>
      </c>
      <c r="CB1541" s="72" t="str">
        <f aca="false">IF(AC1541&lt;&gt;"",VLOOKUP(AC1541,Selects!$B:$E,4,0),"")</f>
        <v/>
      </c>
    </row>
    <row r="1542" customFormat="false" ht="15" hidden="true" customHeight="false" outlineLevel="0" collapsed="false">
      <c r="E1542" s="60" t="str">
        <f aca="false">IF(LEN(D1542)=11,"PF",IF(LEN(D1542)=14,"PJ",""))</f>
        <v/>
      </c>
      <c r="I1542" s="62"/>
      <c r="J1542" s="63" t="str">
        <f aca="false">IF(I1542&lt;&gt;"",VLOOKUP(I1542,'Legal Nature'!$E$2:$G$84,3,0),"")</f>
        <v/>
      </c>
      <c r="U1542" s="58" t="str">
        <f aca="false">IF( T1542&lt;&gt;"",VLOOKUP(T1542,Selects!$M$4:$N$1000,2,0),"")</f>
        <v/>
      </c>
      <c r="AD1542" s="72" t="str">
        <f aca="false">IF(AC1542&lt;&gt;"",VLOOKUP(AC1542,Selects!$B$4:$C$100,2,0),"")</f>
        <v/>
      </c>
      <c r="AH1542" s="65"/>
      <c r="AJ1542" s="66"/>
      <c r="AK1542" s="58"/>
      <c r="AM1542" s="68" t="str">
        <f aca="false">IF(LEFT(AL1542,1)="9","Celular",IF(AL1542="","","Fixo"))</f>
        <v/>
      </c>
      <c r="AN1542" s="58" t="str">
        <f aca="false">IF( AM1542&lt;&gt;"",VLOOKUP(AM1542,Selects!$M$4:$N$1000,2,0),"")</f>
        <v/>
      </c>
      <c r="BB1542" s="72" t="str">
        <f aca="false">IF(BA1542&lt;&gt;"",VLOOKUP(BA1542,Selects!$B$4:$C$100,2,0),"")</f>
        <v/>
      </c>
      <c r="BG1542" s="75" t="str">
        <f aca="false">IF(LEN(BF1542)=11,"PF",IF(LEN(BF1542)=14,"PJ",""))</f>
        <v/>
      </c>
      <c r="BH1542" s="66"/>
      <c r="BI1542" s="58" t="str">
        <f aca="false">IF(BH1542&lt;&gt;"",VLOOKUP(BH1542,Selects!$G:$H,2,0),"")</f>
        <v/>
      </c>
      <c r="CB1542" s="72" t="str">
        <f aca="false">IF(AC1542&lt;&gt;"",VLOOKUP(AC1542,Selects!$B:$E,4,0),"")</f>
        <v/>
      </c>
    </row>
    <row r="1543" customFormat="false" ht="15" hidden="true" customHeight="false" outlineLevel="0" collapsed="false">
      <c r="E1543" s="60" t="str">
        <f aca="false">IF(LEN(D1543)=11,"PF",IF(LEN(D1543)=14,"PJ",""))</f>
        <v/>
      </c>
      <c r="I1543" s="62"/>
      <c r="J1543" s="63" t="str">
        <f aca="false">IF(I1543&lt;&gt;"",VLOOKUP(I1543,'Legal Nature'!$E$2:$G$84,3,0),"")</f>
        <v/>
      </c>
      <c r="U1543" s="58" t="str">
        <f aca="false">IF( T1543&lt;&gt;"",VLOOKUP(T1543,Selects!$M$4:$N$1000,2,0),"")</f>
        <v/>
      </c>
      <c r="AD1543" s="72" t="str">
        <f aca="false">IF(AC1543&lt;&gt;"",VLOOKUP(AC1543,Selects!$B$4:$C$100,2,0),"")</f>
        <v/>
      </c>
      <c r="AH1543" s="65"/>
      <c r="AJ1543" s="66"/>
      <c r="AK1543" s="58"/>
      <c r="AM1543" s="68" t="str">
        <f aca="false">IF(LEFT(AL1543,1)="9","Celular",IF(AL1543="","","Fixo"))</f>
        <v/>
      </c>
      <c r="AN1543" s="58" t="str">
        <f aca="false">IF( AM1543&lt;&gt;"",VLOOKUP(AM1543,Selects!$M$4:$N$1000,2,0),"")</f>
        <v/>
      </c>
      <c r="BB1543" s="72" t="str">
        <f aca="false">IF(BA1543&lt;&gt;"",VLOOKUP(BA1543,Selects!$B$4:$C$100,2,0),"")</f>
        <v/>
      </c>
      <c r="BG1543" s="75" t="str">
        <f aca="false">IF(LEN(BF1543)=11,"PF",IF(LEN(BF1543)=14,"PJ",""))</f>
        <v/>
      </c>
      <c r="BH1543" s="66"/>
      <c r="BI1543" s="58" t="str">
        <f aca="false">IF(BH1543&lt;&gt;"",VLOOKUP(BH1543,Selects!$G:$H,2,0),"")</f>
        <v/>
      </c>
      <c r="CB1543" s="72" t="str">
        <f aca="false">IF(AC1543&lt;&gt;"",VLOOKUP(AC1543,Selects!$B:$E,4,0),"")</f>
        <v/>
      </c>
    </row>
    <row r="1544" customFormat="false" ht="15" hidden="true" customHeight="false" outlineLevel="0" collapsed="false">
      <c r="E1544" s="60" t="str">
        <f aca="false">IF(LEN(D1544)=11,"PF",IF(LEN(D1544)=14,"PJ",""))</f>
        <v/>
      </c>
      <c r="I1544" s="62"/>
      <c r="J1544" s="63" t="str">
        <f aca="false">IF(I1544&lt;&gt;"",VLOOKUP(I1544,'Legal Nature'!$E$2:$G$84,3,0),"")</f>
        <v/>
      </c>
      <c r="U1544" s="58" t="str">
        <f aca="false">IF( T1544&lt;&gt;"",VLOOKUP(T1544,Selects!$M$4:$N$1000,2,0),"")</f>
        <v/>
      </c>
      <c r="AD1544" s="72" t="str">
        <f aca="false">IF(AC1544&lt;&gt;"",VLOOKUP(AC1544,Selects!$B$4:$C$100,2,0),"")</f>
        <v/>
      </c>
      <c r="AH1544" s="65"/>
      <c r="AJ1544" s="66"/>
      <c r="AK1544" s="58"/>
      <c r="AM1544" s="68" t="str">
        <f aca="false">IF(LEFT(AL1544,1)="9","Celular",IF(AL1544="","","Fixo"))</f>
        <v/>
      </c>
      <c r="AN1544" s="58" t="str">
        <f aca="false">IF( AM1544&lt;&gt;"",VLOOKUP(AM1544,Selects!$M$4:$N$1000,2,0),"")</f>
        <v/>
      </c>
      <c r="BB1544" s="72" t="str">
        <f aca="false">IF(BA1544&lt;&gt;"",VLOOKUP(BA1544,Selects!$B$4:$C$100,2,0),"")</f>
        <v/>
      </c>
      <c r="BG1544" s="75" t="str">
        <f aca="false">IF(LEN(BF1544)=11,"PF",IF(LEN(BF1544)=14,"PJ",""))</f>
        <v/>
      </c>
      <c r="BH1544" s="66"/>
      <c r="BI1544" s="58" t="str">
        <f aca="false">IF(BH1544&lt;&gt;"",VLOOKUP(BH1544,Selects!$G:$H,2,0),"")</f>
        <v/>
      </c>
      <c r="CB1544" s="72" t="str">
        <f aca="false">IF(AC1544&lt;&gt;"",VLOOKUP(AC1544,Selects!$B:$E,4,0),"")</f>
        <v/>
      </c>
    </row>
    <row r="1545" customFormat="false" ht="15" hidden="true" customHeight="false" outlineLevel="0" collapsed="false">
      <c r="E1545" s="60" t="str">
        <f aca="false">IF(LEN(D1545)=11,"PF",IF(LEN(D1545)=14,"PJ",""))</f>
        <v/>
      </c>
      <c r="I1545" s="62"/>
      <c r="J1545" s="63" t="str">
        <f aca="false">IF(I1545&lt;&gt;"",VLOOKUP(I1545,'Legal Nature'!$E$2:$G$84,3,0),"")</f>
        <v/>
      </c>
      <c r="U1545" s="58" t="str">
        <f aca="false">IF( T1545&lt;&gt;"",VLOOKUP(T1545,Selects!$M$4:$N$1000,2,0),"")</f>
        <v/>
      </c>
      <c r="AD1545" s="72" t="str">
        <f aca="false">IF(AC1545&lt;&gt;"",VLOOKUP(AC1545,Selects!$B$4:$C$100,2,0),"")</f>
        <v/>
      </c>
      <c r="AH1545" s="65"/>
      <c r="AJ1545" s="66"/>
      <c r="AK1545" s="58"/>
      <c r="AM1545" s="68" t="str">
        <f aca="false">IF(LEFT(AL1545,1)="9","Celular",IF(AL1545="","","Fixo"))</f>
        <v/>
      </c>
      <c r="AN1545" s="58" t="str">
        <f aca="false">IF( AM1545&lt;&gt;"",VLOOKUP(AM1545,Selects!$M$4:$N$1000,2,0),"")</f>
        <v/>
      </c>
      <c r="BB1545" s="72" t="str">
        <f aca="false">IF(BA1545&lt;&gt;"",VLOOKUP(BA1545,Selects!$B$4:$C$100,2,0),"")</f>
        <v/>
      </c>
      <c r="BG1545" s="75" t="str">
        <f aca="false">IF(LEN(BF1545)=11,"PF",IF(LEN(BF1545)=14,"PJ",""))</f>
        <v/>
      </c>
      <c r="BH1545" s="66"/>
      <c r="BI1545" s="58" t="str">
        <f aca="false">IF(BH1545&lt;&gt;"",VLOOKUP(BH1545,Selects!$G:$H,2,0),"")</f>
        <v/>
      </c>
      <c r="CB1545" s="72" t="str">
        <f aca="false">IF(AC1545&lt;&gt;"",VLOOKUP(AC1545,Selects!$B:$E,4,0),"")</f>
        <v/>
      </c>
    </row>
    <row r="1546" customFormat="false" ht="15" hidden="true" customHeight="false" outlineLevel="0" collapsed="false">
      <c r="E1546" s="60" t="str">
        <f aca="false">IF(LEN(D1546)=11,"PF",IF(LEN(D1546)=14,"PJ",""))</f>
        <v/>
      </c>
      <c r="I1546" s="62"/>
      <c r="J1546" s="63" t="str">
        <f aca="false">IF(I1546&lt;&gt;"",VLOOKUP(I1546,'Legal Nature'!$E$2:$G$84,3,0),"")</f>
        <v/>
      </c>
      <c r="U1546" s="58" t="str">
        <f aca="false">IF( T1546&lt;&gt;"",VLOOKUP(T1546,Selects!$M$4:$N$1000,2,0),"")</f>
        <v/>
      </c>
      <c r="AD1546" s="72" t="str">
        <f aca="false">IF(AC1546&lt;&gt;"",VLOOKUP(AC1546,Selects!$B$4:$C$100,2,0),"")</f>
        <v/>
      </c>
      <c r="AH1546" s="65"/>
      <c r="AJ1546" s="66"/>
      <c r="AK1546" s="58"/>
      <c r="AM1546" s="68" t="str">
        <f aca="false">IF(LEFT(AL1546,1)="9","Celular",IF(AL1546="","","Fixo"))</f>
        <v/>
      </c>
      <c r="AN1546" s="58" t="str">
        <f aca="false">IF( AM1546&lt;&gt;"",VLOOKUP(AM1546,Selects!$M$4:$N$1000,2,0),"")</f>
        <v/>
      </c>
      <c r="BB1546" s="72" t="str">
        <f aca="false">IF(BA1546&lt;&gt;"",VLOOKUP(BA1546,Selects!$B$4:$C$100,2,0),"")</f>
        <v/>
      </c>
      <c r="BG1546" s="75" t="str">
        <f aca="false">IF(LEN(BF1546)=11,"PF",IF(LEN(BF1546)=14,"PJ",""))</f>
        <v/>
      </c>
      <c r="BH1546" s="66"/>
      <c r="BI1546" s="58" t="str">
        <f aca="false">IF(BH1546&lt;&gt;"",VLOOKUP(BH1546,Selects!$G:$H,2,0),"")</f>
        <v/>
      </c>
      <c r="CB1546" s="72" t="str">
        <f aca="false">IF(AC1546&lt;&gt;"",VLOOKUP(AC1546,Selects!$B:$E,4,0),"")</f>
        <v/>
      </c>
    </row>
    <row r="1547" customFormat="false" ht="15" hidden="true" customHeight="false" outlineLevel="0" collapsed="false">
      <c r="E1547" s="60" t="str">
        <f aca="false">IF(LEN(D1547)=11,"PF",IF(LEN(D1547)=14,"PJ",""))</f>
        <v/>
      </c>
      <c r="I1547" s="62"/>
      <c r="J1547" s="63" t="str">
        <f aca="false">IF(I1547&lt;&gt;"",VLOOKUP(I1547,'Legal Nature'!$E$2:$G$84,3,0),"")</f>
        <v/>
      </c>
      <c r="U1547" s="58" t="str">
        <f aca="false">IF( T1547&lt;&gt;"",VLOOKUP(T1547,Selects!$M$4:$N$1000,2,0),"")</f>
        <v/>
      </c>
      <c r="AD1547" s="72" t="str">
        <f aca="false">IF(AC1547&lt;&gt;"",VLOOKUP(AC1547,Selects!$B$4:$C$100,2,0),"")</f>
        <v/>
      </c>
      <c r="AH1547" s="65"/>
      <c r="AJ1547" s="66"/>
      <c r="AK1547" s="58"/>
      <c r="AM1547" s="68" t="str">
        <f aca="false">IF(LEFT(AL1547,1)="9","Celular",IF(AL1547="","","Fixo"))</f>
        <v/>
      </c>
      <c r="AN1547" s="58" t="str">
        <f aca="false">IF( AM1547&lt;&gt;"",VLOOKUP(AM1547,Selects!$M$4:$N$1000,2,0),"")</f>
        <v/>
      </c>
      <c r="BB1547" s="72" t="str">
        <f aca="false">IF(BA1547&lt;&gt;"",VLOOKUP(BA1547,Selects!$B$4:$C$100,2,0),"")</f>
        <v/>
      </c>
      <c r="BG1547" s="75" t="str">
        <f aca="false">IF(LEN(BF1547)=11,"PF",IF(LEN(BF1547)=14,"PJ",""))</f>
        <v/>
      </c>
      <c r="BH1547" s="66"/>
      <c r="BI1547" s="58" t="str">
        <f aca="false">IF(BH1547&lt;&gt;"",VLOOKUP(BH1547,Selects!$G:$H,2,0),"")</f>
        <v/>
      </c>
      <c r="CB1547" s="72" t="str">
        <f aca="false">IF(AC1547&lt;&gt;"",VLOOKUP(AC1547,Selects!$B:$E,4,0),"")</f>
        <v/>
      </c>
    </row>
    <row r="1548" customFormat="false" ht="15" hidden="true" customHeight="false" outlineLevel="0" collapsed="false">
      <c r="E1548" s="60" t="str">
        <f aca="false">IF(LEN(D1548)=11,"PF",IF(LEN(D1548)=14,"PJ",""))</f>
        <v/>
      </c>
      <c r="I1548" s="62"/>
      <c r="J1548" s="63" t="str">
        <f aca="false">IF(I1548&lt;&gt;"",VLOOKUP(I1548,'Legal Nature'!$E$2:$G$84,3,0),"")</f>
        <v/>
      </c>
      <c r="U1548" s="58" t="str">
        <f aca="false">IF( T1548&lt;&gt;"",VLOOKUP(T1548,Selects!$M$4:$N$1000,2,0),"")</f>
        <v/>
      </c>
      <c r="AD1548" s="72" t="str">
        <f aca="false">IF(AC1548&lt;&gt;"",VLOOKUP(AC1548,Selects!$B$4:$C$100,2,0),"")</f>
        <v/>
      </c>
      <c r="AH1548" s="65"/>
      <c r="AJ1548" s="66"/>
      <c r="AK1548" s="58"/>
      <c r="AM1548" s="68" t="str">
        <f aca="false">IF(LEFT(AL1548,1)="9","Celular",IF(AL1548="","","Fixo"))</f>
        <v/>
      </c>
      <c r="AN1548" s="58" t="str">
        <f aca="false">IF( AM1548&lt;&gt;"",VLOOKUP(AM1548,Selects!$M$4:$N$1000,2,0),"")</f>
        <v/>
      </c>
      <c r="BB1548" s="72" t="str">
        <f aca="false">IF(BA1548&lt;&gt;"",VLOOKUP(BA1548,Selects!$B$4:$C$100,2,0),"")</f>
        <v/>
      </c>
      <c r="BG1548" s="75" t="str">
        <f aca="false">IF(LEN(BF1548)=11,"PF",IF(LEN(BF1548)=14,"PJ",""))</f>
        <v/>
      </c>
      <c r="BH1548" s="66"/>
      <c r="BI1548" s="58" t="str">
        <f aca="false">IF(BH1548&lt;&gt;"",VLOOKUP(BH1548,Selects!$G:$H,2,0),"")</f>
        <v/>
      </c>
      <c r="CB1548" s="72" t="str">
        <f aca="false">IF(AC1548&lt;&gt;"",VLOOKUP(AC1548,Selects!$B:$E,4,0),"")</f>
        <v/>
      </c>
    </row>
    <row r="1549" customFormat="false" ht="15" hidden="true" customHeight="false" outlineLevel="0" collapsed="false">
      <c r="E1549" s="60" t="str">
        <f aca="false">IF(LEN(D1549)=11,"PF",IF(LEN(D1549)=14,"PJ",""))</f>
        <v/>
      </c>
      <c r="I1549" s="62"/>
      <c r="J1549" s="63" t="str">
        <f aca="false">IF(I1549&lt;&gt;"",VLOOKUP(I1549,'Legal Nature'!$E$2:$G$84,3,0),"")</f>
        <v/>
      </c>
      <c r="U1549" s="58" t="str">
        <f aca="false">IF( T1549&lt;&gt;"",VLOOKUP(T1549,Selects!$M$4:$N$1000,2,0),"")</f>
        <v/>
      </c>
      <c r="AD1549" s="72" t="str">
        <f aca="false">IF(AC1549&lt;&gt;"",VLOOKUP(AC1549,Selects!$B$4:$C$100,2,0),"")</f>
        <v/>
      </c>
      <c r="AH1549" s="65"/>
      <c r="AJ1549" s="66"/>
      <c r="AK1549" s="58"/>
      <c r="AM1549" s="68" t="str">
        <f aca="false">IF(LEFT(AL1549,1)="9","Celular",IF(AL1549="","","Fixo"))</f>
        <v/>
      </c>
      <c r="AN1549" s="58" t="str">
        <f aca="false">IF( AM1549&lt;&gt;"",VLOOKUP(AM1549,Selects!$M$4:$N$1000,2,0),"")</f>
        <v/>
      </c>
      <c r="BB1549" s="72" t="str">
        <f aca="false">IF(BA1549&lt;&gt;"",VLOOKUP(BA1549,Selects!$B$4:$C$100,2,0),"")</f>
        <v/>
      </c>
      <c r="BG1549" s="75" t="str">
        <f aca="false">IF(LEN(BF1549)=11,"PF",IF(LEN(BF1549)=14,"PJ",""))</f>
        <v/>
      </c>
      <c r="BH1549" s="66"/>
      <c r="BI1549" s="58" t="str">
        <f aca="false">IF(BH1549&lt;&gt;"",VLOOKUP(BH1549,Selects!$G:$H,2,0),"")</f>
        <v/>
      </c>
      <c r="CB1549" s="72" t="str">
        <f aca="false">IF(AC1549&lt;&gt;"",VLOOKUP(AC1549,Selects!$B:$E,4,0),"")</f>
        <v/>
      </c>
    </row>
    <row r="1550" customFormat="false" ht="15" hidden="true" customHeight="false" outlineLevel="0" collapsed="false">
      <c r="E1550" s="60" t="str">
        <f aca="false">IF(LEN(D1550)=11,"PF",IF(LEN(D1550)=14,"PJ",""))</f>
        <v/>
      </c>
      <c r="I1550" s="62"/>
      <c r="J1550" s="63" t="str">
        <f aca="false">IF(I1550&lt;&gt;"",VLOOKUP(I1550,'Legal Nature'!$E$2:$G$84,3,0),"")</f>
        <v/>
      </c>
      <c r="U1550" s="58" t="str">
        <f aca="false">IF( T1550&lt;&gt;"",VLOOKUP(T1550,Selects!$M$4:$N$1000,2,0),"")</f>
        <v/>
      </c>
      <c r="AD1550" s="72" t="str">
        <f aca="false">IF(AC1550&lt;&gt;"",VLOOKUP(AC1550,Selects!$B$4:$C$100,2,0),"")</f>
        <v/>
      </c>
      <c r="AH1550" s="65"/>
      <c r="AJ1550" s="66"/>
      <c r="AK1550" s="58"/>
      <c r="AM1550" s="68" t="str">
        <f aca="false">IF(LEFT(AL1550,1)="9","Celular",IF(AL1550="","","Fixo"))</f>
        <v/>
      </c>
      <c r="AN1550" s="58" t="str">
        <f aca="false">IF( AM1550&lt;&gt;"",VLOOKUP(AM1550,Selects!$M$4:$N$1000,2,0),"")</f>
        <v/>
      </c>
      <c r="BB1550" s="72" t="str">
        <f aca="false">IF(BA1550&lt;&gt;"",VLOOKUP(BA1550,Selects!$B$4:$C$100,2,0),"")</f>
        <v/>
      </c>
      <c r="BG1550" s="75" t="str">
        <f aca="false">IF(LEN(BF1550)=11,"PF",IF(LEN(BF1550)=14,"PJ",""))</f>
        <v/>
      </c>
      <c r="BH1550" s="66"/>
      <c r="BI1550" s="58" t="str">
        <f aca="false">IF(BH1550&lt;&gt;"",VLOOKUP(BH1550,Selects!$G:$H,2,0),"")</f>
        <v/>
      </c>
      <c r="CB1550" s="72" t="str">
        <f aca="false">IF(AC1550&lt;&gt;"",VLOOKUP(AC1550,Selects!$B:$E,4,0),"")</f>
        <v/>
      </c>
    </row>
    <row r="1551" customFormat="false" ht="15" hidden="true" customHeight="false" outlineLevel="0" collapsed="false">
      <c r="E1551" s="60" t="str">
        <f aca="false">IF(LEN(D1551)=11,"PF",IF(LEN(D1551)=14,"PJ",""))</f>
        <v/>
      </c>
      <c r="I1551" s="62"/>
      <c r="J1551" s="63" t="str">
        <f aca="false">IF(I1551&lt;&gt;"",VLOOKUP(I1551,'Legal Nature'!$E$2:$G$84,3,0),"")</f>
        <v/>
      </c>
      <c r="U1551" s="58" t="str">
        <f aca="false">IF( T1551&lt;&gt;"",VLOOKUP(T1551,Selects!$M$4:$N$1000,2,0),"")</f>
        <v/>
      </c>
      <c r="AD1551" s="72" t="str">
        <f aca="false">IF(AC1551&lt;&gt;"",VLOOKUP(AC1551,Selects!$B$4:$C$100,2,0),"")</f>
        <v/>
      </c>
      <c r="AH1551" s="65"/>
      <c r="AJ1551" s="66"/>
      <c r="AK1551" s="58"/>
      <c r="AM1551" s="68" t="str">
        <f aca="false">IF(LEFT(AL1551,1)="9","Celular",IF(AL1551="","","Fixo"))</f>
        <v/>
      </c>
      <c r="AN1551" s="58" t="str">
        <f aca="false">IF( AM1551&lt;&gt;"",VLOOKUP(AM1551,Selects!$M$4:$N$1000,2,0),"")</f>
        <v/>
      </c>
      <c r="BB1551" s="72" t="str">
        <f aca="false">IF(BA1551&lt;&gt;"",VLOOKUP(BA1551,Selects!$B$4:$C$100,2,0),"")</f>
        <v/>
      </c>
      <c r="BG1551" s="75" t="str">
        <f aca="false">IF(LEN(BF1551)=11,"PF",IF(LEN(BF1551)=14,"PJ",""))</f>
        <v/>
      </c>
      <c r="BH1551" s="66"/>
      <c r="BI1551" s="58" t="str">
        <f aca="false">IF(BH1551&lt;&gt;"",VLOOKUP(BH1551,Selects!$G:$H,2,0),"")</f>
        <v/>
      </c>
      <c r="CB1551" s="72" t="str">
        <f aca="false">IF(AC1551&lt;&gt;"",VLOOKUP(AC1551,Selects!$B:$E,4,0),"")</f>
        <v/>
      </c>
    </row>
    <row r="1552" customFormat="false" ht="15" hidden="true" customHeight="false" outlineLevel="0" collapsed="false">
      <c r="E1552" s="60" t="str">
        <f aca="false">IF(LEN(D1552)=11,"PF",IF(LEN(D1552)=14,"PJ",""))</f>
        <v/>
      </c>
      <c r="I1552" s="62"/>
      <c r="J1552" s="63" t="str">
        <f aca="false">IF(I1552&lt;&gt;"",VLOOKUP(I1552,'Legal Nature'!$E$2:$G$84,3,0),"")</f>
        <v/>
      </c>
      <c r="U1552" s="58" t="str">
        <f aca="false">IF( T1552&lt;&gt;"",VLOOKUP(T1552,Selects!$M$4:$N$1000,2,0),"")</f>
        <v/>
      </c>
      <c r="AD1552" s="72" t="str">
        <f aca="false">IF(AC1552&lt;&gt;"",VLOOKUP(AC1552,Selects!$B$4:$C$100,2,0),"")</f>
        <v/>
      </c>
      <c r="AH1552" s="65"/>
      <c r="AJ1552" s="66"/>
      <c r="AK1552" s="58"/>
      <c r="AM1552" s="68" t="str">
        <f aca="false">IF(LEFT(AL1552,1)="9","Celular",IF(AL1552="","","Fixo"))</f>
        <v/>
      </c>
      <c r="AN1552" s="58" t="str">
        <f aca="false">IF( AM1552&lt;&gt;"",VLOOKUP(AM1552,Selects!$M$4:$N$1000,2,0),"")</f>
        <v/>
      </c>
      <c r="BB1552" s="72" t="str">
        <f aca="false">IF(BA1552&lt;&gt;"",VLOOKUP(BA1552,Selects!$B$4:$C$100,2,0),"")</f>
        <v/>
      </c>
      <c r="BG1552" s="75" t="str">
        <f aca="false">IF(LEN(BF1552)=11,"PF",IF(LEN(BF1552)=14,"PJ",""))</f>
        <v/>
      </c>
      <c r="BH1552" s="66"/>
      <c r="BI1552" s="58" t="str">
        <f aca="false">IF(BH1552&lt;&gt;"",VLOOKUP(BH1552,Selects!$G:$H,2,0),"")</f>
        <v/>
      </c>
      <c r="CB1552" s="72" t="str">
        <f aca="false">IF(AC1552&lt;&gt;"",VLOOKUP(AC1552,Selects!$B:$E,4,0),"")</f>
        <v/>
      </c>
    </row>
    <row r="1553" customFormat="false" ht="15" hidden="true" customHeight="false" outlineLevel="0" collapsed="false">
      <c r="E1553" s="60" t="str">
        <f aca="false">IF(LEN(D1553)=11,"PF",IF(LEN(D1553)=14,"PJ",""))</f>
        <v/>
      </c>
      <c r="I1553" s="62"/>
      <c r="J1553" s="63" t="str">
        <f aca="false">IF(I1553&lt;&gt;"",VLOOKUP(I1553,'Legal Nature'!$E$2:$G$84,3,0),"")</f>
        <v/>
      </c>
      <c r="U1553" s="58" t="str">
        <f aca="false">IF( T1553&lt;&gt;"",VLOOKUP(T1553,Selects!$M$4:$N$1000,2,0),"")</f>
        <v/>
      </c>
      <c r="AD1553" s="72" t="str">
        <f aca="false">IF(AC1553&lt;&gt;"",VLOOKUP(AC1553,Selects!$B$4:$C$100,2,0),"")</f>
        <v/>
      </c>
      <c r="AH1553" s="65"/>
      <c r="AJ1553" s="66"/>
      <c r="AK1553" s="58"/>
      <c r="AM1553" s="68" t="str">
        <f aca="false">IF(LEFT(AL1553,1)="9","Celular",IF(AL1553="","","Fixo"))</f>
        <v/>
      </c>
      <c r="AN1553" s="58" t="str">
        <f aca="false">IF( AM1553&lt;&gt;"",VLOOKUP(AM1553,Selects!$M$4:$N$1000,2,0),"")</f>
        <v/>
      </c>
      <c r="BB1553" s="72" t="str">
        <f aca="false">IF(BA1553&lt;&gt;"",VLOOKUP(BA1553,Selects!$B$4:$C$100,2,0),"")</f>
        <v/>
      </c>
      <c r="BG1553" s="75" t="str">
        <f aca="false">IF(LEN(BF1553)=11,"PF",IF(LEN(BF1553)=14,"PJ",""))</f>
        <v/>
      </c>
      <c r="BH1553" s="66"/>
      <c r="BI1553" s="58" t="str">
        <f aca="false">IF(BH1553&lt;&gt;"",VLOOKUP(BH1553,Selects!$G:$H,2,0),"")</f>
        <v/>
      </c>
      <c r="CB1553" s="72" t="str">
        <f aca="false">IF(AC1553&lt;&gt;"",VLOOKUP(AC1553,Selects!$B:$E,4,0),"")</f>
        <v/>
      </c>
    </row>
    <row r="1554" customFormat="false" ht="15" hidden="true" customHeight="false" outlineLevel="0" collapsed="false">
      <c r="E1554" s="60" t="str">
        <f aca="false">IF(LEN(D1554)=11,"PF",IF(LEN(D1554)=14,"PJ",""))</f>
        <v/>
      </c>
      <c r="I1554" s="62"/>
      <c r="J1554" s="63" t="str">
        <f aca="false">IF(I1554&lt;&gt;"",VLOOKUP(I1554,'Legal Nature'!$E$2:$G$84,3,0),"")</f>
        <v/>
      </c>
      <c r="U1554" s="58" t="str">
        <f aca="false">IF( T1554&lt;&gt;"",VLOOKUP(T1554,Selects!$M$4:$N$1000,2,0),"")</f>
        <v/>
      </c>
      <c r="AD1554" s="72" t="str">
        <f aca="false">IF(AC1554&lt;&gt;"",VLOOKUP(AC1554,Selects!$B$4:$C$100,2,0),"")</f>
        <v/>
      </c>
      <c r="AH1554" s="65"/>
      <c r="AJ1554" s="66"/>
      <c r="AK1554" s="58"/>
      <c r="AM1554" s="68" t="str">
        <f aca="false">IF(LEFT(AL1554,1)="9","Celular",IF(AL1554="","","Fixo"))</f>
        <v/>
      </c>
      <c r="AN1554" s="58" t="str">
        <f aca="false">IF( AM1554&lt;&gt;"",VLOOKUP(AM1554,Selects!$M$4:$N$1000,2,0),"")</f>
        <v/>
      </c>
      <c r="BB1554" s="72" t="str">
        <f aca="false">IF(BA1554&lt;&gt;"",VLOOKUP(BA1554,Selects!$B$4:$C$100,2,0),"")</f>
        <v/>
      </c>
      <c r="BG1554" s="75" t="str">
        <f aca="false">IF(LEN(BF1554)=11,"PF",IF(LEN(BF1554)=14,"PJ",""))</f>
        <v/>
      </c>
      <c r="BH1554" s="66"/>
      <c r="BI1554" s="58" t="str">
        <f aca="false">IF(BH1554&lt;&gt;"",VLOOKUP(BH1554,Selects!$G:$H,2,0),"")</f>
        <v/>
      </c>
      <c r="CB1554" s="72" t="str">
        <f aca="false">IF(AC1554&lt;&gt;"",VLOOKUP(AC1554,Selects!$B:$E,4,0),"")</f>
        <v/>
      </c>
    </row>
    <row r="1555" customFormat="false" ht="15" hidden="true" customHeight="false" outlineLevel="0" collapsed="false">
      <c r="E1555" s="60" t="str">
        <f aca="false">IF(LEN(D1555)=11,"PF",IF(LEN(D1555)=14,"PJ",""))</f>
        <v/>
      </c>
      <c r="I1555" s="62"/>
      <c r="J1555" s="63" t="str">
        <f aca="false">IF(I1555&lt;&gt;"",VLOOKUP(I1555,'Legal Nature'!$E$2:$G$84,3,0),"")</f>
        <v/>
      </c>
      <c r="U1555" s="58" t="str">
        <f aca="false">IF( T1555&lt;&gt;"",VLOOKUP(T1555,Selects!$M$4:$N$1000,2,0),"")</f>
        <v/>
      </c>
      <c r="AD1555" s="72" t="str">
        <f aca="false">IF(AC1555&lt;&gt;"",VLOOKUP(AC1555,Selects!$B$4:$C$100,2,0),"")</f>
        <v/>
      </c>
      <c r="AH1555" s="65"/>
      <c r="AJ1555" s="66"/>
      <c r="AK1555" s="58"/>
      <c r="AM1555" s="68" t="str">
        <f aca="false">IF(LEFT(AL1555,1)="9","Celular",IF(AL1555="","","Fixo"))</f>
        <v/>
      </c>
      <c r="AN1555" s="58" t="str">
        <f aca="false">IF( AM1555&lt;&gt;"",VLOOKUP(AM1555,Selects!$M$4:$N$1000,2,0),"")</f>
        <v/>
      </c>
      <c r="BB1555" s="72" t="str">
        <f aca="false">IF(BA1555&lt;&gt;"",VLOOKUP(BA1555,Selects!$B$4:$C$100,2,0),"")</f>
        <v/>
      </c>
      <c r="BG1555" s="75" t="str">
        <f aca="false">IF(LEN(BF1555)=11,"PF",IF(LEN(BF1555)=14,"PJ",""))</f>
        <v/>
      </c>
      <c r="BH1555" s="66"/>
      <c r="BI1555" s="58" t="str">
        <f aca="false">IF(BH1555&lt;&gt;"",VLOOKUP(BH1555,Selects!$G:$H,2,0),"")</f>
        <v/>
      </c>
      <c r="CB1555" s="72" t="str">
        <f aca="false">IF(AC1555&lt;&gt;"",VLOOKUP(AC1555,Selects!$B:$E,4,0),"")</f>
        <v/>
      </c>
    </row>
    <row r="1556" customFormat="false" ht="15" hidden="true" customHeight="false" outlineLevel="0" collapsed="false">
      <c r="E1556" s="60" t="str">
        <f aca="false">IF(LEN(D1556)=11,"PF",IF(LEN(D1556)=14,"PJ",""))</f>
        <v/>
      </c>
      <c r="I1556" s="62"/>
      <c r="J1556" s="63" t="str">
        <f aca="false">IF(I1556&lt;&gt;"",VLOOKUP(I1556,'Legal Nature'!$E$2:$G$84,3,0),"")</f>
        <v/>
      </c>
      <c r="U1556" s="58" t="str">
        <f aca="false">IF( T1556&lt;&gt;"",VLOOKUP(T1556,Selects!$M$4:$N$1000,2,0),"")</f>
        <v/>
      </c>
      <c r="AD1556" s="72" t="str">
        <f aca="false">IF(AC1556&lt;&gt;"",VLOOKUP(AC1556,Selects!$B$4:$C$100,2,0),"")</f>
        <v/>
      </c>
      <c r="AH1556" s="65"/>
      <c r="AJ1556" s="66"/>
      <c r="AK1556" s="58"/>
      <c r="AM1556" s="68" t="str">
        <f aca="false">IF(LEFT(AL1556,1)="9","Celular",IF(AL1556="","","Fixo"))</f>
        <v/>
      </c>
      <c r="AN1556" s="58" t="str">
        <f aca="false">IF( AM1556&lt;&gt;"",VLOOKUP(AM1556,Selects!$M$4:$N$1000,2,0),"")</f>
        <v/>
      </c>
      <c r="BB1556" s="72" t="str">
        <f aca="false">IF(BA1556&lt;&gt;"",VLOOKUP(BA1556,Selects!$B$4:$C$100,2,0),"")</f>
        <v/>
      </c>
      <c r="BG1556" s="75" t="str">
        <f aca="false">IF(LEN(BF1556)=11,"PF",IF(LEN(BF1556)=14,"PJ",""))</f>
        <v/>
      </c>
      <c r="BH1556" s="66"/>
      <c r="BI1556" s="58" t="str">
        <f aca="false">IF(BH1556&lt;&gt;"",VLOOKUP(BH1556,Selects!$G:$H,2,0),"")</f>
        <v/>
      </c>
      <c r="CB1556" s="72" t="str">
        <f aca="false">IF(AC1556&lt;&gt;"",VLOOKUP(AC1556,Selects!$B:$E,4,0),"")</f>
        <v/>
      </c>
    </row>
    <row r="1557" customFormat="false" ht="15" hidden="true" customHeight="false" outlineLevel="0" collapsed="false">
      <c r="E1557" s="60" t="str">
        <f aca="false">IF(LEN(D1557)=11,"PF",IF(LEN(D1557)=14,"PJ",""))</f>
        <v/>
      </c>
      <c r="I1557" s="62"/>
      <c r="J1557" s="63" t="str">
        <f aca="false">IF(I1557&lt;&gt;"",VLOOKUP(I1557,'Legal Nature'!$E$2:$G$84,3,0),"")</f>
        <v/>
      </c>
      <c r="U1557" s="58" t="str">
        <f aca="false">IF( T1557&lt;&gt;"",VLOOKUP(T1557,Selects!$M$4:$N$1000,2,0),"")</f>
        <v/>
      </c>
      <c r="AD1557" s="72" t="str">
        <f aca="false">IF(AC1557&lt;&gt;"",VLOOKUP(AC1557,Selects!$B$4:$C$100,2,0),"")</f>
        <v/>
      </c>
      <c r="AH1557" s="65"/>
      <c r="AJ1557" s="66"/>
      <c r="AK1557" s="58"/>
      <c r="AM1557" s="68" t="str">
        <f aca="false">IF(LEFT(AL1557,1)="9","Celular",IF(AL1557="","","Fixo"))</f>
        <v/>
      </c>
      <c r="AN1557" s="58" t="str">
        <f aca="false">IF( AM1557&lt;&gt;"",VLOOKUP(AM1557,Selects!$M$4:$N$1000,2,0),"")</f>
        <v/>
      </c>
      <c r="BB1557" s="72" t="str">
        <f aca="false">IF(BA1557&lt;&gt;"",VLOOKUP(BA1557,Selects!$B$4:$C$100,2,0),"")</f>
        <v/>
      </c>
      <c r="BG1557" s="75" t="str">
        <f aca="false">IF(LEN(BF1557)=11,"PF",IF(LEN(BF1557)=14,"PJ",""))</f>
        <v/>
      </c>
      <c r="BH1557" s="66"/>
      <c r="BI1557" s="58" t="str">
        <f aca="false">IF(BH1557&lt;&gt;"",VLOOKUP(BH1557,Selects!$G:$H,2,0),"")</f>
        <v/>
      </c>
      <c r="CB1557" s="72" t="str">
        <f aca="false">IF(AC1557&lt;&gt;"",VLOOKUP(AC1557,Selects!$B:$E,4,0),"")</f>
        <v/>
      </c>
    </row>
    <row r="1558" customFormat="false" ht="15" hidden="true" customHeight="false" outlineLevel="0" collapsed="false">
      <c r="E1558" s="60" t="str">
        <f aca="false">IF(LEN(D1558)=11,"PF",IF(LEN(D1558)=14,"PJ",""))</f>
        <v/>
      </c>
      <c r="I1558" s="62"/>
      <c r="J1558" s="63" t="str">
        <f aca="false">IF(I1558&lt;&gt;"",VLOOKUP(I1558,'Legal Nature'!$E$2:$G$84,3,0),"")</f>
        <v/>
      </c>
      <c r="U1558" s="58" t="str">
        <f aca="false">IF( T1558&lt;&gt;"",VLOOKUP(T1558,Selects!$M$4:$N$1000,2,0),"")</f>
        <v/>
      </c>
      <c r="AD1558" s="72" t="str">
        <f aca="false">IF(AC1558&lt;&gt;"",VLOOKUP(AC1558,Selects!$B$4:$C$100,2,0),"")</f>
        <v/>
      </c>
      <c r="AH1558" s="65"/>
      <c r="AJ1558" s="66"/>
      <c r="AK1558" s="58"/>
      <c r="AM1558" s="68" t="str">
        <f aca="false">IF(LEFT(AL1558,1)="9","Celular",IF(AL1558="","","Fixo"))</f>
        <v/>
      </c>
      <c r="AN1558" s="58" t="str">
        <f aca="false">IF( AM1558&lt;&gt;"",VLOOKUP(AM1558,Selects!$M$4:$N$1000,2,0),"")</f>
        <v/>
      </c>
      <c r="BB1558" s="72" t="str">
        <f aca="false">IF(BA1558&lt;&gt;"",VLOOKUP(BA1558,Selects!$B$4:$C$100,2,0),"")</f>
        <v/>
      </c>
      <c r="BG1558" s="75" t="str">
        <f aca="false">IF(LEN(BF1558)=11,"PF",IF(LEN(BF1558)=14,"PJ",""))</f>
        <v/>
      </c>
      <c r="BH1558" s="66"/>
      <c r="BI1558" s="58" t="str">
        <f aca="false">IF(BH1558&lt;&gt;"",VLOOKUP(BH1558,Selects!$G:$H,2,0),"")</f>
        <v/>
      </c>
      <c r="CB1558" s="72" t="str">
        <f aca="false">IF(AC1558&lt;&gt;"",VLOOKUP(AC1558,Selects!$B:$E,4,0),"")</f>
        <v/>
      </c>
    </row>
    <row r="1559" customFormat="false" ht="15" hidden="true" customHeight="false" outlineLevel="0" collapsed="false">
      <c r="E1559" s="60" t="str">
        <f aca="false">IF(LEN(D1559)=11,"PF",IF(LEN(D1559)=14,"PJ",""))</f>
        <v/>
      </c>
      <c r="I1559" s="62"/>
      <c r="J1559" s="63" t="str">
        <f aca="false">IF(I1559&lt;&gt;"",VLOOKUP(I1559,'Legal Nature'!$E$2:$G$84,3,0),"")</f>
        <v/>
      </c>
      <c r="U1559" s="58" t="str">
        <f aca="false">IF( T1559&lt;&gt;"",VLOOKUP(T1559,Selects!$M$4:$N$1000,2,0),"")</f>
        <v/>
      </c>
      <c r="AD1559" s="72" t="str">
        <f aca="false">IF(AC1559&lt;&gt;"",VLOOKUP(AC1559,Selects!$B$4:$C$100,2,0),"")</f>
        <v/>
      </c>
      <c r="AH1559" s="65"/>
      <c r="AJ1559" s="66"/>
      <c r="AK1559" s="58"/>
      <c r="AM1559" s="68" t="str">
        <f aca="false">IF(LEFT(AL1559,1)="9","Celular",IF(AL1559="","","Fixo"))</f>
        <v/>
      </c>
      <c r="AN1559" s="58" t="str">
        <f aca="false">IF( AM1559&lt;&gt;"",VLOOKUP(AM1559,Selects!$M$4:$N$1000,2,0),"")</f>
        <v/>
      </c>
      <c r="BB1559" s="72" t="str">
        <f aca="false">IF(BA1559&lt;&gt;"",VLOOKUP(BA1559,Selects!$B$4:$C$100,2,0),"")</f>
        <v/>
      </c>
      <c r="BG1559" s="75" t="str">
        <f aca="false">IF(LEN(BF1559)=11,"PF",IF(LEN(BF1559)=14,"PJ",""))</f>
        <v/>
      </c>
      <c r="BH1559" s="66"/>
      <c r="BI1559" s="58" t="str">
        <f aca="false">IF(BH1559&lt;&gt;"",VLOOKUP(BH1559,Selects!$G:$H,2,0),"")</f>
        <v/>
      </c>
      <c r="CB1559" s="72" t="str">
        <f aca="false">IF(AC1559&lt;&gt;"",VLOOKUP(AC1559,Selects!$B:$E,4,0),"")</f>
        <v/>
      </c>
    </row>
    <row r="1560" customFormat="false" ht="15" hidden="true" customHeight="false" outlineLevel="0" collapsed="false">
      <c r="E1560" s="60" t="str">
        <f aca="false">IF(LEN(D1560)=11,"PF",IF(LEN(D1560)=14,"PJ",""))</f>
        <v/>
      </c>
      <c r="I1560" s="62"/>
      <c r="J1560" s="63" t="str">
        <f aca="false">IF(I1560&lt;&gt;"",VLOOKUP(I1560,'Legal Nature'!$E$2:$G$84,3,0),"")</f>
        <v/>
      </c>
      <c r="U1560" s="58" t="str">
        <f aca="false">IF( T1560&lt;&gt;"",VLOOKUP(T1560,Selects!$M$4:$N$1000,2,0),"")</f>
        <v/>
      </c>
      <c r="AD1560" s="72" t="str">
        <f aca="false">IF(AC1560&lt;&gt;"",VLOOKUP(AC1560,Selects!$B$4:$C$100,2,0),"")</f>
        <v/>
      </c>
      <c r="AH1560" s="65"/>
      <c r="AJ1560" s="66"/>
      <c r="AK1560" s="58"/>
      <c r="AM1560" s="68" t="str">
        <f aca="false">IF(LEFT(AL1560,1)="9","Celular",IF(AL1560="","","Fixo"))</f>
        <v/>
      </c>
      <c r="AN1560" s="58" t="str">
        <f aca="false">IF( AM1560&lt;&gt;"",VLOOKUP(AM1560,Selects!$M$4:$N$1000,2,0),"")</f>
        <v/>
      </c>
      <c r="BB1560" s="72" t="str">
        <f aca="false">IF(BA1560&lt;&gt;"",VLOOKUP(BA1560,Selects!$B$4:$C$100,2,0),"")</f>
        <v/>
      </c>
      <c r="BG1560" s="75" t="str">
        <f aca="false">IF(LEN(BF1560)=11,"PF",IF(LEN(BF1560)=14,"PJ",""))</f>
        <v/>
      </c>
      <c r="BH1560" s="66"/>
      <c r="BI1560" s="58" t="str">
        <f aca="false">IF(BH1560&lt;&gt;"",VLOOKUP(BH1560,Selects!$G:$H,2,0),"")</f>
        <v/>
      </c>
      <c r="CB1560" s="72" t="str">
        <f aca="false">IF(AC1560&lt;&gt;"",VLOOKUP(AC1560,Selects!$B:$E,4,0),"")</f>
        <v/>
      </c>
    </row>
    <row r="1561" customFormat="false" ht="15" hidden="true" customHeight="false" outlineLevel="0" collapsed="false">
      <c r="E1561" s="60" t="str">
        <f aca="false">IF(LEN(D1561)=11,"PF",IF(LEN(D1561)=14,"PJ",""))</f>
        <v/>
      </c>
      <c r="I1561" s="62"/>
      <c r="J1561" s="63" t="str">
        <f aca="false">IF(I1561&lt;&gt;"",VLOOKUP(I1561,'Legal Nature'!$E$2:$G$84,3,0),"")</f>
        <v/>
      </c>
      <c r="U1561" s="58" t="str">
        <f aca="false">IF( T1561&lt;&gt;"",VLOOKUP(T1561,Selects!$M$4:$N$1000,2,0),"")</f>
        <v/>
      </c>
      <c r="AD1561" s="72" t="str">
        <f aca="false">IF(AC1561&lt;&gt;"",VLOOKUP(AC1561,Selects!$B$4:$C$100,2,0),"")</f>
        <v/>
      </c>
      <c r="AH1561" s="65"/>
      <c r="AJ1561" s="66"/>
      <c r="AK1561" s="58"/>
      <c r="AM1561" s="68" t="str">
        <f aca="false">IF(LEFT(AL1561,1)="9","Celular",IF(AL1561="","","Fixo"))</f>
        <v/>
      </c>
      <c r="AN1561" s="58" t="str">
        <f aca="false">IF( AM1561&lt;&gt;"",VLOOKUP(AM1561,Selects!$M$4:$N$1000,2,0),"")</f>
        <v/>
      </c>
      <c r="BB1561" s="72" t="str">
        <f aca="false">IF(BA1561&lt;&gt;"",VLOOKUP(BA1561,Selects!$B$4:$C$100,2,0),"")</f>
        <v/>
      </c>
      <c r="BG1561" s="75" t="str">
        <f aca="false">IF(LEN(BF1561)=11,"PF",IF(LEN(BF1561)=14,"PJ",""))</f>
        <v/>
      </c>
      <c r="BH1561" s="66"/>
      <c r="BI1561" s="58" t="str">
        <f aca="false">IF(BH1561&lt;&gt;"",VLOOKUP(BH1561,Selects!$G:$H,2,0),"")</f>
        <v/>
      </c>
      <c r="CB1561" s="72" t="str">
        <f aca="false">IF(AC1561&lt;&gt;"",VLOOKUP(AC1561,Selects!$B:$E,4,0),"")</f>
        <v/>
      </c>
    </row>
    <row r="1562" customFormat="false" ht="15" hidden="true" customHeight="false" outlineLevel="0" collapsed="false">
      <c r="E1562" s="60" t="str">
        <f aca="false">IF(LEN(D1562)=11,"PF",IF(LEN(D1562)=14,"PJ",""))</f>
        <v/>
      </c>
      <c r="I1562" s="62"/>
      <c r="J1562" s="63" t="str">
        <f aca="false">IF(I1562&lt;&gt;"",VLOOKUP(I1562,'Legal Nature'!$E$2:$G$84,3,0),"")</f>
        <v/>
      </c>
      <c r="U1562" s="58" t="str">
        <f aca="false">IF( T1562&lt;&gt;"",VLOOKUP(T1562,Selects!$M$4:$N$1000,2,0),"")</f>
        <v/>
      </c>
      <c r="AD1562" s="72" t="str">
        <f aca="false">IF(AC1562&lt;&gt;"",VLOOKUP(AC1562,Selects!$B$4:$C$100,2,0),"")</f>
        <v/>
      </c>
      <c r="AH1562" s="65"/>
      <c r="AJ1562" s="66"/>
      <c r="AK1562" s="58"/>
      <c r="AM1562" s="68" t="str">
        <f aca="false">IF(LEFT(AL1562,1)="9","Celular",IF(AL1562="","","Fixo"))</f>
        <v/>
      </c>
      <c r="AN1562" s="58" t="str">
        <f aca="false">IF( AM1562&lt;&gt;"",VLOOKUP(AM1562,Selects!$M$4:$N$1000,2,0),"")</f>
        <v/>
      </c>
      <c r="BB1562" s="72" t="str">
        <f aca="false">IF(BA1562&lt;&gt;"",VLOOKUP(BA1562,Selects!$B$4:$C$100,2,0),"")</f>
        <v/>
      </c>
      <c r="BG1562" s="75" t="str">
        <f aca="false">IF(LEN(BF1562)=11,"PF",IF(LEN(BF1562)=14,"PJ",""))</f>
        <v/>
      </c>
      <c r="BH1562" s="66"/>
      <c r="BI1562" s="58" t="str">
        <f aca="false">IF(BH1562&lt;&gt;"",VLOOKUP(BH1562,Selects!$G:$H,2,0),"")</f>
        <v/>
      </c>
      <c r="CB1562" s="72" t="str">
        <f aca="false">IF(AC1562&lt;&gt;"",VLOOKUP(AC1562,Selects!$B:$E,4,0),"")</f>
        <v/>
      </c>
    </row>
    <row r="1563" customFormat="false" ht="15" hidden="true" customHeight="false" outlineLevel="0" collapsed="false">
      <c r="E1563" s="60" t="str">
        <f aca="false">IF(LEN(D1563)=11,"PF",IF(LEN(D1563)=14,"PJ",""))</f>
        <v/>
      </c>
      <c r="I1563" s="62"/>
      <c r="J1563" s="63" t="str">
        <f aca="false">IF(I1563&lt;&gt;"",VLOOKUP(I1563,'Legal Nature'!$E$2:$G$84,3,0),"")</f>
        <v/>
      </c>
      <c r="U1563" s="58" t="str">
        <f aca="false">IF( T1563&lt;&gt;"",VLOOKUP(T1563,Selects!$M$4:$N$1000,2,0),"")</f>
        <v/>
      </c>
      <c r="AD1563" s="72" t="str">
        <f aca="false">IF(AC1563&lt;&gt;"",VLOOKUP(AC1563,Selects!$B$4:$C$100,2,0),"")</f>
        <v/>
      </c>
      <c r="AH1563" s="65"/>
      <c r="AJ1563" s="66"/>
      <c r="AK1563" s="58"/>
      <c r="AM1563" s="68" t="str">
        <f aca="false">IF(LEFT(AL1563,1)="9","Celular",IF(AL1563="","","Fixo"))</f>
        <v/>
      </c>
      <c r="AN1563" s="58" t="str">
        <f aca="false">IF( AM1563&lt;&gt;"",VLOOKUP(AM1563,Selects!$M$4:$N$1000,2,0),"")</f>
        <v/>
      </c>
      <c r="BB1563" s="72" t="str">
        <f aca="false">IF(BA1563&lt;&gt;"",VLOOKUP(BA1563,Selects!$B$4:$C$100,2,0),"")</f>
        <v/>
      </c>
      <c r="BG1563" s="75" t="str">
        <f aca="false">IF(LEN(BF1563)=11,"PF",IF(LEN(BF1563)=14,"PJ",""))</f>
        <v/>
      </c>
      <c r="BH1563" s="66"/>
      <c r="BI1563" s="58" t="str">
        <f aca="false">IF(BH1563&lt;&gt;"",VLOOKUP(BH1563,Selects!$G:$H,2,0),"")</f>
        <v/>
      </c>
      <c r="CB1563" s="72" t="str">
        <f aca="false">IF(AC1563&lt;&gt;"",VLOOKUP(AC1563,Selects!$B:$E,4,0),"")</f>
        <v/>
      </c>
    </row>
    <row r="1564" customFormat="false" ht="15" hidden="true" customHeight="false" outlineLevel="0" collapsed="false">
      <c r="E1564" s="60" t="str">
        <f aca="false">IF(LEN(D1564)=11,"PF",IF(LEN(D1564)=14,"PJ",""))</f>
        <v/>
      </c>
      <c r="I1564" s="62"/>
      <c r="J1564" s="63" t="str">
        <f aca="false">IF(I1564&lt;&gt;"",VLOOKUP(I1564,'Legal Nature'!$E$2:$G$84,3,0),"")</f>
        <v/>
      </c>
      <c r="U1564" s="58" t="str">
        <f aca="false">IF( T1564&lt;&gt;"",VLOOKUP(T1564,Selects!$M$4:$N$1000,2,0),"")</f>
        <v/>
      </c>
      <c r="AD1564" s="72" t="str">
        <f aca="false">IF(AC1564&lt;&gt;"",VLOOKUP(AC1564,Selects!$B$4:$C$100,2,0),"")</f>
        <v/>
      </c>
      <c r="AH1564" s="65"/>
      <c r="AJ1564" s="66"/>
      <c r="AK1564" s="58"/>
      <c r="AM1564" s="68" t="str">
        <f aca="false">IF(LEFT(AL1564,1)="9","Celular",IF(AL1564="","","Fixo"))</f>
        <v/>
      </c>
      <c r="AN1564" s="58" t="str">
        <f aca="false">IF( AM1564&lt;&gt;"",VLOOKUP(AM1564,Selects!$M$4:$N$1000,2,0),"")</f>
        <v/>
      </c>
      <c r="BB1564" s="72" t="str">
        <f aca="false">IF(BA1564&lt;&gt;"",VLOOKUP(BA1564,Selects!$B$4:$C$100,2,0),"")</f>
        <v/>
      </c>
      <c r="BG1564" s="75" t="str">
        <f aca="false">IF(LEN(BF1564)=11,"PF",IF(LEN(BF1564)=14,"PJ",""))</f>
        <v/>
      </c>
      <c r="BH1564" s="66"/>
      <c r="BI1564" s="58" t="str">
        <f aca="false">IF(BH1564&lt;&gt;"",VLOOKUP(BH1564,Selects!$G:$H,2,0),"")</f>
        <v/>
      </c>
      <c r="CB1564" s="72" t="str">
        <f aca="false">IF(AC1564&lt;&gt;"",VLOOKUP(AC1564,Selects!$B:$E,4,0),"")</f>
        <v/>
      </c>
    </row>
    <row r="1565" customFormat="false" ht="15" hidden="true" customHeight="false" outlineLevel="0" collapsed="false">
      <c r="E1565" s="60" t="str">
        <f aca="false">IF(LEN(D1565)=11,"PF",IF(LEN(D1565)=14,"PJ",""))</f>
        <v/>
      </c>
      <c r="I1565" s="62"/>
      <c r="J1565" s="63" t="str">
        <f aca="false">IF(I1565&lt;&gt;"",VLOOKUP(I1565,'Legal Nature'!$E$2:$G$84,3,0),"")</f>
        <v/>
      </c>
      <c r="U1565" s="58" t="str">
        <f aca="false">IF( T1565&lt;&gt;"",VLOOKUP(T1565,Selects!$M$4:$N$1000,2,0),"")</f>
        <v/>
      </c>
      <c r="AD1565" s="72" t="str">
        <f aca="false">IF(AC1565&lt;&gt;"",VLOOKUP(AC1565,Selects!$B$4:$C$100,2,0),"")</f>
        <v/>
      </c>
      <c r="AH1565" s="65"/>
      <c r="AJ1565" s="66"/>
      <c r="AK1565" s="58"/>
      <c r="AM1565" s="68" t="str">
        <f aca="false">IF(LEFT(AL1565,1)="9","Celular",IF(AL1565="","","Fixo"))</f>
        <v/>
      </c>
      <c r="AN1565" s="58" t="str">
        <f aca="false">IF( AM1565&lt;&gt;"",VLOOKUP(AM1565,Selects!$M$4:$N$1000,2,0),"")</f>
        <v/>
      </c>
      <c r="BB1565" s="72" t="str">
        <f aca="false">IF(BA1565&lt;&gt;"",VLOOKUP(BA1565,Selects!$B$4:$C$100,2,0),"")</f>
        <v/>
      </c>
      <c r="BG1565" s="75" t="str">
        <f aca="false">IF(LEN(BF1565)=11,"PF",IF(LEN(BF1565)=14,"PJ",""))</f>
        <v/>
      </c>
      <c r="BH1565" s="66"/>
      <c r="BI1565" s="58" t="str">
        <f aca="false">IF(BH1565&lt;&gt;"",VLOOKUP(BH1565,Selects!$G:$H,2,0),"")</f>
        <v/>
      </c>
      <c r="CB1565" s="72" t="str">
        <f aca="false">IF(AC1565&lt;&gt;"",VLOOKUP(AC1565,Selects!$B:$E,4,0),"")</f>
        <v/>
      </c>
    </row>
    <row r="1566" customFormat="false" ht="15" hidden="true" customHeight="false" outlineLevel="0" collapsed="false">
      <c r="E1566" s="60" t="str">
        <f aca="false">IF(LEN(D1566)=11,"PF",IF(LEN(D1566)=14,"PJ",""))</f>
        <v/>
      </c>
      <c r="I1566" s="62"/>
      <c r="J1566" s="63" t="str">
        <f aca="false">IF(I1566&lt;&gt;"",VLOOKUP(I1566,'Legal Nature'!$E$2:$G$84,3,0),"")</f>
        <v/>
      </c>
      <c r="U1566" s="58" t="str">
        <f aca="false">IF( T1566&lt;&gt;"",VLOOKUP(T1566,Selects!$M$4:$N$1000,2,0),"")</f>
        <v/>
      </c>
      <c r="AD1566" s="72" t="str">
        <f aca="false">IF(AC1566&lt;&gt;"",VLOOKUP(AC1566,Selects!$B$4:$C$100,2,0),"")</f>
        <v/>
      </c>
      <c r="AH1566" s="65"/>
      <c r="AJ1566" s="66"/>
      <c r="AK1566" s="58"/>
      <c r="AM1566" s="68" t="str">
        <f aca="false">IF(LEFT(AL1566,1)="9","Celular",IF(AL1566="","","Fixo"))</f>
        <v/>
      </c>
      <c r="AN1566" s="58" t="str">
        <f aca="false">IF( AM1566&lt;&gt;"",VLOOKUP(AM1566,Selects!$M$4:$N$1000,2,0),"")</f>
        <v/>
      </c>
      <c r="BB1566" s="72" t="str">
        <f aca="false">IF(BA1566&lt;&gt;"",VLOOKUP(BA1566,Selects!$B$4:$C$100,2,0),"")</f>
        <v/>
      </c>
      <c r="BG1566" s="75" t="str">
        <f aca="false">IF(LEN(BF1566)=11,"PF",IF(LEN(BF1566)=14,"PJ",""))</f>
        <v/>
      </c>
      <c r="BH1566" s="66"/>
      <c r="BI1566" s="58" t="str">
        <f aca="false">IF(BH1566&lt;&gt;"",VLOOKUP(BH1566,Selects!$G:$H,2,0),"")</f>
        <v/>
      </c>
      <c r="CB1566" s="72" t="str">
        <f aca="false">IF(AC1566&lt;&gt;"",VLOOKUP(AC1566,Selects!$B:$E,4,0),"")</f>
        <v/>
      </c>
    </row>
    <row r="1567" customFormat="false" ht="15" hidden="true" customHeight="false" outlineLevel="0" collapsed="false">
      <c r="E1567" s="60" t="str">
        <f aca="false">IF(LEN(D1567)=11,"PF",IF(LEN(D1567)=14,"PJ",""))</f>
        <v/>
      </c>
      <c r="I1567" s="62"/>
      <c r="J1567" s="63" t="str">
        <f aca="false">IF(I1567&lt;&gt;"",VLOOKUP(I1567,'Legal Nature'!$E$2:$G$84,3,0),"")</f>
        <v/>
      </c>
      <c r="U1567" s="58" t="str">
        <f aca="false">IF( T1567&lt;&gt;"",VLOOKUP(T1567,Selects!$M$4:$N$1000,2,0),"")</f>
        <v/>
      </c>
      <c r="AD1567" s="72" t="str">
        <f aca="false">IF(AC1567&lt;&gt;"",VLOOKUP(AC1567,Selects!$B$4:$C$100,2,0),"")</f>
        <v/>
      </c>
      <c r="AH1567" s="65"/>
      <c r="AJ1567" s="66"/>
      <c r="AK1567" s="58"/>
      <c r="AM1567" s="68" t="str">
        <f aca="false">IF(LEFT(AL1567,1)="9","Celular",IF(AL1567="","","Fixo"))</f>
        <v/>
      </c>
      <c r="AN1567" s="58" t="str">
        <f aca="false">IF( AM1567&lt;&gt;"",VLOOKUP(AM1567,Selects!$M$4:$N$1000,2,0),"")</f>
        <v/>
      </c>
      <c r="BB1567" s="72" t="str">
        <f aca="false">IF(BA1567&lt;&gt;"",VLOOKUP(BA1567,Selects!$B$4:$C$100,2,0),"")</f>
        <v/>
      </c>
      <c r="BG1567" s="75" t="str">
        <f aca="false">IF(LEN(BF1567)=11,"PF",IF(LEN(BF1567)=14,"PJ",""))</f>
        <v/>
      </c>
      <c r="BH1567" s="66"/>
      <c r="BI1567" s="58" t="str">
        <f aca="false">IF(BH1567&lt;&gt;"",VLOOKUP(BH1567,Selects!$G:$H,2,0),"")</f>
        <v/>
      </c>
      <c r="CB1567" s="72" t="str">
        <f aca="false">IF(AC1567&lt;&gt;"",VLOOKUP(AC1567,Selects!$B:$E,4,0),"")</f>
        <v/>
      </c>
    </row>
    <row r="1568" customFormat="false" ht="15" hidden="true" customHeight="false" outlineLevel="0" collapsed="false">
      <c r="E1568" s="60" t="str">
        <f aca="false">IF(LEN(D1568)=11,"PF",IF(LEN(D1568)=14,"PJ",""))</f>
        <v/>
      </c>
      <c r="I1568" s="62"/>
      <c r="J1568" s="63" t="str">
        <f aca="false">IF(I1568&lt;&gt;"",VLOOKUP(I1568,'Legal Nature'!$E$2:$G$84,3,0),"")</f>
        <v/>
      </c>
      <c r="U1568" s="58" t="str">
        <f aca="false">IF( T1568&lt;&gt;"",VLOOKUP(T1568,Selects!$M$4:$N$1000,2,0),"")</f>
        <v/>
      </c>
      <c r="AD1568" s="72" t="str">
        <f aca="false">IF(AC1568&lt;&gt;"",VLOOKUP(AC1568,Selects!$B$4:$C$100,2,0),"")</f>
        <v/>
      </c>
      <c r="AH1568" s="65"/>
      <c r="AJ1568" s="66"/>
      <c r="AK1568" s="58"/>
      <c r="AM1568" s="68" t="str">
        <f aca="false">IF(LEFT(AL1568,1)="9","Celular",IF(AL1568="","","Fixo"))</f>
        <v/>
      </c>
      <c r="AN1568" s="58" t="str">
        <f aca="false">IF( AM1568&lt;&gt;"",VLOOKUP(AM1568,Selects!$M$4:$N$1000,2,0),"")</f>
        <v/>
      </c>
      <c r="BB1568" s="72" t="str">
        <f aca="false">IF(BA1568&lt;&gt;"",VLOOKUP(BA1568,Selects!$B$4:$C$100,2,0),"")</f>
        <v/>
      </c>
      <c r="BG1568" s="75" t="str">
        <f aca="false">IF(LEN(BF1568)=11,"PF",IF(LEN(BF1568)=14,"PJ",""))</f>
        <v/>
      </c>
      <c r="BH1568" s="66"/>
      <c r="BI1568" s="58" t="str">
        <f aca="false">IF(BH1568&lt;&gt;"",VLOOKUP(BH1568,Selects!$G:$H,2,0),"")</f>
        <v/>
      </c>
      <c r="CB1568" s="72" t="str">
        <f aca="false">IF(AC1568&lt;&gt;"",VLOOKUP(AC1568,Selects!$B:$E,4,0),"")</f>
        <v/>
      </c>
    </row>
    <row r="1569" customFormat="false" ht="15" hidden="true" customHeight="false" outlineLevel="0" collapsed="false">
      <c r="E1569" s="60" t="str">
        <f aca="false">IF(LEN(D1569)=11,"PF",IF(LEN(D1569)=14,"PJ",""))</f>
        <v/>
      </c>
      <c r="I1569" s="62"/>
      <c r="J1569" s="63" t="str">
        <f aca="false">IF(I1569&lt;&gt;"",VLOOKUP(I1569,'Legal Nature'!$E$2:$G$84,3,0),"")</f>
        <v/>
      </c>
      <c r="U1569" s="58" t="str">
        <f aca="false">IF( T1569&lt;&gt;"",VLOOKUP(T1569,Selects!$M$4:$N$1000,2,0),"")</f>
        <v/>
      </c>
      <c r="AD1569" s="72" t="str">
        <f aca="false">IF(AC1569&lt;&gt;"",VLOOKUP(AC1569,Selects!$B$4:$C$100,2,0),"")</f>
        <v/>
      </c>
      <c r="AH1569" s="65"/>
      <c r="AJ1569" s="66"/>
      <c r="AK1569" s="58"/>
      <c r="AM1569" s="68" t="str">
        <f aca="false">IF(LEFT(AL1569,1)="9","Celular",IF(AL1569="","","Fixo"))</f>
        <v/>
      </c>
      <c r="AN1569" s="58" t="str">
        <f aca="false">IF( AM1569&lt;&gt;"",VLOOKUP(AM1569,Selects!$M$4:$N$1000,2,0),"")</f>
        <v/>
      </c>
      <c r="BB1569" s="72" t="str">
        <f aca="false">IF(BA1569&lt;&gt;"",VLOOKUP(BA1569,Selects!$B$4:$C$100,2,0),"")</f>
        <v/>
      </c>
      <c r="BG1569" s="75" t="str">
        <f aca="false">IF(LEN(BF1569)=11,"PF",IF(LEN(BF1569)=14,"PJ",""))</f>
        <v/>
      </c>
      <c r="BH1569" s="66"/>
      <c r="BI1569" s="58" t="str">
        <f aca="false">IF(BH1569&lt;&gt;"",VLOOKUP(BH1569,Selects!$G:$H,2,0),"")</f>
        <v/>
      </c>
      <c r="CB1569" s="72" t="str">
        <f aca="false">IF(AC1569&lt;&gt;"",VLOOKUP(AC1569,Selects!$B:$E,4,0),"")</f>
        <v/>
      </c>
    </row>
    <row r="1570" customFormat="false" ht="15" hidden="true" customHeight="false" outlineLevel="0" collapsed="false">
      <c r="E1570" s="60" t="str">
        <f aca="false">IF(LEN(D1570)=11,"PF",IF(LEN(D1570)=14,"PJ",""))</f>
        <v/>
      </c>
      <c r="I1570" s="62"/>
      <c r="J1570" s="63" t="str">
        <f aca="false">IF(I1570&lt;&gt;"",VLOOKUP(I1570,'Legal Nature'!$E$2:$G$84,3,0),"")</f>
        <v/>
      </c>
      <c r="U1570" s="58" t="str">
        <f aca="false">IF( T1570&lt;&gt;"",VLOOKUP(T1570,Selects!$M$4:$N$1000,2,0),"")</f>
        <v/>
      </c>
      <c r="AD1570" s="72" t="str">
        <f aca="false">IF(AC1570&lt;&gt;"",VLOOKUP(AC1570,Selects!$B$4:$C$100,2,0),"")</f>
        <v/>
      </c>
      <c r="AH1570" s="65"/>
      <c r="AJ1570" s="66"/>
      <c r="AK1570" s="58"/>
      <c r="AM1570" s="68" t="str">
        <f aca="false">IF(LEFT(AL1570,1)="9","Celular",IF(AL1570="","","Fixo"))</f>
        <v/>
      </c>
      <c r="AN1570" s="58" t="str">
        <f aca="false">IF( AM1570&lt;&gt;"",VLOOKUP(AM1570,Selects!$M$4:$N$1000,2,0),"")</f>
        <v/>
      </c>
      <c r="BB1570" s="72" t="str">
        <f aca="false">IF(BA1570&lt;&gt;"",VLOOKUP(BA1570,Selects!$B$4:$C$100,2,0),"")</f>
        <v/>
      </c>
      <c r="BG1570" s="75" t="str">
        <f aca="false">IF(LEN(BF1570)=11,"PF",IF(LEN(BF1570)=14,"PJ",""))</f>
        <v/>
      </c>
      <c r="BH1570" s="66"/>
      <c r="BI1570" s="58" t="str">
        <f aca="false">IF(BH1570&lt;&gt;"",VLOOKUP(BH1570,Selects!$G:$H,2,0),"")</f>
        <v/>
      </c>
      <c r="CB1570" s="72" t="str">
        <f aca="false">IF(AC1570&lt;&gt;"",VLOOKUP(AC1570,Selects!$B:$E,4,0),"")</f>
        <v/>
      </c>
    </row>
    <row r="1571" customFormat="false" ht="15" hidden="true" customHeight="false" outlineLevel="0" collapsed="false">
      <c r="E1571" s="60" t="str">
        <f aca="false">IF(LEN(D1571)=11,"PF",IF(LEN(D1571)=14,"PJ",""))</f>
        <v/>
      </c>
      <c r="I1571" s="62"/>
      <c r="J1571" s="63" t="str">
        <f aca="false">IF(I1571&lt;&gt;"",VLOOKUP(I1571,'Legal Nature'!$E$2:$G$84,3,0),"")</f>
        <v/>
      </c>
      <c r="U1571" s="58" t="str">
        <f aca="false">IF( T1571&lt;&gt;"",VLOOKUP(T1571,Selects!$M$4:$N$1000,2,0),"")</f>
        <v/>
      </c>
      <c r="AD1571" s="72" t="str">
        <f aca="false">IF(AC1571&lt;&gt;"",VLOOKUP(AC1571,Selects!$B$4:$C$100,2,0),"")</f>
        <v/>
      </c>
      <c r="AH1571" s="65"/>
      <c r="AJ1571" s="66"/>
      <c r="AK1571" s="58"/>
      <c r="AM1571" s="68" t="str">
        <f aca="false">IF(LEFT(AL1571,1)="9","Celular",IF(AL1571="","","Fixo"))</f>
        <v/>
      </c>
      <c r="AN1571" s="58" t="str">
        <f aca="false">IF( AM1571&lt;&gt;"",VLOOKUP(AM1571,Selects!$M$4:$N$1000,2,0),"")</f>
        <v/>
      </c>
      <c r="BB1571" s="72" t="str">
        <f aca="false">IF(BA1571&lt;&gt;"",VLOOKUP(BA1571,Selects!$B$4:$C$100,2,0),"")</f>
        <v/>
      </c>
      <c r="BG1571" s="75" t="str">
        <f aca="false">IF(LEN(BF1571)=11,"PF",IF(LEN(BF1571)=14,"PJ",""))</f>
        <v/>
      </c>
      <c r="BH1571" s="66"/>
      <c r="BI1571" s="58" t="str">
        <f aca="false">IF(BH1571&lt;&gt;"",VLOOKUP(BH1571,Selects!$G:$H,2,0),"")</f>
        <v/>
      </c>
      <c r="CB1571" s="72" t="str">
        <f aca="false">IF(AC1571&lt;&gt;"",VLOOKUP(AC1571,Selects!$B:$E,4,0),"")</f>
        <v/>
      </c>
    </row>
    <row r="1572" customFormat="false" ht="15" hidden="true" customHeight="false" outlineLevel="0" collapsed="false">
      <c r="E1572" s="60" t="str">
        <f aca="false">IF(LEN(D1572)=11,"PF",IF(LEN(D1572)=14,"PJ",""))</f>
        <v/>
      </c>
      <c r="I1572" s="62"/>
      <c r="J1572" s="63" t="str">
        <f aca="false">IF(I1572&lt;&gt;"",VLOOKUP(I1572,'Legal Nature'!$E$2:$G$84,3,0),"")</f>
        <v/>
      </c>
      <c r="U1572" s="58" t="str">
        <f aca="false">IF( T1572&lt;&gt;"",VLOOKUP(T1572,Selects!$M$4:$N$1000,2,0),"")</f>
        <v/>
      </c>
      <c r="AD1572" s="72" t="str">
        <f aca="false">IF(AC1572&lt;&gt;"",VLOOKUP(AC1572,Selects!$B$4:$C$100,2,0),"")</f>
        <v/>
      </c>
      <c r="AH1572" s="65"/>
      <c r="AJ1572" s="66"/>
      <c r="AK1572" s="58"/>
      <c r="AM1572" s="68" t="str">
        <f aca="false">IF(LEFT(AL1572,1)="9","Celular",IF(AL1572="","","Fixo"))</f>
        <v/>
      </c>
      <c r="AN1572" s="58" t="str">
        <f aca="false">IF( AM1572&lt;&gt;"",VLOOKUP(AM1572,Selects!$M$4:$N$1000,2,0),"")</f>
        <v/>
      </c>
      <c r="BB1572" s="72" t="str">
        <f aca="false">IF(BA1572&lt;&gt;"",VLOOKUP(BA1572,Selects!$B$4:$C$100,2,0),"")</f>
        <v/>
      </c>
      <c r="BG1572" s="75" t="str">
        <f aca="false">IF(LEN(BF1572)=11,"PF",IF(LEN(BF1572)=14,"PJ",""))</f>
        <v/>
      </c>
      <c r="BH1572" s="66"/>
      <c r="BI1572" s="58" t="str">
        <f aca="false">IF(BH1572&lt;&gt;"",VLOOKUP(BH1572,Selects!$G:$H,2,0),"")</f>
        <v/>
      </c>
      <c r="CB1572" s="72" t="str">
        <f aca="false">IF(AC1572&lt;&gt;"",VLOOKUP(AC1572,Selects!$B:$E,4,0),"")</f>
        <v/>
      </c>
    </row>
    <row r="1573" customFormat="false" ht="15" hidden="true" customHeight="false" outlineLevel="0" collapsed="false">
      <c r="E1573" s="60" t="str">
        <f aca="false">IF(LEN(D1573)=11,"PF",IF(LEN(D1573)=14,"PJ",""))</f>
        <v/>
      </c>
      <c r="I1573" s="62"/>
      <c r="J1573" s="63" t="str">
        <f aca="false">IF(I1573&lt;&gt;"",VLOOKUP(I1573,'Legal Nature'!$E$2:$G$84,3,0),"")</f>
        <v/>
      </c>
      <c r="U1573" s="58" t="str">
        <f aca="false">IF( T1573&lt;&gt;"",VLOOKUP(T1573,Selects!$M$4:$N$1000,2,0),"")</f>
        <v/>
      </c>
      <c r="AD1573" s="72" t="str">
        <f aca="false">IF(AC1573&lt;&gt;"",VLOOKUP(AC1573,Selects!$B$4:$C$100,2,0),"")</f>
        <v/>
      </c>
      <c r="AH1573" s="65"/>
      <c r="AJ1573" s="66"/>
      <c r="AK1573" s="58"/>
      <c r="AM1573" s="68" t="str">
        <f aca="false">IF(LEFT(AL1573,1)="9","Celular",IF(AL1573="","","Fixo"))</f>
        <v/>
      </c>
      <c r="AN1573" s="58" t="str">
        <f aca="false">IF( AM1573&lt;&gt;"",VLOOKUP(AM1573,Selects!$M$4:$N$1000,2,0),"")</f>
        <v/>
      </c>
      <c r="BB1573" s="72" t="str">
        <f aca="false">IF(BA1573&lt;&gt;"",VLOOKUP(BA1573,Selects!$B$4:$C$100,2,0),"")</f>
        <v/>
      </c>
      <c r="BG1573" s="75" t="str">
        <f aca="false">IF(LEN(BF1573)=11,"PF",IF(LEN(BF1573)=14,"PJ",""))</f>
        <v/>
      </c>
      <c r="BH1573" s="66"/>
      <c r="BI1573" s="58" t="str">
        <f aca="false">IF(BH1573&lt;&gt;"",VLOOKUP(BH1573,Selects!$G:$H,2,0),"")</f>
        <v/>
      </c>
      <c r="CB1573" s="72" t="str">
        <f aca="false">IF(AC1573&lt;&gt;"",VLOOKUP(AC1573,Selects!$B:$E,4,0),"")</f>
        <v/>
      </c>
    </row>
    <row r="1574" customFormat="false" ht="15" hidden="true" customHeight="false" outlineLevel="0" collapsed="false">
      <c r="E1574" s="60" t="str">
        <f aca="false">IF(LEN(D1574)=11,"PF",IF(LEN(D1574)=14,"PJ",""))</f>
        <v/>
      </c>
      <c r="I1574" s="62"/>
      <c r="J1574" s="63" t="str">
        <f aca="false">IF(I1574&lt;&gt;"",VLOOKUP(I1574,'Legal Nature'!$E$2:$G$84,3,0),"")</f>
        <v/>
      </c>
      <c r="U1574" s="58" t="str">
        <f aca="false">IF( T1574&lt;&gt;"",VLOOKUP(T1574,Selects!$M$4:$N$1000,2,0),"")</f>
        <v/>
      </c>
      <c r="AD1574" s="72" t="str">
        <f aca="false">IF(AC1574&lt;&gt;"",VLOOKUP(AC1574,Selects!$B$4:$C$100,2,0),"")</f>
        <v/>
      </c>
      <c r="AH1574" s="65"/>
      <c r="AJ1574" s="66"/>
      <c r="AK1574" s="58"/>
      <c r="AM1574" s="68" t="str">
        <f aca="false">IF(LEFT(AL1574,1)="9","Celular",IF(AL1574="","","Fixo"))</f>
        <v/>
      </c>
      <c r="AN1574" s="58" t="str">
        <f aca="false">IF( AM1574&lt;&gt;"",VLOOKUP(AM1574,Selects!$M$4:$N$1000,2,0),"")</f>
        <v/>
      </c>
      <c r="BB1574" s="72" t="str">
        <f aca="false">IF(BA1574&lt;&gt;"",VLOOKUP(BA1574,Selects!$B$4:$C$100,2,0),"")</f>
        <v/>
      </c>
      <c r="BG1574" s="75" t="str">
        <f aca="false">IF(LEN(BF1574)=11,"PF",IF(LEN(BF1574)=14,"PJ",""))</f>
        <v/>
      </c>
      <c r="BH1574" s="66"/>
      <c r="BI1574" s="58" t="str">
        <f aca="false">IF(BH1574&lt;&gt;"",VLOOKUP(BH1574,Selects!$G:$H,2,0),"")</f>
        <v/>
      </c>
      <c r="CB1574" s="72" t="str">
        <f aca="false">IF(AC1574&lt;&gt;"",VLOOKUP(AC1574,Selects!$B:$E,4,0),"")</f>
        <v/>
      </c>
    </row>
    <row r="1575" customFormat="false" ht="15" hidden="true" customHeight="false" outlineLevel="0" collapsed="false">
      <c r="E1575" s="60" t="str">
        <f aca="false">IF(LEN(D1575)=11,"PF",IF(LEN(D1575)=14,"PJ",""))</f>
        <v/>
      </c>
      <c r="I1575" s="62"/>
      <c r="J1575" s="63" t="str">
        <f aca="false">IF(I1575&lt;&gt;"",VLOOKUP(I1575,'Legal Nature'!$E$2:$G$84,3,0),"")</f>
        <v/>
      </c>
      <c r="U1575" s="58" t="str">
        <f aca="false">IF( T1575&lt;&gt;"",VLOOKUP(T1575,Selects!$M$4:$N$1000,2,0),"")</f>
        <v/>
      </c>
      <c r="AD1575" s="72" t="str">
        <f aca="false">IF(AC1575&lt;&gt;"",VLOOKUP(AC1575,Selects!$B$4:$C$100,2,0),"")</f>
        <v/>
      </c>
      <c r="AH1575" s="65"/>
      <c r="AJ1575" s="66"/>
      <c r="AK1575" s="58"/>
      <c r="AM1575" s="68" t="str">
        <f aca="false">IF(LEFT(AL1575,1)="9","Celular",IF(AL1575="","","Fixo"))</f>
        <v/>
      </c>
      <c r="AN1575" s="58" t="str">
        <f aca="false">IF( AM1575&lt;&gt;"",VLOOKUP(AM1575,Selects!$M$4:$N$1000,2,0),"")</f>
        <v/>
      </c>
      <c r="BB1575" s="72" t="str">
        <f aca="false">IF(BA1575&lt;&gt;"",VLOOKUP(BA1575,Selects!$B$4:$C$100,2,0),"")</f>
        <v/>
      </c>
      <c r="BG1575" s="75" t="str">
        <f aca="false">IF(LEN(BF1575)=11,"PF",IF(LEN(BF1575)=14,"PJ",""))</f>
        <v/>
      </c>
      <c r="BH1575" s="66"/>
      <c r="BI1575" s="58" t="str">
        <f aca="false">IF(BH1575&lt;&gt;"",VLOOKUP(BH1575,Selects!$G:$H,2,0),"")</f>
        <v/>
      </c>
      <c r="CB1575" s="72" t="str">
        <f aca="false">IF(AC1575&lt;&gt;"",VLOOKUP(AC1575,Selects!$B:$E,4,0),"")</f>
        <v/>
      </c>
    </row>
    <row r="1576" customFormat="false" ht="15" hidden="true" customHeight="false" outlineLevel="0" collapsed="false">
      <c r="E1576" s="60" t="str">
        <f aca="false">IF(LEN(D1576)=11,"PF",IF(LEN(D1576)=14,"PJ",""))</f>
        <v/>
      </c>
      <c r="I1576" s="62"/>
      <c r="J1576" s="63" t="str">
        <f aca="false">IF(I1576&lt;&gt;"",VLOOKUP(I1576,'Legal Nature'!$E$2:$G$84,3,0),"")</f>
        <v/>
      </c>
      <c r="U1576" s="58" t="str">
        <f aca="false">IF( T1576&lt;&gt;"",VLOOKUP(T1576,Selects!$M$4:$N$1000,2,0),"")</f>
        <v/>
      </c>
      <c r="AD1576" s="72" t="str">
        <f aca="false">IF(AC1576&lt;&gt;"",VLOOKUP(AC1576,Selects!$B$4:$C$100,2,0),"")</f>
        <v/>
      </c>
      <c r="AH1576" s="65"/>
      <c r="AJ1576" s="66"/>
      <c r="AK1576" s="58"/>
      <c r="AM1576" s="68" t="str">
        <f aca="false">IF(LEFT(AL1576,1)="9","Celular",IF(AL1576="","","Fixo"))</f>
        <v/>
      </c>
      <c r="AN1576" s="58" t="str">
        <f aca="false">IF( AM1576&lt;&gt;"",VLOOKUP(AM1576,Selects!$M$4:$N$1000,2,0),"")</f>
        <v/>
      </c>
      <c r="BB1576" s="72" t="str">
        <f aca="false">IF(BA1576&lt;&gt;"",VLOOKUP(BA1576,Selects!$B$4:$C$100,2,0),"")</f>
        <v/>
      </c>
      <c r="BG1576" s="75" t="str">
        <f aca="false">IF(LEN(BF1576)=11,"PF",IF(LEN(BF1576)=14,"PJ",""))</f>
        <v/>
      </c>
      <c r="BH1576" s="66"/>
      <c r="BI1576" s="58" t="str">
        <f aca="false">IF(BH1576&lt;&gt;"",VLOOKUP(BH1576,Selects!$G:$H,2,0),"")</f>
        <v/>
      </c>
      <c r="CB1576" s="72" t="str">
        <f aca="false">IF(AC1576&lt;&gt;"",VLOOKUP(AC1576,Selects!$B:$E,4,0),"")</f>
        <v/>
      </c>
    </row>
    <row r="1577" customFormat="false" ht="15" hidden="true" customHeight="false" outlineLevel="0" collapsed="false">
      <c r="E1577" s="60" t="str">
        <f aca="false">IF(LEN(D1577)=11,"PF",IF(LEN(D1577)=14,"PJ",""))</f>
        <v/>
      </c>
      <c r="I1577" s="62"/>
      <c r="J1577" s="63" t="str">
        <f aca="false">IF(I1577&lt;&gt;"",VLOOKUP(I1577,'Legal Nature'!$E$2:$G$84,3,0),"")</f>
        <v/>
      </c>
      <c r="U1577" s="58" t="str">
        <f aca="false">IF( T1577&lt;&gt;"",VLOOKUP(T1577,Selects!$M$4:$N$1000,2,0),"")</f>
        <v/>
      </c>
      <c r="AD1577" s="72" t="str">
        <f aca="false">IF(AC1577&lt;&gt;"",VLOOKUP(AC1577,Selects!$B$4:$C$100,2,0),"")</f>
        <v/>
      </c>
      <c r="AH1577" s="65"/>
      <c r="AJ1577" s="66"/>
      <c r="AK1577" s="58"/>
      <c r="AM1577" s="68" t="str">
        <f aca="false">IF(LEFT(AL1577,1)="9","Celular",IF(AL1577="","","Fixo"))</f>
        <v/>
      </c>
      <c r="AN1577" s="58" t="str">
        <f aca="false">IF( AM1577&lt;&gt;"",VLOOKUP(AM1577,Selects!$M$4:$N$1000,2,0),"")</f>
        <v/>
      </c>
      <c r="BB1577" s="72" t="str">
        <f aca="false">IF(BA1577&lt;&gt;"",VLOOKUP(BA1577,Selects!$B$4:$C$100,2,0),"")</f>
        <v/>
      </c>
      <c r="BG1577" s="75" t="str">
        <f aca="false">IF(LEN(BF1577)=11,"PF",IF(LEN(BF1577)=14,"PJ",""))</f>
        <v/>
      </c>
      <c r="BH1577" s="66"/>
      <c r="BI1577" s="58" t="str">
        <f aca="false">IF(BH1577&lt;&gt;"",VLOOKUP(BH1577,Selects!$G:$H,2,0),"")</f>
        <v/>
      </c>
      <c r="CB1577" s="72" t="str">
        <f aca="false">IF(AC1577&lt;&gt;"",VLOOKUP(AC1577,Selects!$B:$E,4,0),"")</f>
        <v/>
      </c>
    </row>
    <row r="1578" customFormat="false" ht="15" hidden="true" customHeight="false" outlineLevel="0" collapsed="false">
      <c r="E1578" s="60" t="str">
        <f aca="false">IF(LEN(D1578)=11,"PF",IF(LEN(D1578)=14,"PJ",""))</f>
        <v/>
      </c>
      <c r="I1578" s="62"/>
      <c r="J1578" s="63" t="str">
        <f aca="false">IF(I1578&lt;&gt;"",VLOOKUP(I1578,'Legal Nature'!$E$2:$G$84,3,0),"")</f>
        <v/>
      </c>
      <c r="U1578" s="58" t="str">
        <f aca="false">IF( T1578&lt;&gt;"",VLOOKUP(T1578,Selects!$M$4:$N$1000,2,0),"")</f>
        <v/>
      </c>
      <c r="AD1578" s="72" t="str">
        <f aca="false">IF(AC1578&lt;&gt;"",VLOOKUP(AC1578,Selects!$B$4:$C$100,2,0),"")</f>
        <v/>
      </c>
      <c r="AH1578" s="65"/>
      <c r="AJ1578" s="66"/>
      <c r="AK1578" s="58"/>
      <c r="AM1578" s="68" t="str">
        <f aca="false">IF(LEFT(AL1578,1)="9","Celular",IF(AL1578="","","Fixo"))</f>
        <v/>
      </c>
      <c r="AN1578" s="58" t="str">
        <f aca="false">IF( AM1578&lt;&gt;"",VLOOKUP(AM1578,Selects!$M$4:$N$1000,2,0),"")</f>
        <v/>
      </c>
      <c r="BB1578" s="72" t="str">
        <f aca="false">IF(BA1578&lt;&gt;"",VLOOKUP(BA1578,Selects!$B$4:$C$100,2,0),"")</f>
        <v/>
      </c>
      <c r="BG1578" s="75" t="str">
        <f aca="false">IF(LEN(BF1578)=11,"PF",IF(LEN(BF1578)=14,"PJ",""))</f>
        <v/>
      </c>
      <c r="BH1578" s="66"/>
      <c r="BI1578" s="58" t="str">
        <f aca="false">IF(BH1578&lt;&gt;"",VLOOKUP(BH1578,Selects!$G:$H,2,0),"")</f>
        <v/>
      </c>
      <c r="CB1578" s="72" t="str">
        <f aca="false">IF(AC1578&lt;&gt;"",VLOOKUP(AC1578,Selects!$B:$E,4,0),"")</f>
        <v/>
      </c>
    </row>
    <row r="1579" customFormat="false" ht="15" hidden="true" customHeight="false" outlineLevel="0" collapsed="false">
      <c r="E1579" s="60" t="str">
        <f aca="false">IF(LEN(D1579)=11,"PF",IF(LEN(D1579)=14,"PJ",""))</f>
        <v/>
      </c>
      <c r="I1579" s="62"/>
      <c r="J1579" s="63" t="str">
        <f aca="false">IF(I1579&lt;&gt;"",VLOOKUP(I1579,'Legal Nature'!$E$2:$G$84,3,0),"")</f>
        <v/>
      </c>
      <c r="U1579" s="58" t="str">
        <f aca="false">IF( T1579&lt;&gt;"",VLOOKUP(T1579,Selects!$M$4:$N$1000,2,0),"")</f>
        <v/>
      </c>
      <c r="AD1579" s="72" t="str">
        <f aca="false">IF(AC1579&lt;&gt;"",VLOOKUP(AC1579,Selects!$B$4:$C$100,2,0),"")</f>
        <v/>
      </c>
      <c r="AH1579" s="65"/>
      <c r="AJ1579" s="66"/>
      <c r="AK1579" s="58"/>
      <c r="AM1579" s="68" t="str">
        <f aca="false">IF(LEFT(AL1579,1)="9","Celular",IF(AL1579="","","Fixo"))</f>
        <v/>
      </c>
      <c r="AN1579" s="58" t="str">
        <f aca="false">IF( AM1579&lt;&gt;"",VLOOKUP(AM1579,Selects!$M$4:$N$1000,2,0),"")</f>
        <v/>
      </c>
      <c r="BB1579" s="72" t="str">
        <f aca="false">IF(BA1579&lt;&gt;"",VLOOKUP(BA1579,Selects!$B$4:$C$100,2,0),"")</f>
        <v/>
      </c>
      <c r="BG1579" s="75" t="str">
        <f aca="false">IF(LEN(BF1579)=11,"PF",IF(LEN(BF1579)=14,"PJ",""))</f>
        <v/>
      </c>
      <c r="BH1579" s="66"/>
      <c r="BI1579" s="58" t="str">
        <f aca="false">IF(BH1579&lt;&gt;"",VLOOKUP(BH1579,Selects!$G:$H,2,0),"")</f>
        <v/>
      </c>
      <c r="CB1579" s="72" t="str">
        <f aca="false">IF(AC1579&lt;&gt;"",VLOOKUP(AC1579,Selects!$B:$E,4,0),"")</f>
        <v/>
      </c>
    </row>
    <row r="1580" customFormat="false" ht="15" hidden="true" customHeight="false" outlineLevel="0" collapsed="false">
      <c r="E1580" s="60" t="str">
        <f aca="false">IF(LEN(D1580)=11,"PF",IF(LEN(D1580)=14,"PJ",""))</f>
        <v/>
      </c>
      <c r="I1580" s="62"/>
      <c r="J1580" s="63" t="str">
        <f aca="false">IF(I1580&lt;&gt;"",VLOOKUP(I1580,'Legal Nature'!$E$2:$G$84,3,0),"")</f>
        <v/>
      </c>
      <c r="U1580" s="58" t="str">
        <f aca="false">IF( T1580&lt;&gt;"",VLOOKUP(T1580,Selects!$M$4:$N$1000,2,0),"")</f>
        <v/>
      </c>
      <c r="AD1580" s="72" t="str">
        <f aca="false">IF(AC1580&lt;&gt;"",VLOOKUP(AC1580,Selects!$B$4:$C$100,2,0),"")</f>
        <v/>
      </c>
      <c r="AH1580" s="65"/>
      <c r="AJ1580" s="66"/>
      <c r="AK1580" s="58"/>
      <c r="AM1580" s="68" t="str">
        <f aca="false">IF(LEFT(AL1580,1)="9","Celular",IF(AL1580="","","Fixo"))</f>
        <v/>
      </c>
      <c r="AN1580" s="58" t="str">
        <f aca="false">IF( AM1580&lt;&gt;"",VLOOKUP(AM1580,Selects!$M$4:$N$1000,2,0),"")</f>
        <v/>
      </c>
      <c r="BB1580" s="72" t="str">
        <f aca="false">IF(BA1580&lt;&gt;"",VLOOKUP(BA1580,Selects!$B$4:$C$100,2,0),"")</f>
        <v/>
      </c>
      <c r="BG1580" s="75" t="str">
        <f aca="false">IF(LEN(BF1580)=11,"PF",IF(LEN(BF1580)=14,"PJ",""))</f>
        <v/>
      </c>
      <c r="BH1580" s="66"/>
      <c r="BI1580" s="58" t="str">
        <f aca="false">IF(BH1580&lt;&gt;"",VLOOKUP(BH1580,Selects!$G:$H,2,0),"")</f>
        <v/>
      </c>
      <c r="CB1580" s="72" t="str">
        <f aca="false">IF(AC1580&lt;&gt;"",VLOOKUP(AC1580,Selects!$B:$E,4,0),"")</f>
        <v/>
      </c>
    </row>
    <row r="1581" customFormat="false" ht="15" hidden="true" customHeight="false" outlineLevel="0" collapsed="false">
      <c r="E1581" s="60" t="str">
        <f aca="false">IF(LEN(D1581)=11,"PF",IF(LEN(D1581)=14,"PJ",""))</f>
        <v/>
      </c>
      <c r="I1581" s="62"/>
      <c r="J1581" s="63" t="str">
        <f aca="false">IF(I1581&lt;&gt;"",VLOOKUP(I1581,'Legal Nature'!$E$2:$G$84,3,0),"")</f>
        <v/>
      </c>
      <c r="U1581" s="58" t="str">
        <f aca="false">IF( T1581&lt;&gt;"",VLOOKUP(T1581,Selects!$M$4:$N$1000,2,0),"")</f>
        <v/>
      </c>
      <c r="AD1581" s="72" t="str">
        <f aca="false">IF(AC1581&lt;&gt;"",VLOOKUP(AC1581,Selects!$B$4:$C$100,2,0),"")</f>
        <v/>
      </c>
      <c r="AH1581" s="65"/>
      <c r="AJ1581" s="66"/>
      <c r="AK1581" s="58"/>
      <c r="AM1581" s="68" t="str">
        <f aca="false">IF(LEFT(AL1581,1)="9","Celular",IF(AL1581="","","Fixo"))</f>
        <v/>
      </c>
      <c r="AN1581" s="58" t="str">
        <f aca="false">IF( AM1581&lt;&gt;"",VLOOKUP(AM1581,Selects!$M$4:$N$1000,2,0),"")</f>
        <v/>
      </c>
      <c r="BB1581" s="72" t="str">
        <f aca="false">IF(BA1581&lt;&gt;"",VLOOKUP(BA1581,Selects!$B$4:$C$100,2,0),"")</f>
        <v/>
      </c>
      <c r="BG1581" s="75" t="str">
        <f aca="false">IF(LEN(BF1581)=11,"PF",IF(LEN(BF1581)=14,"PJ",""))</f>
        <v/>
      </c>
      <c r="BH1581" s="66"/>
      <c r="BI1581" s="58" t="str">
        <f aca="false">IF(BH1581&lt;&gt;"",VLOOKUP(BH1581,Selects!$G:$H,2,0),"")</f>
        <v/>
      </c>
      <c r="CB1581" s="72" t="str">
        <f aca="false">IF(AC1581&lt;&gt;"",VLOOKUP(AC1581,Selects!$B:$E,4,0),"")</f>
        <v/>
      </c>
    </row>
    <row r="1582" customFormat="false" ht="15" hidden="true" customHeight="false" outlineLevel="0" collapsed="false">
      <c r="E1582" s="60" t="str">
        <f aca="false">IF(LEN(D1582)=11,"PF",IF(LEN(D1582)=14,"PJ",""))</f>
        <v/>
      </c>
      <c r="I1582" s="62"/>
      <c r="J1582" s="63" t="str">
        <f aca="false">IF(I1582&lt;&gt;"",VLOOKUP(I1582,'Legal Nature'!$E$2:$G$84,3,0),"")</f>
        <v/>
      </c>
      <c r="U1582" s="58" t="str">
        <f aca="false">IF( T1582&lt;&gt;"",VLOOKUP(T1582,Selects!$M$4:$N$1000,2,0),"")</f>
        <v/>
      </c>
      <c r="AD1582" s="72" t="str">
        <f aca="false">IF(AC1582&lt;&gt;"",VLOOKUP(AC1582,Selects!$B$4:$C$100,2,0),"")</f>
        <v/>
      </c>
      <c r="AH1582" s="65"/>
      <c r="AJ1582" s="66"/>
      <c r="AK1582" s="58"/>
      <c r="AM1582" s="68" t="str">
        <f aca="false">IF(LEFT(AL1582,1)="9","Celular",IF(AL1582="","","Fixo"))</f>
        <v/>
      </c>
      <c r="AN1582" s="58" t="str">
        <f aca="false">IF( AM1582&lt;&gt;"",VLOOKUP(AM1582,Selects!$M$4:$N$1000,2,0),"")</f>
        <v/>
      </c>
      <c r="BB1582" s="72" t="str">
        <f aca="false">IF(BA1582&lt;&gt;"",VLOOKUP(BA1582,Selects!$B$4:$C$100,2,0),"")</f>
        <v/>
      </c>
      <c r="BG1582" s="75" t="str">
        <f aca="false">IF(LEN(BF1582)=11,"PF",IF(LEN(BF1582)=14,"PJ",""))</f>
        <v/>
      </c>
      <c r="BH1582" s="66"/>
      <c r="BI1582" s="58" t="str">
        <f aca="false">IF(BH1582&lt;&gt;"",VLOOKUP(BH1582,Selects!$G:$H,2,0),"")</f>
        <v/>
      </c>
      <c r="CB1582" s="72" t="str">
        <f aca="false">IF(AC1582&lt;&gt;"",VLOOKUP(AC1582,Selects!$B:$E,4,0),"")</f>
        <v/>
      </c>
    </row>
    <row r="1583" customFormat="false" ht="15" hidden="true" customHeight="false" outlineLevel="0" collapsed="false">
      <c r="E1583" s="60" t="str">
        <f aca="false">IF(LEN(D1583)=11,"PF",IF(LEN(D1583)=14,"PJ",""))</f>
        <v/>
      </c>
      <c r="I1583" s="62"/>
      <c r="J1583" s="63" t="str">
        <f aca="false">IF(I1583&lt;&gt;"",VLOOKUP(I1583,'Legal Nature'!$E$2:$G$84,3,0),"")</f>
        <v/>
      </c>
      <c r="U1583" s="58" t="str">
        <f aca="false">IF( T1583&lt;&gt;"",VLOOKUP(T1583,Selects!$M$4:$N$1000,2,0),"")</f>
        <v/>
      </c>
      <c r="AD1583" s="72" t="str">
        <f aca="false">IF(AC1583&lt;&gt;"",VLOOKUP(AC1583,Selects!$B$4:$C$100,2,0),"")</f>
        <v/>
      </c>
      <c r="AH1583" s="65"/>
      <c r="AJ1583" s="66"/>
      <c r="AK1583" s="58"/>
      <c r="AM1583" s="68" t="str">
        <f aca="false">IF(LEFT(AL1583,1)="9","Celular",IF(AL1583="","","Fixo"))</f>
        <v/>
      </c>
      <c r="AN1583" s="58" t="str">
        <f aca="false">IF( AM1583&lt;&gt;"",VLOOKUP(AM1583,Selects!$M$4:$N$1000,2,0),"")</f>
        <v/>
      </c>
      <c r="BB1583" s="72" t="str">
        <f aca="false">IF(BA1583&lt;&gt;"",VLOOKUP(BA1583,Selects!$B$4:$C$100,2,0),"")</f>
        <v/>
      </c>
      <c r="BG1583" s="75" t="str">
        <f aca="false">IF(LEN(BF1583)=11,"PF",IF(LEN(BF1583)=14,"PJ",""))</f>
        <v/>
      </c>
      <c r="BH1583" s="66"/>
      <c r="BI1583" s="58" t="str">
        <f aca="false">IF(BH1583&lt;&gt;"",VLOOKUP(BH1583,Selects!$G:$H,2,0),"")</f>
        <v/>
      </c>
      <c r="CB1583" s="72" t="str">
        <f aca="false">IF(AC1583&lt;&gt;"",VLOOKUP(AC1583,Selects!$B:$E,4,0),"")</f>
        <v/>
      </c>
    </row>
    <row r="1584" customFormat="false" ht="15" hidden="true" customHeight="false" outlineLevel="0" collapsed="false">
      <c r="E1584" s="60" t="str">
        <f aca="false">IF(LEN(D1584)=11,"PF",IF(LEN(D1584)=14,"PJ",""))</f>
        <v/>
      </c>
      <c r="I1584" s="62"/>
      <c r="J1584" s="63" t="str">
        <f aca="false">IF(I1584&lt;&gt;"",VLOOKUP(I1584,'Legal Nature'!$E$2:$G$84,3,0),"")</f>
        <v/>
      </c>
      <c r="U1584" s="58" t="str">
        <f aca="false">IF( T1584&lt;&gt;"",VLOOKUP(T1584,Selects!$M$4:$N$1000,2,0),"")</f>
        <v/>
      </c>
      <c r="AD1584" s="72" t="str">
        <f aca="false">IF(AC1584&lt;&gt;"",VLOOKUP(AC1584,Selects!$B$4:$C$100,2,0),"")</f>
        <v/>
      </c>
      <c r="AH1584" s="65"/>
      <c r="AJ1584" s="66"/>
      <c r="AK1584" s="58"/>
      <c r="AM1584" s="68" t="str">
        <f aca="false">IF(LEFT(AL1584,1)="9","Celular",IF(AL1584="","","Fixo"))</f>
        <v/>
      </c>
      <c r="AN1584" s="58" t="str">
        <f aca="false">IF( AM1584&lt;&gt;"",VLOOKUP(AM1584,Selects!$M$4:$N$1000,2,0),"")</f>
        <v/>
      </c>
      <c r="BB1584" s="72" t="str">
        <f aca="false">IF(BA1584&lt;&gt;"",VLOOKUP(BA1584,Selects!$B$4:$C$100,2,0),"")</f>
        <v/>
      </c>
      <c r="BG1584" s="75" t="str">
        <f aca="false">IF(LEN(BF1584)=11,"PF",IF(LEN(BF1584)=14,"PJ",""))</f>
        <v/>
      </c>
      <c r="BH1584" s="66"/>
      <c r="BI1584" s="58" t="str">
        <f aca="false">IF(BH1584&lt;&gt;"",VLOOKUP(BH1584,Selects!$G:$H,2,0),"")</f>
        <v/>
      </c>
      <c r="CB1584" s="72" t="str">
        <f aca="false">IF(AC1584&lt;&gt;"",VLOOKUP(AC1584,Selects!$B:$E,4,0),"")</f>
        <v/>
      </c>
    </row>
    <row r="1585" customFormat="false" ht="15" hidden="true" customHeight="false" outlineLevel="0" collapsed="false">
      <c r="E1585" s="60" t="str">
        <f aca="false">IF(LEN(D1585)=11,"PF",IF(LEN(D1585)=14,"PJ",""))</f>
        <v/>
      </c>
      <c r="I1585" s="62"/>
      <c r="J1585" s="63" t="str">
        <f aca="false">IF(I1585&lt;&gt;"",VLOOKUP(I1585,'Legal Nature'!$E$2:$G$84,3,0),"")</f>
        <v/>
      </c>
      <c r="U1585" s="58" t="str">
        <f aca="false">IF( T1585&lt;&gt;"",VLOOKUP(T1585,Selects!$M$4:$N$1000,2,0),"")</f>
        <v/>
      </c>
      <c r="AD1585" s="72" t="str">
        <f aca="false">IF(AC1585&lt;&gt;"",VLOOKUP(AC1585,Selects!$B$4:$C$100,2,0),"")</f>
        <v/>
      </c>
      <c r="AH1585" s="65"/>
      <c r="AJ1585" s="66"/>
      <c r="AK1585" s="58"/>
      <c r="AM1585" s="68" t="str">
        <f aca="false">IF(LEFT(AL1585,1)="9","Celular",IF(AL1585="","","Fixo"))</f>
        <v/>
      </c>
      <c r="AN1585" s="58" t="str">
        <f aca="false">IF( AM1585&lt;&gt;"",VLOOKUP(AM1585,Selects!$M$4:$N$1000,2,0),"")</f>
        <v/>
      </c>
      <c r="BB1585" s="72" t="str">
        <f aca="false">IF(BA1585&lt;&gt;"",VLOOKUP(BA1585,Selects!$B$4:$C$100,2,0),"")</f>
        <v/>
      </c>
      <c r="BG1585" s="75" t="str">
        <f aca="false">IF(LEN(BF1585)=11,"PF",IF(LEN(BF1585)=14,"PJ",""))</f>
        <v/>
      </c>
      <c r="BH1585" s="66"/>
      <c r="BI1585" s="58" t="str">
        <f aca="false">IF(BH1585&lt;&gt;"",VLOOKUP(BH1585,Selects!$G:$H,2,0),"")</f>
        <v/>
      </c>
      <c r="CB1585" s="72" t="str">
        <f aca="false">IF(AC1585&lt;&gt;"",VLOOKUP(AC1585,Selects!$B:$E,4,0),"")</f>
        <v/>
      </c>
    </row>
    <row r="1586" customFormat="false" ht="15" hidden="true" customHeight="false" outlineLevel="0" collapsed="false">
      <c r="E1586" s="60" t="str">
        <f aca="false">IF(LEN(D1586)=11,"PF",IF(LEN(D1586)=14,"PJ",""))</f>
        <v/>
      </c>
      <c r="I1586" s="62"/>
      <c r="J1586" s="63" t="str">
        <f aca="false">IF(I1586&lt;&gt;"",VLOOKUP(I1586,'Legal Nature'!$E$2:$G$84,3,0),"")</f>
        <v/>
      </c>
      <c r="U1586" s="58" t="str">
        <f aca="false">IF( T1586&lt;&gt;"",VLOOKUP(T1586,Selects!$M$4:$N$1000,2,0),"")</f>
        <v/>
      </c>
      <c r="AD1586" s="72" t="str">
        <f aca="false">IF(AC1586&lt;&gt;"",VLOOKUP(AC1586,Selects!$B$4:$C$100,2,0),"")</f>
        <v/>
      </c>
      <c r="AH1586" s="65"/>
      <c r="AJ1586" s="66"/>
      <c r="AK1586" s="58"/>
      <c r="AM1586" s="68" t="str">
        <f aca="false">IF(LEFT(AL1586,1)="9","Celular",IF(AL1586="","","Fixo"))</f>
        <v/>
      </c>
      <c r="AN1586" s="58" t="str">
        <f aca="false">IF( AM1586&lt;&gt;"",VLOOKUP(AM1586,Selects!$M$4:$N$1000,2,0),"")</f>
        <v/>
      </c>
      <c r="BB1586" s="72" t="str">
        <f aca="false">IF(BA1586&lt;&gt;"",VLOOKUP(BA1586,Selects!$B$4:$C$100,2,0),"")</f>
        <v/>
      </c>
      <c r="BG1586" s="75" t="str">
        <f aca="false">IF(LEN(BF1586)=11,"PF",IF(LEN(BF1586)=14,"PJ",""))</f>
        <v/>
      </c>
      <c r="BH1586" s="66"/>
      <c r="BI1586" s="58" t="str">
        <f aca="false">IF(BH1586&lt;&gt;"",VLOOKUP(BH1586,Selects!$G:$H,2,0),"")</f>
        <v/>
      </c>
      <c r="CB1586" s="72" t="str">
        <f aca="false">IF(AC1586&lt;&gt;"",VLOOKUP(AC1586,Selects!$B:$E,4,0),"")</f>
        <v/>
      </c>
    </row>
    <row r="1587" customFormat="false" ht="15" hidden="true" customHeight="false" outlineLevel="0" collapsed="false">
      <c r="E1587" s="60" t="str">
        <f aca="false">IF(LEN(D1587)=11,"PF",IF(LEN(D1587)=14,"PJ",""))</f>
        <v/>
      </c>
      <c r="I1587" s="62"/>
      <c r="J1587" s="63" t="str">
        <f aca="false">IF(I1587&lt;&gt;"",VLOOKUP(I1587,'Legal Nature'!$E$2:$G$84,3,0),"")</f>
        <v/>
      </c>
      <c r="U1587" s="58" t="str">
        <f aca="false">IF( T1587&lt;&gt;"",VLOOKUP(T1587,Selects!$M$4:$N$1000,2,0),"")</f>
        <v/>
      </c>
      <c r="AD1587" s="72" t="str">
        <f aca="false">IF(AC1587&lt;&gt;"",VLOOKUP(AC1587,Selects!$B$4:$C$100,2,0),"")</f>
        <v/>
      </c>
      <c r="AH1587" s="65"/>
      <c r="AJ1587" s="66"/>
      <c r="AK1587" s="58"/>
      <c r="AM1587" s="68" t="str">
        <f aca="false">IF(LEFT(AL1587,1)="9","Celular",IF(AL1587="","","Fixo"))</f>
        <v/>
      </c>
      <c r="AN1587" s="58" t="str">
        <f aca="false">IF( AM1587&lt;&gt;"",VLOOKUP(AM1587,Selects!$M$4:$N$1000,2,0),"")</f>
        <v/>
      </c>
      <c r="BB1587" s="72" t="str">
        <f aca="false">IF(BA1587&lt;&gt;"",VLOOKUP(BA1587,Selects!$B$4:$C$100,2,0),"")</f>
        <v/>
      </c>
      <c r="BG1587" s="75" t="str">
        <f aca="false">IF(LEN(BF1587)=11,"PF",IF(LEN(BF1587)=14,"PJ",""))</f>
        <v/>
      </c>
      <c r="BH1587" s="66"/>
      <c r="BI1587" s="58" t="str">
        <f aca="false">IF(BH1587&lt;&gt;"",VLOOKUP(BH1587,Selects!$G:$H,2,0),"")</f>
        <v/>
      </c>
      <c r="CB1587" s="72" t="str">
        <f aca="false">IF(AC1587&lt;&gt;"",VLOOKUP(AC1587,Selects!$B:$E,4,0),"")</f>
        <v/>
      </c>
    </row>
    <row r="1588" customFormat="false" ht="15" hidden="true" customHeight="false" outlineLevel="0" collapsed="false">
      <c r="E1588" s="60" t="str">
        <f aca="false">IF(LEN(D1588)=11,"PF",IF(LEN(D1588)=14,"PJ",""))</f>
        <v/>
      </c>
      <c r="I1588" s="62"/>
      <c r="J1588" s="63" t="str">
        <f aca="false">IF(I1588&lt;&gt;"",VLOOKUP(I1588,'Legal Nature'!$E$2:$G$84,3,0),"")</f>
        <v/>
      </c>
      <c r="U1588" s="58" t="str">
        <f aca="false">IF( T1588&lt;&gt;"",VLOOKUP(T1588,Selects!$M$4:$N$1000,2,0),"")</f>
        <v/>
      </c>
      <c r="AD1588" s="72" t="str">
        <f aca="false">IF(AC1588&lt;&gt;"",VLOOKUP(AC1588,Selects!$B$4:$C$100,2,0),"")</f>
        <v/>
      </c>
      <c r="AH1588" s="65"/>
      <c r="AJ1588" s="66"/>
      <c r="AK1588" s="58"/>
      <c r="AM1588" s="68" t="str">
        <f aca="false">IF(LEFT(AL1588,1)="9","Celular",IF(AL1588="","","Fixo"))</f>
        <v/>
      </c>
      <c r="AN1588" s="58" t="str">
        <f aca="false">IF( AM1588&lt;&gt;"",VLOOKUP(AM1588,Selects!$M$4:$N$1000,2,0),"")</f>
        <v/>
      </c>
      <c r="BB1588" s="72" t="str">
        <f aca="false">IF(BA1588&lt;&gt;"",VLOOKUP(BA1588,Selects!$B$4:$C$100,2,0),"")</f>
        <v/>
      </c>
      <c r="BG1588" s="75" t="str">
        <f aca="false">IF(LEN(BF1588)=11,"PF",IF(LEN(BF1588)=14,"PJ",""))</f>
        <v/>
      </c>
      <c r="BH1588" s="66"/>
      <c r="BI1588" s="58" t="str">
        <f aca="false">IF(BH1588&lt;&gt;"",VLOOKUP(BH1588,Selects!$G:$H,2,0),"")</f>
        <v/>
      </c>
      <c r="CB1588" s="72" t="str">
        <f aca="false">IF(AC1588&lt;&gt;"",VLOOKUP(AC1588,Selects!$B:$E,4,0),"")</f>
        <v/>
      </c>
    </row>
    <row r="1589" customFormat="false" ht="15" hidden="true" customHeight="false" outlineLevel="0" collapsed="false">
      <c r="E1589" s="60" t="str">
        <f aca="false">IF(LEN(D1589)=11,"PF",IF(LEN(D1589)=14,"PJ",""))</f>
        <v/>
      </c>
      <c r="I1589" s="62"/>
      <c r="J1589" s="63" t="str">
        <f aca="false">IF(I1589&lt;&gt;"",VLOOKUP(I1589,'Legal Nature'!$E$2:$G$84,3,0),"")</f>
        <v/>
      </c>
      <c r="U1589" s="58" t="str">
        <f aca="false">IF( T1589&lt;&gt;"",VLOOKUP(T1589,Selects!$M$4:$N$1000,2,0),"")</f>
        <v/>
      </c>
      <c r="AD1589" s="72" t="str">
        <f aca="false">IF(AC1589&lt;&gt;"",VLOOKUP(AC1589,Selects!$B$4:$C$100,2,0),"")</f>
        <v/>
      </c>
      <c r="AH1589" s="65"/>
      <c r="AJ1589" s="66"/>
      <c r="AK1589" s="58"/>
      <c r="AM1589" s="68" t="str">
        <f aca="false">IF(LEFT(AL1589,1)="9","Celular",IF(AL1589="","","Fixo"))</f>
        <v/>
      </c>
      <c r="AN1589" s="58" t="str">
        <f aca="false">IF( AM1589&lt;&gt;"",VLOOKUP(AM1589,Selects!$M$4:$N$1000,2,0),"")</f>
        <v/>
      </c>
      <c r="BB1589" s="72" t="str">
        <f aca="false">IF(BA1589&lt;&gt;"",VLOOKUP(BA1589,Selects!$B$4:$C$100,2,0),"")</f>
        <v/>
      </c>
      <c r="BG1589" s="75" t="str">
        <f aca="false">IF(LEN(BF1589)=11,"PF",IF(LEN(BF1589)=14,"PJ",""))</f>
        <v/>
      </c>
      <c r="BH1589" s="66"/>
      <c r="BI1589" s="58" t="str">
        <f aca="false">IF(BH1589&lt;&gt;"",VLOOKUP(BH1589,Selects!$G:$H,2,0),"")</f>
        <v/>
      </c>
      <c r="CB1589" s="72" t="str">
        <f aca="false">IF(AC1589&lt;&gt;"",VLOOKUP(AC1589,Selects!$B:$E,4,0),"")</f>
        <v/>
      </c>
    </row>
    <row r="1590" customFormat="false" ht="15" hidden="true" customHeight="false" outlineLevel="0" collapsed="false">
      <c r="E1590" s="60" t="str">
        <f aca="false">IF(LEN(D1590)=11,"PF",IF(LEN(D1590)=14,"PJ",""))</f>
        <v/>
      </c>
      <c r="I1590" s="62"/>
      <c r="J1590" s="63" t="str">
        <f aca="false">IF(I1590&lt;&gt;"",VLOOKUP(I1590,'Legal Nature'!$E$2:$G$84,3,0),"")</f>
        <v/>
      </c>
      <c r="U1590" s="58" t="str">
        <f aca="false">IF( T1590&lt;&gt;"",VLOOKUP(T1590,Selects!$M$4:$N$1000,2,0),"")</f>
        <v/>
      </c>
      <c r="AD1590" s="72" t="str">
        <f aca="false">IF(AC1590&lt;&gt;"",VLOOKUP(AC1590,Selects!$B$4:$C$100,2,0),"")</f>
        <v/>
      </c>
      <c r="AH1590" s="65"/>
      <c r="AJ1590" s="66"/>
      <c r="AK1590" s="58"/>
      <c r="AM1590" s="68" t="str">
        <f aca="false">IF(LEFT(AL1590,1)="9","Celular",IF(AL1590="","","Fixo"))</f>
        <v/>
      </c>
      <c r="AN1590" s="58" t="str">
        <f aca="false">IF( AM1590&lt;&gt;"",VLOOKUP(AM1590,Selects!$M$4:$N$1000,2,0),"")</f>
        <v/>
      </c>
      <c r="BB1590" s="72" t="str">
        <f aca="false">IF(BA1590&lt;&gt;"",VLOOKUP(BA1590,Selects!$B$4:$C$100,2,0),"")</f>
        <v/>
      </c>
      <c r="BG1590" s="75" t="str">
        <f aca="false">IF(LEN(BF1590)=11,"PF",IF(LEN(BF1590)=14,"PJ",""))</f>
        <v/>
      </c>
      <c r="BH1590" s="66"/>
      <c r="BI1590" s="58" t="str">
        <f aca="false">IF(BH1590&lt;&gt;"",VLOOKUP(BH1590,Selects!$G:$H,2,0),"")</f>
        <v/>
      </c>
      <c r="CB1590" s="72" t="str">
        <f aca="false">IF(AC1590&lt;&gt;"",VLOOKUP(AC1590,Selects!$B:$E,4,0),"")</f>
        <v/>
      </c>
    </row>
    <row r="1591" customFormat="false" ht="15" hidden="true" customHeight="false" outlineLevel="0" collapsed="false">
      <c r="E1591" s="60" t="str">
        <f aca="false">IF(LEN(D1591)=11,"PF",IF(LEN(D1591)=14,"PJ",""))</f>
        <v/>
      </c>
      <c r="I1591" s="62"/>
      <c r="J1591" s="63" t="str">
        <f aca="false">IF(I1591&lt;&gt;"",VLOOKUP(I1591,'Legal Nature'!$E$2:$G$84,3,0),"")</f>
        <v/>
      </c>
      <c r="U1591" s="58" t="str">
        <f aca="false">IF( T1591&lt;&gt;"",VLOOKUP(T1591,Selects!$M$4:$N$1000,2,0),"")</f>
        <v/>
      </c>
      <c r="AD1591" s="72" t="str">
        <f aca="false">IF(AC1591&lt;&gt;"",VLOOKUP(AC1591,Selects!$B$4:$C$100,2,0),"")</f>
        <v/>
      </c>
      <c r="AH1591" s="65"/>
      <c r="AJ1591" s="66"/>
      <c r="AK1591" s="58"/>
      <c r="AM1591" s="68" t="str">
        <f aca="false">IF(LEFT(AL1591,1)="9","Celular",IF(AL1591="","","Fixo"))</f>
        <v/>
      </c>
      <c r="AN1591" s="58" t="str">
        <f aca="false">IF( AM1591&lt;&gt;"",VLOOKUP(AM1591,Selects!$M$4:$N$1000,2,0),"")</f>
        <v/>
      </c>
      <c r="BB1591" s="72" t="str">
        <f aca="false">IF(BA1591&lt;&gt;"",VLOOKUP(BA1591,Selects!$B$4:$C$100,2,0),"")</f>
        <v/>
      </c>
      <c r="BG1591" s="75" t="str">
        <f aca="false">IF(LEN(BF1591)=11,"PF",IF(LEN(BF1591)=14,"PJ",""))</f>
        <v/>
      </c>
      <c r="BH1591" s="66"/>
      <c r="BI1591" s="58" t="str">
        <f aca="false">IF(BH1591&lt;&gt;"",VLOOKUP(BH1591,Selects!$G:$H,2,0),"")</f>
        <v/>
      </c>
      <c r="CB1591" s="72" t="str">
        <f aca="false">IF(AC1591&lt;&gt;"",VLOOKUP(AC1591,Selects!$B:$E,4,0),"")</f>
        <v/>
      </c>
    </row>
    <row r="1592" customFormat="false" ht="15" hidden="true" customHeight="false" outlineLevel="0" collapsed="false">
      <c r="E1592" s="60" t="str">
        <f aca="false">IF(LEN(D1592)=11,"PF",IF(LEN(D1592)=14,"PJ",""))</f>
        <v/>
      </c>
      <c r="I1592" s="62"/>
      <c r="J1592" s="63" t="str">
        <f aca="false">IF(I1592&lt;&gt;"",VLOOKUP(I1592,'Legal Nature'!$E$2:$G$84,3,0),"")</f>
        <v/>
      </c>
      <c r="U1592" s="58" t="str">
        <f aca="false">IF( T1592&lt;&gt;"",VLOOKUP(T1592,Selects!$M$4:$N$1000,2,0),"")</f>
        <v/>
      </c>
      <c r="AD1592" s="72" t="str">
        <f aca="false">IF(AC1592&lt;&gt;"",VLOOKUP(AC1592,Selects!$B$4:$C$100,2,0),"")</f>
        <v/>
      </c>
      <c r="AH1592" s="65"/>
      <c r="AJ1592" s="66"/>
      <c r="AK1592" s="58"/>
      <c r="AM1592" s="68" t="str">
        <f aca="false">IF(LEFT(AL1592,1)="9","Celular",IF(AL1592="","","Fixo"))</f>
        <v/>
      </c>
      <c r="AN1592" s="58" t="str">
        <f aca="false">IF( AM1592&lt;&gt;"",VLOOKUP(AM1592,Selects!$M$4:$N$1000,2,0),"")</f>
        <v/>
      </c>
      <c r="BB1592" s="72" t="str">
        <f aca="false">IF(BA1592&lt;&gt;"",VLOOKUP(BA1592,Selects!$B$4:$C$100,2,0),"")</f>
        <v/>
      </c>
      <c r="BG1592" s="75" t="str">
        <f aca="false">IF(LEN(BF1592)=11,"PF",IF(LEN(BF1592)=14,"PJ",""))</f>
        <v/>
      </c>
      <c r="BH1592" s="66"/>
      <c r="BI1592" s="58" t="str">
        <f aca="false">IF(BH1592&lt;&gt;"",VLOOKUP(BH1592,Selects!$G:$H,2,0),"")</f>
        <v/>
      </c>
      <c r="CB1592" s="72" t="str">
        <f aca="false">IF(AC1592&lt;&gt;"",VLOOKUP(AC1592,Selects!$B:$E,4,0),"")</f>
        <v/>
      </c>
    </row>
    <row r="1593" customFormat="false" ht="15" hidden="true" customHeight="false" outlineLevel="0" collapsed="false">
      <c r="E1593" s="60" t="str">
        <f aca="false">IF(LEN(D1593)=11,"PF",IF(LEN(D1593)=14,"PJ",""))</f>
        <v/>
      </c>
      <c r="I1593" s="62"/>
      <c r="J1593" s="63" t="str">
        <f aca="false">IF(I1593&lt;&gt;"",VLOOKUP(I1593,'Legal Nature'!$E$2:$G$84,3,0),"")</f>
        <v/>
      </c>
      <c r="U1593" s="58" t="str">
        <f aca="false">IF( T1593&lt;&gt;"",VLOOKUP(T1593,Selects!$M$4:$N$1000,2,0),"")</f>
        <v/>
      </c>
      <c r="AD1593" s="72" t="str">
        <f aca="false">IF(AC1593&lt;&gt;"",VLOOKUP(AC1593,Selects!$B$4:$C$100,2,0),"")</f>
        <v/>
      </c>
      <c r="AH1593" s="65"/>
      <c r="AJ1593" s="66"/>
      <c r="AK1593" s="58"/>
      <c r="AM1593" s="68" t="str">
        <f aca="false">IF(LEFT(AL1593,1)="9","Celular",IF(AL1593="","","Fixo"))</f>
        <v/>
      </c>
      <c r="AN1593" s="58" t="str">
        <f aca="false">IF( AM1593&lt;&gt;"",VLOOKUP(AM1593,Selects!$M$4:$N$1000,2,0),"")</f>
        <v/>
      </c>
      <c r="BB1593" s="72" t="str">
        <f aca="false">IF(BA1593&lt;&gt;"",VLOOKUP(BA1593,Selects!$B$4:$C$100,2,0),"")</f>
        <v/>
      </c>
      <c r="BG1593" s="75" t="str">
        <f aca="false">IF(LEN(BF1593)=11,"PF",IF(LEN(BF1593)=14,"PJ",""))</f>
        <v/>
      </c>
      <c r="BH1593" s="66"/>
      <c r="BI1593" s="58" t="str">
        <f aca="false">IF(BH1593&lt;&gt;"",VLOOKUP(BH1593,Selects!$G:$H,2,0),"")</f>
        <v/>
      </c>
      <c r="CB1593" s="72" t="str">
        <f aca="false">IF(AC1593&lt;&gt;"",VLOOKUP(AC1593,Selects!$B:$E,4,0),"")</f>
        <v/>
      </c>
    </row>
    <row r="1594" customFormat="false" ht="15" hidden="true" customHeight="false" outlineLevel="0" collapsed="false">
      <c r="E1594" s="60" t="str">
        <f aca="false">IF(LEN(D1594)=11,"PF",IF(LEN(D1594)=14,"PJ",""))</f>
        <v/>
      </c>
      <c r="I1594" s="62"/>
      <c r="J1594" s="63" t="str">
        <f aca="false">IF(I1594&lt;&gt;"",VLOOKUP(I1594,'Legal Nature'!$E$2:$G$84,3,0),"")</f>
        <v/>
      </c>
      <c r="U1594" s="58" t="str">
        <f aca="false">IF( T1594&lt;&gt;"",VLOOKUP(T1594,Selects!$M$4:$N$1000,2,0),"")</f>
        <v/>
      </c>
      <c r="AD1594" s="72" t="str">
        <f aca="false">IF(AC1594&lt;&gt;"",VLOOKUP(AC1594,Selects!$B$4:$C$100,2,0),"")</f>
        <v/>
      </c>
      <c r="AH1594" s="65"/>
      <c r="AJ1594" s="66"/>
      <c r="AK1594" s="58"/>
      <c r="AM1594" s="68" t="str">
        <f aca="false">IF(LEFT(AL1594,1)="9","Celular",IF(AL1594="","","Fixo"))</f>
        <v/>
      </c>
      <c r="AN1594" s="58" t="str">
        <f aca="false">IF( AM1594&lt;&gt;"",VLOOKUP(AM1594,Selects!$M$4:$N$1000,2,0),"")</f>
        <v/>
      </c>
      <c r="BB1594" s="72" t="str">
        <f aca="false">IF(BA1594&lt;&gt;"",VLOOKUP(BA1594,Selects!$B$4:$C$100,2,0),"")</f>
        <v/>
      </c>
      <c r="BG1594" s="75" t="str">
        <f aca="false">IF(LEN(BF1594)=11,"PF",IF(LEN(BF1594)=14,"PJ",""))</f>
        <v/>
      </c>
      <c r="BH1594" s="66"/>
      <c r="BI1594" s="58" t="str">
        <f aca="false">IF(BH1594&lt;&gt;"",VLOOKUP(BH1594,Selects!$G:$H,2,0),"")</f>
        <v/>
      </c>
      <c r="CB1594" s="72" t="str">
        <f aca="false">IF(AC1594&lt;&gt;"",VLOOKUP(AC1594,Selects!$B:$E,4,0),"")</f>
        <v/>
      </c>
    </row>
    <row r="1595" customFormat="false" ht="15" hidden="true" customHeight="false" outlineLevel="0" collapsed="false">
      <c r="E1595" s="60" t="str">
        <f aca="false">IF(LEN(D1595)=11,"PF",IF(LEN(D1595)=14,"PJ",""))</f>
        <v/>
      </c>
      <c r="I1595" s="62"/>
      <c r="J1595" s="63" t="str">
        <f aca="false">IF(I1595&lt;&gt;"",VLOOKUP(I1595,'Legal Nature'!$E$2:$G$84,3,0),"")</f>
        <v/>
      </c>
      <c r="U1595" s="58" t="str">
        <f aca="false">IF( T1595&lt;&gt;"",VLOOKUP(T1595,Selects!$M$4:$N$1000,2,0),"")</f>
        <v/>
      </c>
      <c r="AD1595" s="72" t="str">
        <f aca="false">IF(AC1595&lt;&gt;"",VLOOKUP(AC1595,Selects!$B$4:$C$100,2,0),"")</f>
        <v/>
      </c>
      <c r="AH1595" s="65"/>
      <c r="AJ1595" s="66"/>
      <c r="AK1595" s="58"/>
      <c r="AM1595" s="68" t="str">
        <f aca="false">IF(LEFT(AL1595,1)="9","Celular",IF(AL1595="","","Fixo"))</f>
        <v/>
      </c>
      <c r="AN1595" s="58" t="str">
        <f aca="false">IF( AM1595&lt;&gt;"",VLOOKUP(AM1595,Selects!$M$4:$N$1000,2,0),"")</f>
        <v/>
      </c>
      <c r="BB1595" s="72" t="str">
        <f aca="false">IF(BA1595&lt;&gt;"",VLOOKUP(BA1595,Selects!$B$4:$C$100,2,0),"")</f>
        <v/>
      </c>
      <c r="BG1595" s="75" t="str">
        <f aca="false">IF(LEN(BF1595)=11,"PF",IF(LEN(BF1595)=14,"PJ",""))</f>
        <v/>
      </c>
      <c r="BH1595" s="66"/>
      <c r="BI1595" s="58" t="str">
        <f aca="false">IF(BH1595&lt;&gt;"",VLOOKUP(BH1595,Selects!$G:$H,2,0),"")</f>
        <v/>
      </c>
      <c r="CB1595" s="72" t="str">
        <f aca="false">IF(AC1595&lt;&gt;"",VLOOKUP(AC1595,Selects!$B:$E,4,0),"")</f>
        <v/>
      </c>
    </row>
    <row r="1596" customFormat="false" ht="15" hidden="true" customHeight="false" outlineLevel="0" collapsed="false">
      <c r="E1596" s="60" t="str">
        <f aca="false">IF(LEN(D1596)=11,"PF",IF(LEN(D1596)=14,"PJ",""))</f>
        <v/>
      </c>
      <c r="I1596" s="62"/>
      <c r="J1596" s="63" t="str">
        <f aca="false">IF(I1596&lt;&gt;"",VLOOKUP(I1596,'Legal Nature'!$E$2:$G$84,3,0),"")</f>
        <v/>
      </c>
      <c r="U1596" s="58" t="str">
        <f aca="false">IF( T1596&lt;&gt;"",VLOOKUP(T1596,Selects!$M$4:$N$1000,2,0),"")</f>
        <v/>
      </c>
      <c r="AD1596" s="72" t="str">
        <f aca="false">IF(AC1596&lt;&gt;"",VLOOKUP(AC1596,Selects!$B$4:$C$100,2,0),"")</f>
        <v/>
      </c>
      <c r="AH1596" s="65"/>
      <c r="AJ1596" s="66"/>
      <c r="AK1596" s="58"/>
      <c r="AM1596" s="68" t="str">
        <f aca="false">IF(LEFT(AL1596,1)="9","Celular",IF(AL1596="","","Fixo"))</f>
        <v/>
      </c>
      <c r="AN1596" s="58" t="str">
        <f aca="false">IF( AM1596&lt;&gt;"",VLOOKUP(AM1596,Selects!$M$4:$N$1000,2,0),"")</f>
        <v/>
      </c>
      <c r="BB1596" s="72" t="str">
        <f aca="false">IF(BA1596&lt;&gt;"",VLOOKUP(BA1596,Selects!$B$4:$C$100,2,0),"")</f>
        <v/>
      </c>
      <c r="BG1596" s="75" t="str">
        <f aca="false">IF(LEN(BF1596)=11,"PF",IF(LEN(BF1596)=14,"PJ",""))</f>
        <v/>
      </c>
      <c r="BH1596" s="66"/>
      <c r="BI1596" s="58" t="str">
        <f aca="false">IF(BH1596&lt;&gt;"",VLOOKUP(BH1596,Selects!$G:$H,2,0),"")</f>
        <v/>
      </c>
      <c r="CB1596" s="72" t="str">
        <f aca="false">IF(AC1596&lt;&gt;"",VLOOKUP(AC1596,Selects!$B:$E,4,0),"")</f>
        <v/>
      </c>
    </row>
    <row r="1597" customFormat="false" ht="15" hidden="true" customHeight="false" outlineLevel="0" collapsed="false">
      <c r="E1597" s="60" t="str">
        <f aca="false">IF(LEN(D1597)=11,"PF",IF(LEN(D1597)=14,"PJ",""))</f>
        <v/>
      </c>
      <c r="I1597" s="62"/>
      <c r="J1597" s="63" t="str">
        <f aca="false">IF(I1597&lt;&gt;"",VLOOKUP(I1597,'Legal Nature'!$E$2:$G$84,3,0),"")</f>
        <v/>
      </c>
      <c r="U1597" s="58" t="str">
        <f aca="false">IF( T1597&lt;&gt;"",VLOOKUP(T1597,Selects!$M$4:$N$1000,2,0),"")</f>
        <v/>
      </c>
      <c r="AD1597" s="72" t="str">
        <f aca="false">IF(AC1597&lt;&gt;"",VLOOKUP(AC1597,Selects!$B$4:$C$100,2,0),"")</f>
        <v/>
      </c>
      <c r="AH1597" s="65"/>
      <c r="AJ1597" s="66"/>
      <c r="AK1597" s="58"/>
      <c r="AM1597" s="68" t="str">
        <f aca="false">IF(LEFT(AL1597,1)="9","Celular",IF(AL1597="","","Fixo"))</f>
        <v/>
      </c>
      <c r="AN1597" s="58" t="str">
        <f aca="false">IF( AM1597&lt;&gt;"",VLOOKUP(AM1597,Selects!$M$4:$N$1000,2,0),"")</f>
        <v/>
      </c>
      <c r="BB1597" s="72" t="str">
        <f aca="false">IF(BA1597&lt;&gt;"",VLOOKUP(BA1597,Selects!$B$4:$C$100,2,0),"")</f>
        <v/>
      </c>
      <c r="BG1597" s="75" t="str">
        <f aca="false">IF(LEN(BF1597)=11,"PF",IF(LEN(BF1597)=14,"PJ",""))</f>
        <v/>
      </c>
      <c r="BH1597" s="66"/>
      <c r="BI1597" s="58" t="str">
        <f aca="false">IF(BH1597&lt;&gt;"",VLOOKUP(BH1597,Selects!$G:$H,2,0),"")</f>
        <v/>
      </c>
      <c r="CB1597" s="72" t="str">
        <f aca="false">IF(AC1597&lt;&gt;"",VLOOKUP(AC1597,Selects!$B:$E,4,0),"")</f>
        <v/>
      </c>
    </row>
    <row r="1598" customFormat="false" ht="15" hidden="true" customHeight="false" outlineLevel="0" collapsed="false">
      <c r="E1598" s="60" t="str">
        <f aca="false">IF(LEN(D1598)=11,"PF",IF(LEN(D1598)=14,"PJ",""))</f>
        <v/>
      </c>
      <c r="I1598" s="62"/>
      <c r="J1598" s="63" t="str">
        <f aca="false">IF(I1598&lt;&gt;"",VLOOKUP(I1598,'Legal Nature'!$E$2:$G$84,3,0),"")</f>
        <v/>
      </c>
      <c r="U1598" s="58" t="str">
        <f aca="false">IF( T1598&lt;&gt;"",VLOOKUP(T1598,Selects!$M$4:$N$1000,2,0),"")</f>
        <v/>
      </c>
      <c r="AD1598" s="72" t="str">
        <f aca="false">IF(AC1598&lt;&gt;"",VLOOKUP(AC1598,Selects!$B$4:$C$100,2,0),"")</f>
        <v/>
      </c>
      <c r="AH1598" s="65"/>
      <c r="AJ1598" s="66"/>
      <c r="AK1598" s="58"/>
      <c r="AM1598" s="68" t="str">
        <f aca="false">IF(LEFT(AL1598,1)="9","Celular",IF(AL1598="","","Fixo"))</f>
        <v/>
      </c>
      <c r="AN1598" s="58" t="str">
        <f aca="false">IF( AM1598&lt;&gt;"",VLOOKUP(AM1598,Selects!$M$4:$N$1000,2,0),"")</f>
        <v/>
      </c>
      <c r="BB1598" s="72" t="str">
        <f aca="false">IF(BA1598&lt;&gt;"",VLOOKUP(BA1598,Selects!$B$4:$C$100,2,0),"")</f>
        <v/>
      </c>
      <c r="BG1598" s="75" t="str">
        <f aca="false">IF(LEN(BF1598)=11,"PF",IF(LEN(BF1598)=14,"PJ",""))</f>
        <v/>
      </c>
      <c r="BH1598" s="66"/>
      <c r="BI1598" s="58" t="str">
        <f aca="false">IF(BH1598&lt;&gt;"",VLOOKUP(BH1598,Selects!$G:$H,2,0),"")</f>
        <v/>
      </c>
      <c r="CB1598" s="72" t="str">
        <f aca="false">IF(AC1598&lt;&gt;"",VLOOKUP(AC1598,Selects!$B:$E,4,0),"")</f>
        <v/>
      </c>
    </row>
    <row r="1599" customFormat="false" ht="15" hidden="true" customHeight="false" outlineLevel="0" collapsed="false">
      <c r="E1599" s="60" t="str">
        <f aca="false">IF(LEN(D1599)=11,"PF",IF(LEN(D1599)=14,"PJ",""))</f>
        <v/>
      </c>
      <c r="I1599" s="62"/>
      <c r="J1599" s="63" t="str">
        <f aca="false">IF(I1599&lt;&gt;"",VLOOKUP(I1599,'Legal Nature'!$E$2:$G$84,3,0),"")</f>
        <v/>
      </c>
      <c r="U1599" s="58" t="str">
        <f aca="false">IF( T1599&lt;&gt;"",VLOOKUP(T1599,Selects!$M$4:$N$1000,2,0),"")</f>
        <v/>
      </c>
      <c r="AD1599" s="72" t="str">
        <f aca="false">IF(AC1599&lt;&gt;"",VLOOKUP(AC1599,Selects!$B$4:$C$100,2,0),"")</f>
        <v/>
      </c>
      <c r="AH1599" s="65"/>
      <c r="AJ1599" s="66"/>
      <c r="AK1599" s="58"/>
      <c r="AM1599" s="68" t="str">
        <f aca="false">IF(LEFT(AL1599,1)="9","Celular",IF(AL1599="","","Fixo"))</f>
        <v/>
      </c>
      <c r="AN1599" s="58" t="str">
        <f aca="false">IF( AM1599&lt;&gt;"",VLOOKUP(AM1599,Selects!$M$4:$N$1000,2,0),"")</f>
        <v/>
      </c>
      <c r="BB1599" s="72" t="str">
        <f aca="false">IF(BA1599&lt;&gt;"",VLOOKUP(BA1599,Selects!$B$4:$C$100,2,0),"")</f>
        <v/>
      </c>
      <c r="BG1599" s="75" t="str">
        <f aca="false">IF(LEN(BF1599)=11,"PF",IF(LEN(BF1599)=14,"PJ",""))</f>
        <v/>
      </c>
      <c r="BH1599" s="66"/>
      <c r="BI1599" s="58" t="str">
        <f aca="false">IF(BH1599&lt;&gt;"",VLOOKUP(BH1599,Selects!$G:$H,2,0),"")</f>
        <v/>
      </c>
      <c r="CB1599" s="72" t="str">
        <f aca="false">IF(AC1599&lt;&gt;"",VLOOKUP(AC1599,Selects!$B:$E,4,0),"")</f>
        <v/>
      </c>
    </row>
    <row r="1600" customFormat="false" ht="15" hidden="true" customHeight="false" outlineLevel="0" collapsed="false">
      <c r="E1600" s="60" t="str">
        <f aca="false">IF(LEN(D1600)=11,"PF",IF(LEN(D1600)=14,"PJ",""))</f>
        <v/>
      </c>
      <c r="I1600" s="62"/>
      <c r="J1600" s="63" t="str">
        <f aca="false">IF(I1600&lt;&gt;"",VLOOKUP(I1600,'Legal Nature'!$E$2:$G$84,3,0),"")</f>
        <v/>
      </c>
      <c r="U1600" s="58" t="str">
        <f aca="false">IF( T1600&lt;&gt;"",VLOOKUP(T1600,Selects!$M$4:$N$1000,2,0),"")</f>
        <v/>
      </c>
      <c r="AD1600" s="72" t="str">
        <f aca="false">IF(AC1600&lt;&gt;"",VLOOKUP(AC1600,Selects!$B$4:$C$100,2,0),"")</f>
        <v/>
      </c>
      <c r="AH1600" s="65"/>
      <c r="AJ1600" s="66"/>
      <c r="AK1600" s="58"/>
      <c r="AM1600" s="68" t="str">
        <f aca="false">IF(LEFT(AL1600,1)="9","Celular",IF(AL1600="","","Fixo"))</f>
        <v/>
      </c>
      <c r="AN1600" s="58" t="str">
        <f aca="false">IF( AM1600&lt;&gt;"",VLOOKUP(AM1600,Selects!$M$4:$N$1000,2,0),"")</f>
        <v/>
      </c>
      <c r="BB1600" s="72" t="str">
        <f aca="false">IF(BA1600&lt;&gt;"",VLOOKUP(BA1600,Selects!$B$4:$C$100,2,0),"")</f>
        <v/>
      </c>
      <c r="BG1600" s="75" t="str">
        <f aca="false">IF(LEN(BF1600)=11,"PF",IF(LEN(BF1600)=14,"PJ",""))</f>
        <v/>
      </c>
      <c r="BH1600" s="66"/>
      <c r="BI1600" s="58" t="str">
        <f aca="false">IF(BH1600&lt;&gt;"",VLOOKUP(BH1600,Selects!$G:$H,2,0),"")</f>
        <v/>
      </c>
      <c r="CB1600" s="72" t="str">
        <f aca="false">IF(AC1600&lt;&gt;"",VLOOKUP(AC1600,Selects!$B:$E,4,0),"")</f>
        <v/>
      </c>
    </row>
    <row r="1601" customFormat="false" ht="15" hidden="true" customHeight="false" outlineLevel="0" collapsed="false">
      <c r="E1601" s="60" t="str">
        <f aca="false">IF(LEN(D1601)=11,"PF",IF(LEN(D1601)=14,"PJ",""))</f>
        <v/>
      </c>
      <c r="I1601" s="62"/>
      <c r="J1601" s="63" t="str">
        <f aca="false">IF(I1601&lt;&gt;"",VLOOKUP(I1601,'Legal Nature'!$E$2:$G$84,3,0),"")</f>
        <v/>
      </c>
      <c r="U1601" s="58" t="str">
        <f aca="false">IF( T1601&lt;&gt;"",VLOOKUP(T1601,Selects!$M$4:$N$1000,2,0),"")</f>
        <v/>
      </c>
      <c r="AD1601" s="72" t="str">
        <f aca="false">IF(AC1601&lt;&gt;"",VLOOKUP(AC1601,Selects!$B$4:$C$100,2,0),"")</f>
        <v/>
      </c>
      <c r="AH1601" s="65"/>
      <c r="AJ1601" s="66"/>
      <c r="AK1601" s="58"/>
      <c r="AM1601" s="68" t="str">
        <f aca="false">IF(LEFT(AL1601,1)="9","Celular",IF(AL1601="","","Fixo"))</f>
        <v/>
      </c>
      <c r="AN1601" s="58" t="str">
        <f aca="false">IF( AM1601&lt;&gt;"",VLOOKUP(AM1601,Selects!$M$4:$N$1000,2,0),"")</f>
        <v/>
      </c>
      <c r="BB1601" s="72" t="str">
        <f aca="false">IF(BA1601&lt;&gt;"",VLOOKUP(BA1601,Selects!$B$4:$C$100,2,0),"")</f>
        <v/>
      </c>
      <c r="BG1601" s="75" t="str">
        <f aca="false">IF(LEN(BF1601)=11,"PF",IF(LEN(BF1601)=14,"PJ",""))</f>
        <v/>
      </c>
      <c r="BH1601" s="66"/>
      <c r="BI1601" s="58" t="str">
        <f aca="false">IF(BH1601&lt;&gt;"",VLOOKUP(BH1601,Selects!$G:$H,2,0),"")</f>
        <v/>
      </c>
      <c r="CB1601" s="72" t="str">
        <f aca="false">IF(AC1601&lt;&gt;"",VLOOKUP(AC1601,Selects!$B:$E,4,0),"")</f>
        <v/>
      </c>
    </row>
    <row r="1602" customFormat="false" ht="15" hidden="true" customHeight="false" outlineLevel="0" collapsed="false">
      <c r="E1602" s="60" t="str">
        <f aca="false">IF(LEN(D1602)=11,"PF",IF(LEN(D1602)=14,"PJ",""))</f>
        <v/>
      </c>
      <c r="I1602" s="62"/>
      <c r="J1602" s="63" t="str">
        <f aca="false">IF(I1602&lt;&gt;"",VLOOKUP(I1602,'Legal Nature'!$E$2:$G$84,3,0),"")</f>
        <v/>
      </c>
      <c r="U1602" s="58" t="str">
        <f aca="false">IF( T1602&lt;&gt;"",VLOOKUP(T1602,Selects!$M$4:$N$1000,2,0),"")</f>
        <v/>
      </c>
      <c r="AD1602" s="72" t="str">
        <f aca="false">IF(AC1602&lt;&gt;"",VLOOKUP(AC1602,Selects!$B$4:$C$100,2,0),"")</f>
        <v/>
      </c>
      <c r="AH1602" s="65"/>
      <c r="AJ1602" s="66"/>
      <c r="AK1602" s="58"/>
      <c r="AM1602" s="68" t="str">
        <f aca="false">IF(LEFT(AL1602,1)="9","Celular",IF(AL1602="","","Fixo"))</f>
        <v/>
      </c>
      <c r="AN1602" s="58" t="str">
        <f aca="false">IF( AM1602&lt;&gt;"",VLOOKUP(AM1602,Selects!$M$4:$N$1000,2,0),"")</f>
        <v/>
      </c>
      <c r="BB1602" s="72" t="str">
        <f aca="false">IF(BA1602&lt;&gt;"",VLOOKUP(BA1602,Selects!$B$4:$C$100,2,0),"")</f>
        <v/>
      </c>
      <c r="BG1602" s="75" t="str">
        <f aca="false">IF(LEN(BF1602)=11,"PF",IF(LEN(BF1602)=14,"PJ",""))</f>
        <v/>
      </c>
      <c r="BH1602" s="66"/>
      <c r="BI1602" s="58" t="str">
        <f aca="false">IF(BH1602&lt;&gt;"",VLOOKUP(BH1602,Selects!$G:$H,2,0),"")</f>
        <v/>
      </c>
      <c r="CB1602" s="72" t="str">
        <f aca="false">IF(AC1602&lt;&gt;"",VLOOKUP(AC1602,Selects!$B:$E,4,0),"")</f>
        <v/>
      </c>
    </row>
    <row r="1603" customFormat="false" ht="15" hidden="true" customHeight="false" outlineLevel="0" collapsed="false">
      <c r="E1603" s="60" t="str">
        <f aca="false">IF(LEN(D1603)=11,"PF",IF(LEN(D1603)=14,"PJ",""))</f>
        <v/>
      </c>
      <c r="I1603" s="62"/>
      <c r="J1603" s="63" t="str">
        <f aca="false">IF(I1603&lt;&gt;"",VLOOKUP(I1603,'Legal Nature'!$E$2:$G$84,3,0),"")</f>
        <v/>
      </c>
      <c r="U1603" s="58" t="str">
        <f aca="false">IF( T1603&lt;&gt;"",VLOOKUP(T1603,Selects!$M$4:$N$1000,2,0),"")</f>
        <v/>
      </c>
      <c r="AD1603" s="72" t="str">
        <f aca="false">IF(AC1603&lt;&gt;"",VLOOKUP(AC1603,Selects!$B$4:$C$100,2,0),"")</f>
        <v/>
      </c>
      <c r="AH1603" s="65"/>
      <c r="AJ1603" s="66"/>
      <c r="AK1603" s="58"/>
      <c r="AM1603" s="68" t="str">
        <f aca="false">IF(LEFT(AL1603,1)="9","Celular",IF(AL1603="","","Fixo"))</f>
        <v/>
      </c>
      <c r="AN1603" s="58" t="str">
        <f aca="false">IF( AM1603&lt;&gt;"",VLOOKUP(AM1603,Selects!$M$4:$N$1000,2,0),"")</f>
        <v/>
      </c>
      <c r="BB1603" s="72" t="str">
        <f aca="false">IF(BA1603&lt;&gt;"",VLOOKUP(BA1603,Selects!$B$4:$C$100,2,0),"")</f>
        <v/>
      </c>
      <c r="BG1603" s="75" t="str">
        <f aca="false">IF(LEN(BF1603)=11,"PF",IF(LEN(BF1603)=14,"PJ",""))</f>
        <v/>
      </c>
      <c r="BH1603" s="66"/>
      <c r="BI1603" s="58" t="str">
        <f aca="false">IF(BH1603&lt;&gt;"",VLOOKUP(BH1603,Selects!$G:$H,2,0),"")</f>
        <v/>
      </c>
      <c r="CB1603" s="72" t="str">
        <f aca="false">IF(AC1603&lt;&gt;"",VLOOKUP(AC1603,Selects!$B:$E,4,0),"")</f>
        <v/>
      </c>
    </row>
    <row r="1604" customFormat="false" ht="15" hidden="true" customHeight="false" outlineLevel="0" collapsed="false">
      <c r="E1604" s="60" t="str">
        <f aca="false">IF(LEN(D1604)=11,"PF",IF(LEN(D1604)=14,"PJ",""))</f>
        <v/>
      </c>
      <c r="I1604" s="62"/>
      <c r="J1604" s="63" t="str">
        <f aca="false">IF(I1604&lt;&gt;"",VLOOKUP(I1604,'Legal Nature'!$E$2:$G$84,3,0),"")</f>
        <v/>
      </c>
      <c r="U1604" s="58" t="str">
        <f aca="false">IF( T1604&lt;&gt;"",VLOOKUP(T1604,Selects!$M$4:$N$1000,2,0),"")</f>
        <v/>
      </c>
      <c r="AD1604" s="72" t="str">
        <f aca="false">IF(AC1604&lt;&gt;"",VLOOKUP(AC1604,Selects!$B$4:$C$100,2,0),"")</f>
        <v/>
      </c>
      <c r="AH1604" s="65"/>
      <c r="AJ1604" s="66"/>
      <c r="AK1604" s="58"/>
      <c r="AM1604" s="68" t="str">
        <f aca="false">IF(LEFT(AL1604,1)="9","Celular",IF(AL1604="","","Fixo"))</f>
        <v/>
      </c>
      <c r="AN1604" s="58" t="str">
        <f aca="false">IF( AM1604&lt;&gt;"",VLOOKUP(AM1604,Selects!$M$4:$N$1000,2,0),"")</f>
        <v/>
      </c>
      <c r="BB1604" s="72" t="str">
        <f aca="false">IF(BA1604&lt;&gt;"",VLOOKUP(BA1604,Selects!$B$4:$C$100,2,0),"")</f>
        <v/>
      </c>
      <c r="BG1604" s="75" t="str">
        <f aca="false">IF(LEN(BF1604)=11,"PF",IF(LEN(BF1604)=14,"PJ",""))</f>
        <v/>
      </c>
      <c r="BH1604" s="66"/>
      <c r="BI1604" s="58" t="str">
        <f aca="false">IF(BH1604&lt;&gt;"",VLOOKUP(BH1604,Selects!$G:$H,2,0),"")</f>
        <v/>
      </c>
      <c r="CB1604" s="72" t="str">
        <f aca="false">IF(AC1604&lt;&gt;"",VLOOKUP(AC1604,Selects!$B:$E,4,0),"")</f>
        <v/>
      </c>
    </row>
    <row r="1605" customFormat="false" ht="15" hidden="true" customHeight="false" outlineLevel="0" collapsed="false">
      <c r="E1605" s="60" t="str">
        <f aca="false">IF(LEN(D1605)=11,"PF",IF(LEN(D1605)=14,"PJ",""))</f>
        <v/>
      </c>
      <c r="I1605" s="62"/>
      <c r="J1605" s="63" t="str">
        <f aca="false">IF(I1605&lt;&gt;"",VLOOKUP(I1605,'Legal Nature'!$E$2:$G$84,3,0),"")</f>
        <v/>
      </c>
      <c r="U1605" s="58" t="str">
        <f aca="false">IF( T1605&lt;&gt;"",VLOOKUP(T1605,Selects!$M$4:$N$1000,2,0),"")</f>
        <v/>
      </c>
      <c r="AD1605" s="72" t="str">
        <f aca="false">IF(AC1605&lt;&gt;"",VLOOKUP(AC1605,Selects!$B$4:$C$100,2,0),"")</f>
        <v/>
      </c>
      <c r="AH1605" s="65"/>
      <c r="AJ1605" s="66"/>
      <c r="AK1605" s="58"/>
      <c r="AM1605" s="68" t="str">
        <f aca="false">IF(LEFT(AL1605,1)="9","Celular",IF(AL1605="","","Fixo"))</f>
        <v/>
      </c>
      <c r="AN1605" s="58" t="str">
        <f aca="false">IF( AM1605&lt;&gt;"",VLOOKUP(AM1605,Selects!$M$4:$N$1000,2,0),"")</f>
        <v/>
      </c>
      <c r="BB1605" s="72" t="str">
        <f aca="false">IF(BA1605&lt;&gt;"",VLOOKUP(BA1605,Selects!$B$4:$C$100,2,0),"")</f>
        <v/>
      </c>
      <c r="BG1605" s="75" t="str">
        <f aca="false">IF(LEN(BF1605)=11,"PF",IF(LEN(BF1605)=14,"PJ",""))</f>
        <v/>
      </c>
      <c r="BH1605" s="66"/>
      <c r="BI1605" s="58" t="str">
        <f aca="false">IF(BH1605&lt;&gt;"",VLOOKUP(BH1605,Selects!$G:$H,2,0),"")</f>
        <v/>
      </c>
      <c r="CB1605" s="72" t="str">
        <f aca="false">IF(AC1605&lt;&gt;"",VLOOKUP(AC1605,Selects!$B:$E,4,0),"")</f>
        <v/>
      </c>
    </row>
    <row r="1606" customFormat="false" ht="15" hidden="true" customHeight="false" outlineLevel="0" collapsed="false">
      <c r="E1606" s="60" t="str">
        <f aca="false">IF(LEN(D1606)=11,"PF",IF(LEN(D1606)=14,"PJ",""))</f>
        <v/>
      </c>
      <c r="I1606" s="62"/>
      <c r="J1606" s="63" t="str">
        <f aca="false">IF(I1606&lt;&gt;"",VLOOKUP(I1606,'Legal Nature'!$E$2:$G$84,3,0),"")</f>
        <v/>
      </c>
      <c r="U1606" s="58" t="str">
        <f aca="false">IF( T1606&lt;&gt;"",VLOOKUP(T1606,Selects!$M$4:$N$1000,2,0),"")</f>
        <v/>
      </c>
      <c r="AD1606" s="72" t="str">
        <f aca="false">IF(AC1606&lt;&gt;"",VLOOKUP(AC1606,Selects!$B$4:$C$100,2,0),"")</f>
        <v/>
      </c>
      <c r="AH1606" s="65"/>
      <c r="AJ1606" s="66"/>
      <c r="AK1606" s="58"/>
      <c r="AM1606" s="68" t="str">
        <f aca="false">IF(LEFT(AL1606,1)="9","Celular",IF(AL1606="","","Fixo"))</f>
        <v/>
      </c>
      <c r="AN1606" s="58" t="str">
        <f aca="false">IF( AM1606&lt;&gt;"",VLOOKUP(AM1606,Selects!$M$4:$N$1000,2,0),"")</f>
        <v/>
      </c>
      <c r="BB1606" s="72" t="str">
        <f aca="false">IF(BA1606&lt;&gt;"",VLOOKUP(BA1606,Selects!$B$4:$C$100,2,0),"")</f>
        <v/>
      </c>
      <c r="BG1606" s="75" t="str">
        <f aca="false">IF(LEN(BF1606)=11,"PF",IF(LEN(BF1606)=14,"PJ",""))</f>
        <v/>
      </c>
      <c r="BH1606" s="66"/>
      <c r="BI1606" s="58" t="str">
        <f aca="false">IF(BH1606&lt;&gt;"",VLOOKUP(BH1606,Selects!$G:$H,2,0),"")</f>
        <v/>
      </c>
      <c r="CB1606" s="72" t="str">
        <f aca="false">IF(AC1606&lt;&gt;"",VLOOKUP(AC1606,Selects!$B:$E,4,0),"")</f>
        <v/>
      </c>
    </row>
    <row r="1607" customFormat="false" ht="15" hidden="true" customHeight="false" outlineLevel="0" collapsed="false">
      <c r="E1607" s="60" t="str">
        <f aca="false">IF(LEN(D1607)=11,"PF",IF(LEN(D1607)=14,"PJ",""))</f>
        <v/>
      </c>
      <c r="I1607" s="62"/>
      <c r="J1607" s="63" t="str">
        <f aca="false">IF(I1607&lt;&gt;"",VLOOKUP(I1607,'Legal Nature'!$E$2:$G$84,3,0),"")</f>
        <v/>
      </c>
      <c r="U1607" s="58" t="str">
        <f aca="false">IF( T1607&lt;&gt;"",VLOOKUP(T1607,Selects!$M$4:$N$1000,2,0),"")</f>
        <v/>
      </c>
      <c r="AD1607" s="72" t="str">
        <f aca="false">IF(AC1607&lt;&gt;"",VLOOKUP(AC1607,Selects!$B$4:$C$100,2,0),"")</f>
        <v/>
      </c>
      <c r="AH1607" s="65"/>
      <c r="AJ1607" s="66"/>
      <c r="AK1607" s="58"/>
      <c r="AM1607" s="68" t="str">
        <f aca="false">IF(LEFT(AL1607,1)="9","Celular",IF(AL1607="","","Fixo"))</f>
        <v/>
      </c>
      <c r="AN1607" s="58" t="str">
        <f aca="false">IF( AM1607&lt;&gt;"",VLOOKUP(AM1607,Selects!$M$4:$N$1000,2,0),"")</f>
        <v/>
      </c>
      <c r="BB1607" s="72" t="str">
        <f aca="false">IF(BA1607&lt;&gt;"",VLOOKUP(BA1607,Selects!$B$4:$C$100,2,0),"")</f>
        <v/>
      </c>
      <c r="BG1607" s="75" t="str">
        <f aca="false">IF(LEN(BF1607)=11,"PF",IF(LEN(BF1607)=14,"PJ",""))</f>
        <v/>
      </c>
      <c r="BH1607" s="66"/>
      <c r="BI1607" s="58" t="str">
        <f aca="false">IF(BH1607&lt;&gt;"",VLOOKUP(BH1607,Selects!$G:$H,2,0),"")</f>
        <v/>
      </c>
      <c r="CB1607" s="72" t="str">
        <f aca="false">IF(AC1607&lt;&gt;"",VLOOKUP(AC1607,Selects!$B:$E,4,0),"")</f>
        <v/>
      </c>
    </row>
    <row r="1608" customFormat="false" ht="15" hidden="true" customHeight="false" outlineLevel="0" collapsed="false">
      <c r="E1608" s="60" t="str">
        <f aca="false">IF(LEN(D1608)=11,"PF",IF(LEN(D1608)=14,"PJ",""))</f>
        <v/>
      </c>
      <c r="I1608" s="62"/>
      <c r="J1608" s="63" t="str">
        <f aca="false">IF(I1608&lt;&gt;"",VLOOKUP(I1608,'Legal Nature'!$E$2:$G$84,3,0),"")</f>
        <v/>
      </c>
      <c r="U1608" s="58" t="str">
        <f aca="false">IF( T1608&lt;&gt;"",VLOOKUP(T1608,Selects!$M$4:$N$1000,2,0),"")</f>
        <v/>
      </c>
      <c r="AD1608" s="72" t="str">
        <f aca="false">IF(AC1608&lt;&gt;"",VLOOKUP(AC1608,Selects!$B$4:$C$100,2,0),"")</f>
        <v/>
      </c>
      <c r="AH1608" s="65"/>
      <c r="AJ1608" s="66"/>
      <c r="AK1608" s="58"/>
      <c r="AM1608" s="68" t="str">
        <f aca="false">IF(LEFT(AL1608,1)="9","Celular",IF(AL1608="","","Fixo"))</f>
        <v/>
      </c>
      <c r="AN1608" s="58" t="str">
        <f aca="false">IF( AM1608&lt;&gt;"",VLOOKUP(AM1608,Selects!$M$4:$N$1000,2,0),"")</f>
        <v/>
      </c>
      <c r="BB1608" s="72" t="str">
        <f aca="false">IF(BA1608&lt;&gt;"",VLOOKUP(BA1608,Selects!$B$4:$C$100,2,0),"")</f>
        <v/>
      </c>
      <c r="BG1608" s="75" t="str">
        <f aca="false">IF(LEN(BF1608)=11,"PF",IF(LEN(BF1608)=14,"PJ",""))</f>
        <v/>
      </c>
      <c r="BH1608" s="66"/>
      <c r="BI1608" s="58" t="str">
        <f aca="false">IF(BH1608&lt;&gt;"",VLOOKUP(BH1608,Selects!$G:$H,2,0),"")</f>
        <v/>
      </c>
      <c r="CB1608" s="72" t="str">
        <f aca="false">IF(AC1608&lt;&gt;"",VLOOKUP(AC1608,Selects!$B:$E,4,0),"")</f>
        <v/>
      </c>
    </row>
    <row r="1609" customFormat="false" ht="15" hidden="true" customHeight="false" outlineLevel="0" collapsed="false">
      <c r="E1609" s="60" t="str">
        <f aca="false">IF(LEN(D1609)=11,"PF",IF(LEN(D1609)=14,"PJ",""))</f>
        <v/>
      </c>
      <c r="I1609" s="62"/>
      <c r="J1609" s="63" t="str">
        <f aca="false">IF(I1609&lt;&gt;"",VLOOKUP(I1609,'Legal Nature'!$E$2:$G$84,3,0),"")</f>
        <v/>
      </c>
      <c r="U1609" s="58" t="str">
        <f aca="false">IF( T1609&lt;&gt;"",VLOOKUP(T1609,Selects!$M$4:$N$1000,2,0),"")</f>
        <v/>
      </c>
      <c r="AD1609" s="72" t="str">
        <f aca="false">IF(AC1609&lt;&gt;"",VLOOKUP(AC1609,Selects!$B$4:$C$100,2,0),"")</f>
        <v/>
      </c>
      <c r="AH1609" s="65"/>
      <c r="AJ1609" s="66"/>
      <c r="AK1609" s="58"/>
      <c r="AM1609" s="68" t="str">
        <f aca="false">IF(LEFT(AL1609,1)="9","Celular",IF(AL1609="","","Fixo"))</f>
        <v/>
      </c>
      <c r="AN1609" s="58" t="str">
        <f aca="false">IF( AM1609&lt;&gt;"",VLOOKUP(AM1609,Selects!$M$4:$N$1000,2,0),"")</f>
        <v/>
      </c>
      <c r="BB1609" s="72" t="str">
        <f aca="false">IF(BA1609&lt;&gt;"",VLOOKUP(BA1609,Selects!$B$4:$C$100,2,0),"")</f>
        <v/>
      </c>
      <c r="BG1609" s="75" t="str">
        <f aca="false">IF(LEN(BF1609)=11,"PF",IF(LEN(BF1609)=14,"PJ",""))</f>
        <v/>
      </c>
      <c r="BH1609" s="66"/>
      <c r="BI1609" s="58" t="str">
        <f aca="false">IF(BH1609&lt;&gt;"",VLOOKUP(BH1609,Selects!$G:$H,2,0),"")</f>
        <v/>
      </c>
      <c r="CB1609" s="72" t="str">
        <f aca="false">IF(AC1609&lt;&gt;"",VLOOKUP(AC1609,Selects!$B:$E,4,0),"")</f>
        <v/>
      </c>
    </row>
    <row r="1610" customFormat="false" ht="15" hidden="true" customHeight="false" outlineLevel="0" collapsed="false">
      <c r="E1610" s="60" t="str">
        <f aca="false">IF(LEN(D1610)=11,"PF",IF(LEN(D1610)=14,"PJ",""))</f>
        <v/>
      </c>
      <c r="I1610" s="62"/>
      <c r="J1610" s="63" t="str">
        <f aca="false">IF(I1610&lt;&gt;"",VLOOKUP(I1610,'Legal Nature'!$E$2:$G$84,3,0),"")</f>
        <v/>
      </c>
      <c r="U1610" s="58" t="str">
        <f aca="false">IF( T1610&lt;&gt;"",VLOOKUP(T1610,Selects!$M$4:$N$1000,2,0),"")</f>
        <v/>
      </c>
      <c r="AD1610" s="72" t="str">
        <f aca="false">IF(AC1610&lt;&gt;"",VLOOKUP(AC1610,Selects!$B$4:$C$100,2,0),"")</f>
        <v/>
      </c>
      <c r="AH1610" s="65"/>
      <c r="AJ1610" s="66"/>
      <c r="AK1610" s="58"/>
      <c r="AM1610" s="68" t="str">
        <f aca="false">IF(LEFT(AL1610,1)="9","Celular",IF(AL1610="","","Fixo"))</f>
        <v/>
      </c>
      <c r="AN1610" s="58" t="str">
        <f aca="false">IF( AM1610&lt;&gt;"",VLOOKUP(AM1610,Selects!$M$4:$N$1000,2,0),"")</f>
        <v/>
      </c>
      <c r="BB1610" s="72" t="str">
        <f aca="false">IF(BA1610&lt;&gt;"",VLOOKUP(BA1610,Selects!$B$4:$C$100,2,0),"")</f>
        <v/>
      </c>
      <c r="BG1610" s="75" t="str">
        <f aca="false">IF(LEN(BF1610)=11,"PF",IF(LEN(BF1610)=14,"PJ",""))</f>
        <v/>
      </c>
      <c r="BH1610" s="66"/>
      <c r="BI1610" s="58" t="str">
        <f aca="false">IF(BH1610&lt;&gt;"",VLOOKUP(BH1610,Selects!$G:$H,2,0),"")</f>
        <v/>
      </c>
      <c r="CB1610" s="72" t="str">
        <f aca="false">IF(AC1610&lt;&gt;"",VLOOKUP(AC1610,Selects!$B:$E,4,0),"")</f>
        <v/>
      </c>
    </row>
    <row r="1611" customFormat="false" ht="15" hidden="true" customHeight="false" outlineLevel="0" collapsed="false">
      <c r="E1611" s="60" t="str">
        <f aca="false">IF(LEN(D1611)=11,"PF",IF(LEN(D1611)=14,"PJ",""))</f>
        <v/>
      </c>
      <c r="I1611" s="62"/>
      <c r="J1611" s="63" t="str">
        <f aca="false">IF(I1611&lt;&gt;"",VLOOKUP(I1611,'Legal Nature'!$E$2:$G$84,3,0),"")</f>
        <v/>
      </c>
      <c r="U1611" s="58" t="str">
        <f aca="false">IF( T1611&lt;&gt;"",VLOOKUP(T1611,Selects!$M$4:$N$1000,2,0),"")</f>
        <v/>
      </c>
      <c r="AD1611" s="72" t="str">
        <f aca="false">IF(AC1611&lt;&gt;"",VLOOKUP(AC1611,Selects!$B$4:$C$100,2,0),"")</f>
        <v/>
      </c>
      <c r="AH1611" s="65"/>
      <c r="AJ1611" s="66"/>
      <c r="AK1611" s="58"/>
      <c r="AM1611" s="68" t="str">
        <f aca="false">IF(LEFT(AL1611,1)="9","Celular",IF(AL1611="","","Fixo"))</f>
        <v/>
      </c>
      <c r="AN1611" s="58" t="str">
        <f aca="false">IF( AM1611&lt;&gt;"",VLOOKUP(AM1611,Selects!$M$4:$N$1000,2,0),"")</f>
        <v/>
      </c>
      <c r="BB1611" s="72" t="str">
        <f aca="false">IF(BA1611&lt;&gt;"",VLOOKUP(BA1611,Selects!$B$4:$C$100,2,0),"")</f>
        <v/>
      </c>
      <c r="BG1611" s="75" t="str">
        <f aca="false">IF(LEN(BF1611)=11,"PF",IF(LEN(BF1611)=14,"PJ",""))</f>
        <v/>
      </c>
      <c r="BH1611" s="66"/>
      <c r="BI1611" s="58" t="str">
        <f aca="false">IF(BH1611&lt;&gt;"",VLOOKUP(BH1611,Selects!$G:$H,2,0),"")</f>
        <v/>
      </c>
      <c r="CB1611" s="72" t="str">
        <f aca="false">IF(AC1611&lt;&gt;"",VLOOKUP(AC1611,Selects!$B:$E,4,0),"")</f>
        <v/>
      </c>
    </row>
    <row r="1612" customFormat="false" ht="15" hidden="true" customHeight="false" outlineLevel="0" collapsed="false">
      <c r="E1612" s="60" t="str">
        <f aca="false">IF(LEN(D1612)=11,"PF",IF(LEN(D1612)=14,"PJ",""))</f>
        <v/>
      </c>
      <c r="I1612" s="62"/>
      <c r="J1612" s="63" t="str">
        <f aca="false">IF(I1612&lt;&gt;"",VLOOKUP(I1612,'Legal Nature'!$E$2:$G$84,3,0),"")</f>
        <v/>
      </c>
      <c r="U1612" s="58" t="str">
        <f aca="false">IF( T1612&lt;&gt;"",VLOOKUP(T1612,Selects!$M$4:$N$1000,2,0),"")</f>
        <v/>
      </c>
      <c r="AD1612" s="72" t="str">
        <f aca="false">IF(AC1612&lt;&gt;"",VLOOKUP(AC1612,Selects!$B$4:$C$100,2,0),"")</f>
        <v/>
      </c>
      <c r="AH1612" s="65"/>
      <c r="AJ1612" s="66"/>
      <c r="AK1612" s="58"/>
      <c r="AM1612" s="68" t="str">
        <f aca="false">IF(LEFT(AL1612,1)="9","Celular",IF(AL1612="","","Fixo"))</f>
        <v/>
      </c>
      <c r="AN1612" s="58" t="str">
        <f aca="false">IF( AM1612&lt;&gt;"",VLOOKUP(AM1612,Selects!$M$4:$N$1000,2,0),"")</f>
        <v/>
      </c>
      <c r="BB1612" s="72" t="str">
        <f aca="false">IF(BA1612&lt;&gt;"",VLOOKUP(BA1612,Selects!$B$4:$C$100,2,0),"")</f>
        <v/>
      </c>
      <c r="BG1612" s="75" t="str">
        <f aca="false">IF(LEN(BF1612)=11,"PF",IF(LEN(BF1612)=14,"PJ",""))</f>
        <v/>
      </c>
      <c r="BH1612" s="66"/>
      <c r="BI1612" s="58" t="str">
        <f aca="false">IF(BH1612&lt;&gt;"",VLOOKUP(BH1612,Selects!$G:$H,2,0),"")</f>
        <v/>
      </c>
      <c r="CB1612" s="72" t="str">
        <f aca="false">IF(AC1612&lt;&gt;"",VLOOKUP(AC1612,Selects!$B:$E,4,0),"")</f>
        <v/>
      </c>
    </row>
    <row r="1613" customFormat="false" ht="15" hidden="true" customHeight="false" outlineLevel="0" collapsed="false">
      <c r="E1613" s="60" t="str">
        <f aca="false">IF(LEN(D1613)=11,"PF",IF(LEN(D1613)=14,"PJ",""))</f>
        <v/>
      </c>
      <c r="I1613" s="62"/>
      <c r="J1613" s="63" t="str">
        <f aca="false">IF(I1613&lt;&gt;"",VLOOKUP(I1613,'Legal Nature'!$E$2:$G$84,3,0),"")</f>
        <v/>
      </c>
      <c r="U1613" s="58" t="str">
        <f aca="false">IF( T1613&lt;&gt;"",VLOOKUP(T1613,Selects!$M$4:$N$1000,2,0),"")</f>
        <v/>
      </c>
      <c r="AD1613" s="72" t="str">
        <f aca="false">IF(AC1613&lt;&gt;"",VLOOKUP(AC1613,Selects!$B$4:$C$100,2,0),"")</f>
        <v/>
      </c>
      <c r="AH1613" s="65"/>
      <c r="AJ1613" s="66"/>
      <c r="AK1613" s="58"/>
      <c r="AM1613" s="68" t="str">
        <f aca="false">IF(LEFT(AL1613,1)="9","Celular",IF(AL1613="","","Fixo"))</f>
        <v/>
      </c>
      <c r="AN1613" s="58" t="str">
        <f aca="false">IF( AM1613&lt;&gt;"",VLOOKUP(AM1613,Selects!$M$4:$N$1000,2,0),"")</f>
        <v/>
      </c>
      <c r="BB1613" s="72" t="str">
        <f aca="false">IF(BA1613&lt;&gt;"",VLOOKUP(BA1613,Selects!$B$4:$C$100,2,0),"")</f>
        <v/>
      </c>
      <c r="BG1613" s="75" t="str">
        <f aca="false">IF(LEN(BF1613)=11,"PF",IF(LEN(BF1613)=14,"PJ",""))</f>
        <v/>
      </c>
      <c r="BH1613" s="66"/>
      <c r="BI1613" s="58" t="str">
        <f aca="false">IF(BH1613&lt;&gt;"",VLOOKUP(BH1613,Selects!$G:$H,2,0),"")</f>
        <v/>
      </c>
      <c r="CB1613" s="72" t="str">
        <f aca="false">IF(AC1613&lt;&gt;"",VLOOKUP(AC1613,Selects!$B:$E,4,0),"")</f>
        <v/>
      </c>
    </row>
    <row r="1614" customFormat="false" ht="15" hidden="true" customHeight="false" outlineLevel="0" collapsed="false">
      <c r="E1614" s="60" t="str">
        <f aca="false">IF(LEN(D1614)=11,"PF",IF(LEN(D1614)=14,"PJ",""))</f>
        <v/>
      </c>
      <c r="I1614" s="62"/>
      <c r="J1614" s="63" t="str">
        <f aca="false">IF(I1614&lt;&gt;"",VLOOKUP(I1614,'Legal Nature'!$E$2:$G$84,3,0),"")</f>
        <v/>
      </c>
      <c r="U1614" s="58" t="str">
        <f aca="false">IF( T1614&lt;&gt;"",VLOOKUP(T1614,Selects!$M$4:$N$1000,2,0),"")</f>
        <v/>
      </c>
      <c r="AD1614" s="72" t="str">
        <f aca="false">IF(AC1614&lt;&gt;"",VLOOKUP(AC1614,Selects!$B$4:$C$100,2,0),"")</f>
        <v/>
      </c>
      <c r="AH1614" s="65"/>
      <c r="AJ1614" s="66"/>
      <c r="AK1614" s="58"/>
      <c r="AM1614" s="68" t="str">
        <f aca="false">IF(LEFT(AL1614,1)="9","Celular",IF(AL1614="","","Fixo"))</f>
        <v/>
      </c>
      <c r="AN1614" s="58" t="str">
        <f aca="false">IF( AM1614&lt;&gt;"",VLOOKUP(AM1614,Selects!$M$4:$N$1000,2,0),"")</f>
        <v/>
      </c>
      <c r="BB1614" s="72" t="str">
        <f aca="false">IF(BA1614&lt;&gt;"",VLOOKUP(BA1614,Selects!$B$4:$C$100,2,0),"")</f>
        <v/>
      </c>
      <c r="BG1614" s="75" t="str">
        <f aca="false">IF(LEN(BF1614)=11,"PF",IF(LEN(BF1614)=14,"PJ",""))</f>
        <v/>
      </c>
      <c r="BH1614" s="66"/>
      <c r="BI1614" s="58" t="str">
        <f aca="false">IF(BH1614&lt;&gt;"",VLOOKUP(BH1614,Selects!$G:$H,2,0),"")</f>
        <v/>
      </c>
      <c r="CB1614" s="72" t="str">
        <f aca="false">IF(AC1614&lt;&gt;"",VLOOKUP(AC1614,Selects!$B:$E,4,0),"")</f>
        <v/>
      </c>
    </row>
    <row r="1615" customFormat="false" ht="15" hidden="true" customHeight="false" outlineLevel="0" collapsed="false">
      <c r="E1615" s="60" t="str">
        <f aca="false">IF(LEN(D1615)=11,"PF",IF(LEN(D1615)=14,"PJ",""))</f>
        <v/>
      </c>
      <c r="I1615" s="62"/>
      <c r="J1615" s="63" t="str">
        <f aca="false">IF(I1615&lt;&gt;"",VLOOKUP(I1615,'Legal Nature'!$E$2:$G$84,3,0),"")</f>
        <v/>
      </c>
      <c r="U1615" s="58" t="str">
        <f aca="false">IF( T1615&lt;&gt;"",VLOOKUP(T1615,Selects!$M$4:$N$1000,2,0),"")</f>
        <v/>
      </c>
      <c r="AD1615" s="72" t="str">
        <f aca="false">IF(AC1615&lt;&gt;"",VLOOKUP(AC1615,Selects!$B$4:$C$100,2,0),"")</f>
        <v/>
      </c>
      <c r="AH1615" s="65"/>
      <c r="AJ1615" s="66"/>
      <c r="AK1615" s="58"/>
      <c r="AM1615" s="68" t="str">
        <f aca="false">IF(LEFT(AL1615,1)="9","Celular",IF(AL1615="","","Fixo"))</f>
        <v/>
      </c>
      <c r="AN1615" s="58" t="str">
        <f aca="false">IF( AM1615&lt;&gt;"",VLOOKUP(AM1615,Selects!$M$4:$N$1000,2,0),"")</f>
        <v/>
      </c>
      <c r="BB1615" s="72" t="str">
        <f aca="false">IF(BA1615&lt;&gt;"",VLOOKUP(BA1615,Selects!$B$4:$C$100,2,0),"")</f>
        <v/>
      </c>
      <c r="BG1615" s="75" t="str">
        <f aca="false">IF(LEN(BF1615)=11,"PF",IF(LEN(BF1615)=14,"PJ",""))</f>
        <v/>
      </c>
      <c r="BH1615" s="66"/>
      <c r="BI1615" s="58" t="str">
        <f aca="false">IF(BH1615&lt;&gt;"",VLOOKUP(BH1615,Selects!$G:$H,2,0),"")</f>
        <v/>
      </c>
      <c r="CB1615" s="72" t="str">
        <f aca="false">IF(AC1615&lt;&gt;"",VLOOKUP(AC1615,Selects!$B:$E,4,0),"")</f>
        <v/>
      </c>
    </row>
    <row r="1616" customFormat="false" ht="15" hidden="true" customHeight="false" outlineLevel="0" collapsed="false">
      <c r="E1616" s="60" t="str">
        <f aca="false">IF(LEN(D1616)=11,"PF",IF(LEN(D1616)=14,"PJ",""))</f>
        <v/>
      </c>
      <c r="I1616" s="62"/>
      <c r="J1616" s="63" t="str">
        <f aca="false">IF(I1616&lt;&gt;"",VLOOKUP(I1616,'Legal Nature'!$E$2:$G$84,3,0),"")</f>
        <v/>
      </c>
      <c r="U1616" s="58" t="str">
        <f aca="false">IF( T1616&lt;&gt;"",VLOOKUP(T1616,Selects!$M$4:$N$1000,2,0),"")</f>
        <v/>
      </c>
      <c r="AD1616" s="72" t="str">
        <f aca="false">IF(AC1616&lt;&gt;"",VLOOKUP(AC1616,Selects!$B$4:$C$100,2,0),"")</f>
        <v/>
      </c>
      <c r="AH1616" s="65"/>
      <c r="AJ1616" s="66"/>
      <c r="AK1616" s="58"/>
      <c r="AM1616" s="68" t="str">
        <f aca="false">IF(LEFT(AL1616,1)="9","Celular",IF(AL1616="","","Fixo"))</f>
        <v/>
      </c>
      <c r="AN1616" s="58" t="str">
        <f aca="false">IF( AM1616&lt;&gt;"",VLOOKUP(AM1616,Selects!$M$4:$N$1000,2,0),"")</f>
        <v/>
      </c>
      <c r="BB1616" s="72" t="str">
        <f aca="false">IF(BA1616&lt;&gt;"",VLOOKUP(BA1616,Selects!$B$4:$C$100,2,0),"")</f>
        <v/>
      </c>
      <c r="BG1616" s="75" t="str">
        <f aca="false">IF(LEN(BF1616)=11,"PF",IF(LEN(BF1616)=14,"PJ",""))</f>
        <v/>
      </c>
      <c r="BH1616" s="66"/>
      <c r="BI1616" s="58" t="str">
        <f aca="false">IF(BH1616&lt;&gt;"",VLOOKUP(BH1616,Selects!$G:$H,2,0),"")</f>
        <v/>
      </c>
      <c r="CB1616" s="72" t="str">
        <f aca="false">IF(AC1616&lt;&gt;"",VLOOKUP(AC1616,Selects!$B:$E,4,0),"")</f>
        <v/>
      </c>
    </row>
    <row r="1617" customFormat="false" ht="15" hidden="true" customHeight="false" outlineLevel="0" collapsed="false">
      <c r="E1617" s="60" t="str">
        <f aca="false">IF(LEN(D1617)=11,"PF",IF(LEN(D1617)=14,"PJ",""))</f>
        <v/>
      </c>
      <c r="I1617" s="62"/>
      <c r="J1617" s="63" t="str">
        <f aca="false">IF(I1617&lt;&gt;"",VLOOKUP(I1617,'Legal Nature'!$E$2:$G$84,3,0),"")</f>
        <v/>
      </c>
      <c r="U1617" s="58" t="str">
        <f aca="false">IF( T1617&lt;&gt;"",VLOOKUP(T1617,Selects!$M$4:$N$1000,2,0),"")</f>
        <v/>
      </c>
      <c r="AD1617" s="72" t="str">
        <f aca="false">IF(AC1617&lt;&gt;"",VLOOKUP(AC1617,Selects!$B$4:$C$100,2,0),"")</f>
        <v/>
      </c>
      <c r="AH1617" s="65"/>
      <c r="AJ1617" s="66"/>
      <c r="AK1617" s="58"/>
      <c r="AM1617" s="68" t="str">
        <f aca="false">IF(LEFT(AL1617,1)="9","Celular",IF(AL1617="","","Fixo"))</f>
        <v/>
      </c>
      <c r="AN1617" s="58" t="str">
        <f aca="false">IF( AM1617&lt;&gt;"",VLOOKUP(AM1617,Selects!$M$4:$N$1000,2,0),"")</f>
        <v/>
      </c>
      <c r="BB1617" s="72" t="str">
        <f aca="false">IF(BA1617&lt;&gt;"",VLOOKUP(BA1617,Selects!$B$4:$C$100,2,0),"")</f>
        <v/>
      </c>
      <c r="BG1617" s="75" t="str">
        <f aca="false">IF(LEN(BF1617)=11,"PF",IF(LEN(BF1617)=14,"PJ",""))</f>
        <v/>
      </c>
      <c r="BH1617" s="66"/>
      <c r="BI1617" s="58" t="str">
        <f aca="false">IF(BH1617&lt;&gt;"",VLOOKUP(BH1617,Selects!$G:$H,2,0),"")</f>
        <v/>
      </c>
      <c r="CB1617" s="72" t="str">
        <f aca="false">IF(AC1617&lt;&gt;"",VLOOKUP(AC1617,Selects!$B:$E,4,0),"")</f>
        <v/>
      </c>
    </row>
    <row r="1618" customFormat="false" ht="15" hidden="true" customHeight="false" outlineLevel="0" collapsed="false">
      <c r="E1618" s="60" t="str">
        <f aca="false">IF(LEN(D1618)=11,"PF",IF(LEN(D1618)=14,"PJ",""))</f>
        <v/>
      </c>
      <c r="I1618" s="62"/>
      <c r="J1618" s="63" t="str">
        <f aca="false">IF(I1618&lt;&gt;"",VLOOKUP(I1618,'Legal Nature'!$E$2:$G$84,3,0),"")</f>
        <v/>
      </c>
      <c r="U1618" s="58" t="str">
        <f aca="false">IF( T1618&lt;&gt;"",VLOOKUP(T1618,Selects!$M$4:$N$1000,2,0),"")</f>
        <v/>
      </c>
      <c r="AD1618" s="72" t="str">
        <f aca="false">IF(AC1618&lt;&gt;"",VLOOKUP(AC1618,Selects!$B$4:$C$100,2,0),"")</f>
        <v/>
      </c>
      <c r="AH1618" s="65"/>
      <c r="AJ1618" s="66"/>
      <c r="AK1618" s="58"/>
      <c r="AM1618" s="68" t="str">
        <f aca="false">IF(LEFT(AL1618,1)="9","Celular",IF(AL1618="","","Fixo"))</f>
        <v/>
      </c>
      <c r="AN1618" s="58" t="str">
        <f aca="false">IF( AM1618&lt;&gt;"",VLOOKUP(AM1618,Selects!$M$4:$N$1000,2,0),"")</f>
        <v/>
      </c>
      <c r="BB1618" s="72" t="str">
        <f aca="false">IF(BA1618&lt;&gt;"",VLOOKUP(BA1618,Selects!$B$4:$C$100,2,0),"")</f>
        <v/>
      </c>
      <c r="BG1618" s="75" t="str">
        <f aca="false">IF(LEN(BF1618)=11,"PF",IF(LEN(BF1618)=14,"PJ",""))</f>
        <v/>
      </c>
      <c r="BH1618" s="66"/>
      <c r="BI1618" s="58" t="str">
        <f aca="false">IF(BH1618&lt;&gt;"",VLOOKUP(BH1618,Selects!$G:$H,2,0),"")</f>
        <v/>
      </c>
      <c r="CB1618" s="72" t="str">
        <f aca="false">IF(AC1618&lt;&gt;"",VLOOKUP(AC1618,Selects!$B:$E,4,0),"")</f>
        <v/>
      </c>
    </row>
    <row r="1619" customFormat="false" ht="15" hidden="true" customHeight="false" outlineLevel="0" collapsed="false">
      <c r="E1619" s="60" t="str">
        <f aca="false">IF(LEN(D1619)=11,"PF",IF(LEN(D1619)=14,"PJ",""))</f>
        <v/>
      </c>
      <c r="I1619" s="62"/>
      <c r="J1619" s="63" t="str">
        <f aca="false">IF(I1619&lt;&gt;"",VLOOKUP(I1619,'Legal Nature'!$E$2:$G$84,3,0),"")</f>
        <v/>
      </c>
      <c r="U1619" s="58" t="str">
        <f aca="false">IF( T1619&lt;&gt;"",VLOOKUP(T1619,Selects!$M$4:$N$1000,2,0),"")</f>
        <v/>
      </c>
      <c r="AD1619" s="72" t="str">
        <f aca="false">IF(AC1619&lt;&gt;"",VLOOKUP(AC1619,Selects!$B$4:$C$100,2,0),"")</f>
        <v/>
      </c>
      <c r="AH1619" s="65"/>
      <c r="AJ1619" s="66"/>
      <c r="AK1619" s="58"/>
      <c r="AM1619" s="68" t="str">
        <f aca="false">IF(LEFT(AL1619,1)="9","Celular",IF(AL1619="","","Fixo"))</f>
        <v/>
      </c>
      <c r="AN1619" s="58" t="str">
        <f aca="false">IF( AM1619&lt;&gt;"",VLOOKUP(AM1619,Selects!$M$4:$N$1000,2,0),"")</f>
        <v/>
      </c>
      <c r="BB1619" s="72" t="str">
        <f aca="false">IF(BA1619&lt;&gt;"",VLOOKUP(BA1619,Selects!$B$4:$C$100,2,0),"")</f>
        <v/>
      </c>
      <c r="BG1619" s="75" t="str">
        <f aca="false">IF(LEN(BF1619)=11,"PF",IF(LEN(BF1619)=14,"PJ",""))</f>
        <v/>
      </c>
      <c r="BH1619" s="66"/>
      <c r="BI1619" s="58" t="str">
        <f aca="false">IF(BH1619&lt;&gt;"",VLOOKUP(BH1619,Selects!$G:$H,2,0),"")</f>
        <v/>
      </c>
      <c r="CB1619" s="72" t="str">
        <f aca="false">IF(AC1619&lt;&gt;"",VLOOKUP(AC1619,Selects!$B:$E,4,0),"")</f>
        <v/>
      </c>
    </row>
    <row r="1620" customFormat="false" ht="15" hidden="true" customHeight="false" outlineLevel="0" collapsed="false">
      <c r="E1620" s="60" t="str">
        <f aca="false">IF(LEN(D1620)=11,"PF",IF(LEN(D1620)=14,"PJ",""))</f>
        <v/>
      </c>
      <c r="I1620" s="62"/>
      <c r="J1620" s="63" t="str">
        <f aca="false">IF(I1620&lt;&gt;"",VLOOKUP(I1620,'Legal Nature'!$E$2:$G$84,3,0),"")</f>
        <v/>
      </c>
      <c r="U1620" s="58" t="str">
        <f aca="false">IF( T1620&lt;&gt;"",VLOOKUP(T1620,Selects!$M$4:$N$1000,2,0),"")</f>
        <v/>
      </c>
      <c r="AD1620" s="72" t="str">
        <f aca="false">IF(AC1620&lt;&gt;"",VLOOKUP(AC1620,Selects!$B$4:$C$100,2,0),"")</f>
        <v/>
      </c>
      <c r="AH1620" s="65"/>
      <c r="AJ1620" s="66"/>
      <c r="AK1620" s="58"/>
      <c r="AM1620" s="68" t="str">
        <f aca="false">IF(LEFT(AL1620,1)="9","Celular",IF(AL1620="","","Fixo"))</f>
        <v/>
      </c>
      <c r="AN1620" s="58" t="str">
        <f aca="false">IF( AM1620&lt;&gt;"",VLOOKUP(AM1620,Selects!$M$4:$N$1000,2,0),"")</f>
        <v/>
      </c>
      <c r="BB1620" s="72" t="str">
        <f aca="false">IF(BA1620&lt;&gt;"",VLOOKUP(BA1620,Selects!$B$4:$C$100,2,0),"")</f>
        <v/>
      </c>
      <c r="BG1620" s="75" t="str">
        <f aca="false">IF(LEN(BF1620)=11,"PF",IF(LEN(BF1620)=14,"PJ",""))</f>
        <v/>
      </c>
      <c r="BH1620" s="66"/>
      <c r="BI1620" s="58" t="str">
        <f aca="false">IF(BH1620&lt;&gt;"",VLOOKUP(BH1620,Selects!$G:$H,2,0),"")</f>
        <v/>
      </c>
      <c r="CB1620" s="72" t="str">
        <f aca="false">IF(AC1620&lt;&gt;"",VLOOKUP(AC1620,Selects!$B:$E,4,0),"")</f>
        <v/>
      </c>
    </row>
    <row r="1621" customFormat="false" ht="15" hidden="true" customHeight="false" outlineLevel="0" collapsed="false">
      <c r="E1621" s="60" t="str">
        <f aca="false">IF(LEN(D1621)=11,"PF",IF(LEN(D1621)=14,"PJ",""))</f>
        <v/>
      </c>
      <c r="I1621" s="62"/>
      <c r="J1621" s="63" t="str">
        <f aca="false">IF(I1621&lt;&gt;"",VLOOKUP(I1621,'Legal Nature'!$E$2:$G$84,3,0),"")</f>
        <v/>
      </c>
      <c r="U1621" s="58" t="str">
        <f aca="false">IF( T1621&lt;&gt;"",VLOOKUP(T1621,Selects!$M$4:$N$1000,2,0),"")</f>
        <v/>
      </c>
      <c r="AD1621" s="72" t="str">
        <f aca="false">IF(AC1621&lt;&gt;"",VLOOKUP(AC1621,Selects!$B$4:$C$100,2,0),"")</f>
        <v/>
      </c>
      <c r="AH1621" s="65"/>
      <c r="AJ1621" s="66"/>
      <c r="AK1621" s="58"/>
      <c r="AM1621" s="68" t="str">
        <f aca="false">IF(LEFT(AL1621,1)="9","Celular",IF(AL1621="","","Fixo"))</f>
        <v/>
      </c>
      <c r="AN1621" s="58" t="str">
        <f aca="false">IF( AM1621&lt;&gt;"",VLOOKUP(AM1621,Selects!$M$4:$N$1000,2,0),"")</f>
        <v/>
      </c>
      <c r="BB1621" s="72" t="str">
        <f aca="false">IF(BA1621&lt;&gt;"",VLOOKUP(BA1621,Selects!$B$4:$C$100,2,0),"")</f>
        <v/>
      </c>
      <c r="BG1621" s="75" t="str">
        <f aca="false">IF(LEN(BF1621)=11,"PF",IF(LEN(BF1621)=14,"PJ",""))</f>
        <v/>
      </c>
      <c r="BH1621" s="66"/>
      <c r="BI1621" s="58" t="str">
        <f aca="false">IF(BH1621&lt;&gt;"",VLOOKUP(BH1621,Selects!$G:$H,2,0),"")</f>
        <v/>
      </c>
      <c r="CB1621" s="72" t="str">
        <f aca="false">IF(AC1621&lt;&gt;"",VLOOKUP(AC1621,Selects!$B:$E,4,0),"")</f>
        <v/>
      </c>
    </row>
    <row r="1622" customFormat="false" ht="15" hidden="true" customHeight="false" outlineLevel="0" collapsed="false">
      <c r="E1622" s="60" t="str">
        <f aca="false">IF(LEN(D1622)=11,"PF",IF(LEN(D1622)=14,"PJ",""))</f>
        <v/>
      </c>
      <c r="I1622" s="62"/>
      <c r="J1622" s="63" t="str">
        <f aca="false">IF(I1622&lt;&gt;"",VLOOKUP(I1622,'Legal Nature'!$E$2:$G$84,3,0),"")</f>
        <v/>
      </c>
      <c r="U1622" s="58" t="str">
        <f aca="false">IF( T1622&lt;&gt;"",VLOOKUP(T1622,Selects!$M$4:$N$1000,2,0),"")</f>
        <v/>
      </c>
      <c r="AD1622" s="72" t="str">
        <f aca="false">IF(AC1622&lt;&gt;"",VLOOKUP(AC1622,Selects!$B$4:$C$100,2,0),"")</f>
        <v/>
      </c>
      <c r="AH1622" s="65"/>
      <c r="AJ1622" s="66"/>
      <c r="AK1622" s="58"/>
      <c r="AM1622" s="68" t="str">
        <f aca="false">IF(LEFT(AL1622,1)="9","Celular",IF(AL1622="","","Fixo"))</f>
        <v/>
      </c>
      <c r="AN1622" s="58" t="str">
        <f aca="false">IF( AM1622&lt;&gt;"",VLOOKUP(AM1622,Selects!$M$4:$N$1000,2,0),"")</f>
        <v/>
      </c>
      <c r="BB1622" s="72" t="str">
        <f aca="false">IF(BA1622&lt;&gt;"",VLOOKUP(BA1622,Selects!$B$4:$C$100,2,0),"")</f>
        <v/>
      </c>
      <c r="BG1622" s="75" t="str">
        <f aca="false">IF(LEN(BF1622)=11,"PF",IF(LEN(BF1622)=14,"PJ",""))</f>
        <v/>
      </c>
      <c r="BH1622" s="66"/>
      <c r="BI1622" s="58" t="str">
        <f aca="false">IF(BH1622&lt;&gt;"",VLOOKUP(BH1622,Selects!$G:$H,2,0),"")</f>
        <v/>
      </c>
      <c r="CB1622" s="72" t="str">
        <f aca="false">IF(AC1622&lt;&gt;"",VLOOKUP(AC1622,Selects!$B:$E,4,0),"")</f>
        <v/>
      </c>
    </row>
    <row r="1623" customFormat="false" ht="15" hidden="true" customHeight="false" outlineLevel="0" collapsed="false">
      <c r="E1623" s="60" t="str">
        <f aca="false">IF(LEN(D1623)=11,"PF",IF(LEN(D1623)=14,"PJ",""))</f>
        <v/>
      </c>
      <c r="I1623" s="62"/>
      <c r="J1623" s="63" t="str">
        <f aca="false">IF(I1623&lt;&gt;"",VLOOKUP(I1623,'Legal Nature'!$E$2:$G$84,3,0),"")</f>
        <v/>
      </c>
      <c r="U1623" s="58" t="str">
        <f aca="false">IF( T1623&lt;&gt;"",VLOOKUP(T1623,Selects!$M$4:$N$1000,2,0),"")</f>
        <v/>
      </c>
      <c r="AD1623" s="72" t="str">
        <f aca="false">IF(AC1623&lt;&gt;"",VLOOKUP(AC1623,Selects!$B$4:$C$100,2,0),"")</f>
        <v/>
      </c>
      <c r="AH1623" s="65"/>
      <c r="AJ1623" s="66"/>
      <c r="AK1623" s="58"/>
      <c r="AM1623" s="68" t="str">
        <f aca="false">IF(LEFT(AL1623,1)="9","Celular",IF(AL1623="","","Fixo"))</f>
        <v/>
      </c>
      <c r="AN1623" s="58" t="str">
        <f aca="false">IF( AM1623&lt;&gt;"",VLOOKUP(AM1623,Selects!$M$4:$N$1000,2,0),"")</f>
        <v/>
      </c>
      <c r="BB1623" s="72" t="str">
        <f aca="false">IF(BA1623&lt;&gt;"",VLOOKUP(BA1623,Selects!$B$4:$C$100,2,0),"")</f>
        <v/>
      </c>
      <c r="BG1623" s="75" t="str">
        <f aca="false">IF(LEN(BF1623)=11,"PF",IF(LEN(BF1623)=14,"PJ",""))</f>
        <v/>
      </c>
      <c r="BH1623" s="66"/>
      <c r="BI1623" s="58" t="str">
        <f aca="false">IF(BH1623&lt;&gt;"",VLOOKUP(BH1623,Selects!$G:$H,2,0),"")</f>
        <v/>
      </c>
      <c r="CB1623" s="72" t="str">
        <f aca="false">IF(AC1623&lt;&gt;"",VLOOKUP(AC1623,Selects!$B:$E,4,0),"")</f>
        <v/>
      </c>
    </row>
    <row r="1624" customFormat="false" ht="15" hidden="true" customHeight="false" outlineLevel="0" collapsed="false">
      <c r="E1624" s="60" t="str">
        <f aca="false">IF(LEN(D1624)=11,"PF",IF(LEN(D1624)=14,"PJ",""))</f>
        <v/>
      </c>
      <c r="I1624" s="62"/>
      <c r="J1624" s="63" t="str">
        <f aca="false">IF(I1624&lt;&gt;"",VLOOKUP(I1624,'Legal Nature'!$E$2:$G$84,3,0),"")</f>
        <v/>
      </c>
      <c r="U1624" s="58" t="str">
        <f aca="false">IF( T1624&lt;&gt;"",VLOOKUP(T1624,Selects!$M$4:$N$1000,2,0),"")</f>
        <v/>
      </c>
      <c r="AD1624" s="72" t="str">
        <f aca="false">IF(AC1624&lt;&gt;"",VLOOKUP(AC1624,Selects!$B$4:$C$100,2,0),"")</f>
        <v/>
      </c>
      <c r="AH1624" s="65"/>
      <c r="AJ1624" s="66"/>
      <c r="AK1624" s="58"/>
      <c r="AM1624" s="68" t="str">
        <f aca="false">IF(LEFT(AL1624,1)="9","Celular",IF(AL1624="","","Fixo"))</f>
        <v/>
      </c>
      <c r="AN1624" s="58" t="str">
        <f aca="false">IF( AM1624&lt;&gt;"",VLOOKUP(AM1624,Selects!$M$4:$N$1000,2,0),"")</f>
        <v/>
      </c>
      <c r="BB1624" s="72" t="str">
        <f aca="false">IF(BA1624&lt;&gt;"",VLOOKUP(BA1624,Selects!$B$4:$C$100,2,0),"")</f>
        <v/>
      </c>
      <c r="BG1624" s="75" t="str">
        <f aca="false">IF(LEN(BF1624)=11,"PF",IF(LEN(BF1624)=14,"PJ",""))</f>
        <v/>
      </c>
      <c r="BH1624" s="66"/>
      <c r="BI1624" s="58" t="str">
        <f aca="false">IF(BH1624&lt;&gt;"",VLOOKUP(BH1624,Selects!$G:$H,2,0),"")</f>
        <v/>
      </c>
      <c r="CB1624" s="72" t="str">
        <f aca="false">IF(AC1624&lt;&gt;"",VLOOKUP(AC1624,Selects!$B:$E,4,0),"")</f>
        <v/>
      </c>
    </row>
    <row r="1625" customFormat="false" ht="15" hidden="true" customHeight="false" outlineLevel="0" collapsed="false">
      <c r="E1625" s="60" t="str">
        <f aca="false">IF(LEN(D1625)=11,"PF",IF(LEN(D1625)=14,"PJ",""))</f>
        <v/>
      </c>
      <c r="I1625" s="62"/>
      <c r="J1625" s="63" t="str">
        <f aca="false">IF(I1625&lt;&gt;"",VLOOKUP(I1625,'Legal Nature'!$E$2:$G$84,3,0),"")</f>
        <v/>
      </c>
      <c r="U1625" s="58" t="str">
        <f aca="false">IF( T1625&lt;&gt;"",VLOOKUP(T1625,Selects!$M$4:$N$1000,2,0),"")</f>
        <v/>
      </c>
      <c r="AD1625" s="72" t="str">
        <f aca="false">IF(AC1625&lt;&gt;"",VLOOKUP(AC1625,Selects!$B$4:$C$100,2,0),"")</f>
        <v/>
      </c>
      <c r="AH1625" s="65"/>
      <c r="AJ1625" s="66"/>
      <c r="AK1625" s="58"/>
      <c r="AM1625" s="68" t="str">
        <f aca="false">IF(LEFT(AL1625,1)="9","Celular",IF(AL1625="","","Fixo"))</f>
        <v/>
      </c>
      <c r="AN1625" s="58" t="str">
        <f aca="false">IF( AM1625&lt;&gt;"",VLOOKUP(AM1625,Selects!$M$4:$N$1000,2,0),"")</f>
        <v/>
      </c>
      <c r="BB1625" s="72" t="str">
        <f aca="false">IF(BA1625&lt;&gt;"",VLOOKUP(BA1625,Selects!$B$4:$C$100,2,0),"")</f>
        <v/>
      </c>
      <c r="BG1625" s="75" t="str">
        <f aca="false">IF(LEN(BF1625)=11,"PF",IF(LEN(BF1625)=14,"PJ",""))</f>
        <v/>
      </c>
      <c r="BH1625" s="66"/>
      <c r="BI1625" s="58" t="str">
        <f aca="false">IF(BH1625&lt;&gt;"",VLOOKUP(BH1625,Selects!$G:$H,2,0),"")</f>
        <v/>
      </c>
      <c r="CB1625" s="72" t="str">
        <f aca="false">IF(AC1625&lt;&gt;"",VLOOKUP(AC1625,Selects!$B:$E,4,0),"")</f>
        <v/>
      </c>
    </row>
    <row r="1626" customFormat="false" ht="15" hidden="true" customHeight="false" outlineLevel="0" collapsed="false">
      <c r="E1626" s="60" t="str">
        <f aca="false">IF(LEN(D1626)=11,"PF",IF(LEN(D1626)=14,"PJ",""))</f>
        <v/>
      </c>
      <c r="I1626" s="62"/>
      <c r="J1626" s="63" t="str">
        <f aca="false">IF(I1626&lt;&gt;"",VLOOKUP(I1626,'Legal Nature'!$E$2:$G$84,3,0),"")</f>
        <v/>
      </c>
      <c r="U1626" s="58" t="str">
        <f aca="false">IF( T1626&lt;&gt;"",VLOOKUP(T1626,Selects!$M$4:$N$1000,2,0),"")</f>
        <v/>
      </c>
      <c r="AD1626" s="72" t="str">
        <f aca="false">IF(AC1626&lt;&gt;"",VLOOKUP(AC1626,Selects!$B$4:$C$100,2,0),"")</f>
        <v/>
      </c>
      <c r="AH1626" s="65"/>
      <c r="AJ1626" s="66"/>
      <c r="AK1626" s="58"/>
      <c r="AM1626" s="68" t="str">
        <f aca="false">IF(LEFT(AL1626,1)="9","Celular",IF(AL1626="","","Fixo"))</f>
        <v/>
      </c>
      <c r="AN1626" s="58" t="str">
        <f aca="false">IF( AM1626&lt;&gt;"",VLOOKUP(AM1626,Selects!$M$4:$N$1000,2,0),"")</f>
        <v/>
      </c>
      <c r="BB1626" s="72" t="str">
        <f aca="false">IF(BA1626&lt;&gt;"",VLOOKUP(BA1626,Selects!$B$4:$C$100,2,0),"")</f>
        <v/>
      </c>
      <c r="BG1626" s="75" t="str">
        <f aca="false">IF(LEN(BF1626)=11,"PF",IF(LEN(BF1626)=14,"PJ",""))</f>
        <v/>
      </c>
      <c r="BH1626" s="66"/>
      <c r="BI1626" s="58" t="str">
        <f aca="false">IF(BH1626&lt;&gt;"",VLOOKUP(BH1626,Selects!$G:$H,2,0),"")</f>
        <v/>
      </c>
      <c r="CB1626" s="72" t="str">
        <f aca="false">IF(AC1626&lt;&gt;"",VLOOKUP(AC1626,Selects!$B:$E,4,0),"")</f>
        <v/>
      </c>
    </row>
    <row r="1627" customFormat="false" ht="15" hidden="true" customHeight="false" outlineLevel="0" collapsed="false">
      <c r="E1627" s="60" t="str">
        <f aca="false">IF(LEN(D1627)=11,"PF",IF(LEN(D1627)=14,"PJ",""))</f>
        <v/>
      </c>
      <c r="I1627" s="62"/>
      <c r="J1627" s="63" t="str">
        <f aca="false">IF(I1627&lt;&gt;"",VLOOKUP(I1627,'Legal Nature'!$E$2:$G$84,3,0),"")</f>
        <v/>
      </c>
      <c r="U1627" s="58" t="str">
        <f aca="false">IF( T1627&lt;&gt;"",VLOOKUP(T1627,Selects!$M$4:$N$1000,2,0),"")</f>
        <v/>
      </c>
      <c r="AD1627" s="72" t="str">
        <f aca="false">IF(AC1627&lt;&gt;"",VLOOKUP(AC1627,Selects!$B$4:$C$100,2,0),"")</f>
        <v/>
      </c>
      <c r="AH1627" s="65"/>
      <c r="AJ1627" s="66"/>
      <c r="AK1627" s="58"/>
      <c r="AM1627" s="68" t="str">
        <f aca="false">IF(LEFT(AL1627,1)="9","Celular",IF(AL1627="","","Fixo"))</f>
        <v/>
      </c>
      <c r="AN1627" s="58" t="str">
        <f aca="false">IF( AM1627&lt;&gt;"",VLOOKUP(AM1627,Selects!$M$4:$N$1000,2,0),"")</f>
        <v/>
      </c>
      <c r="BB1627" s="72" t="str">
        <f aca="false">IF(BA1627&lt;&gt;"",VLOOKUP(BA1627,Selects!$B$4:$C$100,2,0),"")</f>
        <v/>
      </c>
      <c r="BG1627" s="75" t="str">
        <f aca="false">IF(LEN(BF1627)=11,"PF",IF(LEN(BF1627)=14,"PJ",""))</f>
        <v/>
      </c>
      <c r="BH1627" s="66"/>
      <c r="BI1627" s="58" t="str">
        <f aca="false">IF(BH1627&lt;&gt;"",VLOOKUP(BH1627,Selects!$G:$H,2,0),"")</f>
        <v/>
      </c>
      <c r="CB1627" s="72" t="str">
        <f aca="false">IF(AC1627&lt;&gt;"",VLOOKUP(AC1627,Selects!$B:$E,4,0),"")</f>
        <v/>
      </c>
    </row>
    <row r="1628" customFormat="false" ht="15" hidden="true" customHeight="false" outlineLevel="0" collapsed="false">
      <c r="E1628" s="60" t="str">
        <f aca="false">IF(LEN(D1628)=11,"PF",IF(LEN(D1628)=14,"PJ",""))</f>
        <v/>
      </c>
      <c r="I1628" s="62"/>
      <c r="J1628" s="63" t="str">
        <f aca="false">IF(I1628&lt;&gt;"",VLOOKUP(I1628,'Legal Nature'!$E$2:$G$84,3,0),"")</f>
        <v/>
      </c>
      <c r="U1628" s="58" t="str">
        <f aca="false">IF( T1628&lt;&gt;"",VLOOKUP(T1628,Selects!$M$4:$N$1000,2,0),"")</f>
        <v/>
      </c>
      <c r="AD1628" s="72" t="str">
        <f aca="false">IF(AC1628&lt;&gt;"",VLOOKUP(AC1628,Selects!$B$4:$C$100,2,0),"")</f>
        <v/>
      </c>
      <c r="AH1628" s="65"/>
      <c r="AJ1628" s="66"/>
      <c r="AK1628" s="58"/>
      <c r="AM1628" s="68" t="str">
        <f aca="false">IF(LEFT(AL1628,1)="9","Celular",IF(AL1628="","","Fixo"))</f>
        <v/>
      </c>
      <c r="AN1628" s="58" t="str">
        <f aca="false">IF( AM1628&lt;&gt;"",VLOOKUP(AM1628,Selects!$M$4:$N$1000,2,0),"")</f>
        <v/>
      </c>
      <c r="BB1628" s="72" t="str">
        <f aca="false">IF(BA1628&lt;&gt;"",VLOOKUP(BA1628,Selects!$B$4:$C$100,2,0),"")</f>
        <v/>
      </c>
      <c r="BG1628" s="75" t="str">
        <f aca="false">IF(LEN(BF1628)=11,"PF",IF(LEN(BF1628)=14,"PJ",""))</f>
        <v/>
      </c>
      <c r="BH1628" s="66"/>
      <c r="BI1628" s="58" t="str">
        <f aca="false">IF(BH1628&lt;&gt;"",VLOOKUP(BH1628,Selects!$G:$H,2,0),"")</f>
        <v/>
      </c>
      <c r="CB1628" s="72" t="str">
        <f aca="false">IF(AC1628&lt;&gt;"",VLOOKUP(AC1628,Selects!$B:$E,4,0),"")</f>
        <v/>
      </c>
    </row>
    <row r="1629" customFormat="false" ht="15" hidden="true" customHeight="false" outlineLevel="0" collapsed="false">
      <c r="E1629" s="60" t="str">
        <f aca="false">IF(LEN(D1629)=11,"PF",IF(LEN(D1629)=14,"PJ",""))</f>
        <v/>
      </c>
      <c r="I1629" s="62"/>
      <c r="J1629" s="63" t="str">
        <f aca="false">IF(I1629&lt;&gt;"",VLOOKUP(I1629,'Legal Nature'!$E$2:$G$84,3,0),"")</f>
        <v/>
      </c>
      <c r="U1629" s="58" t="str">
        <f aca="false">IF( T1629&lt;&gt;"",VLOOKUP(T1629,Selects!$M$4:$N$1000,2,0),"")</f>
        <v/>
      </c>
      <c r="AD1629" s="72" t="str">
        <f aca="false">IF(AC1629&lt;&gt;"",VLOOKUP(AC1629,Selects!$B$4:$C$100,2,0),"")</f>
        <v/>
      </c>
      <c r="AH1629" s="65"/>
      <c r="AJ1629" s="66"/>
      <c r="AK1629" s="58"/>
      <c r="AM1629" s="68" t="str">
        <f aca="false">IF(LEFT(AL1629,1)="9","Celular",IF(AL1629="","","Fixo"))</f>
        <v/>
      </c>
      <c r="AN1629" s="58" t="str">
        <f aca="false">IF( AM1629&lt;&gt;"",VLOOKUP(AM1629,Selects!$M$4:$N$1000,2,0),"")</f>
        <v/>
      </c>
      <c r="BB1629" s="72" t="str">
        <f aca="false">IF(BA1629&lt;&gt;"",VLOOKUP(BA1629,Selects!$B$4:$C$100,2,0),"")</f>
        <v/>
      </c>
      <c r="BG1629" s="75" t="str">
        <f aca="false">IF(LEN(BF1629)=11,"PF",IF(LEN(BF1629)=14,"PJ",""))</f>
        <v/>
      </c>
      <c r="BH1629" s="66"/>
      <c r="BI1629" s="58" t="str">
        <f aca="false">IF(BH1629&lt;&gt;"",VLOOKUP(BH1629,Selects!$G:$H,2,0),"")</f>
        <v/>
      </c>
      <c r="CB1629" s="72" t="str">
        <f aca="false">IF(AC1629&lt;&gt;"",VLOOKUP(AC1629,Selects!$B:$E,4,0),"")</f>
        <v/>
      </c>
    </row>
    <row r="1630" customFormat="false" ht="15" hidden="true" customHeight="false" outlineLevel="0" collapsed="false">
      <c r="E1630" s="60" t="str">
        <f aca="false">IF(LEN(D1630)=11,"PF",IF(LEN(D1630)=14,"PJ",""))</f>
        <v/>
      </c>
      <c r="I1630" s="62"/>
      <c r="J1630" s="63" t="str">
        <f aca="false">IF(I1630&lt;&gt;"",VLOOKUP(I1630,'Legal Nature'!$E$2:$G$84,3,0),"")</f>
        <v/>
      </c>
      <c r="U1630" s="58" t="str">
        <f aca="false">IF( T1630&lt;&gt;"",VLOOKUP(T1630,Selects!$M$4:$N$1000,2,0),"")</f>
        <v/>
      </c>
      <c r="AD1630" s="72" t="str">
        <f aca="false">IF(AC1630&lt;&gt;"",VLOOKUP(AC1630,Selects!$B$4:$C$100,2,0),"")</f>
        <v/>
      </c>
      <c r="AH1630" s="65"/>
      <c r="AJ1630" s="66"/>
      <c r="AK1630" s="58"/>
      <c r="AM1630" s="68" t="str">
        <f aca="false">IF(LEFT(AL1630,1)="9","Celular",IF(AL1630="","","Fixo"))</f>
        <v/>
      </c>
      <c r="AN1630" s="58" t="str">
        <f aca="false">IF( AM1630&lt;&gt;"",VLOOKUP(AM1630,Selects!$M$4:$N$1000,2,0),"")</f>
        <v/>
      </c>
      <c r="BB1630" s="72" t="str">
        <f aca="false">IF(BA1630&lt;&gt;"",VLOOKUP(BA1630,Selects!$B$4:$C$100,2,0),"")</f>
        <v/>
      </c>
      <c r="BG1630" s="75" t="str">
        <f aca="false">IF(LEN(BF1630)=11,"PF",IF(LEN(BF1630)=14,"PJ",""))</f>
        <v/>
      </c>
      <c r="BH1630" s="66"/>
      <c r="BI1630" s="58" t="str">
        <f aca="false">IF(BH1630&lt;&gt;"",VLOOKUP(BH1630,Selects!$G:$H,2,0),"")</f>
        <v/>
      </c>
      <c r="CB1630" s="72" t="str">
        <f aca="false">IF(AC1630&lt;&gt;"",VLOOKUP(AC1630,Selects!$B:$E,4,0),"")</f>
        <v/>
      </c>
    </row>
    <row r="1631" customFormat="false" ht="15" hidden="true" customHeight="false" outlineLevel="0" collapsed="false">
      <c r="E1631" s="60" t="str">
        <f aca="false">IF(LEN(D1631)=11,"PF",IF(LEN(D1631)=14,"PJ",""))</f>
        <v/>
      </c>
      <c r="I1631" s="62"/>
      <c r="J1631" s="63" t="str">
        <f aca="false">IF(I1631&lt;&gt;"",VLOOKUP(I1631,'Legal Nature'!$E$2:$G$84,3,0),"")</f>
        <v/>
      </c>
      <c r="U1631" s="58" t="str">
        <f aca="false">IF( T1631&lt;&gt;"",VLOOKUP(T1631,Selects!$M$4:$N$1000,2,0),"")</f>
        <v/>
      </c>
      <c r="AD1631" s="72" t="str">
        <f aca="false">IF(AC1631&lt;&gt;"",VLOOKUP(AC1631,Selects!$B$4:$C$100,2,0),"")</f>
        <v/>
      </c>
      <c r="AH1631" s="65"/>
      <c r="AJ1631" s="66"/>
      <c r="AK1631" s="58"/>
      <c r="AM1631" s="68" t="str">
        <f aca="false">IF(LEFT(AL1631,1)="9","Celular",IF(AL1631="","","Fixo"))</f>
        <v/>
      </c>
      <c r="AN1631" s="58" t="str">
        <f aca="false">IF( AM1631&lt;&gt;"",VLOOKUP(AM1631,Selects!$M$4:$N$1000,2,0),"")</f>
        <v/>
      </c>
      <c r="BB1631" s="72" t="str">
        <f aca="false">IF(BA1631&lt;&gt;"",VLOOKUP(BA1631,Selects!$B$4:$C$100,2,0),"")</f>
        <v/>
      </c>
      <c r="BG1631" s="75" t="str">
        <f aca="false">IF(LEN(BF1631)=11,"PF",IF(LEN(BF1631)=14,"PJ",""))</f>
        <v/>
      </c>
      <c r="BH1631" s="66"/>
      <c r="BI1631" s="58" t="str">
        <f aca="false">IF(BH1631&lt;&gt;"",VLOOKUP(BH1631,Selects!$G:$H,2,0),"")</f>
        <v/>
      </c>
      <c r="CB1631" s="72" t="str">
        <f aca="false">IF(AC1631&lt;&gt;"",VLOOKUP(AC1631,Selects!$B:$E,4,0),"")</f>
        <v/>
      </c>
    </row>
    <row r="1632" customFormat="false" ht="15" hidden="true" customHeight="false" outlineLevel="0" collapsed="false">
      <c r="E1632" s="60" t="str">
        <f aca="false">IF(LEN(D1632)=11,"PF",IF(LEN(D1632)=14,"PJ",""))</f>
        <v/>
      </c>
      <c r="I1632" s="62"/>
      <c r="J1632" s="63" t="str">
        <f aca="false">IF(I1632&lt;&gt;"",VLOOKUP(I1632,'Legal Nature'!$E$2:$G$84,3,0),"")</f>
        <v/>
      </c>
      <c r="U1632" s="58" t="str">
        <f aca="false">IF( T1632&lt;&gt;"",VLOOKUP(T1632,Selects!$M$4:$N$1000,2,0),"")</f>
        <v/>
      </c>
      <c r="AD1632" s="72" t="str">
        <f aca="false">IF(AC1632&lt;&gt;"",VLOOKUP(AC1632,Selects!$B$4:$C$100,2,0),"")</f>
        <v/>
      </c>
      <c r="AH1632" s="65"/>
      <c r="AJ1632" s="66"/>
      <c r="AK1632" s="58"/>
      <c r="AM1632" s="68" t="str">
        <f aca="false">IF(LEFT(AL1632,1)="9","Celular",IF(AL1632="","","Fixo"))</f>
        <v/>
      </c>
      <c r="AN1632" s="58" t="str">
        <f aca="false">IF( AM1632&lt;&gt;"",VLOOKUP(AM1632,Selects!$M$4:$N$1000,2,0),"")</f>
        <v/>
      </c>
      <c r="BB1632" s="72" t="str">
        <f aca="false">IF(BA1632&lt;&gt;"",VLOOKUP(BA1632,Selects!$B$4:$C$100,2,0),"")</f>
        <v/>
      </c>
      <c r="BG1632" s="75" t="str">
        <f aca="false">IF(LEN(BF1632)=11,"PF",IF(LEN(BF1632)=14,"PJ",""))</f>
        <v/>
      </c>
      <c r="BH1632" s="66"/>
      <c r="BI1632" s="58" t="str">
        <f aca="false">IF(BH1632&lt;&gt;"",VLOOKUP(BH1632,Selects!$G:$H,2,0),"")</f>
        <v/>
      </c>
      <c r="CB1632" s="72" t="str">
        <f aca="false">IF(AC1632&lt;&gt;"",VLOOKUP(AC1632,Selects!$B:$E,4,0),"")</f>
        <v/>
      </c>
    </row>
    <row r="1633" customFormat="false" ht="15" hidden="true" customHeight="false" outlineLevel="0" collapsed="false">
      <c r="E1633" s="60" t="str">
        <f aca="false">IF(LEN(D1633)=11,"PF",IF(LEN(D1633)=14,"PJ",""))</f>
        <v/>
      </c>
      <c r="I1633" s="62"/>
      <c r="J1633" s="63" t="str">
        <f aca="false">IF(I1633&lt;&gt;"",VLOOKUP(I1633,'Legal Nature'!$E$2:$G$84,3,0),"")</f>
        <v/>
      </c>
      <c r="U1633" s="58" t="str">
        <f aca="false">IF( T1633&lt;&gt;"",VLOOKUP(T1633,Selects!$M$4:$N$1000,2,0),"")</f>
        <v/>
      </c>
      <c r="AD1633" s="72" t="str">
        <f aca="false">IF(AC1633&lt;&gt;"",VLOOKUP(AC1633,Selects!$B$4:$C$100,2,0),"")</f>
        <v/>
      </c>
      <c r="AH1633" s="65"/>
      <c r="AJ1633" s="66"/>
      <c r="AK1633" s="58"/>
      <c r="AM1633" s="68" t="str">
        <f aca="false">IF(LEFT(AL1633,1)="9","Celular",IF(AL1633="","","Fixo"))</f>
        <v/>
      </c>
      <c r="AN1633" s="58" t="str">
        <f aca="false">IF( AM1633&lt;&gt;"",VLOOKUP(AM1633,Selects!$M$4:$N$1000,2,0),"")</f>
        <v/>
      </c>
      <c r="BB1633" s="72" t="str">
        <f aca="false">IF(BA1633&lt;&gt;"",VLOOKUP(BA1633,Selects!$B$4:$C$100,2,0),"")</f>
        <v/>
      </c>
      <c r="BG1633" s="75" t="str">
        <f aca="false">IF(LEN(BF1633)=11,"PF",IF(LEN(BF1633)=14,"PJ",""))</f>
        <v/>
      </c>
      <c r="BH1633" s="66"/>
      <c r="BI1633" s="58" t="str">
        <f aca="false">IF(BH1633&lt;&gt;"",VLOOKUP(BH1633,Selects!$G:$H,2,0),"")</f>
        <v/>
      </c>
      <c r="CB1633" s="72" t="str">
        <f aca="false">IF(AC1633&lt;&gt;"",VLOOKUP(AC1633,Selects!$B:$E,4,0),"")</f>
        <v/>
      </c>
    </row>
    <row r="1634" customFormat="false" ht="15" hidden="true" customHeight="false" outlineLevel="0" collapsed="false">
      <c r="E1634" s="60" t="str">
        <f aca="false">IF(LEN(D1634)=11,"PF",IF(LEN(D1634)=14,"PJ",""))</f>
        <v/>
      </c>
      <c r="I1634" s="62"/>
      <c r="J1634" s="63" t="str">
        <f aca="false">IF(I1634&lt;&gt;"",VLOOKUP(I1634,'Legal Nature'!$E$2:$G$84,3,0),"")</f>
        <v/>
      </c>
      <c r="U1634" s="58" t="str">
        <f aca="false">IF( T1634&lt;&gt;"",VLOOKUP(T1634,Selects!$M$4:$N$1000,2,0),"")</f>
        <v/>
      </c>
      <c r="AD1634" s="72" t="str">
        <f aca="false">IF(AC1634&lt;&gt;"",VLOOKUP(AC1634,Selects!$B$4:$C$100,2,0),"")</f>
        <v/>
      </c>
      <c r="AH1634" s="65"/>
      <c r="AJ1634" s="66"/>
      <c r="AK1634" s="58"/>
      <c r="AM1634" s="68" t="str">
        <f aca="false">IF(LEFT(AL1634,1)="9","Celular",IF(AL1634="","","Fixo"))</f>
        <v/>
      </c>
      <c r="AN1634" s="58" t="str">
        <f aca="false">IF( AM1634&lt;&gt;"",VLOOKUP(AM1634,Selects!$M$4:$N$1000,2,0),"")</f>
        <v/>
      </c>
      <c r="BB1634" s="72" t="str">
        <f aca="false">IF(BA1634&lt;&gt;"",VLOOKUP(BA1634,Selects!$B$4:$C$100,2,0),"")</f>
        <v/>
      </c>
      <c r="BG1634" s="75" t="str">
        <f aca="false">IF(LEN(BF1634)=11,"PF",IF(LEN(BF1634)=14,"PJ",""))</f>
        <v/>
      </c>
      <c r="BH1634" s="66"/>
      <c r="BI1634" s="58" t="str">
        <f aca="false">IF(BH1634&lt;&gt;"",VLOOKUP(BH1634,Selects!$G:$H,2,0),"")</f>
        <v/>
      </c>
      <c r="CB1634" s="72" t="str">
        <f aca="false">IF(AC1634&lt;&gt;"",VLOOKUP(AC1634,Selects!$B:$E,4,0),"")</f>
        <v/>
      </c>
    </row>
    <row r="1635" customFormat="false" ht="15" hidden="true" customHeight="false" outlineLevel="0" collapsed="false">
      <c r="E1635" s="60" t="str">
        <f aca="false">IF(LEN(D1635)=11,"PF",IF(LEN(D1635)=14,"PJ",""))</f>
        <v/>
      </c>
      <c r="I1635" s="62"/>
      <c r="J1635" s="63" t="str">
        <f aca="false">IF(I1635&lt;&gt;"",VLOOKUP(I1635,'Legal Nature'!$E$2:$G$84,3,0),"")</f>
        <v/>
      </c>
      <c r="U1635" s="58" t="str">
        <f aca="false">IF( T1635&lt;&gt;"",VLOOKUP(T1635,Selects!$M$4:$N$1000,2,0),"")</f>
        <v/>
      </c>
      <c r="AD1635" s="72" t="str">
        <f aca="false">IF(AC1635&lt;&gt;"",VLOOKUP(AC1635,Selects!$B$4:$C$100,2,0),"")</f>
        <v/>
      </c>
      <c r="AH1635" s="65"/>
      <c r="AJ1635" s="66"/>
      <c r="AK1635" s="58"/>
      <c r="AM1635" s="68" t="str">
        <f aca="false">IF(LEFT(AL1635,1)="9","Celular",IF(AL1635="","","Fixo"))</f>
        <v/>
      </c>
      <c r="AN1635" s="58" t="str">
        <f aca="false">IF( AM1635&lt;&gt;"",VLOOKUP(AM1635,Selects!$M$4:$N$1000,2,0),"")</f>
        <v/>
      </c>
      <c r="BB1635" s="72" t="str">
        <f aca="false">IF(BA1635&lt;&gt;"",VLOOKUP(BA1635,Selects!$B$4:$C$100,2,0),"")</f>
        <v/>
      </c>
      <c r="BG1635" s="75" t="str">
        <f aca="false">IF(LEN(BF1635)=11,"PF",IF(LEN(BF1635)=14,"PJ",""))</f>
        <v/>
      </c>
      <c r="BH1635" s="66"/>
      <c r="BI1635" s="58" t="str">
        <f aca="false">IF(BH1635&lt;&gt;"",VLOOKUP(BH1635,Selects!$G:$H,2,0),"")</f>
        <v/>
      </c>
      <c r="CB1635" s="72" t="str">
        <f aca="false">IF(AC1635&lt;&gt;"",VLOOKUP(AC1635,Selects!$B:$E,4,0),"")</f>
        <v/>
      </c>
    </row>
    <row r="1636" customFormat="false" ht="15" hidden="true" customHeight="false" outlineLevel="0" collapsed="false">
      <c r="E1636" s="60" t="str">
        <f aca="false">IF(LEN(D1636)=11,"PF",IF(LEN(D1636)=14,"PJ",""))</f>
        <v/>
      </c>
      <c r="I1636" s="62"/>
      <c r="J1636" s="63" t="str">
        <f aca="false">IF(I1636&lt;&gt;"",VLOOKUP(I1636,'Legal Nature'!$E$2:$G$84,3,0),"")</f>
        <v/>
      </c>
      <c r="U1636" s="58" t="str">
        <f aca="false">IF( T1636&lt;&gt;"",VLOOKUP(T1636,Selects!$M$4:$N$1000,2,0),"")</f>
        <v/>
      </c>
      <c r="AD1636" s="72" t="str">
        <f aca="false">IF(AC1636&lt;&gt;"",VLOOKUP(AC1636,Selects!$B$4:$C$100,2,0),"")</f>
        <v/>
      </c>
      <c r="AH1636" s="65"/>
      <c r="AJ1636" s="66"/>
      <c r="AK1636" s="58"/>
      <c r="AM1636" s="68" t="str">
        <f aca="false">IF(LEFT(AL1636,1)="9","Celular",IF(AL1636="","","Fixo"))</f>
        <v/>
      </c>
      <c r="AN1636" s="58" t="str">
        <f aca="false">IF( AM1636&lt;&gt;"",VLOOKUP(AM1636,Selects!$M$4:$N$1000,2,0),"")</f>
        <v/>
      </c>
      <c r="BB1636" s="72" t="str">
        <f aca="false">IF(BA1636&lt;&gt;"",VLOOKUP(BA1636,Selects!$B$4:$C$100,2,0),"")</f>
        <v/>
      </c>
      <c r="BG1636" s="75" t="str">
        <f aca="false">IF(LEN(BF1636)=11,"PF",IF(LEN(BF1636)=14,"PJ",""))</f>
        <v/>
      </c>
      <c r="BH1636" s="66"/>
      <c r="BI1636" s="58" t="str">
        <f aca="false">IF(BH1636&lt;&gt;"",VLOOKUP(BH1636,Selects!$G:$H,2,0),"")</f>
        <v/>
      </c>
      <c r="CB1636" s="72" t="str">
        <f aca="false">IF(AC1636&lt;&gt;"",VLOOKUP(AC1636,Selects!$B:$E,4,0),"")</f>
        <v/>
      </c>
    </row>
    <row r="1637" customFormat="false" ht="15" hidden="true" customHeight="false" outlineLevel="0" collapsed="false">
      <c r="E1637" s="60" t="str">
        <f aca="false">IF(LEN(D1637)=11,"PF",IF(LEN(D1637)=14,"PJ",""))</f>
        <v/>
      </c>
      <c r="I1637" s="62"/>
      <c r="J1637" s="63" t="str">
        <f aca="false">IF(I1637&lt;&gt;"",VLOOKUP(I1637,'Legal Nature'!$E$2:$G$84,3,0),"")</f>
        <v/>
      </c>
      <c r="U1637" s="58" t="str">
        <f aca="false">IF( T1637&lt;&gt;"",VLOOKUP(T1637,Selects!$M$4:$N$1000,2,0),"")</f>
        <v/>
      </c>
      <c r="AD1637" s="72" t="str">
        <f aca="false">IF(AC1637&lt;&gt;"",VLOOKUP(AC1637,Selects!$B$4:$C$100,2,0),"")</f>
        <v/>
      </c>
      <c r="AH1637" s="65"/>
      <c r="AJ1637" s="66"/>
      <c r="AK1637" s="58"/>
      <c r="AM1637" s="68" t="str">
        <f aca="false">IF(LEFT(AL1637,1)="9","Celular",IF(AL1637="","","Fixo"))</f>
        <v/>
      </c>
      <c r="AN1637" s="58" t="str">
        <f aca="false">IF( AM1637&lt;&gt;"",VLOOKUP(AM1637,Selects!$M$4:$N$1000,2,0),"")</f>
        <v/>
      </c>
      <c r="BB1637" s="72" t="str">
        <f aca="false">IF(BA1637&lt;&gt;"",VLOOKUP(BA1637,Selects!$B$4:$C$100,2,0),"")</f>
        <v/>
      </c>
      <c r="BG1637" s="75" t="str">
        <f aca="false">IF(LEN(BF1637)=11,"PF",IF(LEN(BF1637)=14,"PJ",""))</f>
        <v/>
      </c>
      <c r="BH1637" s="66"/>
      <c r="BI1637" s="58" t="str">
        <f aca="false">IF(BH1637&lt;&gt;"",VLOOKUP(BH1637,Selects!$G:$H,2,0),"")</f>
        <v/>
      </c>
      <c r="CB1637" s="72" t="str">
        <f aca="false">IF(AC1637&lt;&gt;"",VLOOKUP(AC1637,Selects!$B:$E,4,0),"")</f>
        <v/>
      </c>
    </row>
    <row r="1638" customFormat="false" ht="15" hidden="true" customHeight="false" outlineLevel="0" collapsed="false">
      <c r="E1638" s="60" t="str">
        <f aca="false">IF(LEN(D1638)=11,"PF",IF(LEN(D1638)=14,"PJ",""))</f>
        <v/>
      </c>
      <c r="I1638" s="62"/>
      <c r="J1638" s="63" t="str">
        <f aca="false">IF(I1638&lt;&gt;"",VLOOKUP(I1638,'Legal Nature'!$E$2:$G$84,3,0),"")</f>
        <v/>
      </c>
      <c r="U1638" s="58" t="str">
        <f aca="false">IF( T1638&lt;&gt;"",VLOOKUP(T1638,Selects!$M$4:$N$1000,2,0),"")</f>
        <v/>
      </c>
      <c r="AD1638" s="72" t="str">
        <f aca="false">IF(AC1638&lt;&gt;"",VLOOKUP(AC1638,Selects!$B$4:$C$100,2,0),"")</f>
        <v/>
      </c>
      <c r="AH1638" s="65"/>
      <c r="AJ1638" s="66"/>
      <c r="AK1638" s="58"/>
      <c r="AM1638" s="68" t="str">
        <f aca="false">IF(LEFT(AL1638,1)="9","Celular",IF(AL1638="","","Fixo"))</f>
        <v/>
      </c>
      <c r="AN1638" s="58" t="str">
        <f aca="false">IF( AM1638&lt;&gt;"",VLOOKUP(AM1638,Selects!$M$4:$N$1000,2,0),"")</f>
        <v/>
      </c>
      <c r="BB1638" s="72" t="str">
        <f aca="false">IF(BA1638&lt;&gt;"",VLOOKUP(BA1638,Selects!$B$4:$C$100,2,0),"")</f>
        <v/>
      </c>
      <c r="BG1638" s="75" t="str">
        <f aca="false">IF(LEN(BF1638)=11,"PF",IF(LEN(BF1638)=14,"PJ",""))</f>
        <v/>
      </c>
      <c r="BH1638" s="66"/>
      <c r="BI1638" s="58" t="str">
        <f aca="false">IF(BH1638&lt;&gt;"",VLOOKUP(BH1638,Selects!$G:$H,2,0),"")</f>
        <v/>
      </c>
      <c r="CB1638" s="72" t="str">
        <f aca="false">IF(AC1638&lt;&gt;"",VLOOKUP(AC1638,Selects!$B:$E,4,0),"")</f>
        <v/>
      </c>
    </row>
    <row r="1639" customFormat="false" ht="15" hidden="true" customHeight="false" outlineLevel="0" collapsed="false">
      <c r="E1639" s="60" t="str">
        <f aca="false">IF(LEN(D1639)=11,"PF",IF(LEN(D1639)=14,"PJ",""))</f>
        <v/>
      </c>
      <c r="I1639" s="62"/>
      <c r="J1639" s="63" t="str">
        <f aca="false">IF(I1639&lt;&gt;"",VLOOKUP(I1639,'Legal Nature'!$E$2:$G$84,3,0),"")</f>
        <v/>
      </c>
      <c r="U1639" s="58" t="str">
        <f aca="false">IF( T1639&lt;&gt;"",VLOOKUP(T1639,Selects!$M$4:$N$1000,2,0),"")</f>
        <v/>
      </c>
      <c r="AD1639" s="72" t="str">
        <f aca="false">IF(AC1639&lt;&gt;"",VLOOKUP(AC1639,Selects!$B$4:$C$100,2,0),"")</f>
        <v/>
      </c>
      <c r="AH1639" s="65"/>
      <c r="AJ1639" s="66"/>
      <c r="AK1639" s="58"/>
      <c r="AM1639" s="68" t="str">
        <f aca="false">IF(LEFT(AL1639,1)="9","Celular",IF(AL1639="","","Fixo"))</f>
        <v/>
      </c>
      <c r="AN1639" s="58" t="str">
        <f aca="false">IF( AM1639&lt;&gt;"",VLOOKUP(AM1639,Selects!$M$4:$N$1000,2,0),"")</f>
        <v/>
      </c>
      <c r="BB1639" s="72" t="str">
        <f aca="false">IF(BA1639&lt;&gt;"",VLOOKUP(BA1639,Selects!$B$4:$C$100,2,0),"")</f>
        <v/>
      </c>
      <c r="BG1639" s="75" t="str">
        <f aca="false">IF(LEN(BF1639)=11,"PF",IF(LEN(BF1639)=14,"PJ",""))</f>
        <v/>
      </c>
      <c r="BH1639" s="66"/>
      <c r="BI1639" s="58" t="str">
        <f aca="false">IF(BH1639&lt;&gt;"",VLOOKUP(BH1639,Selects!$G:$H,2,0),"")</f>
        <v/>
      </c>
      <c r="CB1639" s="72" t="str">
        <f aca="false">IF(AC1639&lt;&gt;"",VLOOKUP(AC1639,Selects!$B:$E,4,0),"")</f>
        <v/>
      </c>
    </row>
    <row r="1640" customFormat="false" ht="15" hidden="true" customHeight="false" outlineLevel="0" collapsed="false">
      <c r="E1640" s="60" t="str">
        <f aca="false">IF(LEN(D1640)=11,"PF",IF(LEN(D1640)=14,"PJ",""))</f>
        <v/>
      </c>
      <c r="I1640" s="62"/>
      <c r="J1640" s="63" t="str">
        <f aca="false">IF(I1640&lt;&gt;"",VLOOKUP(I1640,'Legal Nature'!$E$2:$G$84,3,0),"")</f>
        <v/>
      </c>
      <c r="U1640" s="58" t="str">
        <f aca="false">IF( T1640&lt;&gt;"",VLOOKUP(T1640,Selects!$M$4:$N$1000,2,0),"")</f>
        <v/>
      </c>
      <c r="AD1640" s="72" t="str">
        <f aca="false">IF(AC1640&lt;&gt;"",VLOOKUP(AC1640,Selects!$B$4:$C$100,2,0),"")</f>
        <v/>
      </c>
      <c r="AH1640" s="65"/>
      <c r="AJ1640" s="66"/>
      <c r="AK1640" s="58"/>
      <c r="AM1640" s="68" t="str">
        <f aca="false">IF(LEFT(AL1640,1)="9","Celular",IF(AL1640="","","Fixo"))</f>
        <v/>
      </c>
      <c r="AN1640" s="58" t="str">
        <f aca="false">IF( AM1640&lt;&gt;"",VLOOKUP(AM1640,Selects!$M$4:$N$1000,2,0),"")</f>
        <v/>
      </c>
      <c r="BB1640" s="72" t="str">
        <f aca="false">IF(BA1640&lt;&gt;"",VLOOKUP(BA1640,Selects!$B$4:$C$100,2,0),"")</f>
        <v/>
      </c>
      <c r="BG1640" s="75" t="str">
        <f aca="false">IF(LEN(BF1640)=11,"PF",IF(LEN(BF1640)=14,"PJ",""))</f>
        <v/>
      </c>
      <c r="BH1640" s="66"/>
      <c r="BI1640" s="58" t="str">
        <f aca="false">IF(BH1640&lt;&gt;"",VLOOKUP(BH1640,Selects!$G:$H,2,0),"")</f>
        <v/>
      </c>
      <c r="CB1640" s="72" t="str">
        <f aca="false">IF(AC1640&lt;&gt;"",VLOOKUP(AC1640,Selects!$B:$E,4,0),"")</f>
        <v/>
      </c>
    </row>
    <row r="1641" customFormat="false" ht="15" hidden="true" customHeight="false" outlineLevel="0" collapsed="false">
      <c r="E1641" s="60" t="str">
        <f aca="false">IF(LEN(D1641)=11,"PF",IF(LEN(D1641)=14,"PJ",""))</f>
        <v/>
      </c>
      <c r="I1641" s="62"/>
      <c r="J1641" s="63" t="str">
        <f aca="false">IF(I1641&lt;&gt;"",VLOOKUP(I1641,'Legal Nature'!$E$2:$G$84,3,0),"")</f>
        <v/>
      </c>
      <c r="U1641" s="58" t="str">
        <f aca="false">IF( T1641&lt;&gt;"",VLOOKUP(T1641,Selects!$M$4:$N$1000,2,0),"")</f>
        <v/>
      </c>
      <c r="AD1641" s="72" t="str">
        <f aca="false">IF(AC1641&lt;&gt;"",VLOOKUP(AC1641,Selects!$B$4:$C$100,2,0),"")</f>
        <v/>
      </c>
      <c r="AH1641" s="65"/>
      <c r="AJ1641" s="66"/>
      <c r="AK1641" s="58"/>
      <c r="AM1641" s="68" t="str">
        <f aca="false">IF(LEFT(AL1641,1)="9","Celular",IF(AL1641="","","Fixo"))</f>
        <v/>
      </c>
      <c r="AN1641" s="58" t="str">
        <f aca="false">IF( AM1641&lt;&gt;"",VLOOKUP(AM1641,Selects!$M$4:$N$1000,2,0),"")</f>
        <v/>
      </c>
      <c r="BB1641" s="72" t="str">
        <f aca="false">IF(BA1641&lt;&gt;"",VLOOKUP(BA1641,Selects!$B$4:$C$100,2,0),"")</f>
        <v/>
      </c>
      <c r="BG1641" s="75" t="str">
        <f aca="false">IF(LEN(BF1641)=11,"PF",IF(LEN(BF1641)=14,"PJ",""))</f>
        <v/>
      </c>
      <c r="BH1641" s="66"/>
      <c r="BI1641" s="58" t="str">
        <f aca="false">IF(BH1641&lt;&gt;"",VLOOKUP(BH1641,Selects!$G:$H,2,0),"")</f>
        <v/>
      </c>
      <c r="CB1641" s="72" t="str">
        <f aca="false">IF(AC1641&lt;&gt;"",VLOOKUP(AC1641,Selects!$B:$E,4,0),"")</f>
        <v/>
      </c>
    </row>
    <row r="1642" customFormat="false" ht="15" hidden="true" customHeight="false" outlineLevel="0" collapsed="false">
      <c r="E1642" s="60" t="str">
        <f aca="false">IF(LEN(D1642)=11,"PF",IF(LEN(D1642)=14,"PJ",""))</f>
        <v/>
      </c>
      <c r="I1642" s="62"/>
      <c r="J1642" s="63" t="str">
        <f aca="false">IF(I1642&lt;&gt;"",VLOOKUP(I1642,'Legal Nature'!$E$2:$G$84,3,0),"")</f>
        <v/>
      </c>
      <c r="U1642" s="58" t="str">
        <f aca="false">IF( T1642&lt;&gt;"",VLOOKUP(T1642,Selects!$M$4:$N$1000,2,0),"")</f>
        <v/>
      </c>
      <c r="AD1642" s="72" t="str">
        <f aca="false">IF(AC1642&lt;&gt;"",VLOOKUP(AC1642,Selects!$B$4:$C$100,2,0),"")</f>
        <v/>
      </c>
      <c r="AH1642" s="65"/>
      <c r="AJ1642" s="66"/>
      <c r="AK1642" s="58"/>
      <c r="AM1642" s="68" t="str">
        <f aca="false">IF(LEFT(AL1642,1)="9","Celular",IF(AL1642="","","Fixo"))</f>
        <v/>
      </c>
      <c r="AN1642" s="58" t="str">
        <f aca="false">IF( AM1642&lt;&gt;"",VLOOKUP(AM1642,Selects!$M$4:$N$1000,2,0),"")</f>
        <v/>
      </c>
      <c r="BB1642" s="72" t="str">
        <f aca="false">IF(BA1642&lt;&gt;"",VLOOKUP(BA1642,Selects!$B$4:$C$100,2,0),"")</f>
        <v/>
      </c>
      <c r="BG1642" s="75" t="str">
        <f aca="false">IF(LEN(BF1642)=11,"PF",IF(LEN(BF1642)=14,"PJ",""))</f>
        <v/>
      </c>
      <c r="BH1642" s="66"/>
      <c r="BI1642" s="58" t="str">
        <f aca="false">IF(BH1642&lt;&gt;"",VLOOKUP(BH1642,Selects!$G:$H,2,0),"")</f>
        <v/>
      </c>
      <c r="CB1642" s="72" t="str">
        <f aca="false">IF(AC1642&lt;&gt;"",VLOOKUP(AC1642,Selects!$B:$E,4,0),"")</f>
        <v/>
      </c>
    </row>
    <row r="1643" customFormat="false" ht="15" hidden="true" customHeight="false" outlineLevel="0" collapsed="false">
      <c r="E1643" s="60" t="str">
        <f aca="false">IF(LEN(D1643)=11,"PF",IF(LEN(D1643)=14,"PJ",""))</f>
        <v/>
      </c>
      <c r="I1643" s="62"/>
      <c r="J1643" s="63" t="str">
        <f aca="false">IF(I1643&lt;&gt;"",VLOOKUP(I1643,'Legal Nature'!$E$2:$G$84,3,0),"")</f>
        <v/>
      </c>
      <c r="U1643" s="58" t="str">
        <f aca="false">IF( T1643&lt;&gt;"",VLOOKUP(T1643,Selects!$M$4:$N$1000,2,0),"")</f>
        <v/>
      </c>
      <c r="AD1643" s="72" t="str">
        <f aca="false">IF(AC1643&lt;&gt;"",VLOOKUP(AC1643,Selects!$B$4:$C$100,2,0),"")</f>
        <v/>
      </c>
      <c r="AH1643" s="65"/>
      <c r="AJ1643" s="66"/>
      <c r="AK1643" s="58"/>
      <c r="AM1643" s="68" t="str">
        <f aca="false">IF(LEFT(AL1643,1)="9","Celular",IF(AL1643="","","Fixo"))</f>
        <v/>
      </c>
      <c r="AN1643" s="58" t="str">
        <f aca="false">IF( AM1643&lt;&gt;"",VLOOKUP(AM1643,Selects!$M$4:$N$1000,2,0),"")</f>
        <v/>
      </c>
      <c r="BB1643" s="72" t="str">
        <f aca="false">IF(BA1643&lt;&gt;"",VLOOKUP(BA1643,Selects!$B$4:$C$100,2,0),"")</f>
        <v/>
      </c>
      <c r="BG1643" s="75" t="str">
        <f aca="false">IF(LEN(BF1643)=11,"PF",IF(LEN(BF1643)=14,"PJ",""))</f>
        <v/>
      </c>
      <c r="BH1643" s="66"/>
      <c r="BI1643" s="58" t="str">
        <f aca="false">IF(BH1643&lt;&gt;"",VLOOKUP(BH1643,Selects!$G:$H,2,0),"")</f>
        <v/>
      </c>
      <c r="CB1643" s="72" t="str">
        <f aca="false">IF(AC1643&lt;&gt;"",VLOOKUP(AC1643,Selects!$B:$E,4,0),"")</f>
        <v/>
      </c>
    </row>
    <row r="1644" customFormat="false" ht="15" hidden="true" customHeight="false" outlineLevel="0" collapsed="false">
      <c r="E1644" s="60" t="str">
        <f aca="false">IF(LEN(D1644)=11,"PF",IF(LEN(D1644)=14,"PJ",""))</f>
        <v/>
      </c>
      <c r="I1644" s="62"/>
      <c r="J1644" s="63" t="str">
        <f aca="false">IF(I1644&lt;&gt;"",VLOOKUP(I1644,'Legal Nature'!$E$2:$G$84,3,0),"")</f>
        <v/>
      </c>
      <c r="U1644" s="58" t="str">
        <f aca="false">IF( T1644&lt;&gt;"",VLOOKUP(T1644,Selects!$M$4:$N$1000,2,0),"")</f>
        <v/>
      </c>
      <c r="AD1644" s="72" t="str">
        <f aca="false">IF(AC1644&lt;&gt;"",VLOOKUP(AC1644,Selects!$B$4:$C$100,2,0),"")</f>
        <v/>
      </c>
      <c r="AH1644" s="65"/>
      <c r="AJ1644" s="66"/>
      <c r="AK1644" s="58"/>
      <c r="AM1644" s="68" t="str">
        <f aca="false">IF(LEFT(AL1644,1)="9","Celular",IF(AL1644="","","Fixo"))</f>
        <v/>
      </c>
      <c r="AN1644" s="58" t="str">
        <f aca="false">IF( AM1644&lt;&gt;"",VLOOKUP(AM1644,Selects!$M$4:$N$1000,2,0),"")</f>
        <v/>
      </c>
      <c r="BB1644" s="72" t="str">
        <f aca="false">IF(BA1644&lt;&gt;"",VLOOKUP(BA1644,Selects!$B$4:$C$100,2,0),"")</f>
        <v/>
      </c>
      <c r="BG1644" s="75" t="str">
        <f aca="false">IF(LEN(BF1644)=11,"PF",IF(LEN(BF1644)=14,"PJ",""))</f>
        <v/>
      </c>
      <c r="BH1644" s="66"/>
      <c r="BI1644" s="58" t="str">
        <f aca="false">IF(BH1644&lt;&gt;"",VLOOKUP(BH1644,Selects!$G:$H,2,0),"")</f>
        <v/>
      </c>
      <c r="CB1644" s="72" t="str">
        <f aca="false">IF(AC1644&lt;&gt;"",VLOOKUP(AC1644,Selects!$B:$E,4,0),"")</f>
        <v/>
      </c>
    </row>
    <row r="1645" customFormat="false" ht="15" hidden="true" customHeight="false" outlineLevel="0" collapsed="false">
      <c r="E1645" s="60" t="str">
        <f aca="false">IF(LEN(D1645)=11,"PF",IF(LEN(D1645)=14,"PJ",""))</f>
        <v/>
      </c>
      <c r="I1645" s="62"/>
      <c r="J1645" s="63" t="str">
        <f aca="false">IF(I1645&lt;&gt;"",VLOOKUP(I1645,'Legal Nature'!$E$2:$G$84,3,0),"")</f>
        <v/>
      </c>
      <c r="U1645" s="58" t="str">
        <f aca="false">IF( T1645&lt;&gt;"",VLOOKUP(T1645,Selects!$M$4:$N$1000,2,0),"")</f>
        <v/>
      </c>
      <c r="AD1645" s="72" t="str">
        <f aca="false">IF(AC1645&lt;&gt;"",VLOOKUP(AC1645,Selects!$B$4:$C$100,2,0),"")</f>
        <v/>
      </c>
      <c r="AH1645" s="65"/>
      <c r="AJ1645" s="66"/>
      <c r="AK1645" s="58"/>
      <c r="AM1645" s="68" t="str">
        <f aca="false">IF(LEFT(AL1645,1)="9","Celular",IF(AL1645="","","Fixo"))</f>
        <v/>
      </c>
      <c r="AN1645" s="58" t="str">
        <f aca="false">IF( AM1645&lt;&gt;"",VLOOKUP(AM1645,Selects!$M$4:$N$1000,2,0),"")</f>
        <v/>
      </c>
      <c r="BB1645" s="72" t="str">
        <f aca="false">IF(BA1645&lt;&gt;"",VLOOKUP(BA1645,Selects!$B$4:$C$100,2,0),"")</f>
        <v/>
      </c>
      <c r="BG1645" s="75" t="str">
        <f aca="false">IF(LEN(BF1645)=11,"PF",IF(LEN(BF1645)=14,"PJ",""))</f>
        <v/>
      </c>
      <c r="BH1645" s="66"/>
      <c r="BI1645" s="58" t="str">
        <f aca="false">IF(BH1645&lt;&gt;"",VLOOKUP(BH1645,Selects!$G:$H,2,0),"")</f>
        <v/>
      </c>
      <c r="CB1645" s="72" t="str">
        <f aca="false">IF(AC1645&lt;&gt;"",VLOOKUP(AC1645,Selects!$B:$E,4,0),"")</f>
        <v/>
      </c>
    </row>
    <row r="1646" customFormat="false" ht="15" hidden="true" customHeight="false" outlineLevel="0" collapsed="false">
      <c r="E1646" s="60" t="str">
        <f aca="false">IF(LEN(D1646)=11,"PF",IF(LEN(D1646)=14,"PJ",""))</f>
        <v/>
      </c>
      <c r="I1646" s="62"/>
      <c r="J1646" s="63" t="str">
        <f aca="false">IF(I1646&lt;&gt;"",VLOOKUP(I1646,'Legal Nature'!$E$2:$G$84,3,0),"")</f>
        <v/>
      </c>
      <c r="U1646" s="58" t="str">
        <f aca="false">IF( T1646&lt;&gt;"",VLOOKUP(T1646,Selects!$M$4:$N$1000,2,0),"")</f>
        <v/>
      </c>
      <c r="AD1646" s="72" t="str">
        <f aca="false">IF(AC1646&lt;&gt;"",VLOOKUP(AC1646,Selects!$B$4:$C$100,2,0),"")</f>
        <v/>
      </c>
      <c r="AH1646" s="65"/>
      <c r="AJ1646" s="66"/>
      <c r="AK1646" s="58"/>
      <c r="AM1646" s="68" t="str">
        <f aca="false">IF(LEFT(AL1646,1)="9","Celular",IF(AL1646="","","Fixo"))</f>
        <v/>
      </c>
      <c r="AN1646" s="58" t="str">
        <f aca="false">IF( AM1646&lt;&gt;"",VLOOKUP(AM1646,Selects!$M$4:$N$1000,2,0),"")</f>
        <v/>
      </c>
      <c r="BB1646" s="72" t="str">
        <f aca="false">IF(BA1646&lt;&gt;"",VLOOKUP(BA1646,Selects!$B$4:$C$100,2,0),"")</f>
        <v/>
      </c>
      <c r="BG1646" s="75" t="str">
        <f aca="false">IF(LEN(BF1646)=11,"PF",IF(LEN(BF1646)=14,"PJ",""))</f>
        <v/>
      </c>
      <c r="BH1646" s="66"/>
      <c r="BI1646" s="58" t="str">
        <f aca="false">IF(BH1646&lt;&gt;"",VLOOKUP(BH1646,Selects!$G:$H,2,0),"")</f>
        <v/>
      </c>
      <c r="CB1646" s="72" t="str">
        <f aca="false">IF(AC1646&lt;&gt;"",VLOOKUP(AC1646,Selects!$B:$E,4,0),"")</f>
        <v/>
      </c>
    </row>
    <row r="1647" customFormat="false" ht="15" hidden="true" customHeight="false" outlineLevel="0" collapsed="false">
      <c r="E1647" s="60" t="str">
        <f aca="false">IF(LEN(D1647)=11,"PF",IF(LEN(D1647)=14,"PJ",""))</f>
        <v/>
      </c>
      <c r="I1647" s="62"/>
      <c r="J1647" s="63" t="str">
        <f aca="false">IF(I1647&lt;&gt;"",VLOOKUP(I1647,'Legal Nature'!$E$2:$G$84,3,0),"")</f>
        <v/>
      </c>
      <c r="U1647" s="58" t="str">
        <f aca="false">IF( T1647&lt;&gt;"",VLOOKUP(T1647,Selects!$M$4:$N$1000,2,0),"")</f>
        <v/>
      </c>
      <c r="AD1647" s="72" t="str">
        <f aca="false">IF(AC1647&lt;&gt;"",VLOOKUP(AC1647,Selects!$B$4:$C$100,2,0),"")</f>
        <v/>
      </c>
      <c r="AH1647" s="65"/>
      <c r="AJ1647" s="66"/>
      <c r="AK1647" s="58"/>
      <c r="AM1647" s="68" t="str">
        <f aca="false">IF(LEFT(AL1647,1)="9","Celular",IF(AL1647="","","Fixo"))</f>
        <v/>
      </c>
      <c r="AN1647" s="58" t="str">
        <f aca="false">IF( AM1647&lt;&gt;"",VLOOKUP(AM1647,Selects!$M$4:$N$1000,2,0),"")</f>
        <v/>
      </c>
      <c r="BB1647" s="72" t="str">
        <f aca="false">IF(BA1647&lt;&gt;"",VLOOKUP(BA1647,Selects!$B$4:$C$100,2,0),"")</f>
        <v/>
      </c>
      <c r="BG1647" s="75" t="str">
        <f aca="false">IF(LEN(BF1647)=11,"PF",IF(LEN(BF1647)=14,"PJ",""))</f>
        <v/>
      </c>
      <c r="BH1647" s="66"/>
      <c r="BI1647" s="58" t="str">
        <f aca="false">IF(BH1647&lt;&gt;"",VLOOKUP(BH1647,Selects!$G:$H,2,0),"")</f>
        <v/>
      </c>
      <c r="CB1647" s="72" t="str">
        <f aca="false">IF(AC1647&lt;&gt;"",VLOOKUP(AC1647,Selects!$B:$E,4,0),"")</f>
        <v/>
      </c>
    </row>
    <row r="1648" customFormat="false" ht="15" hidden="true" customHeight="false" outlineLevel="0" collapsed="false">
      <c r="E1648" s="60" t="str">
        <f aca="false">IF(LEN(D1648)=11,"PF",IF(LEN(D1648)=14,"PJ",""))</f>
        <v/>
      </c>
      <c r="I1648" s="62"/>
      <c r="J1648" s="63" t="str">
        <f aca="false">IF(I1648&lt;&gt;"",VLOOKUP(I1648,'Legal Nature'!$E$2:$G$84,3,0),"")</f>
        <v/>
      </c>
      <c r="U1648" s="58" t="str">
        <f aca="false">IF( T1648&lt;&gt;"",VLOOKUP(T1648,Selects!$M$4:$N$1000,2,0),"")</f>
        <v/>
      </c>
      <c r="AD1648" s="72" t="str">
        <f aca="false">IF(AC1648&lt;&gt;"",VLOOKUP(AC1648,Selects!$B$4:$C$100,2,0),"")</f>
        <v/>
      </c>
      <c r="AH1648" s="65"/>
      <c r="AJ1648" s="66"/>
      <c r="AK1648" s="58"/>
      <c r="AM1648" s="68" t="str">
        <f aca="false">IF(LEFT(AL1648,1)="9","Celular",IF(AL1648="","","Fixo"))</f>
        <v/>
      </c>
      <c r="AN1648" s="58" t="str">
        <f aca="false">IF( AM1648&lt;&gt;"",VLOOKUP(AM1648,Selects!$M$4:$N$1000,2,0),"")</f>
        <v/>
      </c>
      <c r="BB1648" s="72" t="str">
        <f aca="false">IF(BA1648&lt;&gt;"",VLOOKUP(BA1648,Selects!$B$4:$C$100,2,0),"")</f>
        <v/>
      </c>
      <c r="BG1648" s="75" t="str">
        <f aca="false">IF(LEN(BF1648)=11,"PF",IF(LEN(BF1648)=14,"PJ",""))</f>
        <v/>
      </c>
      <c r="BH1648" s="66"/>
      <c r="BI1648" s="58" t="str">
        <f aca="false">IF(BH1648&lt;&gt;"",VLOOKUP(BH1648,Selects!$G:$H,2,0),"")</f>
        <v/>
      </c>
      <c r="CB1648" s="72" t="str">
        <f aca="false">IF(AC1648&lt;&gt;"",VLOOKUP(AC1648,Selects!$B:$E,4,0),"")</f>
        <v/>
      </c>
    </row>
    <row r="1649" customFormat="false" ht="15" hidden="true" customHeight="false" outlineLevel="0" collapsed="false">
      <c r="E1649" s="60" t="str">
        <f aca="false">IF(LEN(D1649)=11,"PF",IF(LEN(D1649)=14,"PJ",""))</f>
        <v/>
      </c>
      <c r="I1649" s="62"/>
      <c r="J1649" s="63" t="str">
        <f aca="false">IF(I1649&lt;&gt;"",VLOOKUP(I1649,'Legal Nature'!$E$2:$G$84,3,0),"")</f>
        <v/>
      </c>
      <c r="U1649" s="58" t="str">
        <f aca="false">IF( T1649&lt;&gt;"",VLOOKUP(T1649,Selects!$M$4:$N$1000,2,0),"")</f>
        <v/>
      </c>
      <c r="AD1649" s="72" t="str">
        <f aca="false">IF(AC1649&lt;&gt;"",VLOOKUP(AC1649,Selects!$B$4:$C$100,2,0),"")</f>
        <v/>
      </c>
      <c r="AH1649" s="65"/>
      <c r="AJ1649" s="66"/>
      <c r="AK1649" s="58"/>
      <c r="AM1649" s="68" t="str">
        <f aca="false">IF(LEFT(AL1649,1)="9","Celular",IF(AL1649="","","Fixo"))</f>
        <v/>
      </c>
      <c r="AN1649" s="58" t="str">
        <f aca="false">IF( AM1649&lt;&gt;"",VLOOKUP(AM1649,Selects!$M$4:$N$1000,2,0),"")</f>
        <v/>
      </c>
      <c r="BB1649" s="72" t="str">
        <f aca="false">IF(BA1649&lt;&gt;"",VLOOKUP(BA1649,Selects!$B$4:$C$100,2,0),"")</f>
        <v/>
      </c>
      <c r="BG1649" s="75" t="str">
        <f aca="false">IF(LEN(BF1649)=11,"PF",IF(LEN(BF1649)=14,"PJ",""))</f>
        <v/>
      </c>
      <c r="BH1649" s="66"/>
      <c r="BI1649" s="58" t="str">
        <f aca="false">IF(BH1649&lt;&gt;"",VLOOKUP(BH1649,Selects!$G:$H,2,0),"")</f>
        <v/>
      </c>
      <c r="CB1649" s="72" t="str">
        <f aca="false">IF(AC1649&lt;&gt;"",VLOOKUP(AC1649,Selects!$B:$E,4,0),"")</f>
        <v/>
      </c>
    </row>
    <row r="1650" customFormat="false" ht="15" hidden="true" customHeight="false" outlineLevel="0" collapsed="false">
      <c r="E1650" s="60" t="str">
        <f aca="false">IF(LEN(D1650)=11,"PF",IF(LEN(D1650)=14,"PJ",""))</f>
        <v/>
      </c>
      <c r="I1650" s="62"/>
      <c r="J1650" s="63" t="str">
        <f aca="false">IF(I1650&lt;&gt;"",VLOOKUP(I1650,'Legal Nature'!$E$2:$G$84,3,0),"")</f>
        <v/>
      </c>
      <c r="U1650" s="58" t="str">
        <f aca="false">IF( T1650&lt;&gt;"",VLOOKUP(T1650,Selects!$M$4:$N$1000,2,0),"")</f>
        <v/>
      </c>
      <c r="AD1650" s="72" t="str">
        <f aca="false">IF(AC1650&lt;&gt;"",VLOOKUP(AC1650,Selects!$B$4:$C$100,2,0),"")</f>
        <v/>
      </c>
      <c r="AH1650" s="65"/>
      <c r="AJ1650" s="66"/>
      <c r="AK1650" s="58"/>
      <c r="AM1650" s="68" t="str">
        <f aca="false">IF(LEFT(AL1650,1)="9","Celular",IF(AL1650="","","Fixo"))</f>
        <v/>
      </c>
      <c r="AN1650" s="58" t="str">
        <f aca="false">IF( AM1650&lt;&gt;"",VLOOKUP(AM1650,Selects!$M$4:$N$1000,2,0),"")</f>
        <v/>
      </c>
      <c r="BB1650" s="72" t="str">
        <f aca="false">IF(BA1650&lt;&gt;"",VLOOKUP(BA1650,Selects!$B$4:$C$100,2,0),"")</f>
        <v/>
      </c>
      <c r="BG1650" s="75" t="str">
        <f aca="false">IF(LEN(BF1650)=11,"PF",IF(LEN(BF1650)=14,"PJ",""))</f>
        <v/>
      </c>
      <c r="BH1650" s="66"/>
      <c r="BI1650" s="58" t="str">
        <f aca="false">IF(BH1650&lt;&gt;"",VLOOKUP(BH1650,Selects!$G:$H,2,0),"")</f>
        <v/>
      </c>
      <c r="CB1650" s="72" t="str">
        <f aca="false">IF(AC1650&lt;&gt;"",VLOOKUP(AC1650,Selects!$B:$E,4,0),"")</f>
        <v/>
      </c>
    </row>
    <row r="1651" customFormat="false" ht="15" hidden="true" customHeight="false" outlineLevel="0" collapsed="false">
      <c r="E1651" s="60" t="str">
        <f aca="false">IF(LEN(D1651)=11,"PF",IF(LEN(D1651)=14,"PJ",""))</f>
        <v/>
      </c>
      <c r="I1651" s="62"/>
      <c r="J1651" s="63" t="str">
        <f aca="false">IF(I1651&lt;&gt;"",VLOOKUP(I1651,'Legal Nature'!$E$2:$G$84,3,0),"")</f>
        <v/>
      </c>
      <c r="U1651" s="58" t="str">
        <f aca="false">IF( T1651&lt;&gt;"",VLOOKUP(T1651,Selects!$M$4:$N$1000,2,0),"")</f>
        <v/>
      </c>
      <c r="AD1651" s="72" t="str">
        <f aca="false">IF(AC1651&lt;&gt;"",VLOOKUP(AC1651,Selects!$B$4:$C$100,2,0),"")</f>
        <v/>
      </c>
      <c r="AH1651" s="65"/>
      <c r="AJ1651" s="66"/>
      <c r="AK1651" s="58"/>
      <c r="AM1651" s="68" t="str">
        <f aca="false">IF(LEFT(AL1651,1)="9","Celular",IF(AL1651="","","Fixo"))</f>
        <v/>
      </c>
      <c r="AN1651" s="58" t="str">
        <f aca="false">IF( AM1651&lt;&gt;"",VLOOKUP(AM1651,Selects!$M$4:$N$1000,2,0),"")</f>
        <v/>
      </c>
      <c r="BB1651" s="72" t="str">
        <f aca="false">IF(BA1651&lt;&gt;"",VLOOKUP(BA1651,Selects!$B$4:$C$100,2,0),"")</f>
        <v/>
      </c>
      <c r="BG1651" s="75" t="str">
        <f aca="false">IF(LEN(BF1651)=11,"PF",IF(LEN(BF1651)=14,"PJ",""))</f>
        <v/>
      </c>
      <c r="BH1651" s="66"/>
      <c r="BI1651" s="58" t="str">
        <f aca="false">IF(BH1651&lt;&gt;"",VLOOKUP(BH1651,Selects!$G:$H,2,0),"")</f>
        <v/>
      </c>
      <c r="CB1651" s="72" t="str">
        <f aca="false">IF(AC1651&lt;&gt;"",VLOOKUP(AC1651,Selects!$B:$E,4,0),"")</f>
        <v/>
      </c>
    </row>
    <row r="1652" customFormat="false" ht="15" hidden="true" customHeight="false" outlineLevel="0" collapsed="false">
      <c r="E1652" s="60" t="str">
        <f aca="false">IF(LEN(D1652)=11,"PF",IF(LEN(D1652)=14,"PJ",""))</f>
        <v/>
      </c>
      <c r="I1652" s="62"/>
      <c r="J1652" s="63" t="str">
        <f aca="false">IF(I1652&lt;&gt;"",VLOOKUP(I1652,'Legal Nature'!$E$2:$G$84,3,0),"")</f>
        <v/>
      </c>
      <c r="U1652" s="58" t="str">
        <f aca="false">IF( T1652&lt;&gt;"",VLOOKUP(T1652,Selects!$M$4:$N$1000,2,0),"")</f>
        <v/>
      </c>
      <c r="AD1652" s="72" t="str">
        <f aca="false">IF(AC1652&lt;&gt;"",VLOOKUP(AC1652,Selects!$B$4:$C$100,2,0),"")</f>
        <v/>
      </c>
      <c r="AH1652" s="65"/>
      <c r="AJ1652" s="66"/>
      <c r="AK1652" s="58"/>
      <c r="AM1652" s="68" t="str">
        <f aca="false">IF(LEFT(AL1652,1)="9","Celular",IF(AL1652="","","Fixo"))</f>
        <v/>
      </c>
      <c r="AN1652" s="58" t="str">
        <f aca="false">IF( AM1652&lt;&gt;"",VLOOKUP(AM1652,Selects!$M$4:$N$1000,2,0),"")</f>
        <v/>
      </c>
      <c r="BB1652" s="72" t="str">
        <f aca="false">IF(BA1652&lt;&gt;"",VLOOKUP(BA1652,Selects!$B$4:$C$100,2,0),"")</f>
        <v/>
      </c>
      <c r="BG1652" s="75" t="str">
        <f aca="false">IF(LEN(BF1652)=11,"PF",IF(LEN(BF1652)=14,"PJ",""))</f>
        <v/>
      </c>
      <c r="BH1652" s="66"/>
      <c r="BI1652" s="58" t="str">
        <f aca="false">IF(BH1652&lt;&gt;"",VLOOKUP(BH1652,Selects!$G:$H,2,0),"")</f>
        <v/>
      </c>
      <c r="CB1652" s="72" t="str">
        <f aca="false">IF(AC1652&lt;&gt;"",VLOOKUP(AC1652,Selects!$B:$E,4,0),"")</f>
        <v/>
      </c>
    </row>
    <row r="1653" customFormat="false" ht="15" hidden="true" customHeight="false" outlineLevel="0" collapsed="false">
      <c r="E1653" s="60" t="str">
        <f aca="false">IF(LEN(D1653)=11,"PF",IF(LEN(D1653)=14,"PJ",""))</f>
        <v/>
      </c>
      <c r="I1653" s="62"/>
      <c r="J1653" s="63" t="str">
        <f aca="false">IF(I1653&lt;&gt;"",VLOOKUP(I1653,'Legal Nature'!$E$2:$G$84,3,0),"")</f>
        <v/>
      </c>
      <c r="U1653" s="58" t="str">
        <f aca="false">IF( T1653&lt;&gt;"",VLOOKUP(T1653,Selects!$M$4:$N$1000,2,0),"")</f>
        <v/>
      </c>
      <c r="AD1653" s="72" t="str">
        <f aca="false">IF(AC1653&lt;&gt;"",VLOOKUP(AC1653,Selects!$B$4:$C$100,2,0),"")</f>
        <v/>
      </c>
      <c r="AH1653" s="65"/>
      <c r="AJ1653" s="66"/>
      <c r="AK1653" s="58"/>
      <c r="AM1653" s="68" t="str">
        <f aca="false">IF(LEFT(AL1653,1)="9","Celular",IF(AL1653="","","Fixo"))</f>
        <v/>
      </c>
      <c r="AN1653" s="58" t="str">
        <f aca="false">IF( AM1653&lt;&gt;"",VLOOKUP(AM1653,Selects!$M$4:$N$1000,2,0),"")</f>
        <v/>
      </c>
      <c r="BB1653" s="72" t="str">
        <f aca="false">IF(BA1653&lt;&gt;"",VLOOKUP(BA1653,Selects!$B$4:$C$100,2,0),"")</f>
        <v/>
      </c>
      <c r="BG1653" s="75" t="str">
        <f aca="false">IF(LEN(BF1653)=11,"PF",IF(LEN(BF1653)=14,"PJ",""))</f>
        <v/>
      </c>
      <c r="BH1653" s="66"/>
      <c r="BI1653" s="58" t="str">
        <f aca="false">IF(BH1653&lt;&gt;"",VLOOKUP(BH1653,Selects!$G:$H,2,0),"")</f>
        <v/>
      </c>
      <c r="CB1653" s="72" t="str">
        <f aca="false">IF(AC1653&lt;&gt;"",VLOOKUP(AC1653,Selects!$B:$E,4,0),"")</f>
        <v/>
      </c>
    </row>
    <row r="1654" customFormat="false" ht="15" hidden="true" customHeight="false" outlineLevel="0" collapsed="false">
      <c r="E1654" s="60" t="str">
        <f aca="false">IF(LEN(D1654)=11,"PF",IF(LEN(D1654)=14,"PJ",""))</f>
        <v/>
      </c>
      <c r="I1654" s="62"/>
      <c r="J1654" s="63" t="str">
        <f aca="false">IF(I1654&lt;&gt;"",VLOOKUP(I1654,'Legal Nature'!$E$2:$G$84,3,0),"")</f>
        <v/>
      </c>
      <c r="U1654" s="58" t="str">
        <f aca="false">IF( T1654&lt;&gt;"",VLOOKUP(T1654,Selects!$M$4:$N$1000,2,0),"")</f>
        <v/>
      </c>
      <c r="AD1654" s="72" t="str">
        <f aca="false">IF(AC1654&lt;&gt;"",VLOOKUP(AC1654,Selects!$B$4:$C$100,2,0),"")</f>
        <v/>
      </c>
      <c r="AH1654" s="65"/>
      <c r="AJ1654" s="66"/>
      <c r="AK1654" s="58"/>
      <c r="AM1654" s="68" t="str">
        <f aca="false">IF(LEFT(AL1654,1)="9","Celular",IF(AL1654="","","Fixo"))</f>
        <v/>
      </c>
      <c r="AN1654" s="58" t="str">
        <f aca="false">IF( AM1654&lt;&gt;"",VLOOKUP(AM1654,Selects!$M$4:$N$1000,2,0),"")</f>
        <v/>
      </c>
      <c r="BB1654" s="72" t="str">
        <f aca="false">IF(BA1654&lt;&gt;"",VLOOKUP(BA1654,Selects!$B$4:$C$100,2,0),"")</f>
        <v/>
      </c>
      <c r="BG1654" s="75" t="str">
        <f aca="false">IF(LEN(BF1654)=11,"PF",IF(LEN(BF1654)=14,"PJ",""))</f>
        <v/>
      </c>
      <c r="BH1654" s="66"/>
      <c r="BI1654" s="58" t="str">
        <f aca="false">IF(BH1654&lt;&gt;"",VLOOKUP(BH1654,Selects!$G:$H,2,0),"")</f>
        <v/>
      </c>
      <c r="CB1654" s="72" t="str">
        <f aca="false">IF(AC1654&lt;&gt;"",VLOOKUP(AC1654,Selects!$B:$E,4,0),"")</f>
        <v/>
      </c>
    </row>
    <row r="1655" customFormat="false" ht="15" hidden="true" customHeight="false" outlineLevel="0" collapsed="false">
      <c r="E1655" s="60" t="str">
        <f aca="false">IF(LEN(D1655)=11,"PF",IF(LEN(D1655)=14,"PJ",""))</f>
        <v/>
      </c>
      <c r="I1655" s="62"/>
      <c r="J1655" s="63" t="str">
        <f aca="false">IF(I1655&lt;&gt;"",VLOOKUP(I1655,'Legal Nature'!$E$2:$G$84,3,0),"")</f>
        <v/>
      </c>
      <c r="U1655" s="58" t="str">
        <f aca="false">IF( T1655&lt;&gt;"",VLOOKUP(T1655,Selects!$M$4:$N$1000,2,0),"")</f>
        <v/>
      </c>
      <c r="AD1655" s="72" t="str">
        <f aca="false">IF(AC1655&lt;&gt;"",VLOOKUP(AC1655,Selects!$B$4:$C$100,2,0),"")</f>
        <v/>
      </c>
      <c r="AH1655" s="65"/>
      <c r="AJ1655" s="66"/>
      <c r="AK1655" s="58"/>
      <c r="AM1655" s="68" t="str">
        <f aca="false">IF(LEFT(AL1655,1)="9","Celular",IF(AL1655="","","Fixo"))</f>
        <v/>
      </c>
      <c r="AN1655" s="58" t="str">
        <f aca="false">IF( AM1655&lt;&gt;"",VLOOKUP(AM1655,Selects!$M$4:$N$1000,2,0),"")</f>
        <v/>
      </c>
      <c r="BB1655" s="72" t="str">
        <f aca="false">IF(BA1655&lt;&gt;"",VLOOKUP(BA1655,Selects!$B$4:$C$100,2,0),"")</f>
        <v/>
      </c>
      <c r="BG1655" s="75" t="str">
        <f aca="false">IF(LEN(BF1655)=11,"PF",IF(LEN(BF1655)=14,"PJ",""))</f>
        <v/>
      </c>
      <c r="BH1655" s="66"/>
      <c r="BI1655" s="58" t="str">
        <f aca="false">IF(BH1655&lt;&gt;"",VLOOKUP(BH1655,Selects!$G:$H,2,0),"")</f>
        <v/>
      </c>
      <c r="CB1655" s="72" t="str">
        <f aca="false">IF(AC1655&lt;&gt;"",VLOOKUP(AC1655,Selects!$B:$E,4,0),"")</f>
        <v/>
      </c>
    </row>
    <row r="1656" customFormat="false" ht="15" hidden="true" customHeight="false" outlineLevel="0" collapsed="false">
      <c r="E1656" s="60" t="str">
        <f aca="false">IF(LEN(D1656)=11,"PF",IF(LEN(D1656)=14,"PJ",""))</f>
        <v/>
      </c>
      <c r="I1656" s="62"/>
      <c r="J1656" s="63" t="str">
        <f aca="false">IF(I1656&lt;&gt;"",VLOOKUP(I1656,'Legal Nature'!$E$2:$G$84,3,0),"")</f>
        <v/>
      </c>
      <c r="U1656" s="58" t="str">
        <f aca="false">IF( T1656&lt;&gt;"",VLOOKUP(T1656,Selects!$M$4:$N$1000,2,0),"")</f>
        <v/>
      </c>
      <c r="AD1656" s="72" t="str">
        <f aca="false">IF(AC1656&lt;&gt;"",VLOOKUP(AC1656,Selects!$B$4:$C$100,2,0),"")</f>
        <v/>
      </c>
      <c r="AH1656" s="65"/>
      <c r="AJ1656" s="66"/>
      <c r="AK1656" s="58"/>
      <c r="AM1656" s="68" t="str">
        <f aca="false">IF(LEFT(AL1656,1)="9","Celular",IF(AL1656="","","Fixo"))</f>
        <v/>
      </c>
      <c r="AN1656" s="58" t="str">
        <f aca="false">IF( AM1656&lt;&gt;"",VLOOKUP(AM1656,Selects!$M$4:$N$1000,2,0),"")</f>
        <v/>
      </c>
      <c r="BB1656" s="72" t="str">
        <f aca="false">IF(BA1656&lt;&gt;"",VLOOKUP(BA1656,Selects!$B$4:$C$100,2,0),"")</f>
        <v/>
      </c>
      <c r="BG1656" s="75" t="str">
        <f aca="false">IF(LEN(BF1656)=11,"PF",IF(LEN(BF1656)=14,"PJ",""))</f>
        <v/>
      </c>
      <c r="BH1656" s="66"/>
      <c r="BI1656" s="58" t="str">
        <f aca="false">IF(BH1656&lt;&gt;"",VLOOKUP(BH1656,Selects!$G:$H,2,0),"")</f>
        <v/>
      </c>
      <c r="CB1656" s="72" t="str">
        <f aca="false">IF(AC1656&lt;&gt;"",VLOOKUP(AC1656,Selects!$B:$E,4,0),"")</f>
        <v/>
      </c>
    </row>
    <row r="1657" customFormat="false" ht="15" hidden="true" customHeight="false" outlineLevel="0" collapsed="false">
      <c r="E1657" s="60" t="str">
        <f aca="false">IF(LEN(D1657)=11,"PF",IF(LEN(D1657)=14,"PJ",""))</f>
        <v/>
      </c>
      <c r="I1657" s="62"/>
      <c r="J1657" s="63" t="str">
        <f aca="false">IF(I1657&lt;&gt;"",VLOOKUP(I1657,'Legal Nature'!$E$2:$G$84,3,0),"")</f>
        <v/>
      </c>
      <c r="U1657" s="58" t="str">
        <f aca="false">IF( T1657&lt;&gt;"",VLOOKUP(T1657,Selects!$M$4:$N$1000,2,0),"")</f>
        <v/>
      </c>
      <c r="AD1657" s="72" t="str">
        <f aca="false">IF(AC1657&lt;&gt;"",VLOOKUP(AC1657,Selects!$B$4:$C$100,2,0),"")</f>
        <v/>
      </c>
      <c r="AH1657" s="65"/>
      <c r="AJ1657" s="66"/>
      <c r="AK1657" s="58"/>
      <c r="AM1657" s="68" t="str">
        <f aca="false">IF(LEFT(AL1657,1)="9","Celular",IF(AL1657="","","Fixo"))</f>
        <v/>
      </c>
      <c r="AN1657" s="58" t="str">
        <f aca="false">IF( AM1657&lt;&gt;"",VLOOKUP(AM1657,Selects!$M$4:$N$1000,2,0),"")</f>
        <v/>
      </c>
      <c r="BB1657" s="72" t="str">
        <f aca="false">IF(BA1657&lt;&gt;"",VLOOKUP(BA1657,Selects!$B$4:$C$100,2,0),"")</f>
        <v/>
      </c>
      <c r="BG1657" s="75" t="str">
        <f aca="false">IF(LEN(BF1657)=11,"PF",IF(LEN(BF1657)=14,"PJ",""))</f>
        <v/>
      </c>
      <c r="BH1657" s="66"/>
      <c r="BI1657" s="58" t="str">
        <f aca="false">IF(BH1657&lt;&gt;"",VLOOKUP(BH1657,Selects!$G:$H,2,0),"")</f>
        <v/>
      </c>
      <c r="CB1657" s="72" t="str">
        <f aca="false">IF(AC1657&lt;&gt;"",VLOOKUP(AC1657,Selects!$B:$E,4,0),"")</f>
        <v/>
      </c>
    </row>
    <row r="1658" customFormat="false" ht="15" hidden="true" customHeight="false" outlineLevel="0" collapsed="false">
      <c r="E1658" s="60" t="str">
        <f aca="false">IF(LEN(D1658)=11,"PF",IF(LEN(D1658)=14,"PJ",""))</f>
        <v/>
      </c>
      <c r="I1658" s="62"/>
      <c r="J1658" s="63" t="str">
        <f aca="false">IF(I1658&lt;&gt;"",VLOOKUP(I1658,'Legal Nature'!$E$2:$G$84,3,0),"")</f>
        <v/>
      </c>
      <c r="U1658" s="58" t="str">
        <f aca="false">IF( T1658&lt;&gt;"",VLOOKUP(T1658,Selects!$M$4:$N$1000,2,0),"")</f>
        <v/>
      </c>
      <c r="AD1658" s="72" t="str">
        <f aca="false">IF(AC1658&lt;&gt;"",VLOOKUP(AC1658,Selects!$B$4:$C$100,2,0),"")</f>
        <v/>
      </c>
      <c r="AH1658" s="65"/>
      <c r="AJ1658" s="66"/>
      <c r="AK1658" s="58"/>
      <c r="AM1658" s="68" t="str">
        <f aca="false">IF(LEFT(AL1658,1)="9","Celular",IF(AL1658="","","Fixo"))</f>
        <v/>
      </c>
      <c r="AN1658" s="58" t="str">
        <f aca="false">IF( AM1658&lt;&gt;"",VLOOKUP(AM1658,Selects!$M$4:$N$1000,2,0),"")</f>
        <v/>
      </c>
      <c r="BB1658" s="72" t="str">
        <f aca="false">IF(BA1658&lt;&gt;"",VLOOKUP(BA1658,Selects!$B$4:$C$100,2,0),"")</f>
        <v/>
      </c>
      <c r="BG1658" s="75" t="str">
        <f aca="false">IF(LEN(BF1658)=11,"PF",IF(LEN(BF1658)=14,"PJ",""))</f>
        <v/>
      </c>
      <c r="BH1658" s="66"/>
      <c r="BI1658" s="58" t="str">
        <f aca="false">IF(BH1658&lt;&gt;"",VLOOKUP(BH1658,Selects!$G:$H,2,0),"")</f>
        <v/>
      </c>
      <c r="CB1658" s="72" t="str">
        <f aca="false">IF(AC1658&lt;&gt;"",VLOOKUP(AC1658,Selects!$B:$E,4,0),"")</f>
        <v/>
      </c>
    </row>
    <row r="1659" customFormat="false" ht="15" hidden="true" customHeight="false" outlineLevel="0" collapsed="false">
      <c r="E1659" s="60" t="str">
        <f aca="false">IF(LEN(D1659)=11,"PF",IF(LEN(D1659)=14,"PJ",""))</f>
        <v/>
      </c>
      <c r="I1659" s="62"/>
      <c r="J1659" s="63" t="str">
        <f aca="false">IF(I1659&lt;&gt;"",VLOOKUP(I1659,'Legal Nature'!$E$2:$G$84,3,0),"")</f>
        <v/>
      </c>
      <c r="U1659" s="58" t="str">
        <f aca="false">IF( T1659&lt;&gt;"",VLOOKUP(T1659,Selects!$M$4:$N$1000,2,0),"")</f>
        <v/>
      </c>
      <c r="AD1659" s="72" t="str">
        <f aca="false">IF(AC1659&lt;&gt;"",VLOOKUP(AC1659,Selects!$B$4:$C$100,2,0),"")</f>
        <v/>
      </c>
      <c r="AH1659" s="65"/>
      <c r="AJ1659" s="66"/>
      <c r="AK1659" s="58"/>
      <c r="AM1659" s="68" t="str">
        <f aca="false">IF(LEFT(AL1659,1)="9","Celular",IF(AL1659="","","Fixo"))</f>
        <v/>
      </c>
      <c r="AN1659" s="58" t="str">
        <f aca="false">IF( AM1659&lt;&gt;"",VLOOKUP(AM1659,Selects!$M$4:$N$1000,2,0),"")</f>
        <v/>
      </c>
      <c r="BB1659" s="72" t="str">
        <f aca="false">IF(BA1659&lt;&gt;"",VLOOKUP(BA1659,Selects!$B$4:$C$100,2,0),"")</f>
        <v/>
      </c>
      <c r="BG1659" s="75" t="str">
        <f aca="false">IF(LEN(BF1659)=11,"PF",IF(LEN(BF1659)=14,"PJ",""))</f>
        <v/>
      </c>
      <c r="BH1659" s="66"/>
      <c r="BI1659" s="58" t="str">
        <f aca="false">IF(BH1659&lt;&gt;"",VLOOKUP(BH1659,Selects!$G:$H,2,0),"")</f>
        <v/>
      </c>
      <c r="CB1659" s="72" t="str">
        <f aca="false">IF(AC1659&lt;&gt;"",VLOOKUP(AC1659,Selects!$B:$E,4,0),"")</f>
        <v/>
      </c>
    </row>
    <row r="1660" customFormat="false" ht="15" hidden="true" customHeight="false" outlineLevel="0" collapsed="false">
      <c r="E1660" s="60" t="str">
        <f aca="false">IF(LEN(D1660)=11,"PF",IF(LEN(D1660)=14,"PJ",""))</f>
        <v/>
      </c>
      <c r="I1660" s="62"/>
      <c r="J1660" s="63" t="str">
        <f aca="false">IF(I1660&lt;&gt;"",VLOOKUP(I1660,'Legal Nature'!$E$2:$G$84,3,0),"")</f>
        <v/>
      </c>
      <c r="U1660" s="58" t="str">
        <f aca="false">IF( T1660&lt;&gt;"",VLOOKUP(T1660,Selects!$M$4:$N$1000,2,0),"")</f>
        <v/>
      </c>
      <c r="AD1660" s="72" t="str">
        <f aca="false">IF(AC1660&lt;&gt;"",VLOOKUP(AC1660,Selects!$B$4:$C$100,2,0),"")</f>
        <v/>
      </c>
      <c r="AH1660" s="65"/>
      <c r="AJ1660" s="66"/>
      <c r="AK1660" s="58"/>
      <c r="AM1660" s="68" t="str">
        <f aca="false">IF(LEFT(AL1660,1)="9","Celular",IF(AL1660="","","Fixo"))</f>
        <v/>
      </c>
      <c r="AN1660" s="58" t="str">
        <f aca="false">IF( AM1660&lt;&gt;"",VLOOKUP(AM1660,Selects!$M$4:$N$1000,2,0),"")</f>
        <v/>
      </c>
      <c r="BB1660" s="72" t="str">
        <f aca="false">IF(BA1660&lt;&gt;"",VLOOKUP(BA1660,Selects!$B$4:$C$100,2,0),"")</f>
        <v/>
      </c>
      <c r="BG1660" s="75" t="str">
        <f aca="false">IF(LEN(BF1660)=11,"PF",IF(LEN(BF1660)=14,"PJ",""))</f>
        <v/>
      </c>
      <c r="BH1660" s="66"/>
      <c r="BI1660" s="58" t="str">
        <f aca="false">IF(BH1660&lt;&gt;"",VLOOKUP(BH1660,Selects!$G:$H,2,0),"")</f>
        <v/>
      </c>
      <c r="CB1660" s="72" t="str">
        <f aca="false">IF(AC1660&lt;&gt;"",VLOOKUP(AC1660,Selects!$B:$E,4,0),"")</f>
        <v/>
      </c>
    </row>
    <row r="1661" customFormat="false" ht="15" hidden="true" customHeight="false" outlineLevel="0" collapsed="false">
      <c r="E1661" s="60" t="str">
        <f aca="false">IF(LEN(D1661)=11,"PF",IF(LEN(D1661)=14,"PJ",""))</f>
        <v/>
      </c>
      <c r="I1661" s="62"/>
      <c r="J1661" s="63" t="str">
        <f aca="false">IF(I1661&lt;&gt;"",VLOOKUP(I1661,'Legal Nature'!$E$2:$G$84,3,0),"")</f>
        <v/>
      </c>
      <c r="U1661" s="58" t="str">
        <f aca="false">IF( T1661&lt;&gt;"",VLOOKUP(T1661,Selects!$M$4:$N$1000,2,0),"")</f>
        <v/>
      </c>
      <c r="AD1661" s="72" t="str">
        <f aca="false">IF(AC1661&lt;&gt;"",VLOOKUP(AC1661,Selects!$B$4:$C$100,2,0),"")</f>
        <v/>
      </c>
      <c r="AH1661" s="65"/>
      <c r="AJ1661" s="66"/>
      <c r="AK1661" s="58"/>
      <c r="AM1661" s="68" t="str">
        <f aca="false">IF(LEFT(AL1661,1)="9","Celular",IF(AL1661="","","Fixo"))</f>
        <v/>
      </c>
      <c r="AN1661" s="58" t="str">
        <f aca="false">IF( AM1661&lt;&gt;"",VLOOKUP(AM1661,Selects!$M$4:$N$1000,2,0),"")</f>
        <v/>
      </c>
      <c r="BB1661" s="72" t="str">
        <f aca="false">IF(BA1661&lt;&gt;"",VLOOKUP(BA1661,Selects!$B$4:$C$100,2,0),"")</f>
        <v/>
      </c>
      <c r="BG1661" s="75" t="str">
        <f aca="false">IF(LEN(BF1661)=11,"PF",IF(LEN(BF1661)=14,"PJ",""))</f>
        <v/>
      </c>
      <c r="BH1661" s="66"/>
      <c r="BI1661" s="58" t="str">
        <f aca="false">IF(BH1661&lt;&gt;"",VLOOKUP(BH1661,Selects!$G:$H,2,0),"")</f>
        <v/>
      </c>
      <c r="CB1661" s="72" t="str">
        <f aca="false">IF(AC1661&lt;&gt;"",VLOOKUP(AC1661,Selects!$B:$E,4,0),"")</f>
        <v/>
      </c>
    </row>
    <row r="1662" customFormat="false" ht="15" hidden="true" customHeight="false" outlineLevel="0" collapsed="false">
      <c r="E1662" s="60" t="str">
        <f aca="false">IF(LEN(D1662)=11,"PF",IF(LEN(D1662)=14,"PJ",""))</f>
        <v/>
      </c>
      <c r="I1662" s="62"/>
      <c r="J1662" s="63" t="str">
        <f aca="false">IF(I1662&lt;&gt;"",VLOOKUP(I1662,'Legal Nature'!$E$2:$G$84,3,0),"")</f>
        <v/>
      </c>
      <c r="U1662" s="58" t="str">
        <f aca="false">IF( T1662&lt;&gt;"",VLOOKUP(T1662,Selects!$M$4:$N$1000,2,0),"")</f>
        <v/>
      </c>
      <c r="AD1662" s="72" t="str">
        <f aca="false">IF(AC1662&lt;&gt;"",VLOOKUP(AC1662,Selects!$B$4:$C$100,2,0),"")</f>
        <v/>
      </c>
      <c r="AH1662" s="65"/>
      <c r="AJ1662" s="66"/>
      <c r="AK1662" s="58"/>
      <c r="AM1662" s="68" t="str">
        <f aca="false">IF(LEFT(AL1662,1)="9","Celular",IF(AL1662="","","Fixo"))</f>
        <v/>
      </c>
      <c r="AN1662" s="58" t="str">
        <f aca="false">IF( AM1662&lt;&gt;"",VLOOKUP(AM1662,Selects!$M$4:$N$1000,2,0),"")</f>
        <v/>
      </c>
      <c r="BB1662" s="72" t="str">
        <f aca="false">IF(BA1662&lt;&gt;"",VLOOKUP(BA1662,Selects!$B$4:$C$100,2,0),"")</f>
        <v/>
      </c>
      <c r="BG1662" s="75" t="str">
        <f aca="false">IF(LEN(BF1662)=11,"PF",IF(LEN(BF1662)=14,"PJ",""))</f>
        <v/>
      </c>
      <c r="BH1662" s="66"/>
      <c r="BI1662" s="58" t="str">
        <f aca="false">IF(BH1662&lt;&gt;"",VLOOKUP(BH1662,Selects!$G:$H,2,0),"")</f>
        <v/>
      </c>
      <c r="CB1662" s="72" t="str">
        <f aca="false">IF(AC1662&lt;&gt;"",VLOOKUP(AC1662,Selects!$B:$E,4,0),"")</f>
        <v/>
      </c>
    </row>
    <row r="1663" customFormat="false" ht="15" hidden="true" customHeight="false" outlineLevel="0" collapsed="false">
      <c r="E1663" s="60" t="str">
        <f aca="false">IF(LEN(D1663)=11,"PF",IF(LEN(D1663)=14,"PJ",""))</f>
        <v/>
      </c>
      <c r="I1663" s="62"/>
      <c r="J1663" s="63" t="str">
        <f aca="false">IF(I1663&lt;&gt;"",VLOOKUP(I1663,'Legal Nature'!$E$2:$G$84,3,0),"")</f>
        <v/>
      </c>
      <c r="U1663" s="58" t="str">
        <f aca="false">IF( T1663&lt;&gt;"",VLOOKUP(T1663,Selects!$M$4:$N$1000,2,0),"")</f>
        <v/>
      </c>
      <c r="AD1663" s="72" t="str">
        <f aca="false">IF(AC1663&lt;&gt;"",VLOOKUP(AC1663,Selects!$B$4:$C$100,2,0),"")</f>
        <v/>
      </c>
      <c r="AH1663" s="65"/>
      <c r="AJ1663" s="66"/>
      <c r="AK1663" s="58"/>
      <c r="AM1663" s="68" t="str">
        <f aca="false">IF(LEFT(AL1663,1)="9","Celular",IF(AL1663="","","Fixo"))</f>
        <v/>
      </c>
      <c r="AN1663" s="58" t="str">
        <f aca="false">IF( AM1663&lt;&gt;"",VLOOKUP(AM1663,Selects!$M$4:$N$1000,2,0),"")</f>
        <v/>
      </c>
      <c r="BB1663" s="72" t="str">
        <f aca="false">IF(BA1663&lt;&gt;"",VLOOKUP(BA1663,Selects!$B$4:$C$100,2,0),"")</f>
        <v/>
      </c>
      <c r="BG1663" s="75" t="str">
        <f aca="false">IF(LEN(BF1663)=11,"PF",IF(LEN(BF1663)=14,"PJ",""))</f>
        <v/>
      </c>
      <c r="BH1663" s="66"/>
      <c r="BI1663" s="58" t="str">
        <f aca="false">IF(BH1663&lt;&gt;"",VLOOKUP(BH1663,Selects!$G:$H,2,0),"")</f>
        <v/>
      </c>
      <c r="CB1663" s="72" t="str">
        <f aca="false">IF(AC1663&lt;&gt;"",VLOOKUP(AC1663,Selects!$B:$E,4,0),"")</f>
        <v/>
      </c>
    </row>
    <row r="1664" customFormat="false" ht="15" hidden="true" customHeight="false" outlineLevel="0" collapsed="false">
      <c r="E1664" s="60" t="str">
        <f aca="false">IF(LEN(D1664)=11,"PF",IF(LEN(D1664)=14,"PJ",""))</f>
        <v/>
      </c>
      <c r="I1664" s="62"/>
      <c r="J1664" s="63" t="str">
        <f aca="false">IF(I1664&lt;&gt;"",VLOOKUP(I1664,'Legal Nature'!$E$2:$G$84,3,0),"")</f>
        <v/>
      </c>
      <c r="U1664" s="58" t="str">
        <f aca="false">IF( T1664&lt;&gt;"",VLOOKUP(T1664,Selects!$M$4:$N$1000,2,0),"")</f>
        <v/>
      </c>
      <c r="AD1664" s="72" t="str">
        <f aca="false">IF(AC1664&lt;&gt;"",VLOOKUP(AC1664,Selects!$B$4:$C$100,2,0),"")</f>
        <v/>
      </c>
      <c r="AH1664" s="65"/>
      <c r="AJ1664" s="66"/>
      <c r="AK1664" s="58"/>
      <c r="AM1664" s="68" t="str">
        <f aca="false">IF(LEFT(AL1664,1)="9","Celular",IF(AL1664="","","Fixo"))</f>
        <v/>
      </c>
      <c r="AN1664" s="58" t="str">
        <f aca="false">IF( AM1664&lt;&gt;"",VLOOKUP(AM1664,Selects!$M$4:$N$1000,2,0),"")</f>
        <v/>
      </c>
      <c r="BB1664" s="72" t="str">
        <f aca="false">IF(BA1664&lt;&gt;"",VLOOKUP(BA1664,Selects!$B$4:$C$100,2,0),"")</f>
        <v/>
      </c>
      <c r="BG1664" s="75" t="str">
        <f aca="false">IF(LEN(BF1664)=11,"PF",IF(LEN(BF1664)=14,"PJ",""))</f>
        <v/>
      </c>
      <c r="BH1664" s="66"/>
      <c r="BI1664" s="58" t="str">
        <f aca="false">IF(BH1664&lt;&gt;"",VLOOKUP(BH1664,Selects!$G:$H,2,0),"")</f>
        <v/>
      </c>
      <c r="CB1664" s="72" t="str">
        <f aca="false">IF(AC1664&lt;&gt;"",VLOOKUP(AC1664,Selects!$B:$E,4,0),"")</f>
        <v/>
      </c>
    </row>
    <row r="1665" customFormat="false" ht="15" hidden="true" customHeight="false" outlineLevel="0" collapsed="false">
      <c r="E1665" s="60" t="str">
        <f aca="false">IF(LEN(D1665)=11,"PF",IF(LEN(D1665)=14,"PJ",""))</f>
        <v/>
      </c>
      <c r="I1665" s="62"/>
      <c r="J1665" s="63" t="str">
        <f aca="false">IF(I1665&lt;&gt;"",VLOOKUP(I1665,'Legal Nature'!$E$2:$G$84,3,0),"")</f>
        <v/>
      </c>
      <c r="U1665" s="58" t="str">
        <f aca="false">IF( T1665&lt;&gt;"",VLOOKUP(T1665,Selects!$M$4:$N$1000,2,0),"")</f>
        <v/>
      </c>
      <c r="AD1665" s="72" t="str">
        <f aca="false">IF(AC1665&lt;&gt;"",VLOOKUP(AC1665,Selects!$B$4:$C$100,2,0),"")</f>
        <v/>
      </c>
      <c r="AH1665" s="65"/>
      <c r="AJ1665" s="66"/>
      <c r="AK1665" s="58"/>
      <c r="AM1665" s="68" t="str">
        <f aca="false">IF(LEFT(AL1665,1)="9","Celular",IF(AL1665="","","Fixo"))</f>
        <v/>
      </c>
      <c r="AN1665" s="58" t="str">
        <f aca="false">IF( AM1665&lt;&gt;"",VLOOKUP(AM1665,Selects!$M$4:$N$1000,2,0),"")</f>
        <v/>
      </c>
      <c r="BB1665" s="72" t="str">
        <f aca="false">IF(BA1665&lt;&gt;"",VLOOKUP(BA1665,Selects!$B$4:$C$100,2,0),"")</f>
        <v/>
      </c>
      <c r="BG1665" s="75" t="str">
        <f aca="false">IF(LEN(BF1665)=11,"PF",IF(LEN(BF1665)=14,"PJ",""))</f>
        <v/>
      </c>
      <c r="BH1665" s="66"/>
      <c r="BI1665" s="58" t="str">
        <f aca="false">IF(BH1665&lt;&gt;"",VLOOKUP(BH1665,Selects!$G:$H,2,0),"")</f>
        <v/>
      </c>
      <c r="CB1665" s="72" t="str">
        <f aca="false">IF(AC1665&lt;&gt;"",VLOOKUP(AC1665,Selects!$B:$E,4,0),"")</f>
        <v/>
      </c>
    </row>
    <row r="1666" customFormat="false" ht="15" hidden="true" customHeight="false" outlineLevel="0" collapsed="false">
      <c r="E1666" s="60" t="str">
        <f aca="false">IF(LEN(D1666)=11,"PF",IF(LEN(D1666)=14,"PJ",""))</f>
        <v/>
      </c>
      <c r="I1666" s="62"/>
      <c r="J1666" s="63" t="str">
        <f aca="false">IF(I1666&lt;&gt;"",VLOOKUP(I1666,'Legal Nature'!$E$2:$G$84,3,0),"")</f>
        <v/>
      </c>
      <c r="U1666" s="58" t="str">
        <f aca="false">IF( T1666&lt;&gt;"",VLOOKUP(T1666,Selects!$M$4:$N$1000,2,0),"")</f>
        <v/>
      </c>
      <c r="AD1666" s="72" t="str">
        <f aca="false">IF(AC1666&lt;&gt;"",VLOOKUP(AC1666,Selects!$B$4:$C$100,2,0),"")</f>
        <v/>
      </c>
      <c r="AH1666" s="65"/>
      <c r="AJ1666" s="66"/>
      <c r="AK1666" s="58"/>
      <c r="AM1666" s="68" t="str">
        <f aca="false">IF(LEFT(AL1666,1)="9","Celular",IF(AL1666="","","Fixo"))</f>
        <v/>
      </c>
      <c r="AN1666" s="58" t="str">
        <f aca="false">IF( AM1666&lt;&gt;"",VLOOKUP(AM1666,Selects!$M$4:$N$1000,2,0),"")</f>
        <v/>
      </c>
      <c r="BB1666" s="72" t="str">
        <f aca="false">IF(BA1666&lt;&gt;"",VLOOKUP(BA1666,Selects!$B$4:$C$100,2,0),"")</f>
        <v/>
      </c>
      <c r="BG1666" s="75" t="str">
        <f aca="false">IF(LEN(BF1666)=11,"PF",IF(LEN(BF1666)=14,"PJ",""))</f>
        <v/>
      </c>
      <c r="BH1666" s="66"/>
      <c r="BI1666" s="58" t="str">
        <f aca="false">IF(BH1666&lt;&gt;"",VLOOKUP(BH1666,Selects!$G:$H,2,0),"")</f>
        <v/>
      </c>
      <c r="CB1666" s="72" t="str">
        <f aca="false">IF(AC1666&lt;&gt;"",VLOOKUP(AC1666,Selects!$B:$E,4,0),"")</f>
        <v/>
      </c>
    </row>
    <row r="1667" customFormat="false" ht="15" hidden="true" customHeight="false" outlineLevel="0" collapsed="false">
      <c r="E1667" s="60" t="str">
        <f aca="false">IF(LEN(D1667)=11,"PF",IF(LEN(D1667)=14,"PJ",""))</f>
        <v/>
      </c>
      <c r="I1667" s="62"/>
      <c r="J1667" s="63" t="str">
        <f aca="false">IF(I1667&lt;&gt;"",VLOOKUP(I1667,'Legal Nature'!$E$2:$G$84,3,0),"")</f>
        <v/>
      </c>
      <c r="U1667" s="58" t="str">
        <f aca="false">IF( T1667&lt;&gt;"",VLOOKUP(T1667,Selects!$M$4:$N$1000,2,0),"")</f>
        <v/>
      </c>
      <c r="AD1667" s="72" t="str">
        <f aca="false">IF(AC1667&lt;&gt;"",VLOOKUP(AC1667,Selects!$B$4:$C$100,2,0),"")</f>
        <v/>
      </c>
      <c r="AH1667" s="65"/>
      <c r="AJ1667" s="66"/>
      <c r="AK1667" s="58"/>
      <c r="AM1667" s="68" t="str">
        <f aca="false">IF(LEFT(AL1667,1)="9","Celular",IF(AL1667="","","Fixo"))</f>
        <v/>
      </c>
      <c r="AN1667" s="58" t="str">
        <f aca="false">IF( AM1667&lt;&gt;"",VLOOKUP(AM1667,Selects!$M$4:$N$1000,2,0),"")</f>
        <v/>
      </c>
      <c r="BB1667" s="72" t="str">
        <f aca="false">IF(BA1667&lt;&gt;"",VLOOKUP(BA1667,Selects!$B$4:$C$100,2,0),"")</f>
        <v/>
      </c>
      <c r="BG1667" s="75" t="str">
        <f aca="false">IF(LEN(BF1667)=11,"PF",IF(LEN(BF1667)=14,"PJ",""))</f>
        <v/>
      </c>
      <c r="BH1667" s="66"/>
      <c r="BI1667" s="58" t="str">
        <f aca="false">IF(BH1667&lt;&gt;"",VLOOKUP(BH1667,Selects!$G:$H,2,0),"")</f>
        <v/>
      </c>
      <c r="CB1667" s="72" t="str">
        <f aca="false">IF(AC1667&lt;&gt;"",VLOOKUP(AC1667,Selects!$B:$E,4,0),"")</f>
        <v/>
      </c>
    </row>
    <row r="1668" customFormat="false" ht="15" hidden="true" customHeight="false" outlineLevel="0" collapsed="false">
      <c r="E1668" s="60" t="str">
        <f aca="false">IF(LEN(D1668)=11,"PF",IF(LEN(D1668)=14,"PJ",""))</f>
        <v/>
      </c>
      <c r="I1668" s="62"/>
      <c r="J1668" s="63" t="str">
        <f aca="false">IF(I1668&lt;&gt;"",VLOOKUP(I1668,'Legal Nature'!$E$2:$G$84,3,0),"")</f>
        <v/>
      </c>
      <c r="U1668" s="58" t="str">
        <f aca="false">IF( T1668&lt;&gt;"",VLOOKUP(T1668,Selects!$M$4:$N$1000,2,0),"")</f>
        <v/>
      </c>
      <c r="AD1668" s="72" t="str">
        <f aca="false">IF(AC1668&lt;&gt;"",VLOOKUP(AC1668,Selects!$B$4:$C$100,2,0),"")</f>
        <v/>
      </c>
      <c r="AH1668" s="65"/>
      <c r="AJ1668" s="66"/>
      <c r="AK1668" s="58"/>
      <c r="AM1668" s="68" t="str">
        <f aca="false">IF(LEFT(AL1668,1)="9","Celular",IF(AL1668="","","Fixo"))</f>
        <v/>
      </c>
      <c r="AN1668" s="58" t="str">
        <f aca="false">IF( AM1668&lt;&gt;"",VLOOKUP(AM1668,Selects!$M$4:$N$1000,2,0),"")</f>
        <v/>
      </c>
      <c r="BB1668" s="72" t="str">
        <f aca="false">IF(BA1668&lt;&gt;"",VLOOKUP(BA1668,Selects!$B$4:$C$100,2,0),"")</f>
        <v/>
      </c>
      <c r="BG1668" s="75" t="str">
        <f aca="false">IF(LEN(BF1668)=11,"PF",IF(LEN(BF1668)=14,"PJ",""))</f>
        <v/>
      </c>
      <c r="BH1668" s="66"/>
      <c r="BI1668" s="58" t="str">
        <f aca="false">IF(BH1668&lt;&gt;"",VLOOKUP(BH1668,Selects!$G:$H,2,0),"")</f>
        <v/>
      </c>
      <c r="CB1668" s="72" t="str">
        <f aca="false">IF(AC1668&lt;&gt;"",VLOOKUP(AC1668,Selects!$B:$E,4,0),"")</f>
        <v/>
      </c>
    </row>
    <row r="1669" customFormat="false" ht="15" hidden="true" customHeight="false" outlineLevel="0" collapsed="false">
      <c r="E1669" s="60" t="str">
        <f aca="false">IF(LEN(D1669)=11,"PF",IF(LEN(D1669)=14,"PJ",""))</f>
        <v/>
      </c>
      <c r="I1669" s="62"/>
      <c r="J1669" s="63" t="str">
        <f aca="false">IF(I1669&lt;&gt;"",VLOOKUP(I1669,'Legal Nature'!$E$2:$G$84,3,0),"")</f>
        <v/>
      </c>
      <c r="U1669" s="58" t="str">
        <f aca="false">IF( T1669&lt;&gt;"",VLOOKUP(T1669,Selects!$M$4:$N$1000,2,0),"")</f>
        <v/>
      </c>
      <c r="AD1669" s="72" t="str">
        <f aca="false">IF(AC1669&lt;&gt;"",VLOOKUP(AC1669,Selects!$B$4:$C$100,2,0),"")</f>
        <v/>
      </c>
      <c r="AH1669" s="65"/>
      <c r="AJ1669" s="66"/>
      <c r="AK1669" s="58"/>
      <c r="AM1669" s="68" t="str">
        <f aca="false">IF(LEFT(AL1669,1)="9","Celular",IF(AL1669="","","Fixo"))</f>
        <v/>
      </c>
      <c r="AN1669" s="58" t="str">
        <f aca="false">IF( AM1669&lt;&gt;"",VLOOKUP(AM1669,Selects!$M$4:$N$1000,2,0),"")</f>
        <v/>
      </c>
      <c r="BB1669" s="72" t="str">
        <f aca="false">IF(BA1669&lt;&gt;"",VLOOKUP(BA1669,Selects!$B$4:$C$100,2,0),"")</f>
        <v/>
      </c>
      <c r="BG1669" s="75" t="str">
        <f aca="false">IF(LEN(BF1669)=11,"PF",IF(LEN(BF1669)=14,"PJ",""))</f>
        <v/>
      </c>
      <c r="BH1669" s="66"/>
      <c r="BI1669" s="58" t="str">
        <f aca="false">IF(BH1669&lt;&gt;"",VLOOKUP(BH1669,Selects!$G:$H,2,0),"")</f>
        <v/>
      </c>
      <c r="CB1669" s="72" t="str">
        <f aca="false">IF(AC1669&lt;&gt;"",VLOOKUP(AC1669,Selects!$B:$E,4,0),"")</f>
        <v/>
      </c>
    </row>
    <row r="1670" customFormat="false" ht="15" hidden="true" customHeight="false" outlineLevel="0" collapsed="false">
      <c r="E1670" s="60" t="str">
        <f aca="false">IF(LEN(D1670)=11,"PF",IF(LEN(D1670)=14,"PJ",""))</f>
        <v/>
      </c>
      <c r="I1670" s="62"/>
      <c r="J1670" s="63" t="str">
        <f aca="false">IF(I1670&lt;&gt;"",VLOOKUP(I1670,'Legal Nature'!$E$2:$G$84,3,0),"")</f>
        <v/>
      </c>
      <c r="U1670" s="58" t="str">
        <f aca="false">IF( T1670&lt;&gt;"",VLOOKUP(T1670,Selects!$M$4:$N$1000,2,0),"")</f>
        <v/>
      </c>
      <c r="AD1670" s="72" t="str">
        <f aca="false">IF(AC1670&lt;&gt;"",VLOOKUP(AC1670,Selects!$B$4:$C$100,2,0),"")</f>
        <v/>
      </c>
      <c r="AH1670" s="65"/>
      <c r="AJ1670" s="66"/>
      <c r="AK1670" s="58"/>
      <c r="AM1670" s="68" t="str">
        <f aca="false">IF(LEFT(AL1670,1)="9","Celular",IF(AL1670="","","Fixo"))</f>
        <v/>
      </c>
      <c r="AN1670" s="58" t="str">
        <f aca="false">IF( AM1670&lt;&gt;"",VLOOKUP(AM1670,Selects!$M$4:$N$1000,2,0),"")</f>
        <v/>
      </c>
      <c r="BB1670" s="72" t="str">
        <f aca="false">IF(BA1670&lt;&gt;"",VLOOKUP(BA1670,Selects!$B$4:$C$100,2,0),"")</f>
        <v/>
      </c>
      <c r="BG1670" s="75" t="str">
        <f aca="false">IF(LEN(BF1670)=11,"PF",IF(LEN(BF1670)=14,"PJ",""))</f>
        <v/>
      </c>
      <c r="BH1670" s="66"/>
      <c r="BI1670" s="58" t="str">
        <f aca="false">IF(BH1670&lt;&gt;"",VLOOKUP(BH1670,Selects!$G:$H,2,0),"")</f>
        <v/>
      </c>
      <c r="CB1670" s="72" t="str">
        <f aca="false">IF(AC1670&lt;&gt;"",VLOOKUP(AC1670,Selects!$B:$E,4,0),"")</f>
        <v/>
      </c>
    </row>
    <row r="1671" customFormat="false" ht="15" hidden="true" customHeight="false" outlineLevel="0" collapsed="false">
      <c r="E1671" s="60" t="str">
        <f aca="false">IF(LEN(D1671)=11,"PF",IF(LEN(D1671)=14,"PJ",""))</f>
        <v/>
      </c>
      <c r="I1671" s="62"/>
      <c r="J1671" s="63" t="str">
        <f aca="false">IF(I1671&lt;&gt;"",VLOOKUP(I1671,'Legal Nature'!$E$2:$G$84,3,0),"")</f>
        <v/>
      </c>
      <c r="U1671" s="58" t="str">
        <f aca="false">IF( T1671&lt;&gt;"",VLOOKUP(T1671,Selects!$M$4:$N$1000,2,0),"")</f>
        <v/>
      </c>
      <c r="AD1671" s="72" t="str">
        <f aca="false">IF(AC1671&lt;&gt;"",VLOOKUP(AC1671,Selects!$B$4:$C$100,2,0),"")</f>
        <v/>
      </c>
      <c r="AH1671" s="65"/>
      <c r="AJ1671" s="66"/>
      <c r="AK1671" s="58"/>
      <c r="AM1671" s="68" t="str">
        <f aca="false">IF(LEFT(AL1671,1)="9","Celular",IF(AL1671="","","Fixo"))</f>
        <v/>
      </c>
      <c r="AN1671" s="58" t="str">
        <f aca="false">IF( AM1671&lt;&gt;"",VLOOKUP(AM1671,Selects!$M$4:$N$1000,2,0),"")</f>
        <v/>
      </c>
      <c r="BB1671" s="72" t="str">
        <f aca="false">IF(BA1671&lt;&gt;"",VLOOKUP(BA1671,Selects!$B$4:$C$100,2,0),"")</f>
        <v/>
      </c>
      <c r="BG1671" s="75" t="str">
        <f aca="false">IF(LEN(BF1671)=11,"PF",IF(LEN(BF1671)=14,"PJ",""))</f>
        <v/>
      </c>
      <c r="BH1671" s="66"/>
      <c r="BI1671" s="58" t="str">
        <f aca="false">IF(BH1671&lt;&gt;"",VLOOKUP(BH1671,Selects!$G:$H,2,0),"")</f>
        <v/>
      </c>
      <c r="CB1671" s="72" t="str">
        <f aca="false">IF(AC1671&lt;&gt;"",VLOOKUP(AC1671,Selects!$B:$E,4,0),"")</f>
        <v/>
      </c>
    </row>
    <row r="1672" customFormat="false" ht="15" hidden="true" customHeight="false" outlineLevel="0" collapsed="false">
      <c r="E1672" s="60" t="str">
        <f aca="false">IF(LEN(D1672)=11,"PF",IF(LEN(D1672)=14,"PJ",""))</f>
        <v/>
      </c>
      <c r="I1672" s="62"/>
      <c r="J1672" s="63" t="str">
        <f aca="false">IF(I1672&lt;&gt;"",VLOOKUP(I1672,'Legal Nature'!$E$2:$G$84,3,0),"")</f>
        <v/>
      </c>
      <c r="U1672" s="58" t="str">
        <f aca="false">IF( T1672&lt;&gt;"",VLOOKUP(T1672,Selects!$M$4:$N$1000,2,0),"")</f>
        <v/>
      </c>
      <c r="AD1672" s="72" t="str">
        <f aca="false">IF(AC1672&lt;&gt;"",VLOOKUP(AC1672,Selects!$B$4:$C$100,2,0),"")</f>
        <v/>
      </c>
      <c r="AH1672" s="65"/>
      <c r="AJ1672" s="66"/>
      <c r="AK1672" s="58"/>
      <c r="AM1672" s="68" t="str">
        <f aca="false">IF(LEFT(AL1672,1)="9","Celular",IF(AL1672="","","Fixo"))</f>
        <v/>
      </c>
      <c r="AN1672" s="58" t="str">
        <f aca="false">IF( AM1672&lt;&gt;"",VLOOKUP(AM1672,Selects!$M$4:$N$1000,2,0),"")</f>
        <v/>
      </c>
      <c r="BB1672" s="72" t="str">
        <f aca="false">IF(BA1672&lt;&gt;"",VLOOKUP(BA1672,Selects!$B$4:$C$100,2,0),"")</f>
        <v/>
      </c>
      <c r="BG1672" s="75" t="str">
        <f aca="false">IF(LEN(BF1672)=11,"PF",IF(LEN(BF1672)=14,"PJ",""))</f>
        <v/>
      </c>
      <c r="BH1672" s="66"/>
      <c r="BI1672" s="58" t="str">
        <f aca="false">IF(BH1672&lt;&gt;"",VLOOKUP(BH1672,Selects!$G:$H,2,0),"")</f>
        <v/>
      </c>
      <c r="CB1672" s="72" t="str">
        <f aca="false">IF(AC1672&lt;&gt;"",VLOOKUP(AC1672,Selects!$B:$E,4,0),"")</f>
        <v/>
      </c>
    </row>
    <row r="1673" customFormat="false" ht="15" hidden="true" customHeight="false" outlineLevel="0" collapsed="false">
      <c r="E1673" s="60" t="str">
        <f aca="false">IF(LEN(D1673)=11,"PF",IF(LEN(D1673)=14,"PJ",""))</f>
        <v/>
      </c>
      <c r="I1673" s="62"/>
      <c r="J1673" s="63" t="str">
        <f aca="false">IF(I1673&lt;&gt;"",VLOOKUP(I1673,'Legal Nature'!$E$2:$G$84,3,0),"")</f>
        <v/>
      </c>
      <c r="U1673" s="58" t="str">
        <f aca="false">IF( T1673&lt;&gt;"",VLOOKUP(T1673,Selects!$M$4:$N$1000,2,0),"")</f>
        <v/>
      </c>
      <c r="AD1673" s="72" t="str">
        <f aca="false">IF(AC1673&lt;&gt;"",VLOOKUP(AC1673,Selects!$B$4:$C$100,2,0),"")</f>
        <v/>
      </c>
      <c r="AH1673" s="65"/>
      <c r="AJ1673" s="66"/>
      <c r="AK1673" s="58"/>
      <c r="AM1673" s="68" t="str">
        <f aca="false">IF(LEFT(AL1673,1)="9","Celular",IF(AL1673="","","Fixo"))</f>
        <v/>
      </c>
      <c r="AN1673" s="58" t="str">
        <f aca="false">IF( AM1673&lt;&gt;"",VLOOKUP(AM1673,Selects!$M$4:$N$1000,2,0),"")</f>
        <v/>
      </c>
      <c r="BB1673" s="72" t="str">
        <f aca="false">IF(BA1673&lt;&gt;"",VLOOKUP(BA1673,Selects!$B$4:$C$100,2,0),"")</f>
        <v/>
      </c>
      <c r="BG1673" s="75" t="str">
        <f aca="false">IF(LEN(BF1673)=11,"PF",IF(LEN(BF1673)=14,"PJ",""))</f>
        <v/>
      </c>
      <c r="BH1673" s="66"/>
      <c r="BI1673" s="58" t="str">
        <f aca="false">IF(BH1673&lt;&gt;"",VLOOKUP(BH1673,Selects!$G:$H,2,0),"")</f>
        <v/>
      </c>
      <c r="CB1673" s="72" t="str">
        <f aca="false">IF(AC1673&lt;&gt;"",VLOOKUP(AC1673,Selects!$B:$E,4,0),"")</f>
        <v/>
      </c>
    </row>
    <row r="1674" customFormat="false" ht="15" hidden="true" customHeight="false" outlineLevel="0" collapsed="false">
      <c r="E1674" s="60" t="str">
        <f aca="false">IF(LEN(D1674)=11,"PF",IF(LEN(D1674)=14,"PJ",""))</f>
        <v/>
      </c>
      <c r="I1674" s="62"/>
      <c r="J1674" s="63" t="str">
        <f aca="false">IF(I1674&lt;&gt;"",VLOOKUP(I1674,'Legal Nature'!$E$2:$G$84,3,0),"")</f>
        <v/>
      </c>
      <c r="U1674" s="58" t="str">
        <f aca="false">IF( T1674&lt;&gt;"",VLOOKUP(T1674,Selects!$M$4:$N$1000,2,0),"")</f>
        <v/>
      </c>
      <c r="AD1674" s="72" t="str">
        <f aca="false">IF(AC1674&lt;&gt;"",VLOOKUP(AC1674,Selects!$B$4:$C$100,2,0),"")</f>
        <v/>
      </c>
      <c r="AH1674" s="65"/>
      <c r="AJ1674" s="66"/>
      <c r="AK1674" s="58"/>
      <c r="AM1674" s="68" t="str">
        <f aca="false">IF(LEFT(AL1674,1)="9","Celular",IF(AL1674="","","Fixo"))</f>
        <v/>
      </c>
      <c r="AN1674" s="58" t="str">
        <f aca="false">IF( AM1674&lt;&gt;"",VLOOKUP(AM1674,Selects!$M$4:$N$1000,2,0),"")</f>
        <v/>
      </c>
      <c r="BB1674" s="72" t="str">
        <f aca="false">IF(BA1674&lt;&gt;"",VLOOKUP(BA1674,Selects!$B$4:$C$100,2,0),"")</f>
        <v/>
      </c>
      <c r="BG1674" s="75" t="str">
        <f aca="false">IF(LEN(BF1674)=11,"PF",IF(LEN(BF1674)=14,"PJ",""))</f>
        <v/>
      </c>
      <c r="BH1674" s="66"/>
      <c r="BI1674" s="58" t="str">
        <f aca="false">IF(BH1674&lt;&gt;"",VLOOKUP(BH1674,Selects!$G:$H,2,0),"")</f>
        <v/>
      </c>
      <c r="CB1674" s="72" t="str">
        <f aca="false">IF(AC1674&lt;&gt;"",VLOOKUP(AC1674,Selects!$B:$E,4,0),"")</f>
        <v/>
      </c>
    </row>
    <row r="1675" customFormat="false" ht="15" hidden="true" customHeight="false" outlineLevel="0" collapsed="false">
      <c r="E1675" s="60" t="str">
        <f aca="false">IF(LEN(D1675)=11,"PF",IF(LEN(D1675)=14,"PJ",""))</f>
        <v/>
      </c>
      <c r="I1675" s="62"/>
      <c r="J1675" s="63" t="str">
        <f aca="false">IF(I1675&lt;&gt;"",VLOOKUP(I1675,'Legal Nature'!$E$2:$G$84,3,0),"")</f>
        <v/>
      </c>
      <c r="U1675" s="58" t="str">
        <f aca="false">IF( T1675&lt;&gt;"",VLOOKUP(T1675,Selects!$M$4:$N$1000,2,0),"")</f>
        <v/>
      </c>
      <c r="AD1675" s="72" t="str">
        <f aca="false">IF(AC1675&lt;&gt;"",VLOOKUP(AC1675,Selects!$B$4:$C$100,2,0),"")</f>
        <v/>
      </c>
      <c r="AH1675" s="65"/>
      <c r="AJ1675" s="66"/>
      <c r="AK1675" s="58"/>
      <c r="AM1675" s="68" t="str">
        <f aca="false">IF(LEFT(AL1675,1)="9","Celular",IF(AL1675="","","Fixo"))</f>
        <v/>
      </c>
      <c r="AN1675" s="58" t="str">
        <f aca="false">IF( AM1675&lt;&gt;"",VLOOKUP(AM1675,Selects!$M$4:$N$1000,2,0),"")</f>
        <v/>
      </c>
      <c r="BB1675" s="72" t="str">
        <f aca="false">IF(BA1675&lt;&gt;"",VLOOKUP(BA1675,Selects!$B$4:$C$100,2,0),"")</f>
        <v/>
      </c>
      <c r="BG1675" s="75" t="str">
        <f aca="false">IF(LEN(BF1675)=11,"PF",IF(LEN(BF1675)=14,"PJ",""))</f>
        <v/>
      </c>
      <c r="BH1675" s="66"/>
      <c r="BI1675" s="58" t="str">
        <f aca="false">IF(BH1675&lt;&gt;"",VLOOKUP(BH1675,Selects!$G:$H,2,0),"")</f>
        <v/>
      </c>
      <c r="CB1675" s="72" t="str">
        <f aca="false">IF(AC1675&lt;&gt;"",VLOOKUP(AC1675,Selects!$B:$E,4,0),"")</f>
        <v/>
      </c>
    </row>
    <row r="1676" customFormat="false" ht="15" hidden="true" customHeight="false" outlineLevel="0" collapsed="false">
      <c r="E1676" s="60" t="str">
        <f aca="false">IF(LEN(D1676)=11,"PF",IF(LEN(D1676)=14,"PJ",""))</f>
        <v/>
      </c>
      <c r="I1676" s="62"/>
      <c r="J1676" s="63" t="str">
        <f aca="false">IF(I1676&lt;&gt;"",VLOOKUP(I1676,'Legal Nature'!$E$2:$G$84,3,0),"")</f>
        <v/>
      </c>
      <c r="U1676" s="58" t="str">
        <f aca="false">IF( T1676&lt;&gt;"",VLOOKUP(T1676,Selects!$M$4:$N$1000,2,0),"")</f>
        <v/>
      </c>
      <c r="AD1676" s="72" t="str">
        <f aca="false">IF(AC1676&lt;&gt;"",VLOOKUP(AC1676,Selects!$B$4:$C$100,2,0),"")</f>
        <v/>
      </c>
      <c r="AH1676" s="65"/>
      <c r="AJ1676" s="66"/>
      <c r="AK1676" s="58"/>
      <c r="AM1676" s="68" t="str">
        <f aca="false">IF(LEFT(AL1676,1)="9","Celular",IF(AL1676="","","Fixo"))</f>
        <v/>
      </c>
      <c r="AN1676" s="58" t="str">
        <f aca="false">IF( AM1676&lt;&gt;"",VLOOKUP(AM1676,Selects!$M$4:$N$1000,2,0),"")</f>
        <v/>
      </c>
      <c r="BB1676" s="72" t="str">
        <f aca="false">IF(BA1676&lt;&gt;"",VLOOKUP(BA1676,Selects!$B$4:$C$100,2,0),"")</f>
        <v/>
      </c>
      <c r="BG1676" s="75" t="str">
        <f aca="false">IF(LEN(BF1676)=11,"PF",IF(LEN(BF1676)=14,"PJ",""))</f>
        <v/>
      </c>
      <c r="BH1676" s="66"/>
      <c r="BI1676" s="58" t="str">
        <f aca="false">IF(BH1676&lt;&gt;"",VLOOKUP(BH1676,Selects!$G:$H,2,0),"")</f>
        <v/>
      </c>
      <c r="CB1676" s="72" t="str">
        <f aca="false">IF(AC1676&lt;&gt;"",VLOOKUP(AC1676,Selects!$B:$E,4,0),"")</f>
        <v/>
      </c>
    </row>
    <row r="1677" customFormat="false" ht="15" hidden="true" customHeight="false" outlineLevel="0" collapsed="false">
      <c r="E1677" s="60" t="str">
        <f aca="false">IF(LEN(D1677)=11,"PF",IF(LEN(D1677)=14,"PJ",""))</f>
        <v/>
      </c>
      <c r="I1677" s="62"/>
      <c r="J1677" s="63" t="str">
        <f aca="false">IF(I1677&lt;&gt;"",VLOOKUP(I1677,'Legal Nature'!$E$2:$G$84,3,0),"")</f>
        <v/>
      </c>
      <c r="U1677" s="58" t="str">
        <f aca="false">IF( T1677&lt;&gt;"",VLOOKUP(T1677,Selects!$M$4:$N$1000,2,0),"")</f>
        <v/>
      </c>
      <c r="AD1677" s="72" t="str">
        <f aca="false">IF(AC1677&lt;&gt;"",VLOOKUP(AC1677,Selects!$B$4:$C$100,2,0),"")</f>
        <v/>
      </c>
      <c r="AH1677" s="65"/>
      <c r="AJ1677" s="66"/>
      <c r="AK1677" s="58"/>
      <c r="AM1677" s="68" t="str">
        <f aca="false">IF(LEFT(AL1677,1)="9","Celular",IF(AL1677="","","Fixo"))</f>
        <v/>
      </c>
      <c r="AN1677" s="58" t="str">
        <f aca="false">IF( AM1677&lt;&gt;"",VLOOKUP(AM1677,Selects!$M$4:$N$1000,2,0),"")</f>
        <v/>
      </c>
      <c r="BB1677" s="72" t="str">
        <f aca="false">IF(BA1677&lt;&gt;"",VLOOKUP(BA1677,Selects!$B$4:$C$100,2,0),"")</f>
        <v/>
      </c>
      <c r="BG1677" s="75" t="str">
        <f aca="false">IF(LEN(BF1677)=11,"PF",IF(LEN(BF1677)=14,"PJ",""))</f>
        <v/>
      </c>
      <c r="BH1677" s="66"/>
      <c r="BI1677" s="58" t="str">
        <f aca="false">IF(BH1677&lt;&gt;"",VLOOKUP(BH1677,Selects!$G:$H,2,0),"")</f>
        <v/>
      </c>
      <c r="CB1677" s="72" t="str">
        <f aca="false">IF(AC1677&lt;&gt;"",VLOOKUP(AC1677,Selects!$B:$E,4,0),"")</f>
        <v/>
      </c>
    </row>
    <row r="1678" customFormat="false" ht="15" hidden="true" customHeight="false" outlineLevel="0" collapsed="false">
      <c r="E1678" s="60" t="str">
        <f aca="false">IF(LEN(D1678)=11,"PF",IF(LEN(D1678)=14,"PJ",""))</f>
        <v/>
      </c>
      <c r="I1678" s="62"/>
      <c r="J1678" s="63" t="str">
        <f aca="false">IF(I1678&lt;&gt;"",VLOOKUP(I1678,'Legal Nature'!$E$2:$G$84,3,0),"")</f>
        <v/>
      </c>
      <c r="U1678" s="58" t="str">
        <f aca="false">IF( T1678&lt;&gt;"",VLOOKUP(T1678,Selects!$M$4:$N$1000,2,0),"")</f>
        <v/>
      </c>
      <c r="AD1678" s="72" t="str">
        <f aca="false">IF(AC1678&lt;&gt;"",VLOOKUP(AC1678,Selects!$B$4:$C$100,2,0),"")</f>
        <v/>
      </c>
      <c r="AH1678" s="65"/>
      <c r="AJ1678" s="66"/>
      <c r="AK1678" s="58"/>
      <c r="AM1678" s="68" t="str">
        <f aca="false">IF(LEFT(AL1678,1)="9","Celular",IF(AL1678="","","Fixo"))</f>
        <v/>
      </c>
      <c r="AN1678" s="58" t="str">
        <f aca="false">IF( AM1678&lt;&gt;"",VLOOKUP(AM1678,Selects!$M$4:$N$1000,2,0),"")</f>
        <v/>
      </c>
      <c r="BB1678" s="72" t="str">
        <f aca="false">IF(BA1678&lt;&gt;"",VLOOKUP(BA1678,Selects!$B$4:$C$100,2,0),"")</f>
        <v/>
      </c>
      <c r="BG1678" s="75" t="str">
        <f aca="false">IF(LEN(BF1678)=11,"PF",IF(LEN(BF1678)=14,"PJ",""))</f>
        <v/>
      </c>
      <c r="BH1678" s="66"/>
      <c r="BI1678" s="58" t="str">
        <f aca="false">IF(BH1678&lt;&gt;"",VLOOKUP(BH1678,Selects!$G:$H,2,0),"")</f>
        <v/>
      </c>
      <c r="CB1678" s="72" t="str">
        <f aca="false">IF(AC1678&lt;&gt;"",VLOOKUP(AC1678,Selects!$B:$E,4,0),"")</f>
        <v/>
      </c>
    </row>
    <row r="1679" customFormat="false" ht="15" hidden="true" customHeight="false" outlineLevel="0" collapsed="false">
      <c r="E1679" s="60" t="str">
        <f aca="false">IF(LEN(D1679)=11,"PF",IF(LEN(D1679)=14,"PJ",""))</f>
        <v/>
      </c>
      <c r="I1679" s="62"/>
      <c r="J1679" s="63" t="str">
        <f aca="false">IF(I1679&lt;&gt;"",VLOOKUP(I1679,'Legal Nature'!$E$2:$G$84,3,0),"")</f>
        <v/>
      </c>
      <c r="U1679" s="58" t="str">
        <f aca="false">IF( T1679&lt;&gt;"",VLOOKUP(T1679,Selects!$M$4:$N$1000,2,0),"")</f>
        <v/>
      </c>
      <c r="AD1679" s="72" t="str">
        <f aca="false">IF(AC1679&lt;&gt;"",VLOOKUP(AC1679,Selects!$B$4:$C$100,2,0),"")</f>
        <v/>
      </c>
      <c r="AH1679" s="65"/>
      <c r="AJ1679" s="66"/>
      <c r="AK1679" s="58"/>
      <c r="AM1679" s="68" t="str">
        <f aca="false">IF(LEFT(AL1679,1)="9","Celular",IF(AL1679="","","Fixo"))</f>
        <v/>
      </c>
      <c r="AN1679" s="58" t="str">
        <f aca="false">IF( AM1679&lt;&gt;"",VLOOKUP(AM1679,Selects!$M$4:$N$1000,2,0),"")</f>
        <v/>
      </c>
      <c r="BB1679" s="72" t="str">
        <f aca="false">IF(BA1679&lt;&gt;"",VLOOKUP(BA1679,Selects!$B$4:$C$100,2,0),"")</f>
        <v/>
      </c>
      <c r="BG1679" s="75" t="str">
        <f aca="false">IF(LEN(BF1679)=11,"PF",IF(LEN(BF1679)=14,"PJ",""))</f>
        <v/>
      </c>
      <c r="BH1679" s="66"/>
      <c r="BI1679" s="58" t="str">
        <f aca="false">IF(BH1679&lt;&gt;"",VLOOKUP(BH1679,Selects!$G:$H,2,0),"")</f>
        <v/>
      </c>
      <c r="CB1679" s="72" t="str">
        <f aca="false">IF(AC1679&lt;&gt;"",VLOOKUP(AC1679,Selects!$B:$E,4,0),"")</f>
        <v/>
      </c>
    </row>
    <row r="1680" customFormat="false" ht="15" hidden="true" customHeight="false" outlineLevel="0" collapsed="false">
      <c r="E1680" s="60" t="str">
        <f aca="false">IF(LEN(D1680)=11,"PF",IF(LEN(D1680)=14,"PJ",""))</f>
        <v/>
      </c>
      <c r="I1680" s="62"/>
      <c r="J1680" s="63" t="str">
        <f aca="false">IF(I1680&lt;&gt;"",VLOOKUP(I1680,'Legal Nature'!$E$2:$G$84,3,0),"")</f>
        <v/>
      </c>
      <c r="U1680" s="58" t="str">
        <f aca="false">IF( T1680&lt;&gt;"",VLOOKUP(T1680,Selects!$M$4:$N$1000,2,0),"")</f>
        <v/>
      </c>
      <c r="AD1680" s="72" t="str">
        <f aca="false">IF(AC1680&lt;&gt;"",VLOOKUP(AC1680,Selects!$B$4:$C$100,2,0),"")</f>
        <v/>
      </c>
      <c r="AH1680" s="65"/>
      <c r="AJ1680" s="66"/>
      <c r="AK1680" s="58"/>
      <c r="AM1680" s="68" t="str">
        <f aca="false">IF(LEFT(AL1680,1)="9","Celular",IF(AL1680="","","Fixo"))</f>
        <v/>
      </c>
      <c r="AN1680" s="58" t="str">
        <f aca="false">IF( AM1680&lt;&gt;"",VLOOKUP(AM1680,Selects!$M$4:$N$1000,2,0),"")</f>
        <v/>
      </c>
      <c r="BB1680" s="72" t="str">
        <f aca="false">IF(BA1680&lt;&gt;"",VLOOKUP(BA1680,Selects!$B$4:$C$100,2,0),"")</f>
        <v/>
      </c>
      <c r="BG1680" s="75" t="str">
        <f aca="false">IF(LEN(BF1680)=11,"PF",IF(LEN(BF1680)=14,"PJ",""))</f>
        <v/>
      </c>
      <c r="BH1680" s="66"/>
      <c r="BI1680" s="58" t="str">
        <f aca="false">IF(BH1680&lt;&gt;"",VLOOKUP(BH1680,Selects!$G:$H,2,0),"")</f>
        <v/>
      </c>
      <c r="CB1680" s="72" t="str">
        <f aca="false">IF(AC1680&lt;&gt;"",VLOOKUP(AC1680,Selects!$B:$E,4,0),"")</f>
        <v/>
      </c>
    </row>
    <row r="1681" customFormat="false" ht="15" hidden="true" customHeight="false" outlineLevel="0" collapsed="false">
      <c r="E1681" s="60" t="str">
        <f aca="false">IF(LEN(D1681)=11,"PF",IF(LEN(D1681)=14,"PJ",""))</f>
        <v/>
      </c>
      <c r="I1681" s="62"/>
      <c r="J1681" s="63" t="str">
        <f aca="false">IF(I1681&lt;&gt;"",VLOOKUP(I1681,'Legal Nature'!$E$2:$G$84,3,0),"")</f>
        <v/>
      </c>
      <c r="U1681" s="58" t="str">
        <f aca="false">IF( T1681&lt;&gt;"",VLOOKUP(T1681,Selects!$M$4:$N$1000,2,0),"")</f>
        <v/>
      </c>
      <c r="AD1681" s="72" t="str">
        <f aca="false">IF(AC1681&lt;&gt;"",VLOOKUP(AC1681,Selects!$B$4:$C$100,2,0),"")</f>
        <v/>
      </c>
      <c r="AH1681" s="65"/>
      <c r="AJ1681" s="66"/>
      <c r="AK1681" s="58"/>
      <c r="AM1681" s="68" t="str">
        <f aca="false">IF(LEFT(AL1681,1)="9","Celular",IF(AL1681="","","Fixo"))</f>
        <v/>
      </c>
      <c r="AN1681" s="58" t="str">
        <f aca="false">IF( AM1681&lt;&gt;"",VLOOKUP(AM1681,Selects!$M$4:$N$1000,2,0),"")</f>
        <v/>
      </c>
      <c r="BB1681" s="72" t="str">
        <f aca="false">IF(BA1681&lt;&gt;"",VLOOKUP(BA1681,Selects!$B$4:$C$100,2,0),"")</f>
        <v/>
      </c>
      <c r="BG1681" s="75" t="str">
        <f aca="false">IF(LEN(BF1681)=11,"PF",IF(LEN(BF1681)=14,"PJ",""))</f>
        <v/>
      </c>
      <c r="BH1681" s="66"/>
      <c r="BI1681" s="58" t="str">
        <f aca="false">IF(BH1681&lt;&gt;"",VLOOKUP(BH1681,Selects!$G:$H,2,0),"")</f>
        <v/>
      </c>
      <c r="CB1681" s="72" t="str">
        <f aca="false">IF(AC1681&lt;&gt;"",VLOOKUP(AC1681,Selects!$B:$E,4,0),"")</f>
        <v/>
      </c>
    </row>
    <row r="1682" customFormat="false" ht="15" hidden="true" customHeight="false" outlineLevel="0" collapsed="false">
      <c r="E1682" s="60" t="str">
        <f aca="false">IF(LEN(D1682)=11,"PF",IF(LEN(D1682)=14,"PJ",""))</f>
        <v/>
      </c>
      <c r="I1682" s="62"/>
      <c r="J1682" s="63" t="str">
        <f aca="false">IF(I1682&lt;&gt;"",VLOOKUP(I1682,'Legal Nature'!$E$2:$G$84,3,0),"")</f>
        <v/>
      </c>
      <c r="U1682" s="58" t="str">
        <f aca="false">IF( T1682&lt;&gt;"",VLOOKUP(T1682,Selects!$M$4:$N$1000,2,0),"")</f>
        <v/>
      </c>
      <c r="AD1682" s="72" t="str">
        <f aca="false">IF(AC1682&lt;&gt;"",VLOOKUP(AC1682,Selects!$B$4:$C$100,2,0),"")</f>
        <v/>
      </c>
      <c r="AH1682" s="65"/>
      <c r="AJ1682" s="66"/>
      <c r="AK1682" s="58"/>
      <c r="AM1682" s="68" t="str">
        <f aca="false">IF(LEFT(AL1682,1)="9","Celular",IF(AL1682="","","Fixo"))</f>
        <v/>
      </c>
      <c r="AN1682" s="58" t="str">
        <f aca="false">IF( AM1682&lt;&gt;"",VLOOKUP(AM1682,Selects!$M$4:$N$1000,2,0),"")</f>
        <v/>
      </c>
      <c r="BB1682" s="72" t="str">
        <f aca="false">IF(BA1682&lt;&gt;"",VLOOKUP(BA1682,Selects!$B$4:$C$100,2,0),"")</f>
        <v/>
      </c>
      <c r="BG1682" s="75" t="str">
        <f aca="false">IF(LEN(BF1682)=11,"PF",IF(LEN(BF1682)=14,"PJ",""))</f>
        <v/>
      </c>
      <c r="BH1682" s="66"/>
      <c r="BI1682" s="58" t="str">
        <f aca="false">IF(BH1682&lt;&gt;"",VLOOKUP(BH1682,Selects!$G:$H,2,0),"")</f>
        <v/>
      </c>
      <c r="CB1682" s="72" t="str">
        <f aca="false">IF(AC1682&lt;&gt;"",VLOOKUP(AC1682,Selects!$B:$E,4,0),"")</f>
        <v/>
      </c>
    </row>
    <row r="1683" customFormat="false" ht="15" hidden="true" customHeight="false" outlineLevel="0" collapsed="false">
      <c r="E1683" s="60" t="str">
        <f aca="false">IF(LEN(D1683)=11,"PF",IF(LEN(D1683)=14,"PJ",""))</f>
        <v/>
      </c>
      <c r="I1683" s="62"/>
      <c r="J1683" s="63" t="str">
        <f aca="false">IF(I1683&lt;&gt;"",VLOOKUP(I1683,'Legal Nature'!$E$2:$G$84,3,0),"")</f>
        <v/>
      </c>
      <c r="U1683" s="58" t="str">
        <f aca="false">IF( T1683&lt;&gt;"",VLOOKUP(T1683,Selects!$M$4:$N$1000,2,0),"")</f>
        <v/>
      </c>
      <c r="AD1683" s="72" t="str">
        <f aca="false">IF(AC1683&lt;&gt;"",VLOOKUP(AC1683,Selects!$B$4:$C$100,2,0),"")</f>
        <v/>
      </c>
      <c r="AH1683" s="65"/>
      <c r="AJ1683" s="66"/>
      <c r="AK1683" s="58"/>
      <c r="AM1683" s="68" t="str">
        <f aca="false">IF(LEFT(AL1683,1)="9","Celular",IF(AL1683="","","Fixo"))</f>
        <v/>
      </c>
      <c r="AN1683" s="58" t="str">
        <f aca="false">IF( AM1683&lt;&gt;"",VLOOKUP(AM1683,Selects!$M$4:$N$1000,2,0),"")</f>
        <v/>
      </c>
      <c r="BB1683" s="72" t="str">
        <f aca="false">IF(BA1683&lt;&gt;"",VLOOKUP(BA1683,Selects!$B$4:$C$100,2,0),"")</f>
        <v/>
      </c>
      <c r="BG1683" s="75" t="str">
        <f aca="false">IF(LEN(BF1683)=11,"PF",IF(LEN(BF1683)=14,"PJ",""))</f>
        <v/>
      </c>
      <c r="BH1683" s="66"/>
      <c r="BI1683" s="58" t="str">
        <f aca="false">IF(BH1683&lt;&gt;"",VLOOKUP(BH1683,Selects!$G:$H,2,0),"")</f>
        <v/>
      </c>
      <c r="CB1683" s="72" t="str">
        <f aca="false">IF(AC1683&lt;&gt;"",VLOOKUP(AC1683,Selects!$B:$E,4,0),"")</f>
        <v/>
      </c>
    </row>
    <row r="1684" customFormat="false" ht="15" hidden="true" customHeight="false" outlineLevel="0" collapsed="false">
      <c r="E1684" s="60" t="str">
        <f aca="false">IF(LEN(D1684)=11,"PF",IF(LEN(D1684)=14,"PJ",""))</f>
        <v/>
      </c>
      <c r="I1684" s="62"/>
      <c r="J1684" s="63" t="str">
        <f aca="false">IF(I1684&lt;&gt;"",VLOOKUP(I1684,'Legal Nature'!$E$2:$G$84,3,0),"")</f>
        <v/>
      </c>
      <c r="U1684" s="58" t="str">
        <f aca="false">IF( T1684&lt;&gt;"",VLOOKUP(T1684,Selects!$M$4:$N$1000,2,0),"")</f>
        <v/>
      </c>
      <c r="AD1684" s="72" t="str">
        <f aca="false">IF(AC1684&lt;&gt;"",VLOOKUP(AC1684,Selects!$B$4:$C$100,2,0),"")</f>
        <v/>
      </c>
      <c r="AH1684" s="65"/>
      <c r="AJ1684" s="66"/>
      <c r="AK1684" s="58"/>
      <c r="AM1684" s="68" t="str">
        <f aca="false">IF(LEFT(AL1684,1)="9","Celular",IF(AL1684="","","Fixo"))</f>
        <v/>
      </c>
      <c r="AN1684" s="58" t="str">
        <f aca="false">IF( AM1684&lt;&gt;"",VLOOKUP(AM1684,Selects!$M$4:$N$1000,2,0),"")</f>
        <v/>
      </c>
      <c r="BB1684" s="72" t="str">
        <f aca="false">IF(BA1684&lt;&gt;"",VLOOKUP(BA1684,Selects!$B$4:$C$100,2,0),"")</f>
        <v/>
      </c>
      <c r="BG1684" s="75" t="str">
        <f aca="false">IF(LEN(BF1684)=11,"PF",IF(LEN(BF1684)=14,"PJ",""))</f>
        <v/>
      </c>
      <c r="BH1684" s="66"/>
      <c r="BI1684" s="58" t="str">
        <f aca="false">IF(BH1684&lt;&gt;"",VLOOKUP(BH1684,Selects!$G:$H,2,0),"")</f>
        <v/>
      </c>
      <c r="CB1684" s="72" t="str">
        <f aca="false">IF(AC1684&lt;&gt;"",VLOOKUP(AC1684,Selects!$B:$E,4,0),"")</f>
        <v/>
      </c>
    </row>
    <row r="1685" customFormat="false" ht="15" hidden="true" customHeight="false" outlineLevel="0" collapsed="false">
      <c r="E1685" s="60" t="str">
        <f aca="false">IF(LEN(D1685)=11,"PF",IF(LEN(D1685)=14,"PJ",""))</f>
        <v/>
      </c>
      <c r="I1685" s="62"/>
      <c r="J1685" s="63" t="str">
        <f aca="false">IF(I1685&lt;&gt;"",VLOOKUP(I1685,'Legal Nature'!$E$2:$G$84,3,0),"")</f>
        <v/>
      </c>
      <c r="U1685" s="58" t="str">
        <f aca="false">IF( T1685&lt;&gt;"",VLOOKUP(T1685,Selects!$M$4:$N$1000,2,0),"")</f>
        <v/>
      </c>
      <c r="AD1685" s="72" t="str">
        <f aca="false">IF(AC1685&lt;&gt;"",VLOOKUP(AC1685,Selects!$B$4:$C$100,2,0),"")</f>
        <v/>
      </c>
      <c r="AH1685" s="65"/>
      <c r="AJ1685" s="66"/>
      <c r="AK1685" s="58"/>
      <c r="AM1685" s="68" t="str">
        <f aca="false">IF(LEFT(AL1685,1)="9","Celular",IF(AL1685="","","Fixo"))</f>
        <v/>
      </c>
      <c r="AN1685" s="58" t="str">
        <f aca="false">IF( AM1685&lt;&gt;"",VLOOKUP(AM1685,Selects!$M$4:$N$1000,2,0),"")</f>
        <v/>
      </c>
      <c r="BB1685" s="72" t="str">
        <f aca="false">IF(BA1685&lt;&gt;"",VLOOKUP(BA1685,Selects!$B$4:$C$100,2,0),"")</f>
        <v/>
      </c>
      <c r="BG1685" s="75" t="str">
        <f aca="false">IF(LEN(BF1685)=11,"PF",IF(LEN(BF1685)=14,"PJ",""))</f>
        <v/>
      </c>
      <c r="BH1685" s="66"/>
      <c r="BI1685" s="58" t="str">
        <f aca="false">IF(BH1685&lt;&gt;"",VLOOKUP(BH1685,Selects!$G:$H,2,0),"")</f>
        <v/>
      </c>
      <c r="CB1685" s="72" t="str">
        <f aca="false">IF(AC1685&lt;&gt;"",VLOOKUP(AC1685,Selects!$B:$E,4,0),"")</f>
        <v/>
      </c>
    </row>
    <row r="1686" customFormat="false" ht="15" hidden="true" customHeight="false" outlineLevel="0" collapsed="false">
      <c r="E1686" s="60" t="str">
        <f aca="false">IF(LEN(D1686)=11,"PF",IF(LEN(D1686)=14,"PJ",""))</f>
        <v/>
      </c>
      <c r="I1686" s="62"/>
      <c r="J1686" s="63" t="str">
        <f aca="false">IF(I1686&lt;&gt;"",VLOOKUP(I1686,'Legal Nature'!$E$2:$G$84,3,0),"")</f>
        <v/>
      </c>
      <c r="U1686" s="58" t="str">
        <f aca="false">IF( T1686&lt;&gt;"",VLOOKUP(T1686,Selects!$M$4:$N$1000,2,0),"")</f>
        <v/>
      </c>
      <c r="AD1686" s="72" t="str">
        <f aca="false">IF(AC1686&lt;&gt;"",VLOOKUP(AC1686,Selects!$B$4:$C$100,2,0),"")</f>
        <v/>
      </c>
      <c r="AH1686" s="65"/>
      <c r="AJ1686" s="66"/>
      <c r="AK1686" s="58"/>
      <c r="AM1686" s="68" t="str">
        <f aca="false">IF(LEFT(AL1686,1)="9","Celular",IF(AL1686="","","Fixo"))</f>
        <v/>
      </c>
      <c r="AN1686" s="58" t="str">
        <f aca="false">IF( AM1686&lt;&gt;"",VLOOKUP(AM1686,Selects!$M$4:$N$1000,2,0),"")</f>
        <v/>
      </c>
      <c r="BB1686" s="72" t="str">
        <f aca="false">IF(BA1686&lt;&gt;"",VLOOKUP(BA1686,Selects!$B$4:$C$100,2,0),"")</f>
        <v/>
      </c>
      <c r="BG1686" s="75" t="str">
        <f aca="false">IF(LEN(BF1686)=11,"PF",IF(LEN(BF1686)=14,"PJ",""))</f>
        <v/>
      </c>
      <c r="BH1686" s="66"/>
      <c r="BI1686" s="58" t="str">
        <f aca="false">IF(BH1686&lt;&gt;"",VLOOKUP(BH1686,Selects!$G:$H,2,0),"")</f>
        <v/>
      </c>
      <c r="CB1686" s="72" t="str">
        <f aca="false">IF(AC1686&lt;&gt;"",VLOOKUP(AC1686,Selects!$B:$E,4,0),"")</f>
        <v/>
      </c>
    </row>
    <row r="1687" customFormat="false" ht="15" hidden="true" customHeight="false" outlineLevel="0" collapsed="false">
      <c r="E1687" s="60" t="str">
        <f aca="false">IF(LEN(D1687)=11,"PF",IF(LEN(D1687)=14,"PJ",""))</f>
        <v/>
      </c>
      <c r="I1687" s="62"/>
      <c r="J1687" s="63" t="str">
        <f aca="false">IF(I1687&lt;&gt;"",VLOOKUP(I1687,'Legal Nature'!$E$2:$G$84,3,0),"")</f>
        <v/>
      </c>
      <c r="U1687" s="58" t="str">
        <f aca="false">IF( T1687&lt;&gt;"",VLOOKUP(T1687,Selects!$M$4:$N$1000,2,0),"")</f>
        <v/>
      </c>
      <c r="AD1687" s="72" t="str">
        <f aca="false">IF(AC1687&lt;&gt;"",VLOOKUP(AC1687,Selects!$B$4:$C$100,2,0),"")</f>
        <v/>
      </c>
      <c r="AH1687" s="65"/>
      <c r="AJ1687" s="66"/>
      <c r="AK1687" s="58"/>
      <c r="AM1687" s="68" t="str">
        <f aca="false">IF(LEFT(AL1687,1)="9","Celular",IF(AL1687="","","Fixo"))</f>
        <v/>
      </c>
      <c r="AN1687" s="58" t="str">
        <f aca="false">IF( AM1687&lt;&gt;"",VLOOKUP(AM1687,Selects!$M$4:$N$1000,2,0),"")</f>
        <v/>
      </c>
      <c r="BB1687" s="72" t="str">
        <f aca="false">IF(BA1687&lt;&gt;"",VLOOKUP(BA1687,Selects!$B$4:$C$100,2,0),"")</f>
        <v/>
      </c>
      <c r="BG1687" s="75" t="str">
        <f aca="false">IF(LEN(BF1687)=11,"PF",IF(LEN(BF1687)=14,"PJ",""))</f>
        <v/>
      </c>
      <c r="BH1687" s="66"/>
      <c r="BI1687" s="58" t="str">
        <f aca="false">IF(BH1687&lt;&gt;"",VLOOKUP(BH1687,Selects!$G:$H,2,0),"")</f>
        <v/>
      </c>
      <c r="CB1687" s="72" t="str">
        <f aca="false">IF(AC1687&lt;&gt;"",VLOOKUP(AC1687,Selects!$B:$E,4,0),"")</f>
        <v/>
      </c>
    </row>
    <row r="1688" customFormat="false" ht="15" hidden="true" customHeight="false" outlineLevel="0" collapsed="false">
      <c r="E1688" s="60" t="str">
        <f aca="false">IF(LEN(D1688)=11,"PF",IF(LEN(D1688)=14,"PJ",""))</f>
        <v/>
      </c>
      <c r="I1688" s="62"/>
      <c r="J1688" s="63" t="str">
        <f aca="false">IF(I1688&lt;&gt;"",VLOOKUP(I1688,'Legal Nature'!$E$2:$G$84,3,0),"")</f>
        <v/>
      </c>
      <c r="U1688" s="58" t="str">
        <f aca="false">IF( T1688&lt;&gt;"",VLOOKUP(T1688,Selects!$M$4:$N$1000,2,0),"")</f>
        <v/>
      </c>
      <c r="AD1688" s="72" t="str">
        <f aca="false">IF(AC1688&lt;&gt;"",VLOOKUP(AC1688,Selects!$B$4:$C$100,2,0),"")</f>
        <v/>
      </c>
      <c r="AH1688" s="65"/>
      <c r="AJ1688" s="66"/>
      <c r="AK1688" s="58"/>
      <c r="AM1688" s="68" t="str">
        <f aca="false">IF(LEFT(AL1688,1)="9","Celular",IF(AL1688="","","Fixo"))</f>
        <v/>
      </c>
      <c r="AN1688" s="58" t="str">
        <f aca="false">IF( AM1688&lt;&gt;"",VLOOKUP(AM1688,Selects!$M$4:$N$1000,2,0),"")</f>
        <v/>
      </c>
      <c r="BB1688" s="72" t="str">
        <f aca="false">IF(BA1688&lt;&gt;"",VLOOKUP(BA1688,Selects!$B$4:$C$100,2,0),"")</f>
        <v/>
      </c>
      <c r="BG1688" s="75" t="str">
        <f aca="false">IF(LEN(BF1688)=11,"PF",IF(LEN(BF1688)=14,"PJ",""))</f>
        <v/>
      </c>
      <c r="BH1688" s="66"/>
      <c r="BI1688" s="58" t="str">
        <f aca="false">IF(BH1688&lt;&gt;"",VLOOKUP(BH1688,Selects!$G:$H,2,0),"")</f>
        <v/>
      </c>
      <c r="CB1688" s="72" t="str">
        <f aca="false">IF(AC1688&lt;&gt;"",VLOOKUP(AC1688,Selects!$B:$E,4,0),"")</f>
        <v/>
      </c>
    </row>
    <row r="1689" customFormat="false" ht="15" hidden="true" customHeight="false" outlineLevel="0" collapsed="false">
      <c r="E1689" s="60" t="str">
        <f aca="false">IF(LEN(D1689)=11,"PF",IF(LEN(D1689)=14,"PJ",""))</f>
        <v/>
      </c>
      <c r="I1689" s="62"/>
      <c r="J1689" s="63" t="str">
        <f aca="false">IF(I1689&lt;&gt;"",VLOOKUP(I1689,'Legal Nature'!$E$2:$G$84,3,0),"")</f>
        <v/>
      </c>
      <c r="U1689" s="58" t="str">
        <f aca="false">IF( T1689&lt;&gt;"",VLOOKUP(T1689,Selects!$M$4:$N$1000,2,0),"")</f>
        <v/>
      </c>
      <c r="AD1689" s="72" t="str">
        <f aca="false">IF(AC1689&lt;&gt;"",VLOOKUP(AC1689,Selects!$B$4:$C$100,2,0),"")</f>
        <v/>
      </c>
      <c r="AH1689" s="65"/>
      <c r="AJ1689" s="66"/>
      <c r="AK1689" s="58"/>
      <c r="AM1689" s="68" t="str">
        <f aca="false">IF(LEFT(AL1689,1)="9","Celular",IF(AL1689="","","Fixo"))</f>
        <v/>
      </c>
      <c r="AN1689" s="58" t="str">
        <f aca="false">IF( AM1689&lt;&gt;"",VLOOKUP(AM1689,Selects!$M$4:$N$1000,2,0),"")</f>
        <v/>
      </c>
      <c r="BB1689" s="72" t="str">
        <f aca="false">IF(BA1689&lt;&gt;"",VLOOKUP(BA1689,Selects!$B$4:$C$100,2,0),"")</f>
        <v/>
      </c>
      <c r="BG1689" s="75" t="str">
        <f aca="false">IF(LEN(BF1689)=11,"PF",IF(LEN(BF1689)=14,"PJ",""))</f>
        <v/>
      </c>
      <c r="BH1689" s="66"/>
      <c r="BI1689" s="58" t="str">
        <f aca="false">IF(BH1689&lt;&gt;"",VLOOKUP(BH1689,Selects!$G:$H,2,0),"")</f>
        <v/>
      </c>
      <c r="CB1689" s="72" t="str">
        <f aca="false">IF(AC1689&lt;&gt;"",VLOOKUP(AC1689,Selects!$B:$E,4,0),"")</f>
        <v/>
      </c>
    </row>
    <row r="1690" customFormat="false" ht="15" hidden="true" customHeight="false" outlineLevel="0" collapsed="false">
      <c r="E1690" s="60" t="str">
        <f aca="false">IF(LEN(D1690)=11,"PF",IF(LEN(D1690)=14,"PJ",""))</f>
        <v/>
      </c>
      <c r="I1690" s="62"/>
      <c r="J1690" s="63" t="str">
        <f aca="false">IF(I1690&lt;&gt;"",VLOOKUP(I1690,'Legal Nature'!$E$2:$G$84,3,0),"")</f>
        <v/>
      </c>
      <c r="U1690" s="58" t="str">
        <f aca="false">IF( T1690&lt;&gt;"",VLOOKUP(T1690,Selects!$M$4:$N$1000,2,0),"")</f>
        <v/>
      </c>
      <c r="AD1690" s="72" t="str">
        <f aca="false">IF(AC1690&lt;&gt;"",VLOOKUP(AC1690,Selects!$B$4:$C$100,2,0),"")</f>
        <v/>
      </c>
      <c r="AH1690" s="65"/>
      <c r="AJ1690" s="66"/>
      <c r="AK1690" s="58"/>
      <c r="AM1690" s="68" t="str">
        <f aca="false">IF(LEFT(AL1690,1)="9","Celular",IF(AL1690="","","Fixo"))</f>
        <v/>
      </c>
      <c r="AN1690" s="58" t="str">
        <f aca="false">IF( AM1690&lt;&gt;"",VLOOKUP(AM1690,Selects!$M$4:$N$1000,2,0),"")</f>
        <v/>
      </c>
      <c r="BB1690" s="72" t="str">
        <f aca="false">IF(BA1690&lt;&gt;"",VLOOKUP(BA1690,Selects!$B$4:$C$100,2,0),"")</f>
        <v/>
      </c>
      <c r="BG1690" s="75" t="str">
        <f aca="false">IF(LEN(BF1690)=11,"PF",IF(LEN(BF1690)=14,"PJ",""))</f>
        <v/>
      </c>
      <c r="BH1690" s="66"/>
      <c r="BI1690" s="58" t="str">
        <f aca="false">IF(BH1690&lt;&gt;"",VLOOKUP(BH1690,Selects!$G:$H,2,0),"")</f>
        <v/>
      </c>
      <c r="CB1690" s="72" t="str">
        <f aca="false">IF(AC1690&lt;&gt;"",VLOOKUP(AC1690,Selects!$B:$E,4,0),"")</f>
        <v/>
      </c>
    </row>
    <row r="1691" customFormat="false" ht="15" hidden="true" customHeight="false" outlineLevel="0" collapsed="false">
      <c r="E1691" s="60" t="str">
        <f aca="false">IF(LEN(D1691)=11,"PF",IF(LEN(D1691)=14,"PJ",""))</f>
        <v/>
      </c>
      <c r="I1691" s="62"/>
      <c r="J1691" s="63" t="str">
        <f aca="false">IF(I1691&lt;&gt;"",VLOOKUP(I1691,'Legal Nature'!$E$2:$G$84,3,0),"")</f>
        <v/>
      </c>
      <c r="U1691" s="58" t="str">
        <f aca="false">IF( T1691&lt;&gt;"",VLOOKUP(T1691,Selects!$M$4:$N$1000,2,0),"")</f>
        <v/>
      </c>
      <c r="AD1691" s="72" t="str">
        <f aca="false">IF(AC1691&lt;&gt;"",VLOOKUP(AC1691,Selects!$B$4:$C$100,2,0),"")</f>
        <v/>
      </c>
      <c r="AH1691" s="65"/>
      <c r="AJ1691" s="66"/>
      <c r="AK1691" s="58"/>
      <c r="AM1691" s="68" t="str">
        <f aca="false">IF(LEFT(AL1691,1)="9","Celular",IF(AL1691="","","Fixo"))</f>
        <v/>
      </c>
      <c r="AN1691" s="58" t="str">
        <f aca="false">IF( AM1691&lt;&gt;"",VLOOKUP(AM1691,Selects!$M$4:$N$1000,2,0),"")</f>
        <v/>
      </c>
      <c r="BB1691" s="72" t="str">
        <f aca="false">IF(BA1691&lt;&gt;"",VLOOKUP(BA1691,Selects!$B$4:$C$100,2,0),"")</f>
        <v/>
      </c>
      <c r="BG1691" s="75" t="str">
        <f aca="false">IF(LEN(BF1691)=11,"PF",IF(LEN(BF1691)=14,"PJ",""))</f>
        <v/>
      </c>
      <c r="BH1691" s="66"/>
      <c r="BI1691" s="58" t="str">
        <f aca="false">IF(BH1691&lt;&gt;"",VLOOKUP(BH1691,Selects!$G:$H,2,0),"")</f>
        <v/>
      </c>
      <c r="CB1691" s="72" t="str">
        <f aca="false">IF(AC1691&lt;&gt;"",VLOOKUP(AC1691,Selects!$B:$E,4,0),"")</f>
        <v/>
      </c>
    </row>
    <row r="1692" customFormat="false" ht="15" hidden="true" customHeight="false" outlineLevel="0" collapsed="false">
      <c r="E1692" s="60" t="str">
        <f aca="false">IF(LEN(D1692)=11,"PF",IF(LEN(D1692)=14,"PJ",""))</f>
        <v/>
      </c>
      <c r="I1692" s="62"/>
      <c r="J1692" s="63" t="str">
        <f aca="false">IF(I1692&lt;&gt;"",VLOOKUP(I1692,'Legal Nature'!$E$2:$G$84,3,0),"")</f>
        <v/>
      </c>
      <c r="U1692" s="58" t="str">
        <f aca="false">IF( T1692&lt;&gt;"",VLOOKUP(T1692,Selects!$M$4:$N$1000,2,0),"")</f>
        <v/>
      </c>
      <c r="AD1692" s="72" t="str">
        <f aca="false">IF(AC1692&lt;&gt;"",VLOOKUP(AC1692,Selects!$B$4:$C$100,2,0),"")</f>
        <v/>
      </c>
      <c r="AH1692" s="65"/>
      <c r="AJ1692" s="66"/>
      <c r="AK1692" s="58"/>
      <c r="AM1692" s="68" t="str">
        <f aca="false">IF(LEFT(AL1692,1)="9","Celular",IF(AL1692="","","Fixo"))</f>
        <v/>
      </c>
      <c r="AN1692" s="58" t="str">
        <f aca="false">IF( AM1692&lt;&gt;"",VLOOKUP(AM1692,Selects!$M$4:$N$1000,2,0),"")</f>
        <v/>
      </c>
      <c r="BB1692" s="72" t="str">
        <f aca="false">IF(BA1692&lt;&gt;"",VLOOKUP(BA1692,Selects!$B$4:$C$100,2,0),"")</f>
        <v/>
      </c>
      <c r="BG1692" s="75" t="str">
        <f aca="false">IF(LEN(BF1692)=11,"PF",IF(LEN(BF1692)=14,"PJ",""))</f>
        <v/>
      </c>
      <c r="BH1692" s="66"/>
      <c r="BI1692" s="58" t="str">
        <f aca="false">IF(BH1692&lt;&gt;"",VLOOKUP(BH1692,Selects!$G:$H,2,0),"")</f>
        <v/>
      </c>
      <c r="CB1692" s="72" t="str">
        <f aca="false">IF(AC1692&lt;&gt;"",VLOOKUP(AC1692,Selects!$B:$E,4,0),"")</f>
        <v/>
      </c>
    </row>
    <row r="1693" customFormat="false" ht="15" hidden="true" customHeight="false" outlineLevel="0" collapsed="false">
      <c r="E1693" s="60" t="str">
        <f aca="false">IF(LEN(D1693)=11,"PF",IF(LEN(D1693)=14,"PJ",""))</f>
        <v/>
      </c>
      <c r="I1693" s="62"/>
      <c r="J1693" s="63" t="str">
        <f aca="false">IF(I1693&lt;&gt;"",VLOOKUP(I1693,'Legal Nature'!$E$2:$G$84,3,0),"")</f>
        <v/>
      </c>
      <c r="U1693" s="58" t="str">
        <f aca="false">IF( T1693&lt;&gt;"",VLOOKUP(T1693,Selects!$M$4:$N$1000,2,0),"")</f>
        <v/>
      </c>
      <c r="AD1693" s="72" t="str">
        <f aca="false">IF(AC1693&lt;&gt;"",VLOOKUP(AC1693,Selects!$B$4:$C$100,2,0),"")</f>
        <v/>
      </c>
      <c r="AH1693" s="65"/>
      <c r="AJ1693" s="66"/>
      <c r="AK1693" s="58"/>
      <c r="AM1693" s="68" t="str">
        <f aca="false">IF(LEFT(AL1693,1)="9","Celular",IF(AL1693="","","Fixo"))</f>
        <v/>
      </c>
      <c r="AN1693" s="58" t="str">
        <f aca="false">IF( AM1693&lt;&gt;"",VLOOKUP(AM1693,Selects!$M$4:$N$1000,2,0),"")</f>
        <v/>
      </c>
      <c r="BB1693" s="72" t="str">
        <f aca="false">IF(BA1693&lt;&gt;"",VLOOKUP(BA1693,Selects!$B$4:$C$100,2,0),"")</f>
        <v/>
      </c>
      <c r="BG1693" s="75" t="str">
        <f aca="false">IF(LEN(BF1693)=11,"PF",IF(LEN(BF1693)=14,"PJ",""))</f>
        <v/>
      </c>
      <c r="BH1693" s="66"/>
      <c r="BI1693" s="58" t="str">
        <f aca="false">IF(BH1693&lt;&gt;"",VLOOKUP(BH1693,Selects!$G:$H,2,0),"")</f>
        <v/>
      </c>
      <c r="CB1693" s="72" t="str">
        <f aca="false">IF(AC1693&lt;&gt;"",VLOOKUP(AC1693,Selects!$B:$E,4,0),"")</f>
        <v/>
      </c>
    </row>
    <row r="1694" customFormat="false" ht="15" hidden="true" customHeight="false" outlineLevel="0" collapsed="false">
      <c r="E1694" s="60" t="str">
        <f aca="false">IF(LEN(D1694)=11,"PF",IF(LEN(D1694)=14,"PJ",""))</f>
        <v/>
      </c>
      <c r="I1694" s="62"/>
      <c r="J1694" s="63" t="str">
        <f aca="false">IF(I1694&lt;&gt;"",VLOOKUP(I1694,'Legal Nature'!$E$2:$G$84,3,0),"")</f>
        <v/>
      </c>
      <c r="U1694" s="58" t="str">
        <f aca="false">IF( T1694&lt;&gt;"",VLOOKUP(T1694,Selects!$M$4:$N$1000,2,0),"")</f>
        <v/>
      </c>
      <c r="AD1694" s="72" t="str">
        <f aca="false">IF(AC1694&lt;&gt;"",VLOOKUP(AC1694,Selects!$B$4:$C$100,2,0),"")</f>
        <v/>
      </c>
      <c r="AH1694" s="65"/>
      <c r="AJ1694" s="66"/>
      <c r="AK1694" s="58"/>
      <c r="AM1694" s="68" t="str">
        <f aca="false">IF(LEFT(AL1694,1)="9","Celular",IF(AL1694="","","Fixo"))</f>
        <v/>
      </c>
      <c r="AN1694" s="58" t="str">
        <f aca="false">IF( AM1694&lt;&gt;"",VLOOKUP(AM1694,Selects!$M$4:$N$1000,2,0),"")</f>
        <v/>
      </c>
      <c r="BB1694" s="72" t="str">
        <f aca="false">IF(BA1694&lt;&gt;"",VLOOKUP(BA1694,Selects!$B$4:$C$100,2,0),"")</f>
        <v/>
      </c>
      <c r="BG1694" s="75" t="str">
        <f aca="false">IF(LEN(BF1694)=11,"PF",IF(LEN(BF1694)=14,"PJ",""))</f>
        <v/>
      </c>
      <c r="BH1694" s="66"/>
      <c r="BI1694" s="58" t="str">
        <f aca="false">IF(BH1694&lt;&gt;"",VLOOKUP(BH1694,Selects!$G:$H,2,0),"")</f>
        <v/>
      </c>
      <c r="CB1694" s="72" t="str">
        <f aca="false">IF(AC1694&lt;&gt;"",VLOOKUP(AC1694,Selects!$B:$E,4,0),"")</f>
        <v/>
      </c>
    </row>
    <row r="1695" customFormat="false" ht="15" hidden="true" customHeight="false" outlineLevel="0" collapsed="false">
      <c r="E1695" s="60" t="str">
        <f aca="false">IF(LEN(D1695)=11,"PF",IF(LEN(D1695)=14,"PJ",""))</f>
        <v/>
      </c>
      <c r="I1695" s="62"/>
      <c r="J1695" s="63" t="str">
        <f aca="false">IF(I1695&lt;&gt;"",VLOOKUP(I1695,'Legal Nature'!$E$2:$G$84,3,0),"")</f>
        <v/>
      </c>
      <c r="U1695" s="58" t="str">
        <f aca="false">IF( T1695&lt;&gt;"",VLOOKUP(T1695,Selects!$M$4:$N$1000,2,0),"")</f>
        <v/>
      </c>
      <c r="AD1695" s="72" t="str">
        <f aca="false">IF(AC1695&lt;&gt;"",VLOOKUP(AC1695,Selects!$B$4:$C$100,2,0),"")</f>
        <v/>
      </c>
      <c r="AH1695" s="65"/>
      <c r="AJ1695" s="66"/>
      <c r="AK1695" s="58"/>
      <c r="AM1695" s="68" t="str">
        <f aca="false">IF(LEFT(AL1695,1)="9","Celular",IF(AL1695="","","Fixo"))</f>
        <v/>
      </c>
      <c r="AN1695" s="58" t="str">
        <f aca="false">IF( AM1695&lt;&gt;"",VLOOKUP(AM1695,Selects!$M$4:$N$1000,2,0),"")</f>
        <v/>
      </c>
      <c r="BB1695" s="72" t="str">
        <f aca="false">IF(BA1695&lt;&gt;"",VLOOKUP(BA1695,Selects!$B$4:$C$100,2,0),"")</f>
        <v/>
      </c>
      <c r="BG1695" s="75" t="str">
        <f aca="false">IF(LEN(BF1695)=11,"PF",IF(LEN(BF1695)=14,"PJ",""))</f>
        <v/>
      </c>
      <c r="BH1695" s="66"/>
      <c r="BI1695" s="58" t="str">
        <f aca="false">IF(BH1695&lt;&gt;"",VLOOKUP(BH1695,Selects!$G:$H,2,0),"")</f>
        <v/>
      </c>
      <c r="CB1695" s="72" t="str">
        <f aca="false">IF(AC1695&lt;&gt;"",VLOOKUP(AC1695,Selects!$B:$E,4,0),"")</f>
        <v/>
      </c>
    </row>
    <row r="1696" customFormat="false" ht="15" hidden="true" customHeight="false" outlineLevel="0" collapsed="false">
      <c r="E1696" s="60" t="str">
        <f aca="false">IF(LEN(D1696)=11,"PF",IF(LEN(D1696)=14,"PJ",""))</f>
        <v/>
      </c>
      <c r="I1696" s="62"/>
      <c r="J1696" s="63" t="str">
        <f aca="false">IF(I1696&lt;&gt;"",VLOOKUP(I1696,'Legal Nature'!$E$2:$G$84,3,0),"")</f>
        <v/>
      </c>
      <c r="U1696" s="58" t="str">
        <f aca="false">IF( T1696&lt;&gt;"",VLOOKUP(T1696,Selects!$M$4:$N$1000,2,0),"")</f>
        <v/>
      </c>
      <c r="AD1696" s="72" t="str">
        <f aca="false">IF(AC1696&lt;&gt;"",VLOOKUP(AC1696,Selects!$B$4:$C$100,2,0),"")</f>
        <v/>
      </c>
      <c r="AH1696" s="65"/>
      <c r="AJ1696" s="66"/>
      <c r="AK1696" s="58"/>
      <c r="AM1696" s="68" t="str">
        <f aca="false">IF(LEFT(AL1696,1)="9","Celular",IF(AL1696="","","Fixo"))</f>
        <v/>
      </c>
      <c r="AN1696" s="58" t="str">
        <f aca="false">IF( AM1696&lt;&gt;"",VLOOKUP(AM1696,Selects!$M$4:$N$1000,2,0),"")</f>
        <v/>
      </c>
      <c r="BB1696" s="72" t="str">
        <f aca="false">IF(BA1696&lt;&gt;"",VLOOKUP(BA1696,Selects!$B$4:$C$100,2,0),"")</f>
        <v/>
      </c>
      <c r="BG1696" s="75" t="str">
        <f aca="false">IF(LEN(BF1696)=11,"PF",IF(LEN(BF1696)=14,"PJ",""))</f>
        <v/>
      </c>
      <c r="BH1696" s="66"/>
      <c r="BI1696" s="58" t="str">
        <f aca="false">IF(BH1696&lt;&gt;"",VLOOKUP(BH1696,Selects!$G:$H,2,0),"")</f>
        <v/>
      </c>
      <c r="CB1696" s="72" t="str">
        <f aca="false">IF(AC1696&lt;&gt;"",VLOOKUP(AC1696,Selects!$B:$E,4,0),"")</f>
        <v/>
      </c>
    </row>
    <row r="1697" customFormat="false" ht="15" hidden="true" customHeight="false" outlineLevel="0" collapsed="false">
      <c r="E1697" s="60" t="str">
        <f aca="false">IF(LEN(D1697)=11,"PF",IF(LEN(D1697)=14,"PJ",""))</f>
        <v/>
      </c>
      <c r="I1697" s="62"/>
      <c r="J1697" s="63" t="str">
        <f aca="false">IF(I1697&lt;&gt;"",VLOOKUP(I1697,'Legal Nature'!$E$2:$G$84,3,0),"")</f>
        <v/>
      </c>
      <c r="U1697" s="58" t="str">
        <f aca="false">IF( T1697&lt;&gt;"",VLOOKUP(T1697,Selects!$M$4:$N$1000,2,0),"")</f>
        <v/>
      </c>
      <c r="AD1697" s="72" t="str">
        <f aca="false">IF(AC1697&lt;&gt;"",VLOOKUP(AC1697,Selects!$B$4:$C$100,2,0),"")</f>
        <v/>
      </c>
      <c r="AH1697" s="65"/>
      <c r="AJ1697" s="66"/>
      <c r="AK1697" s="58"/>
      <c r="AM1697" s="68" t="str">
        <f aca="false">IF(LEFT(AL1697,1)="9","Celular",IF(AL1697="","","Fixo"))</f>
        <v/>
      </c>
      <c r="AN1697" s="58" t="str">
        <f aca="false">IF( AM1697&lt;&gt;"",VLOOKUP(AM1697,Selects!$M$4:$N$1000,2,0),"")</f>
        <v/>
      </c>
      <c r="BB1697" s="72" t="str">
        <f aca="false">IF(BA1697&lt;&gt;"",VLOOKUP(BA1697,Selects!$B$4:$C$100,2,0),"")</f>
        <v/>
      </c>
      <c r="BG1697" s="75" t="str">
        <f aca="false">IF(LEN(BF1697)=11,"PF",IF(LEN(BF1697)=14,"PJ",""))</f>
        <v/>
      </c>
      <c r="BH1697" s="66"/>
      <c r="BI1697" s="58" t="str">
        <f aca="false">IF(BH1697&lt;&gt;"",VLOOKUP(BH1697,Selects!$G:$H,2,0),"")</f>
        <v/>
      </c>
      <c r="CB1697" s="72" t="str">
        <f aca="false">IF(AC1697&lt;&gt;"",VLOOKUP(AC1697,Selects!$B:$E,4,0),"")</f>
        <v/>
      </c>
    </row>
    <row r="1698" customFormat="false" ht="15" hidden="true" customHeight="false" outlineLevel="0" collapsed="false">
      <c r="E1698" s="60" t="str">
        <f aca="false">IF(LEN(D1698)=11,"PF",IF(LEN(D1698)=14,"PJ",""))</f>
        <v/>
      </c>
      <c r="I1698" s="62"/>
      <c r="J1698" s="63" t="str">
        <f aca="false">IF(I1698&lt;&gt;"",VLOOKUP(I1698,'Legal Nature'!$E$2:$G$84,3,0),"")</f>
        <v/>
      </c>
      <c r="U1698" s="58" t="str">
        <f aca="false">IF( T1698&lt;&gt;"",VLOOKUP(T1698,Selects!$M$4:$N$1000,2,0),"")</f>
        <v/>
      </c>
      <c r="AD1698" s="72" t="str">
        <f aca="false">IF(AC1698&lt;&gt;"",VLOOKUP(AC1698,Selects!$B$4:$C$100,2,0),"")</f>
        <v/>
      </c>
      <c r="AH1698" s="65"/>
      <c r="AJ1698" s="66"/>
      <c r="AK1698" s="58"/>
      <c r="AM1698" s="68" t="str">
        <f aca="false">IF(LEFT(AL1698,1)="9","Celular",IF(AL1698="","","Fixo"))</f>
        <v/>
      </c>
      <c r="AN1698" s="58" t="str">
        <f aca="false">IF( AM1698&lt;&gt;"",VLOOKUP(AM1698,Selects!$M$4:$N$1000,2,0),"")</f>
        <v/>
      </c>
      <c r="BB1698" s="72" t="str">
        <f aca="false">IF(BA1698&lt;&gt;"",VLOOKUP(BA1698,Selects!$B$4:$C$100,2,0),"")</f>
        <v/>
      </c>
      <c r="BG1698" s="75" t="str">
        <f aca="false">IF(LEN(BF1698)=11,"PF",IF(LEN(BF1698)=14,"PJ",""))</f>
        <v/>
      </c>
      <c r="BH1698" s="66"/>
      <c r="BI1698" s="58" t="str">
        <f aca="false">IF(BH1698&lt;&gt;"",VLOOKUP(BH1698,Selects!$G:$H,2,0),"")</f>
        <v/>
      </c>
      <c r="CB1698" s="72" t="str">
        <f aca="false">IF(AC1698&lt;&gt;"",VLOOKUP(AC1698,Selects!$B:$E,4,0),"")</f>
        <v/>
      </c>
    </row>
    <row r="1699" customFormat="false" ht="15" hidden="true" customHeight="false" outlineLevel="0" collapsed="false">
      <c r="E1699" s="60" t="str">
        <f aca="false">IF(LEN(D1699)=11,"PF",IF(LEN(D1699)=14,"PJ",""))</f>
        <v/>
      </c>
      <c r="I1699" s="62"/>
      <c r="J1699" s="63" t="str">
        <f aca="false">IF(I1699&lt;&gt;"",VLOOKUP(I1699,'Legal Nature'!$E$2:$G$84,3,0),"")</f>
        <v/>
      </c>
      <c r="U1699" s="58" t="str">
        <f aca="false">IF( T1699&lt;&gt;"",VLOOKUP(T1699,Selects!$M$4:$N$1000,2,0),"")</f>
        <v/>
      </c>
      <c r="AD1699" s="72" t="str">
        <f aca="false">IF(AC1699&lt;&gt;"",VLOOKUP(AC1699,Selects!$B$4:$C$100,2,0),"")</f>
        <v/>
      </c>
      <c r="AH1699" s="65"/>
      <c r="AJ1699" s="66"/>
      <c r="AK1699" s="58"/>
      <c r="AM1699" s="68" t="str">
        <f aca="false">IF(LEFT(AL1699,1)="9","Celular",IF(AL1699="","","Fixo"))</f>
        <v/>
      </c>
      <c r="AN1699" s="58" t="str">
        <f aca="false">IF( AM1699&lt;&gt;"",VLOOKUP(AM1699,Selects!$M$4:$N$1000,2,0),"")</f>
        <v/>
      </c>
      <c r="BB1699" s="72" t="str">
        <f aca="false">IF(BA1699&lt;&gt;"",VLOOKUP(BA1699,Selects!$B$4:$C$100,2,0),"")</f>
        <v/>
      </c>
      <c r="BG1699" s="75" t="str">
        <f aca="false">IF(LEN(BF1699)=11,"PF",IF(LEN(BF1699)=14,"PJ",""))</f>
        <v/>
      </c>
      <c r="BH1699" s="66"/>
      <c r="BI1699" s="58" t="str">
        <f aca="false">IF(BH1699&lt;&gt;"",VLOOKUP(BH1699,Selects!$G:$H,2,0),"")</f>
        <v/>
      </c>
      <c r="CB1699" s="72" t="str">
        <f aca="false">IF(AC1699&lt;&gt;"",VLOOKUP(AC1699,Selects!$B:$E,4,0),"")</f>
        <v/>
      </c>
    </row>
    <row r="1700" customFormat="false" ht="15" hidden="true" customHeight="false" outlineLevel="0" collapsed="false">
      <c r="E1700" s="60" t="str">
        <f aca="false">IF(LEN(D1700)=11,"PF",IF(LEN(D1700)=14,"PJ",""))</f>
        <v/>
      </c>
      <c r="I1700" s="62"/>
      <c r="J1700" s="63" t="str">
        <f aca="false">IF(I1700&lt;&gt;"",VLOOKUP(I1700,'Legal Nature'!$E$2:$G$84,3,0),"")</f>
        <v/>
      </c>
      <c r="U1700" s="58" t="str">
        <f aca="false">IF( T1700&lt;&gt;"",VLOOKUP(T1700,Selects!$M$4:$N$1000,2,0),"")</f>
        <v/>
      </c>
      <c r="AD1700" s="72" t="str">
        <f aca="false">IF(AC1700&lt;&gt;"",VLOOKUP(AC1700,Selects!$B$4:$C$100,2,0),"")</f>
        <v/>
      </c>
      <c r="AH1700" s="65"/>
      <c r="AJ1700" s="66"/>
      <c r="AK1700" s="58"/>
      <c r="AM1700" s="68" t="str">
        <f aca="false">IF(LEFT(AL1700,1)="9","Celular",IF(AL1700="","","Fixo"))</f>
        <v/>
      </c>
      <c r="AN1700" s="58" t="str">
        <f aca="false">IF( AM1700&lt;&gt;"",VLOOKUP(AM1700,Selects!$M$4:$N$1000,2,0),"")</f>
        <v/>
      </c>
      <c r="BB1700" s="72" t="str">
        <f aca="false">IF(BA1700&lt;&gt;"",VLOOKUP(BA1700,Selects!$B$4:$C$100,2,0),"")</f>
        <v/>
      </c>
      <c r="BG1700" s="75" t="str">
        <f aca="false">IF(LEN(BF1700)=11,"PF",IF(LEN(BF1700)=14,"PJ",""))</f>
        <v/>
      </c>
      <c r="BH1700" s="66"/>
      <c r="BI1700" s="58" t="str">
        <f aca="false">IF(BH1700&lt;&gt;"",VLOOKUP(BH1700,Selects!$G:$H,2,0),"")</f>
        <v/>
      </c>
      <c r="CB1700" s="72" t="str">
        <f aca="false">IF(AC1700&lt;&gt;"",VLOOKUP(AC1700,Selects!$B:$E,4,0),"")</f>
        <v/>
      </c>
    </row>
    <row r="1701" customFormat="false" ht="15" hidden="true" customHeight="false" outlineLevel="0" collapsed="false">
      <c r="E1701" s="60" t="str">
        <f aca="false">IF(LEN(D1701)=11,"PF",IF(LEN(D1701)=14,"PJ",""))</f>
        <v/>
      </c>
      <c r="I1701" s="62"/>
      <c r="J1701" s="63" t="str">
        <f aca="false">IF(I1701&lt;&gt;"",VLOOKUP(I1701,'Legal Nature'!$E$2:$G$84,3,0),"")</f>
        <v/>
      </c>
      <c r="U1701" s="58" t="str">
        <f aca="false">IF( T1701&lt;&gt;"",VLOOKUP(T1701,Selects!$M$4:$N$1000,2,0),"")</f>
        <v/>
      </c>
      <c r="AD1701" s="72" t="str">
        <f aca="false">IF(AC1701&lt;&gt;"",VLOOKUP(AC1701,Selects!$B$4:$C$100,2,0),"")</f>
        <v/>
      </c>
      <c r="AH1701" s="65"/>
      <c r="AJ1701" s="66"/>
      <c r="AK1701" s="58"/>
      <c r="AM1701" s="68" t="str">
        <f aca="false">IF(LEFT(AL1701,1)="9","Celular",IF(AL1701="","","Fixo"))</f>
        <v/>
      </c>
      <c r="AN1701" s="58" t="str">
        <f aca="false">IF( AM1701&lt;&gt;"",VLOOKUP(AM1701,Selects!$M$4:$N$1000,2,0),"")</f>
        <v/>
      </c>
      <c r="BB1701" s="72" t="str">
        <f aca="false">IF(BA1701&lt;&gt;"",VLOOKUP(BA1701,Selects!$B$4:$C$100,2,0),"")</f>
        <v/>
      </c>
      <c r="BG1701" s="75" t="str">
        <f aca="false">IF(LEN(BF1701)=11,"PF",IF(LEN(BF1701)=14,"PJ",""))</f>
        <v/>
      </c>
      <c r="BH1701" s="66"/>
      <c r="BI1701" s="58" t="str">
        <f aca="false">IF(BH1701&lt;&gt;"",VLOOKUP(BH1701,Selects!$G:$H,2,0),"")</f>
        <v/>
      </c>
      <c r="CB1701" s="72" t="str">
        <f aca="false">IF(AC1701&lt;&gt;"",VLOOKUP(AC1701,Selects!$B:$E,4,0),"")</f>
        <v/>
      </c>
    </row>
    <row r="1702" customFormat="false" ht="15" hidden="true" customHeight="false" outlineLevel="0" collapsed="false">
      <c r="E1702" s="60" t="str">
        <f aca="false">IF(LEN(D1702)=11,"PF",IF(LEN(D1702)=14,"PJ",""))</f>
        <v/>
      </c>
      <c r="I1702" s="62"/>
      <c r="J1702" s="63" t="str">
        <f aca="false">IF(I1702&lt;&gt;"",VLOOKUP(I1702,'Legal Nature'!$E$2:$G$84,3,0),"")</f>
        <v/>
      </c>
      <c r="U1702" s="58" t="str">
        <f aca="false">IF( T1702&lt;&gt;"",VLOOKUP(T1702,Selects!$M$4:$N$1000,2,0),"")</f>
        <v/>
      </c>
      <c r="AD1702" s="72" t="str">
        <f aca="false">IF(AC1702&lt;&gt;"",VLOOKUP(AC1702,Selects!$B$4:$C$100,2,0),"")</f>
        <v/>
      </c>
      <c r="AH1702" s="65"/>
      <c r="AJ1702" s="66"/>
      <c r="AK1702" s="58"/>
      <c r="AM1702" s="68" t="str">
        <f aca="false">IF(LEFT(AL1702,1)="9","Celular",IF(AL1702="","","Fixo"))</f>
        <v/>
      </c>
      <c r="AN1702" s="58" t="str">
        <f aca="false">IF( AM1702&lt;&gt;"",VLOOKUP(AM1702,Selects!$M$4:$N$1000,2,0),"")</f>
        <v/>
      </c>
      <c r="BB1702" s="72" t="str">
        <f aca="false">IF(BA1702&lt;&gt;"",VLOOKUP(BA1702,Selects!$B$4:$C$100,2,0),"")</f>
        <v/>
      </c>
      <c r="BG1702" s="75" t="str">
        <f aca="false">IF(LEN(BF1702)=11,"PF",IF(LEN(BF1702)=14,"PJ",""))</f>
        <v/>
      </c>
      <c r="BH1702" s="66"/>
      <c r="BI1702" s="58" t="str">
        <f aca="false">IF(BH1702&lt;&gt;"",VLOOKUP(BH1702,Selects!$G:$H,2,0),"")</f>
        <v/>
      </c>
      <c r="CB1702" s="72" t="str">
        <f aca="false">IF(AC1702&lt;&gt;"",VLOOKUP(AC1702,Selects!$B:$E,4,0),"")</f>
        <v/>
      </c>
    </row>
    <row r="1703" customFormat="false" ht="15" hidden="true" customHeight="false" outlineLevel="0" collapsed="false">
      <c r="E1703" s="60" t="str">
        <f aca="false">IF(LEN(D1703)=11,"PF",IF(LEN(D1703)=14,"PJ",""))</f>
        <v/>
      </c>
      <c r="I1703" s="62"/>
      <c r="J1703" s="63" t="str">
        <f aca="false">IF(I1703&lt;&gt;"",VLOOKUP(I1703,'Legal Nature'!$E$2:$G$84,3,0),"")</f>
        <v/>
      </c>
      <c r="U1703" s="58" t="str">
        <f aca="false">IF( T1703&lt;&gt;"",VLOOKUP(T1703,Selects!$M$4:$N$1000,2,0),"")</f>
        <v/>
      </c>
      <c r="AD1703" s="72" t="str">
        <f aca="false">IF(AC1703&lt;&gt;"",VLOOKUP(AC1703,Selects!$B$4:$C$100,2,0),"")</f>
        <v/>
      </c>
      <c r="AH1703" s="65"/>
      <c r="AJ1703" s="66"/>
      <c r="AK1703" s="58"/>
      <c r="AM1703" s="68" t="str">
        <f aca="false">IF(LEFT(AL1703,1)="9","Celular",IF(AL1703="","","Fixo"))</f>
        <v/>
      </c>
      <c r="AN1703" s="58" t="str">
        <f aca="false">IF( AM1703&lt;&gt;"",VLOOKUP(AM1703,Selects!$M$4:$N$1000,2,0),"")</f>
        <v/>
      </c>
      <c r="BB1703" s="72" t="str">
        <f aca="false">IF(BA1703&lt;&gt;"",VLOOKUP(BA1703,Selects!$B$4:$C$100,2,0),"")</f>
        <v/>
      </c>
      <c r="BG1703" s="75" t="str">
        <f aca="false">IF(LEN(BF1703)=11,"PF",IF(LEN(BF1703)=14,"PJ",""))</f>
        <v/>
      </c>
      <c r="BH1703" s="66"/>
      <c r="BI1703" s="58" t="str">
        <f aca="false">IF(BH1703&lt;&gt;"",VLOOKUP(BH1703,Selects!$G:$H,2,0),"")</f>
        <v/>
      </c>
      <c r="CB1703" s="72" t="str">
        <f aca="false">IF(AC1703&lt;&gt;"",VLOOKUP(AC1703,Selects!$B:$E,4,0),"")</f>
        <v/>
      </c>
    </row>
    <row r="1704" customFormat="false" ht="15" hidden="true" customHeight="false" outlineLevel="0" collapsed="false">
      <c r="E1704" s="60" t="str">
        <f aca="false">IF(LEN(D1704)=11,"PF",IF(LEN(D1704)=14,"PJ",""))</f>
        <v/>
      </c>
      <c r="I1704" s="62"/>
      <c r="J1704" s="63" t="str">
        <f aca="false">IF(I1704&lt;&gt;"",VLOOKUP(I1704,'Legal Nature'!$E$2:$G$84,3,0),"")</f>
        <v/>
      </c>
      <c r="U1704" s="58" t="str">
        <f aca="false">IF( T1704&lt;&gt;"",VLOOKUP(T1704,Selects!$M$4:$N$1000,2,0),"")</f>
        <v/>
      </c>
      <c r="AD1704" s="72" t="str">
        <f aca="false">IF(AC1704&lt;&gt;"",VLOOKUP(AC1704,Selects!$B$4:$C$100,2,0),"")</f>
        <v/>
      </c>
      <c r="AH1704" s="65"/>
      <c r="AJ1704" s="66"/>
      <c r="AK1704" s="58"/>
      <c r="AM1704" s="68" t="str">
        <f aca="false">IF(LEFT(AL1704,1)="9","Celular",IF(AL1704="","","Fixo"))</f>
        <v/>
      </c>
      <c r="AN1704" s="58" t="str">
        <f aca="false">IF( AM1704&lt;&gt;"",VLOOKUP(AM1704,Selects!$M$4:$N$1000,2,0),"")</f>
        <v/>
      </c>
      <c r="BB1704" s="72" t="str">
        <f aca="false">IF(BA1704&lt;&gt;"",VLOOKUP(BA1704,Selects!$B$4:$C$100,2,0),"")</f>
        <v/>
      </c>
      <c r="BG1704" s="75" t="str">
        <f aca="false">IF(LEN(BF1704)=11,"PF",IF(LEN(BF1704)=14,"PJ",""))</f>
        <v/>
      </c>
      <c r="BH1704" s="66"/>
      <c r="BI1704" s="58" t="str">
        <f aca="false">IF(BH1704&lt;&gt;"",VLOOKUP(BH1704,Selects!$G:$H,2,0),"")</f>
        <v/>
      </c>
      <c r="CB1704" s="72" t="str">
        <f aca="false">IF(AC1704&lt;&gt;"",VLOOKUP(AC1704,Selects!$B:$E,4,0),"")</f>
        <v/>
      </c>
    </row>
    <row r="1705" customFormat="false" ht="15" hidden="true" customHeight="false" outlineLevel="0" collapsed="false">
      <c r="E1705" s="60" t="str">
        <f aca="false">IF(LEN(D1705)=11,"PF",IF(LEN(D1705)=14,"PJ",""))</f>
        <v/>
      </c>
      <c r="I1705" s="62"/>
      <c r="J1705" s="63" t="str">
        <f aca="false">IF(I1705&lt;&gt;"",VLOOKUP(I1705,'Legal Nature'!$E$2:$G$84,3,0),"")</f>
        <v/>
      </c>
      <c r="U1705" s="58" t="str">
        <f aca="false">IF( T1705&lt;&gt;"",VLOOKUP(T1705,Selects!$M$4:$N$1000,2,0),"")</f>
        <v/>
      </c>
      <c r="AD1705" s="72" t="str">
        <f aca="false">IF(AC1705&lt;&gt;"",VLOOKUP(AC1705,Selects!$B$4:$C$100,2,0),"")</f>
        <v/>
      </c>
      <c r="AH1705" s="65"/>
      <c r="AJ1705" s="66"/>
      <c r="AK1705" s="58"/>
      <c r="AM1705" s="68" t="str">
        <f aca="false">IF(LEFT(AL1705,1)="9","Celular",IF(AL1705="","","Fixo"))</f>
        <v/>
      </c>
      <c r="AN1705" s="58" t="str">
        <f aca="false">IF( AM1705&lt;&gt;"",VLOOKUP(AM1705,Selects!$M$4:$N$1000,2,0),"")</f>
        <v/>
      </c>
      <c r="BB1705" s="72" t="str">
        <f aca="false">IF(BA1705&lt;&gt;"",VLOOKUP(BA1705,Selects!$B$4:$C$100,2,0),"")</f>
        <v/>
      </c>
      <c r="BG1705" s="75" t="str">
        <f aca="false">IF(LEN(BF1705)=11,"PF",IF(LEN(BF1705)=14,"PJ",""))</f>
        <v/>
      </c>
      <c r="BH1705" s="66"/>
      <c r="BI1705" s="58" t="str">
        <f aca="false">IF(BH1705&lt;&gt;"",VLOOKUP(BH1705,Selects!$G:$H,2,0),"")</f>
        <v/>
      </c>
      <c r="CB1705" s="72" t="str">
        <f aca="false">IF(AC1705&lt;&gt;"",VLOOKUP(AC1705,Selects!$B:$E,4,0),"")</f>
        <v/>
      </c>
    </row>
    <row r="1706" customFormat="false" ht="15" hidden="true" customHeight="false" outlineLevel="0" collapsed="false">
      <c r="E1706" s="60" t="str">
        <f aca="false">IF(LEN(D1706)=11,"PF",IF(LEN(D1706)=14,"PJ",""))</f>
        <v/>
      </c>
      <c r="I1706" s="62"/>
      <c r="J1706" s="63" t="str">
        <f aca="false">IF(I1706&lt;&gt;"",VLOOKUP(I1706,'Legal Nature'!$E$2:$G$84,3,0),"")</f>
        <v/>
      </c>
      <c r="U1706" s="58" t="str">
        <f aca="false">IF( T1706&lt;&gt;"",VLOOKUP(T1706,Selects!$M$4:$N$1000,2,0),"")</f>
        <v/>
      </c>
      <c r="AD1706" s="72" t="str">
        <f aca="false">IF(AC1706&lt;&gt;"",VLOOKUP(AC1706,Selects!$B$4:$C$100,2,0),"")</f>
        <v/>
      </c>
      <c r="AH1706" s="65"/>
      <c r="AJ1706" s="66"/>
      <c r="AK1706" s="58"/>
      <c r="AM1706" s="68" t="str">
        <f aca="false">IF(LEFT(AL1706,1)="9","Celular",IF(AL1706="","","Fixo"))</f>
        <v/>
      </c>
      <c r="AN1706" s="58" t="str">
        <f aca="false">IF( AM1706&lt;&gt;"",VLOOKUP(AM1706,Selects!$M$4:$N$1000,2,0),"")</f>
        <v/>
      </c>
      <c r="BB1706" s="72" t="str">
        <f aca="false">IF(BA1706&lt;&gt;"",VLOOKUP(BA1706,Selects!$B$4:$C$100,2,0),"")</f>
        <v/>
      </c>
      <c r="BG1706" s="75" t="str">
        <f aca="false">IF(LEN(BF1706)=11,"PF",IF(LEN(BF1706)=14,"PJ",""))</f>
        <v/>
      </c>
      <c r="BH1706" s="66"/>
      <c r="BI1706" s="58" t="str">
        <f aca="false">IF(BH1706&lt;&gt;"",VLOOKUP(BH1706,Selects!$G:$H,2,0),"")</f>
        <v/>
      </c>
      <c r="CB1706" s="72" t="str">
        <f aca="false">IF(AC1706&lt;&gt;"",VLOOKUP(AC1706,Selects!$B:$E,4,0),"")</f>
        <v/>
      </c>
    </row>
    <row r="1707" customFormat="false" ht="15" hidden="true" customHeight="false" outlineLevel="0" collapsed="false">
      <c r="E1707" s="60" t="str">
        <f aca="false">IF(LEN(D1707)=11,"PF",IF(LEN(D1707)=14,"PJ",""))</f>
        <v/>
      </c>
      <c r="I1707" s="62"/>
      <c r="J1707" s="63" t="str">
        <f aca="false">IF(I1707&lt;&gt;"",VLOOKUP(I1707,'Legal Nature'!$E$2:$G$84,3,0),"")</f>
        <v/>
      </c>
      <c r="AD1707" s="72" t="str">
        <f aca="false">IF(AC1707&lt;&gt;"",VLOOKUP(AC1707,Selects!$B$4:$C$100,2,0),"")</f>
        <v/>
      </c>
      <c r="AH1707" s="65"/>
      <c r="AJ1707" s="66"/>
      <c r="AK1707" s="58"/>
      <c r="AM1707" s="68" t="str">
        <f aca="false">IF(LEFT(AL1707,1)="9","Celular",IF(AL1707="","","Fixo"))</f>
        <v/>
      </c>
      <c r="AN1707" s="58" t="str">
        <f aca="false">IF( AM1707&lt;&gt;"",VLOOKUP(AM1707,Selects!$M$4:$N$1000,2,0),"")</f>
        <v/>
      </c>
      <c r="BB1707" s="72" t="str">
        <f aca="false">IF(BA1707&lt;&gt;"",VLOOKUP(BA1707,Selects!$B$4:$C$100,2,0),"")</f>
        <v/>
      </c>
      <c r="BG1707" s="75" t="str">
        <f aca="false">IF(LEN(BF1707)=11,"PF",IF(LEN(BF1707)=14,"PJ",""))</f>
        <v/>
      </c>
      <c r="BH1707" s="66"/>
      <c r="BI1707" s="58" t="str">
        <f aca="false">IF(BH1707&lt;&gt;"",VLOOKUP(BH1707,Selects!$G:$H,2,0),"")</f>
        <v/>
      </c>
      <c r="CB1707" s="72" t="str">
        <f aca="false">IF(AC1707&lt;&gt;"",VLOOKUP(AC1707,Selects!$B:$E,4,0),"")</f>
        <v/>
      </c>
    </row>
    <row r="1708" customFormat="false" ht="15" hidden="true" customHeight="false" outlineLevel="0" collapsed="false">
      <c r="E1708" s="60" t="str">
        <f aca="false">IF(LEN(D1708)=11,"PF",IF(LEN(D1708)=14,"PJ",""))</f>
        <v/>
      </c>
      <c r="I1708" s="62"/>
      <c r="J1708" s="63" t="str">
        <f aca="false">IF(I1708&lt;&gt;"",VLOOKUP(I1708,'Legal Nature'!$E$2:$G$84,3,0),"")</f>
        <v/>
      </c>
      <c r="AD1708" s="72" t="str">
        <f aca="false">IF(AC1708&lt;&gt;"",VLOOKUP(AC1708,Selects!$B$4:$C$100,2,0),"")</f>
        <v/>
      </c>
      <c r="AH1708" s="65"/>
      <c r="AJ1708" s="66"/>
      <c r="AK1708" s="58"/>
      <c r="AM1708" s="68" t="str">
        <f aca="false">IF(LEFT(AL1708,1)="9","Celular",IF(AL1708="","","Fixo"))</f>
        <v/>
      </c>
      <c r="AN1708" s="58" t="str">
        <f aca="false">IF( AM1708&lt;&gt;"",VLOOKUP(AM1708,Selects!$M$4:$N$1000,2,0),"")</f>
        <v/>
      </c>
      <c r="BB1708" s="72" t="str">
        <f aca="false">IF(BA1708&lt;&gt;"",VLOOKUP(BA1708,Selects!$B$4:$C$100,2,0),"")</f>
        <v/>
      </c>
      <c r="BG1708" s="75" t="str">
        <f aca="false">IF(LEN(BF1708)=11,"PF",IF(LEN(BF1708)=14,"PJ",""))</f>
        <v/>
      </c>
      <c r="BH1708" s="66"/>
      <c r="BI1708" s="58" t="str">
        <f aca="false">IF(BH1708&lt;&gt;"",VLOOKUP(BH1708,Selects!$G:$H,2,0),"")</f>
        <v/>
      </c>
      <c r="CB1708" s="72" t="str">
        <f aca="false">IF(AC1708&lt;&gt;"",VLOOKUP(AC1708,Selects!$B:$E,4,0),"")</f>
        <v/>
      </c>
    </row>
    <row r="1709" customFormat="false" ht="15" hidden="true" customHeight="false" outlineLevel="0" collapsed="false">
      <c r="E1709" s="60" t="str">
        <f aca="false">IF(LEN(D1709)=11,"PF",IF(LEN(D1709)=14,"PJ",""))</f>
        <v/>
      </c>
      <c r="I1709" s="62"/>
      <c r="J1709" s="63" t="str">
        <f aca="false">IF(I1709&lt;&gt;"",VLOOKUP(I1709,'Legal Nature'!$E$2:$G$84,3,0),"")</f>
        <v/>
      </c>
      <c r="AD1709" s="72" t="str">
        <f aca="false">IF(AC1709&lt;&gt;"",VLOOKUP(AC1709,Selects!$B$4:$C$100,2,0),"")</f>
        <v/>
      </c>
      <c r="AH1709" s="65"/>
      <c r="AJ1709" s="66"/>
      <c r="AK1709" s="58"/>
      <c r="AM1709" s="68" t="str">
        <f aca="false">IF(LEFT(AL1709,1)="9","Celular",IF(AL1709="","","Fixo"))</f>
        <v/>
      </c>
      <c r="AN1709" s="58" t="str">
        <f aca="false">IF( AM1709&lt;&gt;"",VLOOKUP(AM1709,Selects!$M$4:$N$1000,2,0),"")</f>
        <v/>
      </c>
      <c r="BB1709" s="72" t="str">
        <f aca="false">IF(BA1709&lt;&gt;"",VLOOKUP(BA1709,Selects!$B$4:$C$100,2,0),"")</f>
        <v/>
      </c>
      <c r="BG1709" s="75" t="str">
        <f aca="false">IF(LEN(BF1709)=11,"PF",IF(LEN(BF1709)=14,"PJ",""))</f>
        <v/>
      </c>
      <c r="BH1709" s="66"/>
      <c r="BI1709" s="58" t="str">
        <f aca="false">IF(BH1709&lt;&gt;"",VLOOKUP(BH1709,Selects!$G:$H,2,0),"")</f>
        <v/>
      </c>
      <c r="CB1709" s="72" t="str">
        <f aca="false">IF(AC1709&lt;&gt;"",VLOOKUP(AC1709,Selects!$B:$E,4,0),"")</f>
        <v/>
      </c>
    </row>
    <row r="1710" customFormat="false" ht="15" hidden="true" customHeight="false" outlineLevel="0" collapsed="false">
      <c r="E1710" s="60" t="str">
        <f aca="false">IF(LEN(D1710)=11,"PF",IF(LEN(D1710)=14,"PJ",""))</f>
        <v/>
      </c>
      <c r="I1710" s="62"/>
      <c r="J1710" s="63" t="str">
        <f aca="false">IF(I1710&lt;&gt;"",VLOOKUP(I1710,'Legal Nature'!$E$2:$G$84,3,0),"")</f>
        <v/>
      </c>
      <c r="AD1710" s="72" t="str">
        <f aca="false">IF(AC1710&lt;&gt;"",VLOOKUP(AC1710,Selects!$B$4:$C$100,2,0),"")</f>
        <v/>
      </c>
      <c r="AH1710" s="65"/>
      <c r="AJ1710" s="66"/>
      <c r="AK1710" s="58"/>
      <c r="AM1710" s="68" t="str">
        <f aca="false">IF(LEFT(AL1710,1)="9","Celular",IF(AL1710="","","Fixo"))</f>
        <v/>
      </c>
      <c r="AN1710" s="58" t="str">
        <f aca="false">IF( AM1710&lt;&gt;"",VLOOKUP(AM1710,Selects!$M$4:$N$1000,2,0),"")</f>
        <v/>
      </c>
      <c r="BB1710" s="72" t="str">
        <f aca="false">IF(BA1710&lt;&gt;"",VLOOKUP(BA1710,Selects!$B$4:$C$100,2,0),"")</f>
        <v/>
      </c>
      <c r="BG1710" s="75" t="str">
        <f aca="false">IF(LEN(BF1710)=11,"PF",IF(LEN(BF1710)=14,"PJ",""))</f>
        <v/>
      </c>
      <c r="BH1710" s="66"/>
      <c r="BI1710" s="58" t="str">
        <f aca="false">IF(BH1710&lt;&gt;"",VLOOKUP(BH1710,Selects!$G:$H,2,0),"")</f>
        <v/>
      </c>
      <c r="CB1710" s="72" t="str">
        <f aca="false">IF(AC1710&lt;&gt;"",VLOOKUP(AC1710,Selects!$B:$E,4,0),"")</f>
        <v/>
      </c>
    </row>
    <row r="1711" customFormat="false" ht="15" hidden="true" customHeight="false" outlineLevel="0" collapsed="false">
      <c r="E1711" s="60" t="str">
        <f aca="false">IF(LEN(D1711)=11,"PF",IF(LEN(D1711)=14,"PJ",""))</f>
        <v/>
      </c>
      <c r="I1711" s="62"/>
      <c r="J1711" s="63" t="str">
        <f aca="false">IF(I1711&lt;&gt;"",VLOOKUP(I1711,'Legal Nature'!$E$2:$G$84,3,0),"")</f>
        <v/>
      </c>
      <c r="AD1711" s="72" t="str">
        <f aca="false">IF(AC1711&lt;&gt;"",VLOOKUP(AC1711,Selects!$B$4:$C$100,2,0),"")</f>
        <v/>
      </c>
      <c r="AH1711" s="65"/>
      <c r="AJ1711" s="66"/>
      <c r="AK1711" s="58"/>
      <c r="AM1711" s="68" t="str">
        <f aca="false">IF(LEFT(AL1711,1)="9","Celular",IF(AL1711="","","Fixo"))</f>
        <v/>
      </c>
      <c r="AN1711" s="58" t="str">
        <f aca="false">IF( AM1711&lt;&gt;"",VLOOKUP(AM1711,Selects!$M$4:$N$1000,2,0),"")</f>
        <v/>
      </c>
      <c r="BB1711" s="72" t="str">
        <f aca="false">IF(BA1711&lt;&gt;"",VLOOKUP(BA1711,Selects!$B$4:$C$100,2,0),"")</f>
        <v/>
      </c>
      <c r="BG1711" s="75" t="str">
        <f aca="false">IF(LEN(BF1711)=11,"PF",IF(LEN(BF1711)=14,"PJ",""))</f>
        <v/>
      </c>
      <c r="BH1711" s="66"/>
      <c r="BI1711" s="58" t="str">
        <f aca="false">IF(BH1711&lt;&gt;"",VLOOKUP(BH1711,Selects!$G:$H,2,0),"")</f>
        <v/>
      </c>
      <c r="CB1711" s="72" t="str">
        <f aca="false">IF(AC1711&lt;&gt;"",VLOOKUP(AC1711,Selects!$B:$E,4,0),"")</f>
        <v/>
      </c>
    </row>
    <row r="1712" customFormat="false" ht="15" hidden="true" customHeight="false" outlineLevel="0" collapsed="false">
      <c r="E1712" s="60" t="str">
        <f aca="false">IF(LEN(D1712)=11,"PF",IF(LEN(D1712)=14,"PJ",""))</f>
        <v/>
      </c>
      <c r="I1712" s="62"/>
      <c r="J1712" s="63" t="str">
        <f aca="false">IF(I1712&lt;&gt;"",VLOOKUP(I1712,'Legal Nature'!$E$2:$G$84,3,0),"")</f>
        <v/>
      </c>
      <c r="AD1712" s="72" t="str">
        <f aca="false">IF(AC1712&lt;&gt;"",VLOOKUP(AC1712,Selects!$B$4:$C$100,2,0),"")</f>
        <v/>
      </c>
      <c r="AH1712" s="65"/>
      <c r="AJ1712" s="66"/>
      <c r="AK1712" s="58"/>
      <c r="AM1712" s="68" t="str">
        <f aca="false">IF(LEFT(AL1712,1)="9","Celular",IF(AL1712="","","Fixo"))</f>
        <v/>
      </c>
      <c r="AN1712" s="58" t="str">
        <f aca="false">IF( AM1712&lt;&gt;"",VLOOKUP(AM1712,Selects!$M$4:$N$1000,2,0),"")</f>
        <v/>
      </c>
      <c r="BB1712" s="72" t="str">
        <f aca="false">IF(BA1712&lt;&gt;"",VLOOKUP(BA1712,Selects!$B$4:$C$100,2,0),"")</f>
        <v/>
      </c>
      <c r="BG1712" s="75" t="str">
        <f aca="false">IF(LEN(BF1712)=11,"PF",IF(LEN(BF1712)=14,"PJ",""))</f>
        <v/>
      </c>
      <c r="BH1712" s="66"/>
      <c r="BI1712" s="58" t="str">
        <f aca="false">IF(BH1712&lt;&gt;"",VLOOKUP(BH1712,Selects!$G:$H,2,0),"")</f>
        <v/>
      </c>
      <c r="CB1712" s="72" t="str">
        <f aca="false">IF(AC1712&lt;&gt;"",VLOOKUP(AC1712,Selects!$B:$E,4,0),"")</f>
        <v/>
      </c>
    </row>
    <row r="1713" customFormat="false" ht="15" hidden="true" customHeight="false" outlineLevel="0" collapsed="false">
      <c r="E1713" s="60" t="str">
        <f aca="false">IF(LEN(D1713)=11,"PF",IF(LEN(D1713)=14,"PJ",""))</f>
        <v/>
      </c>
      <c r="I1713" s="62"/>
      <c r="J1713" s="63" t="str">
        <f aca="false">IF(I1713&lt;&gt;"",VLOOKUP(I1713,'Legal Nature'!$E$2:$G$84,3,0),"")</f>
        <v/>
      </c>
      <c r="AD1713" s="72" t="str">
        <f aca="false">IF(AC1713&lt;&gt;"",VLOOKUP(AC1713,Selects!$B$4:$C$100,2,0),"")</f>
        <v/>
      </c>
      <c r="AH1713" s="65"/>
      <c r="AJ1713" s="66"/>
      <c r="AK1713" s="58"/>
      <c r="AM1713" s="68" t="str">
        <f aca="false">IF(LEFT(AL1713,1)="9","Celular",IF(AL1713="","","Fixo"))</f>
        <v/>
      </c>
      <c r="AN1713" s="58" t="str">
        <f aca="false">IF( AM1713&lt;&gt;"",VLOOKUP(AM1713,Selects!$M$4:$N$1000,2,0),"")</f>
        <v/>
      </c>
      <c r="BB1713" s="72" t="str">
        <f aca="false">IF(BA1713&lt;&gt;"",VLOOKUP(BA1713,Selects!$B$4:$C$100,2,0),"")</f>
        <v/>
      </c>
      <c r="BG1713" s="75" t="str">
        <f aca="false">IF(LEN(BF1713)=11,"PF",IF(LEN(BF1713)=14,"PJ",""))</f>
        <v/>
      </c>
      <c r="BH1713" s="66"/>
      <c r="BI1713" s="58" t="str">
        <f aca="false">IF(BH1713&lt;&gt;"",VLOOKUP(BH1713,Selects!$G:$H,2,0),"")</f>
        <v/>
      </c>
      <c r="CB1713" s="72" t="str">
        <f aca="false">IF(AC1713&lt;&gt;"",VLOOKUP(AC1713,Selects!$B:$E,4,0),"")</f>
        <v/>
      </c>
    </row>
    <row r="1714" customFormat="false" ht="15" hidden="true" customHeight="false" outlineLevel="0" collapsed="false">
      <c r="E1714" s="60" t="str">
        <f aca="false">IF(LEN(D1714)=11,"PF",IF(LEN(D1714)=14,"PJ",""))</f>
        <v/>
      </c>
      <c r="I1714" s="62"/>
      <c r="J1714" s="63" t="str">
        <f aca="false">IF(I1714&lt;&gt;"",VLOOKUP(I1714,'Legal Nature'!$E$2:$G$84,3,0),"")</f>
        <v/>
      </c>
      <c r="AD1714" s="72" t="str">
        <f aca="false">IF(AC1714&lt;&gt;"",VLOOKUP(AC1714,Selects!$B$4:$C$100,2,0),"")</f>
        <v/>
      </c>
      <c r="AH1714" s="65"/>
      <c r="AJ1714" s="66"/>
      <c r="AK1714" s="58"/>
      <c r="AM1714" s="68" t="str">
        <f aca="false">IF(LEFT(AL1714,1)="9","Celular",IF(AL1714="","","Fixo"))</f>
        <v/>
      </c>
      <c r="AN1714" s="58" t="str">
        <f aca="false">IF( AM1714&lt;&gt;"",VLOOKUP(AM1714,Selects!$M$4:$N$1000,2,0),"")</f>
        <v/>
      </c>
      <c r="BB1714" s="72" t="str">
        <f aca="false">IF(BA1714&lt;&gt;"",VLOOKUP(BA1714,Selects!$B$4:$C$100,2,0),"")</f>
        <v/>
      </c>
      <c r="BG1714" s="75" t="str">
        <f aca="false">IF(LEN(BF1714)=11,"PF",IF(LEN(BF1714)=14,"PJ",""))</f>
        <v/>
      </c>
      <c r="BH1714" s="66"/>
      <c r="BI1714" s="58" t="str">
        <f aca="false">IF(BH1714&lt;&gt;"",VLOOKUP(BH1714,Selects!$G:$H,2,0),"")</f>
        <v/>
      </c>
      <c r="CB1714" s="72" t="str">
        <f aca="false">IF(AC1714&lt;&gt;"",VLOOKUP(AC1714,Selects!$B:$E,4,0),"")</f>
        <v/>
      </c>
    </row>
    <row r="1715" customFormat="false" ht="15" hidden="true" customHeight="false" outlineLevel="0" collapsed="false">
      <c r="E1715" s="60" t="str">
        <f aca="false">IF(LEN(D1715)=11,"PF",IF(LEN(D1715)=14,"PJ",""))</f>
        <v/>
      </c>
      <c r="I1715" s="62"/>
      <c r="J1715" s="63" t="str">
        <f aca="false">IF(I1715&lt;&gt;"",VLOOKUP(I1715,'Legal Nature'!$E$2:$G$84,3,0),"")</f>
        <v/>
      </c>
      <c r="AD1715" s="72" t="str">
        <f aca="false">IF(AC1715&lt;&gt;"",VLOOKUP(AC1715,Selects!$B$4:$C$100,2,0),"")</f>
        <v/>
      </c>
      <c r="AH1715" s="65"/>
      <c r="AJ1715" s="66"/>
      <c r="AK1715" s="58"/>
      <c r="AM1715" s="68" t="str">
        <f aca="false">IF(LEFT(AL1715,1)="9","Celular",IF(AL1715="","","Fixo"))</f>
        <v/>
      </c>
      <c r="AN1715" s="58" t="str">
        <f aca="false">IF( AM1715&lt;&gt;"",VLOOKUP(AM1715,Selects!$M$4:$N$1000,2,0),"")</f>
        <v/>
      </c>
      <c r="BB1715" s="72" t="str">
        <f aca="false">IF(BA1715&lt;&gt;"",VLOOKUP(BA1715,Selects!$B$4:$C$100,2,0),"")</f>
        <v/>
      </c>
      <c r="BG1715" s="75" t="str">
        <f aca="false">IF(LEN(BF1715)=11,"PF",IF(LEN(BF1715)=14,"PJ",""))</f>
        <v/>
      </c>
      <c r="BH1715" s="66"/>
      <c r="BI1715" s="58" t="str">
        <f aca="false">IF(BH1715&lt;&gt;"",VLOOKUP(BH1715,Selects!$G:$H,2,0),"")</f>
        <v/>
      </c>
      <c r="CB1715" s="72" t="str">
        <f aca="false">IF(AC1715&lt;&gt;"",VLOOKUP(AC1715,Selects!$B:$E,4,0),"")</f>
        <v/>
      </c>
    </row>
    <row r="1716" customFormat="false" ht="15" hidden="true" customHeight="false" outlineLevel="0" collapsed="false">
      <c r="E1716" s="60" t="str">
        <f aca="false">IF(LEN(D1716)=11,"PF",IF(LEN(D1716)=14,"PJ",""))</f>
        <v/>
      </c>
      <c r="I1716" s="62"/>
      <c r="J1716" s="63" t="str">
        <f aca="false">IF(I1716&lt;&gt;"",VLOOKUP(I1716,'Legal Nature'!$E$2:$G$84,3,0),"")</f>
        <v/>
      </c>
      <c r="AD1716" s="72" t="str">
        <f aca="false">IF(AC1716&lt;&gt;"",VLOOKUP(AC1716,Selects!$B$4:$C$100,2,0),"")</f>
        <v/>
      </c>
      <c r="AH1716" s="65"/>
      <c r="AJ1716" s="66"/>
      <c r="AK1716" s="58"/>
      <c r="AM1716" s="68" t="str">
        <f aca="false">IF(LEFT(AL1716,1)="9","Celular",IF(AL1716="","","Fixo"))</f>
        <v/>
      </c>
      <c r="AN1716" s="58" t="str">
        <f aca="false">IF( AM1716&lt;&gt;"",VLOOKUP(AM1716,Selects!$M$4:$N$1000,2,0),"")</f>
        <v/>
      </c>
      <c r="BB1716" s="72" t="str">
        <f aca="false">IF(BA1716&lt;&gt;"",VLOOKUP(BA1716,Selects!$B$4:$C$100,2,0),"")</f>
        <v/>
      </c>
      <c r="BG1716" s="75" t="str">
        <f aca="false">IF(LEN(BF1716)=11,"PF",IF(LEN(BF1716)=14,"PJ",""))</f>
        <v/>
      </c>
      <c r="BH1716" s="66"/>
      <c r="BI1716" s="58" t="str">
        <f aca="false">IF(BH1716&lt;&gt;"",VLOOKUP(BH1716,Selects!$G:$H,2,0),"")</f>
        <v/>
      </c>
      <c r="CB1716" s="72" t="str">
        <f aca="false">IF(AC1716&lt;&gt;"",VLOOKUP(AC1716,Selects!$B:$E,4,0),"")</f>
        <v/>
      </c>
    </row>
    <row r="1717" customFormat="false" ht="15" hidden="true" customHeight="false" outlineLevel="0" collapsed="false">
      <c r="E1717" s="60" t="str">
        <f aca="false">IF(LEN(D1717)=11,"PF",IF(LEN(D1717)=14,"PJ",""))</f>
        <v/>
      </c>
      <c r="I1717" s="62"/>
      <c r="J1717" s="63" t="str">
        <f aca="false">IF(I1717&lt;&gt;"",VLOOKUP(I1717,'Legal Nature'!$E$2:$G$84,3,0),"")</f>
        <v/>
      </c>
      <c r="AD1717" s="72" t="str">
        <f aca="false">IF(AC1717&lt;&gt;"",VLOOKUP(AC1717,Selects!$B$4:$C$100,2,0),"")</f>
        <v/>
      </c>
      <c r="AH1717" s="65"/>
      <c r="AJ1717" s="66"/>
      <c r="AK1717" s="58"/>
      <c r="AM1717" s="68" t="str">
        <f aca="false">IF(LEFT(AL1717,1)="9","Celular",IF(AL1717="","","Fixo"))</f>
        <v/>
      </c>
      <c r="AN1717" s="58" t="str">
        <f aca="false">IF( AM1717&lt;&gt;"",VLOOKUP(AM1717,Selects!$M$4:$N$1000,2,0),"")</f>
        <v/>
      </c>
      <c r="BB1717" s="72" t="str">
        <f aca="false">IF(BA1717&lt;&gt;"",VLOOKUP(BA1717,Selects!$B$4:$C$100,2,0),"")</f>
        <v/>
      </c>
      <c r="BG1717" s="75" t="str">
        <f aca="false">IF(LEN(BF1717)=11,"PF",IF(LEN(BF1717)=14,"PJ",""))</f>
        <v/>
      </c>
      <c r="BH1717" s="66"/>
      <c r="BI1717" s="58" t="str">
        <f aca="false">IF(BH1717&lt;&gt;"",VLOOKUP(BH1717,Selects!$G:$H,2,0),"")</f>
        <v/>
      </c>
      <c r="CB1717" s="72" t="str">
        <f aca="false">IF(AC1717&lt;&gt;"",VLOOKUP(AC1717,Selects!$B:$E,4,0),"")</f>
        <v/>
      </c>
    </row>
    <row r="1718" customFormat="false" ht="15" hidden="true" customHeight="false" outlineLevel="0" collapsed="false">
      <c r="E1718" s="60" t="str">
        <f aca="false">IF(LEN(D1718)=11,"PF",IF(LEN(D1718)=14,"PJ",""))</f>
        <v/>
      </c>
      <c r="I1718" s="62"/>
      <c r="J1718" s="63" t="str">
        <f aca="false">IF(I1718&lt;&gt;"",VLOOKUP(I1718,'Legal Nature'!$E$2:$G$84,3,0),"")</f>
        <v/>
      </c>
      <c r="AD1718" s="72" t="str">
        <f aca="false">IF(AC1718&lt;&gt;"",VLOOKUP(AC1718,Selects!$B$4:$C$100,2,0),"")</f>
        <v/>
      </c>
      <c r="AH1718" s="65"/>
      <c r="AJ1718" s="66"/>
      <c r="AK1718" s="58"/>
      <c r="AM1718" s="68" t="str">
        <f aca="false">IF(LEFT(AL1718,1)="9","Celular",IF(AL1718="","","Fixo"))</f>
        <v/>
      </c>
      <c r="AN1718" s="58" t="str">
        <f aca="false">IF( AM1718&lt;&gt;"",VLOOKUP(AM1718,Selects!$M$4:$N$1000,2,0),"")</f>
        <v/>
      </c>
      <c r="BB1718" s="72" t="str">
        <f aca="false">IF(BA1718&lt;&gt;"",VLOOKUP(BA1718,Selects!$B$4:$C$100,2,0),"")</f>
        <v/>
      </c>
      <c r="BG1718" s="75" t="str">
        <f aca="false">IF(LEN(BF1718)=11,"PF",IF(LEN(BF1718)=14,"PJ",""))</f>
        <v/>
      </c>
      <c r="BH1718" s="66"/>
      <c r="BI1718" s="58" t="str">
        <f aca="false">IF(BH1718&lt;&gt;"",VLOOKUP(BH1718,Selects!$G:$H,2,0),"")</f>
        <v/>
      </c>
      <c r="CB1718" s="72" t="str">
        <f aca="false">IF(AC1718&lt;&gt;"",VLOOKUP(AC1718,Selects!$B:$E,4,0),"")</f>
        <v/>
      </c>
    </row>
    <row r="1719" customFormat="false" ht="15" hidden="true" customHeight="false" outlineLevel="0" collapsed="false">
      <c r="E1719" s="60" t="str">
        <f aca="false">IF(LEN(D1719)=11,"PF",IF(LEN(D1719)=14,"PJ",""))</f>
        <v/>
      </c>
      <c r="I1719" s="62"/>
      <c r="J1719" s="63" t="str">
        <f aca="false">IF(I1719&lt;&gt;"",VLOOKUP(I1719,'Legal Nature'!$E$2:$G$84,3,0),"")</f>
        <v/>
      </c>
      <c r="AD1719" s="72" t="str">
        <f aca="false">IF(AC1719&lt;&gt;"",VLOOKUP(AC1719,Selects!$B$4:$C$100,2,0),"")</f>
        <v/>
      </c>
      <c r="AH1719" s="65"/>
      <c r="AJ1719" s="66"/>
      <c r="AK1719" s="58"/>
      <c r="AM1719" s="68" t="str">
        <f aca="false">IF(LEFT(AL1719,1)="9","Celular",IF(AL1719="","","Fixo"))</f>
        <v/>
      </c>
      <c r="AN1719" s="58" t="str">
        <f aca="false">IF( AM1719&lt;&gt;"",VLOOKUP(AM1719,Selects!$M$4:$N$1000,2,0),"")</f>
        <v/>
      </c>
      <c r="BB1719" s="72" t="str">
        <f aca="false">IF(BA1719&lt;&gt;"",VLOOKUP(BA1719,Selects!$B$4:$C$100,2,0),"")</f>
        <v/>
      </c>
      <c r="BG1719" s="75" t="str">
        <f aca="false">IF(LEN(BF1719)=11,"PF",IF(LEN(BF1719)=14,"PJ",""))</f>
        <v/>
      </c>
      <c r="BH1719" s="66"/>
      <c r="BI1719" s="58" t="str">
        <f aca="false">IF(BH1719&lt;&gt;"",VLOOKUP(BH1719,Selects!$G:$H,2,0),"")</f>
        <v/>
      </c>
      <c r="CB1719" s="72" t="str">
        <f aca="false">IF(AC1719&lt;&gt;"",VLOOKUP(AC1719,Selects!$B:$E,4,0),"")</f>
        <v/>
      </c>
    </row>
    <row r="1720" customFormat="false" ht="15" hidden="true" customHeight="false" outlineLevel="0" collapsed="false">
      <c r="E1720" s="60" t="str">
        <f aca="false">IF(LEN(D1720)=11,"PF",IF(LEN(D1720)=14,"PJ",""))</f>
        <v/>
      </c>
      <c r="I1720" s="62"/>
      <c r="J1720" s="63" t="str">
        <f aca="false">IF(I1720&lt;&gt;"",VLOOKUP(I1720,'Legal Nature'!$E$2:$G$84,3,0),"")</f>
        <v/>
      </c>
      <c r="AD1720" s="72" t="str">
        <f aca="false">IF(AC1720&lt;&gt;"",VLOOKUP(AC1720,Selects!$B$4:$C$100,2,0),"")</f>
        <v/>
      </c>
      <c r="AH1720" s="65"/>
      <c r="AJ1720" s="66"/>
      <c r="AK1720" s="58"/>
      <c r="AM1720" s="68" t="str">
        <f aca="false">IF(LEFT(AL1720,1)="9","Celular",IF(AL1720="","","Fixo"))</f>
        <v/>
      </c>
      <c r="AN1720" s="58" t="str">
        <f aca="false">IF( AM1720&lt;&gt;"",VLOOKUP(AM1720,Selects!$M$4:$N$1000,2,0),"")</f>
        <v/>
      </c>
      <c r="BB1720" s="72" t="str">
        <f aca="false">IF(BA1720&lt;&gt;"",VLOOKUP(BA1720,Selects!$B$4:$C$100,2,0),"")</f>
        <v/>
      </c>
      <c r="BG1720" s="75" t="str">
        <f aca="false">IF(LEN(BF1720)=11,"PF",IF(LEN(BF1720)=14,"PJ",""))</f>
        <v/>
      </c>
      <c r="BH1720" s="66"/>
      <c r="BI1720" s="58" t="str">
        <f aca="false">IF(BH1720&lt;&gt;"",VLOOKUP(BH1720,Selects!$G:$H,2,0),"")</f>
        <v/>
      </c>
      <c r="CB1720" s="72" t="str">
        <f aca="false">IF(AC1720&lt;&gt;"",VLOOKUP(AC1720,Selects!$B:$E,4,0),"")</f>
        <v/>
      </c>
    </row>
    <row r="1721" customFormat="false" ht="15" hidden="true" customHeight="false" outlineLevel="0" collapsed="false">
      <c r="E1721" s="60" t="str">
        <f aca="false">IF(LEN(D1721)=11,"PF",IF(LEN(D1721)=14,"PJ",""))</f>
        <v/>
      </c>
      <c r="I1721" s="62"/>
      <c r="J1721" s="63" t="str">
        <f aca="false">IF(I1721&lt;&gt;"",VLOOKUP(I1721,'Legal Nature'!$E$2:$G$84,3,0),"")</f>
        <v/>
      </c>
      <c r="AD1721" s="72" t="str">
        <f aca="false">IF(AC1721&lt;&gt;"",VLOOKUP(AC1721,Selects!$B$4:$C$100,2,0),"")</f>
        <v/>
      </c>
      <c r="AH1721" s="65"/>
      <c r="AJ1721" s="66"/>
      <c r="AK1721" s="58"/>
      <c r="AM1721" s="68" t="str">
        <f aca="false">IF(LEFT(AL1721,1)="9","Celular",IF(AL1721="","","Fixo"))</f>
        <v/>
      </c>
      <c r="AN1721" s="58" t="str">
        <f aca="false">IF( AM1721&lt;&gt;"",VLOOKUP(AM1721,Selects!$M$4:$N$1000,2,0),"")</f>
        <v/>
      </c>
      <c r="BB1721" s="72" t="str">
        <f aca="false">IF(BA1721&lt;&gt;"",VLOOKUP(BA1721,Selects!$B$4:$C$100,2,0),"")</f>
        <v/>
      </c>
      <c r="BG1721" s="75" t="str">
        <f aca="false">IF(LEN(BF1721)=11,"PF",IF(LEN(BF1721)=14,"PJ",""))</f>
        <v/>
      </c>
      <c r="BH1721" s="66"/>
      <c r="BI1721" s="58" t="str">
        <f aca="false">IF(BH1721&lt;&gt;"",VLOOKUP(BH1721,Selects!$G:$H,2,0),"")</f>
        <v/>
      </c>
      <c r="CB1721" s="72" t="str">
        <f aca="false">IF(AC1721&lt;&gt;"",VLOOKUP(AC1721,Selects!$B:$E,4,0),"")</f>
        <v/>
      </c>
    </row>
    <row r="1722" customFormat="false" ht="15" hidden="true" customHeight="false" outlineLevel="0" collapsed="false">
      <c r="E1722" s="60" t="str">
        <f aca="false">IF(LEN(D1722)=11,"PF",IF(LEN(D1722)=14,"PJ",""))</f>
        <v/>
      </c>
      <c r="I1722" s="62"/>
      <c r="J1722" s="63" t="str">
        <f aca="false">IF(I1722&lt;&gt;"",VLOOKUP(I1722,'Legal Nature'!$E$2:$G$84,3,0),"")</f>
        <v/>
      </c>
      <c r="AD1722" s="72" t="str">
        <f aca="false">IF(AC1722&lt;&gt;"",VLOOKUP(AC1722,Selects!$B$4:$C$100,2,0),"")</f>
        <v/>
      </c>
      <c r="AH1722" s="65"/>
      <c r="AJ1722" s="66"/>
      <c r="AK1722" s="58"/>
      <c r="AM1722" s="68" t="str">
        <f aca="false">IF(LEFT(AL1722,1)="9","Celular",IF(AL1722="","","Fixo"))</f>
        <v/>
      </c>
      <c r="AN1722" s="58" t="str">
        <f aca="false">IF( AM1722&lt;&gt;"",VLOOKUP(AM1722,Selects!$M$4:$N$1000,2,0),"")</f>
        <v/>
      </c>
      <c r="BB1722" s="72" t="str">
        <f aca="false">IF(BA1722&lt;&gt;"",VLOOKUP(BA1722,Selects!$B$4:$C$100,2,0),"")</f>
        <v/>
      </c>
      <c r="BG1722" s="75" t="str">
        <f aca="false">IF(LEN(BF1722)=11,"PF",IF(LEN(BF1722)=14,"PJ",""))</f>
        <v/>
      </c>
      <c r="BH1722" s="66"/>
      <c r="BI1722" s="58" t="str">
        <f aca="false">IF(BH1722&lt;&gt;"",VLOOKUP(BH1722,Selects!$G:$H,2,0),"")</f>
        <v/>
      </c>
      <c r="CB1722" s="72" t="str">
        <f aca="false">IF(AC1722&lt;&gt;"",VLOOKUP(AC1722,Selects!$B:$E,4,0),"")</f>
        <v/>
      </c>
    </row>
    <row r="1723" customFormat="false" ht="15" hidden="true" customHeight="false" outlineLevel="0" collapsed="false">
      <c r="E1723" s="60" t="str">
        <f aca="false">IF(LEN(D1723)=11,"PF",IF(LEN(D1723)=14,"PJ",""))</f>
        <v/>
      </c>
      <c r="I1723" s="62"/>
      <c r="J1723" s="63" t="str">
        <f aca="false">IF(I1723&lt;&gt;"",VLOOKUP(I1723,'Legal Nature'!$E$2:$G$84,3,0),"")</f>
        <v/>
      </c>
      <c r="AD1723" s="72" t="str">
        <f aca="false">IF(AC1723&lt;&gt;"",VLOOKUP(AC1723,Selects!$B$4:$C$100,2,0),"")</f>
        <v/>
      </c>
      <c r="AH1723" s="65"/>
      <c r="AJ1723" s="66"/>
      <c r="AK1723" s="58"/>
      <c r="AM1723" s="68" t="str">
        <f aca="false">IF(LEFT(AL1723,1)="9","Celular",IF(AL1723="","","Fixo"))</f>
        <v/>
      </c>
      <c r="AN1723" s="58" t="str">
        <f aca="false">IF( AM1723&lt;&gt;"",VLOOKUP(AM1723,Selects!$M$4:$N$1000,2,0),"")</f>
        <v/>
      </c>
      <c r="BB1723" s="72" t="str">
        <f aca="false">IF(BA1723&lt;&gt;"",VLOOKUP(BA1723,Selects!$B$4:$C$100,2,0),"")</f>
        <v/>
      </c>
      <c r="BG1723" s="75" t="str">
        <f aca="false">IF(LEN(BF1723)=11,"PF",IF(LEN(BF1723)=14,"PJ",""))</f>
        <v/>
      </c>
      <c r="BH1723" s="66"/>
      <c r="BI1723" s="58" t="str">
        <f aca="false">IF(BH1723&lt;&gt;"",VLOOKUP(BH1723,Selects!$G:$H,2,0),"")</f>
        <v/>
      </c>
      <c r="CB1723" s="72" t="str">
        <f aca="false">IF(AC1723&lt;&gt;"",VLOOKUP(AC1723,Selects!$B:$E,4,0),"")</f>
        <v/>
      </c>
    </row>
    <row r="1724" customFormat="false" ht="15" hidden="true" customHeight="false" outlineLevel="0" collapsed="false">
      <c r="E1724" s="60" t="str">
        <f aca="false">IF(LEN(D1724)=11,"PF",IF(LEN(D1724)=14,"PJ",""))</f>
        <v/>
      </c>
      <c r="I1724" s="62"/>
      <c r="J1724" s="63" t="str">
        <f aca="false">IF(I1724&lt;&gt;"",VLOOKUP(I1724,'Legal Nature'!$E$2:$G$84,3,0),"")</f>
        <v/>
      </c>
      <c r="AD1724" s="72" t="str">
        <f aca="false">IF(AC1724&lt;&gt;"",VLOOKUP(AC1724,Selects!$B$4:$C$100,2,0),"")</f>
        <v/>
      </c>
      <c r="AH1724" s="65"/>
      <c r="AJ1724" s="66"/>
      <c r="AK1724" s="58"/>
      <c r="AM1724" s="68" t="str">
        <f aca="false">IF(LEFT(AL1724,1)="9","Celular",IF(AL1724="","","Fixo"))</f>
        <v/>
      </c>
      <c r="AN1724" s="58" t="str">
        <f aca="false">IF( AM1724&lt;&gt;"",VLOOKUP(AM1724,Selects!$M$4:$N$1000,2,0),"")</f>
        <v/>
      </c>
      <c r="BB1724" s="72" t="str">
        <f aca="false">IF(BA1724&lt;&gt;"",VLOOKUP(BA1724,Selects!$B$4:$C$100,2,0),"")</f>
        <v/>
      </c>
      <c r="BG1724" s="75" t="str">
        <f aca="false">IF(LEN(BF1724)=11,"PF",IF(LEN(BF1724)=14,"PJ",""))</f>
        <v/>
      </c>
      <c r="BH1724" s="66"/>
      <c r="BI1724" s="58" t="str">
        <f aca="false">IF(BH1724&lt;&gt;"",VLOOKUP(BH1724,Selects!$G:$H,2,0),"")</f>
        <v/>
      </c>
      <c r="CB1724" s="72" t="str">
        <f aca="false">IF(AC1724&lt;&gt;"",VLOOKUP(AC1724,Selects!$B:$E,4,0),"")</f>
        <v/>
      </c>
    </row>
    <row r="1725" customFormat="false" ht="15" hidden="true" customHeight="false" outlineLevel="0" collapsed="false">
      <c r="E1725" s="60" t="str">
        <f aca="false">IF(LEN(D1725)=11,"PF",IF(LEN(D1725)=14,"PJ",""))</f>
        <v/>
      </c>
      <c r="I1725" s="62"/>
      <c r="J1725" s="63" t="str">
        <f aca="false">IF(I1725&lt;&gt;"",VLOOKUP(I1725,'Legal Nature'!$E$2:$G$84,3,0),"")</f>
        <v/>
      </c>
      <c r="AD1725" s="72" t="str">
        <f aca="false">IF(AC1725&lt;&gt;"",VLOOKUP(AC1725,Selects!$B$4:$C$100,2,0),"")</f>
        <v/>
      </c>
      <c r="AH1725" s="65"/>
      <c r="AJ1725" s="66"/>
      <c r="AK1725" s="58"/>
      <c r="AM1725" s="68" t="str">
        <f aca="false">IF(LEFT(AL1725,1)="9","Celular",IF(AL1725="","","Fixo"))</f>
        <v/>
      </c>
      <c r="AN1725" s="58" t="str">
        <f aca="false">IF( AM1725&lt;&gt;"",VLOOKUP(AM1725,Selects!$M$4:$N$1000,2,0),"")</f>
        <v/>
      </c>
      <c r="BB1725" s="72" t="str">
        <f aca="false">IF(BA1725&lt;&gt;"",VLOOKUP(BA1725,Selects!$B$4:$C$100,2,0),"")</f>
        <v/>
      </c>
      <c r="BG1725" s="75" t="str">
        <f aca="false">IF(LEN(BF1725)=11,"PF",IF(LEN(BF1725)=14,"PJ",""))</f>
        <v/>
      </c>
      <c r="BH1725" s="66"/>
      <c r="BI1725" s="58" t="str">
        <f aca="false">IF(BH1725&lt;&gt;"",VLOOKUP(BH1725,Selects!$G:$H,2,0),"")</f>
        <v/>
      </c>
      <c r="CB1725" s="72" t="str">
        <f aca="false">IF(AC1725&lt;&gt;"",VLOOKUP(AC1725,Selects!$B:$E,4,0),"")</f>
        <v/>
      </c>
    </row>
    <row r="1726" customFormat="false" ht="15" hidden="true" customHeight="false" outlineLevel="0" collapsed="false">
      <c r="E1726" s="60" t="str">
        <f aca="false">IF(LEN(D1726)=11,"PF",IF(LEN(D1726)=14,"PJ",""))</f>
        <v/>
      </c>
      <c r="I1726" s="62"/>
      <c r="J1726" s="63" t="str">
        <f aca="false">IF(I1726&lt;&gt;"",VLOOKUP(I1726,'Legal Nature'!$E$2:$G$84,3,0),"")</f>
        <v/>
      </c>
      <c r="AD1726" s="72" t="str">
        <f aca="false">IF(AC1726&lt;&gt;"",VLOOKUP(AC1726,Selects!$B$4:$C$100,2,0),"")</f>
        <v/>
      </c>
      <c r="AH1726" s="65"/>
      <c r="AJ1726" s="66"/>
      <c r="AK1726" s="58"/>
      <c r="AM1726" s="68" t="str">
        <f aca="false">IF(LEFT(AL1726,1)="9","Celular",IF(AL1726="","","Fixo"))</f>
        <v/>
      </c>
      <c r="AN1726" s="58" t="str">
        <f aca="false">IF( AM1726&lt;&gt;"",VLOOKUP(AM1726,Selects!$M$4:$N$1000,2,0),"")</f>
        <v/>
      </c>
      <c r="BB1726" s="72" t="str">
        <f aca="false">IF(BA1726&lt;&gt;"",VLOOKUP(BA1726,Selects!$B$4:$C$100,2,0),"")</f>
        <v/>
      </c>
      <c r="BG1726" s="75" t="str">
        <f aca="false">IF(LEN(BF1726)=11,"PF",IF(LEN(BF1726)=14,"PJ",""))</f>
        <v/>
      </c>
      <c r="BH1726" s="66"/>
      <c r="BI1726" s="58" t="str">
        <f aca="false">IF(BH1726&lt;&gt;"",VLOOKUP(BH1726,Selects!$G:$H,2,0),"")</f>
        <v/>
      </c>
      <c r="CB1726" s="72" t="str">
        <f aca="false">IF(AC1726&lt;&gt;"",VLOOKUP(AC1726,Selects!$B:$E,4,0),"")</f>
        <v/>
      </c>
    </row>
    <row r="1727" customFormat="false" ht="15" hidden="true" customHeight="false" outlineLevel="0" collapsed="false">
      <c r="E1727" s="60" t="str">
        <f aca="false">IF(LEN(D1727)=11,"PF",IF(LEN(D1727)=14,"PJ",""))</f>
        <v/>
      </c>
      <c r="I1727" s="62"/>
      <c r="J1727" s="63" t="str">
        <f aca="false">IF(I1727&lt;&gt;"",VLOOKUP(I1727,'Legal Nature'!$E$2:$G$84,3,0),"")</f>
        <v/>
      </c>
      <c r="AD1727" s="72" t="str">
        <f aca="false">IF(AC1727&lt;&gt;"",VLOOKUP(AC1727,Selects!$B$4:$C$100,2,0),"")</f>
        <v/>
      </c>
      <c r="AH1727" s="65"/>
      <c r="AJ1727" s="66"/>
      <c r="AK1727" s="58"/>
      <c r="AM1727" s="68" t="str">
        <f aca="false">IF(LEFT(AL1727,1)="9","Celular",IF(AL1727="","","Fixo"))</f>
        <v/>
      </c>
      <c r="AN1727" s="58" t="str">
        <f aca="false">IF( AM1727&lt;&gt;"",VLOOKUP(AM1727,Selects!$M$4:$N$1000,2,0),"")</f>
        <v/>
      </c>
      <c r="BB1727" s="72" t="str">
        <f aca="false">IF(BA1727&lt;&gt;"",VLOOKUP(BA1727,Selects!$B$4:$C$100,2,0),"")</f>
        <v/>
      </c>
      <c r="BG1727" s="75" t="str">
        <f aca="false">IF(LEN(BF1727)=11,"PF",IF(LEN(BF1727)=14,"PJ",""))</f>
        <v/>
      </c>
      <c r="BH1727" s="66"/>
      <c r="BI1727" s="58" t="str">
        <f aca="false">IF(BH1727&lt;&gt;"",VLOOKUP(BH1727,Selects!$G:$H,2,0),"")</f>
        <v/>
      </c>
      <c r="CB1727" s="72" t="str">
        <f aca="false">IF(AC1727&lt;&gt;"",VLOOKUP(AC1727,Selects!$B:$E,4,0),"")</f>
        <v/>
      </c>
    </row>
    <row r="1728" customFormat="false" ht="15" hidden="true" customHeight="false" outlineLevel="0" collapsed="false">
      <c r="E1728" s="60" t="str">
        <f aca="false">IF(LEN(D1728)=11,"PF",IF(LEN(D1728)=14,"PJ",""))</f>
        <v/>
      </c>
      <c r="I1728" s="62"/>
      <c r="J1728" s="63" t="str">
        <f aca="false">IF(I1728&lt;&gt;"",VLOOKUP(I1728,'Legal Nature'!$E$2:$G$84,3,0),"")</f>
        <v/>
      </c>
      <c r="AD1728" s="72" t="str">
        <f aca="false">IF(AC1728&lt;&gt;"",VLOOKUP(AC1728,Selects!$B$4:$C$100,2,0),"")</f>
        <v/>
      </c>
      <c r="AH1728" s="65"/>
      <c r="AJ1728" s="66"/>
      <c r="AK1728" s="58"/>
      <c r="AM1728" s="68" t="str">
        <f aca="false">IF(LEFT(AL1728,1)="9","Celular",IF(AL1728="","","Fixo"))</f>
        <v/>
      </c>
      <c r="AN1728" s="58" t="str">
        <f aca="false">IF( AM1728&lt;&gt;"",VLOOKUP(AM1728,Selects!$M$4:$N$1000,2,0),"")</f>
        <v/>
      </c>
      <c r="BB1728" s="72" t="str">
        <f aca="false">IF(BA1728&lt;&gt;"",VLOOKUP(BA1728,Selects!$B$4:$C$100,2,0),"")</f>
        <v/>
      </c>
      <c r="BG1728" s="75" t="str">
        <f aca="false">IF(LEN(BF1728)=11,"PF",IF(LEN(BF1728)=14,"PJ",""))</f>
        <v/>
      </c>
      <c r="BH1728" s="66"/>
      <c r="BI1728" s="58" t="str">
        <f aca="false">IF(BH1728&lt;&gt;"",VLOOKUP(BH1728,Selects!$G:$H,2,0),"")</f>
        <v/>
      </c>
      <c r="CB1728" s="72" t="str">
        <f aca="false">IF(AC1728&lt;&gt;"",VLOOKUP(AC1728,Selects!$B:$E,4,0),"")</f>
        <v/>
      </c>
    </row>
    <row r="1729" customFormat="false" ht="15" hidden="true" customHeight="false" outlineLevel="0" collapsed="false">
      <c r="E1729" s="60" t="str">
        <f aca="false">IF(LEN(D1729)=11,"PF",IF(LEN(D1729)=14,"PJ",""))</f>
        <v/>
      </c>
      <c r="I1729" s="62"/>
      <c r="J1729" s="63" t="str">
        <f aca="false">IF(I1729&lt;&gt;"",VLOOKUP(I1729,'Legal Nature'!$E$2:$G$84,3,0),"")</f>
        <v/>
      </c>
      <c r="AD1729" s="72" t="str">
        <f aca="false">IF(AC1729&lt;&gt;"",VLOOKUP(AC1729,Selects!$B$4:$C$100,2,0),"")</f>
        <v/>
      </c>
      <c r="AH1729" s="65"/>
      <c r="AJ1729" s="66"/>
      <c r="AK1729" s="58"/>
      <c r="AM1729" s="68" t="str">
        <f aca="false">IF(LEFT(AL1729,1)="9","Celular",IF(AL1729="","","Fixo"))</f>
        <v/>
      </c>
      <c r="AN1729" s="58" t="str">
        <f aca="false">IF( AM1729&lt;&gt;"",VLOOKUP(AM1729,Selects!$M$4:$N$1000,2,0),"")</f>
        <v/>
      </c>
      <c r="BB1729" s="72" t="str">
        <f aca="false">IF(BA1729&lt;&gt;"",VLOOKUP(BA1729,Selects!$B$4:$C$100,2,0),"")</f>
        <v/>
      </c>
      <c r="BG1729" s="75" t="str">
        <f aca="false">IF(LEN(BF1729)=11,"PF",IF(LEN(BF1729)=14,"PJ",""))</f>
        <v/>
      </c>
      <c r="BH1729" s="66"/>
      <c r="BI1729" s="58" t="str">
        <f aca="false">IF(BH1729&lt;&gt;"",VLOOKUP(BH1729,Selects!$G:$H,2,0),"")</f>
        <v/>
      </c>
      <c r="CB1729" s="72" t="str">
        <f aca="false">IF(AC1729&lt;&gt;"",VLOOKUP(AC1729,Selects!$B:$E,4,0),"")</f>
        <v/>
      </c>
    </row>
    <row r="1730" customFormat="false" ht="15" hidden="true" customHeight="false" outlineLevel="0" collapsed="false">
      <c r="E1730" s="60" t="str">
        <f aca="false">IF(LEN(D1730)=11,"PF",IF(LEN(D1730)=14,"PJ",""))</f>
        <v/>
      </c>
      <c r="I1730" s="62"/>
      <c r="J1730" s="63" t="str">
        <f aca="false">IF(I1730&lt;&gt;"",VLOOKUP(I1730,'Legal Nature'!$E$2:$G$84,3,0),"")</f>
        <v/>
      </c>
      <c r="AD1730" s="72" t="str">
        <f aca="false">IF(AC1730&lt;&gt;"",VLOOKUP(AC1730,Selects!$B$4:$C$100,2,0),"")</f>
        <v/>
      </c>
      <c r="AH1730" s="65"/>
      <c r="AJ1730" s="66"/>
      <c r="AK1730" s="58"/>
      <c r="AM1730" s="68" t="str">
        <f aca="false">IF(LEFT(AL1730,1)="9","Celular",IF(AL1730="","","Fixo"))</f>
        <v/>
      </c>
      <c r="AN1730" s="58" t="str">
        <f aca="false">IF( AM1730&lt;&gt;"",VLOOKUP(AM1730,Selects!$M$4:$N$1000,2,0),"")</f>
        <v/>
      </c>
      <c r="BB1730" s="72" t="str">
        <f aca="false">IF(BA1730&lt;&gt;"",VLOOKUP(BA1730,Selects!$B$4:$C$100,2,0),"")</f>
        <v/>
      </c>
      <c r="BG1730" s="75" t="str">
        <f aca="false">IF(LEN(BF1730)=11,"PF",IF(LEN(BF1730)=14,"PJ",""))</f>
        <v/>
      </c>
      <c r="BH1730" s="66"/>
      <c r="BI1730" s="58" t="str">
        <f aca="false">IF(BH1730&lt;&gt;"",VLOOKUP(BH1730,Selects!$G:$H,2,0),"")</f>
        <v/>
      </c>
      <c r="CB1730" s="72" t="str">
        <f aca="false">IF(AC1730&lt;&gt;"",VLOOKUP(AC1730,Selects!$B:$E,4,0),"")</f>
        <v/>
      </c>
    </row>
    <row r="1731" customFormat="false" ht="15" hidden="true" customHeight="false" outlineLevel="0" collapsed="false">
      <c r="E1731" s="60" t="str">
        <f aca="false">IF(LEN(D1731)=11,"PF",IF(LEN(D1731)=14,"PJ",""))</f>
        <v/>
      </c>
      <c r="I1731" s="62"/>
      <c r="J1731" s="63" t="str">
        <f aca="false">IF(I1731&lt;&gt;"",VLOOKUP(I1731,'Legal Nature'!$E$2:$G$84,3,0),"")</f>
        <v/>
      </c>
      <c r="AD1731" s="72" t="str">
        <f aca="false">IF(AC1731&lt;&gt;"",VLOOKUP(AC1731,Selects!$B$4:$C$100,2,0),"")</f>
        <v/>
      </c>
      <c r="AH1731" s="65"/>
      <c r="AJ1731" s="66"/>
      <c r="AK1731" s="58"/>
      <c r="AM1731" s="68" t="str">
        <f aca="false">IF(LEFT(AL1731,1)="9","Celular",IF(AL1731="","","Fixo"))</f>
        <v/>
      </c>
      <c r="AN1731" s="58" t="str">
        <f aca="false">IF( AM1731&lt;&gt;"",VLOOKUP(AM1731,Selects!$M$4:$N$1000,2,0),"")</f>
        <v/>
      </c>
      <c r="BB1731" s="72" t="str">
        <f aca="false">IF(BA1731&lt;&gt;"",VLOOKUP(BA1731,Selects!$B$4:$C$100,2,0),"")</f>
        <v/>
      </c>
      <c r="BG1731" s="75" t="str">
        <f aca="false">IF(LEN(BF1731)=11,"PF",IF(LEN(BF1731)=14,"PJ",""))</f>
        <v/>
      </c>
      <c r="BH1731" s="66"/>
      <c r="BI1731" s="58" t="str">
        <f aca="false">IF(BH1731&lt;&gt;"",VLOOKUP(BH1731,Selects!$G:$H,2,0),"")</f>
        <v/>
      </c>
      <c r="CB1731" s="72" t="str">
        <f aca="false">IF(AC1731&lt;&gt;"",VLOOKUP(AC1731,Selects!$B:$E,4,0),"")</f>
        <v/>
      </c>
    </row>
    <row r="1732" customFormat="false" ht="15" hidden="true" customHeight="false" outlineLevel="0" collapsed="false">
      <c r="E1732" s="60" t="str">
        <f aca="false">IF(LEN(D1732)=11,"PF",IF(LEN(D1732)=14,"PJ",""))</f>
        <v/>
      </c>
      <c r="I1732" s="62"/>
      <c r="J1732" s="63" t="str">
        <f aca="false">IF(I1732&lt;&gt;"",VLOOKUP(I1732,'Legal Nature'!$E$2:$G$84,3,0),"")</f>
        <v/>
      </c>
      <c r="AD1732" s="72" t="str">
        <f aca="false">IF(AC1732&lt;&gt;"",VLOOKUP(AC1732,Selects!$B$4:$C$100,2,0),"")</f>
        <v/>
      </c>
      <c r="AH1732" s="65"/>
      <c r="AJ1732" s="66"/>
      <c r="AK1732" s="58"/>
      <c r="AM1732" s="68" t="str">
        <f aca="false">IF(LEFT(AL1732,1)="9","Celular",IF(AL1732="","","Fixo"))</f>
        <v/>
      </c>
      <c r="AN1732" s="58" t="str">
        <f aca="false">IF( AM1732&lt;&gt;"",VLOOKUP(AM1732,Selects!$M$4:$N$1000,2,0),"")</f>
        <v/>
      </c>
      <c r="BB1732" s="72" t="str">
        <f aca="false">IF(BA1732&lt;&gt;"",VLOOKUP(BA1732,Selects!$B$4:$C$100,2,0),"")</f>
        <v/>
      </c>
      <c r="BG1732" s="75" t="str">
        <f aca="false">IF(LEN(BF1732)=11,"PF",IF(LEN(BF1732)=14,"PJ",""))</f>
        <v/>
      </c>
      <c r="BH1732" s="66"/>
      <c r="BI1732" s="58" t="str">
        <f aca="false">IF(BH1732&lt;&gt;"",VLOOKUP(BH1732,Selects!$G:$H,2,0),"")</f>
        <v/>
      </c>
      <c r="CB1732" s="72" t="str">
        <f aca="false">IF(AC1732&lt;&gt;"",VLOOKUP(AC1732,Selects!$B:$E,4,0),"")</f>
        <v/>
      </c>
    </row>
    <row r="1733" customFormat="false" ht="15" hidden="true" customHeight="false" outlineLevel="0" collapsed="false">
      <c r="E1733" s="60" t="str">
        <f aca="false">IF(LEN(D1733)=11,"PF",IF(LEN(D1733)=14,"PJ",""))</f>
        <v/>
      </c>
      <c r="I1733" s="62"/>
      <c r="J1733" s="63" t="str">
        <f aca="false">IF(I1733&lt;&gt;"",VLOOKUP(I1733,'Legal Nature'!$E$2:$G$84,3,0),"")</f>
        <v/>
      </c>
      <c r="AD1733" s="72" t="str">
        <f aca="false">IF(AC1733&lt;&gt;"",VLOOKUP(AC1733,Selects!$B$4:$C$100,2,0),"")</f>
        <v/>
      </c>
      <c r="AH1733" s="65"/>
      <c r="AJ1733" s="66"/>
      <c r="AK1733" s="58"/>
      <c r="AM1733" s="68" t="str">
        <f aca="false">IF(LEFT(AL1733,1)="9","Celular",IF(AL1733="","","Fixo"))</f>
        <v/>
      </c>
      <c r="AN1733" s="58" t="str">
        <f aca="false">IF( AM1733&lt;&gt;"",VLOOKUP(AM1733,Selects!$M$4:$N$1000,2,0),"")</f>
        <v/>
      </c>
      <c r="BB1733" s="72" t="str">
        <f aca="false">IF(BA1733&lt;&gt;"",VLOOKUP(BA1733,Selects!$B$4:$C$100,2,0),"")</f>
        <v/>
      </c>
      <c r="BG1733" s="75" t="str">
        <f aca="false">IF(LEN(BF1733)=11,"PF",IF(LEN(BF1733)=14,"PJ",""))</f>
        <v/>
      </c>
      <c r="BH1733" s="66"/>
      <c r="BI1733" s="58" t="str">
        <f aca="false">IF(BH1733&lt;&gt;"",VLOOKUP(BH1733,Selects!$G:$H,2,0),"")</f>
        <v/>
      </c>
      <c r="CB1733" s="72" t="str">
        <f aca="false">IF(AC1733&lt;&gt;"",VLOOKUP(AC1733,Selects!$B:$E,4,0),"")</f>
        <v/>
      </c>
    </row>
    <row r="1734" customFormat="false" ht="15" hidden="true" customHeight="false" outlineLevel="0" collapsed="false">
      <c r="E1734" s="60" t="str">
        <f aca="false">IF(LEN(D1734)=11,"PF",IF(LEN(D1734)=14,"PJ",""))</f>
        <v/>
      </c>
      <c r="I1734" s="62"/>
      <c r="J1734" s="63" t="str">
        <f aca="false">IF(I1734&lt;&gt;"",VLOOKUP(I1734,'Legal Nature'!$E$2:$G$84,3,0),"")</f>
        <v/>
      </c>
      <c r="AD1734" s="72" t="str">
        <f aca="false">IF(AC1734&lt;&gt;"",VLOOKUP(AC1734,Selects!$B$4:$C$100,2,0),"")</f>
        <v/>
      </c>
      <c r="AH1734" s="65"/>
      <c r="AJ1734" s="66"/>
      <c r="AK1734" s="58"/>
      <c r="AM1734" s="68" t="str">
        <f aca="false">IF(LEFT(AL1734,1)="9","Celular",IF(AL1734="","","Fixo"))</f>
        <v/>
      </c>
      <c r="AN1734" s="58" t="str">
        <f aca="false">IF( AM1734&lt;&gt;"",VLOOKUP(AM1734,Selects!$M$4:$N$1000,2,0),"")</f>
        <v/>
      </c>
      <c r="BB1734" s="72" t="str">
        <f aca="false">IF(BA1734&lt;&gt;"",VLOOKUP(BA1734,Selects!$B$4:$C$100,2,0),"")</f>
        <v/>
      </c>
      <c r="BG1734" s="75" t="str">
        <f aca="false">IF(LEN(BF1734)=11,"PF",IF(LEN(BF1734)=14,"PJ",""))</f>
        <v/>
      </c>
      <c r="BH1734" s="66"/>
      <c r="BI1734" s="58" t="str">
        <f aca="false">IF(BH1734&lt;&gt;"",VLOOKUP(BH1734,Selects!$G:$H,2,0),"")</f>
        <v/>
      </c>
      <c r="CB1734" s="72" t="str">
        <f aca="false">IF(AC1734&lt;&gt;"",VLOOKUP(AC1734,Selects!$B:$E,4,0),"")</f>
        <v/>
      </c>
    </row>
    <row r="1735" customFormat="false" ht="15" hidden="true" customHeight="false" outlineLevel="0" collapsed="false">
      <c r="E1735" s="60" t="str">
        <f aca="false">IF(LEN(D1735)=11,"PF",IF(LEN(D1735)=14,"PJ",""))</f>
        <v/>
      </c>
      <c r="I1735" s="62"/>
      <c r="J1735" s="63" t="str">
        <f aca="false">IF(I1735&lt;&gt;"",VLOOKUP(I1735,'Legal Nature'!$E$2:$G$84,3,0),"")</f>
        <v/>
      </c>
      <c r="AD1735" s="72" t="str">
        <f aca="false">IF(AC1735&lt;&gt;"",VLOOKUP(AC1735,Selects!$B$4:$C$100,2,0),"")</f>
        <v/>
      </c>
      <c r="AH1735" s="65"/>
      <c r="AJ1735" s="66"/>
      <c r="AK1735" s="58"/>
      <c r="AM1735" s="68" t="str">
        <f aca="false">IF(LEFT(AL1735,1)="9","Celular",IF(AL1735="","","Fixo"))</f>
        <v/>
      </c>
      <c r="AN1735" s="58" t="str">
        <f aca="false">IF( AM1735&lt;&gt;"",VLOOKUP(AM1735,Selects!$M$4:$N$1000,2,0),"")</f>
        <v/>
      </c>
      <c r="BB1735" s="72" t="str">
        <f aca="false">IF(BA1735&lt;&gt;"",VLOOKUP(BA1735,Selects!$B$4:$C$100,2,0),"")</f>
        <v/>
      </c>
      <c r="BG1735" s="75" t="str">
        <f aca="false">IF(LEN(BF1735)=11,"PF",IF(LEN(BF1735)=14,"PJ",""))</f>
        <v/>
      </c>
      <c r="BH1735" s="66"/>
      <c r="BI1735" s="58" t="str">
        <f aca="false">IF(BH1735&lt;&gt;"",VLOOKUP(BH1735,Selects!$G:$H,2,0),"")</f>
        <v/>
      </c>
      <c r="CB1735" s="72" t="str">
        <f aca="false">IF(AC1735&lt;&gt;"",VLOOKUP(AC1735,Selects!$B:$E,4,0),"")</f>
        <v/>
      </c>
    </row>
    <row r="1736" customFormat="false" ht="15" hidden="true" customHeight="false" outlineLevel="0" collapsed="false">
      <c r="E1736" s="60" t="str">
        <f aca="false">IF(LEN(D1736)=11,"PF",IF(LEN(D1736)=14,"PJ",""))</f>
        <v/>
      </c>
      <c r="I1736" s="62"/>
      <c r="J1736" s="63" t="str">
        <f aca="false">IF(I1736&lt;&gt;"",VLOOKUP(I1736,'Legal Nature'!$E$2:$G$84,3,0),"")</f>
        <v/>
      </c>
      <c r="AD1736" s="72" t="str">
        <f aca="false">IF(AC1736&lt;&gt;"",VLOOKUP(AC1736,Selects!$B$4:$C$100,2,0),"")</f>
        <v/>
      </c>
      <c r="AH1736" s="65"/>
      <c r="AJ1736" s="66"/>
      <c r="AK1736" s="58"/>
      <c r="AM1736" s="68" t="str">
        <f aca="false">IF(LEFT(AL1736,1)="9","Celular",IF(AL1736="","","Fixo"))</f>
        <v/>
      </c>
      <c r="AN1736" s="58" t="str">
        <f aca="false">IF( AM1736&lt;&gt;"",VLOOKUP(AM1736,Selects!$M$4:$N$1000,2,0),"")</f>
        <v/>
      </c>
      <c r="BB1736" s="72" t="str">
        <f aca="false">IF(BA1736&lt;&gt;"",VLOOKUP(BA1736,Selects!$B$4:$C$100,2,0),"")</f>
        <v/>
      </c>
      <c r="BG1736" s="75" t="str">
        <f aca="false">IF(LEN(BF1736)=11,"PF",IF(LEN(BF1736)=14,"PJ",""))</f>
        <v/>
      </c>
      <c r="BH1736" s="66"/>
      <c r="BI1736" s="58" t="str">
        <f aca="false">IF(BH1736&lt;&gt;"",VLOOKUP(BH1736,Selects!$G:$H,2,0),"")</f>
        <v/>
      </c>
      <c r="CB1736" s="72" t="str">
        <f aca="false">IF(AC1736&lt;&gt;"",VLOOKUP(AC1736,Selects!$B:$E,4,0),"")</f>
        <v/>
      </c>
    </row>
    <row r="1737" customFormat="false" ht="15" hidden="true" customHeight="false" outlineLevel="0" collapsed="false">
      <c r="E1737" s="60" t="str">
        <f aca="false">IF(LEN(D1737)=11,"PF",IF(LEN(D1737)=14,"PJ",""))</f>
        <v/>
      </c>
      <c r="I1737" s="62"/>
      <c r="J1737" s="63" t="str">
        <f aca="false">IF(I1737&lt;&gt;"",VLOOKUP(I1737,'Legal Nature'!$E$2:$G$84,3,0),"")</f>
        <v/>
      </c>
      <c r="AD1737" s="72" t="str">
        <f aca="false">IF(AC1737&lt;&gt;"",VLOOKUP(AC1737,Selects!$B$4:$C$100,2,0),"")</f>
        <v/>
      </c>
      <c r="AH1737" s="65"/>
      <c r="AJ1737" s="66"/>
      <c r="AK1737" s="58"/>
      <c r="AM1737" s="68" t="str">
        <f aca="false">IF(LEFT(AL1737,1)="9","Celular",IF(AL1737="","","Fixo"))</f>
        <v/>
      </c>
      <c r="AN1737" s="58" t="str">
        <f aca="false">IF( AM1737&lt;&gt;"",VLOOKUP(AM1737,Selects!$M$4:$N$1000,2,0),"")</f>
        <v/>
      </c>
      <c r="BB1737" s="72" t="str">
        <f aca="false">IF(BA1737&lt;&gt;"",VLOOKUP(BA1737,Selects!$B$4:$C$100,2,0),"")</f>
        <v/>
      </c>
      <c r="BG1737" s="75" t="str">
        <f aca="false">IF(LEN(BF1737)=11,"PF",IF(LEN(BF1737)=14,"PJ",""))</f>
        <v/>
      </c>
      <c r="BH1737" s="66"/>
      <c r="BI1737" s="58" t="str">
        <f aca="false">IF(BH1737&lt;&gt;"",VLOOKUP(BH1737,Selects!$G:$H,2,0),"")</f>
        <v/>
      </c>
      <c r="CB1737" s="72" t="str">
        <f aca="false">IF(AC1737&lt;&gt;"",VLOOKUP(AC1737,Selects!$B:$E,4,0),"")</f>
        <v/>
      </c>
    </row>
    <row r="1738" customFormat="false" ht="15" hidden="true" customHeight="false" outlineLevel="0" collapsed="false">
      <c r="E1738" s="60" t="str">
        <f aca="false">IF(LEN(D1738)=11,"PF",IF(LEN(D1738)=14,"PJ",""))</f>
        <v/>
      </c>
      <c r="I1738" s="62"/>
      <c r="J1738" s="63" t="str">
        <f aca="false">IF(I1738&lt;&gt;"",VLOOKUP(I1738,'Legal Nature'!$E$2:$G$84,3,0),"")</f>
        <v/>
      </c>
      <c r="AD1738" s="72" t="str">
        <f aca="false">IF(AC1738&lt;&gt;"",VLOOKUP(AC1738,Selects!$B$4:$C$100,2,0),"")</f>
        <v/>
      </c>
      <c r="AH1738" s="65"/>
      <c r="AJ1738" s="66"/>
      <c r="AK1738" s="58"/>
      <c r="AM1738" s="68" t="str">
        <f aca="false">IF(LEFT(AL1738,1)="9","Celular",IF(AL1738="","","Fixo"))</f>
        <v/>
      </c>
      <c r="AN1738" s="58" t="str">
        <f aca="false">IF( AM1738&lt;&gt;"",VLOOKUP(AM1738,Selects!$M$4:$N$1000,2,0),"")</f>
        <v/>
      </c>
      <c r="BB1738" s="72" t="str">
        <f aca="false">IF(BA1738&lt;&gt;"",VLOOKUP(BA1738,Selects!$B$4:$C$100,2,0),"")</f>
        <v/>
      </c>
      <c r="BG1738" s="75" t="str">
        <f aca="false">IF(LEN(BF1738)=11,"PF",IF(LEN(BF1738)=14,"PJ",""))</f>
        <v/>
      </c>
      <c r="BH1738" s="66"/>
      <c r="BI1738" s="58" t="str">
        <f aca="false">IF(BH1738&lt;&gt;"",VLOOKUP(BH1738,Selects!$G:$H,2,0),"")</f>
        <v/>
      </c>
      <c r="CB1738" s="72" t="str">
        <f aca="false">IF(AC1738&lt;&gt;"",VLOOKUP(AC1738,Selects!$B:$E,4,0),"")</f>
        <v/>
      </c>
    </row>
    <row r="1739" customFormat="false" ht="15" hidden="true" customHeight="false" outlineLevel="0" collapsed="false">
      <c r="E1739" s="60" t="str">
        <f aca="false">IF(LEN(D1739)=11,"PF",IF(LEN(D1739)=14,"PJ",""))</f>
        <v/>
      </c>
      <c r="I1739" s="62"/>
      <c r="J1739" s="63" t="str">
        <f aca="false">IF(I1739&lt;&gt;"",VLOOKUP(I1739,'Legal Nature'!$E$2:$G$84,3,0),"")</f>
        <v/>
      </c>
      <c r="AD1739" s="72" t="str">
        <f aca="false">IF(AC1739&lt;&gt;"",VLOOKUP(AC1739,Selects!$B$4:$C$100,2,0),"")</f>
        <v/>
      </c>
      <c r="AH1739" s="65"/>
      <c r="AJ1739" s="66"/>
      <c r="AK1739" s="58"/>
      <c r="AM1739" s="68" t="str">
        <f aca="false">IF(LEFT(AL1739,1)="9","Celular",IF(AL1739="","","Fixo"))</f>
        <v/>
      </c>
      <c r="AN1739" s="58" t="str">
        <f aca="false">IF( AM1739&lt;&gt;"",VLOOKUP(AM1739,Selects!$M$4:$N$1000,2,0),"")</f>
        <v/>
      </c>
      <c r="BB1739" s="72" t="str">
        <f aca="false">IF(BA1739&lt;&gt;"",VLOOKUP(BA1739,Selects!$B$4:$C$100,2,0),"")</f>
        <v/>
      </c>
      <c r="BG1739" s="75" t="str">
        <f aca="false">IF(LEN(BF1739)=11,"PF",IF(LEN(BF1739)=14,"PJ",""))</f>
        <v/>
      </c>
      <c r="BH1739" s="66"/>
      <c r="BI1739" s="58" t="str">
        <f aca="false">IF(BH1739&lt;&gt;"",VLOOKUP(BH1739,Selects!$G:$H,2,0),"")</f>
        <v/>
      </c>
      <c r="CB1739" s="72" t="str">
        <f aca="false">IF(AC1739&lt;&gt;"",VLOOKUP(AC1739,Selects!$B:$E,4,0),"")</f>
        <v/>
      </c>
    </row>
    <row r="1740" customFormat="false" ht="15" hidden="true" customHeight="false" outlineLevel="0" collapsed="false">
      <c r="E1740" s="60" t="str">
        <f aca="false">IF(LEN(D1740)=11,"PF",IF(LEN(D1740)=14,"PJ",""))</f>
        <v/>
      </c>
      <c r="I1740" s="62"/>
      <c r="J1740" s="63" t="str">
        <f aca="false">IF(I1740&lt;&gt;"",VLOOKUP(I1740,'Legal Nature'!$E$2:$G$84,3,0),"")</f>
        <v/>
      </c>
      <c r="AD1740" s="72" t="str">
        <f aca="false">IF(AC1740&lt;&gt;"",VLOOKUP(AC1740,Selects!$B$4:$C$100,2,0),"")</f>
        <v/>
      </c>
      <c r="AH1740" s="65"/>
      <c r="AJ1740" s="66"/>
      <c r="AK1740" s="58"/>
      <c r="AM1740" s="68" t="str">
        <f aca="false">IF(LEFT(AL1740,1)="9","Celular",IF(AL1740="","","Fixo"))</f>
        <v/>
      </c>
      <c r="AN1740" s="58" t="str">
        <f aca="false">IF( AM1740&lt;&gt;"",VLOOKUP(AM1740,Selects!$M$4:$N$1000,2,0),"")</f>
        <v/>
      </c>
      <c r="BB1740" s="72" t="str">
        <f aca="false">IF(BA1740&lt;&gt;"",VLOOKUP(BA1740,Selects!$B$4:$C$100,2,0),"")</f>
        <v/>
      </c>
      <c r="BG1740" s="75" t="str">
        <f aca="false">IF(LEN(BF1740)=11,"PF",IF(LEN(BF1740)=14,"PJ",""))</f>
        <v/>
      </c>
      <c r="BH1740" s="66"/>
      <c r="BI1740" s="58" t="str">
        <f aca="false">IF(BH1740&lt;&gt;"",VLOOKUP(BH1740,Selects!$G:$H,2,0),"")</f>
        <v/>
      </c>
      <c r="CB1740" s="72" t="str">
        <f aca="false">IF(AC1740&lt;&gt;"",VLOOKUP(AC1740,Selects!$B:$E,4,0),"")</f>
        <v/>
      </c>
    </row>
    <row r="1741" customFormat="false" ht="15" hidden="true" customHeight="false" outlineLevel="0" collapsed="false">
      <c r="E1741" s="60" t="str">
        <f aca="false">IF(LEN(D1741)=11,"PF",IF(LEN(D1741)=14,"PJ",""))</f>
        <v/>
      </c>
      <c r="I1741" s="62"/>
      <c r="J1741" s="63" t="str">
        <f aca="false">IF(I1741&lt;&gt;"",VLOOKUP(I1741,'Legal Nature'!$E$2:$G$84,3,0),"")</f>
        <v/>
      </c>
      <c r="AD1741" s="72" t="str">
        <f aca="false">IF(AC1741&lt;&gt;"",VLOOKUP(AC1741,Selects!$B$4:$C$100,2,0),"")</f>
        <v/>
      </c>
      <c r="AH1741" s="65"/>
      <c r="AJ1741" s="66"/>
      <c r="AK1741" s="58"/>
      <c r="AM1741" s="68" t="str">
        <f aca="false">IF(LEFT(AL1741,1)="9","Celular",IF(AL1741="","","Fixo"))</f>
        <v/>
      </c>
      <c r="AN1741" s="58" t="str">
        <f aca="false">IF( AM1741&lt;&gt;"",VLOOKUP(AM1741,Selects!$M$4:$N$1000,2,0),"")</f>
        <v/>
      </c>
      <c r="BB1741" s="72" t="str">
        <f aca="false">IF(BA1741&lt;&gt;"",VLOOKUP(BA1741,Selects!$B$4:$C$100,2,0),"")</f>
        <v/>
      </c>
      <c r="BG1741" s="75" t="str">
        <f aca="false">IF(LEN(BF1741)=11,"PF",IF(LEN(BF1741)=14,"PJ",""))</f>
        <v/>
      </c>
      <c r="BH1741" s="66"/>
      <c r="BI1741" s="58" t="str">
        <f aca="false">IF(BH1741&lt;&gt;"",VLOOKUP(BH1741,Selects!$G:$H,2,0),"")</f>
        <v/>
      </c>
      <c r="CB1741" s="72" t="str">
        <f aca="false">IF(AC1741&lt;&gt;"",VLOOKUP(AC1741,Selects!$B:$E,4,0),"")</f>
        <v/>
      </c>
    </row>
    <row r="1742" customFormat="false" ht="15" hidden="true" customHeight="false" outlineLevel="0" collapsed="false">
      <c r="E1742" s="60" t="str">
        <f aca="false">IF(LEN(D1742)=11,"PF",IF(LEN(D1742)=14,"PJ",""))</f>
        <v/>
      </c>
      <c r="I1742" s="62"/>
      <c r="J1742" s="63" t="str">
        <f aca="false">IF(I1742&lt;&gt;"",VLOOKUP(I1742,'Legal Nature'!$E$2:$G$84,3,0),"")</f>
        <v/>
      </c>
      <c r="AD1742" s="72" t="str">
        <f aca="false">IF(AC1742&lt;&gt;"",VLOOKUP(AC1742,Selects!$B$4:$C$100,2,0),"")</f>
        <v/>
      </c>
      <c r="AH1742" s="65"/>
      <c r="AJ1742" s="66"/>
      <c r="AK1742" s="58"/>
      <c r="AM1742" s="68" t="str">
        <f aca="false">IF(LEFT(AL1742,1)="9","Celular",IF(AL1742="","","Fixo"))</f>
        <v/>
      </c>
      <c r="AN1742" s="58" t="str">
        <f aca="false">IF( AM1742&lt;&gt;"",VLOOKUP(AM1742,Selects!$M$4:$N$1000,2,0),"")</f>
        <v/>
      </c>
      <c r="BB1742" s="72" t="str">
        <f aca="false">IF(BA1742&lt;&gt;"",VLOOKUP(BA1742,Selects!$B$4:$C$100,2,0),"")</f>
        <v/>
      </c>
      <c r="BG1742" s="75" t="str">
        <f aca="false">IF(LEN(BF1742)=11,"PF",IF(LEN(BF1742)=14,"PJ",""))</f>
        <v/>
      </c>
      <c r="BH1742" s="66"/>
      <c r="BI1742" s="58" t="str">
        <f aca="false">IF(BH1742&lt;&gt;"",VLOOKUP(BH1742,Selects!$G:$H,2,0),"")</f>
        <v/>
      </c>
      <c r="CB1742" s="72" t="str">
        <f aca="false">IF(AC1742&lt;&gt;"",VLOOKUP(AC1742,Selects!$B:$E,4,0),"")</f>
        <v/>
      </c>
    </row>
    <row r="1743" customFormat="false" ht="15" hidden="true" customHeight="false" outlineLevel="0" collapsed="false">
      <c r="E1743" s="60" t="str">
        <f aca="false">IF(LEN(D1743)=11,"PF",IF(LEN(D1743)=14,"PJ",""))</f>
        <v/>
      </c>
      <c r="I1743" s="62"/>
      <c r="J1743" s="63" t="str">
        <f aca="false">IF(I1743&lt;&gt;"",VLOOKUP(I1743,'Legal Nature'!$E$2:$G$84,3,0),"")</f>
        <v/>
      </c>
      <c r="AD1743" s="72" t="str">
        <f aca="false">IF(AC1743&lt;&gt;"",VLOOKUP(AC1743,Selects!$B$4:$C$100,2,0),"")</f>
        <v/>
      </c>
      <c r="AH1743" s="65"/>
      <c r="AJ1743" s="66"/>
      <c r="AK1743" s="58"/>
      <c r="AM1743" s="68" t="str">
        <f aca="false">IF(LEFT(AL1743,1)="9","Celular",IF(AL1743="","","Fixo"))</f>
        <v/>
      </c>
      <c r="AN1743" s="58" t="str">
        <f aca="false">IF( AM1743&lt;&gt;"",VLOOKUP(AM1743,Selects!$M$4:$N$1000,2,0),"")</f>
        <v/>
      </c>
      <c r="BB1743" s="72" t="str">
        <f aca="false">IF(BA1743&lt;&gt;"",VLOOKUP(BA1743,Selects!$B$4:$C$100,2,0),"")</f>
        <v/>
      </c>
      <c r="BG1743" s="75" t="str">
        <f aca="false">IF(LEN(BF1743)=11,"PF",IF(LEN(BF1743)=14,"PJ",""))</f>
        <v/>
      </c>
      <c r="BH1743" s="66"/>
      <c r="BI1743" s="58" t="str">
        <f aca="false">IF(BH1743&lt;&gt;"",VLOOKUP(BH1743,Selects!$G:$H,2,0),"")</f>
        <v/>
      </c>
      <c r="CB1743" s="72" t="str">
        <f aca="false">IF(AC1743&lt;&gt;"",VLOOKUP(AC1743,Selects!$B:$E,4,0),"")</f>
        <v/>
      </c>
    </row>
    <row r="1744" customFormat="false" ht="15" hidden="true" customHeight="false" outlineLevel="0" collapsed="false">
      <c r="E1744" s="60" t="str">
        <f aca="false">IF(LEN(D1744)=11,"PF",IF(LEN(D1744)=14,"PJ",""))</f>
        <v/>
      </c>
      <c r="I1744" s="62"/>
      <c r="J1744" s="63" t="str">
        <f aca="false">IF(I1744&lt;&gt;"",VLOOKUP(I1744,'Legal Nature'!$E$2:$G$84,3,0),"")</f>
        <v/>
      </c>
      <c r="AD1744" s="72" t="str">
        <f aca="false">IF(AC1744&lt;&gt;"",VLOOKUP(AC1744,Selects!$B$4:$C$100,2,0),"")</f>
        <v/>
      </c>
      <c r="AH1744" s="65"/>
      <c r="AJ1744" s="66"/>
      <c r="AK1744" s="58"/>
      <c r="AM1744" s="68" t="str">
        <f aca="false">IF(LEFT(AL1744,1)="9","Celular",IF(AL1744="","","Fixo"))</f>
        <v/>
      </c>
      <c r="AN1744" s="58" t="str">
        <f aca="false">IF( AM1744&lt;&gt;"",VLOOKUP(AM1744,Selects!$M$4:$N$1000,2,0),"")</f>
        <v/>
      </c>
      <c r="BB1744" s="72" t="str">
        <f aca="false">IF(BA1744&lt;&gt;"",VLOOKUP(BA1744,Selects!$B$4:$C$100,2,0),"")</f>
        <v/>
      </c>
      <c r="BG1744" s="75" t="str">
        <f aca="false">IF(LEN(BF1744)=11,"PF",IF(LEN(BF1744)=14,"PJ",""))</f>
        <v/>
      </c>
      <c r="BH1744" s="66"/>
      <c r="BI1744" s="58" t="str">
        <f aca="false">IF(BH1744&lt;&gt;"",VLOOKUP(BH1744,Selects!$G:$H,2,0),"")</f>
        <v/>
      </c>
      <c r="CB1744" s="72" t="str">
        <f aca="false">IF(AC1744&lt;&gt;"",VLOOKUP(AC1744,Selects!$B:$E,4,0),"")</f>
        <v/>
      </c>
    </row>
    <row r="1745" customFormat="false" ht="15" hidden="true" customHeight="false" outlineLevel="0" collapsed="false">
      <c r="E1745" s="60" t="str">
        <f aca="false">IF(LEN(D1745)=11,"PF",IF(LEN(D1745)=14,"PJ",""))</f>
        <v/>
      </c>
      <c r="I1745" s="62"/>
      <c r="J1745" s="63" t="str">
        <f aca="false">IF(I1745&lt;&gt;"",VLOOKUP(I1745,'Legal Nature'!$E$2:$G$84,3,0),"")</f>
        <v/>
      </c>
      <c r="AD1745" s="72" t="str">
        <f aca="false">IF(AC1745&lt;&gt;"",VLOOKUP(AC1745,Selects!$B$4:$C$100,2,0),"")</f>
        <v/>
      </c>
      <c r="AH1745" s="65"/>
      <c r="AJ1745" s="66"/>
      <c r="AK1745" s="58"/>
      <c r="AM1745" s="68" t="str">
        <f aca="false">IF(LEFT(AL1745,1)="9","Celular",IF(AL1745="","","Fixo"))</f>
        <v/>
      </c>
      <c r="AN1745" s="58" t="str">
        <f aca="false">IF( AM1745&lt;&gt;"",VLOOKUP(AM1745,Selects!$M$4:$N$1000,2,0),"")</f>
        <v/>
      </c>
      <c r="BB1745" s="72" t="str">
        <f aca="false">IF(BA1745&lt;&gt;"",VLOOKUP(BA1745,Selects!$B$4:$C$100,2,0),"")</f>
        <v/>
      </c>
      <c r="BG1745" s="75" t="str">
        <f aca="false">IF(LEN(BF1745)=11,"PF",IF(LEN(BF1745)=14,"PJ",""))</f>
        <v/>
      </c>
      <c r="BH1745" s="66"/>
      <c r="BI1745" s="58" t="str">
        <f aca="false">IF(BH1745&lt;&gt;"",VLOOKUP(BH1745,Selects!$G:$H,2,0),"")</f>
        <v/>
      </c>
      <c r="CB1745" s="72" t="str">
        <f aca="false">IF(AC1745&lt;&gt;"",VLOOKUP(AC1745,Selects!$B:$E,4,0),"")</f>
        <v/>
      </c>
    </row>
    <row r="1746" customFormat="false" ht="15" hidden="true" customHeight="false" outlineLevel="0" collapsed="false">
      <c r="E1746" s="60" t="str">
        <f aca="false">IF(LEN(D1746)=11,"PF",IF(LEN(D1746)=14,"PJ",""))</f>
        <v/>
      </c>
      <c r="I1746" s="62"/>
      <c r="J1746" s="63" t="str">
        <f aca="false">IF(I1746&lt;&gt;"",VLOOKUP(I1746,'Legal Nature'!$E$2:$G$84,3,0),"")</f>
        <v/>
      </c>
      <c r="AD1746" s="72" t="str">
        <f aca="false">IF(AC1746&lt;&gt;"",VLOOKUP(AC1746,Selects!$B$4:$C$100,2,0),"")</f>
        <v/>
      </c>
      <c r="AH1746" s="65"/>
      <c r="AJ1746" s="66"/>
      <c r="AK1746" s="58"/>
      <c r="AM1746" s="68" t="str">
        <f aca="false">IF(LEFT(AL1746,1)="9","Celular",IF(AL1746="","","Fixo"))</f>
        <v/>
      </c>
      <c r="AN1746" s="58" t="str">
        <f aca="false">IF( AM1746&lt;&gt;"",VLOOKUP(AM1746,Selects!$M$4:$N$1000,2,0),"")</f>
        <v/>
      </c>
      <c r="BB1746" s="72" t="str">
        <f aca="false">IF(BA1746&lt;&gt;"",VLOOKUP(BA1746,Selects!$B$4:$C$100,2,0),"")</f>
        <v/>
      </c>
      <c r="BG1746" s="75" t="str">
        <f aca="false">IF(LEN(BF1746)=11,"PF",IF(LEN(BF1746)=14,"PJ",""))</f>
        <v/>
      </c>
      <c r="BH1746" s="66"/>
      <c r="BI1746" s="58" t="str">
        <f aca="false">IF(BH1746&lt;&gt;"",VLOOKUP(BH1746,Selects!$G:$H,2,0),"")</f>
        <v/>
      </c>
      <c r="CB1746" s="72" t="str">
        <f aca="false">IF(AC1746&lt;&gt;"",VLOOKUP(AC1746,Selects!$B:$E,4,0),"")</f>
        <v/>
      </c>
    </row>
    <row r="1747" customFormat="false" ht="15" hidden="true" customHeight="false" outlineLevel="0" collapsed="false">
      <c r="E1747" s="60" t="str">
        <f aca="false">IF(LEN(D1747)=11,"PF",IF(LEN(D1747)=14,"PJ",""))</f>
        <v/>
      </c>
      <c r="I1747" s="62"/>
      <c r="J1747" s="63" t="str">
        <f aca="false">IF(I1747&lt;&gt;"",VLOOKUP(I1747,'Legal Nature'!$E$2:$G$84,3,0),"")</f>
        <v/>
      </c>
      <c r="AD1747" s="72" t="str">
        <f aca="false">IF(AC1747&lt;&gt;"",VLOOKUP(AC1747,Selects!$B$4:$C$100,2,0),"")</f>
        <v/>
      </c>
      <c r="AH1747" s="65"/>
      <c r="AJ1747" s="66"/>
      <c r="AK1747" s="58"/>
      <c r="AM1747" s="68" t="str">
        <f aca="false">IF(LEFT(AL1747,1)="9","Celular",IF(AL1747="","","Fixo"))</f>
        <v/>
      </c>
      <c r="AN1747" s="58" t="str">
        <f aca="false">IF( AM1747&lt;&gt;"",VLOOKUP(AM1747,Selects!$M$4:$N$1000,2,0),"")</f>
        <v/>
      </c>
      <c r="BB1747" s="72" t="str">
        <f aca="false">IF(BA1747&lt;&gt;"",VLOOKUP(BA1747,Selects!$B$4:$C$100,2,0),"")</f>
        <v/>
      </c>
      <c r="BG1747" s="75" t="str">
        <f aca="false">IF(LEN(BF1747)=11,"PF",IF(LEN(BF1747)=14,"PJ",""))</f>
        <v/>
      </c>
      <c r="BH1747" s="66"/>
      <c r="BI1747" s="58" t="str">
        <f aca="false">IF(BH1747&lt;&gt;"",VLOOKUP(BH1747,Selects!$G:$H,2,0),"")</f>
        <v/>
      </c>
      <c r="CB1747" s="72" t="str">
        <f aca="false">IF(AC1747&lt;&gt;"",VLOOKUP(AC1747,Selects!$B:$E,4,0),"")</f>
        <v/>
      </c>
    </row>
    <row r="1748" customFormat="false" ht="15" hidden="true" customHeight="false" outlineLevel="0" collapsed="false">
      <c r="E1748" s="60" t="str">
        <f aca="false">IF(LEN(D1748)=11,"PF",IF(LEN(D1748)=14,"PJ",""))</f>
        <v/>
      </c>
      <c r="I1748" s="62"/>
      <c r="J1748" s="63" t="str">
        <f aca="false">IF(I1748&lt;&gt;"",VLOOKUP(I1748,'Legal Nature'!$E$2:$G$84,3,0),"")</f>
        <v/>
      </c>
      <c r="AD1748" s="72" t="str">
        <f aca="false">IF(AC1748&lt;&gt;"",VLOOKUP(AC1748,Selects!$B$4:$C$100,2,0),"")</f>
        <v/>
      </c>
      <c r="AH1748" s="65"/>
      <c r="AJ1748" s="66"/>
      <c r="AK1748" s="58"/>
      <c r="AM1748" s="68" t="str">
        <f aca="false">IF(LEFT(AL1748,1)="9","Celular",IF(AL1748="","","Fixo"))</f>
        <v/>
      </c>
      <c r="AN1748" s="58" t="str">
        <f aca="false">IF( AM1748&lt;&gt;"",VLOOKUP(AM1748,Selects!$M$4:$N$1000,2,0),"")</f>
        <v/>
      </c>
      <c r="BB1748" s="72" t="str">
        <f aca="false">IF(BA1748&lt;&gt;"",VLOOKUP(BA1748,Selects!$B$4:$C$100,2,0),"")</f>
        <v/>
      </c>
      <c r="BG1748" s="75" t="str">
        <f aca="false">IF(LEN(BF1748)=11,"PF",IF(LEN(BF1748)=14,"PJ",""))</f>
        <v/>
      </c>
      <c r="BH1748" s="66"/>
      <c r="BI1748" s="58" t="str">
        <f aca="false">IF(BH1748&lt;&gt;"",VLOOKUP(BH1748,Selects!$G:$H,2,0),"")</f>
        <v/>
      </c>
      <c r="CB1748" s="72" t="str">
        <f aca="false">IF(AC1748&lt;&gt;"",VLOOKUP(AC1748,Selects!$B:$E,4,0),"")</f>
        <v/>
      </c>
    </row>
    <row r="1749" customFormat="false" ht="15" hidden="true" customHeight="false" outlineLevel="0" collapsed="false">
      <c r="E1749" s="60" t="str">
        <f aca="false">IF(LEN(D1749)=11,"PF",IF(LEN(D1749)=14,"PJ",""))</f>
        <v/>
      </c>
      <c r="I1749" s="62"/>
      <c r="J1749" s="63" t="str">
        <f aca="false">IF(I1749&lt;&gt;"",VLOOKUP(I1749,'Legal Nature'!$E$2:$G$84,3,0),"")</f>
        <v/>
      </c>
      <c r="AD1749" s="72" t="str">
        <f aca="false">IF(AC1749&lt;&gt;"",VLOOKUP(AC1749,Selects!$B$4:$C$100,2,0),"")</f>
        <v/>
      </c>
      <c r="AH1749" s="65"/>
      <c r="AJ1749" s="66"/>
      <c r="AK1749" s="58"/>
      <c r="AM1749" s="68" t="str">
        <f aca="false">IF(LEFT(AL1749,1)="9","Celular",IF(AL1749="","","Fixo"))</f>
        <v/>
      </c>
      <c r="AN1749" s="58" t="str">
        <f aca="false">IF( AM1749&lt;&gt;"",VLOOKUP(AM1749,Selects!$M$4:$N$1000,2,0),"")</f>
        <v/>
      </c>
      <c r="BB1749" s="72" t="str">
        <f aca="false">IF(BA1749&lt;&gt;"",VLOOKUP(BA1749,Selects!$B$4:$C$100,2,0),"")</f>
        <v/>
      </c>
      <c r="BG1749" s="75" t="str">
        <f aca="false">IF(LEN(BF1749)=11,"PF",IF(LEN(BF1749)=14,"PJ",""))</f>
        <v/>
      </c>
      <c r="BH1749" s="66"/>
      <c r="BI1749" s="58" t="str">
        <f aca="false">IF(BH1749&lt;&gt;"",VLOOKUP(BH1749,Selects!$G:$H,2,0),"")</f>
        <v/>
      </c>
      <c r="CB1749" s="72" t="str">
        <f aca="false">IF(AC1749&lt;&gt;"",VLOOKUP(AC1749,Selects!$B:$E,4,0),"")</f>
        <v/>
      </c>
    </row>
    <row r="1750" customFormat="false" ht="15" hidden="true" customHeight="false" outlineLevel="0" collapsed="false">
      <c r="E1750" s="60" t="str">
        <f aca="false">IF(LEN(D1750)=11,"PF",IF(LEN(D1750)=14,"PJ",""))</f>
        <v/>
      </c>
      <c r="I1750" s="62"/>
      <c r="J1750" s="63" t="str">
        <f aca="false">IF(I1750&lt;&gt;"",VLOOKUP(I1750,'Legal Nature'!$E$2:$G$84,3,0),"")</f>
        <v/>
      </c>
      <c r="AD1750" s="72" t="str">
        <f aca="false">IF(AC1750&lt;&gt;"",VLOOKUP(AC1750,Selects!$B$4:$C$100,2,0),"")</f>
        <v/>
      </c>
      <c r="AH1750" s="65"/>
      <c r="AJ1750" s="66"/>
      <c r="AK1750" s="58"/>
      <c r="AM1750" s="68" t="str">
        <f aca="false">IF(LEFT(AL1750,1)="9","Celular",IF(AL1750="","","Fixo"))</f>
        <v/>
      </c>
      <c r="AN1750" s="58" t="str">
        <f aca="false">IF( AM1750&lt;&gt;"",VLOOKUP(AM1750,Selects!$M$4:$N$1000,2,0),"")</f>
        <v/>
      </c>
      <c r="BB1750" s="72" t="str">
        <f aca="false">IF(BA1750&lt;&gt;"",VLOOKUP(BA1750,Selects!$B$4:$C$100,2,0),"")</f>
        <v/>
      </c>
      <c r="BG1750" s="75" t="str">
        <f aca="false">IF(LEN(BF1750)=11,"PF",IF(LEN(BF1750)=14,"PJ",""))</f>
        <v/>
      </c>
      <c r="BH1750" s="66"/>
      <c r="BI1750" s="58" t="str">
        <f aca="false">IF(BH1750&lt;&gt;"",VLOOKUP(BH1750,Selects!$G:$H,2,0),"")</f>
        <v/>
      </c>
      <c r="CB1750" s="72" t="str">
        <f aca="false">IF(AC1750&lt;&gt;"",VLOOKUP(AC1750,Selects!$B:$E,4,0),"")</f>
        <v/>
      </c>
    </row>
    <row r="1751" customFormat="false" ht="15" hidden="true" customHeight="false" outlineLevel="0" collapsed="false">
      <c r="E1751" s="60" t="str">
        <f aca="false">IF(LEN(D1751)=11,"PF",IF(LEN(D1751)=14,"PJ",""))</f>
        <v/>
      </c>
      <c r="I1751" s="62"/>
      <c r="J1751" s="63" t="str">
        <f aca="false">IF(I1751&lt;&gt;"",VLOOKUP(I1751,'Legal Nature'!$E$2:$G$84,3,0),"")</f>
        <v/>
      </c>
      <c r="AD1751" s="72" t="str">
        <f aca="false">IF(AC1751&lt;&gt;"",VLOOKUP(AC1751,Selects!$B$4:$C$100,2,0),"")</f>
        <v/>
      </c>
      <c r="AH1751" s="65"/>
      <c r="AJ1751" s="66"/>
      <c r="AK1751" s="58"/>
      <c r="AM1751" s="68" t="str">
        <f aca="false">IF(LEFT(AL1751,1)="9","Celular",IF(AL1751="","","Fixo"))</f>
        <v/>
      </c>
      <c r="AN1751" s="58" t="str">
        <f aca="false">IF( AM1751&lt;&gt;"",VLOOKUP(AM1751,Selects!$M$4:$N$1000,2,0),"")</f>
        <v/>
      </c>
      <c r="BB1751" s="72" t="str">
        <f aca="false">IF(BA1751&lt;&gt;"",VLOOKUP(BA1751,Selects!$B$4:$C$100,2,0),"")</f>
        <v/>
      </c>
      <c r="BG1751" s="75" t="str">
        <f aca="false">IF(LEN(BF1751)=11,"PF",IF(LEN(BF1751)=14,"PJ",""))</f>
        <v/>
      </c>
      <c r="BH1751" s="66"/>
      <c r="BI1751" s="58" t="str">
        <f aca="false">IF(BH1751&lt;&gt;"",VLOOKUP(BH1751,Selects!$G:$H,2,0),"")</f>
        <v/>
      </c>
      <c r="CB1751" s="72" t="str">
        <f aca="false">IF(AC1751&lt;&gt;"",VLOOKUP(AC1751,Selects!$B:$E,4,0),"")</f>
        <v/>
      </c>
    </row>
    <row r="1752" customFormat="false" ht="15" hidden="true" customHeight="false" outlineLevel="0" collapsed="false">
      <c r="E1752" s="60" t="str">
        <f aca="false">IF(LEN(D1752)=11,"PF",IF(LEN(D1752)=14,"PJ",""))</f>
        <v/>
      </c>
      <c r="I1752" s="62"/>
      <c r="J1752" s="63" t="str">
        <f aca="false">IF(I1752&lt;&gt;"",VLOOKUP(I1752,'Legal Nature'!$E$2:$G$84,3,0),"")</f>
        <v/>
      </c>
      <c r="AD1752" s="72" t="str">
        <f aca="false">IF(AC1752&lt;&gt;"",VLOOKUP(AC1752,Selects!$B$4:$C$100,2,0),"")</f>
        <v/>
      </c>
      <c r="AH1752" s="65"/>
      <c r="AJ1752" s="66"/>
      <c r="AK1752" s="58"/>
      <c r="AM1752" s="68" t="str">
        <f aca="false">IF(LEFT(AL1752,1)="9","Celular",IF(AL1752="","","Fixo"))</f>
        <v/>
      </c>
      <c r="AN1752" s="58" t="str">
        <f aca="false">IF( AM1752&lt;&gt;"",VLOOKUP(AM1752,Selects!$M$4:$N$1000,2,0),"")</f>
        <v/>
      </c>
      <c r="BB1752" s="72" t="str">
        <f aca="false">IF(BA1752&lt;&gt;"",VLOOKUP(BA1752,Selects!$B$4:$C$100,2,0),"")</f>
        <v/>
      </c>
      <c r="BG1752" s="75" t="str">
        <f aca="false">IF(LEN(BF1752)=11,"PF",IF(LEN(BF1752)=14,"PJ",""))</f>
        <v/>
      </c>
      <c r="BH1752" s="66"/>
      <c r="BI1752" s="58" t="str">
        <f aca="false">IF(BH1752&lt;&gt;"",VLOOKUP(BH1752,Selects!$G:$H,2,0),"")</f>
        <v/>
      </c>
      <c r="CB1752" s="72" t="str">
        <f aca="false">IF(AC1752&lt;&gt;"",VLOOKUP(AC1752,Selects!$B:$E,4,0),"")</f>
        <v/>
      </c>
    </row>
    <row r="1753" customFormat="false" ht="15" hidden="true" customHeight="false" outlineLevel="0" collapsed="false">
      <c r="E1753" s="60" t="str">
        <f aca="false">IF(LEN(D1753)=11,"PF",IF(LEN(D1753)=14,"PJ",""))</f>
        <v/>
      </c>
      <c r="I1753" s="62"/>
      <c r="J1753" s="63" t="str">
        <f aca="false">IF(I1753&lt;&gt;"",VLOOKUP(I1753,'Legal Nature'!$E$2:$G$84,3,0),"")</f>
        <v/>
      </c>
      <c r="AD1753" s="72" t="str">
        <f aca="false">IF(AC1753&lt;&gt;"",VLOOKUP(AC1753,Selects!$B$4:$C$100,2,0),"")</f>
        <v/>
      </c>
      <c r="AH1753" s="65"/>
      <c r="AJ1753" s="66"/>
      <c r="AK1753" s="58"/>
      <c r="AM1753" s="68" t="str">
        <f aca="false">IF(LEFT(AL1753,1)="9","Celular",IF(AL1753="","","Fixo"))</f>
        <v/>
      </c>
      <c r="AN1753" s="58" t="str">
        <f aca="false">IF( AM1753&lt;&gt;"",VLOOKUP(AM1753,Selects!$M$4:$N$1000,2,0),"")</f>
        <v/>
      </c>
      <c r="BB1753" s="72" t="str">
        <f aca="false">IF(BA1753&lt;&gt;"",VLOOKUP(BA1753,Selects!$B$4:$C$100,2,0),"")</f>
        <v/>
      </c>
      <c r="BG1753" s="75" t="str">
        <f aca="false">IF(LEN(BF1753)=11,"PF",IF(LEN(BF1753)=14,"PJ",""))</f>
        <v/>
      </c>
      <c r="BH1753" s="66"/>
      <c r="BI1753" s="58" t="str">
        <f aca="false">IF(BH1753&lt;&gt;"",VLOOKUP(BH1753,Selects!$G:$H,2,0),"")</f>
        <v/>
      </c>
      <c r="CB1753" s="72" t="str">
        <f aca="false">IF(AC1753&lt;&gt;"",VLOOKUP(AC1753,Selects!$B:$E,4,0),"")</f>
        <v/>
      </c>
    </row>
    <row r="1754" customFormat="false" ht="15" hidden="true" customHeight="false" outlineLevel="0" collapsed="false">
      <c r="E1754" s="60" t="str">
        <f aca="false">IF(LEN(D1754)=11,"PF",IF(LEN(D1754)=14,"PJ",""))</f>
        <v/>
      </c>
      <c r="I1754" s="62"/>
      <c r="J1754" s="63" t="str">
        <f aca="false">IF(I1754&lt;&gt;"",VLOOKUP(I1754,'Legal Nature'!$E$2:$G$84,3,0),"")</f>
        <v/>
      </c>
      <c r="AD1754" s="72" t="str">
        <f aca="false">IF(AC1754&lt;&gt;"",VLOOKUP(AC1754,Selects!$B$4:$C$100,2,0),"")</f>
        <v/>
      </c>
      <c r="AH1754" s="65"/>
      <c r="AJ1754" s="66"/>
      <c r="AK1754" s="58"/>
      <c r="AM1754" s="68" t="str">
        <f aca="false">IF(LEFT(AL1754,1)="9","Celular",IF(AL1754="","","Fixo"))</f>
        <v/>
      </c>
      <c r="AN1754" s="58" t="str">
        <f aca="false">IF( AM1754&lt;&gt;"",VLOOKUP(AM1754,Selects!$M$4:$N$1000,2,0),"")</f>
        <v/>
      </c>
      <c r="BB1754" s="72" t="str">
        <f aca="false">IF(BA1754&lt;&gt;"",VLOOKUP(BA1754,Selects!$B$4:$C$100,2,0),"")</f>
        <v/>
      </c>
      <c r="BG1754" s="75" t="str">
        <f aca="false">IF(LEN(BF1754)=11,"PF",IF(LEN(BF1754)=14,"PJ",""))</f>
        <v/>
      </c>
      <c r="BH1754" s="66"/>
      <c r="BI1754" s="58" t="str">
        <f aca="false">IF(BH1754&lt;&gt;"",VLOOKUP(BH1754,Selects!$G:$H,2,0),"")</f>
        <v/>
      </c>
      <c r="CB1754" s="72" t="str">
        <f aca="false">IF(AC1754&lt;&gt;"",VLOOKUP(AC1754,Selects!$B:$E,4,0),"")</f>
        <v/>
      </c>
    </row>
    <row r="1755" customFormat="false" ht="15" hidden="true" customHeight="false" outlineLevel="0" collapsed="false">
      <c r="E1755" s="60" t="str">
        <f aca="false">IF(LEN(D1755)=11,"PF",IF(LEN(D1755)=14,"PJ",""))</f>
        <v/>
      </c>
      <c r="I1755" s="62"/>
      <c r="J1755" s="63" t="str">
        <f aca="false">IF(I1755&lt;&gt;"",VLOOKUP(I1755,'Legal Nature'!$E$2:$G$84,3,0),"")</f>
        <v/>
      </c>
      <c r="AD1755" s="72" t="str">
        <f aca="false">IF(AC1755&lt;&gt;"",VLOOKUP(AC1755,Selects!$B$4:$C$100,2,0),"")</f>
        <v/>
      </c>
      <c r="AH1755" s="65"/>
      <c r="AJ1755" s="66"/>
      <c r="AK1755" s="58"/>
      <c r="AM1755" s="68" t="str">
        <f aca="false">IF(LEFT(AL1755,1)="9","Celular",IF(AL1755="","","Fixo"))</f>
        <v/>
      </c>
      <c r="AN1755" s="58" t="str">
        <f aca="false">IF( AM1755&lt;&gt;"",VLOOKUP(AM1755,Selects!$M$4:$N$1000,2,0),"")</f>
        <v/>
      </c>
      <c r="BB1755" s="72" t="str">
        <f aca="false">IF(BA1755&lt;&gt;"",VLOOKUP(BA1755,Selects!$B$4:$C$100,2,0),"")</f>
        <v/>
      </c>
      <c r="BG1755" s="75" t="str">
        <f aca="false">IF(LEN(BF1755)=11,"PF",IF(LEN(BF1755)=14,"PJ",""))</f>
        <v/>
      </c>
      <c r="BH1755" s="66"/>
      <c r="BI1755" s="58" t="str">
        <f aca="false">IF(BH1755&lt;&gt;"",VLOOKUP(BH1755,Selects!$G:$H,2,0),"")</f>
        <v/>
      </c>
      <c r="CB1755" s="72" t="str">
        <f aca="false">IF(AC1755&lt;&gt;"",VLOOKUP(AC1755,Selects!$B:$E,4,0),"")</f>
        <v/>
      </c>
    </row>
    <row r="1756" customFormat="false" ht="15" hidden="true" customHeight="false" outlineLevel="0" collapsed="false">
      <c r="E1756" s="60" t="str">
        <f aca="false">IF(LEN(D1756)=11,"PF",IF(LEN(D1756)=14,"PJ",""))</f>
        <v/>
      </c>
      <c r="I1756" s="62"/>
      <c r="J1756" s="63" t="str">
        <f aca="false">IF(I1756&lt;&gt;"",VLOOKUP(I1756,'Legal Nature'!$E$2:$G$84,3,0),"")</f>
        <v/>
      </c>
      <c r="AD1756" s="72" t="str">
        <f aca="false">IF(AC1756&lt;&gt;"",VLOOKUP(AC1756,Selects!$B$4:$C$100,2,0),"")</f>
        <v/>
      </c>
      <c r="AH1756" s="65"/>
      <c r="AJ1756" s="66"/>
      <c r="AK1756" s="58"/>
      <c r="AM1756" s="68" t="str">
        <f aca="false">IF(LEFT(AL1756,1)="9","Celular",IF(AL1756="","","Fixo"))</f>
        <v/>
      </c>
      <c r="AN1756" s="58" t="str">
        <f aca="false">IF( AM1756&lt;&gt;"",VLOOKUP(AM1756,Selects!$M$4:$N$1000,2,0),"")</f>
        <v/>
      </c>
      <c r="BB1756" s="72" t="str">
        <f aca="false">IF(BA1756&lt;&gt;"",VLOOKUP(BA1756,Selects!$B$4:$C$100,2,0),"")</f>
        <v/>
      </c>
      <c r="BG1756" s="75" t="str">
        <f aca="false">IF(LEN(BF1756)=11,"PF",IF(LEN(BF1756)=14,"PJ",""))</f>
        <v/>
      </c>
      <c r="BH1756" s="66"/>
      <c r="BI1756" s="58" t="str">
        <f aca="false">IF(BH1756&lt;&gt;"",VLOOKUP(BH1756,Selects!$G:$H,2,0),"")</f>
        <v/>
      </c>
      <c r="CB1756" s="72" t="str">
        <f aca="false">IF(AC1756&lt;&gt;"",VLOOKUP(AC1756,Selects!$B:$E,4,0),"")</f>
        <v/>
      </c>
    </row>
    <row r="1757" customFormat="false" ht="15" hidden="true" customHeight="false" outlineLevel="0" collapsed="false">
      <c r="E1757" s="60" t="str">
        <f aca="false">IF(LEN(D1757)=11,"PF",IF(LEN(D1757)=14,"PJ",""))</f>
        <v/>
      </c>
      <c r="I1757" s="62"/>
      <c r="J1757" s="63" t="str">
        <f aca="false">IF(I1757&lt;&gt;"",VLOOKUP(I1757,'Legal Nature'!$E$2:$G$84,3,0),"")</f>
        <v/>
      </c>
      <c r="AD1757" s="72" t="str">
        <f aca="false">IF(AC1757&lt;&gt;"",VLOOKUP(AC1757,Selects!$B$4:$C$100,2,0),"")</f>
        <v/>
      </c>
      <c r="AH1757" s="65"/>
      <c r="AJ1757" s="66"/>
      <c r="AK1757" s="58"/>
      <c r="AM1757" s="68" t="str">
        <f aca="false">IF(LEFT(AL1757,1)="9","Celular",IF(AL1757="","","Fixo"))</f>
        <v/>
      </c>
      <c r="AN1757" s="58" t="str">
        <f aca="false">IF( AM1757&lt;&gt;"",VLOOKUP(AM1757,Selects!$M$4:$N$1000,2,0),"")</f>
        <v/>
      </c>
      <c r="BB1757" s="72" t="str">
        <f aca="false">IF(BA1757&lt;&gt;"",VLOOKUP(BA1757,Selects!$B$4:$C$100,2,0),"")</f>
        <v/>
      </c>
      <c r="BG1757" s="75" t="str">
        <f aca="false">IF(LEN(BF1757)=11,"PF",IF(LEN(BF1757)=14,"PJ",""))</f>
        <v/>
      </c>
      <c r="BH1757" s="66"/>
      <c r="BI1757" s="58" t="str">
        <f aca="false">IF(BH1757&lt;&gt;"",VLOOKUP(BH1757,Selects!$G:$H,2,0),"")</f>
        <v/>
      </c>
      <c r="CB1757" s="72" t="str">
        <f aca="false">IF(AC1757&lt;&gt;"",VLOOKUP(AC1757,Selects!$B:$E,4,0),"")</f>
        <v/>
      </c>
    </row>
    <row r="1758" customFormat="false" ht="15" hidden="true" customHeight="false" outlineLevel="0" collapsed="false">
      <c r="E1758" s="60" t="str">
        <f aca="false">IF(LEN(D1758)=11,"PF",IF(LEN(D1758)=14,"PJ",""))</f>
        <v/>
      </c>
      <c r="I1758" s="62"/>
      <c r="J1758" s="63" t="str">
        <f aca="false">IF(I1758&lt;&gt;"",VLOOKUP(I1758,'Legal Nature'!$E$2:$G$84,3,0),"")</f>
        <v/>
      </c>
      <c r="AD1758" s="72" t="str">
        <f aca="false">IF(AC1758&lt;&gt;"",VLOOKUP(AC1758,Selects!$B$4:$C$100,2,0),"")</f>
        <v/>
      </c>
      <c r="AH1758" s="65"/>
      <c r="AJ1758" s="66"/>
      <c r="AK1758" s="58"/>
      <c r="AM1758" s="68" t="str">
        <f aca="false">IF(LEFT(AL1758,1)="9","Celular",IF(AL1758="","","Fixo"))</f>
        <v/>
      </c>
      <c r="AN1758" s="58" t="str">
        <f aca="false">IF( AM1758&lt;&gt;"",VLOOKUP(AM1758,Selects!$M$4:$N$1000,2,0),"")</f>
        <v/>
      </c>
      <c r="BB1758" s="72" t="str">
        <f aca="false">IF(BA1758&lt;&gt;"",VLOOKUP(BA1758,Selects!$B$4:$C$100,2,0),"")</f>
        <v/>
      </c>
      <c r="BG1758" s="75" t="str">
        <f aca="false">IF(LEN(BF1758)=11,"PF",IF(LEN(BF1758)=14,"PJ",""))</f>
        <v/>
      </c>
      <c r="BH1758" s="66"/>
      <c r="BI1758" s="58" t="str">
        <f aca="false">IF(BH1758&lt;&gt;"",VLOOKUP(BH1758,Selects!$G:$H,2,0),"")</f>
        <v/>
      </c>
      <c r="CB1758" s="72" t="str">
        <f aca="false">IF(AC1758&lt;&gt;"",VLOOKUP(AC1758,Selects!$B:$E,4,0),"")</f>
        <v/>
      </c>
    </row>
    <row r="1759" customFormat="false" ht="15" hidden="true" customHeight="false" outlineLevel="0" collapsed="false">
      <c r="E1759" s="60" t="str">
        <f aca="false">IF(LEN(D1759)=11,"PF",IF(LEN(D1759)=14,"PJ",""))</f>
        <v/>
      </c>
      <c r="I1759" s="62"/>
      <c r="J1759" s="63" t="str">
        <f aca="false">IF(I1759&lt;&gt;"",VLOOKUP(I1759,'Legal Nature'!$E$2:$G$84,3,0),"")</f>
        <v/>
      </c>
      <c r="AD1759" s="72" t="str">
        <f aca="false">IF(AC1759&lt;&gt;"",VLOOKUP(AC1759,Selects!$B$4:$C$100,2,0),"")</f>
        <v/>
      </c>
      <c r="AH1759" s="65"/>
      <c r="AJ1759" s="66"/>
      <c r="AK1759" s="58"/>
      <c r="AM1759" s="68" t="str">
        <f aca="false">IF(LEFT(AL1759,1)="9","Celular",IF(AL1759="","","Fixo"))</f>
        <v/>
      </c>
      <c r="AN1759" s="58" t="str">
        <f aca="false">IF( AM1759&lt;&gt;"",VLOOKUP(AM1759,Selects!$M$4:$N$1000,2,0),"")</f>
        <v/>
      </c>
      <c r="BB1759" s="72" t="str">
        <f aca="false">IF(BA1759&lt;&gt;"",VLOOKUP(BA1759,Selects!$B$4:$C$100,2,0),"")</f>
        <v/>
      </c>
      <c r="BG1759" s="75" t="str">
        <f aca="false">IF(LEN(BF1759)=11,"PF",IF(LEN(BF1759)=14,"PJ",""))</f>
        <v/>
      </c>
      <c r="BH1759" s="66"/>
      <c r="BI1759" s="58" t="str">
        <f aca="false">IF(BH1759&lt;&gt;"",VLOOKUP(BH1759,Selects!$G:$H,2,0),"")</f>
        <v/>
      </c>
      <c r="CB1759" s="72" t="str">
        <f aca="false">IF(AC1759&lt;&gt;"",VLOOKUP(AC1759,Selects!$B:$E,4,0),"")</f>
        <v/>
      </c>
    </row>
    <row r="1760" customFormat="false" ht="15" hidden="true" customHeight="false" outlineLevel="0" collapsed="false">
      <c r="E1760" s="60" t="str">
        <f aca="false">IF(LEN(D1760)=11,"PF",IF(LEN(D1760)=14,"PJ",""))</f>
        <v/>
      </c>
      <c r="I1760" s="62"/>
      <c r="J1760" s="63" t="str">
        <f aca="false">IF(I1760&lt;&gt;"",VLOOKUP(I1760,'Legal Nature'!$E$2:$G$84,3,0),"")</f>
        <v/>
      </c>
      <c r="AD1760" s="72" t="str">
        <f aca="false">IF(AC1760&lt;&gt;"",VLOOKUP(AC1760,Selects!$B$4:$C$100,2,0),"")</f>
        <v/>
      </c>
      <c r="AH1760" s="65"/>
      <c r="AJ1760" s="66"/>
      <c r="AK1760" s="58"/>
      <c r="AM1760" s="68" t="str">
        <f aca="false">IF(LEFT(AL1760,1)="9","Celular",IF(AL1760="","","Fixo"))</f>
        <v/>
      </c>
      <c r="AN1760" s="58" t="str">
        <f aca="false">IF( AM1760&lt;&gt;"",VLOOKUP(AM1760,Selects!$M$4:$N$1000,2,0),"")</f>
        <v/>
      </c>
      <c r="BB1760" s="72" t="str">
        <f aca="false">IF(BA1760&lt;&gt;"",VLOOKUP(BA1760,Selects!$B$4:$C$100,2,0),"")</f>
        <v/>
      </c>
      <c r="BG1760" s="75" t="str">
        <f aca="false">IF(LEN(BF1760)=11,"PF",IF(LEN(BF1760)=14,"PJ",""))</f>
        <v/>
      </c>
      <c r="BH1760" s="66"/>
      <c r="BI1760" s="58" t="str">
        <f aca="false">IF(BH1760&lt;&gt;"",VLOOKUP(BH1760,Selects!$G:$H,2,0),"")</f>
        <v/>
      </c>
      <c r="CB1760" s="72" t="str">
        <f aca="false">IF(AC1760&lt;&gt;"",VLOOKUP(AC1760,Selects!$B:$E,4,0),"")</f>
        <v/>
      </c>
    </row>
    <row r="1761" customFormat="false" ht="15" hidden="true" customHeight="false" outlineLevel="0" collapsed="false">
      <c r="E1761" s="60" t="str">
        <f aca="false">IF(LEN(D1761)=11,"PF",IF(LEN(D1761)=14,"PJ",""))</f>
        <v/>
      </c>
      <c r="I1761" s="62"/>
      <c r="J1761" s="63" t="str">
        <f aca="false">IF(I1761&lt;&gt;"",VLOOKUP(I1761,'Legal Nature'!$E$2:$G$84,3,0),"")</f>
        <v/>
      </c>
      <c r="AD1761" s="72" t="str">
        <f aca="false">IF(AC1761&lt;&gt;"",VLOOKUP(AC1761,Selects!$B$4:$C$100,2,0),"")</f>
        <v/>
      </c>
      <c r="AH1761" s="65"/>
      <c r="AJ1761" s="66"/>
      <c r="AK1761" s="58"/>
      <c r="AM1761" s="68" t="str">
        <f aca="false">IF(LEFT(AL1761,1)="9","Celular",IF(AL1761="","","Fixo"))</f>
        <v/>
      </c>
      <c r="AN1761" s="58" t="str">
        <f aca="false">IF( AM1761&lt;&gt;"",VLOOKUP(AM1761,Selects!$M$4:$N$1000,2,0),"")</f>
        <v/>
      </c>
      <c r="BB1761" s="72" t="str">
        <f aca="false">IF(BA1761&lt;&gt;"",VLOOKUP(BA1761,Selects!$B$4:$C$100,2,0),"")</f>
        <v/>
      </c>
      <c r="BG1761" s="75" t="str">
        <f aca="false">IF(LEN(BF1761)=11,"PF",IF(LEN(BF1761)=14,"PJ",""))</f>
        <v/>
      </c>
      <c r="BH1761" s="66"/>
      <c r="BI1761" s="58" t="str">
        <f aca="false">IF(BH1761&lt;&gt;"",VLOOKUP(BH1761,Selects!$G:$H,2,0),"")</f>
        <v/>
      </c>
      <c r="CB1761" s="72" t="str">
        <f aca="false">IF(AC1761&lt;&gt;"",VLOOKUP(AC1761,Selects!$B:$E,4,0),"")</f>
        <v/>
      </c>
    </row>
    <row r="1762" customFormat="false" ht="15" hidden="true" customHeight="false" outlineLevel="0" collapsed="false">
      <c r="E1762" s="60" t="str">
        <f aca="false">IF(LEN(D1762)=11,"PF",IF(LEN(D1762)=14,"PJ",""))</f>
        <v/>
      </c>
      <c r="I1762" s="62"/>
      <c r="J1762" s="63" t="str">
        <f aca="false">IF(I1762&lt;&gt;"",VLOOKUP(I1762,'Legal Nature'!$E$2:$G$84,3,0),"")</f>
        <v/>
      </c>
      <c r="AD1762" s="72" t="str">
        <f aca="false">IF(AC1762&lt;&gt;"",VLOOKUP(AC1762,Selects!$B$4:$C$100,2,0),"")</f>
        <v/>
      </c>
      <c r="AH1762" s="65"/>
      <c r="AJ1762" s="66"/>
      <c r="AK1762" s="58"/>
      <c r="AM1762" s="68" t="str">
        <f aca="false">IF(LEFT(AL1762,1)="9","Celular",IF(AL1762="","","Fixo"))</f>
        <v/>
      </c>
      <c r="AN1762" s="58" t="str">
        <f aca="false">IF( AM1762&lt;&gt;"",VLOOKUP(AM1762,Selects!$M$4:$N$1000,2,0),"")</f>
        <v/>
      </c>
      <c r="BB1762" s="72" t="str">
        <f aca="false">IF(BA1762&lt;&gt;"",VLOOKUP(BA1762,Selects!$B$4:$C$100,2,0),"")</f>
        <v/>
      </c>
      <c r="BG1762" s="75" t="str">
        <f aca="false">IF(LEN(BF1762)=11,"PF",IF(LEN(BF1762)=14,"PJ",""))</f>
        <v/>
      </c>
      <c r="BH1762" s="66"/>
      <c r="BI1762" s="58" t="str">
        <f aca="false">IF(BH1762&lt;&gt;"",VLOOKUP(BH1762,Selects!$G:$H,2,0),"")</f>
        <v/>
      </c>
      <c r="CB1762" s="72" t="str">
        <f aca="false">IF(AC1762&lt;&gt;"",VLOOKUP(AC1762,Selects!$B:$E,4,0),"")</f>
        <v/>
      </c>
    </row>
    <row r="1763" customFormat="false" ht="15" hidden="true" customHeight="false" outlineLevel="0" collapsed="false">
      <c r="E1763" s="60" t="str">
        <f aca="false">IF(LEN(D1763)=11,"PF",IF(LEN(D1763)=14,"PJ",""))</f>
        <v/>
      </c>
      <c r="I1763" s="62"/>
      <c r="J1763" s="63" t="str">
        <f aca="false">IF(I1763&lt;&gt;"",VLOOKUP(I1763,'Legal Nature'!$E$2:$G$84,3,0),"")</f>
        <v/>
      </c>
      <c r="AD1763" s="72" t="str">
        <f aca="false">IF(AC1763&lt;&gt;"",VLOOKUP(AC1763,Selects!$B$4:$C$100,2,0),"")</f>
        <v/>
      </c>
      <c r="AH1763" s="65"/>
      <c r="AJ1763" s="66"/>
      <c r="AK1763" s="58"/>
      <c r="AM1763" s="68" t="str">
        <f aca="false">IF(LEFT(AL1763,1)="9","Celular",IF(AL1763="","","Fixo"))</f>
        <v/>
      </c>
      <c r="AN1763" s="58" t="str">
        <f aca="false">IF( AM1763&lt;&gt;"",VLOOKUP(AM1763,Selects!$M$4:$N$1000,2,0),"")</f>
        <v/>
      </c>
      <c r="BB1763" s="72" t="str">
        <f aca="false">IF(BA1763&lt;&gt;"",VLOOKUP(BA1763,Selects!$B$4:$C$100,2,0),"")</f>
        <v/>
      </c>
      <c r="BG1763" s="75" t="str">
        <f aca="false">IF(LEN(BF1763)=11,"PF",IF(LEN(BF1763)=14,"PJ",""))</f>
        <v/>
      </c>
      <c r="BH1763" s="66"/>
      <c r="BI1763" s="58" t="str">
        <f aca="false">IF(BH1763&lt;&gt;"",VLOOKUP(BH1763,Selects!$G:$H,2,0),"")</f>
        <v/>
      </c>
      <c r="CB1763" s="72" t="str">
        <f aca="false">IF(AC1763&lt;&gt;"",VLOOKUP(AC1763,Selects!$B:$E,4,0),"")</f>
        <v/>
      </c>
    </row>
    <row r="1764" customFormat="false" ht="15" hidden="true" customHeight="false" outlineLevel="0" collapsed="false">
      <c r="E1764" s="60" t="str">
        <f aca="false">IF(LEN(D1764)=11,"PF",IF(LEN(D1764)=14,"PJ",""))</f>
        <v/>
      </c>
      <c r="I1764" s="62"/>
      <c r="J1764" s="63" t="str">
        <f aca="false">IF(I1764&lt;&gt;"",VLOOKUP(I1764,'Legal Nature'!$E$2:$G$84,3,0),"")</f>
        <v/>
      </c>
      <c r="AD1764" s="72" t="str">
        <f aca="false">IF(AC1764&lt;&gt;"",VLOOKUP(AC1764,Selects!$B$4:$C$100,2,0),"")</f>
        <v/>
      </c>
      <c r="AH1764" s="65"/>
      <c r="AJ1764" s="66"/>
      <c r="AK1764" s="58"/>
      <c r="AM1764" s="68" t="str">
        <f aca="false">IF(LEFT(AL1764,1)="9","Celular",IF(AL1764="","","Fixo"))</f>
        <v/>
      </c>
      <c r="AN1764" s="58" t="str">
        <f aca="false">IF( AM1764&lt;&gt;"",VLOOKUP(AM1764,Selects!$M$4:$N$1000,2,0),"")</f>
        <v/>
      </c>
      <c r="BB1764" s="72" t="str">
        <f aca="false">IF(BA1764&lt;&gt;"",VLOOKUP(BA1764,Selects!$B$4:$C$100,2,0),"")</f>
        <v/>
      </c>
      <c r="BG1764" s="75" t="str">
        <f aca="false">IF(LEN(BF1764)=11,"PF",IF(LEN(BF1764)=14,"PJ",""))</f>
        <v/>
      </c>
      <c r="BH1764" s="66"/>
      <c r="BI1764" s="58" t="str">
        <f aca="false">IF(BH1764&lt;&gt;"",VLOOKUP(BH1764,Selects!$G:$H,2,0),"")</f>
        <v/>
      </c>
      <c r="CB1764" s="72" t="str">
        <f aca="false">IF(AC1764&lt;&gt;"",VLOOKUP(AC1764,Selects!$B:$E,4,0),"")</f>
        <v/>
      </c>
    </row>
    <row r="1765" customFormat="false" ht="15" hidden="true" customHeight="false" outlineLevel="0" collapsed="false">
      <c r="E1765" s="60" t="str">
        <f aca="false">IF(LEN(D1765)=11,"PF",IF(LEN(D1765)=14,"PJ",""))</f>
        <v/>
      </c>
      <c r="I1765" s="62"/>
      <c r="J1765" s="63" t="str">
        <f aca="false">IF(I1765&lt;&gt;"",VLOOKUP(I1765,'Legal Nature'!$E$2:$G$84,3,0),"")</f>
        <v/>
      </c>
      <c r="AD1765" s="72" t="str">
        <f aca="false">IF(AC1765&lt;&gt;"",VLOOKUP(AC1765,Selects!$B$4:$C$100,2,0),"")</f>
        <v/>
      </c>
      <c r="AH1765" s="65"/>
      <c r="AJ1765" s="66"/>
      <c r="AK1765" s="58"/>
      <c r="AM1765" s="68" t="str">
        <f aca="false">IF(LEFT(AL1765,1)="9","Celular",IF(AL1765="","","Fixo"))</f>
        <v/>
      </c>
      <c r="AN1765" s="58" t="str">
        <f aca="false">IF( AM1765&lt;&gt;"",VLOOKUP(AM1765,Selects!$M$4:$N$1000,2,0),"")</f>
        <v/>
      </c>
      <c r="BB1765" s="72" t="str">
        <f aca="false">IF(BA1765&lt;&gt;"",VLOOKUP(BA1765,Selects!$B$4:$C$100,2,0),"")</f>
        <v/>
      </c>
      <c r="BG1765" s="75" t="str">
        <f aca="false">IF(LEN(BF1765)=11,"PF",IF(LEN(BF1765)=14,"PJ",""))</f>
        <v/>
      </c>
      <c r="BH1765" s="66"/>
      <c r="BI1765" s="58" t="str">
        <f aca="false">IF(BH1765&lt;&gt;"",VLOOKUP(BH1765,Selects!$G:$H,2,0),"")</f>
        <v/>
      </c>
      <c r="CB1765" s="72" t="str">
        <f aca="false">IF(AC1765&lt;&gt;"",VLOOKUP(AC1765,Selects!$B:$E,4,0),"")</f>
        <v/>
      </c>
    </row>
    <row r="1766" customFormat="false" ht="15" hidden="true" customHeight="false" outlineLevel="0" collapsed="false">
      <c r="E1766" s="60" t="str">
        <f aca="false">IF(LEN(D1766)=11,"PF",IF(LEN(D1766)=14,"PJ",""))</f>
        <v/>
      </c>
      <c r="I1766" s="62"/>
      <c r="J1766" s="63" t="str">
        <f aca="false">IF(I1766&lt;&gt;"",VLOOKUP(I1766,'Legal Nature'!$E$2:$G$84,3,0),"")</f>
        <v/>
      </c>
      <c r="AD1766" s="72" t="str">
        <f aca="false">IF(AC1766&lt;&gt;"",VLOOKUP(AC1766,Selects!$B$4:$C$100,2,0),"")</f>
        <v/>
      </c>
      <c r="AH1766" s="65"/>
      <c r="AJ1766" s="66"/>
      <c r="AK1766" s="58"/>
      <c r="AM1766" s="68" t="str">
        <f aca="false">IF(LEFT(AL1766,1)="9","Celular",IF(AL1766="","","Fixo"))</f>
        <v/>
      </c>
      <c r="AN1766" s="58" t="str">
        <f aca="false">IF( AM1766&lt;&gt;"",VLOOKUP(AM1766,Selects!$M$4:$N$1000,2,0),"")</f>
        <v/>
      </c>
      <c r="BB1766" s="72" t="str">
        <f aca="false">IF(BA1766&lt;&gt;"",VLOOKUP(BA1766,Selects!$B$4:$C$100,2,0),"")</f>
        <v/>
      </c>
      <c r="BG1766" s="75" t="str">
        <f aca="false">IF(LEN(BF1766)=11,"PF",IF(LEN(BF1766)=14,"PJ",""))</f>
        <v/>
      </c>
      <c r="BH1766" s="66"/>
      <c r="BI1766" s="58" t="str">
        <f aca="false">IF(BH1766&lt;&gt;"",VLOOKUP(BH1766,Selects!$G:$H,2,0),"")</f>
        <v/>
      </c>
      <c r="CB1766" s="72" t="str">
        <f aca="false">IF(AC1766&lt;&gt;"",VLOOKUP(AC1766,Selects!$B:$E,4,0),"")</f>
        <v/>
      </c>
    </row>
    <row r="1767" customFormat="false" ht="15" hidden="true" customHeight="false" outlineLevel="0" collapsed="false">
      <c r="E1767" s="60" t="str">
        <f aca="false">IF(LEN(D1767)=11,"PF",IF(LEN(D1767)=14,"PJ",""))</f>
        <v/>
      </c>
      <c r="I1767" s="62"/>
      <c r="J1767" s="63" t="str">
        <f aca="false">IF(I1767&lt;&gt;"",VLOOKUP(I1767,'Legal Nature'!$E$2:$G$84,3,0),"")</f>
        <v/>
      </c>
      <c r="AD1767" s="72" t="str">
        <f aca="false">IF(AC1767&lt;&gt;"",VLOOKUP(AC1767,Selects!$B$4:$C$100,2,0),"")</f>
        <v/>
      </c>
      <c r="AH1767" s="65"/>
      <c r="AJ1767" s="66"/>
      <c r="AK1767" s="58"/>
      <c r="AM1767" s="68" t="str">
        <f aca="false">IF(LEFT(AL1767,1)="9","Celular",IF(AL1767="","","Fixo"))</f>
        <v/>
      </c>
      <c r="AN1767" s="58" t="str">
        <f aca="false">IF( AM1767&lt;&gt;"",VLOOKUP(AM1767,Selects!$M$4:$N$1000,2,0),"")</f>
        <v/>
      </c>
      <c r="BB1767" s="72" t="str">
        <f aca="false">IF(BA1767&lt;&gt;"",VLOOKUP(BA1767,Selects!$B$4:$C$100,2,0),"")</f>
        <v/>
      </c>
      <c r="BG1767" s="75" t="str">
        <f aca="false">IF(LEN(BF1767)=11,"PF",IF(LEN(BF1767)=14,"PJ",""))</f>
        <v/>
      </c>
      <c r="BH1767" s="66"/>
      <c r="BI1767" s="58" t="str">
        <f aca="false">IF(BH1767&lt;&gt;"",VLOOKUP(BH1767,Selects!$G:$H,2,0),"")</f>
        <v/>
      </c>
      <c r="CB1767" s="72" t="str">
        <f aca="false">IF(AC1767&lt;&gt;"",VLOOKUP(AC1767,Selects!$B:$E,4,0),"")</f>
        <v/>
      </c>
    </row>
    <row r="1768" customFormat="false" ht="15" hidden="true" customHeight="false" outlineLevel="0" collapsed="false">
      <c r="E1768" s="60" t="str">
        <f aca="false">IF(LEN(D1768)=11,"PF",IF(LEN(D1768)=14,"PJ",""))</f>
        <v/>
      </c>
      <c r="I1768" s="62"/>
      <c r="J1768" s="63" t="str">
        <f aca="false">IF(I1768&lt;&gt;"",VLOOKUP(I1768,'Legal Nature'!$E$2:$G$84,3,0),"")</f>
        <v/>
      </c>
      <c r="AD1768" s="72" t="str">
        <f aca="false">IF(AC1768&lt;&gt;"",VLOOKUP(AC1768,Selects!$B$4:$C$100,2,0),"")</f>
        <v/>
      </c>
      <c r="AH1768" s="65"/>
      <c r="AJ1768" s="66"/>
      <c r="AK1768" s="58"/>
      <c r="AM1768" s="68" t="str">
        <f aca="false">IF(LEFT(AL1768,1)="9","Celular",IF(AL1768="","","Fixo"))</f>
        <v/>
      </c>
      <c r="AN1768" s="58" t="str">
        <f aca="false">IF( AM1768&lt;&gt;"",VLOOKUP(AM1768,Selects!$M$4:$N$1000,2,0),"")</f>
        <v/>
      </c>
      <c r="BB1768" s="72" t="str">
        <f aca="false">IF(BA1768&lt;&gt;"",VLOOKUP(BA1768,Selects!$B$4:$C$100,2,0),"")</f>
        <v/>
      </c>
      <c r="BG1768" s="75" t="str">
        <f aca="false">IF(LEN(BF1768)=11,"PF",IF(LEN(BF1768)=14,"PJ",""))</f>
        <v/>
      </c>
      <c r="BH1768" s="66"/>
      <c r="BI1768" s="58" t="str">
        <f aca="false">IF(BH1768&lt;&gt;"",VLOOKUP(BH1768,Selects!$G:$H,2,0),"")</f>
        <v/>
      </c>
      <c r="CB1768" s="72" t="str">
        <f aca="false">IF(AC1768&lt;&gt;"",VLOOKUP(AC1768,Selects!$B:$E,4,0),"")</f>
        <v/>
      </c>
    </row>
    <row r="1769" customFormat="false" ht="15" hidden="true" customHeight="false" outlineLevel="0" collapsed="false">
      <c r="E1769" s="60" t="str">
        <f aca="false">IF(LEN(D1769)=11,"PF",IF(LEN(D1769)=14,"PJ",""))</f>
        <v/>
      </c>
      <c r="I1769" s="62"/>
      <c r="J1769" s="63" t="str">
        <f aca="false">IF(I1769&lt;&gt;"",VLOOKUP(I1769,'Legal Nature'!$E$2:$G$84,3,0),"")</f>
        <v/>
      </c>
      <c r="AD1769" s="72" t="str">
        <f aca="false">IF(AC1769&lt;&gt;"",VLOOKUP(AC1769,Selects!$B$4:$C$100,2,0),"")</f>
        <v/>
      </c>
      <c r="AH1769" s="65"/>
      <c r="AJ1769" s="66"/>
      <c r="AK1769" s="58"/>
      <c r="AM1769" s="68" t="str">
        <f aca="false">IF(LEFT(AL1769,1)="9","Celular",IF(AL1769="","","Fixo"))</f>
        <v/>
      </c>
      <c r="AN1769" s="58" t="str">
        <f aca="false">IF( AM1769&lt;&gt;"",VLOOKUP(AM1769,Selects!$M$4:$N$1000,2,0),"")</f>
        <v/>
      </c>
      <c r="BB1769" s="72" t="str">
        <f aca="false">IF(BA1769&lt;&gt;"",VLOOKUP(BA1769,Selects!$B$4:$C$100,2,0),"")</f>
        <v/>
      </c>
      <c r="BG1769" s="75" t="str">
        <f aca="false">IF(LEN(BF1769)=11,"PF",IF(LEN(BF1769)=14,"PJ",""))</f>
        <v/>
      </c>
      <c r="BH1769" s="66"/>
      <c r="BI1769" s="58" t="str">
        <f aca="false">IF(BH1769&lt;&gt;"",VLOOKUP(BH1769,Selects!$G:$H,2,0),"")</f>
        <v/>
      </c>
      <c r="CB1769" s="72" t="str">
        <f aca="false">IF(AC1769&lt;&gt;"",VLOOKUP(AC1769,Selects!$B:$E,4,0),"")</f>
        <v/>
      </c>
    </row>
    <row r="1770" customFormat="false" ht="15" hidden="true" customHeight="false" outlineLevel="0" collapsed="false">
      <c r="E1770" s="60" t="str">
        <f aca="false">IF(LEN(D1770)=11,"PF",IF(LEN(D1770)=14,"PJ",""))</f>
        <v/>
      </c>
      <c r="I1770" s="62"/>
      <c r="J1770" s="63" t="str">
        <f aca="false">IF(I1770&lt;&gt;"",VLOOKUP(I1770,'Legal Nature'!$E$2:$G$84,3,0),"")</f>
        <v/>
      </c>
      <c r="AD1770" s="72" t="str">
        <f aca="false">IF(AC1770&lt;&gt;"",VLOOKUP(AC1770,Selects!$B$4:$C$100,2,0),"")</f>
        <v/>
      </c>
      <c r="AH1770" s="65"/>
      <c r="AJ1770" s="66"/>
      <c r="AK1770" s="58"/>
      <c r="AM1770" s="68" t="str">
        <f aca="false">IF(LEFT(AL1770,1)="9","Celular",IF(AL1770="","","Fixo"))</f>
        <v/>
      </c>
      <c r="AN1770" s="58" t="str">
        <f aca="false">IF( AM1770&lt;&gt;"",VLOOKUP(AM1770,Selects!$M$4:$N$1000,2,0),"")</f>
        <v/>
      </c>
      <c r="BB1770" s="72" t="str">
        <f aca="false">IF(BA1770&lt;&gt;"",VLOOKUP(BA1770,Selects!$B$4:$C$100,2,0),"")</f>
        <v/>
      </c>
      <c r="BG1770" s="75" t="str">
        <f aca="false">IF(LEN(BF1770)=11,"PF",IF(LEN(BF1770)=14,"PJ",""))</f>
        <v/>
      </c>
      <c r="BH1770" s="66"/>
      <c r="BI1770" s="58" t="str">
        <f aca="false">IF(BH1770&lt;&gt;"",VLOOKUP(BH1770,Selects!$G:$H,2,0),"")</f>
        <v/>
      </c>
      <c r="CB1770" s="72" t="str">
        <f aca="false">IF(AC1770&lt;&gt;"",VLOOKUP(AC1770,Selects!$B:$E,4,0),"")</f>
        <v/>
      </c>
    </row>
    <row r="1771" customFormat="false" ht="15" hidden="true" customHeight="false" outlineLevel="0" collapsed="false">
      <c r="E1771" s="60" t="str">
        <f aca="false">IF(LEN(D1771)=11,"PF",IF(LEN(D1771)=14,"PJ",""))</f>
        <v/>
      </c>
      <c r="I1771" s="62"/>
      <c r="J1771" s="63" t="str">
        <f aca="false">IF(I1771&lt;&gt;"",VLOOKUP(I1771,'Legal Nature'!$E$2:$G$84,3,0),"")</f>
        <v/>
      </c>
      <c r="AD1771" s="72" t="str">
        <f aca="false">IF(AC1771&lt;&gt;"",VLOOKUP(AC1771,Selects!$B$4:$C$100,2,0),"")</f>
        <v/>
      </c>
      <c r="AH1771" s="65"/>
      <c r="AJ1771" s="66"/>
      <c r="AM1771" s="68" t="str">
        <f aca="false">IF(LEFT(AL1771,1)="9","Celular",IF(AL1771="","","Fixo"))</f>
        <v/>
      </c>
      <c r="AN1771" s="58" t="str">
        <f aca="false">IF( AM1771&lt;&gt;"",VLOOKUP(AM1771,Selects!$M$4:$N$1000,2,0),"")</f>
        <v/>
      </c>
      <c r="BB1771" s="72" t="str">
        <f aca="false">IF(BA1771&lt;&gt;"",VLOOKUP(BA1771,Selects!$B$4:$C$100,2,0),"")</f>
        <v/>
      </c>
      <c r="BG1771" s="75" t="str">
        <f aca="false">IF(LEN(BF1771)=11,"PF",IF(LEN(BF1771)=14,"PJ",""))</f>
        <v/>
      </c>
      <c r="BH1771" s="66"/>
      <c r="BI1771" s="58" t="str">
        <f aca="false">IF(BH1771&lt;&gt;"",VLOOKUP(BH1771,Selects!$G:$H,2,0),"")</f>
        <v/>
      </c>
      <c r="CB1771" s="72" t="str">
        <f aca="false">IF(AC1771&lt;&gt;"",VLOOKUP(AC1771,Selects!$B:$E,4,0),"")</f>
        <v/>
      </c>
    </row>
    <row r="1772" customFormat="false" ht="15" hidden="true" customHeight="false" outlineLevel="0" collapsed="false">
      <c r="E1772" s="60" t="str">
        <f aca="false">IF(LEN(D1772)=11,"PF",IF(LEN(D1772)=14,"PJ",""))</f>
        <v/>
      </c>
      <c r="I1772" s="62"/>
      <c r="J1772" s="63" t="str">
        <f aca="false">IF(I1772&lt;&gt;"",VLOOKUP(I1772,'Legal Nature'!$E$2:$G$84,3,0),"")</f>
        <v/>
      </c>
      <c r="AD1772" s="72" t="str">
        <f aca="false">IF(AC1772&lt;&gt;"",VLOOKUP(AC1772,Selects!$B$4:$C$100,2,0),"")</f>
        <v/>
      </c>
      <c r="AH1772" s="65"/>
      <c r="AJ1772" s="66"/>
      <c r="AM1772" s="68" t="str">
        <f aca="false">IF(LEFT(AL1772,1)="9","Celular",IF(AL1772="","","Fixo"))</f>
        <v/>
      </c>
      <c r="AN1772" s="58" t="str">
        <f aca="false">IF( AM1772&lt;&gt;"",VLOOKUP(AM1772,Selects!$M$4:$N$1000,2,0),"")</f>
        <v/>
      </c>
      <c r="BB1772" s="72" t="str">
        <f aca="false">IF(BA1772&lt;&gt;"",VLOOKUP(BA1772,Selects!$B$4:$C$100,2,0),"")</f>
        <v/>
      </c>
      <c r="BG1772" s="75" t="str">
        <f aca="false">IF(LEN(BF1772)=11,"PF",IF(LEN(BF1772)=14,"PJ",""))</f>
        <v/>
      </c>
      <c r="BH1772" s="66"/>
      <c r="BI1772" s="58" t="str">
        <f aca="false">IF(BH1772&lt;&gt;"",VLOOKUP(BH1772,Selects!$G:$H,2,0),"")</f>
        <v/>
      </c>
      <c r="CB1772" s="72" t="str">
        <f aca="false">IF(AC1772&lt;&gt;"",VLOOKUP(AC1772,Selects!$B:$E,4,0),"")</f>
        <v/>
      </c>
    </row>
    <row r="1773" customFormat="false" ht="15" hidden="true" customHeight="false" outlineLevel="0" collapsed="false">
      <c r="E1773" s="60" t="str">
        <f aca="false">IF(LEN(D1773)=11,"PF",IF(LEN(D1773)=14,"PJ",""))</f>
        <v/>
      </c>
      <c r="I1773" s="62"/>
      <c r="J1773" s="63" t="str">
        <f aca="false">IF(I1773&lt;&gt;"",VLOOKUP(I1773,'Legal Nature'!$E$2:$G$84,3,0),"")</f>
        <v/>
      </c>
      <c r="AD1773" s="72" t="str">
        <f aca="false">IF(AC1773&lt;&gt;"",VLOOKUP(AC1773,Selects!$B$4:$C$100,2,0),"")</f>
        <v/>
      </c>
      <c r="AH1773" s="65"/>
      <c r="AJ1773" s="66"/>
      <c r="AM1773" s="68" t="str">
        <f aca="false">IF(LEFT(AL1773,1)="9","Celular",IF(AL1773="","","Fixo"))</f>
        <v/>
      </c>
      <c r="AN1773" s="58" t="str">
        <f aca="false">IF( AM1773&lt;&gt;"",VLOOKUP(AM1773,Selects!$M$4:$N$1000,2,0),"")</f>
        <v/>
      </c>
      <c r="BB1773" s="72" t="str">
        <f aca="false">IF(BA1773&lt;&gt;"",VLOOKUP(BA1773,Selects!$B$4:$C$100,2,0),"")</f>
        <v/>
      </c>
      <c r="BG1773" s="75" t="str">
        <f aca="false">IF(LEN(BF1773)=11,"PF",IF(LEN(BF1773)=14,"PJ",""))</f>
        <v/>
      </c>
      <c r="BH1773" s="66"/>
      <c r="BI1773" s="58" t="str">
        <f aca="false">IF(BH1773&lt;&gt;"",VLOOKUP(BH1773,Selects!$G:$H,2,0),"")</f>
        <v/>
      </c>
      <c r="CB1773" s="72" t="str">
        <f aca="false">IF(AC1773&lt;&gt;"",VLOOKUP(AC1773,Selects!$B:$E,4,0),"")</f>
        <v/>
      </c>
    </row>
    <row r="1774" customFormat="false" ht="15" hidden="true" customHeight="false" outlineLevel="0" collapsed="false">
      <c r="E1774" s="60" t="str">
        <f aca="false">IF(LEN(D1774)=11,"PF",IF(LEN(D1774)=14,"PJ",""))</f>
        <v/>
      </c>
      <c r="I1774" s="62"/>
      <c r="J1774" s="63" t="str">
        <f aca="false">IF(I1774&lt;&gt;"",VLOOKUP(I1774,'Legal Nature'!$E$2:$G$84,3,0),"")</f>
        <v/>
      </c>
      <c r="AD1774" s="72" t="str">
        <f aca="false">IF(AC1774&lt;&gt;"",VLOOKUP(AC1774,Selects!$B$4:$C$100,2,0),"")</f>
        <v/>
      </c>
      <c r="AH1774" s="65"/>
      <c r="AJ1774" s="66"/>
      <c r="AM1774" s="68" t="str">
        <f aca="false">IF(LEFT(AL1774,1)="9","Celular",IF(AL1774="","","Fixo"))</f>
        <v/>
      </c>
      <c r="AN1774" s="58" t="str">
        <f aca="false">IF( AM1774&lt;&gt;"",VLOOKUP(AM1774,Selects!$M$4:$N$1000,2,0),"")</f>
        <v/>
      </c>
      <c r="BB1774" s="72" t="str">
        <f aca="false">IF(BA1774&lt;&gt;"",VLOOKUP(BA1774,Selects!$B$4:$C$100,2,0),"")</f>
        <v/>
      </c>
      <c r="BG1774" s="75" t="str">
        <f aca="false">IF(LEN(BF1774)=11,"PF",IF(LEN(BF1774)=14,"PJ",""))</f>
        <v/>
      </c>
      <c r="BH1774" s="66"/>
      <c r="BI1774" s="58" t="str">
        <f aca="false">IF(BH1774&lt;&gt;"",VLOOKUP(BH1774,Selects!$G:$H,2,0),"")</f>
        <v/>
      </c>
      <c r="CB1774" s="72" t="str">
        <f aca="false">IF(AC1774&lt;&gt;"",VLOOKUP(AC1774,Selects!$B:$E,4,0),"")</f>
        <v/>
      </c>
    </row>
    <row r="1775" customFormat="false" ht="15" hidden="true" customHeight="false" outlineLevel="0" collapsed="false">
      <c r="E1775" s="60" t="str">
        <f aca="false">IF(LEN(D1775)=11,"PF",IF(LEN(D1775)=14,"PJ",""))</f>
        <v/>
      </c>
      <c r="I1775" s="62"/>
      <c r="J1775" s="63" t="str">
        <f aca="false">IF(I1775&lt;&gt;"",VLOOKUP(I1775,'Legal Nature'!$E$2:$G$84,3,0),"")</f>
        <v/>
      </c>
      <c r="AD1775" s="72" t="str">
        <f aca="false">IF(AC1775&lt;&gt;"",VLOOKUP(AC1775,Selects!$B$4:$C$100,2,0),"")</f>
        <v/>
      </c>
      <c r="AH1775" s="65"/>
      <c r="AJ1775" s="66"/>
      <c r="AM1775" s="68" t="str">
        <f aca="false">IF(LEFT(AL1775,1)="9","Celular",IF(AL1775="","","Fixo"))</f>
        <v/>
      </c>
      <c r="AN1775" s="58" t="str">
        <f aca="false">IF( AM1775&lt;&gt;"",VLOOKUP(AM1775,Selects!$M$4:$N$1000,2,0),"")</f>
        <v/>
      </c>
      <c r="BB1775" s="72" t="str">
        <f aca="false">IF(BA1775&lt;&gt;"",VLOOKUP(BA1775,Selects!$B$4:$C$100,2,0),"")</f>
        <v/>
      </c>
      <c r="BG1775" s="75" t="str">
        <f aca="false">IF(LEN(BF1775)=11,"PF",IF(LEN(BF1775)=14,"PJ",""))</f>
        <v/>
      </c>
      <c r="BH1775" s="66"/>
      <c r="BI1775" s="58" t="str">
        <f aca="false">IF(BH1775&lt;&gt;"",VLOOKUP(BH1775,Selects!$G:$H,2,0),"")</f>
        <v/>
      </c>
      <c r="CB1775" s="72" t="str">
        <f aca="false">IF(AC1775&lt;&gt;"",VLOOKUP(AC1775,Selects!$B:$E,4,0),"")</f>
        <v/>
      </c>
    </row>
    <row r="1776" customFormat="false" ht="15" hidden="true" customHeight="false" outlineLevel="0" collapsed="false">
      <c r="E1776" s="60" t="str">
        <f aca="false">IF(LEN(D1776)=11,"PF",IF(LEN(D1776)=14,"PJ",""))</f>
        <v/>
      </c>
      <c r="I1776" s="62"/>
      <c r="J1776" s="63" t="str">
        <f aca="false">IF(I1776&lt;&gt;"",VLOOKUP(I1776,'Legal Nature'!$E$2:$G$84,3,0),"")</f>
        <v/>
      </c>
      <c r="AD1776" s="72" t="str">
        <f aca="false">IF(AC1776&lt;&gt;"",VLOOKUP(AC1776,Selects!$B$4:$C$100,2,0),"")</f>
        <v/>
      </c>
      <c r="AH1776" s="65"/>
      <c r="AJ1776" s="66"/>
      <c r="AM1776" s="68" t="str">
        <f aca="false">IF(LEFT(AL1776,1)="9","Celular",IF(AL1776="","","Fixo"))</f>
        <v/>
      </c>
      <c r="AN1776" s="58" t="str">
        <f aca="false">IF( AM1776&lt;&gt;"",VLOOKUP(AM1776,Selects!$M$4:$N$1000,2,0),"")</f>
        <v/>
      </c>
      <c r="BB1776" s="72" t="str">
        <f aca="false">IF(BA1776&lt;&gt;"",VLOOKUP(BA1776,Selects!$B$4:$C$100,2,0),"")</f>
        <v/>
      </c>
      <c r="BG1776" s="75" t="str">
        <f aca="false">IF(LEN(BF1776)=11,"PF",IF(LEN(BF1776)=14,"PJ",""))</f>
        <v/>
      </c>
      <c r="BH1776" s="66"/>
      <c r="BI1776" s="58" t="str">
        <f aca="false">IF(BH1776&lt;&gt;"",VLOOKUP(BH1776,Selects!$G:$H,2,0),"")</f>
        <v/>
      </c>
      <c r="CB1776" s="72" t="str">
        <f aca="false">IF(AC1776&lt;&gt;"",VLOOKUP(AC1776,Selects!$B:$E,4,0),"")</f>
        <v/>
      </c>
    </row>
    <row r="1777" customFormat="false" ht="15" hidden="true" customHeight="false" outlineLevel="0" collapsed="false">
      <c r="E1777" s="60" t="str">
        <f aca="false">IF(LEN(D1777)=11,"PF",IF(LEN(D1777)=14,"PJ",""))</f>
        <v/>
      </c>
      <c r="I1777" s="62"/>
      <c r="J1777" s="63" t="str">
        <f aca="false">IF(I1777&lt;&gt;"",VLOOKUP(I1777,'Legal Nature'!$E$2:$G$84,3,0),"")</f>
        <v/>
      </c>
      <c r="AD1777" s="72" t="str">
        <f aca="false">IF(AC1777&lt;&gt;"",VLOOKUP(AC1777,Selects!$B$4:$C$100,2,0),"")</f>
        <v/>
      </c>
      <c r="AH1777" s="65"/>
      <c r="AJ1777" s="66"/>
      <c r="AM1777" s="68" t="str">
        <f aca="false">IF(LEFT(AL1777,1)="9","Celular",IF(AL1777="","","Fixo"))</f>
        <v/>
      </c>
      <c r="AN1777" s="58" t="str">
        <f aca="false">IF( AM1777&lt;&gt;"",VLOOKUP(AM1777,Selects!$M$4:$N$1000,2,0),"")</f>
        <v/>
      </c>
      <c r="BB1777" s="72" t="str">
        <f aca="false">IF(BA1777&lt;&gt;"",VLOOKUP(BA1777,Selects!$B$4:$C$100,2,0),"")</f>
        <v/>
      </c>
      <c r="BG1777" s="75" t="str">
        <f aca="false">IF(LEN(BF1777)=11,"PF",IF(LEN(BF1777)=14,"PJ",""))</f>
        <v/>
      </c>
      <c r="BH1777" s="66"/>
      <c r="BI1777" s="58" t="str">
        <f aca="false">IF(BH1777&lt;&gt;"",VLOOKUP(BH1777,Selects!$G:$H,2,0),"")</f>
        <v/>
      </c>
      <c r="CB1777" s="72" t="str">
        <f aca="false">IF(AC1777&lt;&gt;"",VLOOKUP(AC1777,Selects!$B:$E,4,0),"")</f>
        <v/>
      </c>
    </row>
    <row r="1778" customFormat="false" ht="15" hidden="true" customHeight="false" outlineLevel="0" collapsed="false">
      <c r="E1778" s="60" t="str">
        <f aca="false">IF(LEN(D1778)=11,"PF",IF(LEN(D1778)=14,"PJ",""))</f>
        <v/>
      </c>
      <c r="I1778" s="62"/>
      <c r="J1778" s="63" t="str">
        <f aca="false">IF(I1778&lt;&gt;"",VLOOKUP(I1778,'Legal Nature'!$E$2:$G$84,3,0),"")</f>
        <v/>
      </c>
      <c r="AD1778" s="72" t="str">
        <f aca="false">IF(AC1778&lt;&gt;"",VLOOKUP(AC1778,Selects!$B$4:$C$100,2,0),"")</f>
        <v/>
      </c>
      <c r="AH1778" s="65"/>
      <c r="AJ1778" s="66"/>
      <c r="AM1778" s="68" t="str">
        <f aca="false">IF(LEFT(AL1778,1)="9","Celular",IF(AL1778="","","Fixo"))</f>
        <v/>
      </c>
      <c r="AN1778" s="58" t="str">
        <f aca="false">IF( AM1778&lt;&gt;"",VLOOKUP(AM1778,Selects!$M$4:$N$1000,2,0),"")</f>
        <v/>
      </c>
      <c r="BB1778" s="72" t="str">
        <f aca="false">IF(BA1778&lt;&gt;"",VLOOKUP(BA1778,Selects!$B$4:$C$100,2,0),"")</f>
        <v/>
      </c>
      <c r="BG1778" s="75" t="str">
        <f aca="false">IF(LEN(BF1778)=11,"PF",IF(LEN(BF1778)=14,"PJ",""))</f>
        <v/>
      </c>
      <c r="BH1778" s="66"/>
      <c r="BI1778" s="58" t="str">
        <f aca="false">IF(BH1778&lt;&gt;"",VLOOKUP(BH1778,Selects!$G:$H,2,0),"")</f>
        <v/>
      </c>
      <c r="CB1778" s="72" t="str">
        <f aca="false">IF(AC1778&lt;&gt;"",VLOOKUP(AC1778,Selects!$B:$E,4,0),"")</f>
        <v/>
      </c>
    </row>
    <row r="1779" customFormat="false" ht="15" hidden="true" customHeight="false" outlineLevel="0" collapsed="false">
      <c r="E1779" s="60" t="str">
        <f aca="false">IF(LEN(D1779)=11,"PF",IF(LEN(D1779)=14,"PJ",""))</f>
        <v/>
      </c>
      <c r="I1779" s="62"/>
      <c r="J1779" s="63" t="str">
        <f aca="false">IF(I1779&lt;&gt;"",VLOOKUP(I1779,'Legal Nature'!$E$2:$G$84,3,0),"")</f>
        <v/>
      </c>
      <c r="AD1779" s="72" t="str">
        <f aca="false">IF(AC1779&lt;&gt;"",VLOOKUP(AC1779,Selects!$B$4:$C$100,2,0),"")</f>
        <v/>
      </c>
      <c r="AH1779" s="65"/>
      <c r="AJ1779" s="66"/>
      <c r="AM1779" s="68" t="str">
        <f aca="false">IF(LEFT(AL1779,1)="9","Celular",IF(AL1779="","","Fixo"))</f>
        <v/>
      </c>
      <c r="AN1779" s="58" t="str">
        <f aca="false">IF( AM1779&lt;&gt;"",VLOOKUP(AM1779,Selects!$M$4:$N$1000,2,0),"")</f>
        <v/>
      </c>
      <c r="BB1779" s="72" t="str">
        <f aca="false">IF(BA1779&lt;&gt;"",VLOOKUP(BA1779,Selects!$B$4:$C$100,2,0),"")</f>
        <v/>
      </c>
      <c r="BG1779" s="75" t="str">
        <f aca="false">IF(LEN(BF1779)=11,"PF",IF(LEN(BF1779)=14,"PJ",""))</f>
        <v/>
      </c>
      <c r="BH1779" s="66"/>
      <c r="BI1779" s="58" t="str">
        <f aca="false">IF(BH1779&lt;&gt;"",VLOOKUP(BH1779,Selects!$G:$H,2,0),"")</f>
        <v/>
      </c>
      <c r="CB1779" s="72" t="str">
        <f aca="false">IF(AC1779&lt;&gt;"",VLOOKUP(AC1779,Selects!$B:$E,4,0),"")</f>
        <v/>
      </c>
    </row>
    <row r="1780" customFormat="false" ht="15" hidden="true" customHeight="false" outlineLevel="0" collapsed="false">
      <c r="E1780" s="60" t="str">
        <f aca="false">IF(LEN(D1780)=11,"PF",IF(LEN(D1780)=14,"PJ",""))</f>
        <v/>
      </c>
      <c r="I1780" s="62"/>
      <c r="J1780" s="63" t="str">
        <f aca="false">IF(I1780&lt;&gt;"",VLOOKUP(I1780,'Legal Nature'!$E$2:$G$84,3,0),"")</f>
        <v/>
      </c>
      <c r="AD1780" s="72" t="str">
        <f aca="false">IF(AC1780&lt;&gt;"",VLOOKUP(AC1780,Selects!$B$4:$C$100,2,0),"")</f>
        <v/>
      </c>
      <c r="AH1780" s="65"/>
      <c r="AJ1780" s="66"/>
      <c r="AM1780" s="68" t="str">
        <f aca="false">IF(LEFT(AL1780,1)="9","Celular",IF(AL1780="","","Fixo"))</f>
        <v/>
      </c>
      <c r="AN1780" s="58" t="str">
        <f aca="false">IF( AM1780&lt;&gt;"",VLOOKUP(AM1780,Selects!$M$4:$N$1000,2,0),"")</f>
        <v/>
      </c>
      <c r="BB1780" s="72" t="str">
        <f aca="false">IF(BA1780&lt;&gt;"",VLOOKUP(BA1780,Selects!$B$4:$C$100,2,0),"")</f>
        <v/>
      </c>
      <c r="BG1780" s="75" t="str">
        <f aca="false">IF(LEN(BF1780)=11,"PF",IF(LEN(BF1780)=14,"PJ",""))</f>
        <v/>
      </c>
      <c r="BH1780" s="66"/>
      <c r="BI1780" s="58" t="str">
        <f aca="false">IF(BH1780&lt;&gt;"",VLOOKUP(BH1780,Selects!$G:$H,2,0),"")</f>
        <v/>
      </c>
      <c r="CB1780" s="72" t="str">
        <f aca="false">IF(AC1780&lt;&gt;"",VLOOKUP(AC1780,Selects!$B:$E,4,0),"")</f>
        <v/>
      </c>
    </row>
    <row r="1781" customFormat="false" ht="15" hidden="true" customHeight="false" outlineLevel="0" collapsed="false">
      <c r="E1781" s="60" t="str">
        <f aca="false">IF(LEN(D1781)=11,"PF",IF(LEN(D1781)=14,"PJ",""))</f>
        <v/>
      </c>
      <c r="I1781" s="62"/>
      <c r="J1781" s="63" t="str">
        <f aca="false">IF(I1781&lt;&gt;"",VLOOKUP(I1781,'Legal Nature'!$E$2:$G$84,3,0),"")</f>
        <v/>
      </c>
      <c r="AD1781" s="72" t="str">
        <f aca="false">IF(AC1781&lt;&gt;"",VLOOKUP(AC1781,Selects!$B$4:$C$100,2,0),"")</f>
        <v/>
      </c>
      <c r="AH1781" s="65"/>
      <c r="AJ1781" s="66"/>
      <c r="AM1781" s="68" t="str">
        <f aca="false">IF(LEFT(AL1781,1)="9","Celular",IF(AL1781="","","Fixo"))</f>
        <v/>
      </c>
      <c r="AN1781" s="58" t="str">
        <f aca="false">IF( AM1781&lt;&gt;"",VLOOKUP(AM1781,Selects!$M$4:$N$1000,2,0),"")</f>
        <v/>
      </c>
      <c r="BB1781" s="72" t="str">
        <f aca="false">IF(BA1781&lt;&gt;"",VLOOKUP(BA1781,Selects!$B$4:$C$100,2,0),"")</f>
        <v/>
      </c>
      <c r="BG1781" s="75" t="str">
        <f aca="false">IF(LEN(BF1781)=11,"PF",IF(LEN(BF1781)=14,"PJ",""))</f>
        <v/>
      </c>
      <c r="BH1781" s="66"/>
      <c r="BI1781" s="58" t="str">
        <f aca="false">IF(BH1781&lt;&gt;"",VLOOKUP(BH1781,Selects!$G:$H,2,0),"")</f>
        <v/>
      </c>
      <c r="CB1781" s="72" t="str">
        <f aca="false">IF(AC1781&lt;&gt;"",VLOOKUP(AC1781,Selects!$B:$E,4,0),"")</f>
        <v/>
      </c>
    </row>
    <row r="1782" customFormat="false" ht="15" hidden="true" customHeight="false" outlineLevel="0" collapsed="false">
      <c r="E1782" s="60" t="str">
        <f aca="false">IF(LEN(D1782)=11,"PF",IF(LEN(D1782)=14,"PJ",""))</f>
        <v/>
      </c>
      <c r="I1782" s="62"/>
      <c r="J1782" s="63" t="str">
        <f aca="false">IF(I1782&lt;&gt;"",VLOOKUP(I1782,'Legal Nature'!$E$2:$G$84,3,0),"")</f>
        <v/>
      </c>
      <c r="AD1782" s="72" t="str">
        <f aca="false">IF(AC1782&lt;&gt;"",VLOOKUP(AC1782,Selects!$B$4:$C$100,2,0),"")</f>
        <v/>
      </c>
      <c r="AH1782" s="65"/>
      <c r="AJ1782" s="66"/>
      <c r="AM1782" s="68" t="str">
        <f aca="false">IF(LEFT(AL1782,1)="9","Celular",IF(AL1782="","","Fixo"))</f>
        <v/>
      </c>
      <c r="AN1782" s="58" t="str">
        <f aca="false">IF( AM1782&lt;&gt;"",VLOOKUP(AM1782,Selects!$M$4:$N$1000,2,0),"")</f>
        <v/>
      </c>
      <c r="BB1782" s="72" t="str">
        <f aca="false">IF(BA1782&lt;&gt;"",VLOOKUP(BA1782,Selects!$B$4:$C$100,2,0),"")</f>
        <v/>
      </c>
      <c r="BG1782" s="75" t="str">
        <f aca="false">IF(LEN(BF1782)=11,"PF",IF(LEN(BF1782)=14,"PJ",""))</f>
        <v/>
      </c>
      <c r="BH1782" s="66"/>
      <c r="BI1782" s="58" t="str">
        <f aca="false">IF(BH1782&lt;&gt;"",VLOOKUP(BH1782,Selects!$G:$H,2,0),"")</f>
        <v/>
      </c>
      <c r="CB1782" s="72" t="str">
        <f aca="false">IF(AC1782&lt;&gt;"",VLOOKUP(AC1782,Selects!$B:$E,4,0),"")</f>
        <v/>
      </c>
    </row>
    <row r="1783" customFormat="false" ht="15" hidden="true" customHeight="false" outlineLevel="0" collapsed="false">
      <c r="E1783" s="60" t="str">
        <f aca="false">IF(LEN(D1783)=11,"PF",IF(LEN(D1783)=14,"PJ",""))</f>
        <v/>
      </c>
      <c r="I1783" s="62"/>
      <c r="J1783" s="63" t="str">
        <f aca="false">IF(I1783&lt;&gt;"",VLOOKUP(I1783,'Legal Nature'!$E$2:$G$84,3,0),"")</f>
        <v/>
      </c>
      <c r="AD1783" s="72" t="str">
        <f aca="false">IF(AC1783&lt;&gt;"",VLOOKUP(AC1783,Selects!$B$4:$C$100,2,0),"")</f>
        <v/>
      </c>
      <c r="AH1783" s="65"/>
      <c r="AJ1783" s="66"/>
      <c r="AM1783" s="68" t="str">
        <f aca="false">IF(LEFT(AL1783,1)="9","Celular",IF(AL1783="","","Fixo"))</f>
        <v/>
      </c>
      <c r="AN1783" s="58" t="str">
        <f aca="false">IF( AM1783&lt;&gt;"",VLOOKUP(AM1783,Selects!$M$4:$N$1000,2,0),"")</f>
        <v/>
      </c>
      <c r="BB1783" s="72" t="str">
        <f aca="false">IF(BA1783&lt;&gt;"",VLOOKUP(BA1783,Selects!$B$4:$C$100,2,0),"")</f>
        <v/>
      </c>
      <c r="BG1783" s="75" t="str">
        <f aca="false">IF(LEN(BF1783)=11,"PF",IF(LEN(BF1783)=14,"PJ",""))</f>
        <v/>
      </c>
      <c r="BH1783" s="66"/>
      <c r="BI1783" s="58" t="str">
        <f aca="false">IF(BH1783&lt;&gt;"",VLOOKUP(BH1783,Selects!$G:$H,2,0),"")</f>
        <v/>
      </c>
      <c r="CB1783" s="72" t="str">
        <f aca="false">IF(AC1783&lt;&gt;"",VLOOKUP(AC1783,Selects!$B:$E,4,0),"")</f>
        <v/>
      </c>
    </row>
    <row r="1784" customFormat="false" ht="15" hidden="true" customHeight="false" outlineLevel="0" collapsed="false">
      <c r="E1784" s="60" t="str">
        <f aca="false">IF(LEN(D1784)=11,"PF",IF(LEN(D1784)=14,"PJ",""))</f>
        <v/>
      </c>
      <c r="I1784" s="62"/>
      <c r="J1784" s="63" t="str">
        <f aca="false">IF(I1784&lt;&gt;"",VLOOKUP(I1784,'Legal Nature'!$E$2:$G$84,3,0),"")</f>
        <v/>
      </c>
      <c r="AD1784" s="72" t="str">
        <f aca="false">IF(AC1784&lt;&gt;"",VLOOKUP(AC1784,Selects!$B$4:$C$100,2,0),"")</f>
        <v/>
      </c>
      <c r="AH1784" s="65"/>
      <c r="AJ1784" s="66"/>
      <c r="AM1784" s="68" t="str">
        <f aca="false">IF(LEFT(AL1784,1)="9","Celular",IF(AL1784="","","Fixo"))</f>
        <v/>
      </c>
      <c r="AN1784" s="58" t="str">
        <f aca="false">IF( AM1784&lt;&gt;"",VLOOKUP(AM1784,Selects!$M$4:$N$1000,2,0),"")</f>
        <v/>
      </c>
      <c r="BB1784" s="72" t="str">
        <f aca="false">IF(BA1784&lt;&gt;"",VLOOKUP(BA1784,Selects!$B$4:$C$100,2,0),"")</f>
        <v/>
      </c>
      <c r="BG1784" s="75" t="str">
        <f aca="false">IF(LEN(BF1784)=11,"PF",IF(LEN(BF1784)=14,"PJ",""))</f>
        <v/>
      </c>
      <c r="BH1784" s="66"/>
      <c r="BI1784" s="58" t="str">
        <f aca="false">IF(BH1784&lt;&gt;"",VLOOKUP(BH1784,Selects!$G:$H,2,0),"")</f>
        <v/>
      </c>
      <c r="CB1784" s="72" t="str">
        <f aca="false">IF(AC1784&lt;&gt;"",VLOOKUP(AC1784,Selects!$B:$E,4,0),"")</f>
        <v/>
      </c>
    </row>
    <row r="1785" customFormat="false" ht="15" hidden="true" customHeight="false" outlineLevel="0" collapsed="false">
      <c r="E1785" s="60" t="str">
        <f aca="false">IF(LEN(D1785)=11,"PF",IF(LEN(D1785)=14,"PJ",""))</f>
        <v/>
      </c>
      <c r="I1785" s="62"/>
      <c r="J1785" s="63" t="str">
        <f aca="false">IF(I1785&lt;&gt;"",VLOOKUP(I1785,'Legal Nature'!$E$2:$G$84,3,0),"")</f>
        <v/>
      </c>
      <c r="AD1785" s="72" t="str">
        <f aca="false">IF(AC1785&lt;&gt;"",VLOOKUP(AC1785,Selects!$B$4:$C$100,2,0),"")</f>
        <v/>
      </c>
      <c r="AH1785" s="65"/>
      <c r="AJ1785" s="66"/>
      <c r="AM1785" s="68" t="str">
        <f aca="false">IF(LEFT(AL1785,1)="9","Celular",IF(AL1785="","","Fixo"))</f>
        <v/>
      </c>
      <c r="AN1785" s="58" t="str">
        <f aca="false">IF( AM1785&lt;&gt;"",VLOOKUP(AM1785,Selects!$M$4:$N$1000,2,0),"")</f>
        <v/>
      </c>
      <c r="BB1785" s="72" t="str">
        <f aca="false">IF(BA1785&lt;&gt;"",VLOOKUP(BA1785,Selects!$B$4:$C$100,2,0),"")</f>
        <v/>
      </c>
      <c r="BG1785" s="75" t="str">
        <f aca="false">IF(LEN(BF1785)=11,"PF",IF(LEN(BF1785)=14,"PJ",""))</f>
        <v/>
      </c>
      <c r="BH1785" s="66"/>
      <c r="BI1785" s="58" t="str">
        <f aca="false">IF(BH1785&lt;&gt;"",VLOOKUP(BH1785,Selects!$G:$H,2,0),"")</f>
        <v/>
      </c>
      <c r="CB1785" s="72" t="str">
        <f aca="false">IF(AC1785&lt;&gt;"",VLOOKUP(AC1785,Selects!$B:$E,4,0),"")</f>
        <v/>
      </c>
    </row>
    <row r="1786" customFormat="false" ht="15" hidden="true" customHeight="false" outlineLevel="0" collapsed="false">
      <c r="E1786" s="60" t="str">
        <f aca="false">IF(LEN(D1786)=11,"PF",IF(LEN(D1786)=14,"PJ",""))</f>
        <v/>
      </c>
      <c r="I1786" s="62"/>
      <c r="J1786" s="63" t="str">
        <f aca="false">IF(I1786&lt;&gt;"",VLOOKUP(I1786,'Legal Nature'!$E$2:$G$84,3,0),"")</f>
        <v/>
      </c>
      <c r="AD1786" s="72" t="str">
        <f aca="false">IF(AC1786&lt;&gt;"",VLOOKUP(AC1786,Selects!$B$4:$C$100,2,0),"")</f>
        <v/>
      </c>
      <c r="AH1786" s="65"/>
      <c r="AJ1786" s="66"/>
      <c r="AM1786" s="68" t="str">
        <f aca="false">IF(LEFT(AL1786,1)="9","Celular",IF(AL1786="","","Fixo"))</f>
        <v/>
      </c>
      <c r="AN1786" s="58" t="str">
        <f aca="false">IF( AM1786&lt;&gt;"",VLOOKUP(AM1786,Selects!$M$4:$N$1000,2,0),"")</f>
        <v/>
      </c>
      <c r="BB1786" s="72" t="str">
        <f aca="false">IF(BA1786&lt;&gt;"",VLOOKUP(BA1786,Selects!$B$4:$C$100,2,0),"")</f>
        <v/>
      </c>
      <c r="BG1786" s="75" t="str">
        <f aca="false">IF(LEN(BF1786)=11,"PF",IF(LEN(BF1786)=14,"PJ",""))</f>
        <v/>
      </c>
      <c r="BH1786" s="66"/>
      <c r="BI1786" s="58" t="str">
        <f aca="false">IF(BH1786&lt;&gt;"",VLOOKUP(BH1786,Selects!$G:$H,2,0),"")</f>
        <v/>
      </c>
      <c r="CB1786" s="72" t="str">
        <f aca="false">IF(AC1786&lt;&gt;"",VLOOKUP(AC1786,Selects!$B:$E,4,0),"")</f>
        <v/>
      </c>
    </row>
    <row r="1787" customFormat="false" ht="15" hidden="true" customHeight="false" outlineLevel="0" collapsed="false">
      <c r="E1787" s="60" t="str">
        <f aca="false">IF(LEN(D1787)=11,"PF",IF(LEN(D1787)=14,"PJ",""))</f>
        <v/>
      </c>
      <c r="I1787" s="62"/>
      <c r="J1787" s="63" t="str">
        <f aca="false">IF(I1787&lt;&gt;"",VLOOKUP(I1787,'Legal Nature'!$E$2:$G$84,3,0),"")</f>
        <v/>
      </c>
      <c r="AD1787" s="72" t="str">
        <f aca="false">IF(AC1787&lt;&gt;"",VLOOKUP(AC1787,Selects!$B$4:$C$100,2,0),"")</f>
        <v/>
      </c>
      <c r="AH1787" s="65"/>
      <c r="AJ1787" s="66"/>
      <c r="AM1787" s="68" t="str">
        <f aca="false">IF(LEFT(AL1787,1)="9","Celular",IF(AL1787="","","Fixo"))</f>
        <v/>
      </c>
      <c r="AN1787" s="58" t="str">
        <f aca="false">IF( AM1787&lt;&gt;"",VLOOKUP(AM1787,Selects!$M$4:$N$1000,2,0),"")</f>
        <v/>
      </c>
      <c r="BB1787" s="72" t="str">
        <f aca="false">IF(BA1787&lt;&gt;"",VLOOKUP(BA1787,Selects!$B$4:$C$100,2,0),"")</f>
        <v/>
      </c>
      <c r="BG1787" s="75" t="str">
        <f aca="false">IF(LEN(BF1787)=11,"PF",IF(LEN(BF1787)=14,"PJ",""))</f>
        <v/>
      </c>
      <c r="BH1787" s="66"/>
      <c r="BI1787" s="58" t="str">
        <f aca="false">IF(BH1787&lt;&gt;"",VLOOKUP(BH1787,Selects!$G:$H,2,0),"")</f>
        <v/>
      </c>
      <c r="CB1787" s="72" t="str">
        <f aca="false">IF(AC1787&lt;&gt;"",VLOOKUP(AC1787,Selects!$B:$E,4,0),"")</f>
        <v/>
      </c>
    </row>
    <row r="1788" customFormat="false" ht="15" hidden="true" customHeight="false" outlineLevel="0" collapsed="false">
      <c r="E1788" s="60" t="str">
        <f aca="false">IF(LEN(D1788)=11,"PF",IF(LEN(D1788)=14,"PJ",""))</f>
        <v/>
      </c>
      <c r="I1788" s="62"/>
      <c r="J1788" s="63" t="str">
        <f aca="false">IF(I1788&lt;&gt;"",VLOOKUP(I1788,'Legal Nature'!$E$2:$G$84,3,0),"")</f>
        <v/>
      </c>
      <c r="AD1788" s="72" t="str">
        <f aca="false">IF(AC1788&lt;&gt;"",VLOOKUP(AC1788,Selects!$B$4:$C$100,2,0),"")</f>
        <v/>
      </c>
      <c r="AH1788" s="65"/>
      <c r="AJ1788" s="66"/>
      <c r="AM1788" s="68" t="str">
        <f aca="false">IF(LEFT(AL1788,1)="9","Celular",IF(AL1788="","","Fixo"))</f>
        <v/>
      </c>
      <c r="AN1788" s="58" t="str">
        <f aca="false">IF( AM1788&lt;&gt;"",VLOOKUP(AM1788,Selects!$M$4:$N$1000,2,0),"")</f>
        <v/>
      </c>
      <c r="BB1788" s="72" t="str">
        <f aca="false">IF(BA1788&lt;&gt;"",VLOOKUP(BA1788,Selects!$B$4:$C$100,2,0),"")</f>
        <v/>
      </c>
      <c r="BG1788" s="75" t="str">
        <f aca="false">IF(LEN(BF1788)=11,"PF",IF(LEN(BF1788)=14,"PJ",""))</f>
        <v/>
      </c>
      <c r="BH1788" s="66"/>
      <c r="BI1788" s="58" t="str">
        <f aca="false">IF(BH1788&lt;&gt;"",VLOOKUP(BH1788,Selects!$G:$H,2,0),"")</f>
        <v/>
      </c>
      <c r="CB1788" s="72" t="str">
        <f aca="false">IF(AC1788&lt;&gt;"",VLOOKUP(AC1788,Selects!$B:$E,4,0),"")</f>
        <v/>
      </c>
    </row>
    <row r="1789" customFormat="false" ht="15" hidden="true" customHeight="false" outlineLevel="0" collapsed="false">
      <c r="E1789" s="60" t="str">
        <f aca="false">IF(LEN(D1789)=11,"PF",IF(LEN(D1789)=14,"PJ",""))</f>
        <v/>
      </c>
      <c r="I1789" s="62"/>
      <c r="J1789" s="63" t="str">
        <f aca="false">IF(I1789&lt;&gt;"",VLOOKUP(I1789,'Legal Nature'!$E$2:$G$84,3,0),"")</f>
        <v/>
      </c>
      <c r="AD1789" s="72" t="str">
        <f aca="false">IF(AC1789&lt;&gt;"",VLOOKUP(AC1789,Selects!$B$4:$C$100,2,0),"")</f>
        <v/>
      </c>
      <c r="AH1789" s="65"/>
      <c r="AJ1789" s="66"/>
      <c r="AM1789" s="68" t="str">
        <f aca="false">IF(LEFT(AL1789,1)="9","Celular",IF(AL1789="","","Fixo"))</f>
        <v/>
      </c>
      <c r="AN1789" s="58" t="str">
        <f aca="false">IF( AM1789&lt;&gt;"",VLOOKUP(AM1789,Selects!$M$4:$N$1000,2,0),"")</f>
        <v/>
      </c>
      <c r="BB1789" s="72" t="str">
        <f aca="false">IF(BA1789&lt;&gt;"",VLOOKUP(BA1789,Selects!$B$4:$C$100,2,0),"")</f>
        <v/>
      </c>
      <c r="BG1789" s="75" t="str">
        <f aca="false">IF(LEN(BF1789)=11,"PF",IF(LEN(BF1789)=14,"PJ",""))</f>
        <v/>
      </c>
      <c r="BH1789" s="66"/>
      <c r="BI1789" s="58" t="str">
        <f aca="false">IF(BH1789&lt;&gt;"",VLOOKUP(BH1789,Selects!$G:$H,2,0),"")</f>
        <v/>
      </c>
      <c r="CB1789" s="72" t="str">
        <f aca="false">IF(AC1789&lt;&gt;"",VLOOKUP(AC1789,Selects!$B:$E,4,0),"")</f>
        <v/>
      </c>
    </row>
    <row r="1790" customFormat="false" ht="15" hidden="true" customHeight="false" outlineLevel="0" collapsed="false">
      <c r="E1790" s="60" t="str">
        <f aca="false">IF(LEN(D1790)=11,"PF",IF(LEN(D1790)=14,"PJ",""))</f>
        <v/>
      </c>
      <c r="I1790" s="62"/>
      <c r="J1790" s="63" t="str">
        <f aca="false">IF(I1790&lt;&gt;"",VLOOKUP(I1790,'Legal Nature'!$E$2:$G$84,3,0),"")</f>
        <v/>
      </c>
      <c r="AD1790" s="72" t="str">
        <f aca="false">IF(AC1790&lt;&gt;"",VLOOKUP(AC1790,Selects!$B$4:$C$100,2,0),"")</f>
        <v/>
      </c>
      <c r="AH1790" s="65"/>
      <c r="AJ1790" s="66"/>
      <c r="AM1790" s="68" t="str">
        <f aca="false">IF(LEFT(AL1790,1)="9","Celular",IF(AL1790="","","Fixo"))</f>
        <v/>
      </c>
      <c r="AN1790" s="58" t="str">
        <f aca="false">IF( AM1790&lt;&gt;"",VLOOKUP(AM1790,Selects!$M$4:$N$1000,2,0),"")</f>
        <v/>
      </c>
      <c r="BB1790" s="72" t="str">
        <f aca="false">IF(BA1790&lt;&gt;"",VLOOKUP(BA1790,Selects!$B$4:$C$100,2,0),"")</f>
        <v/>
      </c>
      <c r="BG1790" s="75" t="str">
        <f aca="false">IF(LEN(BF1790)=11,"PF",IF(LEN(BF1790)=14,"PJ",""))</f>
        <v/>
      </c>
      <c r="BH1790" s="66"/>
      <c r="BI1790" s="58" t="str">
        <f aca="false">IF(BH1790&lt;&gt;"",VLOOKUP(BH1790,Selects!$G:$H,2,0),"")</f>
        <v/>
      </c>
      <c r="CB1790" s="72" t="str">
        <f aca="false">IF(AC1790&lt;&gt;"",VLOOKUP(AC1790,Selects!$B:$E,4,0),"")</f>
        <v/>
      </c>
    </row>
    <row r="1791" customFormat="false" ht="15" hidden="true" customHeight="false" outlineLevel="0" collapsed="false">
      <c r="E1791" s="60" t="str">
        <f aca="false">IF(LEN(D1791)=11,"PF",IF(LEN(D1791)=14,"PJ",""))</f>
        <v/>
      </c>
      <c r="I1791" s="62"/>
      <c r="J1791" s="63" t="str">
        <f aca="false">IF(I1791&lt;&gt;"",VLOOKUP(I1791,'Legal Nature'!$E$2:$G$84,3,0),"")</f>
        <v/>
      </c>
      <c r="AD1791" s="72" t="str">
        <f aca="false">IF(AC1791&lt;&gt;"",VLOOKUP(AC1791,Selects!$B$4:$C$100,2,0),"")</f>
        <v/>
      </c>
      <c r="AH1791" s="65"/>
      <c r="AJ1791" s="66"/>
      <c r="AM1791" s="68" t="str">
        <f aca="false">IF(LEFT(AL1791,1)="9","Celular",IF(AL1791="","","Fixo"))</f>
        <v/>
      </c>
      <c r="AN1791" s="58" t="str">
        <f aca="false">IF( AM1791&lt;&gt;"",VLOOKUP(AM1791,Selects!$M$4:$N$1000,2,0),"")</f>
        <v/>
      </c>
      <c r="BB1791" s="72" t="str">
        <f aca="false">IF(BA1791&lt;&gt;"",VLOOKUP(BA1791,Selects!$B$4:$C$100,2,0),"")</f>
        <v/>
      </c>
      <c r="BG1791" s="75" t="str">
        <f aca="false">IF(LEN(BF1791)=11,"PF",IF(LEN(BF1791)=14,"PJ",""))</f>
        <v/>
      </c>
      <c r="BH1791" s="66"/>
      <c r="BI1791" s="58" t="str">
        <f aca="false">IF(BH1791&lt;&gt;"",VLOOKUP(BH1791,Selects!$G:$H,2,0),"")</f>
        <v/>
      </c>
      <c r="CB1791" s="72" t="str">
        <f aca="false">IF(AC1791&lt;&gt;"",VLOOKUP(AC1791,Selects!$B:$E,4,0),"")</f>
        <v/>
      </c>
    </row>
    <row r="1792" customFormat="false" ht="15" hidden="true" customHeight="false" outlineLevel="0" collapsed="false">
      <c r="E1792" s="60" t="str">
        <f aca="false">IF(LEN(D1792)=11,"PF",IF(LEN(D1792)=14,"PJ",""))</f>
        <v/>
      </c>
      <c r="I1792" s="62"/>
      <c r="J1792" s="63" t="str">
        <f aca="false">IF(I1792&lt;&gt;"",VLOOKUP(I1792,'Legal Nature'!$E$2:$G$84,3,0),"")</f>
        <v/>
      </c>
      <c r="AD1792" s="72" t="str">
        <f aca="false">IF(AC1792&lt;&gt;"",VLOOKUP(AC1792,Selects!$B$4:$C$100,2,0),"")</f>
        <v/>
      </c>
      <c r="AH1792" s="65"/>
      <c r="AJ1792" s="66"/>
      <c r="AM1792" s="68" t="str">
        <f aca="false">IF(LEFT(AL1792,1)="9","Celular",IF(AL1792="","","Fixo"))</f>
        <v/>
      </c>
      <c r="AN1792" s="58" t="str">
        <f aca="false">IF( AM1792&lt;&gt;"",VLOOKUP(AM1792,Selects!$M$4:$N$1000,2,0),"")</f>
        <v/>
      </c>
      <c r="BB1792" s="72" t="str">
        <f aca="false">IF(BA1792&lt;&gt;"",VLOOKUP(BA1792,Selects!$B$4:$C$100,2,0),"")</f>
        <v/>
      </c>
      <c r="BG1792" s="75" t="str">
        <f aca="false">IF(LEN(BF1792)=11,"PF",IF(LEN(BF1792)=14,"PJ",""))</f>
        <v/>
      </c>
      <c r="BH1792" s="66"/>
      <c r="BI1792" s="58" t="str">
        <f aca="false">IF(BH1792&lt;&gt;"",VLOOKUP(BH1792,Selects!$G:$H,2,0),"")</f>
        <v/>
      </c>
      <c r="CB1792" s="72" t="str">
        <f aca="false">IF(AC1792&lt;&gt;"",VLOOKUP(AC1792,Selects!$B:$E,4,0),"")</f>
        <v/>
      </c>
    </row>
    <row r="1793" customFormat="false" ht="15" hidden="true" customHeight="false" outlineLevel="0" collapsed="false">
      <c r="E1793" s="60" t="str">
        <f aca="false">IF(LEN(D1793)=11,"PF",IF(LEN(D1793)=14,"PJ",""))</f>
        <v/>
      </c>
      <c r="I1793" s="62"/>
      <c r="J1793" s="63" t="str">
        <f aca="false">IF(I1793&lt;&gt;"",VLOOKUP(I1793,'Legal Nature'!$E$2:$G$84,3,0),"")</f>
        <v/>
      </c>
      <c r="AD1793" s="72" t="str">
        <f aca="false">IF(AC1793&lt;&gt;"",VLOOKUP(AC1793,Selects!$B$4:$C$100,2,0),"")</f>
        <v/>
      </c>
      <c r="AH1793" s="65"/>
      <c r="AJ1793" s="66"/>
      <c r="AM1793" s="68" t="str">
        <f aca="false">IF(LEFT(AL1793,1)="9","Celular",IF(AL1793="","","Fixo"))</f>
        <v/>
      </c>
      <c r="AN1793" s="58" t="str">
        <f aca="false">IF( AM1793&lt;&gt;"",VLOOKUP(AM1793,Selects!$M$4:$N$1000,2,0),"")</f>
        <v/>
      </c>
      <c r="BB1793" s="72" t="str">
        <f aca="false">IF(BA1793&lt;&gt;"",VLOOKUP(BA1793,Selects!$B$4:$C$100,2,0),"")</f>
        <v/>
      </c>
      <c r="BG1793" s="75" t="str">
        <f aca="false">IF(LEN(BF1793)=11,"PF",IF(LEN(BF1793)=14,"PJ",""))</f>
        <v/>
      </c>
      <c r="BH1793" s="66"/>
      <c r="BI1793" s="58" t="str">
        <f aca="false">IF(BH1793&lt;&gt;"",VLOOKUP(BH1793,Selects!$G:$H,2,0),"")</f>
        <v/>
      </c>
      <c r="CB1793" s="72" t="str">
        <f aca="false">IF(AC1793&lt;&gt;"",VLOOKUP(AC1793,Selects!$B:$E,4,0),"")</f>
        <v/>
      </c>
    </row>
    <row r="1794" customFormat="false" ht="15" hidden="true" customHeight="false" outlineLevel="0" collapsed="false">
      <c r="E1794" s="60" t="str">
        <f aca="false">IF(LEN(D1794)=11,"PF",IF(LEN(D1794)=14,"PJ",""))</f>
        <v/>
      </c>
      <c r="I1794" s="62"/>
      <c r="J1794" s="63" t="str">
        <f aca="false">IF(I1794&lt;&gt;"",VLOOKUP(I1794,'Legal Nature'!$E$2:$G$84,3,0),"")</f>
        <v/>
      </c>
      <c r="AD1794" s="72" t="str">
        <f aca="false">IF(AC1794&lt;&gt;"",VLOOKUP(AC1794,Selects!$B$4:$C$100,2,0),"")</f>
        <v/>
      </c>
      <c r="AH1794" s="65"/>
      <c r="AJ1794" s="66"/>
      <c r="AM1794" s="68" t="str">
        <f aca="false">IF(LEFT(AL1794,1)="9","Celular",IF(AL1794="","","Fixo"))</f>
        <v/>
      </c>
      <c r="AN1794" s="58" t="str">
        <f aca="false">IF( AM1794&lt;&gt;"",VLOOKUP(AM1794,Selects!$M$4:$N$1000,2,0),"")</f>
        <v/>
      </c>
      <c r="BB1794" s="72" t="str">
        <f aca="false">IF(BA1794&lt;&gt;"",VLOOKUP(BA1794,Selects!$B$4:$C$100,2,0),"")</f>
        <v/>
      </c>
      <c r="BG1794" s="75" t="str">
        <f aca="false">IF(LEN(BF1794)=11,"PF",IF(LEN(BF1794)=14,"PJ",""))</f>
        <v/>
      </c>
      <c r="BH1794" s="66"/>
      <c r="BI1794" s="58" t="str">
        <f aca="false">IF(BH1794&lt;&gt;"",VLOOKUP(BH1794,Selects!$G:$H,2,0),"")</f>
        <v/>
      </c>
      <c r="CB1794" s="72" t="str">
        <f aca="false">IF(AC1794&lt;&gt;"",VLOOKUP(AC1794,Selects!$B:$E,4,0),"")</f>
        <v/>
      </c>
    </row>
    <row r="1795" customFormat="false" ht="15" hidden="true" customHeight="false" outlineLevel="0" collapsed="false">
      <c r="E1795" s="60" t="str">
        <f aca="false">IF(LEN(D1795)=11,"PF",IF(LEN(D1795)=14,"PJ",""))</f>
        <v/>
      </c>
      <c r="I1795" s="62"/>
      <c r="J1795" s="63" t="str">
        <f aca="false">IF(I1795&lt;&gt;"",VLOOKUP(I1795,'Legal Nature'!$E$2:$G$84,3,0),"")</f>
        <v/>
      </c>
      <c r="AD1795" s="72" t="str">
        <f aca="false">IF(AC1795&lt;&gt;"",VLOOKUP(AC1795,Selects!$B$4:$C$100,2,0),"")</f>
        <v/>
      </c>
      <c r="AH1795" s="65"/>
      <c r="AJ1795" s="66"/>
      <c r="AM1795" s="68" t="str">
        <f aca="false">IF(LEFT(AL1795,1)="9","Celular",IF(AL1795="","","Fixo"))</f>
        <v/>
      </c>
      <c r="AN1795" s="58" t="str">
        <f aca="false">IF( AM1795&lt;&gt;"",VLOOKUP(AM1795,Selects!$M$4:$N$1000,2,0),"")</f>
        <v/>
      </c>
      <c r="BB1795" s="72" t="str">
        <f aca="false">IF(BA1795&lt;&gt;"",VLOOKUP(BA1795,Selects!$B$4:$C$100,2,0),"")</f>
        <v/>
      </c>
      <c r="BG1795" s="75" t="str">
        <f aca="false">IF(LEN(BF1795)=11,"PF",IF(LEN(BF1795)=14,"PJ",""))</f>
        <v/>
      </c>
      <c r="BH1795" s="66"/>
      <c r="BI1795" s="58" t="str">
        <f aca="false">IF(BH1795&lt;&gt;"",VLOOKUP(BH1795,Selects!$G:$H,2,0),"")</f>
        <v/>
      </c>
      <c r="CB1795" s="72" t="str">
        <f aca="false">IF(AC1795&lt;&gt;"",VLOOKUP(AC1795,Selects!$B:$E,4,0),"")</f>
        <v/>
      </c>
    </row>
    <row r="1796" customFormat="false" ht="15" hidden="true" customHeight="false" outlineLevel="0" collapsed="false">
      <c r="E1796" s="60" t="str">
        <f aca="false">IF(LEN(D1796)=11,"PF",IF(LEN(D1796)=14,"PJ",""))</f>
        <v/>
      </c>
      <c r="I1796" s="62"/>
      <c r="J1796" s="63" t="str">
        <f aca="false">IF(I1796&lt;&gt;"",VLOOKUP(I1796,'Legal Nature'!$E$2:$G$84,3,0),"")</f>
        <v/>
      </c>
      <c r="AD1796" s="72" t="str">
        <f aca="false">IF(AC1796&lt;&gt;"",VLOOKUP(AC1796,Selects!$B$4:$C$100,2,0),"")</f>
        <v/>
      </c>
      <c r="AH1796" s="65"/>
      <c r="AJ1796" s="66"/>
      <c r="AM1796" s="68" t="str">
        <f aca="false">IF(LEFT(AL1796,1)="9","Celular",IF(AL1796="","","Fixo"))</f>
        <v/>
      </c>
      <c r="AN1796" s="58" t="str">
        <f aca="false">IF( AM1796&lt;&gt;"",VLOOKUP(AM1796,Selects!$M$4:$N$1000,2,0),"")</f>
        <v/>
      </c>
      <c r="BB1796" s="72" t="str">
        <f aca="false">IF(BA1796&lt;&gt;"",VLOOKUP(BA1796,Selects!$B$4:$C$100,2,0),"")</f>
        <v/>
      </c>
      <c r="BG1796" s="75" t="str">
        <f aca="false">IF(LEN(BF1796)=11,"PF",IF(LEN(BF1796)=14,"PJ",""))</f>
        <v/>
      </c>
      <c r="BH1796" s="66"/>
      <c r="BI1796" s="58" t="str">
        <f aca="false">IF(BH1796&lt;&gt;"",VLOOKUP(BH1796,Selects!$G:$H,2,0),"")</f>
        <v/>
      </c>
      <c r="CB1796" s="72" t="str">
        <f aca="false">IF(AC1796&lt;&gt;"",VLOOKUP(AC1796,Selects!$B:$E,4,0),"")</f>
        <v/>
      </c>
    </row>
    <row r="1797" customFormat="false" ht="15" hidden="true" customHeight="false" outlineLevel="0" collapsed="false">
      <c r="E1797" s="60" t="str">
        <f aca="false">IF(LEN(D1797)=11,"PF",IF(LEN(D1797)=14,"PJ",""))</f>
        <v/>
      </c>
      <c r="I1797" s="62"/>
      <c r="J1797" s="63" t="str">
        <f aca="false">IF(I1797&lt;&gt;"",VLOOKUP(I1797,'Legal Nature'!$E$2:$G$84,3,0),"")</f>
        <v/>
      </c>
      <c r="AD1797" s="72" t="str">
        <f aca="false">IF(AC1797&lt;&gt;"",VLOOKUP(AC1797,Selects!$B$4:$C$100,2,0),"")</f>
        <v/>
      </c>
      <c r="AH1797" s="65"/>
      <c r="AJ1797" s="66"/>
      <c r="AM1797" s="68" t="str">
        <f aca="false">IF(LEFT(AL1797,1)="9","Celular",IF(AL1797="","","Fixo"))</f>
        <v/>
      </c>
      <c r="AN1797" s="58" t="str">
        <f aca="false">IF( AM1797&lt;&gt;"",VLOOKUP(AM1797,Selects!$M$4:$N$1000,2,0),"")</f>
        <v/>
      </c>
      <c r="BB1797" s="72" t="str">
        <f aca="false">IF(BA1797&lt;&gt;"",VLOOKUP(BA1797,Selects!$B$4:$C$100,2,0),"")</f>
        <v/>
      </c>
      <c r="BG1797" s="75" t="str">
        <f aca="false">IF(LEN(BF1797)=11,"PF",IF(LEN(BF1797)=14,"PJ",""))</f>
        <v/>
      </c>
      <c r="BH1797" s="66"/>
      <c r="BI1797" s="58" t="str">
        <f aca="false">IF(BH1797&lt;&gt;"",VLOOKUP(BH1797,Selects!$G:$H,2,0),"")</f>
        <v/>
      </c>
      <c r="CB1797" s="72" t="str">
        <f aca="false">IF(AC1797&lt;&gt;"",VLOOKUP(AC1797,Selects!$B:$E,4,0),"")</f>
        <v/>
      </c>
    </row>
    <row r="1798" customFormat="false" ht="15" hidden="true" customHeight="false" outlineLevel="0" collapsed="false">
      <c r="E1798" s="60" t="str">
        <f aca="false">IF(LEN(D1798)=11,"PF",IF(LEN(D1798)=14,"PJ",""))</f>
        <v/>
      </c>
      <c r="I1798" s="62"/>
      <c r="J1798" s="63" t="str">
        <f aca="false">IF(I1798&lt;&gt;"",VLOOKUP(I1798,'Legal Nature'!$E$2:$G$84,3,0),"")</f>
        <v/>
      </c>
      <c r="AD1798" s="72" t="str">
        <f aca="false">IF(AC1798&lt;&gt;"",VLOOKUP(AC1798,Selects!$B$4:$C$100,2,0),"")</f>
        <v/>
      </c>
      <c r="AH1798" s="65"/>
      <c r="AJ1798" s="66"/>
      <c r="AM1798" s="68" t="str">
        <f aca="false">IF(LEFT(AL1798,1)="9","Celular",IF(AL1798="","","Fixo"))</f>
        <v/>
      </c>
      <c r="AN1798" s="58" t="str">
        <f aca="false">IF( AM1798&lt;&gt;"",VLOOKUP(AM1798,Selects!$M$4:$N$1000,2,0),"")</f>
        <v/>
      </c>
      <c r="BB1798" s="72" t="str">
        <f aca="false">IF(BA1798&lt;&gt;"",VLOOKUP(BA1798,Selects!$B$4:$C$100,2,0),"")</f>
        <v/>
      </c>
      <c r="BG1798" s="75" t="str">
        <f aca="false">IF(LEN(BF1798)=11,"PF",IF(LEN(BF1798)=14,"PJ",""))</f>
        <v/>
      </c>
      <c r="BH1798" s="66"/>
      <c r="BI1798" s="58" t="str">
        <f aca="false">IF(BH1798&lt;&gt;"",VLOOKUP(BH1798,Selects!$G:$H,2,0),"")</f>
        <v/>
      </c>
      <c r="CB1798" s="72" t="str">
        <f aca="false">IF(AC1798&lt;&gt;"",VLOOKUP(AC1798,Selects!$B:$E,4,0),"")</f>
        <v/>
      </c>
    </row>
    <row r="1799" customFormat="false" ht="15" hidden="true" customHeight="false" outlineLevel="0" collapsed="false">
      <c r="E1799" s="60" t="str">
        <f aca="false">IF(LEN(D1799)=11,"PF",IF(LEN(D1799)=14,"PJ",""))</f>
        <v/>
      </c>
      <c r="I1799" s="62"/>
      <c r="J1799" s="63" t="str">
        <f aca="false">IF(I1799&lt;&gt;"",VLOOKUP(I1799,'Legal Nature'!$E$2:$G$84,3,0),"")</f>
        <v/>
      </c>
      <c r="AD1799" s="72" t="str">
        <f aca="false">IF(AC1799&lt;&gt;"",VLOOKUP(AC1799,Selects!$B$4:$C$100,2,0),"")</f>
        <v/>
      </c>
      <c r="AH1799" s="65"/>
      <c r="AJ1799" s="66"/>
      <c r="AM1799" s="68" t="str">
        <f aca="false">IF(LEFT(AL1799,1)="9","Celular",IF(AL1799="","","Fixo"))</f>
        <v/>
      </c>
      <c r="AN1799" s="58" t="str">
        <f aca="false">IF( AM1799&lt;&gt;"",VLOOKUP(AM1799,Selects!$M$4:$N$1000,2,0),"")</f>
        <v/>
      </c>
      <c r="BB1799" s="72" t="str">
        <f aca="false">IF(BA1799&lt;&gt;"",VLOOKUP(BA1799,Selects!$B$4:$C$100,2,0),"")</f>
        <v/>
      </c>
      <c r="BG1799" s="75" t="str">
        <f aca="false">IF(LEN(BF1799)=11,"PF",IF(LEN(BF1799)=14,"PJ",""))</f>
        <v/>
      </c>
      <c r="BH1799" s="66"/>
      <c r="BI1799" s="58" t="str">
        <f aca="false">IF(BH1799&lt;&gt;"",VLOOKUP(BH1799,Selects!$G:$H,2,0),"")</f>
        <v/>
      </c>
      <c r="CB1799" s="72" t="str">
        <f aca="false">IF(AC1799&lt;&gt;"",VLOOKUP(AC1799,Selects!$B:$E,4,0),"")</f>
        <v/>
      </c>
    </row>
    <row r="1800" customFormat="false" ht="15" hidden="true" customHeight="false" outlineLevel="0" collapsed="false">
      <c r="E1800" s="60" t="str">
        <f aca="false">IF(LEN(D1800)=11,"PF",IF(LEN(D1800)=14,"PJ",""))</f>
        <v/>
      </c>
      <c r="I1800" s="62"/>
      <c r="J1800" s="63" t="str">
        <f aca="false">IF(I1800&lt;&gt;"",VLOOKUP(I1800,'Legal Nature'!$E$2:$G$84,3,0),"")</f>
        <v/>
      </c>
      <c r="AD1800" s="72" t="str">
        <f aca="false">IF(AC1800&lt;&gt;"",VLOOKUP(AC1800,Selects!$B$4:$C$100,2,0),"")</f>
        <v/>
      </c>
      <c r="AH1800" s="65"/>
      <c r="AJ1800" s="66"/>
      <c r="AM1800" s="68" t="str">
        <f aca="false">IF(LEFT(AL1800,1)="9","Celular",IF(AL1800="","","Fixo"))</f>
        <v/>
      </c>
      <c r="AN1800" s="58" t="str">
        <f aca="false">IF( AM1800&lt;&gt;"",VLOOKUP(AM1800,Selects!$M$4:$N$1000,2,0),"")</f>
        <v/>
      </c>
      <c r="BB1800" s="72" t="str">
        <f aca="false">IF(BA1800&lt;&gt;"",VLOOKUP(BA1800,Selects!$B$4:$C$100,2,0),"")</f>
        <v/>
      </c>
      <c r="BG1800" s="75" t="str">
        <f aca="false">IF(LEN(BF1800)=11,"PF",IF(LEN(BF1800)=14,"PJ",""))</f>
        <v/>
      </c>
      <c r="BH1800" s="66"/>
      <c r="BI1800" s="58" t="str">
        <f aca="false">IF(BH1800&lt;&gt;"",VLOOKUP(BH1800,Selects!$G:$H,2,0),"")</f>
        <v/>
      </c>
      <c r="CB1800" s="72" t="str">
        <f aca="false">IF(AC1800&lt;&gt;"",VLOOKUP(AC1800,Selects!$B:$E,4,0),"")</f>
        <v/>
      </c>
    </row>
    <row r="1801" customFormat="false" ht="15" hidden="true" customHeight="false" outlineLevel="0" collapsed="false">
      <c r="E1801" s="60" t="str">
        <f aca="false">IF(LEN(D1801)=11,"PF",IF(LEN(D1801)=14,"PJ",""))</f>
        <v/>
      </c>
      <c r="I1801" s="62"/>
      <c r="J1801" s="63" t="str">
        <f aca="false">IF(I1801&lt;&gt;"",VLOOKUP(I1801,'Legal Nature'!$E$2:$G$84,3,0),"")</f>
        <v/>
      </c>
      <c r="AD1801" s="72" t="str">
        <f aca="false">IF(AC1801&lt;&gt;"",VLOOKUP(AC1801,Selects!$B$4:$C$100,2,0),"")</f>
        <v/>
      </c>
      <c r="AH1801" s="65"/>
      <c r="AJ1801" s="66"/>
      <c r="AM1801" s="68" t="str">
        <f aca="false">IF(LEFT(AL1801,1)="9","Celular",IF(AL1801="","","Fixo"))</f>
        <v/>
      </c>
      <c r="AN1801" s="58" t="str">
        <f aca="false">IF( AM1801&lt;&gt;"",VLOOKUP(AM1801,Selects!$M$4:$N$1000,2,0),"")</f>
        <v/>
      </c>
      <c r="BB1801" s="72" t="str">
        <f aca="false">IF(BA1801&lt;&gt;"",VLOOKUP(BA1801,Selects!$B$4:$C$100,2,0),"")</f>
        <v/>
      </c>
      <c r="BG1801" s="75" t="str">
        <f aca="false">IF(LEN(BF1801)=11,"PF",IF(LEN(BF1801)=14,"PJ",""))</f>
        <v/>
      </c>
      <c r="BH1801" s="66"/>
      <c r="BI1801" s="58" t="str">
        <f aca="false">IF(BH1801&lt;&gt;"",VLOOKUP(BH1801,Selects!$G:$H,2,0),"")</f>
        <v/>
      </c>
      <c r="CB1801" s="72" t="str">
        <f aca="false">IF(AC1801&lt;&gt;"",VLOOKUP(AC1801,Selects!$B:$E,4,0),"")</f>
        <v/>
      </c>
    </row>
    <row r="1802" customFormat="false" ht="15" hidden="true" customHeight="false" outlineLevel="0" collapsed="false">
      <c r="E1802" s="60" t="str">
        <f aca="false">IF(LEN(D1802)=11,"PF",IF(LEN(D1802)=14,"PJ",""))</f>
        <v/>
      </c>
      <c r="I1802" s="62"/>
      <c r="J1802" s="63" t="str">
        <f aca="false">IF(I1802&lt;&gt;"",VLOOKUP(I1802,'Legal Nature'!$E$2:$G$84,3,0),"")</f>
        <v/>
      </c>
      <c r="AD1802" s="72" t="str">
        <f aca="false">IF(AC1802&lt;&gt;"",VLOOKUP(AC1802,Selects!$B$4:$C$100,2,0),"")</f>
        <v/>
      </c>
      <c r="AH1802" s="65"/>
      <c r="AJ1802" s="66"/>
      <c r="AM1802" s="68" t="str">
        <f aca="false">IF(LEFT(AL1802,1)="9","Celular",IF(AL1802="","","Fixo"))</f>
        <v/>
      </c>
      <c r="AN1802" s="58" t="str">
        <f aca="false">IF( AM1802&lt;&gt;"",VLOOKUP(AM1802,Selects!$M$4:$N$1000,2,0),"")</f>
        <v/>
      </c>
      <c r="BB1802" s="72" t="str">
        <f aca="false">IF(BA1802&lt;&gt;"",VLOOKUP(BA1802,Selects!$B$4:$C$100,2,0),"")</f>
        <v/>
      </c>
      <c r="BG1802" s="75" t="str">
        <f aca="false">IF(LEN(BF1802)=11,"PF",IF(LEN(BF1802)=14,"PJ",""))</f>
        <v/>
      </c>
      <c r="BH1802" s="66"/>
      <c r="BI1802" s="58" t="str">
        <f aca="false">IF(BH1802&lt;&gt;"",VLOOKUP(BH1802,Selects!$G:$H,2,0),"")</f>
        <v/>
      </c>
      <c r="CB1802" s="72" t="str">
        <f aca="false">IF(AC1802&lt;&gt;"",VLOOKUP(AC1802,Selects!$B:$E,4,0),"")</f>
        <v/>
      </c>
    </row>
    <row r="1803" customFormat="false" ht="15" hidden="true" customHeight="false" outlineLevel="0" collapsed="false">
      <c r="E1803" s="60" t="str">
        <f aca="false">IF(LEN(D1803)=11,"PF",IF(LEN(D1803)=14,"PJ",""))</f>
        <v/>
      </c>
      <c r="I1803" s="62"/>
      <c r="J1803" s="63" t="str">
        <f aca="false">IF(I1803&lt;&gt;"",VLOOKUP(I1803,'Legal Nature'!$E$2:$G$84,3,0),"")</f>
        <v/>
      </c>
      <c r="AD1803" s="72" t="str">
        <f aca="false">IF(AC1803&lt;&gt;"",VLOOKUP(AC1803,Selects!$B$4:$C$100,2,0),"")</f>
        <v/>
      </c>
      <c r="AH1803" s="65"/>
      <c r="AJ1803" s="66"/>
      <c r="AM1803" s="68" t="str">
        <f aca="false">IF(LEFT(AL1803,1)="9","Celular",IF(AL1803="","","Fixo"))</f>
        <v/>
      </c>
      <c r="AN1803" s="58" t="str">
        <f aca="false">IF( AM1803&lt;&gt;"",VLOOKUP(AM1803,Selects!$M$4:$N$1000,2,0),"")</f>
        <v/>
      </c>
      <c r="BB1803" s="72" t="str">
        <f aca="false">IF(BA1803&lt;&gt;"",VLOOKUP(BA1803,Selects!$B$4:$C$100,2,0),"")</f>
        <v/>
      </c>
      <c r="BG1803" s="75" t="str">
        <f aca="false">IF(LEN(BF1803)=11,"PF",IF(LEN(BF1803)=14,"PJ",""))</f>
        <v/>
      </c>
      <c r="BH1803" s="66"/>
      <c r="BI1803" s="58" t="str">
        <f aca="false">IF(BH1803&lt;&gt;"",VLOOKUP(BH1803,Selects!$G:$H,2,0),"")</f>
        <v/>
      </c>
      <c r="CB1803" s="72" t="str">
        <f aca="false">IF(AC1803&lt;&gt;"",VLOOKUP(AC1803,Selects!$B:$E,4,0),"")</f>
        <v/>
      </c>
    </row>
    <row r="1804" customFormat="false" ht="15" hidden="true" customHeight="false" outlineLevel="0" collapsed="false">
      <c r="E1804" s="60" t="str">
        <f aca="false">IF(LEN(D1804)=11,"PF",IF(LEN(D1804)=14,"PJ",""))</f>
        <v/>
      </c>
      <c r="I1804" s="62"/>
      <c r="J1804" s="63" t="str">
        <f aca="false">IF(I1804&lt;&gt;"",VLOOKUP(I1804,'Legal Nature'!$E$2:$G$84,3,0),"")</f>
        <v/>
      </c>
      <c r="AD1804" s="72" t="str">
        <f aca="false">IF(AC1804&lt;&gt;"",VLOOKUP(AC1804,Selects!$B$4:$C$100,2,0),"")</f>
        <v/>
      </c>
      <c r="AH1804" s="65"/>
      <c r="AJ1804" s="66"/>
      <c r="AM1804" s="68" t="str">
        <f aca="false">IF(LEFT(AL1804,1)="9","Celular",IF(AL1804="","","Fixo"))</f>
        <v/>
      </c>
      <c r="AN1804" s="58" t="str">
        <f aca="false">IF( AM1804&lt;&gt;"",VLOOKUP(AM1804,Selects!$M$4:$N$1000,2,0),"")</f>
        <v/>
      </c>
      <c r="BB1804" s="72" t="str">
        <f aca="false">IF(BA1804&lt;&gt;"",VLOOKUP(BA1804,Selects!$B$4:$C$100,2,0),"")</f>
        <v/>
      </c>
      <c r="BG1804" s="75" t="str">
        <f aca="false">IF(LEN(BF1804)=11,"PF",IF(LEN(BF1804)=14,"PJ",""))</f>
        <v/>
      </c>
      <c r="BH1804" s="66"/>
      <c r="BI1804" s="58" t="str">
        <f aca="false">IF(BH1804&lt;&gt;"",VLOOKUP(BH1804,Selects!$G:$H,2,0),"")</f>
        <v/>
      </c>
      <c r="CB1804" s="72" t="str">
        <f aca="false">IF(AC1804&lt;&gt;"",VLOOKUP(AC1804,Selects!$B:$E,4,0),"")</f>
        <v/>
      </c>
    </row>
    <row r="1805" customFormat="false" ht="15" hidden="true" customHeight="false" outlineLevel="0" collapsed="false">
      <c r="E1805" s="60" t="str">
        <f aca="false">IF(LEN(D1805)=11,"PF",IF(LEN(D1805)=14,"PJ",""))</f>
        <v/>
      </c>
      <c r="I1805" s="62"/>
      <c r="J1805" s="63" t="str">
        <f aca="false">IF(I1805&lt;&gt;"",VLOOKUP(I1805,'Legal Nature'!$E$2:$G$84,3,0),"")</f>
        <v/>
      </c>
      <c r="AD1805" s="72" t="str">
        <f aca="false">IF(AC1805&lt;&gt;"",VLOOKUP(AC1805,Selects!$B$4:$C$100,2,0),"")</f>
        <v/>
      </c>
      <c r="AH1805" s="65"/>
      <c r="AJ1805" s="66"/>
      <c r="AM1805" s="68" t="str">
        <f aca="false">IF(LEFT(AL1805,1)="9","Celular",IF(AL1805="","","Fixo"))</f>
        <v/>
      </c>
      <c r="AN1805" s="58" t="str">
        <f aca="false">IF( AM1805&lt;&gt;"",VLOOKUP(AM1805,Selects!$M$4:$N$1000,2,0),"")</f>
        <v/>
      </c>
      <c r="BB1805" s="72" t="str">
        <f aca="false">IF(BA1805&lt;&gt;"",VLOOKUP(BA1805,Selects!$B$4:$C$100,2,0),"")</f>
        <v/>
      </c>
      <c r="BG1805" s="75" t="str">
        <f aca="false">IF(LEN(BF1805)=11,"PF",IF(LEN(BF1805)=14,"PJ",""))</f>
        <v/>
      </c>
      <c r="BH1805" s="66"/>
      <c r="BI1805" s="58" t="str">
        <f aca="false">IF(BH1805&lt;&gt;"",VLOOKUP(BH1805,Selects!$G:$H,2,0),"")</f>
        <v/>
      </c>
      <c r="CB1805" s="72" t="str">
        <f aca="false">IF(AC1805&lt;&gt;"",VLOOKUP(AC1805,Selects!$B:$E,4,0),"")</f>
        <v/>
      </c>
    </row>
    <row r="1806" customFormat="false" ht="15" hidden="true" customHeight="false" outlineLevel="0" collapsed="false">
      <c r="E1806" s="60" t="str">
        <f aca="false">IF(LEN(D1806)=11,"PF",IF(LEN(D1806)=14,"PJ",""))</f>
        <v/>
      </c>
      <c r="I1806" s="62"/>
      <c r="J1806" s="63" t="str">
        <f aca="false">IF(I1806&lt;&gt;"",VLOOKUP(I1806,'Legal Nature'!$E$2:$G$84,3,0),"")</f>
        <v/>
      </c>
      <c r="AD1806" s="72" t="str">
        <f aca="false">IF(AC1806&lt;&gt;"",VLOOKUP(AC1806,Selects!$B$4:$C$100,2,0),"")</f>
        <v/>
      </c>
      <c r="AH1806" s="65"/>
      <c r="AJ1806" s="66"/>
      <c r="AM1806" s="68" t="str">
        <f aca="false">IF(LEFT(AL1806,1)="9","Celular",IF(AL1806="","","Fixo"))</f>
        <v/>
      </c>
      <c r="AN1806" s="58" t="str">
        <f aca="false">IF( AM1806&lt;&gt;"",VLOOKUP(AM1806,Selects!$M$4:$N$1000,2,0),"")</f>
        <v/>
      </c>
      <c r="BB1806" s="72" t="str">
        <f aca="false">IF(BA1806&lt;&gt;"",VLOOKUP(BA1806,Selects!$B$4:$C$100,2,0),"")</f>
        <v/>
      </c>
      <c r="BG1806" s="75" t="str">
        <f aca="false">IF(LEN(BF1806)=11,"PF",IF(LEN(BF1806)=14,"PJ",""))</f>
        <v/>
      </c>
      <c r="BH1806" s="66"/>
      <c r="BI1806" s="58" t="str">
        <f aca="false">IF(BH1806&lt;&gt;"",VLOOKUP(BH1806,Selects!$G:$H,2,0),"")</f>
        <v/>
      </c>
      <c r="CB1806" s="72" t="str">
        <f aca="false">IF(AC1806&lt;&gt;"",VLOOKUP(AC1806,Selects!$B:$E,4,0),"")</f>
        <v/>
      </c>
    </row>
    <row r="1807" customFormat="false" ht="15" hidden="true" customHeight="false" outlineLevel="0" collapsed="false">
      <c r="E1807" s="60" t="str">
        <f aca="false">IF(LEN(D1807)=11,"PF",IF(LEN(D1807)=14,"PJ",""))</f>
        <v/>
      </c>
      <c r="I1807" s="62"/>
      <c r="J1807" s="63" t="str">
        <f aca="false">IF(I1807&lt;&gt;"",VLOOKUP(I1807,'Legal Nature'!$E$2:$G$84,3,0),"")</f>
        <v/>
      </c>
      <c r="AD1807" s="72" t="str">
        <f aca="false">IF(AC1807&lt;&gt;"",VLOOKUP(AC1807,Selects!$B$4:$C$100,2,0),"")</f>
        <v/>
      </c>
      <c r="AH1807" s="65"/>
      <c r="AJ1807" s="66"/>
      <c r="AM1807" s="68" t="str">
        <f aca="false">IF(LEFT(AL1807,1)="9","Celular",IF(AL1807="","","Fixo"))</f>
        <v/>
      </c>
      <c r="AN1807" s="58" t="str">
        <f aca="false">IF( AM1807&lt;&gt;"",VLOOKUP(AM1807,Selects!$M$4:$N$1000,2,0),"")</f>
        <v/>
      </c>
      <c r="BB1807" s="72" t="str">
        <f aca="false">IF(BA1807&lt;&gt;"",VLOOKUP(BA1807,Selects!$B$4:$C$100,2,0),"")</f>
        <v/>
      </c>
      <c r="BG1807" s="75" t="str">
        <f aca="false">IF(LEN(BF1807)=11,"PF",IF(LEN(BF1807)=14,"PJ",""))</f>
        <v/>
      </c>
      <c r="BH1807" s="66"/>
      <c r="BI1807" s="58" t="str">
        <f aca="false">IF(BH1807&lt;&gt;"",VLOOKUP(BH1807,Selects!$G:$H,2,0),"")</f>
        <v/>
      </c>
      <c r="CB1807" s="72" t="str">
        <f aca="false">IF(AC1807&lt;&gt;"",VLOOKUP(AC1807,Selects!$B:$E,4,0),"")</f>
        <v/>
      </c>
    </row>
    <row r="1808" customFormat="false" ht="15" hidden="true" customHeight="false" outlineLevel="0" collapsed="false">
      <c r="E1808" s="60" t="str">
        <f aca="false">IF(LEN(D1808)=11,"PF",IF(LEN(D1808)=14,"PJ",""))</f>
        <v/>
      </c>
      <c r="I1808" s="62"/>
      <c r="J1808" s="63" t="str">
        <f aca="false">IF(I1808&lt;&gt;"",VLOOKUP(I1808,'Legal Nature'!$E$2:$G$84,3,0),"")</f>
        <v/>
      </c>
      <c r="AD1808" s="72" t="str">
        <f aca="false">IF(AC1808&lt;&gt;"",VLOOKUP(AC1808,Selects!$B$4:$C$100,2,0),"")</f>
        <v/>
      </c>
      <c r="AH1808" s="65"/>
      <c r="AJ1808" s="66"/>
      <c r="AM1808" s="68" t="str">
        <f aca="false">IF(LEFT(AL1808,1)="9","Celular",IF(AL1808="","","Fixo"))</f>
        <v/>
      </c>
      <c r="AN1808" s="58" t="str">
        <f aca="false">IF( AM1808&lt;&gt;"",VLOOKUP(AM1808,Selects!$M$4:$N$1000,2,0),"")</f>
        <v/>
      </c>
      <c r="BB1808" s="72" t="str">
        <f aca="false">IF(BA1808&lt;&gt;"",VLOOKUP(BA1808,Selects!$B$4:$C$100,2,0),"")</f>
        <v/>
      </c>
      <c r="BG1808" s="75" t="str">
        <f aca="false">IF(LEN(BF1808)=11,"PF",IF(LEN(BF1808)=14,"PJ",""))</f>
        <v/>
      </c>
      <c r="BH1808" s="66"/>
      <c r="BI1808" s="58" t="str">
        <f aca="false">IF(BH1808&lt;&gt;"",VLOOKUP(BH1808,Selects!$G:$H,2,0),"")</f>
        <v/>
      </c>
      <c r="CB1808" s="72" t="str">
        <f aca="false">IF(AC1808&lt;&gt;"",VLOOKUP(AC1808,Selects!$B:$E,4,0),"")</f>
        <v/>
      </c>
    </row>
    <row r="1809" customFormat="false" ht="15" hidden="true" customHeight="false" outlineLevel="0" collapsed="false">
      <c r="E1809" s="60" t="str">
        <f aca="false">IF(LEN(D1809)=11,"PF",IF(LEN(D1809)=14,"PJ",""))</f>
        <v/>
      </c>
      <c r="I1809" s="62"/>
      <c r="J1809" s="63" t="str">
        <f aca="false">IF(I1809&lt;&gt;"",VLOOKUP(I1809,'Legal Nature'!$E$2:$G$84,3,0),"")</f>
        <v/>
      </c>
      <c r="AD1809" s="72" t="str">
        <f aca="false">IF(AC1809&lt;&gt;"",VLOOKUP(AC1809,Selects!$B$4:$C$100,2,0),"")</f>
        <v/>
      </c>
      <c r="AH1809" s="65"/>
      <c r="AJ1809" s="66"/>
      <c r="AM1809" s="68" t="str">
        <f aca="false">IF(LEFT(AL1809,1)="9","Celular",IF(AL1809="","","Fixo"))</f>
        <v/>
      </c>
      <c r="AN1809" s="58" t="str">
        <f aca="false">IF( AM1809&lt;&gt;"",VLOOKUP(AM1809,Selects!$M$4:$N$1000,2,0),"")</f>
        <v/>
      </c>
      <c r="BB1809" s="72" t="str">
        <f aca="false">IF(BA1809&lt;&gt;"",VLOOKUP(BA1809,Selects!$B$4:$C$100,2,0),"")</f>
        <v/>
      </c>
      <c r="BG1809" s="75" t="str">
        <f aca="false">IF(LEN(BF1809)=11,"PF",IF(LEN(BF1809)=14,"PJ",""))</f>
        <v/>
      </c>
      <c r="BH1809" s="66"/>
      <c r="BI1809" s="58" t="str">
        <f aca="false">IF(BH1809&lt;&gt;"",VLOOKUP(BH1809,Selects!$G:$H,2,0),"")</f>
        <v/>
      </c>
      <c r="CB1809" s="72" t="str">
        <f aca="false">IF(AC1809&lt;&gt;"",VLOOKUP(AC1809,Selects!$B:$E,4,0),"")</f>
        <v/>
      </c>
    </row>
    <row r="1810" customFormat="false" ht="15" hidden="true" customHeight="false" outlineLevel="0" collapsed="false">
      <c r="E1810" s="60" t="str">
        <f aca="false">IF(LEN(D1810)=11,"PF",IF(LEN(D1810)=14,"PJ",""))</f>
        <v/>
      </c>
      <c r="I1810" s="62"/>
      <c r="J1810" s="63" t="str">
        <f aca="false">IF(I1810&lt;&gt;"",VLOOKUP(I1810,'Legal Nature'!$E$2:$G$84,3,0),"")</f>
        <v/>
      </c>
      <c r="AD1810" s="72" t="str">
        <f aca="false">IF(AC1810&lt;&gt;"",VLOOKUP(AC1810,Selects!$B$4:$C$100,2,0),"")</f>
        <v/>
      </c>
      <c r="AH1810" s="65"/>
      <c r="AJ1810" s="66"/>
      <c r="AM1810" s="68" t="str">
        <f aca="false">IF(LEFT(AL1810,1)="9","Celular",IF(AL1810="","","Fixo"))</f>
        <v/>
      </c>
      <c r="AN1810" s="58" t="str">
        <f aca="false">IF( AM1810&lt;&gt;"",VLOOKUP(AM1810,Selects!$M$4:$N$1000,2,0),"")</f>
        <v/>
      </c>
      <c r="BB1810" s="72" t="str">
        <f aca="false">IF(BA1810&lt;&gt;"",VLOOKUP(BA1810,Selects!$B$4:$C$100,2,0),"")</f>
        <v/>
      </c>
      <c r="BG1810" s="75" t="str">
        <f aca="false">IF(LEN(BF1810)=11,"PF",IF(LEN(BF1810)=14,"PJ",""))</f>
        <v/>
      </c>
      <c r="BH1810" s="66"/>
      <c r="BI1810" s="58" t="str">
        <f aca="false">IF(BH1810&lt;&gt;"",VLOOKUP(BH1810,Selects!$G:$H,2,0),"")</f>
        <v/>
      </c>
      <c r="CB1810" s="72" t="str">
        <f aca="false">IF(AC1810&lt;&gt;"",VLOOKUP(AC1810,Selects!$B:$E,4,0),"")</f>
        <v/>
      </c>
    </row>
    <row r="1811" customFormat="false" ht="15" hidden="true" customHeight="false" outlineLevel="0" collapsed="false">
      <c r="E1811" s="60" t="str">
        <f aca="false">IF(LEN(D1811)=11,"PF",IF(LEN(D1811)=14,"PJ",""))</f>
        <v/>
      </c>
      <c r="I1811" s="62"/>
      <c r="J1811" s="63" t="str">
        <f aca="false">IF(I1811&lt;&gt;"",VLOOKUP(I1811,'Legal Nature'!$E$2:$G$84,3,0),"")</f>
        <v/>
      </c>
      <c r="AD1811" s="72" t="str">
        <f aca="false">IF(AC1811&lt;&gt;"",VLOOKUP(AC1811,Selects!$B$4:$C$100,2,0),"")</f>
        <v/>
      </c>
      <c r="AH1811" s="65"/>
      <c r="AJ1811" s="66"/>
      <c r="AM1811" s="68" t="str">
        <f aca="false">IF(LEFT(AL1811,1)="9","Celular",IF(AL1811="","","Fixo"))</f>
        <v/>
      </c>
      <c r="AN1811" s="58" t="str">
        <f aca="false">IF( AM1811&lt;&gt;"",VLOOKUP(AM1811,Selects!$M$4:$N$1000,2,0),"")</f>
        <v/>
      </c>
      <c r="BB1811" s="72" t="str">
        <f aca="false">IF(BA1811&lt;&gt;"",VLOOKUP(BA1811,Selects!$B$4:$C$100,2,0),"")</f>
        <v/>
      </c>
      <c r="BG1811" s="75" t="str">
        <f aca="false">IF(LEN(BF1811)=11,"PF",IF(LEN(BF1811)=14,"PJ",""))</f>
        <v/>
      </c>
      <c r="BH1811" s="66"/>
      <c r="BI1811" s="58" t="str">
        <f aca="false">IF(BH1811&lt;&gt;"",VLOOKUP(BH1811,Selects!$G:$H,2,0),"")</f>
        <v/>
      </c>
      <c r="CB1811" s="72" t="str">
        <f aca="false">IF(AC1811&lt;&gt;"",VLOOKUP(AC1811,Selects!$B:$E,4,0),"")</f>
        <v/>
      </c>
    </row>
    <row r="1812" customFormat="false" ht="15" hidden="true" customHeight="false" outlineLevel="0" collapsed="false">
      <c r="E1812" s="60" t="str">
        <f aca="false">IF(LEN(D1812)=11,"PF",IF(LEN(D1812)=14,"PJ",""))</f>
        <v/>
      </c>
      <c r="I1812" s="62"/>
      <c r="J1812" s="63" t="str">
        <f aca="false">IF(I1812&lt;&gt;"",VLOOKUP(I1812,'Legal Nature'!$E$2:$G$84,3,0),"")</f>
        <v/>
      </c>
      <c r="AD1812" s="72" t="str">
        <f aca="false">IF(AC1812&lt;&gt;"",VLOOKUP(AC1812,Selects!$B$4:$C$100,2,0),"")</f>
        <v/>
      </c>
      <c r="AH1812" s="65"/>
      <c r="AJ1812" s="66"/>
      <c r="AM1812" s="68" t="str">
        <f aca="false">IF(LEFT(AL1812,1)="9","Celular",IF(AL1812="","","Fixo"))</f>
        <v/>
      </c>
      <c r="AN1812" s="58" t="str">
        <f aca="false">IF( AM1812&lt;&gt;"",VLOOKUP(AM1812,Selects!$M$4:$N$1000,2,0),"")</f>
        <v/>
      </c>
      <c r="BB1812" s="72" t="str">
        <f aca="false">IF(BA1812&lt;&gt;"",VLOOKUP(BA1812,Selects!$B$4:$C$100,2,0),"")</f>
        <v/>
      </c>
      <c r="BG1812" s="75" t="str">
        <f aca="false">IF(LEN(BF1812)=11,"PF",IF(LEN(BF1812)=14,"PJ",""))</f>
        <v/>
      </c>
      <c r="BH1812" s="66"/>
      <c r="BI1812" s="58" t="str">
        <f aca="false">IF(BH1812&lt;&gt;"",VLOOKUP(BH1812,Selects!$G:$H,2,0),"")</f>
        <v/>
      </c>
      <c r="CB1812" s="72" t="str">
        <f aca="false">IF(AC1812&lt;&gt;"",VLOOKUP(AC1812,Selects!$B:$E,4,0),"")</f>
        <v/>
      </c>
    </row>
    <row r="1813" customFormat="false" ht="15" hidden="true" customHeight="false" outlineLevel="0" collapsed="false">
      <c r="E1813" s="60" t="str">
        <f aca="false">IF(LEN(D1813)=11,"PF",IF(LEN(D1813)=14,"PJ",""))</f>
        <v/>
      </c>
      <c r="I1813" s="62"/>
      <c r="J1813" s="63" t="str">
        <f aca="false">IF(I1813&lt;&gt;"",VLOOKUP(I1813,'Legal Nature'!$E$2:$G$84,3,0),"")</f>
        <v/>
      </c>
      <c r="AD1813" s="72" t="str">
        <f aca="false">IF(AC1813&lt;&gt;"",VLOOKUP(AC1813,Selects!$B$4:$C$100,2,0),"")</f>
        <v/>
      </c>
      <c r="AH1813" s="65"/>
      <c r="AJ1813" s="66"/>
      <c r="AM1813" s="68" t="str">
        <f aca="false">IF(LEFT(AL1813,1)="9","Celular",IF(AL1813="","","Fixo"))</f>
        <v/>
      </c>
      <c r="AN1813" s="58" t="str">
        <f aca="false">IF( AM1813&lt;&gt;"",VLOOKUP(AM1813,Selects!$M$4:$N$1000,2,0),"")</f>
        <v/>
      </c>
      <c r="BB1813" s="72" t="str">
        <f aca="false">IF(BA1813&lt;&gt;"",VLOOKUP(BA1813,Selects!$B$4:$C$100,2,0),"")</f>
        <v/>
      </c>
      <c r="BG1813" s="75" t="str">
        <f aca="false">IF(LEN(BF1813)=11,"PF",IF(LEN(BF1813)=14,"PJ",""))</f>
        <v/>
      </c>
      <c r="BH1813" s="66"/>
      <c r="BI1813" s="58" t="str">
        <f aca="false">IF(BH1813&lt;&gt;"",VLOOKUP(BH1813,Selects!$G:$H,2,0),"")</f>
        <v/>
      </c>
      <c r="CB1813" s="72" t="str">
        <f aca="false">IF(AC1813&lt;&gt;"",VLOOKUP(AC1813,Selects!$B:$E,4,0),"")</f>
        <v/>
      </c>
    </row>
    <row r="1814" customFormat="false" ht="15" hidden="true" customHeight="false" outlineLevel="0" collapsed="false">
      <c r="E1814" s="60" t="str">
        <f aca="false">IF(LEN(D1814)=11,"PF",IF(LEN(D1814)=14,"PJ",""))</f>
        <v/>
      </c>
      <c r="I1814" s="62"/>
      <c r="J1814" s="63" t="str">
        <f aca="false">IF(I1814&lt;&gt;"",VLOOKUP(I1814,'Legal Nature'!$E$2:$G$84,3,0),"")</f>
        <v/>
      </c>
      <c r="AD1814" s="72" t="str">
        <f aca="false">IF(AC1814&lt;&gt;"",VLOOKUP(AC1814,Selects!$B$4:$C$100,2,0),"")</f>
        <v/>
      </c>
      <c r="AH1814" s="65"/>
      <c r="AJ1814" s="66"/>
      <c r="AM1814" s="68" t="str">
        <f aca="false">IF(LEFT(AL1814,1)="9","Celular",IF(AL1814="","","Fixo"))</f>
        <v/>
      </c>
      <c r="AN1814" s="58" t="str">
        <f aca="false">IF( AM1814&lt;&gt;"",VLOOKUP(AM1814,Selects!$M$4:$N$1000,2,0),"")</f>
        <v/>
      </c>
      <c r="BB1814" s="72" t="str">
        <f aca="false">IF(BA1814&lt;&gt;"",VLOOKUP(BA1814,Selects!$B$4:$C$100,2,0),"")</f>
        <v/>
      </c>
      <c r="BG1814" s="75" t="str">
        <f aca="false">IF(LEN(BF1814)=11,"PF",IF(LEN(BF1814)=14,"PJ",""))</f>
        <v/>
      </c>
      <c r="BH1814" s="66"/>
      <c r="BI1814" s="58" t="str">
        <f aca="false">IF(BH1814&lt;&gt;"",VLOOKUP(BH1814,Selects!$G:$H,2,0),"")</f>
        <v/>
      </c>
      <c r="CB1814" s="72" t="str">
        <f aca="false">IF(AC1814&lt;&gt;"",VLOOKUP(AC1814,Selects!$B:$E,4,0),"")</f>
        <v/>
      </c>
    </row>
    <row r="1815" customFormat="false" ht="15" hidden="true" customHeight="false" outlineLevel="0" collapsed="false">
      <c r="E1815" s="60" t="str">
        <f aca="false">IF(LEN(D1815)=11,"PF",IF(LEN(D1815)=14,"PJ",""))</f>
        <v/>
      </c>
      <c r="I1815" s="62"/>
      <c r="J1815" s="63" t="str">
        <f aca="false">IF(I1815&lt;&gt;"",VLOOKUP(I1815,'Legal Nature'!$E$2:$G$84,3,0),"")</f>
        <v/>
      </c>
      <c r="AD1815" s="72" t="str">
        <f aca="false">IF(AC1815&lt;&gt;"",VLOOKUP(AC1815,Selects!$B$4:$C$100,2,0),"")</f>
        <v/>
      </c>
      <c r="AH1815" s="65"/>
      <c r="AJ1815" s="66"/>
      <c r="AM1815" s="68" t="str">
        <f aca="false">IF(LEFT(AL1815,1)="9","Celular",IF(AL1815="","","Fixo"))</f>
        <v/>
      </c>
      <c r="AN1815" s="58" t="str">
        <f aca="false">IF( AM1815&lt;&gt;"",VLOOKUP(AM1815,Selects!$M$4:$N$1000,2,0),"")</f>
        <v/>
      </c>
      <c r="BB1815" s="72" t="str">
        <f aca="false">IF(BA1815&lt;&gt;"",VLOOKUP(BA1815,Selects!$B$4:$C$100,2,0),"")</f>
        <v/>
      </c>
      <c r="BG1815" s="75" t="str">
        <f aca="false">IF(LEN(BF1815)=11,"PF",IF(LEN(BF1815)=14,"PJ",""))</f>
        <v/>
      </c>
      <c r="BH1815" s="66"/>
      <c r="BI1815" s="58" t="str">
        <f aca="false">IF(BH1815&lt;&gt;"",VLOOKUP(BH1815,Selects!$G:$H,2,0),"")</f>
        <v/>
      </c>
      <c r="CB1815" s="72" t="str">
        <f aca="false">IF(AC1815&lt;&gt;"",VLOOKUP(AC1815,Selects!$B:$E,4,0),"")</f>
        <v/>
      </c>
    </row>
    <row r="1816" customFormat="false" ht="15" hidden="true" customHeight="false" outlineLevel="0" collapsed="false">
      <c r="E1816" s="60" t="str">
        <f aca="false">IF(LEN(D1816)=11,"PF",IF(LEN(D1816)=14,"PJ",""))</f>
        <v/>
      </c>
      <c r="I1816" s="62"/>
      <c r="J1816" s="63" t="str">
        <f aca="false">IF(I1816&lt;&gt;"",VLOOKUP(I1816,'Legal Nature'!$E$2:$G$84,3,0),"")</f>
        <v/>
      </c>
      <c r="AD1816" s="72" t="str">
        <f aca="false">IF(AC1816&lt;&gt;"",VLOOKUP(AC1816,Selects!$B$4:$C$100,2,0),"")</f>
        <v/>
      </c>
      <c r="AH1816" s="65"/>
      <c r="AJ1816" s="66"/>
      <c r="AM1816" s="68" t="str">
        <f aca="false">IF(LEFT(AL1816,1)="9","Celular",IF(AL1816="","","Fixo"))</f>
        <v/>
      </c>
      <c r="AN1816" s="58" t="str">
        <f aca="false">IF( AM1816&lt;&gt;"",VLOOKUP(AM1816,Selects!$M$4:$N$1000,2,0),"")</f>
        <v/>
      </c>
      <c r="BB1816" s="72" t="str">
        <f aca="false">IF(BA1816&lt;&gt;"",VLOOKUP(BA1816,Selects!$B$4:$C$100,2,0),"")</f>
        <v/>
      </c>
      <c r="BG1816" s="75" t="str">
        <f aca="false">IF(LEN(BF1816)=11,"PF",IF(LEN(BF1816)=14,"PJ",""))</f>
        <v/>
      </c>
      <c r="BH1816" s="66"/>
      <c r="BI1816" s="58" t="str">
        <f aca="false">IF(BH1816&lt;&gt;"",VLOOKUP(BH1816,Selects!$G:$H,2,0),"")</f>
        <v/>
      </c>
      <c r="CB1816" s="72" t="str">
        <f aca="false">IF(AC1816&lt;&gt;"",VLOOKUP(AC1816,Selects!$B:$E,4,0),"")</f>
        <v/>
      </c>
    </row>
    <row r="1817" customFormat="false" ht="15" hidden="true" customHeight="false" outlineLevel="0" collapsed="false">
      <c r="E1817" s="60" t="str">
        <f aca="false">IF(LEN(D1817)=11,"PF",IF(LEN(D1817)=14,"PJ",""))</f>
        <v/>
      </c>
      <c r="I1817" s="62"/>
      <c r="J1817" s="63" t="str">
        <f aca="false">IF(I1817&lt;&gt;"",VLOOKUP(I1817,'Legal Nature'!$E$2:$G$84,3,0),"")</f>
        <v/>
      </c>
      <c r="AD1817" s="72" t="str">
        <f aca="false">IF(AC1817&lt;&gt;"",VLOOKUP(AC1817,Selects!$B$4:$C$100,2,0),"")</f>
        <v/>
      </c>
      <c r="AH1817" s="65"/>
      <c r="AJ1817" s="66"/>
      <c r="AM1817" s="68" t="str">
        <f aca="false">IF(LEFT(AL1817,1)="9","Celular",IF(AL1817="","","Fixo"))</f>
        <v/>
      </c>
      <c r="AN1817" s="58" t="str">
        <f aca="false">IF( AM1817&lt;&gt;"",VLOOKUP(AM1817,Selects!$M$4:$N$1000,2,0),"")</f>
        <v/>
      </c>
      <c r="BB1817" s="72" t="str">
        <f aca="false">IF(BA1817&lt;&gt;"",VLOOKUP(BA1817,Selects!$B$4:$C$100,2,0),"")</f>
        <v/>
      </c>
      <c r="BG1817" s="75" t="str">
        <f aca="false">IF(LEN(BF1817)=11,"PF",IF(LEN(BF1817)=14,"PJ",""))</f>
        <v/>
      </c>
      <c r="BH1817" s="66"/>
      <c r="BI1817" s="58" t="str">
        <f aca="false">IF(BH1817&lt;&gt;"",VLOOKUP(BH1817,Selects!$G:$H,2,0),"")</f>
        <v/>
      </c>
      <c r="CB1817" s="72" t="str">
        <f aca="false">IF(AC1817&lt;&gt;"",VLOOKUP(AC1817,Selects!$B:$E,4,0),"")</f>
        <v/>
      </c>
    </row>
    <row r="1818" customFormat="false" ht="15" hidden="true" customHeight="false" outlineLevel="0" collapsed="false">
      <c r="E1818" s="60" t="str">
        <f aca="false">IF(LEN(D1818)=11,"PF",IF(LEN(D1818)=14,"PJ",""))</f>
        <v/>
      </c>
      <c r="I1818" s="62"/>
      <c r="J1818" s="63" t="str">
        <f aca="false">IF(I1818&lt;&gt;"",VLOOKUP(I1818,'Legal Nature'!$E$2:$G$84,3,0),"")</f>
        <v/>
      </c>
      <c r="AD1818" s="72" t="str">
        <f aca="false">IF(AC1818&lt;&gt;"",VLOOKUP(AC1818,Selects!$B$4:$C$100,2,0),"")</f>
        <v/>
      </c>
      <c r="AH1818" s="65"/>
      <c r="AJ1818" s="66"/>
      <c r="AM1818" s="68" t="str">
        <f aca="false">IF(LEFT(AL1818,1)="9","Celular",IF(AL1818="","","Fixo"))</f>
        <v/>
      </c>
      <c r="AN1818" s="58" t="str">
        <f aca="false">IF( AM1818&lt;&gt;"",VLOOKUP(AM1818,Selects!$M$4:$N$1000,2,0),"")</f>
        <v/>
      </c>
      <c r="BB1818" s="72" t="str">
        <f aca="false">IF(BA1818&lt;&gt;"",VLOOKUP(BA1818,Selects!$B$4:$C$100,2,0),"")</f>
        <v/>
      </c>
      <c r="BG1818" s="75" t="str">
        <f aca="false">IF(LEN(BF1818)=11,"PF",IF(LEN(BF1818)=14,"PJ",""))</f>
        <v/>
      </c>
      <c r="BH1818" s="66"/>
      <c r="BI1818" s="58" t="str">
        <f aca="false">IF(BH1818&lt;&gt;"",VLOOKUP(BH1818,Selects!$G:$H,2,0),"")</f>
        <v/>
      </c>
      <c r="CB1818" s="72" t="str">
        <f aca="false">IF(AC1818&lt;&gt;"",VLOOKUP(AC1818,Selects!$B:$E,4,0),"")</f>
        <v/>
      </c>
    </row>
    <row r="1819" customFormat="false" ht="15" hidden="true" customHeight="false" outlineLevel="0" collapsed="false">
      <c r="E1819" s="60" t="str">
        <f aca="false">IF(LEN(D1819)=11,"PF",IF(LEN(D1819)=14,"PJ",""))</f>
        <v/>
      </c>
      <c r="I1819" s="62"/>
      <c r="J1819" s="63" t="str">
        <f aca="false">IF(I1819&lt;&gt;"",VLOOKUP(I1819,'Legal Nature'!$E$2:$G$84,3,0),"")</f>
        <v/>
      </c>
      <c r="AD1819" s="72" t="str">
        <f aca="false">IF(AC1819&lt;&gt;"",VLOOKUP(AC1819,Selects!$B$4:$C$100,2,0),"")</f>
        <v/>
      </c>
      <c r="AH1819" s="65"/>
      <c r="AJ1819" s="66"/>
      <c r="AM1819" s="68" t="str">
        <f aca="false">IF(LEFT(AL1819,1)="9","Celular",IF(AL1819="","","Fixo"))</f>
        <v/>
      </c>
      <c r="AN1819" s="58" t="str">
        <f aca="false">IF( AM1819&lt;&gt;"",VLOOKUP(AM1819,Selects!$M$4:$N$1000,2,0),"")</f>
        <v/>
      </c>
      <c r="BB1819" s="72" t="str">
        <f aca="false">IF(BA1819&lt;&gt;"",VLOOKUP(BA1819,Selects!$B$4:$C$100,2,0),"")</f>
        <v/>
      </c>
      <c r="BG1819" s="75" t="str">
        <f aca="false">IF(LEN(BF1819)=11,"PF",IF(LEN(BF1819)=14,"PJ",""))</f>
        <v/>
      </c>
      <c r="BH1819" s="66"/>
      <c r="BI1819" s="58" t="str">
        <f aca="false">IF(BH1819&lt;&gt;"",VLOOKUP(BH1819,Selects!$G:$H,2,0),"")</f>
        <v/>
      </c>
      <c r="CB1819" s="72" t="str">
        <f aca="false">IF(AC1819&lt;&gt;"",VLOOKUP(AC1819,Selects!$B:$E,4,0),"")</f>
        <v/>
      </c>
    </row>
    <row r="1820" customFormat="false" ht="15" hidden="true" customHeight="false" outlineLevel="0" collapsed="false">
      <c r="E1820" s="60" t="str">
        <f aca="false">IF(LEN(D1820)=11,"PF",IF(LEN(D1820)=14,"PJ",""))</f>
        <v/>
      </c>
      <c r="I1820" s="62"/>
      <c r="J1820" s="63" t="str">
        <f aca="false">IF(I1820&lt;&gt;"",VLOOKUP(I1820,'Legal Nature'!$E$2:$G$84,3,0),"")</f>
        <v/>
      </c>
      <c r="AD1820" s="72" t="str">
        <f aca="false">IF(AC1820&lt;&gt;"",VLOOKUP(AC1820,Selects!$B$4:$C$100,2,0),"")</f>
        <v/>
      </c>
      <c r="AH1820" s="65"/>
      <c r="AJ1820" s="66"/>
      <c r="AM1820" s="68" t="str">
        <f aca="false">IF(LEFT(AL1820,1)="9","Celular",IF(AL1820="","","Fixo"))</f>
        <v/>
      </c>
      <c r="AN1820" s="58" t="str">
        <f aca="false">IF( AM1820&lt;&gt;"",VLOOKUP(AM1820,Selects!$M$4:$N$1000,2,0),"")</f>
        <v/>
      </c>
      <c r="BB1820" s="72" t="str">
        <f aca="false">IF(BA1820&lt;&gt;"",VLOOKUP(BA1820,Selects!$B$4:$C$100,2,0),"")</f>
        <v/>
      </c>
      <c r="BG1820" s="75" t="str">
        <f aca="false">IF(LEN(BF1820)=11,"PF",IF(LEN(BF1820)=14,"PJ",""))</f>
        <v/>
      </c>
      <c r="BH1820" s="66"/>
      <c r="BI1820" s="58" t="str">
        <f aca="false">IF(BH1820&lt;&gt;"",VLOOKUP(BH1820,Selects!$G:$H,2,0),"")</f>
        <v/>
      </c>
      <c r="CB1820" s="72" t="str">
        <f aca="false">IF(AC1820&lt;&gt;"",VLOOKUP(AC1820,Selects!$B:$E,4,0),"")</f>
        <v/>
      </c>
    </row>
    <row r="1821" customFormat="false" ht="15" hidden="true" customHeight="false" outlineLevel="0" collapsed="false">
      <c r="E1821" s="60" t="str">
        <f aca="false">IF(LEN(D1821)=11,"PF",IF(LEN(D1821)=14,"PJ",""))</f>
        <v/>
      </c>
      <c r="I1821" s="62"/>
      <c r="J1821" s="63" t="str">
        <f aca="false">IF(I1821&lt;&gt;"",VLOOKUP(I1821,'Legal Nature'!$E$2:$G$84,3,0),"")</f>
        <v/>
      </c>
      <c r="AD1821" s="72" t="str">
        <f aca="false">IF(AC1821&lt;&gt;"",VLOOKUP(AC1821,Selects!$B$4:$C$100,2,0),"")</f>
        <v/>
      </c>
      <c r="AH1821" s="65"/>
      <c r="AJ1821" s="66"/>
      <c r="AM1821" s="68" t="str">
        <f aca="false">IF(LEFT(AL1821,1)="9","Celular",IF(AL1821="","","Fixo"))</f>
        <v/>
      </c>
      <c r="AN1821" s="58" t="str">
        <f aca="false">IF( AM1821&lt;&gt;"",VLOOKUP(AM1821,Selects!$M$4:$N$1000,2,0),"")</f>
        <v/>
      </c>
      <c r="BB1821" s="72" t="str">
        <f aca="false">IF(BA1821&lt;&gt;"",VLOOKUP(BA1821,Selects!$B$4:$C$100,2,0),"")</f>
        <v/>
      </c>
      <c r="BG1821" s="75" t="str">
        <f aca="false">IF(LEN(BF1821)=11,"PF",IF(LEN(BF1821)=14,"PJ",""))</f>
        <v/>
      </c>
      <c r="BH1821" s="66"/>
      <c r="BI1821" s="58" t="str">
        <f aca="false">IF(BH1821&lt;&gt;"",VLOOKUP(BH1821,Selects!$G:$H,2,0),"")</f>
        <v/>
      </c>
      <c r="CB1821" s="72" t="str">
        <f aca="false">IF(AC1821&lt;&gt;"",VLOOKUP(AC1821,Selects!$B:$E,4,0),"")</f>
        <v/>
      </c>
    </row>
    <row r="1822" customFormat="false" ht="15" hidden="true" customHeight="false" outlineLevel="0" collapsed="false">
      <c r="E1822" s="60" t="str">
        <f aca="false">IF(LEN(D1822)=11,"PF",IF(LEN(D1822)=14,"PJ",""))</f>
        <v/>
      </c>
      <c r="I1822" s="62"/>
      <c r="J1822" s="63" t="str">
        <f aca="false">IF(I1822&lt;&gt;"",VLOOKUP(I1822,'Legal Nature'!$E$2:$G$84,3,0),"")</f>
        <v/>
      </c>
      <c r="AD1822" s="72" t="str">
        <f aca="false">IF(AC1822&lt;&gt;"",VLOOKUP(AC1822,Selects!$B$4:$C$100,2,0),"")</f>
        <v/>
      </c>
      <c r="AH1822" s="65"/>
      <c r="AJ1822" s="66"/>
      <c r="AM1822" s="68" t="str">
        <f aca="false">IF(LEFT(AL1822,1)="9","Celular",IF(AL1822="","","Fixo"))</f>
        <v/>
      </c>
      <c r="AN1822" s="58" t="str">
        <f aca="false">IF( AM1822&lt;&gt;"",VLOOKUP(AM1822,Selects!$M$4:$N$1000,2,0),"")</f>
        <v/>
      </c>
      <c r="BB1822" s="72" t="str">
        <f aca="false">IF(BA1822&lt;&gt;"",VLOOKUP(BA1822,Selects!$B$4:$C$100,2,0),"")</f>
        <v/>
      </c>
      <c r="BG1822" s="75" t="str">
        <f aca="false">IF(LEN(BF1822)=11,"PF",IF(LEN(BF1822)=14,"PJ",""))</f>
        <v/>
      </c>
      <c r="BH1822" s="66"/>
      <c r="BI1822" s="58" t="str">
        <f aca="false">IF(BH1822&lt;&gt;"",VLOOKUP(BH1822,Selects!$G:$H,2,0),"")</f>
        <v/>
      </c>
      <c r="CB1822" s="72" t="str">
        <f aca="false">IF(AC1822&lt;&gt;"",VLOOKUP(AC1822,Selects!$B:$E,4,0),"")</f>
        <v/>
      </c>
    </row>
    <row r="1823" customFormat="false" ht="15" hidden="true" customHeight="false" outlineLevel="0" collapsed="false">
      <c r="E1823" s="60" t="str">
        <f aca="false">IF(LEN(D1823)=11,"PF",IF(LEN(D1823)=14,"PJ",""))</f>
        <v/>
      </c>
      <c r="I1823" s="62"/>
      <c r="J1823" s="63" t="str">
        <f aca="false">IF(I1823&lt;&gt;"",VLOOKUP(I1823,'Legal Nature'!$E$2:$G$84,3,0),"")</f>
        <v/>
      </c>
      <c r="AD1823" s="72" t="str">
        <f aca="false">IF(AC1823&lt;&gt;"",VLOOKUP(AC1823,Selects!$B$4:$C$100,2,0),"")</f>
        <v/>
      </c>
      <c r="AH1823" s="65"/>
      <c r="AJ1823" s="66"/>
      <c r="AM1823" s="68" t="str">
        <f aca="false">IF(LEFT(AL1823,1)="9","Celular",IF(AL1823="","","Fixo"))</f>
        <v/>
      </c>
      <c r="AN1823" s="58" t="str">
        <f aca="false">IF( AM1823&lt;&gt;"",VLOOKUP(AM1823,Selects!$M$4:$N$1000,2,0),"")</f>
        <v/>
      </c>
      <c r="BB1823" s="72" t="str">
        <f aca="false">IF(BA1823&lt;&gt;"",VLOOKUP(BA1823,Selects!$B$4:$C$100,2,0),"")</f>
        <v/>
      </c>
      <c r="BG1823" s="75" t="str">
        <f aca="false">IF(LEN(BF1823)=11,"PF",IF(LEN(BF1823)=14,"PJ",""))</f>
        <v/>
      </c>
      <c r="BH1823" s="66"/>
      <c r="BI1823" s="58" t="str">
        <f aca="false">IF(BH1823&lt;&gt;"",VLOOKUP(BH1823,Selects!$G:$H,2,0),"")</f>
        <v/>
      </c>
      <c r="CB1823" s="72" t="str">
        <f aca="false">IF(AC1823&lt;&gt;"",VLOOKUP(AC1823,Selects!$B:$E,4,0),"")</f>
        <v/>
      </c>
    </row>
    <row r="1824" customFormat="false" ht="15" hidden="true" customHeight="false" outlineLevel="0" collapsed="false">
      <c r="E1824" s="60" t="str">
        <f aca="false">IF(LEN(D1824)=11,"PF",IF(LEN(D1824)=14,"PJ",""))</f>
        <v/>
      </c>
      <c r="I1824" s="62"/>
      <c r="J1824" s="63" t="str">
        <f aca="false">IF(I1824&lt;&gt;"",VLOOKUP(I1824,'Legal Nature'!$E$2:$G$84,3,0),"")</f>
        <v/>
      </c>
      <c r="AD1824" s="72" t="str">
        <f aca="false">IF(AC1824&lt;&gt;"",VLOOKUP(AC1824,Selects!$B$4:$C$100,2,0),"")</f>
        <v/>
      </c>
      <c r="AH1824" s="65"/>
      <c r="AJ1824" s="66"/>
      <c r="AM1824" s="68" t="str">
        <f aca="false">IF(LEFT(AL1824,1)="9","Celular",IF(AL1824="","","Fixo"))</f>
        <v/>
      </c>
      <c r="AN1824" s="58" t="str">
        <f aca="false">IF( AM1824&lt;&gt;"",VLOOKUP(AM1824,Selects!$M$4:$N$1000,2,0),"")</f>
        <v/>
      </c>
      <c r="BB1824" s="72" t="str">
        <f aca="false">IF(BA1824&lt;&gt;"",VLOOKUP(BA1824,Selects!$B$4:$C$100,2,0),"")</f>
        <v/>
      </c>
      <c r="BG1824" s="75" t="str">
        <f aca="false">IF(LEN(BF1824)=11,"PF",IF(LEN(BF1824)=14,"PJ",""))</f>
        <v/>
      </c>
      <c r="BH1824" s="66"/>
      <c r="BI1824" s="58" t="str">
        <f aca="false">IF(BH1824&lt;&gt;"",VLOOKUP(BH1824,Selects!$G:$H,2,0),"")</f>
        <v/>
      </c>
      <c r="CB1824" s="72" t="str">
        <f aca="false">IF(AC1824&lt;&gt;"",VLOOKUP(AC1824,Selects!$B:$E,4,0),"")</f>
        <v/>
      </c>
    </row>
    <row r="1825" customFormat="false" ht="15" hidden="true" customHeight="false" outlineLevel="0" collapsed="false">
      <c r="E1825" s="60" t="str">
        <f aca="false">IF(LEN(D1825)=11,"PF",IF(LEN(D1825)=14,"PJ",""))</f>
        <v/>
      </c>
      <c r="I1825" s="62"/>
      <c r="J1825" s="63" t="str">
        <f aca="false">IF(I1825&lt;&gt;"",VLOOKUP(I1825,'Legal Nature'!$E$2:$G$84,3,0),"")</f>
        <v/>
      </c>
      <c r="AD1825" s="72" t="str">
        <f aca="false">IF(AC1825&lt;&gt;"",VLOOKUP(AC1825,Selects!$B$4:$C$100,2,0),"")</f>
        <v/>
      </c>
      <c r="AH1825" s="65"/>
      <c r="AJ1825" s="66"/>
      <c r="AM1825" s="68" t="str">
        <f aca="false">IF(LEFT(AL1825,1)="9","Celular",IF(AL1825="","","Fixo"))</f>
        <v/>
      </c>
      <c r="AN1825" s="58" t="str">
        <f aca="false">IF( AM1825&lt;&gt;"",VLOOKUP(AM1825,Selects!$M$4:$N$1000,2,0),"")</f>
        <v/>
      </c>
      <c r="BB1825" s="72" t="str">
        <f aca="false">IF(BA1825&lt;&gt;"",VLOOKUP(BA1825,Selects!$B$4:$C$100,2,0),"")</f>
        <v/>
      </c>
      <c r="BG1825" s="75" t="str">
        <f aca="false">IF(LEN(BF1825)=11,"PF",IF(LEN(BF1825)=14,"PJ",""))</f>
        <v/>
      </c>
      <c r="BH1825" s="66"/>
      <c r="BI1825" s="58" t="str">
        <f aca="false">IF(BH1825&lt;&gt;"",VLOOKUP(BH1825,Selects!$G:$H,2,0),"")</f>
        <v/>
      </c>
      <c r="CB1825" s="72" t="str">
        <f aca="false">IF(AC1825&lt;&gt;"",VLOOKUP(AC1825,Selects!$B:$E,4,0),"")</f>
        <v/>
      </c>
    </row>
    <row r="1826" customFormat="false" ht="15" hidden="true" customHeight="false" outlineLevel="0" collapsed="false">
      <c r="E1826" s="60" t="str">
        <f aca="false">IF(LEN(D1826)=11,"PF",IF(LEN(D1826)=14,"PJ",""))</f>
        <v/>
      </c>
      <c r="I1826" s="62"/>
      <c r="J1826" s="63" t="str">
        <f aca="false">IF(I1826&lt;&gt;"",VLOOKUP(I1826,'Legal Nature'!$E$2:$G$84,3,0),"")</f>
        <v/>
      </c>
      <c r="AD1826" s="72" t="str">
        <f aca="false">IF(AC1826&lt;&gt;"",VLOOKUP(AC1826,Selects!$B$4:$C$100,2,0),"")</f>
        <v/>
      </c>
      <c r="AH1826" s="65"/>
      <c r="AJ1826" s="66"/>
      <c r="AM1826" s="68" t="str">
        <f aca="false">IF(LEFT(AL1826,1)="9","Celular",IF(AL1826="","","Fixo"))</f>
        <v/>
      </c>
      <c r="AN1826" s="58" t="str">
        <f aca="false">IF( AM1826&lt;&gt;"",VLOOKUP(AM1826,Selects!$M$4:$N$1000,2,0),"")</f>
        <v/>
      </c>
      <c r="BB1826" s="72" t="str">
        <f aca="false">IF(BA1826&lt;&gt;"",VLOOKUP(BA1826,Selects!$B$4:$C$100,2,0),"")</f>
        <v/>
      </c>
      <c r="BG1826" s="75" t="str">
        <f aca="false">IF(LEN(BF1826)=11,"PF",IF(LEN(BF1826)=14,"PJ",""))</f>
        <v/>
      </c>
      <c r="BH1826" s="66"/>
      <c r="BI1826" s="58" t="str">
        <f aca="false">IF(BH1826&lt;&gt;"",VLOOKUP(BH1826,Selects!$G:$H,2,0),"")</f>
        <v/>
      </c>
      <c r="CB1826" s="72" t="str">
        <f aca="false">IF(AC1826&lt;&gt;"",VLOOKUP(AC1826,Selects!$B:$E,4,0),"")</f>
        <v/>
      </c>
    </row>
    <row r="1827" customFormat="false" ht="15" hidden="true" customHeight="false" outlineLevel="0" collapsed="false">
      <c r="E1827" s="60" t="str">
        <f aca="false">IF(LEN(D1827)=11,"PF",IF(LEN(D1827)=14,"PJ",""))</f>
        <v/>
      </c>
      <c r="I1827" s="62"/>
      <c r="J1827" s="63" t="str">
        <f aca="false">IF(I1827&lt;&gt;"",VLOOKUP(I1827,'Legal Nature'!$E$2:$G$84,3,0),"")</f>
        <v/>
      </c>
      <c r="AD1827" s="72" t="str">
        <f aca="false">IF(AC1827&lt;&gt;"",VLOOKUP(AC1827,Selects!$B$4:$C$100,2,0),"")</f>
        <v/>
      </c>
      <c r="AH1827" s="65"/>
      <c r="AJ1827" s="66"/>
      <c r="AM1827" s="68" t="str">
        <f aca="false">IF(LEFT(AL1827,1)="9","Celular",IF(AL1827="","","Fixo"))</f>
        <v/>
      </c>
      <c r="AN1827" s="58" t="str">
        <f aca="false">IF( AM1827&lt;&gt;"",VLOOKUP(AM1827,Selects!$M$4:$N$1000,2,0),"")</f>
        <v/>
      </c>
      <c r="BB1827" s="72" t="str">
        <f aca="false">IF(BA1827&lt;&gt;"",VLOOKUP(BA1827,Selects!$B$4:$C$100,2,0),"")</f>
        <v/>
      </c>
      <c r="BG1827" s="75" t="str">
        <f aca="false">IF(LEN(BF1827)=11,"PF",IF(LEN(BF1827)=14,"PJ",""))</f>
        <v/>
      </c>
      <c r="BH1827" s="66"/>
      <c r="BI1827" s="58" t="str">
        <f aca="false">IF(BH1827&lt;&gt;"",VLOOKUP(BH1827,Selects!$G:$H,2,0),"")</f>
        <v/>
      </c>
      <c r="CB1827" s="72" t="str">
        <f aca="false">IF(AC1827&lt;&gt;"",VLOOKUP(AC1827,Selects!$B:$E,4,0),"")</f>
        <v/>
      </c>
    </row>
    <row r="1828" customFormat="false" ht="15" hidden="true" customHeight="false" outlineLevel="0" collapsed="false">
      <c r="E1828" s="60" t="str">
        <f aca="false">IF(LEN(D1828)=11,"PF",IF(LEN(D1828)=14,"PJ",""))</f>
        <v/>
      </c>
      <c r="I1828" s="62"/>
      <c r="J1828" s="63" t="str">
        <f aca="false">IF(I1828&lt;&gt;"",VLOOKUP(I1828,'Legal Nature'!$E$2:$G$84,3,0),"")</f>
        <v/>
      </c>
      <c r="AD1828" s="72" t="str">
        <f aca="false">IF(AC1828&lt;&gt;"",VLOOKUP(AC1828,Selects!$B$4:$C$100,2,0),"")</f>
        <v/>
      </c>
      <c r="AH1828" s="65"/>
      <c r="AJ1828" s="66"/>
      <c r="AM1828" s="68" t="str">
        <f aca="false">IF(LEFT(AL1828,1)="9","Celular",IF(AL1828="","","Fixo"))</f>
        <v/>
      </c>
      <c r="AN1828" s="58" t="str">
        <f aca="false">IF( AM1828&lt;&gt;"",VLOOKUP(AM1828,Selects!$M$4:$N$1000,2,0),"")</f>
        <v/>
      </c>
      <c r="BB1828" s="72" t="str">
        <f aca="false">IF(BA1828&lt;&gt;"",VLOOKUP(BA1828,Selects!$B$4:$C$100,2,0),"")</f>
        <v/>
      </c>
      <c r="BG1828" s="75" t="str">
        <f aca="false">IF(LEN(BF1828)=11,"PF",IF(LEN(BF1828)=14,"PJ",""))</f>
        <v/>
      </c>
      <c r="BH1828" s="66"/>
      <c r="BI1828" s="58" t="str">
        <f aca="false">IF(BH1828&lt;&gt;"",VLOOKUP(BH1828,Selects!$G:$H,2,0),"")</f>
        <v/>
      </c>
      <c r="CB1828" s="72" t="str">
        <f aca="false">IF(AC1828&lt;&gt;"",VLOOKUP(AC1828,Selects!$B:$E,4,0),"")</f>
        <v/>
      </c>
    </row>
    <row r="1829" customFormat="false" ht="15" hidden="true" customHeight="false" outlineLevel="0" collapsed="false">
      <c r="E1829" s="60" t="str">
        <f aca="false">IF(LEN(D1829)=11,"PF",IF(LEN(D1829)=14,"PJ",""))</f>
        <v/>
      </c>
      <c r="I1829" s="62"/>
      <c r="J1829" s="63" t="str">
        <f aca="false">IF(I1829&lt;&gt;"",VLOOKUP(I1829,'Legal Nature'!$E$2:$G$84,3,0),"")</f>
        <v/>
      </c>
      <c r="AD1829" s="72" t="str">
        <f aca="false">IF(AC1829&lt;&gt;"",VLOOKUP(AC1829,Selects!$B$4:$C$100,2,0),"")</f>
        <v/>
      </c>
      <c r="AH1829" s="65"/>
      <c r="AJ1829" s="66"/>
      <c r="AM1829" s="68" t="str">
        <f aca="false">IF(LEFT(AL1829,1)="9","Celular",IF(AL1829="","","Fixo"))</f>
        <v/>
      </c>
      <c r="AN1829" s="58" t="str">
        <f aca="false">IF( AM1829&lt;&gt;"",VLOOKUP(AM1829,Selects!$M$4:$N$1000,2,0),"")</f>
        <v/>
      </c>
      <c r="BB1829" s="72" t="str">
        <f aca="false">IF(BA1829&lt;&gt;"",VLOOKUP(BA1829,Selects!$B$4:$C$100,2,0),"")</f>
        <v/>
      </c>
      <c r="BG1829" s="75" t="str">
        <f aca="false">IF(LEN(BF1829)=11,"PF",IF(LEN(BF1829)=14,"PJ",""))</f>
        <v/>
      </c>
      <c r="BH1829" s="66"/>
      <c r="BI1829" s="58" t="str">
        <f aca="false">IF(BH1829&lt;&gt;"",VLOOKUP(BH1829,Selects!$G:$H,2,0),"")</f>
        <v/>
      </c>
      <c r="CB1829" s="72" t="str">
        <f aca="false">IF(AC1829&lt;&gt;"",VLOOKUP(AC1829,Selects!$B:$E,4,0),"")</f>
        <v/>
      </c>
    </row>
    <row r="1830" customFormat="false" ht="15" hidden="true" customHeight="false" outlineLevel="0" collapsed="false">
      <c r="E1830" s="60" t="str">
        <f aca="false">IF(LEN(D1830)=11,"PF",IF(LEN(D1830)=14,"PJ",""))</f>
        <v/>
      </c>
      <c r="I1830" s="62"/>
      <c r="J1830" s="63" t="str">
        <f aca="false">IF(I1830&lt;&gt;"",VLOOKUP(I1830,'Legal Nature'!$E$2:$G$84,3,0),"")</f>
        <v/>
      </c>
      <c r="AD1830" s="72" t="str">
        <f aca="false">IF(AC1830&lt;&gt;"",VLOOKUP(AC1830,Selects!$B$4:$C$100,2,0),"")</f>
        <v/>
      </c>
      <c r="AH1830" s="65"/>
      <c r="AJ1830" s="66"/>
      <c r="AM1830" s="68" t="str">
        <f aca="false">IF(LEFT(AL1830,1)="9","Celular",IF(AL1830="","","Fixo"))</f>
        <v/>
      </c>
      <c r="AN1830" s="58" t="str">
        <f aca="false">IF( AM1830&lt;&gt;"",VLOOKUP(AM1830,Selects!$M$4:$N$1000,2,0),"")</f>
        <v/>
      </c>
      <c r="BB1830" s="72" t="str">
        <f aca="false">IF(BA1830&lt;&gt;"",VLOOKUP(BA1830,Selects!$B$4:$C$100,2,0),"")</f>
        <v/>
      </c>
      <c r="BG1830" s="75" t="str">
        <f aca="false">IF(LEN(BF1830)=11,"PF",IF(LEN(BF1830)=14,"PJ",""))</f>
        <v/>
      </c>
      <c r="BH1830" s="66"/>
      <c r="BI1830" s="58" t="str">
        <f aca="false">IF(BH1830&lt;&gt;"",VLOOKUP(BH1830,Selects!$G:$H,2,0),"")</f>
        <v/>
      </c>
      <c r="CB1830" s="72" t="str">
        <f aca="false">IF(AC1830&lt;&gt;"",VLOOKUP(AC1830,Selects!$B:$E,4,0),"")</f>
        <v/>
      </c>
    </row>
    <row r="1831" customFormat="false" ht="15" hidden="true" customHeight="false" outlineLevel="0" collapsed="false">
      <c r="E1831" s="60" t="str">
        <f aca="false">IF(LEN(D1831)=11,"PF",IF(LEN(D1831)=14,"PJ",""))</f>
        <v/>
      </c>
      <c r="I1831" s="62"/>
      <c r="J1831" s="63" t="str">
        <f aca="false">IF(I1831&lt;&gt;"",VLOOKUP(I1831,'Legal Nature'!$E$2:$G$84,3,0),"")</f>
        <v/>
      </c>
      <c r="AD1831" s="72" t="str">
        <f aca="false">IF(AC1831&lt;&gt;"",VLOOKUP(AC1831,Selects!$B$4:$C$100,2,0),"")</f>
        <v/>
      </c>
      <c r="AH1831" s="65"/>
      <c r="AJ1831" s="66"/>
      <c r="AM1831" s="68" t="str">
        <f aca="false">IF(LEFT(AL1831,1)="9","Celular",IF(AL1831="","","Fixo"))</f>
        <v/>
      </c>
      <c r="AN1831" s="58" t="str">
        <f aca="false">IF( AM1831&lt;&gt;"",VLOOKUP(AM1831,Selects!$M$4:$N$1000,2,0),"")</f>
        <v/>
      </c>
      <c r="BB1831" s="72" t="str">
        <f aca="false">IF(BA1831&lt;&gt;"",VLOOKUP(BA1831,Selects!$B$4:$C$100,2,0),"")</f>
        <v/>
      </c>
      <c r="BG1831" s="75" t="str">
        <f aca="false">IF(LEN(BF1831)=11,"PF",IF(LEN(BF1831)=14,"PJ",""))</f>
        <v/>
      </c>
      <c r="BH1831" s="66"/>
      <c r="BI1831" s="58" t="str">
        <f aca="false">IF(BH1831&lt;&gt;"",VLOOKUP(BH1831,Selects!$G:$H,2,0),"")</f>
        <v/>
      </c>
      <c r="CB1831" s="72" t="str">
        <f aca="false">IF(AC1831&lt;&gt;"",VLOOKUP(AC1831,Selects!$B:$E,4,0),"")</f>
        <v/>
      </c>
    </row>
    <row r="1832" customFormat="false" ht="15" hidden="true" customHeight="false" outlineLevel="0" collapsed="false">
      <c r="E1832" s="60" t="str">
        <f aca="false">IF(LEN(D1832)=11,"PF",IF(LEN(D1832)=14,"PJ",""))</f>
        <v/>
      </c>
      <c r="I1832" s="62"/>
      <c r="J1832" s="63" t="str">
        <f aca="false">IF(I1832&lt;&gt;"",VLOOKUP(I1832,'Legal Nature'!$E$2:$G$84,3,0),"")</f>
        <v/>
      </c>
      <c r="AD1832" s="72" t="str">
        <f aca="false">IF(AC1832&lt;&gt;"",VLOOKUP(AC1832,Selects!$B$4:$C$100,2,0),"")</f>
        <v/>
      </c>
      <c r="AH1832" s="65"/>
      <c r="AJ1832" s="66"/>
      <c r="AM1832" s="68" t="str">
        <f aca="false">IF(LEFT(AL1832,1)="9","Celular",IF(AL1832="","","Fixo"))</f>
        <v/>
      </c>
      <c r="AN1832" s="58" t="str">
        <f aca="false">IF( AM1832&lt;&gt;"",VLOOKUP(AM1832,Selects!$M$4:$N$1000,2,0),"")</f>
        <v/>
      </c>
      <c r="BB1832" s="72" t="str">
        <f aca="false">IF(BA1832&lt;&gt;"",VLOOKUP(BA1832,Selects!$B$4:$C$100,2,0),"")</f>
        <v/>
      </c>
      <c r="BG1832" s="75" t="str">
        <f aca="false">IF(LEN(BF1832)=11,"PF",IF(LEN(BF1832)=14,"PJ",""))</f>
        <v/>
      </c>
      <c r="BH1832" s="66"/>
      <c r="BI1832" s="58" t="str">
        <f aca="false">IF(BH1832&lt;&gt;"",VLOOKUP(BH1832,Selects!$G:$H,2,0),"")</f>
        <v/>
      </c>
      <c r="CB1832" s="72" t="str">
        <f aca="false">IF(AC1832&lt;&gt;"",VLOOKUP(AC1832,Selects!$B:$E,4,0),"")</f>
        <v/>
      </c>
    </row>
    <row r="1833" customFormat="false" ht="15" hidden="true" customHeight="false" outlineLevel="0" collapsed="false">
      <c r="E1833" s="60" t="str">
        <f aca="false">IF(LEN(D1833)=11,"PF",IF(LEN(D1833)=14,"PJ",""))</f>
        <v/>
      </c>
      <c r="I1833" s="62"/>
      <c r="J1833" s="63" t="str">
        <f aca="false">IF(I1833&lt;&gt;"",VLOOKUP(I1833,'Legal Nature'!$E$2:$G$84,3,0),"")</f>
        <v/>
      </c>
      <c r="AD1833" s="72" t="str">
        <f aca="false">IF(AC1833&lt;&gt;"",VLOOKUP(AC1833,Selects!$B$4:$C$100,2,0),"")</f>
        <v/>
      </c>
      <c r="AH1833" s="65"/>
      <c r="AJ1833" s="66"/>
      <c r="AM1833" s="68" t="str">
        <f aca="false">IF(LEFT(AL1833,1)="9","Celular",IF(AL1833="","","Fixo"))</f>
        <v/>
      </c>
      <c r="AN1833" s="58" t="str">
        <f aca="false">IF( AM1833&lt;&gt;"",VLOOKUP(AM1833,Selects!$M$4:$N$1000,2,0),"")</f>
        <v/>
      </c>
      <c r="BB1833" s="72" t="str">
        <f aca="false">IF(BA1833&lt;&gt;"",VLOOKUP(BA1833,Selects!$B$4:$C$100,2,0),"")</f>
        <v/>
      </c>
      <c r="BG1833" s="75" t="str">
        <f aca="false">IF(LEN(BF1833)=11,"PF",IF(LEN(BF1833)=14,"PJ",""))</f>
        <v/>
      </c>
      <c r="BH1833" s="66"/>
      <c r="BI1833" s="58" t="str">
        <f aca="false">IF(BH1833&lt;&gt;"",VLOOKUP(BH1833,Selects!$G:$H,2,0),"")</f>
        <v/>
      </c>
      <c r="CB1833" s="72" t="str">
        <f aca="false">IF(AC1833&lt;&gt;"",VLOOKUP(AC1833,Selects!$B:$E,4,0),"")</f>
        <v/>
      </c>
    </row>
    <row r="1834" customFormat="false" ht="15" hidden="true" customHeight="false" outlineLevel="0" collapsed="false">
      <c r="E1834" s="60" t="str">
        <f aca="false">IF(LEN(D1834)=11,"PF",IF(LEN(D1834)=14,"PJ",""))</f>
        <v/>
      </c>
      <c r="I1834" s="62"/>
      <c r="J1834" s="63" t="str">
        <f aca="false">IF(I1834&lt;&gt;"",VLOOKUP(I1834,'Legal Nature'!$E$2:$G$84,3,0),"")</f>
        <v/>
      </c>
      <c r="AD1834" s="72" t="str">
        <f aca="false">IF(AC1834&lt;&gt;"",VLOOKUP(AC1834,Selects!$B$4:$C$100,2,0),"")</f>
        <v/>
      </c>
      <c r="AH1834" s="65"/>
      <c r="AJ1834" s="66"/>
      <c r="AM1834" s="68" t="str">
        <f aca="false">IF(LEFT(AL1834,1)="9","Celular",IF(AL1834="","","Fixo"))</f>
        <v/>
      </c>
      <c r="AN1834" s="58" t="str">
        <f aca="false">IF( AM1834&lt;&gt;"",VLOOKUP(AM1834,Selects!$M$4:$N$1000,2,0),"")</f>
        <v/>
      </c>
      <c r="BB1834" s="72" t="str">
        <f aca="false">IF(BA1834&lt;&gt;"",VLOOKUP(BA1834,Selects!$B$4:$C$100,2,0),"")</f>
        <v/>
      </c>
      <c r="BG1834" s="75" t="str">
        <f aca="false">IF(LEN(BF1834)=11,"PF",IF(LEN(BF1834)=14,"PJ",""))</f>
        <v/>
      </c>
      <c r="BH1834" s="66"/>
      <c r="BI1834" s="58" t="str">
        <f aca="false">IF(BH1834&lt;&gt;"",VLOOKUP(BH1834,Selects!$G:$H,2,0),"")</f>
        <v/>
      </c>
      <c r="CB1834" s="72" t="str">
        <f aca="false">IF(AC1834&lt;&gt;"",VLOOKUP(AC1834,Selects!$B:$E,4,0),"")</f>
        <v/>
      </c>
    </row>
    <row r="1835" customFormat="false" ht="15" hidden="true" customHeight="false" outlineLevel="0" collapsed="false">
      <c r="E1835" s="60" t="str">
        <f aca="false">IF(LEN(D1835)=11,"PF",IF(LEN(D1835)=14,"PJ",""))</f>
        <v/>
      </c>
      <c r="I1835" s="62"/>
      <c r="J1835" s="63" t="str">
        <f aca="false">IF(I1835&lt;&gt;"",VLOOKUP(I1835,'Legal Nature'!$E$2:$G$84,3,0),"")</f>
        <v/>
      </c>
      <c r="AD1835" s="72" t="str">
        <f aca="false">IF(AC1835&lt;&gt;"",VLOOKUP(AC1835,Selects!$B$4:$C$100,2,0),"")</f>
        <v/>
      </c>
      <c r="AH1835" s="65"/>
      <c r="AJ1835" s="66"/>
      <c r="AM1835" s="68" t="str">
        <f aca="false">IF(LEFT(AL1835,1)="9","Celular",IF(AL1835="","","Fixo"))</f>
        <v/>
      </c>
      <c r="AN1835" s="58" t="str">
        <f aca="false">IF( AM1835&lt;&gt;"",VLOOKUP(AM1835,Selects!$M$4:$N$1000,2,0),"")</f>
        <v/>
      </c>
      <c r="BB1835" s="72" t="str">
        <f aca="false">IF(BA1835&lt;&gt;"",VLOOKUP(BA1835,Selects!$B$4:$C$100,2,0),"")</f>
        <v/>
      </c>
      <c r="BG1835" s="75" t="str">
        <f aca="false">IF(LEN(BF1835)=11,"PF",IF(LEN(BF1835)=14,"PJ",""))</f>
        <v/>
      </c>
      <c r="BH1835" s="66"/>
      <c r="BI1835" s="58" t="str">
        <f aca="false">IF(BH1835&lt;&gt;"",VLOOKUP(BH1835,Selects!$G:$H,2,0),"")</f>
        <v/>
      </c>
      <c r="CB1835" s="72" t="str">
        <f aca="false">IF(AC1835&lt;&gt;"",VLOOKUP(AC1835,Selects!$B:$E,4,0),"")</f>
        <v/>
      </c>
    </row>
    <row r="1836" customFormat="false" ht="15" hidden="true" customHeight="false" outlineLevel="0" collapsed="false">
      <c r="E1836" s="60" t="str">
        <f aca="false">IF(LEN(D1836)=11,"PF",IF(LEN(D1836)=14,"PJ",""))</f>
        <v/>
      </c>
      <c r="I1836" s="62"/>
      <c r="J1836" s="63" t="str">
        <f aca="false">IF(I1836&lt;&gt;"",VLOOKUP(I1836,'Legal Nature'!$E$2:$G$84,3,0),"")</f>
        <v/>
      </c>
      <c r="AD1836" s="72" t="str">
        <f aca="false">IF(AC1836&lt;&gt;"",VLOOKUP(AC1836,Selects!$B$4:$C$100,2,0),"")</f>
        <v/>
      </c>
      <c r="AH1836" s="65"/>
      <c r="AJ1836" s="66"/>
      <c r="AM1836" s="68" t="str">
        <f aca="false">IF(LEFT(AL1836,1)="9","Celular",IF(AL1836="","","Fixo"))</f>
        <v/>
      </c>
      <c r="AN1836" s="58" t="str">
        <f aca="false">IF( AM1836&lt;&gt;"",VLOOKUP(AM1836,Selects!$M$4:$N$1000,2,0),"")</f>
        <v/>
      </c>
      <c r="BB1836" s="72" t="str">
        <f aca="false">IF(BA1836&lt;&gt;"",VLOOKUP(BA1836,Selects!$B$4:$C$100,2,0),"")</f>
        <v/>
      </c>
      <c r="BG1836" s="75" t="str">
        <f aca="false">IF(LEN(BF1836)=11,"PF",IF(LEN(BF1836)=14,"PJ",""))</f>
        <v/>
      </c>
      <c r="BH1836" s="66"/>
      <c r="BI1836" s="58" t="str">
        <f aca="false">IF(BH1836&lt;&gt;"",VLOOKUP(BH1836,Selects!$G:$H,2,0),"")</f>
        <v/>
      </c>
      <c r="CB1836" s="72" t="str">
        <f aca="false">IF(AC1836&lt;&gt;"",VLOOKUP(AC1836,Selects!$B:$E,4,0),"")</f>
        <v/>
      </c>
    </row>
    <row r="1837" customFormat="false" ht="15" hidden="true" customHeight="false" outlineLevel="0" collapsed="false">
      <c r="E1837" s="60" t="str">
        <f aca="false">IF(LEN(D1837)=11,"PF",IF(LEN(D1837)=14,"PJ",""))</f>
        <v/>
      </c>
      <c r="I1837" s="62"/>
      <c r="J1837" s="63" t="str">
        <f aca="false">IF(I1837&lt;&gt;"",VLOOKUP(I1837,'Legal Nature'!$E$2:$G$84,3,0),"")</f>
        <v/>
      </c>
      <c r="AD1837" s="72" t="str">
        <f aca="false">IF(AC1837&lt;&gt;"",VLOOKUP(AC1837,Selects!$B$4:$C$100,2,0),"")</f>
        <v/>
      </c>
      <c r="AH1837" s="65"/>
      <c r="AJ1837" s="66"/>
      <c r="AM1837" s="68" t="str">
        <f aca="false">IF(LEFT(AL1837,1)="9","Celular",IF(AL1837="","","Fixo"))</f>
        <v/>
      </c>
      <c r="AN1837" s="58" t="str">
        <f aca="false">IF( AM1837&lt;&gt;"",VLOOKUP(AM1837,Selects!$M$4:$N$1000,2,0),"")</f>
        <v/>
      </c>
      <c r="BB1837" s="72" t="str">
        <f aca="false">IF(BA1837&lt;&gt;"",VLOOKUP(BA1837,Selects!$B$4:$C$100,2,0),"")</f>
        <v/>
      </c>
      <c r="BG1837" s="75" t="str">
        <f aca="false">IF(LEN(BF1837)=11,"PF",IF(LEN(BF1837)=14,"PJ",""))</f>
        <v/>
      </c>
      <c r="BH1837" s="66"/>
      <c r="BI1837" s="58" t="str">
        <f aca="false">IF(BH1837&lt;&gt;"",VLOOKUP(BH1837,Selects!$G:$H,2,0),"")</f>
        <v/>
      </c>
      <c r="CB1837" s="72" t="str">
        <f aca="false">IF(AC1837&lt;&gt;"",VLOOKUP(AC1837,Selects!$B:$E,4,0),"")</f>
        <v/>
      </c>
    </row>
    <row r="1838" customFormat="false" ht="15" hidden="true" customHeight="false" outlineLevel="0" collapsed="false">
      <c r="E1838" s="60" t="str">
        <f aca="false">IF(LEN(D1838)=11,"PF",IF(LEN(D1838)=14,"PJ",""))</f>
        <v/>
      </c>
      <c r="I1838" s="62"/>
      <c r="J1838" s="63" t="str">
        <f aca="false">IF(I1838&lt;&gt;"",VLOOKUP(I1838,'Legal Nature'!$E$2:$G$84,3,0),"")</f>
        <v/>
      </c>
      <c r="AD1838" s="72" t="str">
        <f aca="false">IF(AC1838&lt;&gt;"",VLOOKUP(AC1838,Selects!$B$4:$C$100,2,0),"")</f>
        <v/>
      </c>
      <c r="AH1838" s="65"/>
      <c r="AJ1838" s="66"/>
      <c r="AM1838" s="68" t="str">
        <f aca="false">IF(LEFT(AL1838,1)="9","Celular",IF(AL1838="","","Fixo"))</f>
        <v/>
      </c>
      <c r="AN1838" s="58" t="str">
        <f aca="false">IF( AM1838&lt;&gt;"",VLOOKUP(AM1838,Selects!$M$4:$N$1000,2,0),"")</f>
        <v/>
      </c>
      <c r="BB1838" s="72" t="str">
        <f aca="false">IF(BA1838&lt;&gt;"",VLOOKUP(BA1838,Selects!$B$4:$C$100,2,0),"")</f>
        <v/>
      </c>
      <c r="BG1838" s="75" t="str">
        <f aca="false">IF(LEN(BF1838)=11,"PF",IF(LEN(BF1838)=14,"PJ",""))</f>
        <v/>
      </c>
      <c r="BH1838" s="66"/>
      <c r="BI1838" s="58" t="str">
        <f aca="false">IF(BH1838&lt;&gt;"",VLOOKUP(BH1838,Selects!$G:$H,2,0),"")</f>
        <v/>
      </c>
      <c r="CB1838" s="72" t="str">
        <f aca="false">IF(AC1838&lt;&gt;"",VLOOKUP(AC1838,Selects!$B:$E,4,0),"")</f>
        <v/>
      </c>
    </row>
    <row r="1839" customFormat="false" ht="15" hidden="true" customHeight="false" outlineLevel="0" collapsed="false">
      <c r="E1839" s="60" t="str">
        <f aca="false">IF(LEN(D1839)=11,"PF",IF(LEN(D1839)=14,"PJ",""))</f>
        <v/>
      </c>
      <c r="I1839" s="62"/>
      <c r="J1839" s="63" t="str">
        <f aca="false">IF(I1839&lt;&gt;"",VLOOKUP(I1839,'Legal Nature'!$E$2:$G$84,3,0),"")</f>
        <v/>
      </c>
      <c r="AD1839" s="72" t="str">
        <f aca="false">IF(AC1839&lt;&gt;"",VLOOKUP(AC1839,Selects!$B$4:$C$100,2,0),"")</f>
        <v/>
      </c>
      <c r="AH1839" s="65"/>
      <c r="AJ1839" s="66"/>
      <c r="AM1839" s="68" t="str">
        <f aca="false">IF(LEFT(AL1839,1)="9","Celular",IF(AL1839="","","Fixo"))</f>
        <v/>
      </c>
      <c r="AN1839" s="58" t="str">
        <f aca="false">IF( AM1839&lt;&gt;"",VLOOKUP(AM1839,Selects!$M$4:$N$1000,2,0),"")</f>
        <v/>
      </c>
      <c r="BB1839" s="72" t="str">
        <f aca="false">IF(BA1839&lt;&gt;"",VLOOKUP(BA1839,Selects!$B$4:$C$100,2,0),"")</f>
        <v/>
      </c>
      <c r="BG1839" s="75" t="str">
        <f aca="false">IF(LEN(BF1839)=11,"PF",IF(LEN(BF1839)=14,"PJ",""))</f>
        <v/>
      </c>
      <c r="BH1839" s="66"/>
      <c r="BI1839" s="58" t="str">
        <f aca="false">IF(BH1839&lt;&gt;"",VLOOKUP(BH1839,Selects!$G:$H,2,0),"")</f>
        <v/>
      </c>
      <c r="CB1839" s="72" t="str">
        <f aca="false">IF(AC1839&lt;&gt;"",VLOOKUP(AC1839,Selects!$B:$E,4,0),"")</f>
        <v/>
      </c>
    </row>
    <row r="1840" customFormat="false" ht="15" hidden="true" customHeight="false" outlineLevel="0" collapsed="false">
      <c r="E1840" s="60" t="str">
        <f aca="false">IF(LEN(D1840)=11,"PF",IF(LEN(D1840)=14,"PJ",""))</f>
        <v/>
      </c>
      <c r="I1840" s="62"/>
      <c r="J1840" s="63" t="str">
        <f aca="false">IF(I1840&lt;&gt;"",VLOOKUP(I1840,'Legal Nature'!$E$2:$G$84,3,0),"")</f>
        <v/>
      </c>
      <c r="AD1840" s="72" t="str">
        <f aca="false">IF(AC1840&lt;&gt;"",VLOOKUP(AC1840,Selects!$B$4:$C$100,2,0),"")</f>
        <v/>
      </c>
      <c r="AH1840" s="65"/>
      <c r="AJ1840" s="66"/>
      <c r="AM1840" s="68" t="str">
        <f aca="false">IF(LEFT(AL1840,1)="9","Celular",IF(AL1840="","","Fixo"))</f>
        <v/>
      </c>
      <c r="AN1840" s="58" t="str">
        <f aca="false">IF( AM1840&lt;&gt;"",VLOOKUP(AM1840,Selects!$M$4:$N$1000,2,0),"")</f>
        <v/>
      </c>
      <c r="BB1840" s="72" t="str">
        <f aca="false">IF(BA1840&lt;&gt;"",VLOOKUP(BA1840,Selects!$B$4:$C$100,2,0),"")</f>
        <v/>
      </c>
      <c r="BG1840" s="75" t="str">
        <f aca="false">IF(LEN(BF1840)=11,"PF",IF(LEN(BF1840)=14,"PJ",""))</f>
        <v/>
      </c>
      <c r="BH1840" s="66"/>
      <c r="BI1840" s="58" t="str">
        <f aca="false">IF(BH1840&lt;&gt;"",VLOOKUP(BH1840,Selects!$G:$H,2,0),"")</f>
        <v/>
      </c>
      <c r="CB1840" s="72" t="str">
        <f aca="false">IF(AC1840&lt;&gt;"",VLOOKUP(AC1840,Selects!$B:$E,4,0),"")</f>
        <v/>
      </c>
    </row>
    <row r="1841" customFormat="false" ht="15" hidden="true" customHeight="false" outlineLevel="0" collapsed="false">
      <c r="E1841" s="60" t="str">
        <f aca="false">IF(LEN(D1841)=11,"PF",IF(LEN(D1841)=14,"PJ",""))</f>
        <v/>
      </c>
      <c r="I1841" s="62"/>
      <c r="J1841" s="63" t="str">
        <f aca="false">IF(I1841&lt;&gt;"",VLOOKUP(I1841,'Legal Nature'!$E$2:$G$84,3,0),"")</f>
        <v/>
      </c>
      <c r="AD1841" s="72" t="str">
        <f aca="false">IF(AC1841&lt;&gt;"",VLOOKUP(AC1841,Selects!$B$4:$C$100,2,0),"")</f>
        <v/>
      </c>
      <c r="AH1841" s="65"/>
      <c r="AJ1841" s="66"/>
      <c r="AM1841" s="68" t="str">
        <f aca="false">IF(LEFT(AL1841,1)="9","Celular",IF(AL1841="","","Fixo"))</f>
        <v/>
      </c>
      <c r="AN1841" s="58" t="str">
        <f aca="false">IF( AM1841&lt;&gt;"",VLOOKUP(AM1841,Selects!$M$4:$N$1000,2,0),"")</f>
        <v/>
      </c>
      <c r="BB1841" s="72" t="str">
        <f aca="false">IF(BA1841&lt;&gt;"",VLOOKUP(BA1841,Selects!$B$4:$C$100,2,0),"")</f>
        <v/>
      </c>
      <c r="BG1841" s="75" t="str">
        <f aca="false">IF(LEN(BF1841)=11,"PF",IF(LEN(BF1841)=14,"PJ",""))</f>
        <v/>
      </c>
      <c r="BH1841" s="66"/>
      <c r="BI1841" s="58" t="str">
        <f aca="false">IF(BH1841&lt;&gt;"",VLOOKUP(BH1841,Selects!$G:$H,2,0),"")</f>
        <v/>
      </c>
      <c r="CB1841" s="72" t="str">
        <f aca="false">IF(AC1841&lt;&gt;"",VLOOKUP(AC1841,Selects!$B:$E,4,0),"")</f>
        <v/>
      </c>
    </row>
    <row r="1842" customFormat="false" ht="15" hidden="true" customHeight="false" outlineLevel="0" collapsed="false">
      <c r="E1842" s="60" t="str">
        <f aca="false">IF(LEN(D1842)=11,"PF",IF(LEN(D1842)=14,"PJ",""))</f>
        <v/>
      </c>
      <c r="I1842" s="62"/>
      <c r="J1842" s="63" t="str">
        <f aca="false">IF(I1842&lt;&gt;"",VLOOKUP(I1842,'Legal Nature'!$E$2:$G$84,3,0),"")</f>
        <v/>
      </c>
      <c r="AD1842" s="72" t="str">
        <f aca="false">IF(AC1842&lt;&gt;"",VLOOKUP(AC1842,Selects!$B$4:$C$100,2,0),"")</f>
        <v/>
      </c>
      <c r="AH1842" s="65"/>
      <c r="AJ1842" s="66"/>
      <c r="AM1842" s="68" t="str">
        <f aca="false">IF(LEFT(AL1842,1)="9","Celular",IF(AL1842="","","Fixo"))</f>
        <v/>
      </c>
      <c r="AN1842" s="58" t="str">
        <f aca="false">IF( AM1842&lt;&gt;"",VLOOKUP(AM1842,Selects!$M$4:$N$1000,2,0),"")</f>
        <v/>
      </c>
      <c r="BB1842" s="72" t="str">
        <f aca="false">IF(BA1842&lt;&gt;"",VLOOKUP(BA1842,Selects!$B$4:$C$100,2,0),"")</f>
        <v/>
      </c>
      <c r="BG1842" s="75" t="str">
        <f aca="false">IF(LEN(BF1842)=11,"PF",IF(LEN(BF1842)=14,"PJ",""))</f>
        <v/>
      </c>
      <c r="BH1842" s="66"/>
      <c r="CB1842" s="72" t="str">
        <f aca="false">IF(AC1842&lt;&gt;"",VLOOKUP(AC1842,Selects!$B:$E,4,0),"")</f>
        <v/>
      </c>
    </row>
    <row r="1843" customFormat="false" ht="15" hidden="true" customHeight="false" outlineLevel="0" collapsed="false">
      <c r="E1843" s="60" t="str">
        <f aca="false">IF(LEN(D1843)=11,"PF",IF(LEN(D1843)=14,"PJ",""))</f>
        <v/>
      </c>
      <c r="I1843" s="62"/>
      <c r="J1843" s="63" t="str">
        <f aca="false">IF(I1843&lt;&gt;"",VLOOKUP(I1843,'Legal Nature'!$E$2:$G$84,3,0),"")</f>
        <v/>
      </c>
      <c r="AD1843" s="72" t="str">
        <f aca="false">IF(AC1843&lt;&gt;"",VLOOKUP(AC1843,Selects!$B$4:$C$100,2,0),"")</f>
        <v/>
      </c>
      <c r="AH1843" s="65"/>
      <c r="AJ1843" s="66"/>
      <c r="AM1843" s="68" t="str">
        <f aca="false">IF(LEFT(AL1843,1)="9","Celular",IF(AL1843="","","Fixo"))</f>
        <v/>
      </c>
      <c r="AN1843" s="58" t="str">
        <f aca="false">IF( AM1843&lt;&gt;"",VLOOKUP(AM1843,Selects!$M$4:$N$1000,2,0),"")</f>
        <v/>
      </c>
      <c r="BB1843" s="72" t="str">
        <f aca="false">IF(BA1843&lt;&gt;"",VLOOKUP(BA1843,Selects!$B$4:$C$100,2,0),"")</f>
        <v/>
      </c>
      <c r="BG1843" s="75" t="str">
        <f aca="false">IF(LEN(BF1843)=11,"PF",IF(LEN(BF1843)=14,"PJ",""))</f>
        <v/>
      </c>
      <c r="BH1843" s="66"/>
      <c r="CB1843" s="72" t="str">
        <f aca="false">IF(AC1843&lt;&gt;"",VLOOKUP(AC1843,Selects!$B:$E,4,0),"")</f>
        <v/>
      </c>
    </row>
    <row r="1844" customFormat="false" ht="15" hidden="true" customHeight="false" outlineLevel="0" collapsed="false">
      <c r="E1844" s="60" t="str">
        <f aca="false">IF(LEN(D1844)=11,"PF",IF(LEN(D1844)=14,"PJ",""))</f>
        <v/>
      </c>
      <c r="I1844" s="62"/>
      <c r="J1844" s="63" t="str">
        <f aca="false">IF(I1844&lt;&gt;"",VLOOKUP(I1844,'Legal Nature'!$E$2:$G$84,3,0),"")</f>
        <v/>
      </c>
      <c r="AD1844" s="72" t="str">
        <f aca="false">IF(AC1844&lt;&gt;"",VLOOKUP(AC1844,Selects!$B$4:$C$100,2,0),"")</f>
        <v/>
      </c>
      <c r="AH1844" s="65"/>
      <c r="AJ1844" s="66"/>
      <c r="AM1844" s="68" t="str">
        <f aca="false">IF(LEFT(AL1844,1)="9","Celular",IF(AL1844="","","Fixo"))</f>
        <v/>
      </c>
      <c r="AN1844" s="58" t="str">
        <f aca="false">IF( AM1844&lt;&gt;"",VLOOKUP(AM1844,Selects!$M$4:$N$1000,2,0),"")</f>
        <v/>
      </c>
      <c r="BB1844" s="72" t="str">
        <f aca="false">IF(BA1844&lt;&gt;"",VLOOKUP(BA1844,Selects!$B$4:$C$100,2,0),"")</f>
        <v/>
      </c>
      <c r="BG1844" s="75" t="str">
        <f aca="false">IF(LEN(BF1844)=11,"PF",IF(LEN(BF1844)=14,"PJ",""))</f>
        <v/>
      </c>
      <c r="BH1844" s="66"/>
      <c r="CB1844" s="72" t="str">
        <f aca="false">IF(AC1844&lt;&gt;"",VLOOKUP(AC1844,Selects!$B:$E,4,0),"")</f>
        <v/>
      </c>
    </row>
    <row r="1845" customFormat="false" ht="15" hidden="true" customHeight="false" outlineLevel="0" collapsed="false">
      <c r="E1845" s="60" t="str">
        <f aca="false">IF(LEN(D1845)=11,"PF",IF(LEN(D1845)=14,"PJ",""))</f>
        <v/>
      </c>
      <c r="I1845" s="62"/>
      <c r="J1845" s="63" t="str">
        <f aca="false">IF(I1845&lt;&gt;"",VLOOKUP(I1845,'Legal Nature'!$E$2:$G$84,3,0),"")</f>
        <v/>
      </c>
      <c r="AD1845" s="72" t="str">
        <f aca="false">IF(AC1845&lt;&gt;"",VLOOKUP(AC1845,Selects!$B$4:$C$100,2,0),"")</f>
        <v/>
      </c>
      <c r="AH1845" s="65"/>
      <c r="AJ1845" s="66"/>
      <c r="AM1845" s="68" t="str">
        <f aca="false">IF(LEFT(AL1845,1)="9","Celular",IF(AL1845="","","Fixo"))</f>
        <v/>
      </c>
      <c r="AN1845" s="58" t="str">
        <f aca="false">IF( AM1845&lt;&gt;"",VLOOKUP(AM1845,Selects!$M$4:$N$1000,2,0),"")</f>
        <v/>
      </c>
      <c r="BB1845" s="72" t="str">
        <f aca="false">IF(BA1845&lt;&gt;"",VLOOKUP(BA1845,Selects!$B$4:$C$100,2,0),"")</f>
        <v/>
      </c>
      <c r="BG1845" s="75" t="str">
        <f aca="false">IF(LEN(BF1845)=11,"PF",IF(LEN(BF1845)=14,"PJ",""))</f>
        <v/>
      </c>
      <c r="BH1845" s="66"/>
      <c r="CB1845" s="72" t="str">
        <f aca="false">IF(AC1845&lt;&gt;"",VLOOKUP(AC1845,Selects!$B:$E,4,0),"")</f>
        <v/>
      </c>
    </row>
    <row r="1846" customFormat="false" ht="15" hidden="true" customHeight="false" outlineLevel="0" collapsed="false">
      <c r="E1846" s="60" t="str">
        <f aca="false">IF(LEN(D1846)=11,"PF",IF(LEN(D1846)=14,"PJ",""))</f>
        <v/>
      </c>
      <c r="I1846" s="62"/>
      <c r="J1846" s="63" t="str">
        <f aca="false">IF(I1846&lt;&gt;"",VLOOKUP(I1846,'Legal Nature'!$E$2:$G$84,3,0),"")</f>
        <v/>
      </c>
      <c r="AD1846" s="72" t="str">
        <f aca="false">IF(AC1846&lt;&gt;"",VLOOKUP(AC1846,Selects!$B$4:$C$100,2,0),"")</f>
        <v/>
      </c>
      <c r="AH1846" s="65"/>
      <c r="AJ1846" s="66"/>
      <c r="AM1846" s="68" t="str">
        <f aca="false">IF(LEFT(AL1846,1)="9","Celular",IF(AL1846="","","Fixo"))</f>
        <v/>
      </c>
      <c r="AN1846" s="58" t="str">
        <f aca="false">IF( AM1846&lt;&gt;"",VLOOKUP(AM1846,Selects!$M$4:$N$1000,2,0),"")</f>
        <v/>
      </c>
      <c r="BB1846" s="72" t="str">
        <f aca="false">IF(BA1846&lt;&gt;"",VLOOKUP(BA1846,Selects!$B$4:$C$100,2,0),"")</f>
        <v/>
      </c>
      <c r="BG1846" s="75" t="str">
        <f aca="false">IF(LEN(BF1846)=11,"PF",IF(LEN(BF1846)=14,"PJ",""))</f>
        <v/>
      </c>
      <c r="BH1846" s="66"/>
      <c r="CB1846" s="72" t="str">
        <f aca="false">IF(AC1846&lt;&gt;"",VLOOKUP(AC1846,Selects!$B:$E,4,0),"")</f>
        <v/>
      </c>
    </row>
    <row r="1847" customFormat="false" ht="15" hidden="true" customHeight="false" outlineLevel="0" collapsed="false">
      <c r="E1847" s="60" t="str">
        <f aca="false">IF(LEN(D1847)=11,"PF",IF(LEN(D1847)=14,"PJ",""))</f>
        <v/>
      </c>
      <c r="I1847" s="62"/>
      <c r="J1847" s="63" t="str">
        <f aca="false">IF(I1847&lt;&gt;"",VLOOKUP(I1847,'Legal Nature'!$E$2:$G$84,3,0),"")</f>
        <v/>
      </c>
      <c r="AD1847" s="72" t="str">
        <f aca="false">IF(AC1847&lt;&gt;"",VLOOKUP(AC1847,Selects!$B$4:$C$100,2,0),"")</f>
        <v/>
      </c>
      <c r="AH1847" s="65"/>
      <c r="AJ1847" s="66"/>
      <c r="AM1847" s="68" t="str">
        <f aca="false">IF(LEFT(AL1847,1)="9","Celular",IF(AL1847="","","Fixo"))</f>
        <v/>
      </c>
      <c r="AN1847" s="58" t="str">
        <f aca="false">IF( AM1847&lt;&gt;"",VLOOKUP(AM1847,Selects!$M$4:$N$1000,2,0),"")</f>
        <v/>
      </c>
      <c r="BB1847" s="72" t="str">
        <f aca="false">IF(BA1847&lt;&gt;"",VLOOKUP(BA1847,Selects!$B$4:$C$100,2,0),"")</f>
        <v/>
      </c>
      <c r="BG1847" s="75" t="str">
        <f aca="false">IF(LEN(BF1847)=11,"PF",IF(LEN(BF1847)=14,"PJ",""))</f>
        <v/>
      </c>
      <c r="BH1847" s="66"/>
      <c r="CB1847" s="72" t="str">
        <f aca="false">IF(AC1847&lt;&gt;"",VLOOKUP(AC1847,Selects!$B:$E,4,0),"")</f>
        <v/>
      </c>
    </row>
    <row r="1848" customFormat="false" ht="15" hidden="true" customHeight="false" outlineLevel="0" collapsed="false">
      <c r="E1848" s="60" t="str">
        <f aca="false">IF(LEN(D1848)=11,"PF",IF(LEN(D1848)=14,"PJ",""))</f>
        <v/>
      </c>
      <c r="I1848" s="62"/>
      <c r="J1848" s="63" t="str">
        <f aca="false">IF(I1848&lt;&gt;"",VLOOKUP(I1848,'Legal Nature'!$E$2:$G$84,3,0),"")</f>
        <v/>
      </c>
      <c r="AD1848" s="72" t="str">
        <f aca="false">IF(AC1848&lt;&gt;"",VLOOKUP(AC1848,Selects!$B$4:$C$100,2,0),"")</f>
        <v/>
      </c>
      <c r="AH1848" s="65"/>
      <c r="AJ1848" s="66"/>
      <c r="AM1848" s="68" t="str">
        <f aca="false">IF(LEFT(AL1848,1)="9","Celular",IF(AL1848="","","Fixo"))</f>
        <v/>
      </c>
      <c r="AN1848" s="58" t="str">
        <f aca="false">IF( AM1848&lt;&gt;"",VLOOKUP(AM1848,Selects!$M$4:$N$1000,2,0),"")</f>
        <v/>
      </c>
      <c r="BB1848" s="72" t="str">
        <f aca="false">IF(BA1848&lt;&gt;"",VLOOKUP(BA1848,Selects!$B$4:$C$100,2,0),"")</f>
        <v/>
      </c>
      <c r="BG1848" s="75" t="str">
        <f aca="false">IF(LEN(BF1848)=11,"PF",IF(LEN(BF1848)=14,"PJ",""))</f>
        <v/>
      </c>
      <c r="BH1848" s="66"/>
      <c r="CB1848" s="72" t="str">
        <f aca="false">IF(AC1848&lt;&gt;"",VLOOKUP(AC1848,Selects!$B:$E,4,0),"")</f>
        <v/>
      </c>
    </row>
    <row r="1849" customFormat="false" ht="15" hidden="true" customHeight="false" outlineLevel="0" collapsed="false">
      <c r="E1849" s="60" t="str">
        <f aca="false">IF(LEN(D1849)=11,"PF",IF(LEN(D1849)=14,"PJ",""))</f>
        <v/>
      </c>
      <c r="I1849" s="62"/>
      <c r="J1849" s="63" t="str">
        <f aca="false">IF(I1849&lt;&gt;"",VLOOKUP(I1849,'Legal Nature'!$E$2:$G$84,3,0),"")</f>
        <v/>
      </c>
      <c r="AD1849" s="72" t="str">
        <f aca="false">IF(AC1849&lt;&gt;"",VLOOKUP(AC1849,Selects!$B$4:$C$100,2,0),"")</f>
        <v/>
      </c>
      <c r="AH1849" s="65"/>
      <c r="AJ1849" s="66"/>
      <c r="AM1849" s="68" t="str">
        <f aca="false">IF(LEFT(AL1849,1)="9","Celular",IF(AL1849="","","Fixo"))</f>
        <v/>
      </c>
      <c r="AN1849" s="58" t="str">
        <f aca="false">IF( AM1849&lt;&gt;"",VLOOKUP(AM1849,Selects!$M$4:$N$1000,2,0),"")</f>
        <v/>
      </c>
      <c r="BB1849" s="72" t="str">
        <f aca="false">IF(BA1849&lt;&gt;"",VLOOKUP(BA1849,Selects!$B$4:$C$100,2,0),"")</f>
        <v/>
      </c>
      <c r="BG1849" s="75" t="str">
        <f aca="false">IF(LEN(BF1849)=11,"PF",IF(LEN(BF1849)=14,"PJ",""))</f>
        <v/>
      </c>
      <c r="BH1849" s="66"/>
      <c r="CB1849" s="72" t="str">
        <f aca="false">IF(AC1849&lt;&gt;"",VLOOKUP(AC1849,Selects!$B:$E,4,0),"")</f>
        <v/>
      </c>
    </row>
    <row r="1850" customFormat="false" ht="15" hidden="true" customHeight="false" outlineLevel="0" collapsed="false">
      <c r="E1850" s="60" t="str">
        <f aca="false">IF(LEN(D1850)=11,"PF",IF(LEN(D1850)=14,"PJ",""))</f>
        <v/>
      </c>
      <c r="I1850" s="62"/>
      <c r="J1850" s="63" t="str">
        <f aca="false">IF(I1850&lt;&gt;"",VLOOKUP(I1850,'Legal Nature'!$E$2:$G$84,3,0),"")</f>
        <v/>
      </c>
      <c r="AD1850" s="72" t="str">
        <f aca="false">IF(AC1850&lt;&gt;"",VLOOKUP(AC1850,Selects!$B$4:$C$100,2,0),"")</f>
        <v/>
      </c>
      <c r="AH1850" s="65"/>
      <c r="AJ1850" s="66"/>
      <c r="AM1850" s="68" t="str">
        <f aca="false">IF(LEFT(AL1850,1)="9","Celular",IF(AL1850="","","Fixo"))</f>
        <v/>
      </c>
      <c r="AN1850" s="58" t="str">
        <f aca="false">IF( AM1850&lt;&gt;"",VLOOKUP(AM1850,Selects!$M$4:$N$1000,2,0),"")</f>
        <v/>
      </c>
      <c r="BB1850" s="72" t="str">
        <f aca="false">IF(BA1850&lt;&gt;"",VLOOKUP(BA1850,Selects!$B$4:$C$100,2,0),"")</f>
        <v/>
      </c>
      <c r="BG1850" s="75" t="str">
        <f aca="false">IF(LEN(BF1850)=11,"PF",IF(LEN(BF1850)=14,"PJ",""))</f>
        <v/>
      </c>
      <c r="BH1850" s="66"/>
      <c r="CB1850" s="72" t="str">
        <f aca="false">IF(AC1850&lt;&gt;"",VLOOKUP(AC1850,Selects!$B:$E,4,0),"")</f>
        <v/>
      </c>
    </row>
    <row r="1851" customFormat="false" ht="15" hidden="true" customHeight="false" outlineLevel="0" collapsed="false">
      <c r="E1851" s="60" t="str">
        <f aca="false">IF(LEN(D1851)=11,"PF",IF(LEN(D1851)=14,"PJ",""))</f>
        <v/>
      </c>
      <c r="I1851" s="62"/>
      <c r="J1851" s="63" t="str">
        <f aca="false">IF(I1851&lt;&gt;"",VLOOKUP(I1851,'Legal Nature'!$E$2:$G$84,3,0),"")</f>
        <v/>
      </c>
      <c r="AD1851" s="72" t="str">
        <f aca="false">IF(AC1851&lt;&gt;"",VLOOKUP(AC1851,Selects!$B$4:$C$100,2,0),"")</f>
        <v/>
      </c>
      <c r="AH1851" s="65"/>
      <c r="AJ1851" s="66"/>
      <c r="AM1851" s="68" t="str">
        <f aca="false">IF(LEFT(AL1851,1)="9","Celular",IF(AL1851="","","Fixo"))</f>
        <v/>
      </c>
      <c r="AN1851" s="58" t="str">
        <f aca="false">IF( AM1851&lt;&gt;"",VLOOKUP(AM1851,Selects!$M$4:$N$1000,2,0),"")</f>
        <v/>
      </c>
      <c r="BB1851" s="72" t="str">
        <f aca="false">IF(BA1851&lt;&gt;"",VLOOKUP(BA1851,Selects!$B$4:$C$100,2,0),"")</f>
        <v/>
      </c>
      <c r="BG1851" s="75" t="str">
        <f aca="false">IF(LEN(BF1851)=11,"PF",IF(LEN(BF1851)=14,"PJ",""))</f>
        <v/>
      </c>
      <c r="BH1851" s="66"/>
      <c r="CB1851" s="72" t="str">
        <f aca="false">IF(AC1851&lt;&gt;"",VLOOKUP(AC1851,Selects!$B:$E,4,0),"")</f>
        <v/>
      </c>
    </row>
    <row r="1852" customFormat="false" ht="15" hidden="true" customHeight="false" outlineLevel="0" collapsed="false">
      <c r="E1852" s="60" t="str">
        <f aca="false">IF(LEN(D1852)=11,"PF",IF(LEN(D1852)=14,"PJ",""))</f>
        <v/>
      </c>
      <c r="I1852" s="62"/>
      <c r="J1852" s="63" t="str">
        <f aca="false">IF(I1852&lt;&gt;"",VLOOKUP(I1852,'Legal Nature'!$E$2:$G$84,3,0),"")</f>
        <v/>
      </c>
      <c r="AD1852" s="72" t="str">
        <f aca="false">IF(AC1852&lt;&gt;"",VLOOKUP(AC1852,Selects!$B$4:$C$100,2,0),"")</f>
        <v/>
      </c>
      <c r="AH1852" s="65"/>
      <c r="AJ1852" s="66"/>
      <c r="AM1852" s="68" t="str">
        <f aca="false">IF(LEFT(AL1852,1)="9","Celular",IF(AL1852="","","Fixo"))</f>
        <v/>
      </c>
      <c r="AN1852" s="58" t="str">
        <f aca="false">IF( AM1852&lt;&gt;"",VLOOKUP(AM1852,Selects!$M$4:$N$1000,2,0),"")</f>
        <v/>
      </c>
      <c r="BB1852" s="72" t="str">
        <f aca="false">IF(BA1852&lt;&gt;"",VLOOKUP(BA1852,Selects!$B$4:$C$100,2,0),"")</f>
        <v/>
      </c>
      <c r="BG1852" s="75" t="str">
        <f aca="false">IF(LEN(BF1852)=11,"PF",IF(LEN(BF1852)=14,"PJ",""))</f>
        <v/>
      </c>
      <c r="BH1852" s="66"/>
      <c r="CB1852" s="72" t="str">
        <f aca="false">IF(AC1852&lt;&gt;"",VLOOKUP(AC1852,Selects!$B:$E,4,0),"")</f>
        <v/>
      </c>
    </row>
    <row r="1853" customFormat="false" ht="15" hidden="true" customHeight="false" outlineLevel="0" collapsed="false">
      <c r="E1853" s="60" t="str">
        <f aca="false">IF(LEN(D1853)=11,"PF",IF(LEN(D1853)=14,"PJ",""))</f>
        <v/>
      </c>
      <c r="I1853" s="62"/>
      <c r="J1853" s="63" t="str">
        <f aca="false">IF(I1853&lt;&gt;"",VLOOKUP(I1853,'Legal Nature'!$E$2:$G$84,3,0),"")</f>
        <v/>
      </c>
      <c r="AD1853" s="72" t="str">
        <f aca="false">IF(AC1853&lt;&gt;"",VLOOKUP(AC1853,Selects!$B$4:$C$100,2,0),"")</f>
        <v/>
      </c>
      <c r="AH1853" s="65"/>
      <c r="AJ1853" s="66"/>
      <c r="AM1853" s="68" t="str">
        <f aca="false">IF(LEFT(AL1853,1)="9","Celular",IF(AL1853="","","Fixo"))</f>
        <v/>
      </c>
      <c r="AN1853" s="58" t="str">
        <f aca="false">IF( AM1853&lt;&gt;"",VLOOKUP(AM1853,Selects!$M$4:$N$1000,2,0),"")</f>
        <v/>
      </c>
      <c r="BB1853" s="72" t="str">
        <f aca="false">IF(BA1853&lt;&gt;"",VLOOKUP(BA1853,Selects!$B$4:$C$100,2,0),"")</f>
        <v/>
      </c>
      <c r="BG1853" s="75" t="str">
        <f aca="false">IF(LEN(BF1853)=11,"PF",IF(LEN(BF1853)=14,"PJ",""))</f>
        <v/>
      </c>
      <c r="BH1853" s="66"/>
      <c r="CB1853" s="72" t="str">
        <f aca="false">IF(AC1853&lt;&gt;"",VLOOKUP(AC1853,Selects!$B:$E,4,0),"")</f>
        <v/>
      </c>
    </row>
    <row r="1854" customFormat="false" ht="15" hidden="true" customHeight="false" outlineLevel="0" collapsed="false">
      <c r="E1854" s="60" t="str">
        <f aca="false">IF(LEN(D1854)=11,"PF",IF(LEN(D1854)=14,"PJ",""))</f>
        <v/>
      </c>
      <c r="I1854" s="62"/>
      <c r="J1854" s="63" t="str">
        <f aca="false">IF(I1854&lt;&gt;"",VLOOKUP(I1854,'Legal Nature'!$E$2:$G$84,3,0),"")</f>
        <v/>
      </c>
      <c r="AD1854" s="72" t="str">
        <f aca="false">IF(AC1854&lt;&gt;"",VLOOKUP(AC1854,Selects!$B$4:$C$100,2,0),"")</f>
        <v/>
      </c>
      <c r="AH1854" s="65"/>
      <c r="AJ1854" s="66"/>
      <c r="AM1854" s="68" t="str">
        <f aca="false">IF(LEFT(AL1854,1)="9","Celular",IF(AL1854="","","Fixo"))</f>
        <v/>
      </c>
      <c r="AN1854" s="58" t="str">
        <f aca="false">IF( AM1854&lt;&gt;"",VLOOKUP(AM1854,Selects!$M$4:$N$1000,2,0),"")</f>
        <v/>
      </c>
      <c r="BB1854" s="72" t="str">
        <f aca="false">IF(BA1854&lt;&gt;"",VLOOKUP(BA1854,Selects!$B$4:$C$100,2,0),"")</f>
        <v/>
      </c>
      <c r="BG1854" s="75" t="str">
        <f aca="false">IF(LEN(BF1854)=11,"PF",IF(LEN(BF1854)=14,"PJ",""))</f>
        <v/>
      </c>
      <c r="BH1854" s="66"/>
      <c r="CB1854" s="72" t="str">
        <f aca="false">IF(AC1854&lt;&gt;"",VLOOKUP(AC1854,Selects!$B:$E,4,0),"")</f>
        <v/>
      </c>
    </row>
    <row r="1855" customFormat="false" ht="15" hidden="true" customHeight="false" outlineLevel="0" collapsed="false">
      <c r="E1855" s="60" t="str">
        <f aca="false">IF(LEN(D1855)=11,"PF",IF(LEN(D1855)=14,"PJ",""))</f>
        <v/>
      </c>
      <c r="I1855" s="62"/>
      <c r="J1855" s="63" t="str">
        <f aca="false">IF(I1855&lt;&gt;"",VLOOKUP(I1855,'Legal Nature'!$E$2:$G$84,3,0),"")</f>
        <v/>
      </c>
      <c r="AD1855" s="72" t="str">
        <f aca="false">IF(AC1855&lt;&gt;"",VLOOKUP(AC1855,Selects!$B$4:$C$100,2,0),"")</f>
        <v/>
      </c>
      <c r="AH1855" s="65"/>
      <c r="AJ1855" s="66"/>
      <c r="AM1855" s="68" t="str">
        <f aca="false">IF(LEFT(AL1855,1)="9","Celular",IF(AL1855="","","Fixo"))</f>
        <v/>
      </c>
      <c r="AN1855" s="58" t="str">
        <f aca="false">IF( AM1855&lt;&gt;"",VLOOKUP(AM1855,Selects!$M$4:$N$1000,2,0),"")</f>
        <v/>
      </c>
      <c r="BB1855" s="72" t="str">
        <f aca="false">IF(BA1855&lt;&gt;"",VLOOKUP(BA1855,Selects!$B$4:$C$100,2,0),"")</f>
        <v/>
      </c>
      <c r="BG1855" s="75" t="str">
        <f aca="false">IF(LEN(BF1855)=11,"PF",IF(LEN(BF1855)=14,"PJ",""))</f>
        <v/>
      </c>
      <c r="BH1855" s="66"/>
      <c r="CB1855" s="72" t="str">
        <f aca="false">IF(AC1855&lt;&gt;"",VLOOKUP(AC1855,Selects!$B:$E,4,0),"")</f>
        <v/>
      </c>
    </row>
    <row r="1856" customFormat="false" ht="15" hidden="true" customHeight="false" outlineLevel="0" collapsed="false">
      <c r="E1856" s="60" t="str">
        <f aca="false">IF(LEN(D1856)=11,"PF",IF(LEN(D1856)=14,"PJ",""))</f>
        <v/>
      </c>
      <c r="I1856" s="62"/>
      <c r="J1856" s="63" t="str">
        <f aca="false">IF(I1856&lt;&gt;"",VLOOKUP(I1856,'Legal Nature'!$E$2:$G$84,3,0),"")</f>
        <v/>
      </c>
      <c r="AD1856" s="72" t="str">
        <f aca="false">IF(AC1856&lt;&gt;"",VLOOKUP(AC1856,Selects!$B$4:$C$100,2,0),"")</f>
        <v/>
      </c>
      <c r="AH1856" s="65"/>
      <c r="AJ1856" s="66"/>
      <c r="AM1856" s="68" t="str">
        <f aca="false">IF(LEFT(AL1856,1)="9","Celular",IF(AL1856="","","Fixo"))</f>
        <v/>
      </c>
      <c r="AN1856" s="58" t="str">
        <f aca="false">IF( AM1856&lt;&gt;"",VLOOKUP(AM1856,Selects!$M$4:$N$1000,2,0),"")</f>
        <v/>
      </c>
      <c r="BB1856" s="72" t="str">
        <f aca="false">IF(BA1856&lt;&gt;"",VLOOKUP(BA1856,Selects!$B$4:$C$100,2,0),"")</f>
        <v/>
      </c>
      <c r="BG1856" s="75" t="str">
        <f aca="false">IF(LEN(BF1856)=11,"PF",IF(LEN(BF1856)=14,"PJ",""))</f>
        <v/>
      </c>
      <c r="BH1856" s="66"/>
      <c r="CB1856" s="72" t="str">
        <f aca="false">IF(AC1856&lt;&gt;"",VLOOKUP(AC1856,Selects!$B:$E,4,0),"")</f>
        <v/>
      </c>
    </row>
    <row r="1857" customFormat="false" ht="15" hidden="true" customHeight="false" outlineLevel="0" collapsed="false">
      <c r="E1857" s="60" t="str">
        <f aca="false">IF(LEN(D1857)=11,"PF",IF(LEN(D1857)=14,"PJ",""))</f>
        <v/>
      </c>
      <c r="I1857" s="62"/>
      <c r="J1857" s="63" t="str">
        <f aca="false">IF(I1857&lt;&gt;"",VLOOKUP(I1857,'Legal Nature'!$E$2:$G$84,3,0),"")</f>
        <v/>
      </c>
      <c r="AD1857" s="72" t="str">
        <f aca="false">IF(AC1857&lt;&gt;"",VLOOKUP(AC1857,Selects!$B$4:$C$100,2,0),"")</f>
        <v/>
      </c>
      <c r="AH1857" s="65"/>
      <c r="AJ1857" s="66"/>
      <c r="AM1857" s="68" t="str">
        <f aca="false">IF(LEFT(AL1857,1)="9","Celular",IF(AL1857="","","Fixo"))</f>
        <v/>
      </c>
      <c r="AN1857" s="58" t="str">
        <f aca="false">IF( AM1857&lt;&gt;"",VLOOKUP(AM1857,Selects!$M$4:$N$1000,2,0),"")</f>
        <v/>
      </c>
      <c r="BB1857" s="72" t="str">
        <f aca="false">IF(BA1857&lt;&gt;"",VLOOKUP(BA1857,Selects!$B$4:$C$100,2,0),"")</f>
        <v/>
      </c>
      <c r="BG1857" s="75" t="str">
        <f aca="false">IF(LEN(BF1857)=11,"PF",IF(LEN(BF1857)=14,"PJ",""))</f>
        <v/>
      </c>
      <c r="BH1857" s="66"/>
      <c r="CB1857" s="72" t="str">
        <f aca="false">IF(AC1857&lt;&gt;"",VLOOKUP(AC1857,Selects!$B:$E,4,0),"")</f>
        <v/>
      </c>
    </row>
    <row r="1858" customFormat="false" ht="15" hidden="true" customHeight="false" outlineLevel="0" collapsed="false">
      <c r="E1858" s="60" t="str">
        <f aca="false">IF(LEN(D1858)=11,"PF",IF(LEN(D1858)=14,"PJ",""))</f>
        <v/>
      </c>
      <c r="I1858" s="62"/>
      <c r="J1858" s="63" t="str">
        <f aca="false">IF(I1858&lt;&gt;"",VLOOKUP(I1858,'Legal Nature'!$E$2:$G$84,3,0),"")</f>
        <v/>
      </c>
      <c r="AD1858" s="72" t="str">
        <f aca="false">IF(AC1858&lt;&gt;"",VLOOKUP(AC1858,Selects!$B$4:$C$100,2,0),"")</f>
        <v/>
      </c>
      <c r="AH1858" s="65"/>
      <c r="AJ1858" s="66"/>
      <c r="AM1858" s="68" t="str">
        <f aca="false">IF(LEFT(AL1858,1)="9","Celular",IF(AL1858="","","Fixo"))</f>
        <v/>
      </c>
      <c r="AN1858" s="58" t="str">
        <f aca="false">IF( AM1858&lt;&gt;"",VLOOKUP(AM1858,Selects!$M$4:$N$1000,2,0),"")</f>
        <v/>
      </c>
      <c r="BB1858" s="72" t="str">
        <f aca="false">IF(BA1858&lt;&gt;"",VLOOKUP(BA1858,Selects!$B$4:$C$100,2,0),"")</f>
        <v/>
      </c>
      <c r="BG1858" s="75" t="str">
        <f aca="false">IF(LEN(BF1858)=11,"PF",IF(LEN(BF1858)=14,"PJ",""))</f>
        <v/>
      </c>
      <c r="BH1858" s="66"/>
      <c r="CB1858" s="72" t="str">
        <f aca="false">IF(AC1858&lt;&gt;"",VLOOKUP(AC1858,Selects!$B:$E,4,0),"")</f>
        <v/>
      </c>
    </row>
    <row r="1859" customFormat="false" ht="15" hidden="true" customHeight="false" outlineLevel="0" collapsed="false">
      <c r="E1859" s="60" t="str">
        <f aca="false">IF(LEN(D1859)=11,"PF",IF(LEN(D1859)=14,"PJ",""))</f>
        <v/>
      </c>
      <c r="I1859" s="62"/>
      <c r="J1859" s="63" t="str">
        <f aca="false">IF(I1859&lt;&gt;"",VLOOKUP(I1859,'Legal Nature'!$E$2:$G$84,3,0),"")</f>
        <v/>
      </c>
      <c r="AD1859" s="72" t="str">
        <f aca="false">IF(AC1859&lt;&gt;"",VLOOKUP(AC1859,Selects!$B$4:$C$100,2,0),"")</f>
        <v/>
      </c>
      <c r="AH1859" s="65"/>
      <c r="AJ1859" s="66"/>
      <c r="AM1859" s="68" t="str">
        <f aca="false">IF(LEFT(AL1859,1)="9","Celular",IF(AL1859="","","Fixo"))</f>
        <v/>
      </c>
      <c r="AN1859" s="58" t="str">
        <f aca="false">IF( AM1859&lt;&gt;"",VLOOKUP(AM1859,Selects!$M$4:$N$1000,2,0),"")</f>
        <v/>
      </c>
      <c r="BB1859" s="72" t="str">
        <f aca="false">IF(BA1859&lt;&gt;"",VLOOKUP(BA1859,Selects!$B$4:$C$100,2,0),"")</f>
        <v/>
      </c>
      <c r="BG1859" s="75" t="str">
        <f aca="false">IF(LEN(BF1859)=11,"PF",IF(LEN(BF1859)=14,"PJ",""))</f>
        <v/>
      </c>
      <c r="BH1859" s="66"/>
      <c r="CB1859" s="72" t="str">
        <f aca="false">IF(AC1859&lt;&gt;"",VLOOKUP(AC1859,Selects!$B:$E,4,0),"")</f>
        <v/>
      </c>
    </row>
    <row r="1860" customFormat="false" ht="15" hidden="true" customHeight="false" outlineLevel="0" collapsed="false">
      <c r="E1860" s="60" t="str">
        <f aca="false">IF(LEN(D1860)=11,"PF",IF(LEN(D1860)=14,"PJ",""))</f>
        <v/>
      </c>
      <c r="I1860" s="62"/>
      <c r="J1860" s="63" t="str">
        <f aca="false">IF(I1860&lt;&gt;"",VLOOKUP(I1860,'Legal Nature'!$E$2:$G$84,3,0),"")</f>
        <v/>
      </c>
      <c r="AD1860" s="72" t="str">
        <f aca="false">IF(AC1860&lt;&gt;"",VLOOKUP(AC1860,Selects!$B$4:$C$100,2,0),"")</f>
        <v/>
      </c>
      <c r="AH1860" s="65"/>
      <c r="AJ1860" s="66"/>
      <c r="AM1860" s="68" t="str">
        <f aca="false">IF(LEFT(AL1860,1)="9","Celular",IF(AL1860="","","Fixo"))</f>
        <v/>
      </c>
      <c r="AN1860" s="58" t="str">
        <f aca="false">IF( AM1860&lt;&gt;"",VLOOKUP(AM1860,Selects!$M$4:$N$1000,2,0),"")</f>
        <v/>
      </c>
      <c r="BB1860" s="72" t="str">
        <f aca="false">IF(BA1860&lt;&gt;"",VLOOKUP(BA1860,Selects!$B$4:$C$100,2,0),"")</f>
        <v/>
      </c>
      <c r="BG1860" s="75" t="str">
        <f aca="false">IF(LEN(BF1860)=11,"PF",IF(LEN(BF1860)=14,"PJ",""))</f>
        <v/>
      </c>
      <c r="BH1860" s="66"/>
      <c r="CB1860" s="72" t="str">
        <f aca="false">IF(AC1860&lt;&gt;"",VLOOKUP(AC1860,Selects!$B:$E,4,0),"")</f>
        <v/>
      </c>
    </row>
    <row r="1861" customFormat="false" ht="15" hidden="true" customHeight="false" outlineLevel="0" collapsed="false">
      <c r="E1861" s="60" t="str">
        <f aca="false">IF(LEN(D1861)=11,"PF",IF(LEN(D1861)=14,"PJ",""))</f>
        <v/>
      </c>
      <c r="I1861" s="62"/>
      <c r="J1861" s="63" t="str">
        <f aca="false">IF(I1861&lt;&gt;"",VLOOKUP(I1861,'Legal Nature'!$E$2:$G$84,3,0),"")</f>
        <v/>
      </c>
      <c r="AD1861" s="72" t="str">
        <f aca="false">IF(AC1861&lt;&gt;"",VLOOKUP(AC1861,Selects!$B$4:$C$100,2,0),"")</f>
        <v/>
      </c>
      <c r="AH1861" s="65"/>
      <c r="AJ1861" s="66"/>
      <c r="AM1861" s="68" t="str">
        <f aca="false">IF(LEFT(AL1861,1)="9","Celular",IF(AL1861="","","Fixo"))</f>
        <v/>
      </c>
      <c r="AN1861" s="58" t="str">
        <f aca="false">IF( AM1861&lt;&gt;"",VLOOKUP(AM1861,Selects!$M$4:$N$1000,2,0),"")</f>
        <v/>
      </c>
      <c r="BB1861" s="72" t="str">
        <f aca="false">IF(BA1861&lt;&gt;"",VLOOKUP(BA1861,Selects!$B$4:$C$100,2,0),"")</f>
        <v/>
      </c>
      <c r="BG1861" s="75" t="str">
        <f aca="false">IF(LEN(BF1861)=11,"PF",IF(LEN(BF1861)=14,"PJ",""))</f>
        <v/>
      </c>
      <c r="BH1861" s="66"/>
      <c r="CB1861" s="72" t="str">
        <f aca="false">IF(AC1861&lt;&gt;"",VLOOKUP(AC1861,Selects!$B:$E,4,0),"")</f>
        <v/>
      </c>
    </row>
    <row r="1862" customFormat="false" ht="15" hidden="true" customHeight="false" outlineLevel="0" collapsed="false">
      <c r="E1862" s="60" t="str">
        <f aca="false">IF(LEN(D1862)=11,"PF",IF(LEN(D1862)=14,"PJ",""))</f>
        <v/>
      </c>
      <c r="I1862" s="62"/>
      <c r="J1862" s="63" t="str">
        <f aca="false">IF(I1862&lt;&gt;"",VLOOKUP(I1862,'Legal Nature'!$E$2:$G$84,3,0),"")</f>
        <v/>
      </c>
      <c r="AD1862" s="72" t="str">
        <f aca="false">IF(AC1862&lt;&gt;"",VLOOKUP(AC1862,Selects!$B$4:$C$100,2,0),"")</f>
        <v/>
      </c>
      <c r="AH1862" s="65"/>
      <c r="AJ1862" s="66"/>
      <c r="AM1862" s="68" t="str">
        <f aca="false">IF(LEFT(AL1862,1)="9","Celular",IF(AL1862="","","Fixo"))</f>
        <v/>
      </c>
      <c r="AN1862" s="58" t="str">
        <f aca="false">IF( AM1862&lt;&gt;"",VLOOKUP(AM1862,Selects!$M$4:$N$1000,2,0),"")</f>
        <v/>
      </c>
      <c r="BB1862" s="72" t="str">
        <f aca="false">IF(BA1862&lt;&gt;"",VLOOKUP(BA1862,Selects!$B$4:$C$100,2,0),"")</f>
        <v/>
      </c>
      <c r="BG1862" s="75" t="str">
        <f aca="false">IF(LEN(BF1862)=11,"PF",IF(LEN(BF1862)=14,"PJ",""))</f>
        <v/>
      </c>
      <c r="BH1862" s="66"/>
      <c r="CB1862" s="72" t="str">
        <f aca="false">IF(AC1862&lt;&gt;"",VLOOKUP(AC1862,Selects!$B:$E,4,0),"")</f>
        <v/>
      </c>
    </row>
    <row r="1863" customFormat="false" ht="15" hidden="true" customHeight="false" outlineLevel="0" collapsed="false">
      <c r="E1863" s="60" t="str">
        <f aca="false">IF(LEN(D1863)=11,"PF",IF(LEN(D1863)=14,"PJ",""))</f>
        <v/>
      </c>
      <c r="I1863" s="62"/>
      <c r="J1863" s="63" t="str">
        <f aca="false">IF(I1863&lt;&gt;"",VLOOKUP(I1863,'Legal Nature'!$E$2:$G$84,3,0),"")</f>
        <v/>
      </c>
      <c r="AD1863" s="72" t="str">
        <f aca="false">IF(AC1863&lt;&gt;"",VLOOKUP(AC1863,Selects!$B$4:$C$100,2,0),"")</f>
        <v/>
      </c>
      <c r="AH1863" s="65"/>
      <c r="AJ1863" s="66"/>
      <c r="AM1863" s="68" t="str">
        <f aca="false">IF(LEFT(AL1863,1)="9","Celular",IF(AL1863="","","Fixo"))</f>
        <v/>
      </c>
      <c r="AN1863" s="58" t="str">
        <f aca="false">IF( AM1863&lt;&gt;"",VLOOKUP(AM1863,Selects!$M$4:$N$1000,2,0),"")</f>
        <v/>
      </c>
      <c r="BB1863" s="72" t="str">
        <f aca="false">IF(BA1863&lt;&gt;"",VLOOKUP(BA1863,Selects!$B$4:$C$100,2,0),"")</f>
        <v/>
      </c>
      <c r="BG1863" s="75" t="str">
        <f aca="false">IF(LEN(BF1863)=11,"PF",IF(LEN(BF1863)=14,"PJ",""))</f>
        <v/>
      </c>
      <c r="BH1863" s="66"/>
      <c r="CB1863" s="72" t="str">
        <f aca="false">IF(AC1863&lt;&gt;"",VLOOKUP(AC1863,Selects!$B:$E,4,0),"")</f>
        <v/>
      </c>
    </row>
    <row r="1864" customFormat="false" ht="15" hidden="true" customHeight="false" outlineLevel="0" collapsed="false">
      <c r="E1864" s="60" t="str">
        <f aca="false">IF(LEN(D1864)=11,"PF",IF(LEN(D1864)=14,"PJ",""))</f>
        <v/>
      </c>
      <c r="I1864" s="62"/>
      <c r="J1864" s="63" t="str">
        <f aca="false">IF(I1864&lt;&gt;"",VLOOKUP(I1864,'Legal Nature'!$E$2:$G$84,3,0),"")</f>
        <v/>
      </c>
      <c r="AD1864" s="72" t="str">
        <f aca="false">IF(AC1864&lt;&gt;"",VLOOKUP(AC1864,Selects!$B$4:$C$100,2,0),"")</f>
        <v/>
      </c>
      <c r="AH1864" s="65"/>
      <c r="AJ1864" s="66"/>
      <c r="AM1864" s="68" t="str">
        <f aca="false">IF(LEFT(AL1864,1)="9","Celular",IF(AL1864="","","Fixo"))</f>
        <v/>
      </c>
      <c r="AN1864" s="58" t="str">
        <f aca="false">IF( AM1864&lt;&gt;"",VLOOKUP(AM1864,Selects!$M$4:$N$1000,2,0),"")</f>
        <v/>
      </c>
      <c r="BB1864" s="72" t="str">
        <f aca="false">IF(BA1864&lt;&gt;"",VLOOKUP(BA1864,Selects!$B$4:$C$100,2,0),"")</f>
        <v/>
      </c>
      <c r="BG1864" s="75" t="str">
        <f aca="false">IF(LEN(BF1864)=11,"PF",IF(LEN(BF1864)=14,"PJ",""))</f>
        <v/>
      </c>
      <c r="BH1864" s="66"/>
      <c r="CB1864" s="72" t="str">
        <f aca="false">IF(AC1864&lt;&gt;"",VLOOKUP(AC1864,Selects!$B:$E,4,0),"")</f>
        <v/>
      </c>
    </row>
    <row r="1865" customFormat="false" ht="15" hidden="true" customHeight="false" outlineLevel="0" collapsed="false">
      <c r="E1865" s="60" t="str">
        <f aca="false">IF(LEN(D1865)=11,"PF",IF(LEN(D1865)=14,"PJ",""))</f>
        <v/>
      </c>
      <c r="I1865" s="62"/>
      <c r="J1865" s="63" t="str">
        <f aca="false">IF(I1865&lt;&gt;"",VLOOKUP(I1865,'Legal Nature'!$E$2:$G$84,3,0),"")</f>
        <v/>
      </c>
      <c r="AD1865" s="72" t="str">
        <f aca="false">IF(AC1865&lt;&gt;"",VLOOKUP(AC1865,Selects!$B$4:$C$100,2,0),"")</f>
        <v/>
      </c>
      <c r="AH1865" s="65"/>
      <c r="AJ1865" s="66"/>
      <c r="AM1865" s="68" t="str">
        <f aca="false">IF(LEFT(AL1865,1)="9","Celular",IF(AL1865="","","Fixo"))</f>
        <v/>
      </c>
      <c r="AN1865" s="58" t="str">
        <f aca="false">IF( AM1865&lt;&gt;"",VLOOKUP(AM1865,Selects!$M$4:$N$1000,2,0),"")</f>
        <v/>
      </c>
      <c r="BB1865" s="72" t="str">
        <f aca="false">IF(BA1865&lt;&gt;"",VLOOKUP(BA1865,Selects!$B$4:$C$100,2,0),"")</f>
        <v/>
      </c>
      <c r="BG1865" s="75" t="str">
        <f aca="false">IF(LEN(BF1865)=11,"PF",IF(LEN(BF1865)=14,"PJ",""))</f>
        <v/>
      </c>
      <c r="BH1865" s="66"/>
      <c r="CB1865" s="72" t="str">
        <f aca="false">IF(AC1865&lt;&gt;"",VLOOKUP(AC1865,Selects!$B:$E,4,0),"")</f>
        <v/>
      </c>
    </row>
    <row r="1866" customFormat="false" ht="15" hidden="true" customHeight="false" outlineLevel="0" collapsed="false">
      <c r="E1866" s="60" t="str">
        <f aca="false">IF(LEN(D1866)=11,"PF",IF(LEN(D1866)=14,"PJ",""))</f>
        <v/>
      </c>
      <c r="I1866" s="62"/>
      <c r="J1866" s="63" t="str">
        <f aca="false">IF(I1866&lt;&gt;"",VLOOKUP(I1866,'Legal Nature'!$E$2:$G$84,3,0),"")</f>
        <v/>
      </c>
      <c r="AD1866" s="72" t="str">
        <f aca="false">IF(AC1866&lt;&gt;"",VLOOKUP(AC1866,Selects!$B$4:$C$100,2,0),"")</f>
        <v/>
      </c>
      <c r="AH1866" s="65"/>
      <c r="AJ1866" s="66"/>
      <c r="AM1866" s="68" t="str">
        <f aca="false">IF(LEFT(AL1866,1)="9","Celular",IF(AL1866="","","Fixo"))</f>
        <v/>
      </c>
      <c r="AN1866" s="58" t="str">
        <f aca="false">IF( AM1866&lt;&gt;"",VLOOKUP(AM1866,Selects!$M$4:$N$1000,2,0),"")</f>
        <v/>
      </c>
      <c r="BB1866" s="72" t="str">
        <f aca="false">IF(BA1866&lt;&gt;"",VLOOKUP(BA1866,Selects!$B$4:$C$100,2,0),"")</f>
        <v/>
      </c>
      <c r="BG1866" s="75" t="str">
        <f aca="false">IF(LEN(BF1866)=11,"PF",IF(LEN(BF1866)=14,"PJ",""))</f>
        <v/>
      </c>
      <c r="BH1866" s="66"/>
      <c r="CB1866" s="72" t="str">
        <f aca="false">IF(AC1866&lt;&gt;"",VLOOKUP(AC1866,Selects!$B:$E,4,0),"")</f>
        <v/>
      </c>
    </row>
    <row r="1867" customFormat="false" ht="15" hidden="true" customHeight="false" outlineLevel="0" collapsed="false">
      <c r="E1867" s="60" t="str">
        <f aca="false">IF(LEN(D1867)=11,"PF",IF(LEN(D1867)=14,"PJ",""))</f>
        <v/>
      </c>
      <c r="I1867" s="62"/>
      <c r="J1867" s="63" t="str">
        <f aca="false">IF(I1867&lt;&gt;"",VLOOKUP(I1867,'Legal Nature'!$E$2:$G$84,3,0),"")</f>
        <v/>
      </c>
      <c r="AD1867" s="72" t="str">
        <f aca="false">IF(AC1867&lt;&gt;"",VLOOKUP(AC1867,Selects!$B$4:$C$100,2,0),"")</f>
        <v/>
      </c>
      <c r="AH1867" s="65"/>
      <c r="AJ1867" s="66"/>
      <c r="AM1867" s="68" t="str">
        <f aca="false">IF(LEFT(AL1867,1)="9","Celular",IF(AL1867="","","Fixo"))</f>
        <v/>
      </c>
      <c r="AN1867" s="58" t="str">
        <f aca="false">IF( AM1867&lt;&gt;"",VLOOKUP(AM1867,Selects!$M$4:$N$1000,2,0),"")</f>
        <v/>
      </c>
      <c r="BB1867" s="72" t="str">
        <f aca="false">IF(BA1867&lt;&gt;"",VLOOKUP(BA1867,Selects!$B$4:$C$100,2,0),"")</f>
        <v/>
      </c>
      <c r="BG1867" s="75" t="str">
        <f aca="false">IF(LEN(BF1867)=11,"PF",IF(LEN(BF1867)=14,"PJ",""))</f>
        <v/>
      </c>
      <c r="BH1867" s="66"/>
      <c r="CB1867" s="72" t="str">
        <f aca="false">IF(AC1867&lt;&gt;"",VLOOKUP(AC1867,Selects!$B:$E,4,0),"")</f>
        <v/>
      </c>
    </row>
    <row r="1868" customFormat="false" ht="15" hidden="true" customHeight="false" outlineLevel="0" collapsed="false">
      <c r="E1868" s="60" t="str">
        <f aca="false">IF(LEN(D1868)=11,"PF",IF(LEN(D1868)=14,"PJ",""))</f>
        <v/>
      </c>
      <c r="I1868" s="62"/>
      <c r="J1868" s="63" t="str">
        <f aca="false">IF(I1868&lt;&gt;"",VLOOKUP(I1868,'Legal Nature'!$E$2:$G$84,3,0),"")</f>
        <v/>
      </c>
      <c r="AD1868" s="72" t="str">
        <f aca="false">IF(AC1868&lt;&gt;"",VLOOKUP(AC1868,Selects!$B$4:$C$100,2,0),"")</f>
        <v/>
      </c>
      <c r="AH1868" s="65"/>
      <c r="AJ1868" s="66"/>
      <c r="AM1868" s="68" t="str">
        <f aca="false">IF(LEFT(AL1868,1)="9","Celular",IF(AL1868="","","Fixo"))</f>
        <v/>
      </c>
      <c r="AN1868" s="58" t="str">
        <f aca="false">IF( AM1868&lt;&gt;"",VLOOKUP(AM1868,Selects!$M$4:$N$1000,2,0),"")</f>
        <v/>
      </c>
      <c r="BB1868" s="72" t="str">
        <f aca="false">IF(BA1868&lt;&gt;"",VLOOKUP(BA1868,Selects!$B$4:$C$100,2,0),"")</f>
        <v/>
      </c>
      <c r="BG1868" s="75" t="str">
        <f aca="false">IF(LEN(BF1868)=11,"PF",IF(LEN(BF1868)=14,"PJ",""))</f>
        <v/>
      </c>
      <c r="BH1868" s="66"/>
      <c r="CB1868" s="72" t="str">
        <f aca="false">IF(AC1868&lt;&gt;"",VLOOKUP(AC1868,Selects!$B:$E,4,0),"")</f>
        <v/>
      </c>
    </row>
    <row r="1869" customFormat="false" ht="15" hidden="true" customHeight="false" outlineLevel="0" collapsed="false">
      <c r="E1869" s="60" t="str">
        <f aca="false">IF(LEN(D1869)=11,"PF",IF(LEN(D1869)=14,"PJ",""))</f>
        <v/>
      </c>
      <c r="I1869" s="62"/>
      <c r="J1869" s="63" t="str">
        <f aca="false">IF(I1869&lt;&gt;"",VLOOKUP(I1869,'Legal Nature'!$E$2:$G$84,3,0),"")</f>
        <v/>
      </c>
      <c r="AD1869" s="72" t="str">
        <f aca="false">IF(AC1869&lt;&gt;"",VLOOKUP(AC1869,Selects!$B$4:$C$100,2,0),"")</f>
        <v/>
      </c>
      <c r="AH1869" s="65"/>
      <c r="AJ1869" s="66"/>
      <c r="AM1869" s="68" t="str">
        <f aca="false">IF(LEFT(AL1869,1)="9","Celular",IF(AL1869="","","Fixo"))</f>
        <v/>
      </c>
      <c r="AN1869" s="58" t="str">
        <f aca="false">IF( AM1869&lt;&gt;"",VLOOKUP(AM1869,Selects!$M$4:$N$1000,2,0),"")</f>
        <v/>
      </c>
      <c r="BB1869" s="72" t="str">
        <f aca="false">IF(BA1869&lt;&gt;"",VLOOKUP(BA1869,Selects!$B$4:$C$100,2,0),"")</f>
        <v/>
      </c>
      <c r="BG1869" s="75" t="str">
        <f aca="false">IF(LEN(BF1869)=11,"PF",IF(LEN(BF1869)=14,"PJ",""))</f>
        <v/>
      </c>
      <c r="BH1869" s="66"/>
      <c r="CB1869" s="72" t="str">
        <f aca="false">IF(AC1869&lt;&gt;"",VLOOKUP(AC1869,Selects!$B:$E,4,0),"")</f>
        <v/>
      </c>
    </row>
    <row r="1870" customFormat="false" ht="15" hidden="true" customHeight="false" outlineLevel="0" collapsed="false">
      <c r="E1870" s="60" t="str">
        <f aca="false">IF(LEN(D1870)=11,"PF",IF(LEN(D1870)=14,"PJ",""))</f>
        <v/>
      </c>
      <c r="I1870" s="62"/>
      <c r="J1870" s="63" t="str">
        <f aca="false">IF(I1870&lt;&gt;"",VLOOKUP(I1870,'Legal Nature'!$E$2:$G$84,3,0),"")</f>
        <v/>
      </c>
      <c r="AD1870" s="72" t="str">
        <f aca="false">IF(AC1870&lt;&gt;"",VLOOKUP(AC1870,Selects!$B$4:$C$100,2,0),"")</f>
        <v/>
      </c>
      <c r="AH1870" s="65"/>
      <c r="AJ1870" s="66"/>
      <c r="AM1870" s="68" t="str">
        <f aca="false">IF(LEFT(AL1870,1)="9","Celular",IF(AL1870="","","Fixo"))</f>
        <v/>
      </c>
      <c r="AN1870" s="58" t="str">
        <f aca="false">IF( AM1870&lt;&gt;"",VLOOKUP(AM1870,Selects!$M$4:$N$1000,2,0),"")</f>
        <v/>
      </c>
      <c r="BB1870" s="72" t="str">
        <f aca="false">IF(BA1870&lt;&gt;"",VLOOKUP(BA1870,Selects!$B$4:$C$100,2,0),"")</f>
        <v/>
      </c>
      <c r="BG1870" s="75" t="str">
        <f aca="false">IF(LEN(BF1870)=11,"PF",IF(LEN(BF1870)=14,"PJ",""))</f>
        <v/>
      </c>
      <c r="BH1870" s="66"/>
      <c r="CB1870" s="72" t="str">
        <f aca="false">IF(AC1870&lt;&gt;"",VLOOKUP(AC1870,Selects!$B:$E,4,0),"")</f>
        <v/>
      </c>
    </row>
    <row r="1871" customFormat="false" ht="15" hidden="true" customHeight="false" outlineLevel="0" collapsed="false">
      <c r="E1871" s="60" t="str">
        <f aca="false">IF(LEN(D1871)=11,"PF",IF(LEN(D1871)=14,"PJ",""))</f>
        <v/>
      </c>
      <c r="I1871" s="62"/>
      <c r="J1871" s="63" t="str">
        <f aca="false">IF(I1871&lt;&gt;"",VLOOKUP(I1871,'Legal Nature'!$E$2:$G$84,3,0),"")</f>
        <v/>
      </c>
      <c r="AD1871" s="72" t="str">
        <f aca="false">IF(AC1871&lt;&gt;"",VLOOKUP(AC1871,Selects!$B$4:$C$100,2,0),"")</f>
        <v/>
      </c>
      <c r="AH1871" s="65"/>
      <c r="AJ1871" s="66"/>
      <c r="AM1871" s="68" t="str">
        <f aca="false">IF(LEFT(AL1871,1)="9","Celular",IF(AL1871="","","Fixo"))</f>
        <v/>
      </c>
      <c r="AN1871" s="58" t="str">
        <f aca="false">IF( AM1871&lt;&gt;"",VLOOKUP(AM1871,Selects!$M$4:$N$1000,2,0),"")</f>
        <v/>
      </c>
      <c r="BB1871" s="72" t="str">
        <f aca="false">IF(BA1871&lt;&gt;"",VLOOKUP(BA1871,Selects!$B$4:$C$100,2,0),"")</f>
        <v/>
      </c>
      <c r="BG1871" s="75" t="str">
        <f aca="false">IF(LEN(BF1871)=11,"PF",IF(LEN(BF1871)=14,"PJ",""))</f>
        <v/>
      </c>
      <c r="BH1871" s="66"/>
      <c r="CB1871" s="72" t="str">
        <f aca="false">IF(AC1871&lt;&gt;"",VLOOKUP(AC1871,Selects!$B:$E,4,0),"")</f>
        <v/>
      </c>
    </row>
    <row r="1872" customFormat="false" ht="15" hidden="true" customHeight="false" outlineLevel="0" collapsed="false">
      <c r="E1872" s="60" t="str">
        <f aca="false">IF(LEN(D1872)=11,"PF",IF(LEN(D1872)=14,"PJ",""))</f>
        <v/>
      </c>
      <c r="I1872" s="62"/>
      <c r="J1872" s="63" t="str">
        <f aca="false">IF(I1872&lt;&gt;"",VLOOKUP(I1872,'Legal Nature'!$E$2:$G$84,3,0),"")</f>
        <v/>
      </c>
      <c r="AD1872" s="72" t="str">
        <f aca="false">IF(AC1872&lt;&gt;"",VLOOKUP(AC1872,Selects!$B$4:$C$100,2,0),"")</f>
        <v/>
      </c>
      <c r="AH1872" s="65"/>
      <c r="AJ1872" s="66"/>
      <c r="AM1872" s="68" t="str">
        <f aca="false">IF(LEFT(AL1872,1)="9","Celular",IF(AL1872="","","Fixo"))</f>
        <v/>
      </c>
      <c r="AN1872" s="58" t="str">
        <f aca="false">IF( AM1872&lt;&gt;"",VLOOKUP(AM1872,Selects!$M$4:$N$1000,2,0),"")</f>
        <v/>
      </c>
      <c r="BB1872" s="72" t="str">
        <f aca="false">IF(BA1872&lt;&gt;"",VLOOKUP(BA1872,Selects!$B$4:$C$100,2,0),"")</f>
        <v/>
      </c>
      <c r="BG1872" s="75" t="str">
        <f aca="false">IF(LEN(BF1872)=11,"PF",IF(LEN(BF1872)=14,"PJ",""))</f>
        <v/>
      </c>
      <c r="BH1872" s="66"/>
      <c r="CB1872" s="72" t="str">
        <f aca="false">IF(AC1872&lt;&gt;"",VLOOKUP(AC1872,Selects!$B:$E,4,0),"")</f>
        <v/>
      </c>
    </row>
    <row r="1873" customFormat="false" ht="15" hidden="true" customHeight="false" outlineLevel="0" collapsed="false">
      <c r="E1873" s="60" t="str">
        <f aca="false">IF(LEN(D1873)=11,"PF",IF(LEN(D1873)=14,"PJ",""))</f>
        <v/>
      </c>
      <c r="I1873" s="62"/>
      <c r="J1873" s="63" t="str">
        <f aca="false">IF(I1873&lt;&gt;"",VLOOKUP(I1873,'Legal Nature'!$E$2:$G$84,3,0),"")</f>
        <v/>
      </c>
      <c r="AD1873" s="72" t="str">
        <f aca="false">IF(AC1873&lt;&gt;"",VLOOKUP(AC1873,Selects!$B$4:$C$100,2,0),"")</f>
        <v/>
      </c>
      <c r="AH1873" s="65"/>
      <c r="AJ1873" s="66"/>
      <c r="AM1873" s="68" t="str">
        <f aca="false">IF(LEFT(AL1873,1)="9","Celular",IF(AL1873="","","Fixo"))</f>
        <v/>
      </c>
      <c r="AN1873" s="58" t="str">
        <f aca="false">IF( AM1873&lt;&gt;"",VLOOKUP(AM1873,Selects!$M$4:$N$1000,2,0),"")</f>
        <v/>
      </c>
      <c r="BB1873" s="72" t="str">
        <f aca="false">IF(BA1873&lt;&gt;"",VLOOKUP(BA1873,Selects!$B$4:$C$100,2,0),"")</f>
        <v/>
      </c>
      <c r="BG1873" s="75" t="str">
        <f aca="false">IF(LEN(BF1873)=11,"PF",IF(LEN(BF1873)=14,"PJ",""))</f>
        <v/>
      </c>
      <c r="BH1873" s="66"/>
      <c r="CB1873" s="72" t="str">
        <f aca="false">IF(AC1873&lt;&gt;"",VLOOKUP(AC1873,Selects!$B:$E,4,0),"")</f>
        <v/>
      </c>
    </row>
    <row r="1874" customFormat="false" ht="15" hidden="true" customHeight="false" outlineLevel="0" collapsed="false">
      <c r="E1874" s="60" t="str">
        <f aca="false">IF(LEN(D1874)=11,"PF",IF(LEN(D1874)=14,"PJ",""))</f>
        <v/>
      </c>
      <c r="I1874" s="62"/>
      <c r="J1874" s="63" t="str">
        <f aca="false">IF(I1874&lt;&gt;"",VLOOKUP(I1874,'Legal Nature'!$E$2:$G$84,3,0),"")</f>
        <v/>
      </c>
      <c r="AD1874" s="72" t="str">
        <f aca="false">IF(AC1874&lt;&gt;"",VLOOKUP(AC1874,Selects!$B$4:$C$100,2,0),"")</f>
        <v/>
      </c>
      <c r="AH1874" s="65"/>
      <c r="AJ1874" s="66"/>
      <c r="AM1874" s="68" t="str">
        <f aca="false">IF(LEFT(AL1874,1)="9","Celular",IF(AL1874="","","Fixo"))</f>
        <v/>
      </c>
      <c r="AN1874" s="58" t="str">
        <f aca="false">IF( AM1874&lt;&gt;"",VLOOKUP(AM1874,Selects!$M$4:$N$1000,2,0),"")</f>
        <v/>
      </c>
      <c r="BB1874" s="72" t="str">
        <f aca="false">IF(BA1874&lt;&gt;"",VLOOKUP(BA1874,Selects!$B$4:$C$100,2,0),"")</f>
        <v/>
      </c>
      <c r="BG1874" s="75" t="str">
        <f aca="false">IF(LEN(BF1874)=11,"PF",IF(LEN(BF1874)=14,"PJ",""))</f>
        <v/>
      </c>
      <c r="BH1874" s="66"/>
      <c r="CB1874" s="72" t="str">
        <f aca="false">IF(AC1874&lt;&gt;"",VLOOKUP(AC1874,Selects!$B:$E,4,0),"")</f>
        <v/>
      </c>
    </row>
    <row r="1875" customFormat="false" ht="15" hidden="true" customHeight="false" outlineLevel="0" collapsed="false">
      <c r="E1875" s="60" t="str">
        <f aca="false">IF(LEN(D1875)=11,"PF",IF(LEN(D1875)=14,"PJ",""))</f>
        <v/>
      </c>
      <c r="I1875" s="62"/>
      <c r="J1875" s="63" t="str">
        <f aca="false">IF(I1875&lt;&gt;"",VLOOKUP(I1875,'Legal Nature'!$E$2:$G$84,3,0),"")</f>
        <v/>
      </c>
      <c r="AD1875" s="72" t="str">
        <f aca="false">IF(AC1875&lt;&gt;"",VLOOKUP(AC1875,Selects!$B$4:$C$100,2,0),"")</f>
        <v/>
      </c>
      <c r="AH1875" s="65"/>
      <c r="AJ1875" s="66"/>
      <c r="AM1875" s="68" t="str">
        <f aca="false">IF(LEFT(AL1875,1)="9","Celular",IF(AL1875="","","Fixo"))</f>
        <v/>
      </c>
      <c r="AN1875" s="58" t="str">
        <f aca="false">IF( AM1875&lt;&gt;"",VLOOKUP(AM1875,Selects!$M$4:$N$1000,2,0),"")</f>
        <v/>
      </c>
      <c r="BB1875" s="72" t="str">
        <f aca="false">IF(BA1875&lt;&gt;"",VLOOKUP(BA1875,Selects!$B$4:$C$100,2,0),"")</f>
        <v/>
      </c>
      <c r="BG1875" s="75" t="str">
        <f aca="false">IF(LEN(BF1875)=11,"PF",IF(LEN(BF1875)=14,"PJ",""))</f>
        <v/>
      </c>
      <c r="BH1875" s="66"/>
      <c r="CB1875" s="72" t="str">
        <f aca="false">IF(AC1875&lt;&gt;"",VLOOKUP(AC1875,Selects!$B:$E,4,0),"")</f>
        <v/>
      </c>
    </row>
    <row r="1876" customFormat="false" ht="15" hidden="true" customHeight="false" outlineLevel="0" collapsed="false">
      <c r="E1876" s="60" t="str">
        <f aca="false">IF(LEN(D1876)=11,"PF",IF(LEN(D1876)=14,"PJ",""))</f>
        <v/>
      </c>
      <c r="I1876" s="62"/>
      <c r="J1876" s="63" t="str">
        <f aca="false">IF(I1876&lt;&gt;"",VLOOKUP(I1876,'Legal Nature'!$E$2:$G$84,3,0),"")</f>
        <v/>
      </c>
      <c r="AD1876" s="72" t="str">
        <f aca="false">IF(AC1876&lt;&gt;"",VLOOKUP(AC1876,Selects!$B$4:$C$100,2,0),"")</f>
        <v/>
      </c>
      <c r="AH1876" s="65"/>
      <c r="AJ1876" s="66"/>
      <c r="AM1876" s="68" t="str">
        <f aca="false">IF(LEFT(AL1876,1)="9","Celular",IF(AL1876="","","Fixo"))</f>
        <v/>
      </c>
      <c r="AN1876" s="58" t="str">
        <f aca="false">IF( AM1876&lt;&gt;"",VLOOKUP(AM1876,Selects!$M$4:$N$1000,2,0),"")</f>
        <v/>
      </c>
      <c r="BB1876" s="72" t="str">
        <f aca="false">IF(BA1876&lt;&gt;"",VLOOKUP(BA1876,Selects!$B$4:$C$100,2,0),"")</f>
        <v/>
      </c>
      <c r="BG1876" s="75" t="str">
        <f aca="false">IF(LEN(BF1876)=11,"PF",IF(LEN(BF1876)=14,"PJ",""))</f>
        <v/>
      </c>
      <c r="BH1876" s="66"/>
      <c r="CB1876" s="72" t="str">
        <f aca="false">IF(AC1876&lt;&gt;"",VLOOKUP(AC1876,Selects!$B:$E,4,0),"")</f>
        <v/>
      </c>
    </row>
    <row r="1877" customFormat="false" ht="15" hidden="true" customHeight="false" outlineLevel="0" collapsed="false">
      <c r="E1877" s="60" t="str">
        <f aca="false">IF(LEN(D1877)=11,"PF",IF(LEN(D1877)=14,"PJ",""))</f>
        <v/>
      </c>
      <c r="I1877" s="62"/>
      <c r="J1877" s="63" t="str">
        <f aca="false">IF(I1877&lt;&gt;"",VLOOKUP(I1877,'Legal Nature'!$E$2:$G$84,3,0),"")</f>
        <v/>
      </c>
      <c r="AD1877" s="72" t="str">
        <f aca="false">IF(AC1877&lt;&gt;"",VLOOKUP(AC1877,Selects!$B$4:$C$100,2,0),"")</f>
        <v/>
      </c>
      <c r="AH1877" s="65"/>
      <c r="AJ1877" s="66"/>
      <c r="AM1877" s="68" t="str">
        <f aca="false">IF(LEFT(AL1877,1)="9","Celular",IF(AL1877="","","Fixo"))</f>
        <v/>
      </c>
      <c r="AN1877" s="58" t="str">
        <f aca="false">IF( AM1877&lt;&gt;"",VLOOKUP(AM1877,Selects!$M$4:$N$1000,2,0),"")</f>
        <v/>
      </c>
      <c r="BB1877" s="72" t="str">
        <f aca="false">IF(BA1877&lt;&gt;"",VLOOKUP(BA1877,Selects!$B$4:$C$100,2,0),"")</f>
        <v/>
      </c>
      <c r="BG1877" s="75" t="str">
        <f aca="false">IF(LEN(BF1877)=11,"PF",IF(LEN(BF1877)=14,"PJ",""))</f>
        <v/>
      </c>
      <c r="BH1877" s="66"/>
      <c r="CB1877" s="72" t="str">
        <f aca="false">IF(AC1877&lt;&gt;"",VLOOKUP(AC1877,Selects!$B:$E,4,0),"")</f>
        <v/>
      </c>
    </row>
    <row r="1878" customFormat="false" ht="15" hidden="true" customHeight="false" outlineLevel="0" collapsed="false">
      <c r="E1878" s="60" t="str">
        <f aca="false">IF(LEN(D1878)=11,"PF",IF(LEN(D1878)=14,"PJ",""))</f>
        <v/>
      </c>
      <c r="I1878" s="62"/>
      <c r="J1878" s="63" t="str">
        <f aca="false">IF(I1878&lt;&gt;"",VLOOKUP(I1878,'Legal Nature'!$E$2:$G$84,3,0),"")</f>
        <v/>
      </c>
      <c r="AD1878" s="72" t="str">
        <f aca="false">IF(AC1878&lt;&gt;"",VLOOKUP(AC1878,Selects!$B$4:$C$100,2,0),"")</f>
        <v/>
      </c>
      <c r="AH1878" s="65"/>
      <c r="AJ1878" s="66"/>
      <c r="AM1878" s="68" t="str">
        <f aca="false">IF(LEFT(AL1878,1)="9","Celular",IF(AL1878="","","Fixo"))</f>
        <v/>
      </c>
      <c r="AN1878" s="58" t="str">
        <f aca="false">IF( AM1878&lt;&gt;"",VLOOKUP(AM1878,Selects!$M$4:$N$1000,2,0),"")</f>
        <v/>
      </c>
      <c r="BB1878" s="72" t="str">
        <f aca="false">IF(BA1878&lt;&gt;"",VLOOKUP(BA1878,Selects!$B$4:$C$100,2,0),"")</f>
        <v/>
      </c>
      <c r="BG1878" s="75" t="str">
        <f aca="false">IF(LEN(BF1878)=11,"PF",IF(LEN(BF1878)=14,"PJ",""))</f>
        <v/>
      </c>
      <c r="BH1878" s="66"/>
      <c r="CB1878" s="72" t="str">
        <f aca="false">IF(AC1878&lt;&gt;"",VLOOKUP(AC1878,Selects!$B:$E,4,0),"")</f>
        <v/>
      </c>
    </row>
    <row r="1879" customFormat="false" ht="15" hidden="true" customHeight="false" outlineLevel="0" collapsed="false">
      <c r="E1879" s="60" t="str">
        <f aca="false">IF(LEN(D1879)=11,"PF",IF(LEN(D1879)=14,"PJ",""))</f>
        <v/>
      </c>
      <c r="I1879" s="62"/>
      <c r="J1879" s="63" t="str">
        <f aca="false">IF(I1879&lt;&gt;"",VLOOKUP(I1879,'Legal Nature'!$E$2:$G$84,3,0),"")</f>
        <v/>
      </c>
      <c r="AD1879" s="72" t="str">
        <f aca="false">IF(AC1879&lt;&gt;"",VLOOKUP(AC1879,Selects!$B$4:$C$100,2,0),"")</f>
        <v/>
      </c>
      <c r="AH1879" s="65"/>
      <c r="AJ1879" s="66"/>
      <c r="AM1879" s="68" t="str">
        <f aca="false">IF(LEFT(AL1879,1)="9","Celular",IF(AL1879="","","Fixo"))</f>
        <v/>
      </c>
      <c r="AN1879" s="58" t="str">
        <f aca="false">IF( AM1879&lt;&gt;"",VLOOKUP(AM1879,Selects!$M$4:$N$1000,2,0),"")</f>
        <v/>
      </c>
      <c r="BB1879" s="72" t="str">
        <f aca="false">IF(BA1879&lt;&gt;"",VLOOKUP(BA1879,Selects!$B$4:$C$100,2,0),"")</f>
        <v/>
      </c>
      <c r="BG1879" s="75" t="str">
        <f aca="false">IF(LEN(BF1879)=11,"PF",IF(LEN(BF1879)=14,"PJ",""))</f>
        <v/>
      </c>
      <c r="BH1879" s="66"/>
      <c r="CB1879" s="72" t="str">
        <f aca="false">IF(AC1879&lt;&gt;"",VLOOKUP(AC1879,Selects!$B:$E,4,0),"")</f>
        <v/>
      </c>
    </row>
    <row r="1880" customFormat="false" ht="15" hidden="true" customHeight="false" outlineLevel="0" collapsed="false">
      <c r="E1880" s="60" t="str">
        <f aca="false">IF(LEN(D1880)=11,"PF",IF(LEN(D1880)=14,"PJ",""))</f>
        <v/>
      </c>
      <c r="I1880" s="62"/>
      <c r="J1880" s="63" t="str">
        <f aca="false">IF(I1880&lt;&gt;"",VLOOKUP(I1880,'Legal Nature'!$E$2:$G$84,3,0),"")</f>
        <v/>
      </c>
      <c r="AD1880" s="72" t="str">
        <f aca="false">IF(AC1880&lt;&gt;"",VLOOKUP(AC1880,Selects!$B$4:$C$100,2,0),"")</f>
        <v/>
      </c>
      <c r="AH1880" s="65"/>
      <c r="AJ1880" s="66"/>
      <c r="AM1880" s="68" t="str">
        <f aca="false">IF(LEFT(AL1880,1)="9","Celular",IF(AL1880="","","Fixo"))</f>
        <v/>
      </c>
      <c r="AN1880" s="58" t="str">
        <f aca="false">IF( AM1880&lt;&gt;"",VLOOKUP(AM1880,Selects!$M$4:$N$1000,2,0),"")</f>
        <v/>
      </c>
      <c r="BB1880" s="72" t="str">
        <f aca="false">IF(BA1880&lt;&gt;"",VLOOKUP(BA1880,Selects!$B$4:$C$100,2,0),"")</f>
        <v/>
      </c>
      <c r="BG1880" s="75" t="str">
        <f aca="false">IF(LEN(BF1880)=11,"PF",IF(LEN(BF1880)=14,"PJ",""))</f>
        <v/>
      </c>
      <c r="BH1880" s="66"/>
      <c r="CB1880" s="72" t="str">
        <f aca="false">IF(AC1880&lt;&gt;"",VLOOKUP(AC1880,Selects!$B:$E,4,0),"")</f>
        <v/>
      </c>
    </row>
    <row r="1881" customFormat="false" ht="15" hidden="true" customHeight="false" outlineLevel="0" collapsed="false">
      <c r="E1881" s="60" t="str">
        <f aca="false">IF(LEN(D1881)=11,"PF",IF(LEN(D1881)=14,"PJ",""))</f>
        <v/>
      </c>
      <c r="I1881" s="62"/>
      <c r="J1881" s="63" t="str">
        <f aca="false">IF(I1881&lt;&gt;"",VLOOKUP(I1881,'Legal Nature'!$E$2:$G$84,3,0),"")</f>
        <v/>
      </c>
      <c r="AD1881" s="72" t="str">
        <f aca="false">IF(AC1881&lt;&gt;"",VLOOKUP(AC1881,Selects!$B$4:$C$100,2,0),"")</f>
        <v/>
      </c>
      <c r="AH1881" s="65"/>
      <c r="AJ1881" s="66"/>
      <c r="AM1881" s="68" t="str">
        <f aca="false">IF(LEFT(AL1881,1)="9","Celular",IF(AL1881="","","Fixo"))</f>
        <v/>
      </c>
      <c r="AN1881" s="58" t="str">
        <f aca="false">IF( AM1881&lt;&gt;"",VLOOKUP(AM1881,Selects!$M$4:$N$1000,2,0),"")</f>
        <v/>
      </c>
      <c r="BB1881" s="72" t="str">
        <f aca="false">IF(BA1881&lt;&gt;"",VLOOKUP(BA1881,Selects!$B$4:$C$100,2,0),"")</f>
        <v/>
      </c>
      <c r="BG1881" s="75" t="str">
        <f aca="false">IF(LEN(BF1881)=11,"PF",IF(LEN(BF1881)=14,"PJ",""))</f>
        <v/>
      </c>
      <c r="BH1881" s="66"/>
      <c r="CB1881" s="72" t="str">
        <f aca="false">IF(AC1881&lt;&gt;"",VLOOKUP(AC1881,Selects!$B:$E,4,0),"")</f>
        <v/>
      </c>
    </row>
    <row r="1882" customFormat="false" ht="15" hidden="true" customHeight="false" outlineLevel="0" collapsed="false">
      <c r="E1882" s="60" t="str">
        <f aca="false">IF(LEN(D1882)=11,"PF",IF(LEN(D1882)=14,"PJ",""))</f>
        <v/>
      </c>
      <c r="I1882" s="62"/>
      <c r="J1882" s="63" t="str">
        <f aca="false">IF(I1882&lt;&gt;"",VLOOKUP(I1882,'Legal Nature'!$E$2:$G$84,3,0),"")</f>
        <v/>
      </c>
      <c r="AD1882" s="72" t="str">
        <f aca="false">IF(AC1882&lt;&gt;"",VLOOKUP(AC1882,Selects!$B$4:$C$100,2,0),"")</f>
        <v/>
      </c>
      <c r="AH1882" s="65"/>
      <c r="AJ1882" s="66"/>
      <c r="AM1882" s="68" t="str">
        <f aca="false">IF(LEFT(AL1882,1)="9","Celular",IF(AL1882="","","Fixo"))</f>
        <v/>
      </c>
      <c r="AN1882" s="58" t="str">
        <f aca="false">IF( AM1882&lt;&gt;"",VLOOKUP(AM1882,Selects!$M$4:$N$1000,2,0),"")</f>
        <v/>
      </c>
      <c r="BB1882" s="72" t="str">
        <f aca="false">IF(BA1882&lt;&gt;"",VLOOKUP(BA1882,Selects!$B$4:$C$100,2,0),"")</f>
        <v/>
      </c>
      <c r="BG1882" s="75" t="str">
        <f aca="false">IF(LEN(BF1882)=11,"PF",IF(LEN(BF1882)=14,"PJ",""))</f>
        <v/>
      </c>
      <c r="BH1882" s="66"/>
      <c r="CB1882" s="72" t="str">
        <f aca="false">IF(AC1882&lt;&gt;"",VLOOKUP(AC1882,Selects!$B:$E,4,0),"")</f>
        <v/>
      </c>
    </row>
    <row r="1883" customFormat="false" ht="15" hidden="true" customHeight="false" outlineLevel="0" collapsed="false">
      <c r="E1883" s="60" t="str">
        <f aca="false">IF(LEN(D1883)=11,"PF",IF(LEN(D1883)=14,"PJ",""))</f>
        <v/>
      </c>
      <c r="I1883" s="62"/>
      <c r="J1883" s="63" t="str">
        <f aca="false">IF(I1883&lt;&gt;"",VLOOKUP(I1883,'Legal Nature'!$E$2:$G$84,3,0),"")</f>
        <v/>
      </c>
      <c r="AD1883" s="72" t="str">
        <f aca="false">IF(AC1883&lt;&gt;"",VLOOKUP(AC1883,Selects!$B$4:$C$100,2,0),"")</f>
        <v/>
      </c>
      <c r="AH1883" s="65"/>
      <c r="AJ1883" s="66"/>
      <c r="AM1883" s="68" t="str">
        <f aca="false">IF(LEFT(AL1883,1)="9","Celular",IF(AL1883="","","Fixo"))</f>
        <v/>
      </c>
      <c r="AN1883" s="58" t="str">
        <f aca="false">IF( AM1883&lt;&gt;"",VLOOKUP(AM1883,Selects!$M$4:$N$1000,2,0),"")</f>
        <v/>
      </c>
      <c r="BB1883" s="72" t="str">
        <f aca="false">IF(BA1883&lt;&gt;"",VLOOKUP(BA1883,Selects!$B$4:$C$100,2,0),"")</f>
        <v/>
      </c>
      <c r="BG1883" s="75" t="str">
        <f aca="false">IF(LEN(BF1883)=11,"PF",IF(LEN(BF1883)=14,"PJ",""))</f>
        <v/>
      </c>
      <c r="BH1883" s="66"/>
      <c r="CB1883" s="72" t="str">
        <f aca="false">IF(AC1883&lt;&gt;"",VLOOKUP(AC1883,Selects!$B:$E,4,0),"")</f>
        <v/>
      </c>
    </row>
    <row r="1884" customFormat="false" ht="15" hidden="true" customHeight="false" outlineLevel="0" collapsed="false">
      <c r="E1884" s="60" t="str">
        <f aca="false">IF(LEN(D1884)=11,"PF",IF(LEN(D1884)=14,"PJ",""))</f>
        <v/>
      </c>
      <c r="I1884" s="62"/>
      <c r="J1884" s="63" t="str">
        <f aca="false">IF(I1884&lt;&gt;"",VLOOKUP(I1884,'Legal Nature'!$E$2:$G$84,3,0),"")</f>
        <v/>
      </c>
      <c r="AD1884" s="72" t="str">
        <f aca="false">IF(AC1884&lt;&gt;"",VLOOKUP(AC1884,Selects!$B$4:$C$100,2,0),"")</f>
        <v/>
      </c>
      <c r="AH1884" s="65"/>
      <c r="AJ1884" s="66"/>
      <c r="AM1884" s="68" t="str">
        <f aca="false">IF(LEFT(AL1884,1)="9","Celular",IF(AL1884="","","Fixo"))</f>
        <v/>
      </c>
      <c r="AN1884" s="58" t="str">
        <f aca="false">IF( AM1884&lt;&gt;"",VLOOKUP(AM1884,Selects!$M$4:$N$1000,2,0),"")</f>
        <v/>
      </c>
      <c r="BB1884" s="72" t="str">
        <f aca="false">IF(BA1884&lt;&gt;"",VLOOKUP(BA1884,Selects!$B$4:$C$100,2,0),"")</f>
        <v/>
      </c>
      <c r="BG1884" s="75" t="str">
        <f aca="false">IF(LEN(BF1884)=11,"PF",IF(LEN(BF1884)=14,"PJ",""))</f>
        <v/>
      </c>
      <c r="BH1884" s="66"/>
      <c r="CB1884" s="72" t="str">
        <f aca="false">IF(AC1884&lt;&gt;"",VLOOKUP(AC1884,Selects!$B:$E,4,0),"")</f>
        <v/>
      </c>
    </row>
    <row r="1885" customFormat="false" ht="15" hidden="true" customHeight="false" outlineLevel="0" collapsed="false">
      <c r="E1885" s="60" t="str">
        <f aca="false">IF(LEN(D1885)=11,"PF",IF(LEN(D1885)=14,"PJ",""))</f>
        <v/>
      </c>
      <c r="I1885" s="62"/>
      <c r="J1885" s="63" t="str">
        <f aca="false">IF(I1885&lt;&gt;"",VLOOKUP(I1885,'Legal Nature'!$E$2:$G$84,3,0),"")</f>
        <v/>
      </c>
      <c r="AD1885" s="72" t="str">
        <f aca="false">IF(AC1885&lt;&gt;"",VLOOKUP(AC1885,Selects!$B$4:$C$100,2,0),"")</f>
        <v/>
      </c>
      <c r="AH1885" s="65"/>
      <c r="AJ1885" s="66"/>
      <c r="AM1885" s="68" t="str">
        <f aca="false">IF(LEFT(AL1885,1)="9","Celular",IF(AL1885="","","Fixo"))</f>
        <v/>
      </c>
      <c r="AN1885" s="58" t="str">
        <f aca="false">IF( AM1885&lt;&gt;"",VLOOKUP(AM1885,Selects!$M$4:$N$1000,2,0),"")</f>
        <v/>
      </c>
      <c r="BB1885" s="72" t="str">
        <f aca="false">IF(BA1885&lt;&gt;"",VLOOKUP(BA1885,Selects!$B$4:$C$100,2,0),"")</f>
        <v/>
      </c>
      <c r="BG1885" s="75" t="str">
        <f aca="false">IF(LEN(BF1885)=11,"PF",IF(LEN(BF1885)=14,"PJ",""))</f>
        <v/>
      </c>
      <c r="BH1885" s="66"/>
      <c r="CB1885" s="72" t="str">
        <f aca="false">IF(AC1885&lt;&gt;"",VLOOKUP(AC1885,Selects!$B:$E,4,0),"")</f>
        <v/>
      </c>
    </row>
    <row r="1886" customFormat="false" ht="15" hidden="true" customHeight="false" outlineLevel="0" collapsed="false">
      <c r="E1886" s="60" t="str">
        <f aca="false">IF(LEN(D1886)=11,"PF",IF(LEN(D1886)=14,"PJ",""))</f>
        <v/>
      </c>
      <c r="I1886" s="62"/>
      <c r="J1886" s="63" t="str">
        <f aca="false">IF(I1886&lt;&gt;"",VLOOKUP(I1886,'Legal Nature'!$E$2:$G$84,3,0),"")</f>
        <v/>
      </c>
      <c r="AD1886" s="72" t="str">
        <f aca="false">IF(AC1886&lt;&gt;"",VLOOKUP(AC1886,Selects!$B$4:$C$100,2,0),"")</f>
        <v/>
      </c>
      <c r="AH1886" s="65"/>
      <c r="AJ1886" s="66"/>
      <c r="AM1886" s="68" t="str">
        <f aca="false">IF(LEFT(AL1886,1)="9","Celular",IF(AL1886="","","Fixo"))</f>
        <v/>
      </c>
      <c r="AN1886" s="58" t="str">
        <f aca="false">IF( AM1886&lt;&gt;"",VLOOKUP(AM1886,Selects!$M$4:$N$1000,2,0),"")</f>
        <v/>
      </c>
      <c r="BB1886" s="72" t="str">
        <f aca="false">IF(BA1886&lt;&gt;"",VLOOKUP(BA1886,Selects!$B$4:$C$100,2,0),"")</f>
        <v/>
      </c>
      <c r="BG1886" s="75" t="str">
        <f aca="false">IF(LEN(BF1886)=11,"PF",IF(LEN(BF1886)=14,"PJ",""))</f>
        <v/>
      </c>
      <c r="BH1886" s="66"/>
      <c r="CB1886" s="72" t="str">
        <f aca="false">IF(AC1886&lt;&gt;"",VLOOKUP(AC1886,Selects!$B:$E,4,0),"")</f>
        <v/>
      </c>
    </row>
    <row r="1887" customFormat="false" ht="15" hidden="true" customHeight="false" outlineLevel="0" collapsed="false">
      <c r="E1887" s="60" t="str">
        <f aca="false">IF(LEN(D1887)=11,"PF",IF(LEN(D1887)=14,"PJ",""))</f>
        <v/>
      </c>
      <c r="I1887" s="62"/>
      <c r="J1887" s="63" t="str">
        <f aca="false">IF(I1887&lt;&gt;"",VLOOKUP(I1887,'Legal Nature'!$E$2:$G$84,3,0),"")</f>
        <v/>
      </c>
      <c r="AD1887" s="72" t="str">
        <f aca="false">IF(AC1887&lt;&gt;"",VLOOKUP(AC1887,Selects!$B$4:$C$100,2,0),"")</f>
        <v/>
      </c>
      <c r="AH1887" s="65"/>
      <c r="AJ1887" s="66"/>
      <c r="AM1887" s="68" t="str">
        <f aca="false">IF(LEFT(AL1887,1)="9","Celular",IF(AL1887="","","Fixo"))</f>
        <v/>
      </c>
      <c r="AN1887" s="58" t="str">
        <f aca="false">IF( AM1887&lt;&gt;"",VLOOKUP(AM1887,Selects!$M$4:$N$1000,2,0),"")</f>
        <v/>
      </c>
      <c r="BB1887" s="72" t="str">
        <f aca="false">IF(BA1887&lt;&gt;"",VLOOKUP(BA1887,Selects!$B$4:$C$100,2,0),"")</f>
        <v/>
      </c>
      <c r="BG1887" s="75" t="str">
        <f aca="false">IF(LEN(BF1887)=11,"PF",IF(LEN(BF1887)=14,"PJ",""))</f>
        <v/>
      </c>
      <c r="BH1887" s="66"/>
      <c r="CB1887" s="72" t="str">
        <f aca="false">IF(AC1887&lt;&gt;"",VLOOKUP(AC1887,Selects!$B:$E,4,0),"")</f>
        <v/>
      </c>
    </row>
    <row r="1888" customFormat="false" ht="15" hidden="true" customHeight="false" outlineLevel="0" collapsed="false">
      <c r="E1888" s="60" t="str">
        <f aca="false">IF(LEN(D1888)=11,"PF",IF(LEN(D1888)=14,"PJ",""))</f>
        <v/>
      </c>
      <c r="I1888" s="62"/>
      <c r="J1888" s="63" t="str">
        <f aca="false">IF(I1888&lt;&gt;"",VLOOKUP(I1888,'Legal Nature'!$E$2:$G$84,3,0),"")</f>
        <v/>
      </c>
      <c r="AD1888" s="72" t="str">
        <f aca="false">IF(AC1888&lt;&gt;"",VLOOKUP(AC1888,Selects!$B$4:$C$100,2,0),"")</f>
        <v/>
      </c>
      <c r="AH1888" s="65"/>
      <c r="AJ1888" s="66"/>
      <c r="AM1888" s="68" t="str">
        <f aca="false">IF(LEFT(AL1888,1)="9","Celular",IF(AL1888="","","Fixo"))</f>
        <v/>
      </c>
      <c r="AN1888" s="58" t="str">
        <f aca="false">IF( AM1888&lt;&gt;"",VLOOKUP(AM1888,Selects!$M$4:$N$1000,2,0),"")</f>
        <v/>
      </c>
      <c r="BB1888" s="72" t="str">
        <f aca="false">IF(BA1888&lt;&gt;"",VLOOKUP(BA1888,Selects!$B$4:$C$100,2,0),"")</f>
        <v/>
      </c>
      <c r="BG1888" s="75" t="str">
        <f aca="false">IF(LEN(BF1888)=11,"PF",IF(LEN(BF1888)=14,"PJ",""))</f>
        <v/>
      </c>
      <c r="BH1888" s="66"/>
      <c r="CB1888" s="72" t="str">
        <f aca="false">IF(AC1888&lt;&gt;"",VLOOKUP(AC1888,Selects!$B:$E,4,0),"")</f>
        <v/>
      </c>
    </row>
    <row r="1889" customFormat="false" ht="15" hidden="true" customHeight="false" outlineLevel="0" collapsed="false">
      <c r="E1889" s="60" t="str">
        <f aca="false">IF(LEN(D1889)=11,"PF",IF(LEN(D1889)=14,"PJ",""))</f>
        <v/>
      </c>
      <c r="I1889" s="62"/>
      <c r="J1889" s="63" t="str">
        <f aca="false">IF(I1889&lt;&gt;"",VLOOKUP(I1889,'Legal Nature'!$E$2:$G$84,3,0),"")</f>
        <v/>
      </c>
      <c r="AD1889" s="72" t="str">
        <f aca="false">IF(AC1889&lt;&gt;"",VLOOKUP(AC1889,Selects!$B$4:$C$100,2,0),"")</f>
        <v/>
      </c>
      <c r="AH1889" s="65"/>
      <c r="AJ1889" s="66"/>
      <c r="AM1889" s="68" t="str">
        <f aca="false">IF(LEFT(AL1889,1)="9","Celular",IF(AL1889="","","Fixo"))</f>
        <v/>
      </c>
      <c r="AN1889" s="58" t="str">
        <f aca="false">IF( AM1889&lt;&gt;"",VLOOKUP(AM1889,Selects!$M$4:$N$1000,2,0),"")</f>
        <v/>
      </c>
      <c r="BB1889" s="72" t="str">
        <f aca="false">IF(BA1889&lt;&gt;"",VLOOKUP(BA1889,Selects!$B$4:$C$100,2,0),"")</f>
        <v/>
      </c>
      <c r="BG1889" s="75" t="str">
        <f aca="false">IF(LEN(BF1889)=11,"PF",IF(LEN(BF1889)=14,"PJ",""))</f>
        <v/>
      </c>
      <c r="BH1889" s="66"/>
      <c r="CB1889" s="72" t="str">
        <f aca="false">IF(AC1889&lt;&gt;"",VLOOKUP(AC1889,Selects!$B:$E,4,0),"")</f>
        <v/>
      </c>
    </row>
    <row r="1890" customFormat="false" ht="15" hidden="true" customHeight="false" outlineLevel="0" collapsed="false">
      <c r="E1890" s="60" t="str">
        <f aca="false">IF(LEN(D1890)=11,"PF",IF(LEN(D1890)=14,"PJ",""))</f>
        <v/>
      </c>
      <c r="I1890" s="62"/>
      <c r="J1890" s="63" t="str">
        <f aca="false">IF(I1890&lt;&gt;"",VLOOKUP(I1890,'Legal Nature'!$E$2:$G$84,3,0),"")</f>
        <v/>
      </c>
      <c r="AD1890" s="72" t="str">
        <f aca="false">IF(AC1890&lt;&gt;"",VLOOKUP(AC1890,Selects!$B$4:$C$100,2,0),"")</f>
        <v/>
      </c>
      <c r="AH1890" s="65"/>
      <c r="AJ1890" s="66"/>
      <c r="AM1890" s="68" t="str">
        <f aca="false">IF(LEFT(AL1890,1)="9","Celular",IF(AL1890="","","Fixo"))</f>
        <v/>
      </c>
      <c r="AN1890" s="58" t="str">
        <f aca="false">IF( AM1890&lt;&gt;"",VLOOKUP(AM1890,Selects!$M$4:$N$1000,2,0),"")</f>
        <v/>
      </c>
      <c r="BB1890" s="72" t="str">
        <f aca="false">IF(BA1890&lt;&gt;"",VLOOKUP(BA1890,Selects!$B$4:$C$100,2,0),"")</f>
        <v/>
      </c>
      <c r="BG1890" s="75" t="str">
        <f aca="false">IF(LEN(BF1890)=11,"PF",IF(LEN(BF1890)=14,"PJ",""))</f>
        <v/>
      </c>
      <c r="BH1890" s="66"/>
      <c r="CB1890" s="72" t="str">
        <f aca="false">IF(AC1890&lt;&gt;"",VLOOKUP(AC1890,Selects!$B:$E,4,0),"")</f>
        <v/>
      </c>
    </row>
    <row r="1891" customFormat="false" ht="15" hidden="true" customHeight="false" outlineLevel="0" collapsed="false">
      <c r="E1891" s="60" t="str">
        <f aca="false">IF(LEN(D1891)=11,"PF",IF(LEN(D1891)=14,"PJ",""))</f>
        <v/>
      </c>
      <c r="I1891" s="62"/>
      <c r="J1891" s="63" t="str">
        <f aca="false">IF(I1891&lt;&gt;"",VLOOKUP(I1891,'Legal Nature'!$E$2:$G$84,3,0),"")</f>
        <v/>
      </c>
      <c r="AD1891" s="72" t="str">
        <f aca="false">IF(AC1891&lt;&gt;"",VLOOKUP(AC1891,Selects!$B$4:$C$100,2,0),"")</f>
        <v/>
      </c>
      <c r="AH1891" s="65"/>
      <c r="AJ1891" s="66"/>
      <c r="AM1891" s="68" t="str">
        <f aca="false">IF(LEFT(AL1891,1)="9","Celular",IF(AL1891="","","Fixo"))</f>
        <v/>
      </c>
      <c r="AN1891" s="58" t="str">
        <f aca="false">IF( AM1891&lt;&gt;"",VLOOKUP(AM1891,Selects!$M$4:$N$1000,2,0),"")</f>
        <v/>
      </c>
      <c r="BB1891" s="72" t="str">
        <f aca="false">IF(BA1891&lt;&gt;"",VLOOKUP(BA1891,Selects!$B$4:$C$100,2,0),"")</f>
        <v/>
      </c>
      <c r="BG1891" s="75" t="str">
        <f aca="false">IF(LEN(BF1891)=11,"PF",IF(LEN(BF1891)=14,"PJ",""))</f>
        <v/>
      </c>
      <c r="BH1891" s="66"/>
      <c r="CB1891" s="72" t="str">
        <f aca="false">IF(AC1891&lt;&gt;"",VLOOKUP(AC1891,Selects!$B:$E,4,0),"")</f>
        <v/>
      </c>
    </row>
    <row r="1892" customFormat="false" ht="15" hidden="true" customHeight="false" outlineLevel="0" collapsed="false">
      <c r="E1892" s="60" t="str">
        <f aca="false">IF(LEN(D1892)=11,"PF",IF(LEN(D1892)=14,"PJ",""))</f>
        <v/>
      </c>
      <c r="I1892" s="62"/>
      <c r="J1892" s="63" t="str">
        <f aca="false">IF(I1892&lt;&gt;"",VLOOKUP(I1892,'Legal Nature'!$E$2:$G$84,3,0),"")</f>
        <v/>
      </c>
      <c r="AD1892" s="72" t="str">
        <f aca="false">IF(AC1892&lt;&gt;"",VLOOKUP(AC1892,Selects!$B$4:$C$100,2,0),"")</f>
        <v/>
      </c>
      <c r="AH1892" s="65"/>
      <c r="AJ1892" s="66"/>
      <c r="AM1892" s="68" t="str">
        <f aca="false">IF(LEFT(AL1892,1)="9","Celular",IF(AL1892="","","Fixo"))</f>
        <v/>
      </c>
      <c r="AN1892" s="58" t="str">
        <f aca="false">IF( AM1892&lt;&gt;"",VLOOKUP(AM1892,Selects!$M$4:$N$1000,2,0),"")</f>
        <v/>
      </c>
      <c r="BB1892" s="72" t="str">
        <f aca="false">IF(BA1892&lt;&gt;"",VLOOKUP(BA1892,Selects!$B$4:$C$100,2,0),"")</f>
        <v/>
      </c>
      <c r="BG1892" s="75" t="str">
        <f aca="false">IF(LEN(BF1892)=11,"PF",IF(LEN(BF1892)=14,"PJ",""))</f>
        <v/>
      </c>
      <c r="BH1892" s="66"/>
      <c r="CB1892" s="72" t="str">
        <f aca="false">IF(AC1892&lt;&gt;"",VLOOKUP(AC1892,Selects!$B:$E,4,0),"")</f>
        <v/>
      </c>
    </row>
    <row r="1893" customFormat="false" ht="15" hidden="true" customHeight="false" outlineLevel="0" collapsed="false">
      <c r="E1893" s="60" t="str">
        <f aca="false">IF(LEN(D1893)=11,"PF",IF(LEN(D1893)=14,"PJ",""))</f>
        <v/>
      </c>
      <c r="I1893" s="62"/>
      <c r="J1893" s="63" t="str">
        <f aca="false">IF(I1893&lt;&gt;"",VLOOKUP(I1893,'Legal Nature'!$E$2:$G$84,3,0),"")</f>
        <v/>
      </c>
      <c r="AD1893" s="72" t="str">
        <f aca="false">IF(AC1893&lt;&gt;"",VLOOKUP(AC1893,Selects!$B$4:$C$100,2,0),"")</f>
        <v/>
      </c>
      <c r="AH1893" s="65"/>
      <c r="AJ1893" s="66"/>
      <c r="AM1893" s="68" t="str">
        <f aca="false">IF(LEFT(AL1893,1)="9","Celular",IF(AL1893="","","Fixo"))</f>
        <v/>
      </c>
      <c r="AN1893" s="58" t="str">
        <f aca="false">IF( AM1893&lt;&gt;"",VLOOKUP(AM1893,Selects!$M$4:$N$1000,2,0),"")</f>
        <v/>
      </c>
      <c r="BB1893" s="72" t="str">
        <f aca="false">IF(BA1893&lt;&gt;"",VLOOKUP(BA1893,Selects!$B$4:$C$100,2,0),"")</f>
        <v/>
      </c>
      <c r="BG1893" s="75" t="str">
        <f aca="false">IF(LEN(BF1893)=11,"PF",IF(LEN(BF1893)=14,"PJ",""))</f>
        <v/>
      </c>
      <c r="BH1893" s="66"/>
      <c r="CB1893" s="72" t="str">
        <f aca="false">IF(AC1893&lt;&gt;"",VLOOKUP(AC1893,Selects!$B:$E,4,0),"")</f>
        <v/>
      </c>
    </row>
    <row r="1894" customFormat="false" ht="15" hidden="true" customHeight="false" outlineLevel="0" collapsed="false">
      <c r="E1894" s="60" t="str">
        <f aca="false">IF(LEN(D1894)=11,"PF",IF(LEN(D1894)=14,"PJ",""))</f>
        <v/>
      </c>
      <c r="I1894" s="62"/>
      <c r="J1894" s="63" t="str">
        <f aca="false">IF(I1894&lt;&gt;"",VLOOKUP(I1894,'Legal Nature'!$E$2:$G$84,3,0),"")</f>
        <v/>
      </c>
      <c r="AD1894" s="72" t="str">
        <f aca="false">IF(AC1894&lt;&gt;"",VLOOKUP(AC1894,Selects!$B$4:$C$100,2,0),"")</f>
        <v/>
      </c>
      <c r="AH1894" s="65"/>
      <c r="AJ1894" s="66"/>
      <c r="AM1894" s="68" t="str">
        <f aca="false">IF(LEFT(AL1894,1)="9","Celular",IF(AL1894="","","Fixo"))</f>
        <v/>
      </c>
      <c r="AN1894" s="58" t="str">
        <f aca="false">IF( AM1894&lt;&gt;"",VLOOKUP(AM1894,Selects!$M$4:$N$1000,2,0),"")</f>
        <v/>
      </c>
      <c r="BB1894" s="72" t="str">
        <f aca="false">IF(BA1894&lt;&gt;"",VLOOKUP(BA1894,Selects!$B$4:$C$100,2,0),"")</f>
        <v/>
      </c>
      <c r="BG1894" s="75" t="str">
        <f aca="false">IF(LEN(BF1894)=11,"PF",IF(LEN(BF1894)=14,"PJ",""))</f>
        <v/>
      </c>
      <c r="BH1894" s="66"/>
      <c r="CB1894" s="72" t="str">
        <f aca="false">IF(AC1894&lt;&gt;"",VLOOKUP(AC1894,Selects!$B:$E,4,0),"")</f>
        <v/>
      </c>
    </row>
    <row r="1895" customFormat="false" ht="15" hidden="true" customHeight="false" outlineLevel="0" collapsed="false">
      <c r="E1895" s="60" t="str">
        <f aca="false">IF(LEN(D1895)=11,"PF",IF(LEN(D1895)=14,"PJ",""))</f>
        <v/>
      </c>
      <c r="I1895" s="62"/>
      <c r="J1895" s="63" t="str">
        <f aca="false">IF(I1895&lt;&gt;"",VLOOKUP(I1895,'Legal Nature'!$E$2:$G$84,3,0),"")</f>
        <v/>
      </c>
      <c r="AD1895" s="72" t="str">
        <f aca="false">IF(AC1895&lt;&gt;"",VLOOKUP(AC1895,Selects!$B$4:$C$100,2,0),"")</f>
        <v/>
      </c>
      <c r="AH1895" s="65"/>
      <c r="AJ1895" s="66"/>
      <c r="AM1895" s="68" t="str">
        <f aca="false">IF(LEFT(AL1895,1)="9","Celular",IF(AL1895="","","Fixo"))</f>
        <v/>
      </c>
      <c r="AN1895" s="58" t="str">
        <f aca="false">IF( AM1895&lt;&gt;"",VLOOKUP(AM1895,Selects!$M$4:$N$1000,2,0),"")</f>
        <v/>
      </c>
      <c r="BB1895" s="72" t="str">
        <f aca="false">IF(BA1895&lt;&gt;"",VLOOKUP(BA1895,Selects!$B$4:$C$100,2,0),"")</f>
        <v/>
      </c>
      <c r="BG1895" s="75" t="str">
        <f aca="false">IF(LEN(BF1895)=11,"PF",IF(LEN(BF1895)=14,"PJ",""))</f>
        <v/>
      </c>
      <c r="BH1895" s="66"/>
      <c r="CB1895" s="72" t="str">
        <f aca="false">IF(AC1895&lt;&gt;"",VLOOKUP(AC1895,Selects!$B:$E,4,0),"")</f>
        <v/>
      </c>
    </row>
    <row r="1896" customFormat="false" ht="15" hidden="true" customHeight="false" outlineLevel="0" collapsed="false">
      <c r="E1896" s="60" t="str">
        <f aca="false">IF(LEN(D1896)=11,"PF",IF(LEN(D1896)=14,"PJ",""))</f>
        <v/>
      </c>
      <c r="I1896" s="62"/>
      <c r="J1896" s="63" t="str">
        <f aca="false">IF(I1896&lt;&gt;"",VLOOKUP(I1896,'Legal Nature'!$E$2:$G$84,3,0),"")</f>
        <v/>
      </c>
      <c r="AD1896" s="72" t="str">
        <f aca="false">IF(AC1896&lt;&gt;"",VLOOKUP(AC1896,Selects!$B$4:$C$100,2,0),"")</f>
        <v/>
      </c>
      <c r="AH1896" s="65"/>
      <c r="AJ1896" s="66"/>
      <c r="AM1896" s="68" t="str">
        <f aca="false">IF(LEFT(AL1896,1)="9","Celular",IF(AL1896="","","Fixo"))</f>
        <v/>
      </c>
      <c r="AN1896" s="58" t="str">
        <f aca="false">IF( AM1896&lt;&gt;"",VLOOKUP(AM1896,Selects!$M$4:$N$1000,2,0),"")</f>
        <v/>
      </c>
      <c r="BB1896" s="72" t="str">
        <f aca="false">IF(BA1896&lt;&gt;"",VLOOKUP(BA1896,Selects!$B$4:$C$100,2,0),"")</f>
        <v/>
      </c>
      <c r="BG1896" s="75" t="str">
        <f aca="false">IF(LEN(BF1896)=11,"PF",IF(LEN(BF1896)=14,"PJ",""))</f>
        <v/>
      </c>
      <c r="BH1896" s="66"/>
      <c r="CB1896" s="72" t="str">
        <f aca="false">IF(AC1896&lt;&gt;"",VLOOKUP(AC1896,Selects!$B:$E,4,0),"")</f>
        <v/>
      </c>
    </row>
    <row r="1897" customFormat="false" ht="15" hidden="true" customHeight="false" outlineLevel="0" collapsed="false">
      <c r="E1897" s="60" t="str">
        <f aca="false">IF(LEN(D1897)=11,"PF",IF(LEN(D1897)=14,"PJ",""))</f>
        <v/>
      </c>
      <c r="I1897" s="62"/>
      <c r="J1897" s="63" t="str">
        <f aca="false">IF(I1897&lt;&gt;"",VLOOKUP(I1897,'Legal Nature'!$E$2:$G$84,3,0),"")</f>
        <v/>
      </c>
      <c r="AH1897" s="65"/>
      <c r="AJ1897" s="66"/>
      <c r="AM1897" s="68" t="str">
        <f aca="false">IF(LEFT(AL1897,1)="9","Celular",IF(AL1897="","","Fixo"))</f>
        <v/>
      </c>
      <c r="AN1897" s="58" t="str">
        <f aca="false">IF( AM1897&lt;&gt;"",VLOOKUP(AM1897,Selects!$M$4:$N$1000,2,0),"")</f>
        <v/>
      </c>
      <c r="BB1897" s="72" t="str">
        <f aca="false">IF(BA1897&lt;&gt;"",VLOOKUP(BA1897,Selects!$B$4:$C$100,2,0),"")</f>
        <v/>
      </c>
      <c r="BG1897" s="75" t="str">
        <f aca="false">IF(LEN(BF1897)=11,"PF",IF(LEN(BF1897)=14,"PJ",""))</f>
        <v/>
      </c>
      <c r="BH1897" s="66"/>
      <c r="CB1897" s="72" t="str">
        <f aca="false">IF(AC1897&lt;&gt;"",VLOOKUP(AC1897,Selects!$B:$E,4,0),"")</f>
        <v/>
      </c>
    </row>
    <row r="1898" customFormat="false" ht="15" hidden="true" customHeight="false" outlineLevel="0" collapsed="false">
      <c r="E1898" s="60" t="str">
        <f aca="false">IF(LEN(D1898)=11,"PF",IF(LEN(D1898)=14,"PJ",""))</f>
        <v/>
      </c>
      <c r="I1898" s="62"/>
      <c r="J1898" s="63" t="str">
        <f aca="false">IF(I1898&lt;&gt;"",VLOOKUP(I1898,'Legal Nature'!$E$2:$G$84,3,0),"")</f>
        <v/>
      </c>
      <c r="AH1898" s="65"/>
      <c r="AJ1898" s="66"/>
      <c r="AM1898" s="68" t="str">
        <f aca="false">IF(LEFT(AL1898,1)="9","Celular",IF(AL1898="","","Fixo"))</f>
        <v/>
      </c>
      <c r="AN1898" s="58" t="str">
        <f aca="false">IF( AM1898&lt;&gt;"",VLOOKUP(AM1898,Selects!$M$4:$N$1000,2,0),"")</f>
        <v/>
      </c>
      <c r="BB1898" s="72" t="str">
        <f aca="false">IF(BA1898&lt;&gt;"",VLOOKUP(BA1898,Selects!$B$4:$C$100,2,0),"")</f>
        <v/>
      </c>
      <c r="BG1898" s="75" t="str">
        <f aca="false">IF(LEN(BF1898)=11,"PF",IF(LEN(BF1898)=14,"PJ",""))</f>
        <v/>
      </c>
      <c r="BH1898" s="66"/>
      <c r="CB1898" s="72" t="str">
        <f aca="false">IF(AC1898&lt;&gt;"",VLOOKUP(AC1898,Selects!$B:$E,4,0),"")</f>
        <v/>
      </c>
    </row>
    <row r="1899" customFormat="false" ht="15" hidden="true" customHeight="false" outlineLevel="0" collapsed="false">
      <c r="E1899" s="60" t="str">
        <f aca="false">IF(LEN(D1899)=11,"PF",IF(LEN(D1899)=14,"PJ",""))</f>
        <v/>
      </c>
      <c r="I1899" s="62"/>
      <c r="J1899" s="63" t="str">
        <f aca="false">IF(I1899&lt;&gt;"",VLOOKUP(I1899,'Legal Nature'!$E$2:$G$84,3,0),"")</f>
        <v/>
      </c>
      <c r="AH1899" s="65"/>
      <c r="AJ1899" s="66"/>
      <c r="AM1899" s="68" t="str">
        <f aca="false">IF(LEFT(AL1899,1)="9","Celular",IF(AL1899="","","Fixo"))</f>
        <v/>
      </c>
      <c r="AN1899" s="58" t="str">
        <f aca="false">IF( AM1899&lt;&gt;"",VLOOKUP(AM1899,Selects!$M$4:$N$1000,2,0),"")</f>
        <v/>
      </c>
      <c r="BB1899" s="72" t="str">
        <f aca="false">IF(BA1899&lt;&gt;"",VLOOKUP(BA1899,Selects!$B$4:$C$100,2,0),"")</f>
        <v/>
      </c>
      <c r="BG1899" s="75" t="str">
        <f aca="false">IF(LEN(BF1899)=11,"PF",IF(LEN(BF1899)=14,"PJ",""))</f>
        <v/>
      </c>
      <c r="BH1899" s="66"/>
      <c r="CB1899" s="72" t="str">
        <f aca="false">IF(AC1899&lt;&gt;"",VLOOKUP(AC1899,Selects!$B:$E,4,0),"")</f>
        <v/>
      </c>
    </row>
    <row r="1900" customFormat="false" ht="15" hidden="true" customHeight="false" outlineLevel="0" collapsed="false">
      <c r="E1900" s="60" t="str">
        <f aca="false">IF(LEN(D1900)=11,"PF",IF(LEN(D1900)=14,"PJ",""))</f>
        <v/>
      </c>
      <c r="I1900" s="62"/>
      <c r="J1900" s="63" t="str">
        <f aca="false">IF(I1900&lt;&gt;"",VLOOKUP(I1900,'Legal Nature'!$E$2:$G$84,3,0),"")</f>
        <v/>
      </c>
      <c r="AJ1900" s="66"/>
      <c r="AM1900" s="68" t="str">
        <f aca="false">IF(LEFT(AL1900,1)="9","Celular",IF(AL1900="","","Fixo"))</f>
        <v/>
      </c>
      <c r="AN1900" s="58" t="str">
        <f aca="false">IF( AM1900&lt;&gt;"",VLOOKUP(AM1900,Selects!$M$4:$N$1000,2,0),"")</f>
        <v/>
      </c>
      <c r="BB1900" s="72" t="str">
        <f aca="false">IF(BA1900&lt;&gt;"",VLOOKUP(BA1900,Selects!$B$4:$C$100,2,0),"")</f>
        <v/>
      </c>
      <c r="BG1900" s="75" t="str">
        <f aca="false">IF(LEN(BF1900)=11,"PF",IF(LEN(BF1900)=14,"PJ",""))</f>
        <v/>
      </c>
      <c r="BH1900" s="66"/>
      <c r="CB1900" s="72" t="str">
        <f aca="false">IF(AC1900&lt;&gt;"",VLOOKUP(AC1900,Selects!$B:$E,4,0),"")</f>
        <v/>
      </c>
    </row>
    <row r="1901" customFormat="false" ht="15" hidden="true" customHeight="false" outlineLevel="0" collapsed="false">
      <c r="E1901" s="60" t="str">
        <f aca="false">IF(LEN(D1901)=11,"PF",IF(LEN(D1901)=14,"PJ",""))</f>
        <v/>
      </c>
      <c r="I1901" s="62"/>
      <c r="J1901" s="63" t="str">
        <f aca="false">IF(I1901&lt;&gt;"",VLOOKUP(I1901,'Legal Nature'!$E$2:$G$84,3,0),"")</f>
        <v/>
      </c>
      <c r="AJ1901" s="66"/>
      <c r="AM1901" s="68" t="str">
        <f aca="false">IF(LEFT(AL1901,1)="9","Celular",IF(AL1901="","","Fixo"))</f>
        <v/>
      </c>
      <c r="AN1901" s="58" t="str">
        <f aca="false">IF( AM1901&lt;&gt;"",VLOOKUP(AM1901,Selects!$M$4:$N$1000,2,0),"")</f>
        <v/>
      </c>
      <c r="BB1901" s="72" t="str">
        <f aca="false">IF(BA1901&lt;&gt;"",VLOOKUP(BA1901,Selects!$B$4:$C$100,2,0),"")</f>
        <v/>
      </c>
      <c r="BG1901" s="75" t="str">
        <f aca="false">IF(LEN(BF1901)=11,"PF",IF(LEN(BF1901)=14,"PJ",""))</f>
        <v/>
      </c>
      <c r="BH1901" s="66"/>
      <c r="CB1901" s="72" t="str">
        <f aca="false">IF(AC1901&lt;&gt;"",VLOOKUP(AC1901,Selects!$B:$E,4,0),"")</f>
        <v/>
      </c>
    </row>
    <row r="1902" customFormat="false" ht="15" hidden="true" customHeight="false" outlineLevel="0" collapsed="false">
      <c r="E1902" s="60" t="str">
        <f aca="false">IF(LEN(D1902)=11,"PF",IF(LEN(D1902)=14,"PJ",""))</f>
        <v/>
      </c>
      <c r="I1902" s="62"/>
      <c r="J1902" s="63" t="str">
        <f aca="false">IF(I1902&lt;&gt;"",VLOOKUP(I1902,'Legal Nature'!$E$2:$G$84,3,0),"")</f>
        <v/>
      </c>
      <c r="AJ1902" s="66"/>
      <c r="AM1902" s="68" t="str">
        <f aca="false">IF(LEFT(AL1902,1)="9","Celular",IF(AL1902="","","Fixo"))</f>
        <v/>
      </c>
      <c r="AN1902" s="58" t="str">
        <f aca="false">IF( AM1902&lt;&gt;"",VLOOKUP(AM1902,Selects!$M$4:$N$1000,2,0),"")</f>
        <v/>
      </c>
      <c r="BB1902" s="72" t="str">
        <f aca="false">IF(BA1902&lt;&gt;"",VLOOKUP(BA1902,Selects!$B$4:$C$100,2,0),"")</f>
        <v/>
      </c>
      <c r="BG1902" s="75" t="str">
        <f aca="false">IF(LEN(BF1902)=11,"PF",IF(LEN(BF1902)=14,"PJ",""))</f>
        <v/>
      </c>
      <c r="BH1902" s="66"/>
      <c r="CB1902" s="72" t="str">
        <f aca="false">IF(AC1902&lt;&gt;"",VLOOKUP(AC1902,Selects!$B:$E,4,0),"")</f>
        <v/>
      </c>
    </row>
    <row r="1903" customFormat="false" ht="15" hidden="true" customHeight="false" outlineLevel="0" collapsed="false">
      <c r="E1903" s="60" t="str">
        <f aca="false">IF(LEN(D1903)=11,"PF",IF(LEN(D1903)=14,"PJ",""))</f>
        <v/>
      </c>
      <c r="I1903" s="62"/>
      <c r="J1903" s="63" t="str">
        <f aca="false">IF(I1903&lt;&gt;"",VLOOKUP(I1903,'Legal Nature'!$E$2:$G$84,3,0),"")</f>
        <v/>
      </c>
      <c r="AJ1903" s="66"/>
      <c r="AM1903" s="68" t="str">
        <f aca="false">IF(LEFT(AL1903,1)="9","Celular",IF(AL1903="","","Fixo"))</f>
        <v/>
      </c>
      <c r="AN1903" s="58" t="str">
        <f aca="false">IF( AM1903&lt;&gt;"",VLOOKUP(AM1903,Selects!$M$4:$N$1000,2,0),"")</f>
        <v/>
      </c>
      <c r="BB1903" s="72" t="str">
        <f aca="false">IF(BA1903&lt;&gt;"",VLOOKUP(BA1903,Selects!$B$4:$C$100,2,0),"")</f>
        <v/>
      </c>
      <c r="BG1903" s="75" t="str">
        <f aca="false">IF(LEN(BF1903)=11,"PF",IF(LEN(BF1903)=14,"PJ",""))</f>
        <v/>
      </c>
      <c r="BH1903" s="66"/>
      <c r="CB1903" s="72" t="str">
        <f aca="false">IF(AC1903&lt;&gt;"",VLOOKUP(AC1903,Selects!$B:$E,4,0),"")</f>
        <v/>
      </c>
    </row>
    <row r="1904" customFormat="false" ht="15" hidden="true" customHeight="false" outlineLevel="0" collapsed="false">
      <c r="E1904" s="60" t="str">
        <f aca="false">IF(LEN(D1904)=11,"PF",IF(LEN(D1904)=14,"PJ",""))</f>
        <v/>
      </c>
      <c r="I1904" s="62"/>
      <c r="J1904" s="63" t="str">
        <f aca="false">IF(I1904&lt;&gt;"",VLOOKUP(I1904,'Legal Nature'!$E$2:$G$84,3,0),"")</f>
        <v/>
      </c>
      <c r="AJ1904" s="66"/>
      <c r="AM1904" s="68" t="str">
        <f aca="false">IF(LEFT(AL1904,1)="9","Celular",IF(AL1904="","","Fixo"))</f>
        <v/>
      </c>
      <c r="AN1904" s="58" t="str">
        <f aca="false">IF( AM1904&lt;&gt;"",VLOOKUP(AM1904,Selects!$M$4:$N$1000,2,0),"")</f>
        <v/>
      </c>
      <c r="BB1904" s="72" t="str">
        <f aca="false">IF(BA1904&lt;&gt;"",VLOOKUP(BA1904,Selects!$B$4:$C$100,2,0),"")</f>
        <v/>
      </c>
      <c r="BG1904" s="75" t="str">
        <f aca="false">IF(LEN(BF1904)=11,"PF",IF(LEN(BF1904)=14,"PJ",""))</f>
        <v/>
      </c>
      <c r="BH1904" s="66"/>
      <c r="CB1904" s="72" t="str">
        <f aca="false">IF(AC1904&lt;&gt;"",VLOOKUP(AC1904,Selects!$B:$E,4,0),"")</f>
        <v/>
      </c>
    </row>
    <row r="1905" customFormat="false" ht="15" hidden="true" customHeight="false" outlineLevel="0" collapsed="false">
      <c r="E1905" s="60" t="str">
        <f aca="false">IF(LEN(D1905)=11,"PF",IF(LEN(D1905)=14,"PJ",""))</f>
        <v/>
      </c>
      <c r="I1905" s="62"/>
      <c r="J1905" s="63" t="str">
        <f aca="false">IF(I1905&lt;&gt;"",VLOOKUP(I1905,'Legal Nature'!$E$2:$G$84,3,0),"")</f>
        <v/>
      </c>
      <c r="AJ1905" s="66"/>
      <c r="AM1905" s="68" t="str">
        <f aca="false">IF(LEFT(AL1905,1)="9","Celular",IF(AL1905="","","Fixo"))</f>
        <v/>
      </c>
      <c r="AN1905" s="58" t="str">
        <f aca="false">IF( AM1905&lt;&gt;"",VLOOKUP(AM1905,Selects!$M$4:$N$1000,2,0),"")</f>
        <v/>
      </c>
      <c r="BB1905" s="72" t="str">
        <f aca="false">IF(BA1905&lt;&gt;"",VLOOKUP(BA1905,Selects!$B$4:$C$100,2,0),"")</f>
        <v/>
      </c>
      <c r="BG1905" s="75" t="str">
        <f aca="false">IF(LEN(BF1905)=11,"PF",IF(LEN(BF1905)=14,"PJ",""))</f>
        <v/>
      </c>
      <c r="BH1905" s="66"/>
      <c r="CB1905" s="72" t="str">
        <f aca="false">IF(AC1905&lt;&gt;"",VLOOKUP(AC1905,Selects!$B:$E,4,0),"")</f>
        <v/>
      </c>
    </row>
    <row r="1906" customFormat="false" ht="15" hidden="true" customHeight="false" outlineLevel="0" collapsed="false">
      <c r="E1906" s="60" t="str">
        <f aca="false">IF(LEN(D1906)=11,"PF",IF(LEN(D1906)=14,"PJ",""))</f>
        <v/>
      </c>
      <c r="I1906" s="62"/>
      <c r="J1906" s="63" t="str">
        <f aca="false">IF(I1906&lt;&gt;"",VLOOKUP(I1906,'Legal Nature'!$E$2:$G$84,3,0),"")</f>
        <v/>
      </c>
      <c r="AJ1906" s="66"/>
      <c r="AM1906" s="68" t="str">
        <f aca="false">IF(LEFT(AL1906,1)="9","Celular",IF(AL1906="","","Fixo"))</f>
        <v/>
      </c>
      <c r="AN1906" s="58" t="str">
        <f aca="false">IF( AM1906&lt;&gt;"",VLOOKUP(AM1906,Selects!$M$4:$N$1000,2,0),"")</f>
        <v/>
      </c>
      <c r="BB1906" s="72" t="str">
        <f aca="false">IF(BA1906&lt;&gt;"",VLOOKUP(BA1906,Selects!$B$4:$C$100,2,0),"")</f>
        <v/>
      </c>
      <c r="BG1906" s="75" t="str">
        <f aca="false">IF(LEN(BF1906)=11,"PF",IF(LEN(BF1906)=14,"PJ",""))</f>
        <v/>
      </c>
      <c r="BH1906" s="66"/>
      <c r="CB1906" s="72" t="str">
        <f aca="false">IF(AC1906&lt;&gt;"",VLOOKUP(AC1906,Selects!$B:$E,4,0),"")</f>
        <v/>
      </c>
    </row>
    <row r="1907" customFormat="false" ht="15" hidden="true" customHeight="false" outlineLevel="0" collapsed="false">
      <c r="E1907" s="60" t="str">
        <f aca="false">IF(LEN(D1907)=11,"PF",IF(LEN(D1907)=14,"PJ",""))</f>
        <v/>
      </c>
      <c r="I1907" s="62"/>
      <c r="J1907" s="63" t="str">
        <f aca="false">IF(I1907&lt;&gt;"",VLOOKUP(I1907,'Legal Nature'!$E$2:$G$84,3,0),"")</f>
        <v/>
      </c>
      <c r="AJ1907" s="66"/>
      <c r="AM1907" s="68" t="str">
        <f aca="false">IF(LEFT(AL1907,1)="9","Celular",IF(AL1907="","","Fixo"))</f>
        <v/>
      </c>
      <c r="AN1907" s="58" t="str">
        <f aca="false">IF( AM1907&lt;&gt;"",VLOOKUP(AM1907,Selects!$M$4:$N$1000,2,0),"")</f>
        <v/>
      </c>
      <c r="BB1907" s="72" t="str">
        <f aca="false">IF(BA1907&lt;&gt;"",VLOOKUP(BA1907,Selects!$B$4:$C$100,2,0),"")</f>
        <v/>
      </c>
      <c r="BG1907" s="75" t="str">
        <f aca="false">IF(LEN(BF1907)=11,"PF",IF(LEN(BF1907)=14,"PJ",""))</f>
        <v/>
      </c>
      <c r="BH1907" s="66"/>
      <c r="CB1907" s="72" t="str">
        <f aca="false">IF(AC1907&lt;&gt;"",VLOOKUP(AC1907,Selects!$B:$E,4,0),"")</f>
        <v/>
      </c>
    </row>
    <row r="1908" customFormat="false" ht="15" hidden="true" customHeight="false" outlineLevel="0" collapsed="false">
      <c r="E1908" s="60" t="str">
        <f aca="false">IF(LEN(D1908)=11,"PF",IF(LEN(D1908)=14,"PJ",""))</f>
        <v/>
      </c>
      <c r="I1908" s="62"/>
      <c r="J1908" s="63" t="str">
        <f aca="false">IF(I1908&lt;&gt;"",VLOOKUP(I1908,'Legal Nature'!$E$2:$G$84,3,0),"")</f>
        <v/>
      </c>
      <c r="AJ1908" s="66"/>
      <c r="AM1908" s="68" t="str">
        <f aca="false">IF(LEFT(AL1908,1)="9","Celular",IF(AL1908="","","Fixo"))</f>
        <v/>
      </c>
      <c r="AN1908" s="58" t="str">
        <f aca="false">IF( AM1908&lt;&gt;"",VLOOKUP(AM1908,Selects!$M$4:$N$1000,2,0),"")</f>
        <v/>
      </c>
      <c r="BB1908" s="72" t="str">
        <f aca="false">IF(BA1908&lt;&gt;"",VLOOKUP(BA1908,Selects!$B$4:$C$100,2,0),"")</f>
        <v/>
      </c>
      <c r="BG1908" s="75" t="str">
        <f aca="false">IF(LEN(BF1908)=11,"PF",IF(LEN(BF1908)=14,"PJ",""))</f>
        <v/>
      </c>
      <c r="BH1908" s="66"/>
      <c r="CB1908" s="72" t="str">
        <f aca="false">IF(AC1908&lt;&gt;"",VLOOKUP(AC1908,Selects!$B:$E,4,0),"")</f>
        <v/>
      </c>
    </row>
    <row r="1909" customFormat="false" ht="15" hidden="true" customHeight="false" outlineLevel="0" collapsed="false">
      <c r="E1909" s="60" t="str">
        <f aca="false">IF(LEN(D1909)=11,"PF",IF(LEN(D1909)=14,"PJ",""))</f>
        <v/>
      </c>
      <c r="I1909" s="62"/>
      <c r="J1909" s="63" t="str">
        <f aca="false">IF(I1909&lt;&gt;"",VLOOKUP(I1909,'Legal Nature'!$E$2:$G$84,3,0),"")</f>
        <v/>
      </c>
      <c r="AJ1909" s="66"/>
      <c r="AM1909" s="68" t="str">
        <f aca="false">IF(LEFT(AL1909,1)="9","Celular",IF(AL1909="","","Fixo"))</f>
        <v/>
      </c>
      <c r="AN1909" s="58" t="str">
        <f aca="false">IF( AM1909&lt;&gt;"",VLOOKUP(AM1909,Selects!$M$4:$N$1000,2,0),"")</f>
        <v/>
      </c>
      <c r="BB1909" s="72" t="str">
        <f aca="false">IF(BA1909&lt;&gt;"",VLOOKUP(BA1909,Selects!$B$4:$C$100,2,0),"")</f>
        <v/>
      </c>
      <c r="BG1909" s="75" t="str">
        <f aca="false">IF(LEN(BF1909)=11,"PF",IF(LEN(BF1909)=14,"PJ",""))</f>
        <v/>
      </c>
      <c r="BH1909" s="66"/>
      <c r="CB1909" s="72" t="str">
        <f aca="false">IF(AC1909&lt;&gt;"",VLOOKUP(AC1909,Selects!$B:$E,4,0),"")</f>
        <v/>
      </c>
    </row>
    <row r="1910" customFormat="false" ht="15" hidden="true" customHeight="false" outlineLevel="0" collapsed="false">
      <c r="E1910" s="60" t="str">
        <f aca="false">IF(LEN(D1910)=11,"PF",IF(LEN(D1910)=14,"PJ",""))</f>
        <v/>
      </c>
      <c r="I1910" s="62"/>
      <c r="J1910" s="63" t="str">
        <f aca="false">IF(I1910&lt;&gt;"",VLOOKUP(I1910,'Legal Nature'!$E$2:$G$84,3,0),"")</f>
        <v/>
      </c>
      <c r="AJ1910" s="66"/>
      <c r="AM1910" s="68" t="str">
        <f aca="false">IF(LEFT(AL1910,1)="9","Celular",IF(AL1910="","","Fixo"))</f>
        <v/>
      </c>
      <c r="AN1910" s="58" t="str">
        <f aca="false">IF( AM1910&lt;&gt;"",VLOOKUP(AM1910,Selects!$M$4:$N$1000,2,0),"")</f>
        <v/>
      </c>
      <c r="BB1910" s="72" t="str">
        <f aca="false">IF(BA1910&lt;&gt;"",VLOOKUP(BA1910,Selects!$B$4:$C$100,2,0),"")</f>
        <v/>
      </c>
      <c r="BG1910" s="75" t="str">
        <f aca="false">IF(LEN(BF1910)=11,"PF",IF(LEN(BF1910)=14,"PJ",""))</f>
        <v/>
      </c>
      <c r="BH1910" s="66"/>
      <c r="CB1910" s="72" t="str">
        <f aca="false">IF(AC1910&lt;&gt;"",VLOOKUP(AC1910,Selects!$B:$E,4,0),"")</f>
        <v/>
      </c>
    </row>
    <row r="1911" customFormat="false" ht="15" hidden="true" customHeight="false" outlineLevel="0" collapsed="false">
      <c r="E1911" s="60" t="str">
        <f aca="false">IF(LEN(D1911)=11,"PF",IF(LEN(D1911)=14,"PJ",""))</f>
        <v/>
      </c>
      <c r="I1911" s="62"/>
      <c r="J1911" s="63" t="str">
        <f aca="false">IF(I1911&lt;&gt;"",VLOOKUP(I1911,'Legal Nature'!$E$2:$G$84,3,0),"")</f>
        <v/>
      </c>
      <c r="AJ1911" s="66"/>
      <c r="AM1911" s="68" t="str">
        <f aca="false">IF(LEFT(AL1911,1)="9","Celular",IF(AL1911="","","Fixo"))</f>
        <v/>
      </c>
      <c r="AN1911" s="58" t="str">
        <f aca="false">IF( AM1911&lt;&gt;"",VLOOKUP(AM1911,Selects!$M$4:$N$1000,2,0),"")</f>
        <v/>
      </c>
      <c r="BB1911" s="72" t="str">
        <f aca="false">IF(BA1911&lt;&gt;"",VLOOKUP(BA1911,Selects!$B$4:$C$100,2,0),"")</f>
        <v/>
      </c>
      <c r="BG1911" s="75" t="str">
        <f aca="false">IF(LEN(BF1911)=11,"PF",IF(LEN(BF1911)=14,"PJ",""))</f>
        <v/>
      </c>
      <c r="BH1911" s="66"/>
      <c r="CB1911" s="72" t="str">
        <f aca="false">IF(AC1911&lt;&gt;"",VLOOKUP(AC1911,Selects!$B:$E,4,0),"")</f>
        <v/>
      </c>
    </row>
    <row r="1912" customFormat="false" ht="15" hidden="true" customHeight="false" outlineLevel="0" collapsed="false">
      <c r="E1912" s="60" t="str">
        <f aca="false">IF(LEN(D1912)=11,"PF",IF(LEN(D1912)=14,"PJ",""))</f>
        <v/>
      </c>
      <c r="I1912" s="62"/>
      <c r="J1912" s="63" t="str">
        <f aca="false">IF(I1912&lt;&gt;"",VLOOKUP(I1912,'Legal Nature'!$E$2:$G$84,3,0),"")</f>
        <v/>
      </c>
      <c r="AJ1912" s="66"/>
      <c r="AM1912" s="68" t="str">
        <f aca="false">IF(LEFT(AL1912,1)="9","Celular",IF(AL1912="","","Fixo"))</f>
        <v/>
      </c>
      <c r="AN1912" s="58" t="str">
        <f aca="false">IF( AM1912&lt;&gt;"",VLOOKUP(AM1912,Selects!$M$4:$N$1000,2,0),"")</f>
        <v/>
      </c>
      <c r="BB1912" s="72" t="str">
        <f aca="false">IF(BA1912&lt;&gt;"",VLOOKUP(BA1912,Selects!$B$4:$C$100,2,0),"")</f>
        <v/>
      </c>
      <c r="BG1912" s="75" t="str">
        <f aca="false">IF(LEN(BF1912)=11,"PF",IF(LEN(BF1912)=14,"PJ",""))</f>
        <v/>
      </c>
      <c r="BH1912" s="66"/>
      <c r="CB1912" s="72" t="str">
        <f aca="false">IF(AC1912&lt;&gt;"",VLOOKUP(AC1912,Selects!$B:$E,4,0),"")</f>
        <v/>
      </c>
    </row>
    <row r="1913" customFormat="false" ht="15" hidden="true" customHeight="false" outlineLevel="0" collapsed="false">
      <c r="E1913" s="60" t="str">
        <f aca="false">IF(LEN(D1913)=11,"PF",IF(LEN(D1913)=14,"PJ",""))</f>
        <v/>
      </c>
      <c r="I1913" s="62"/>
      <c r="J1913" s="63" t="str">
        <f aca="false">IF(I1913&lt;&gt;"",VLOOKUP(I1913,'Legal Nature'!$E$2:$G$84,3,0),"")</f>
        <v/>
      </c>
      <c r="AJ1913" s="66"/>
      <c r="AM1913" s="68" t="str">
        <f aca="false">IF(LEFT(AL1913,1)="9","Celular",IF(AL1913="","","Fixo"))</f>
        <v/>
      </c>
      <c r="AN1913" s="58" t="str">
        <f aca="false">IF( AM1913&lt;&gt;"",VLOOKUP(AM1913,Selects!$M$4:$N$1000,2,0),"")</f>
        <v/>
      </c>
      <c r="BB1913" s="72" t="str">
        <f aca="false">IF(BA1913&lt;&gt;"",VLOOKUP(BA1913,Selects!$B$4:$C$100,2,0),"")</f>
        <v/>
      </c>
      <c r="BG1913" s="75" t="str">
        <f aca="false">IF(LEN(BF1913)=11,"PF",IF(LEN(BF1913)=14,"PJ",""))</f>
        <v/>
      </c>
      <c r="BH1913" s="66"/>
      <c r="CB1913" s="72" t="str">
        <f aca="false">IF(AC1913&lt;&gt;"",VLOOKUP(AC1913,Selects!$B:$E,4,0),"")</f>
        <v/>
      </c>
    </row>
    <row r="1914" customFormat="false" ht="15" hidden="true" customHeight="false" outlineLevel="0" collapsed="false">
      <c r="E1914" s="60" t="str">
        <f aca="false">IF(LEN(D1914)=11,"PF",IF(LEN(D1914)=14,"PJ",""))</f>
        <v/>
      </c>
      <c r="I1914" s="62"/>
      <c r="J1914" s="63" t="str">
        <f aca="false">IF(I1914&lt;&gt;"",VLOOKUP(I1914,'Legal Nature'!$E$2:$G$84,3,0),"")</f>
        <v/>
      </c>
      <c r="AJ1914" s="66"/>
      <c r="AM1914" s="68" t="str">
        <f aca="false">IF(LEFT(AL1914,1)="9","Celular",IF(AL1914="","","Fixo"))</f>
        <v/>
      </c>
      <c r="AN1914" s="58" t="str">
        <f aca="false">IF( AM1914&lt;&gt;"",VLOOKUP(AM1914,Selects!$M$4:$N$1000,2,0),"")</f>
        <v/>
      </c>
      <c r="BB1914" s="72" t="str">
        <f aca="false">IF(BA1914&lt;&gt;"",VLOOKUP(BA1914,Selects!$B$4:$C$100,2,0),"")</f>
        <v/>
      </c>
      <c r="BG1914" s="75" t="str">
        <f aca="false">IF(LEN(BF1914)=11,"PF",IF(LEN(BF1914)=14,"PJ",""))</f>
        <v/>
      </c>
      <c r="BH1914" s="66"/>
      <c r="CB1914" s="72" t="str">
        <f aca="false">IF(AC1914&lt;&gt;"",VLOOKUP(AC1914,Selects!$B:$E,4,0),"")</f>
        <v/>
      </c>
    </row>
    <row r="1915" customFormat="false" ht="15" hidden="true" customHeight="false" outlineLevel="0" collapsed="false">
      <c r="E1915" s="60" t="str">
        <f aca="false">IF(LEN(D1915)=11,"PF",IF(LEN(D1915)=14,"PJ",""))</f>
        <v/>
      </c>
      <c r="I1915" s="62"/>
      <c r="J1915" s="63" t="str">
        <f aca="false">IF(I1915&lt;&gt;"",VLOOKUP(I1915,'Legal Nature'!$E$2:$G$84,3,0),"")</f>
        <v/>
      </c>
      <c r="AJ1915" s="66"/>
      <c r="AM1915" s="68" t="str">
        <f aca="false">IF(LEFT(AL1915,1)="9","Celular",IF(AL1915="","","Fixo"))</f>
        <v/>
      </c>
      <c r="AN1915" s="58" t="str">
        <f aca="false">IF( AM1915&lt;&gt;"",VLOOKUP(AM1915,Selects!$M$4:$N$1000,2,0),"")</f>
        <v/>
      </c>
      <c r="BB1915" s="72" t="str">
        <f aca="false">IF(BA1915&lt;&gt;"",VLOOKUP(BA1915,Selects!$B$4:$C$100,2,0),"")</f>
        <v/>
      </c>
      <c r="BG1915" s="75" t="str">
        <f aca="false">IF(LEN(BF1915)=11,"PF",IF(LEN(BF1915)=14,"PJ",""))</f>
        <v/>
      </c>
      <c r="BH1915" s="66"/>
      <c r="CB1915" s="72" t="str">
        <f aca="false">IF(AC1915&lt;&gt;"",VLOOKUP(AC1915,Selects!$B:$E,4,0),"")</f>
        <v/>
      </c>
    </row>
    <row r="1916" customFormat="false" ht="15" hidden="true" customHeight="false" outlineLevel="0" collapsed="false">
      <c r="E1916" s="60" t="str">
        <f aca="false">IF(LEN(D1916)=11,"PF",IF(LEN(D1916)=14,"PJ",""))</f>
        <v/>
      </c>
      <c r="I1916" s="62"/>
      <c r="J1916" s="63" t="str">
        <f aca="false">IF(I1916&lt;&gt;"",VLOOKUP(I1916,'Legal Nature'!$E$2:$G$84,3,0),"")</f>
        <v/>
      </c>
      <c r="AJ1916" s="66"/>
      <c r="AM1916" s="68" t="str">
        <f aca="false">IF(LEFT(AL1916,1)="9","Celular",IF(AL1916="","","Fixo"))</f>
        <v/>
      </c>
      <c r="AN1916" s="58" t="str">
        <f aca="false">IF( AM1916&lt;&gt;"",VLOOKUP(AM1916,Selects!$M$4:$N$1000,2,0),"")</f>
        <v/>
      </c>
      <c r="BB1916" s="72" t="str">
        <f aca="false">IF(BA1916&lt;&gt;"",VLOOKUP(BA1916,Selects!$B$4:$C$100,2,0),"")</f>
        <v/>
      </c>
      <c r="BG1916" s="75" t="str">
        <f aca="false">IF(LEN(BF1916)=11,"PF",IF(LEN(BF1916)=14,"PJ",""))</f>
        <v/>
      </c>
      <c r="BH1916" s="66"/>
      <c r="CB1916" s="72" t="str">
        <f aca="false">IF(AC1916&lt;&gt;"",VLOOKUP(AC1916,Selects!$B:$E,4,0),"")</f>
        <v/>
      </c>
    </row>
    <row r="1917" customFormat="false" ht="15" hidden="true" customHeight="false" outlineLevel="0" collapsed="false">
      <c r="E1917" s="60" t="str">
        <f aca="false">IF(LEN(D1917)=11,"PF",IF(LEN(D1917)=14,"PJ",""))</f>
        <v/>
      </c>
      <c r="I1917" s="62"/>
      <c r="J1917" s="63" t="str">
        <f aca="false">IF(I1917&lt;&gt;"",VLOOKUP(I1917,'Legal Nature'!$E$2:$G$84,3,0),"")</f>
        <v/>
      </c>
      <c r="AJ1917" s="66"/>
      <c r="AM1917" s="68" t="str">
        <f aca="false">IF(LEFT(AL1917,1)="9","Celular",IF(AL1917="","","Fixo"))</f>
        <v/>
      </c>
      <c r="AN1917" s="58" t="str">
        <f aca="false">IF( AM1917&lt;&gt;"",VLOOKUP(AM1917,Selects!$M$4:$N$1000,2,0),"")</f>
        <v/>
      </c>
      <c r="BB1917" s="72" t="str">
        <f aca="false">IF(BA1917&lt;&gt;"",VLOOKUP(BA1917,Selects!$B$4:$C$100,2,0),"")</f>
        <v/>
      </c>
      <c r="BG1917" s="75" t="str">
        <f aca="false">IF(LEN(BF1917)=11,"PF",IF(LEN(BF1917)=14,"PJ",""))</f>
        <v/>
      </c>
      <c r="BH1917" s="66"/>
      <c r="CB1917" s="72" t="str">
        <f aca="false">IF(AC1917&lt;&gt;"",VLOOKUP(AC1917,Selects!$B:$E,4,0),"")</f>
        <v/>
      </c>
    </row>
    <row r="1918" customFormat="false" ht="15" hidden="true" customHeight="false" outlineLevel="0" collapsed="false">
      <c r="E1918" s="60" t="str">
        <f aca="false">IF(LEN(D1918)=11,"PF",IF(LEN(D1918)=14,"PJ",""))</f>
        <v/>
      </c>
      <c r="I1918" s="62"/>
      <c r="J1918" s="63" t="str">
        <f aca="false">IF(I1918&lt;&gt;"",VLOOKUP(I1918,'Legal Nature'!$E$2:$G$84,3,0),"")</f>
        <v/>
      </c>
      <c r="AJ1918" s="66"/>
      <c r="AM1918" s="68" t="str">
        <f aca="false">IF(LEFT(AL1918,1)="9","Celular",IF(AL1918="","","Fixo"))</f>
        <v/>
      </c>
      <c r="AN1918" s="58" t="str">
        <f aca="false">IF( AM1918&lt;&gt;"",VLOOKUP(AM1918,Selects!$M$4:$N$1000,2,0),"")</f>
        <v/>
      </c>
      <c r="BB1918" s="72" t="str">
        <f aca="false">IF(BA1918&lt;&gt;"",VLOOKUP(BA1918,Selects!$B$4:$C$100,2,0),"")</f>
        <v/>
      </c>
      <c r="BG1918" s="75" t="str">
        <f aca="false">IF(LEN(BF1918)=11,"PF",IF(LEN(BF1918)=14,"PJ",""))</f>
        <v/>
      </c>
      <c r="BH1918" s="66"/>
      <c r="CB1918" s="72" t="str">
        <f aca="false">IF(AC1918&lt;&gt;"",VLOOKUP(AC1918,Selects!$B:$E,4,0),"")</f>
        <v/>
      </c>
    </row>
    <row r="1919" customFormat="false" ht="15" hidden="true" customHeight="false" outlineLevel="0" collapsed="false">
      <c r="E1919" s="60" t="str">
        <f aca="false">IF(LEN(D1919)=11,"PF",IF(LEN(D1919)=14,"PJ",""))</f>
        <v/>
      </c>
      <c r="I1919" s="62"/>
      <c r="J1919" s="63" t="str">
        <f aca="false">IF(I1919&lt;&gt;"",VLOOKUP(I1919,'Legal Nature'!$E$2:$G$84,3,0),"")</f>
        <v/>
      </c>
      <c r="AJ1919" s="66"/>
      <c r="AM1919" s="68" t="str">
        <f aca="false">IF(LEFT(AL1919,1)="9","Celular",IF(AL1919="","","Fixo"))</f>
        <v/>
      </c>
      <c r="AN1919" s="58" t="str">
        <f aca="false">IF( AM1919&lt;&gt;"",VLOOKUP(AM1919,Selects!$M$4:$N$1000,2,0),"")</f>
        <v/>
      </c>
      <c r="BB1919" s="72" t="str">
        <f aca="false">IF(BA1919&lt;&gt;"",VLOOKUP(BA1919,Selects!$B$4:$C$100,2,0),"")</f>
        <v/>
      </c>
      <c r="BG1919" s="75" t="str">
        <f aca="false">IF(LEN(BF1919)=11,"PF",IF(LEN(BF1919)=14,"PJ",""))</f>
        <v/>
      </c>
      <c r="BH1919" s="66"/>
      <c r="CB1919" s="72" t="str">
        <f aca="false">IF(AC1919&lt;&gt;"",VLOOKUP(AC1919,Selects!$B:$E,4,0),"")</f>
        <v/>
      </c>
    </row>
    <row r="1920" customFormat="false" ht="15" hidden="true" customHeight="false" outlineLevel="0" collapsed="false">
      <c r="E1920" s="60" t="str">
        <f aca="false">IF(LEN(D1920)=11,"PF",IF(LEN(D1920)=14,"PJ",""))</f>
        <v/>
      </c>
      <c r="I1920" s="62"/>
      <c r="J1920" s="63" t="str">
        <f aca="false">IF(I1920&lt;&gt;"",VLOOKUP(I1920,'Legal Nature'!$E$2:$G$84,3,0),"")</f>
        <v/>
      </c>
      <c r="AJ1920" s="66"/>
      <c r="AM1920" s="68" t="str">
        <f aca="false">IF(LEFT(AL1920,1)="9","Celular",IF(AL1920="","","Fixo"))</f>
        <v/>
      </c>
      <c r="AN1920" s="58" t="str">
        <f aca="false">IF( AM1920&lt;&gt;"",VLOOKUP(AM1920,Selects!$M$4:$N$1000,2,0),"")</f>
        <v/>
      </c>
      <c r="BB1920" s="72" t="str">
        <f aca="false">IF(BA1920&lt;&gt;"",VLOOKUP(BA1920,Selects!$B$4:$C$100,2,0),"")</f>
        <v/>
      </c>
      <c r="BG1920" s="75" t="str">
        <f aca="false">IF(LEN(BF1920)=11,"PF",IF(LEN(BF1920)=14,"PJ",""))</f>
        <v/>
      </c>
      <c r="BH1920" s="66"/>
      <c r="CB1920" s="72" t="str">
        <f aca="false">IF(AC1920&lt;&gt;"",VLOOKUP(AC1920,Selects!$B:$E,4,0),"")</f>
        <v/>
      </c>
    </row>
    <row r="1921" customFormat="false" ht="15" hidden="true" customHeight="false" outlineLevel="0" collapsed="false">
      <c r="E1921" s="60" t="str">
        <f aca="false">IF(LEN(D1921)=11,"PF",IF(LEN(D1921)=14,"PJ",""))</f>
        <v/>
      </c>
      <c r="I1921" s="62"/>
      <c r="J1921" s="63" t="str">
        <f aca="false">IF(I1921&lt;&gt;"",VLOOKUP(I1921,'Legal Nature'!$E$2:$G$84,3,0),"")</f>
        <v/>
      </c>
      <c r="AJ1921" s="66"/>
      <c r="AM1921" s="68" t="str">
        <f aca="false">IF(LEFT(AL1921,1)="9","Celular",IF(AL1921="","","Fixo"))</f>
        <v/>
      </c>
      <c r="AN1921" s="58" t="str">
        <f aca="false">IF( AM1921&lt;&gt;"",VLOOKUP(AM1921,Selects!$M$4:$N$1000,2,0),"")</f>
        <v/>
      </c>
      <c r="BB1921" s="72" t="str">
        <f aca="false">IF(BA1921&lt;&gt;"",VLOOKUP(BA1921,Selects!$B$4:$C$100,2,0),"")</f>
        <v/>
      </c>
      <c r="BG1921" s="75" t="str">
        <f aca="false">IF(LEN(BF1921)=11,"PF",IF(LEN(BF1921)=14,"PJ",""))</f>
        <v/>
      </c>
      <c r="BH1921" s="66"/>
      <c r="CB1921" s="72" t="str">
        <f aca="false">IF(AC1921&lt;&gt;"",VLOOKUP(AC1921,Selects!$B:$E,4,0),"")</f>
        <v/>
      </c>
    </row>
    <row r="1922" customFormat="false" ht="15" hidden="true" customHeight="false" outlineLevel="0" collapsed="false">
      <c r="E1922" s="60" t="str">
        <f aca="false">IF(LEN(D1922)=11,"PF",IF(LEN(D1922)=14,"PJ",""))</f>
        <v/>
      </c>
      <c r="I1922" s="62"/>
      <c r="J1922" s="63" t="str">
        <f aca="false">IF(I1922&lt;&gt;"",VLOOKUP(I1922,'Legal Nature'!$E$2:$G$84,3,0),"")</f>
        <v/>
      </c>
      <c r="AJ1922" s="66"/>
      <c r="AM1922" s="68" t="str">
        <f aca="false">IF(LEFT(AL1922,1)="9","Celular",IF(AL1922="","","Fixo"))</f>
        <v/>
      </c>
      <c r="AN1922" s="58" t="str">
        <f aca="false">IF( AM1922&lt;&gt;"",VLOOKUP(AM1922,Selects!$M$4:$N$1000,2,0),"")</f>
        <v/>
      </c>
      <c r="BB1922" s="72" t="str">
        <f aca="false">IF(BA1922&lt;&gt;"",VLOOKUP(BA1922,Selects!$B$4:$C$100,2,0),"")</f>
        <v/>
      </c>
      <c r="BG1922" s="75" t="str">
        <f aca="false">IF(LEN(BF1922)=11,"PF",IF(LEN(BF1922)=14,"PJ",""))</f>
        <v/>
      </c>
      <c r="BH1922" s="66"/>
      <c r="CB1922" s="72" t="str">
        <f aca="false">IF(AC1922&lt;&gt;"",VLOOKUP(AC1922,Selects!$B:$E,4,0),"")</f>
        <v/>
      </c>
    </row>
    <row r="1923" customFormat="false" ht="15" hidden="true" customHeight="false" outlineLevel="0" collapsed="false">
      <c r="E1923" s="60" t="str">
        <f aca="false">IF(LEN(D1923)=11,"PF",IF(LEN(D1923)=14,"PJ",""))</f>
        <v/>
      </c>
      <c r="I1923" s="62"/>
      <c r="J1923" s="63" t="str">
        <f aca="false">IF(I1923&lt;&gt;"",VLOOKUP(I1923,'Legal Nature'!$E$2:$G$84,3,0),"")</f>
        <v/>
      </c>
      <c r="AJ1923" s="66"/>
      <c r="AM1923" s="68" t="str">
        <f aca="false">IF(LEFT(AL1923,1)="9","Celular",IF(AL1923="","","Fixo"))</f>
        <v/>
      </c>
      <c r="AN1923" s="58" t="str">
        <f aca="false">IF( AM1923&lt;&gt;"",VLOOKUP(AM1923,Selects!$M$4:$N$1000,2,0),"")</f>
        <v/>
      </c>
      <c r="BB1923" s="72" t="str">
        <f aca="false">IF(BA1923&lt;&gt;"",VLOOKUP(BA1923,Selects!$B$4:$C$100,2,0),"")</f>
        <v/>
      </c>
      <c r="BG1923" s="75" t="str">
        <f aca="false">IF(LEN(BF1923)=11,"PF",IF(LEN(BF1923)=14,"PJ",""))</f>
        <v/>
      </c>
      <c r="BH1923" s="66"/>
      <c r="CB1923" s="72" t="str">
        <f aca="false">IF(AC1923&lt;&gt;"",VLOOKUP(AC1923,Selects!$B:$E,4,0),"")</f>
        <v/>
      </c>
    </row>
    <row r="1924" customFormat="false" ht="15" hidden="true" customHeight="false" outlineLevel="0" collapsed="false">
      <c r="E1924" s="60" t="str">
        <f aca="false">IF(LEN(D1924)=11,"PF",IF(LEN(D1924)=14,"PJ",""))</f>
        <v/>
      </c>
      <c r="I1924" s="62"/>
      <c r="J1924" s="63" t="str">
        <f aca="false">IF(I1924&lt;&gt;"",VLOOKUP(I1924,'Legal Nature'!$E$2:$G$84,3,0),"")</f>
        <v/>
      </c>
      <c r="AJ1924" s="66"/>
      <c r="AM1924" s="68" t="str">
        <f aca="false">IF(LEFT(AL1924,1)="9","Celular",IF(AL1924="","","Fixo"))</f>
        <v/>
      </c>
      <c r="AN1924" s="58" t="str">
        <f aca="false">IF( AM1924&lt;&gt;"",VLOOKUP(AM1924,Selects!$M$4:$N$1000,2,0),"")</f>
        <v/>
      </c>
      <c r="BB1924" s="72" t="str">
        <f aca="false">IF(BA1924&lt;&gt;"",VLOOKUP(BA1924,Selects!$B$4:$C$100,2,0),"")</f>
        <v/>
      </c>
      <c r="BG1924" s="75" t="str">
        <f aca="false">IF(LEN(BF1924)=11,"PF",IF(LEN(BF1924)=14,"PJ",""))</f>
        <v/>
      </c>
      <c r="BH1924" s="66"/>
      <c r="CB1924" s="72" t="str">
        <f aca="false">IF(AC1924&lt;&gt;"",VLOOKUP(AC1924,Selects!$B:$E,4,0),"")</f>
        <v/>
      </c>
    </row>
    <row r="1925" customFormat="false" ht="15" hidden="true" customHeight="false" outlineLevel="0" collapsed="false">
      <c r="E1925" s="60" t="str">
        <f aca="false">IF(LEN(D1925)=11,"PF",IF(LEN(D1925)=14,"PJ",""))</f>
        <v/>
      </c>
      <c r="I1925" s="62"/>
      <c r="J1925" s="63" t="str">
        <f aca="false">IF(I1925&lt;&gt;"",VLOOKUP(I1925,'Legal Nature'!$E$2:$G$84,3,0),"")</f>
        <v/>
      </c>
      <c r="AJ1925" s="66"/>
      <c r="AM1925" s="68" t="str">
        <f aca="false">IF(LEFT(AL1925,1)="9","Celular",IF(AL1925="","","Fixo"))</f>
        <v/>
      </c>
      <c r="AN1925" s="58" t="str">
        <f aca="false">IF( AM1925&lt;&gt;"",VLOOKUP(AM1925,Selects!$M$4:$N$1000,2,0),"")</f>
        <v/>
      </c>
      <c r="BB1925" s="72" t="str">
        <f aca="false">IF(BA1925&lt;&gt;"",VLOOKUP(BA1925,Selects!$B$4:$C$100,2,0),"")</f>
        <v/>
      </c>
      <c r="BG1925" s="75" t="str">
        <f aca="false">IF(LEN(BF1925)=11,"PF",IF(LEN(BF1925)=14,"PJ",""))</f>
        <v/>
      </c>
      <c r="BH1925" s="66"/>
      <c r="CB1925" s="72" t="str">
        <f aca="false">IF(AC1925&lt;&gt;"",VLOOKUP(AC1925,Selects!$B:$E,4,0),"")</f>
        <v/>
      </c>
    </row>
    <row r="1926" customFormat="false" ht="15" hidden="true" customHeight="false" outlineLevel="0" collapsed="false">
      <c r="E1926" s="60" t="str">
        <f aca="false">IF(LEN(D1926)=11,"PF",IF(LEN(D1926)=14,"PJ",""))</f>
        <v/>
      </c>
      <c r="I1926" s="62"/>
      <c r="J1926" s="63" t="str">
        <f aca="false">IF(I1926&lt;&gt;"",VLOOKUP(I1926,'Legal Nature'!$E$2:$G$84,3,0),"")</f>
        <v/>
      </c>
      <c r="AJ1926" s="66"/>
      <c r="AM1926" s="68" t="str">
        <f aca="false">IF(LEFT(AL1926,1)="9","Celular",IF(AL1926="","","Fixo"))</f>
        <v/>
      </c>
      <c r="AN1926" s="58" t="str">
        <f aca="false">IF( AM1926&lt;&gt;"",VLOOKUP(AM1926,Selects!$M$4:$N$1000,2,0),"")</f>
        <v/>
      </c>
      <c r="BB1926" s="72" t="str">
        <f aca="false">IF(BA1926&lt;&gt;"",VLOOKUP(BA1926,Selects!$B$4:$C$100,2,0),"")</f>
        <v/>
      </c>
      <c r="BG1926" s="75" t="str">
        <f aca="false">IF(LEN(BF1926)=11,"PF",IF(LEN(BF1926)=14,"PJ",""))</f>
        <v/>
      </c>
      <c r="BH1926" s="66"/>
      <c r="CB1926" s="72" t="str">
        <f aca="false">IF(AC1926&lt;&gt;"",VLOOKUP(AC1926,Selects!$B:$E,4,0),"")</f>
        <v/>
      </c>
    </row>
    <row r="1927" customFormat="false" ht="15" hidden="true" customHeight="false" outlineLevel="0" collapsed="false">
      <c r="E1927" s="60" t="str">
        <f aca="false">IF(LEN(D1927)=11,"PF",IF(LEN(D1927)=14,"PJ",""))</f>
        <v/>
      </c>
      <c r="I1927" s="62"/>
      <c r="J1927" s="63" t="str">
        <f aca="false">IF(I1927&lt;&gt;"",VLOOKUP(I1927,'Legal Nature'!$E$2:$G$84,3,0),"")</f>
        <v/>
      </c>
      <c r="AJ1927" s="66"/>
      <c r="AM1927" s="68" t="str">
        <f aca="false">IF(LEFT(AL1927,1)="9","Celular",IF(AL1927="","","Fixo"))</f>
        <v/>
      </c>
      <c r="AN1927" s="58" t="str">
        <f aca="false">IF( AM1927&lt;&gt;"",VLOOKUP(AM1927,Selects!$M$4:$N$1000,2,0),"")</f>
        <v/>
      </c>
      <c r="BB1927" s="72" t="str">
        <f aca="false">IF(BA1927&lt;&gt;"",VLOOKUP(BA1927,Selects!$B$4:$C$100,2,0),"")</f>
        <v/>
      </c>
      <c r="BG1927" s="75" t="str">
        <f aca="false">IF(LEN(BF1927)=11,"PF",IF(LEN(BF1927)=14,"PJ",""))</f>
        <v/>
      </c>
      <c r="BH1927" s="66"/>
      <c r="CB1927" s="72" t="str">
        <f aca="false">IF(AC1927&lt;&gt;"",VLOOKUP(AC1927,Selects!$B:$E,4,0),"")</f>
        <v/>
      </c>
    </row>
    <row r="1928" customFormat="false" ht="15" hidden="true" customHeight="false" outlineLevel="0" collapsed="false">
      <c r="E1928" s="60" t="str">
        <f aca="false">IF(LEN(D1928)=11,"PF",IF(LEN(D1928)=14,"PJ",""))</f>
        <v/>
      </c>
      <c r="I1928" s="62"/>
      <c r="J1928" s="63" t="str">
        <f aca="false">IF(I1928&lt;&gt;"",VLOOKUP(I1928,'Legal Nature'!$E$2:$G$84,3,0),"")</f>
        <v/>
      </c>
      <c r="AJ1928" s="66"/>
      <c r="AM1928" s="68" t="str">
        <f aca="false">IF(LEFT(AL1928,1)="9","Celular",IF(AL1928="","","Fixo"))</f>
        <v/>
      </c>
      <c r="AN1928" s="58" t="str">
        <f aca="false">IF( AM1928&lt;&gt;"",VLOOKUP(AM1928,Selects!$M$4:$N$1000,2,0),"")</f>
        <v/>
      </c>
      <c r="BB1928" s="72" t="str">
        <f aca="false">IF(BA1928&lt;&gt;"",VLOOKUP(BA1928,Selects!$B$4:$C$100,2,0),"")</f>
        <v/>
      </c>
      <c r="BG1928" s="75" t="str">
        <f aca="false">IF(LEN(BF1928)=11,"PF",IF(LEN(BF1928)=14,"PJ",""))</f>
        <v/>
      </c>
      <c r="BH1928" s="66"/>
      <c r="CB1928" s="72" t="str">
        <f aca="false">IF(AC1928&lt;&gt;"",VLOOKUP(AC1928,Selects!$B:$E,4,0),"")</f>
        <v/>
      </c>
    </row>
    <row r="1929" customFormat="false" ht="15" hidden="true" customHeight="false" outlineLevel="0" collapsed="false">
      <c r="E1929" s="60" t="str">
        <f aca="false">IF(LEN(D1929)=11,"PF",IF(LEN(D1929)=14,"PJ",""))</f>
        <v/>
      </c>
      <c r="I1929" s="62"/>
      <c r="J1929" s="63" t="str">
        <f aca="false">IF(I1929&lt;&gt;"",VLOOKUP(I1929,'Legal Nature'!$E$2:$G$84,3,0),"")</f>
        <v/>
      </c>
      <c r="AJ1929" s="66"/>
      <c r="AM1929" s="68" t="str">
        <f aca="false">IF(LEFT(AL1929,1)="9","Celular",IF(AL1929="","","Fixo"))</f>
        <v/>
      </c>
      <c r="AN1929" s="58" t="str">
        <f aca="false">IF( AM1929&lt;&gt;"",VLOOKUP(AM1929,Selects!$M$4:$N$1000,2,0),"")</f>
        <v/>
      </c>
      <c r="BB1929" s="72" t="str">
        <f aca="false">IF(BA1929&lt;&gt;"",VLOOKUP(BA1929,Selects!$B$4:$C$100,2,0),"")</f>
        <v/>
      </c>
      <c r="BG1929" s="75" t="str">
        <f aca="false">IF(LEN(BF1929)=11,"PF",IF(LEN(BF1929)=14,"PJ",""))</f>
        <v/>
      </c>
      <c r="BH1929" s="66"/>
      <c r="CB1929" s="72" t="str">
        <f aca="false">IF(AC1929&lt;&gt;"",VLOOKUP(AC1929,Selects!$B:$E,4,0),"")</f>
        <v/>
      </c>
    </row>
    <row r="1930" customFormat="false" ht="15" hidden="true" customHeight="false" outlineLevel="0" collapsed="false">
      <c r="E1930" s="60" t="str">
        <f aca="false">IF(LEN(D1930)=11,"PF",IF(LEN(D1930)=14,"PJ",""))</f>
        <v/>
      </c>
      <c r="I1930" s="62"/>
      <c r="J1930" s="63" t="str">
        <f aca="false">IF(I1930&lt;&gt;"",VLOOKUP(I1930,'Legal Nature'!$E$2:$G$84,3,0),"")</f>
        <v/>
      </c>
      <c r="AJ1930" s="66"/>
      <c r="AM1930" s="68" t="str">
        <f aca="false">IF(LEFT(AL1930,1)="9","Celular",IF(AL1930="","","Fixo"))</f>
        <v/>
      </c>
      <c r="AN1930" s="58" t="str">
        <f aca="false">IF( AM1930&lt;&gt;"",VLOOKUP(AM1930,Selects!$M$4:$N$1000,2,0),"")</f>
        <v/>
      </c>
      <c r="BB1930" s="72" t="str">
        <f aca="false">IF(BA1930&lt;&gt;"",VLOOKUP(BA1930,Selects!$B$4:$C$100,2,0),"")</f>
        <v/>
      </c>
      <c r="BG1930" s="75" t="str">
        <f aca="false">IF(LEN(BF1930)=11,"PF",IF(LEN(BF1930)=14,"PJ",""))</f>
        <v/>
      </c>
      <c r="BH1930" s="66"/>
      <c r="CB1930" s="72" t="str">
        <f aca="false">IF(AC1930&lt;&gt;"",VLOOKUP(AC1930,Selects!$B:$E,4,0),"")</f>
        <v/>
      </c>
    </row>
    <row r="1931" customFormat="false" ht="15" hidden="true" customHeight="false" outlineLevel="0" collapsed="false">
      <c r="E1931" s="60" t="str">
        <f aca="false">IF(LEN(D1931)=11,"PF",IF(LEN(D1931)=14,"PJ",""))</f>
        <v/>
      </c>
      <c r="I1931" s="62"/>
      <c r="J1931" s="63" t="str">
        <f aca="false">IF(I1931&lt;&gt;"",VLOOKUP(I1931,'Legal Nature'!$E$2:$G$84,3,0),"")</f>
        <v/>
      </c>
      <c r="AJ1931" s="66"/>
      <c r="AM1931" s="68" t="str">
        <f aca="false">IF(LEFT(AL1931,1)="9","Celular",IF(AL1931="","","Fixo"))</f>
        <v/>
      </c>
      <c r="AN1931" s="58" t="str">
        <f aca="false">IF( AM1931&lt;&gt;"",VLOOKUP(AM1931,Selects!$M$4:$N$1000,2,0),"")</f>
        <v/>
      </c>
      <c r="BB1931" s="72" t="str">
        <f aca="false">IF(BA1931&lt;&gt;"",VLOOKUP(BA1931,Selects!$B$4:$C$100,2,0),"")</f>
        <v/>
      </c>
      <c r="BG1931" s="75" t="str">
        <f aca="false">IF(LEN(BF1931)=11,"PF",IF(LEN(BF1931)=14,"PJ",""))</f>
        <v/>
      </c>
      <c r="BH1931" s="66"/>
      <c r="CB1931" s="72" t="str">
        <f aca="false">IF(AC1931&lt;&gt;"",VLOOKUP(AC1931,Selects!$B:$E,4,0),"")</f>
        <v/>
      </c>
    </row>
    <row r="1932" customFormat="false" ht="15" hidden="true" customHeight="false" outlineLevel="0" collapsed="false">
      <c r="E1932" s="60" t="str">
        <f aca="false">IF(LEN(D1932)=11,"PF",IF(LEN(D1932)=14,"PJ",""))</f>
        <v/>
      </c>
      <c r="I1932" s="62"/>
      <c r="J1932" s="63" t="str">
        <f aca="false">IF(I1932&lt;&gt;"",VLOOKUP(I1932,'Legal Nature'!$E$2:$G$84,3,0),"")</f>
        <v/>
      </c>
      <c r="AJ1932" s="66"/>
      <c r="AM1932" s="68" t="str">
        <f aca="false">IF(LEFT(AL1932,1)="9","Celular",IF(AL1932="","","Fixo"))</f>
        <v/>
      </c>
      <c r="AN1932" s="58" t="str">
        <f aca="false">IF( AM1932&lt;&gt;"",VLOOKUP(AM1932,Selects!$M$4:$N$1000,2,0),"")</f>
        <v/>
      </c>
      <c r="BB1932" s="72" t="str">
        <f aca="false">IF(BA1932&lt;&gt;"",VLOOKUP(BA1932,Selects!$B$4:$C$100,2,0),"")</f>
        <v/>
      </c>
      <c r="BG1932" s="75" t="str">
        <f aca="false">IF(LEN(BF1932)=11,"PF",IF(LEN(BF1932)=14,"PJ",""))</f>
        <v/>
      </c>
      <c r="BH1932" s="66"/>
      <c r="CB1932" s="72" t="str">
        <f aca="false">IF(AC1932&lt;&gt;"",VLOOKUP(AC1932,Selects!$B:$E,4,0),"")</f>
        <v/>
      </c>
    </row>
    <row r="1933" customFormat="false" ht="15" hidden="true" customHeight="false" outlineLevel="0" collapsed="false">
      <c r="E1933" s="60" t="str">
        <f aca="false">IF(LEN(D1933)=11,"PF",IF(LEN(D1933)=14,"PJ",""))</f>
        <v/>
      </c>
      <c r="I1933" s="62"/>
      <c r="J1933" s="63" t="str">
        <f aca="false">IF(I1933&lt;&gt;"",VLOOKUP(I1933,'Legal Nature'!$E$2:$G$84,3,0),"")</f>
        <v/>
      </c>
      <c r="AJ1933" s="66"/>
      <c r="AM1933" s="68" t="str">
        <f aca="false">IF(LEFT(AL1933,1)="9","Celular",IF(AL1933="","","Fixo"))</f>
        <v/>
      </c>
      <c r="AN1933" s="58" t="str">
        <f aca="false">IF( AM1933&lt;&gt;"",VLOOKUP(AM1933,Selects!$M$4:$N$1000,2,0),"")</f>
        <v/>
      </c>
      <c r="BB1933" s="72" t="str">
        <f aca="false">IF(BA1933&lt;&gt;"",VLOOKUP(BA1933,Selects!$B$4:$C$100,2,0),"")</f>
        <v/>
      </c>
      <c r="BG1933" s="75" t="str">
        <f aca="false">IF(LEN(BF1933)=11,"PF",IF(LEN(BF1933)=14,"PJ",""))</f>
        <v/>
      </c>
      <c r="BH1933" s="66"/>
      <c r="CB1933" s="72" t="str">
        <f aca="false">IF(AC1933&lt;&gt;"",VLOOKUP(AC1933,Selects!$B:$E,4,0),"")</f>
        <v/>
      </c>
    </row>
    <row r="1934" customFormat="false" ht="15" hidden="true" customHeight="false" outlineLevel="0" collapsed="false">
      <c r="E1934" s="60" t="str">
        <f aca="false">IF(LEN(D1934)=11,"PF",IF(LEN(D1934)=14,"PJ",""))</f>
        <v/>
      </c>
      <c r="I1934" s="62"/>
      <c r="J1934" s="63" t="str">
        <f aca="false">IF(I1934&lt;&gt;"",VLOOKUP(I1934,'Legal Nature'!$E$2:$G$84,3,0),"")</f>
        <v/>
      </c>
      <c r="AJ1934" s="66"/>
      <c r="AM1934" s="68" t="str">
        <f aca="false">IF(LEFT(AL1934,1)="9","Celular",IF(AL1934="","","Fixo"))</f>
        <v/>
      </c>
      <c r="AN1934" s="58" t="str">
        <f aca="false">IF( AM1934&lt;&gt;"",VLOOKUP(AM1934,Selects!$M$4:$N$1000,2,0),"")</f>
        <v/>
      </c>
      <c r="BB1934" s="72" t="str">
        <f aca="false">IF(BA1934&lt;&gt;"",VLOOKUP(BA1934,Selects!$B$4:$C$100,2,0),"")</f>
        <v/>
      </c>
      <c r="BG1934" s="75" t="str">
        <f aca="false">IF(LEN(BF1934)=11,"PF",IF(LEN(BF1934)=14,"PJ",""))</f>
        <v/>
      </c>
      <c r="BH1934" s="66"/>
      <c r="CB1934" s="72" t="str">
        <f aca="false">IF(AC1934&lt;&gt;"",VLOOKUP(AC1934,Selects!$B:$E,4,0),"")</f>
        <v/>
      </c>
    </row>
    <row r="1935" customFormat="false" ht="15" hidden="true" customHeight="false" outlineLevel="0" collapsed="false">
      <c r="E1935" s="60" t="str">
        <f aca="false">IF(LEN(D1935)=11,"PF",IF(LEN(D1935)=14,"PJ",""))</f>
        <v/>
      </c>
      <c r="I1935" s="62"/>
      <c r="J1935" s="63" t="str">
        <f aca="false">IF(I1935&lt;&gt;"",VLOOKUP(I1935,'Legal Nature'!$E$2:$G$84,3,0),"")</f>
        <v/>
      </c>
      <c r="AJ1935" s="66"/>
      <c r="AM1935" s="68" t="str">
        <f aca="false">IF(LEFT(AL1935,1)="9","Celular",IF(AL1935="","","Fixo"))</f>
        <v/>
      </c>
      <c r="AN1935" s="58" t="str">
        <f aca="false">IF( AM1935&lt;&gt;"",VLOOKUP(AM1935,Selects!$M$4:$N$1000,2,0),"")</f>
        <v/>
      </c>
      <c r="BB1935" s="72" t="str">
        <f aca="false">IF(BA1935&lt;&gt;"",VLOOKUP(BA1935,Selects!$B$4:$C$100,2,0),"")</f>
        <v/>
      </c>
      <c r="BG1935" s="75" t="str">
        <f aca="false">IF(LEN(BF1935)=11,"PF",IF(LEN(BF1935)=14,"PJ",""))</f>
        <v/>
      </c>
      <c r="BH1935" s="66"/>
      <c r="CB1935" s="72" t="str">
        <f aca="false">IF(AC1935&lt;&gt;"",VLOOKUP(AC1935,Selects!$B:$E,4,0),"")</f>
        <v/>
      </c>
    </row>
    <row r="1936" customFormat="false" ht="15" hidden="true" customHeight="false" outlineLevel="0" collapsed="false">
      <c r="E1936" s="60" t="str">
        <f aca="false">IF(LEN(D1936)=11,"PF",IF(LEN(D1936)=14,"PJ",""))</f>
        <v/>
      </c>
      <c r="I1936" s="62"/>
      <c r="J1936" s="63" t="str">
        <f aca="false">IF(I1936&lt;&gt;"",VLOOKUP(I1936,'Legal Nature'!$E$2:$G$84,3,0),"")</f>
        <v/>
      </c>
      <c r="AJ1936" s="66"/>
      <c r="AM1936" s="68" t="str">
        <f aca="false">IF(LEFT(AL1936,1)="9","Celular",IF(AL1936="","","Fixo"))</f>
        <v/>
      </c>
      <c r="AN1936" s="58" t="str">
        <f aca="false">IF( AM1936&lt;&gt;"",VLOOKUP(AM1936,Selects!$M$4:$N$1000,2,0),"")</f>
        <v/>
      </c>
      <c r="BB1936" s="72" t="str">
        <f aca="false">IF(BA1936&lt;&gt;"",VLOOKUP(BA1936,Selects!$B$4:$C$100,2,0),"")</f>
        <v/>
      </c>
      <c r="BG1936" s="75" t="str">
        <f aca="false">IF(LEN(BF1936)=11,"PF",IF(LEN(BF1936)=14,"PJ",""))</f>
        <v/>
      </c>
      <c r="BH1936" s="66"/>
      <c r="CB1936" s="72" t="str">
        <f aca="false">IF(AC1936&lt;&gt;"",VLOOKUP(AC1936,Selects!$B:$E,4,0),"")</f>
        <v/>
      </c>
    </row>
    <row r="1937" customFormat="false" ht="15" hidden="true" customHeight="false" outlineLevel="0" collapsed="false">
      <c r="E1937" s="60" t="str">
        <f aca="false">IF(LEN(D1937)=11,"PF",IF(LEN(D1937)=14,"PJ",""))</f>
        <v/>
      </c>
      <c r="I1937" s="62"/>
      <c r="J1937" s="63" t="str">
        <f aca="false">IF(I1937&lt;&gt;"",VLOOKUP(I1937,'Legal Nature'!$E$2:$G$84,3,0),"")</f>
        <v/>
      </c>
      <c r="AJ1937" s="66"/>
      <c r="AM1937" s="68" t="str">
        <f aca="false">IF(LEFT(AL1937,1)="9","Celular",IF(AL1937="","","Fixo"))</f>
        <v/>
      </c>
      <c r="AN1937" s="58" t="str">
        <f aca="false">IF( AM1937&lt;&gt;"",VLOOKUP(AM1937,Selects!$M$4:$N$1000,2,0),"")</f>
        <v/>
      </c>
      <c r="BB1937" s="72" t="str">
        <f aca="false">IF(BA1937&lt;&gt;"",VLOOKUP(BA1937,Selects!$B$4:$C$100,2,0),"")</f>
        <v/>
      </c>
      <c r="BG1937" s="75" t="str">
        <f aca="false">IF(LEN(BF1937)=11,"PF",IF(LEN(BF1937)=14,"PJ",""))</f>
        <v/>
      </c>
      <c r="BH1937" s="66"/>
      <c r="CB1937" s="72" t="str">
        <f aca="false">IF(AC1937&lt;&gt;"",VLOOKUP(AC1937,Selects!$B:$E,4,0),"")</f>
        <v/>
      </c>
    </row>
    <row r="1938" customFormat="false" ht="15" hidden="true" customHeight="false" outlineLevel="0" collapsed="false">
      <c r="E1938" s="60" t="str">
        <f aca="false">IF(LEN(D1938)=11,"PF",IF(LEN(D1938)=14,"PJ",""))</f>
        <v/>
      </c>
      <c r="I1938" s="62"/>
      <c r="J1938" s="63" t="str">
        <f aca="false">IF(I1938&lt;&gt;"",VLOOKUP(I1938,'Legal Nature'!$E$2:$G$84,3,0),"")</f>
        <v/>
      </c>
      <c r="AJ1938" s="66"/>
      <c r="AM1938" s="68" t="str">
        <f aca="false">IF(LEFT(AL1938,1)="9","Celular",IF(AL1938="","","Fixo"))</f>
        <v/>
      </c>
      <c r="AN1938" s="58" t="str">
        <f aca="false">IF( AM1938&lt;&gt;"",VLOOKUP(AM1938,Selects!$M$4:$N$1000,2,0),"")</f>
        <v/>
      </c>
      <c r="BB1938" s="72" t="str">
        <f aca="false">IF(BA1938&lt;&gt;"",VLOOKUP(BA1938,Selects!$B$4:$C$100,2,0),"")</f>
        <v/>
      </c>
      <c r="BG1938" s="75" t="str">
        <f aca="false">IF(LEN(BF1938)=11,"PF",IF(LEN(BF1938)=14,"PJ",""))</f>
        <v/>
      </c>
      <c r="BH1938" s="66"/>
      <c r="CB1938" s="72" t="str">
        <f aca="false">IF(AC1938&lt;&gt;"",VLOOKUP(AC1938,Selects!$B:$E,4,0),"")</f>
        <v/>
      </c>
    </row>
    <row r="1939" customFormat="false" ht="15" hidden="true" customHeight="false" outlineLevel="0" collapsed="false">
      <c r="E1939" s="60" t="str">
        <f aca="false">IF(LEN(D1939)=11,"PF",IF(LEN(D1939)=14,"PJ",""))</f>
        <v/>
      </c>
      <c r="I1939" s="62"/>
      <c r="J1939" s="63" t="str">
        <f aca="false">IF(I1939&lt;&gt;"",VLOOKUP(I1939,'Legal Nature'!$E$2:$G$84,3,0),"")</f>
        <v/>
      </c>
      <c r="AJ1939" s="66"/>
      <c r="AM1939" s="68" t="str">
        <f aca="false">IF(LEFT(AL1939,1)="9","Celular",IF(AL1939="","","Fixo"))</f>
        <v/>
      </c>
      <c r="AN1939" s="58" t="str">
        <f aca="false">IF( AM1939&lt;&gt;"",VLOOKUP(AM1939,Selects!$M$4:$N$1000,2,0),"")</f>
        <v/>
      </c>
      <c r="BB1939" s="72" t="str">
        <f aca="false">IF(BA1939&lt;&gt;"",VLOOKUP(BA1939,Selects!$B$4:$C$100,2,0),"")</f>
        <v/>
      </c>
      <c r="BG1939" s="75" t="str">
        <f aca="false">IF(LEN(BF1939)=11,"PF",IF(LEN(BF1939)=14,"PJ",""))</f>
        <v/>
      </c>
      <c r="BH1939" s="66"/>
      <c r="CB1939" s="72" t="str">
        <f aca="false">IF(AC1939&lt;&gt;"",VLOOKUP(AC1939,Selects!$B:$E,4,0),"")</f>
        <v/>
      </c>
    </row>
    <row r="1940" customFormat="false" ht="15" hidden="true" customHeight="false" outlineLevel="0" collapsed="false">
      <c r="E1940" s="60" t="str">
        <f aca="false">IF(LEN(D1940)=11,"PF",IF(LEN(D1940)=14,"PJ",""))</f>
        <v/>
      </c>
      <c r="I1940" s="62"/>
      <c r="J1940" s="63" t="str">
        <f aca="false">IF(I1940&lt;&gt;"",VLOOKUP(I1940,'Legal Nature'!$E$2:$G$84,3,0),"")</f>
        <v/>
      </c>
      <c r="AJ1940" s="66"/>
      <c r="AM1940" s="68" t="str">
        <f aca="false">IF(LEFT(AL1940,1)="9","Celular",IF(AL1940="","","Fixo"))</f>
        <v/>
      </c>
      <c r="AN1940" s="58" t="str">
        <f aca="false">IF( AM1940&lt;&gt;"",VLOOKUP(AM1940,Selects!$M$4:$N$1000,2,0),"")</f>
        <v/>
      </c>
      <c r="BB1940" s="72" t="str">
        <f aca="false">IF(BA1940&lt;&gt;"",VLOOKUP(BA1940,Selects!$B$4:$C$100,2,0),"")</f>
        <v/>
      </c>
      <c r="BG1940" s="75" t="str">
        <f aca="false">IF(LEN(BF1940)=11,"PF",IF(LEN(BF1940)=14,"PJ",""))</f>
        <v/>
      </c>
      <c r="BH1940" s="66"/>
      <c r="CB1940" s="72" t="str">
        <f aca="false">IF(AC1940&lt;&gt;"",VLOOKUP(AC1940,Selects!$B:$E,4,0),"")</f>
        <v/>
      </c>
    </row>
    <row r="1941" customFormat="false" ht="15" hidden="true" customHeight="false" outlineLevel="0" collapsed="false">
      <c r="E1941" s="60" t="str">
        <f aca="false">IF(LEN(D1941)=11,"PF",IF(LEN(D1941)=14,"PJ",""))</f>
        <v/>
      </c>
      <c r="I1941" s="62"/>
      <c r="J1941" s="63" t="str">
        <f aca="false">IF(I1941&lt;&gt;"",VLOOKUP(I1941,'Legal Nature'!$E$2:$G$84,3,0),"")</f>
        <v/>
      </c>
      <c r="AJ1941" s="66"/>
      <c r="AM1941" s="68" t="str">
        <f aca="false">IF(LEFT(AL1941,1)="9","Celular",IF(AL1941="","","Fixo"))</f>
        <v/>
      </c>
      <c r="AN1941" s="58" t="str">
        <f aca="false">IF( AM1941&lt;&gt;"",VLOOKUP(AM1941,Selects!$M$4:$N$1000,2,0),"")</f>
        <v/>
      </c>
      <c r="BB1941" s="72" t="str">
        <f aca="false">IF(BA1941&lt;&gt;"",VLOOKUP(BA1941,Selects!$B$4:$C$100,2,0),"")</f>
        <v/>
      </c>
      <c r="BG1941" s="75" t="str">
        <f aca="false">IF(LEN(BF1941)=11,"PF",IF(LEN(BF1941)=14,"PJ",""))</f>
        <v/>
      </c>
      <c r="BH1941" s="66"/>
      <c r="CB1941" s="72" t="str">
        <f aca="false">IF(AC1941&lt;&gt;"",VLOOKUP(AC1941,Selects!$B:$E,4,0),"")</f>
        <v/>
      </c>
    </row>
    <row r="1942" customFormat="false" ht="15" hidden="true" customHeight="false" outlineLevel="0" collapsed="false">
      <c r="E1942" s="60" t="str">
        <f aca="false">IF(LEN(D1942)=11,"PF",IF(LEN(D1942)=14,"PJ",""))</f>
        <v/>
      </c>
      <c r="I1942" s="62"/>
      <c r="J1942" s="63" t="str">
        <f aca="false">IF(I1942&lt;&gt;"",VLOOKUP(I1942,'Legal Nature'!$E$2:$G$84,3,0),"")</f>
        <v/>
      </c>
      <c r="AJ1942" s="66"/>
      <c r="AM1942" s="68" t="str">
        <f aca="false">IF(LEFT(AL1942,1)="9","Celular",IF(AL1942="","","Fixo"))</f>
        <v/>
      </c>
      <c r="AN1942" s="58" t="str">
        <f aca="false">IF( AM1942&lt;&gt;"",VLOOKUP(AM1942,Selects!$M$4:$N$1000,2,0),"")</f>
        <v/>
      </c>
      <c r="BB1942" s="72" t="str">
        <f aca="false">IF(BA1942&lt;&gt;"",VLOOKUP(BA1942,Selects!$B$4:$C$100,2,0),"")</f>
        <v/>
      </c>
      <c r="BG1942" s="75" t="str">
        <f aca="false">IF(LEN(BF1942)=11,"PF",IF(LEN(BF1942)=14,"PJ",""))</f>
        <v/>
      </c>
      <c r="BH1942" s="66"/>
      <c r="CB1942" s="72" t="str">
        <f aca="false">IF(AC1942&lt;&gt;"",VLOOKUP(AC1942,Selects!$B:$E,4,0),"")</f>
        <v/>
      </c>
    </row>
    <row r="1943" customFormat="false" ht="15" hidden="true" customHeight="false" outlineLevel="0" collapsed="false">
      <c r="E1943" s="60" t="str">
        <f aca="false">IF(LEN(D1943)=11,"PF",IF(LEN(D1943)=14,"PJ",""))</f>
        <v/>
      </c>
      <c r="I1943" s="62"/>
      <c r="J1943" s="63" t="str">
        <f aca="false">IF(I1943&lt;&gt;"",VLOOKUP(I1943,'Legal Nature'!$E$2:$G$84,3,0),"")</f>
        <v/>
      </c>
      <c r="AJ1943" s="66"/>
      <c r="AM1943" s="68" t="str">
        <f aca="false">IF(LEFT(AL1943,1)="9","Celular",IF(AL1943="","","Fixo"))</f>
        <v/>
      </c>
      <c r="AN1943" s="58" t="str">
        <f aca="false">IF( AM1943&lt;&gt;"",VLOOKUP(AM1943,Selects!$M$4:$N$1000,2,0),"")</f>
        <v/>
      </c>
      <c r="BB1943" s="72" t="str">
        <f aca="false">IF(BA1943&lt;&gt;"",VLOOKUP(BA1943,Selects!$B$4:$C$100,2,0),"")</f>
        <v/>
      </c>
      <c r="BG1943" s="75" t="str">
        <f aca="false">IF(LEN(BF1943)=11,"PF",IF(LEN(BF1943)=14,"PJ",""))</f>
        <v/>
      </c>
      <c r="BH1943" s="66"/>
      <c r="CB1943" s="72" t="str">
        <f aca="false">IF(AC1943&lt;&gt;"",VLOOKUP(AC1943,Selects!$B:$E,4,0),"")</f>
        <v/>
      </c>
    </row>
    <row r="1944" customFormat="false" ht="15" hidden="true" customHeight="false" outlineLevel="0" collapsed="false">
      <c r="E1944" s="60" t="str">
        <f aca="false">IF(LEN(D1944)=11,"PF",IF(LEN(D1944)=14,"PJ",""))</f>
        <v/>
      </c>
      <c r="I1944" s="62"/>
      <c r="J1944" s="63" t="str">
        <f aca="false">IF(I1944&lt;&gt;"",VLOOKUP(I1944,'Legal Nature'!$E$2:$G$84,3,0),"")</f>
        <v/>
      </c>
      <c r="AJ1944" s="66"/>
      <c r="AM1944" s="68" t="str">
        <f aca="false">IF(LEFT(AL1944,1)="9","Celular",IF(AL1944="","","Fixo"))</f>
        <v/>
      </c>
      <c r="AN1944" s="58" t="str">
        <f aca="false">IF( AM1944&lt;&gt;"",VLOOKUP(AM1944,Selects!$M$4:$N$1000,2,0),"")</f>
        <v/>
      </c>
      <c r="BB1944" s="72" t="str">
        <f aca="false">IF(BA1944&lt;&gt;"",VLOOKUP(BA1944,Selects!$B$4:$C$100,2,0),"")</f>
        <v/>
      </c>
      <c r="BG1944" s="75" t="str">
        <f aca="false">IF(LEN(BF1944)=11,"PF",IF(LEN(BF1944)=14,"PJ",""))</f>
        <v/>
      </c>
      <c r="BH1944" s="66"/>
      <c r="CB1944" s="72" t="str">
        <f aca="false">IF(AC1944&lt;&gt;"",VLOOKUP(AC1944,Selects!$B:$E,4,0),"")</f>
        <v/>
      </c>
    </row>
    <row r="1945" customFormat="false" ht="15" hidden="true" customHeight="false" outlineLevel="0" collapsed="false">
      <c r="E1945" s="60" t="str">
        <f aca="false">IF(LEN(D1945)=11,"PF",IF(LEN(D1945)=14,"PJ",""))</f>
        <v/>
      </c>
      <c r="I1945" s="62"/>
      <c r="J1945" s="63" t="str">
        <f aca="false">IF(I1945&lt;&gt;"",VLOOKUP(I1945,'Legal Nature'!$E$2:$G$84,3,0),"")</f>
        <v/>
      </c>
      <c r="AJ1945" s="66"/>
      <c r="AM1945" s="68" t="str">
        <f aca="false">IF(LEFT(AL1945,1)="9","Celular",IF(AL1945="","","Fixo"))</f>
        <v/>
      </c>
      <c r="AN1945" s="58" t="str">
        <f aca="false">IF( AM1945&lt;&gt;"",VLOOKUP(AM1945,Selects!$M$4:$N$1000,2,0),"")</f>
        <v/>
      </c>
      <c r="BB1945" s="72" t="str">
        <f aca="false">IF(BA1945&lt;&gt;"",VLOOKUP(BA1945,Selects!$B$4:$C$100,2,0),"")</f>
        <v/>
      </c>
      <c r="BG1945" s="75" t="str">
        <f aca="false">IF(LEN(BF1945)=11,"PF",IF(LEN(BF1945)=14,"PJ",""))</f>
        <v/>
      </c>
      <c r="BH1945" s="66"/>
      <c r="CB1945" s="72" t="str">
        <f aca="false">IF(AC1945&lt;&gt;"",VLOOKUP(AC1945,Selects!$B:$E,4,0),"")</f>
        <v/>
      </c>
    </row>
    <row r="1946" customFormat="false" ht="15" hidden="true" customHeight="false" outlineLevel="0" collapsed="false">
      <c r="E1946" s="60" t="str">
        <f aca="false">IF(LEN(D1946)=11,"PF",IF(LEN(D1946)=14,"PJ",""))</f>
        <v/>
      </c>
      <c r="I1946" s="62"/>
      <c r="J1946" s="63" t="str">
        <f aca="false">IF(I1946&lt;&gt;"",VLOOKUP(I1946,'Legal Nature'!$E$2:$G$84,3,0),"")</f>
        <v/>
      </c>
      <c r="AJ1946" s="66"/>
      <c r="AM1946" s="68" t="str">
        <f aca="false">IF(LEFT(AL1946,1)="9","Celular",IF(AL1946="","","Fixo"))</f>
        <v/>
      </c>
      <c r="AN1946" s="58" t="str">
        <f aca="false">IF( AM1946&lt;&gt;"",VLOOKUP(AM1946,Selects!$M$4:$N$1000,2,0),"")</f>
        <v/>
      </c>
      <c r="BB1946" s="72" t="str">
        <f aca="false">IF(BA1946&lt;&gt;"",VLOOKUP(BA1946,Selects!$B$4:$C$100,2,0),"")</f>
        <v/>
      </c>
      <c r="BG1946" s="75" t="str">
        <f aca="false">IF(LEN(BF1946)=11,"PF",IF(LEN(BF1946)=14,"PJ",""))</f>
        <v/>
      </c>
      <c r="BH1946" s="66"/>
      <c r="CB1946" s="72" t="str">
        <f aca="false">IF(AC1946&lt;&gt;"",VLOOKUP(AC1946,Selects!$B:$E,4,0),"")</f>
        <v/>
      </c>
    </row>
    <row r="1947" customFormat="false" ht="15" hidden="true" customHeight="false" outlineLevel="0" collapsed="false">
      <c r="E1947" s="60" t="str">
        <f aca="false">IF(LEN(D1947)=11,"PF",IF(LEN(D1947)=14,"PJ",""))</f>
        <v/>
      </c>
      <c r="I1947" s="62"/>
      <c r="J1947" s="63" t="str">
        <f aca="false">IF(I1947&lt;&gt;"",VLOOKUP(I1947,'Legal Nature'!$E$2:$G$84,3,0),"")</f>
        <v/>
      </c>
      <c r="AJ1947" s="66"/>
      <c r="AM1947" s="68" t="str">
        <f aca="false">IF(LEFT(AL1947,1)="9","Celular",IF(AL1947="","","Fixo"))</f>
        <v/>
      </c>
      <c r="AN1947" s="58" t="str">
        <f aca="false">IF( AM1947&lt;&gt;"",VLOOKUP(AM1947,Selects!$M$4:$N$1000,2,0),"")</f>
        <v/>
      </c>
      <c r="BB1947" s="72" t="str">
        <f aca="false">IF(BA1947&lt;&gt;"",VLOOKUP(BA1947,Selects!$B$4:$C$100,2,0),"")</f>
        <v/>
      </c>
      <c r="BG1947" s="75" t="str">
        <f aca="false">IF(LEN(BF1947)=11,"PF",IF(LEN(BF1947)=14,"PJ",""))</f>
        <v/>
      </c>
      <c r="BH1947" s="66"/>
      <c r="CB1947" s="72" t="str">
        <f aca="false">IF(AC1947&lt;&gt;"",VLOOKUP(AC1947,Selects!$B:$E,4,0),"")</f>
        <v/>
      </c>
    </row>
    <row r="1948" customFormat="false" ht="15" hidden="true" customHeight="false" outlineLevel="0" collapsed="false">
      <c r="E1948" s="60" t="str">
        <f aca="false">IF(LEN(D1948)=11,"PF",IF(LEN(D1948)=14,"PJ",""))</f>
        <v/>
      </c>
      <c r="I1948" s="62"/>
      <c r="J1948" s="63" t="str">
        <f aca="false">IF(I1948&lt;&gt;"",VLOOKUP(I1948,'Legal Nature'!$E$2:$G$84,3,0),"")</f>
        <v/>
      </c>
      <c r="AJ1948" s="66"/>
      <c r="AM1948" s="68" t="str">
        <f aca="false">IF(LEFT(AL1948,1)="9","Celular",IF(AL1948="","","Fixo"))</f>
        <v/>
      </c>
      <c r="AN1948" s="58" t="str">
        <f aca="false">IF( AM1948&lt;&gt;"",VLOOKUP(AM1948,Selects!$M$4:$N$1000,2,0),"")</f>
        <v/>
      </c>
      <c r="BB1948" s="72" t="str">
        <f aca="false">IF(BA1948&lt;&gt;"",VLOOKUP(BA1948,Selects!$B$4:$C$100,2,0),"")</f>
        <v/>
      </c>
      <c r="BG1948" s="75" t="str">
        <f aca="false">IF(LEN(BF1948)=11,"PF",IF(LEN(BF1948)=14,"PJ",""))</f>
        <v/>
      </c>
      <c r="BH1948" s="66"/>
      <c r="CB1948" s="72" t="str">
        <f aca="false">IF(AC1948&lt;&gt;"",VLOOKUP(AC1948,Selects!$B:$E,4,0),"")</f>
        <v/>
      </c>
    </row>
    <row r="1949" customFormat="false" ht="15" hidden="true" customHeight="false" outlineLevel="0" collapsed="false">
      <c r="E1949" s="60" t="str">
        <f aca="false">IF(LEN(D1949)=11,"PF",IF(LEN(D1949)=14,"PJ",""))</f>
        <v/>
      </c>
      <c r="I1949" s="62"/>
      <c r="J1949" s="63" t="str">
        <f aca="false">IF(I1949&lt;&gt;"",VLOOKUP(I1949,'Legal Nature'!$E$2:$G$84,3,0),"")</f>
        <v/>
      </c>
      <c r="AJ1949" s="66"/>
      <c r="AM1949" s="68" t="str">
        <f aca="false">IF(LEFT(AL1949,1)="9","Celular",IF(AL1949="","","Fixo"))</f>
        <v/>
      </c>
      <c r="AN1949" s="58" t="str">
        <f aca="false">IF( AM1949&lt;&gt;"",VLOOKUP(AM1949,Selects!$M$4:$N$1000,2,0),"")</f>
        <v/>
      </c>
      <c r="BB1949" s="72" t="str">
        <f aca="false">IF(BA1949&lt;&gt;"",VLOOKUP(BA1949,Selects!$B$4:$C$100,2,0),"")</f>
        <v/>
      </c>
      <c r="BG1949" s="75" t="str">
        <f aca="false">IF(LEN(BF1949)=11,"PF",IF(LEN(BF1949)=14,"PJ",""))</f>
        <v/>
      </c>
      <c r="BH1949" s="66"/>
      <c r="CB1949" s="72" t="str">
        <f aca="false">IF(AC1949&lt;&gt;"",VLOOKUP(AC1949,Selects!$B:$E,4,0),"")</f>
        <v/>
      </c>
    </row>
    <row r="1950" customFormat="false" ht="15" hidden="true" customHeight="false" outlineLevel="0" collapsed="false">
      <c r="E1950" s="60" t="str">
        <f aca="false">IF(LEN(D1950)=11,"PF",IF(LEN(D1950)=14,"PJ",""))</f>
        <v/>
      </c>
      <c r="I1950" s="62"/>
      <c r="J1950" s="63" t="str">
        <f aca="false">IF(I1950&lt;&gt;"",VLOOKUP(I1950,'Legal Nature'!$E$2:$G$84,3,0),"")</f>
        <v/>
      </c>
      <c r="AJ1950" s="66"/>
      <c r="AM1950" s="68" t="str">
        <f aca="false">IF(LEFT(AL1950,1)="9","Celular",IF(AL1950="","","Fixo"))</f>
        <v/>
      </c>
      <c r="AN1950" s="58" t="str">
        <f aca="false">IF( AM1950&lt;&gt;"",VLOOKUP(AM1950,Selects!$M$4:$N$1000,2,0),"")</f>
        <v/>
      </c>
      <c r="BB1950" s="72" t="str">
        <f aca="false">IF(BA1950&lt;&gt;"",VLOOKUP(BA1950,Selects!$B$4:$C$100,2,0),"")</f>
        <v/>
      </c>
      <c r="BG1950" s="75" t="str">
        <f aca="false">IF(LEN(BF1950)=11,"PF",IF(LEN(BF1950)=14,"PJ",""))</f>
        <v/>
      </c>
      <c r="BH1950" s="66"/>
      <c r="CB1950" s="72" t="str">
        <f aca="false">IF(AC1950&lt;&gt;"",VLOOKUP(AC1950,Selects!$B:$E,4,0),"")</f>
        <v/>
      </c>
    </row>
    <row r="1951" customFormat="false" ht="15" hidden="true" customHeight="false" outlineLevel="0" collapsed="false">
      <c r="E1951" s="60" t="str">
        <f aca="false">IF(LEN(D1951)=11,"PF",IF(LEN(D1951)=14,"PJ",""))</f>
        <v/>
      </c>
      <c r="I1951" s="62"/>
      <c r="J1951" s="63" t="str">
        <f aca="false">IF(I1951&lt;&gt;"",VLOOKUP(I1951,'Legal Nature'!$E$2:$G$84,3,0),"")</f>
        <v/>
      </c>
      <c r="AJ1951" s="66"/>
      <c r="AM1951" s="68" t="str">
        <f aca="false">IF(LEFT(AL1951,1)="9","Celular",IF(AL1951="","","Fixo"))</f>
        <v/>
      </c>
      <c r="AN1951" s="58" t="str">
        <f aca="false">IF( AM1951&lt;&gt;"",VLOOKUP(AM1951,Selects!$M$4:$N$1000,2,0),"")</f>
        <v/>
      </c>
      <c r="BB1951" s="72" t="str">
        <f aca="false">IF(BA1951&lt;&gt;"",VLOOKUP(BA1951,Selects!$B$4:$C$100,2,0),"")</f>
        <v/>
      </c>
      <c r="BG1951" s="75" t="str">
        <f aca="false">IF(LEN(BF1951)=11,"PF",IF(LEN(BF1951)=14,"PJ",""))</f>
        <v/>
      </c>
      <c r="BH1951" s="66"/>
      <c r="CB1951" s="72" t="str">
        <f aca="false">IF(AC1951&lt;&gt;"",VLOOKUP(AC1951,Selects!$B:$E,4,0),"")</f>
        <v/>
      </c>
    </row>
    <row r="1952" customFormat="false" ht="15" hidden="true" customHeight="false" outlineLevel="0" collapsed="false">
      <c r="E1952" s="60" t="str">
        <f aca="false">IF(LEN(D1952)=11,"PF",IF(LEN(D1952)=14,"PJ",""))</f>
        <v/>
      </c>
      <c r="I1952" s="62"/>
      <c r="J1952" s="63" t="str">
        <f aca="false">IF(I1952&lt;&gt;"",VLOOKUP(I1952,'Legal Nature'!$E$2:$G$84,3,0),"")</f>
        <v/>
      </c>
      <c r="AJ1952" s="66"/>
      <c r="AM1952" s="68" t="str">
        <f aca="false">IF(LEFT(AL1952,1)="9","Celular",IF(AL1952="","","Fixo"))</f>
        <v/>
      </c>
      <c r="AN1952" s="58" t="str">
        <f aca="false">IF( AM1952&lt;&gt;"",VLOOKUP(AM1952,Selects!$M$4:$N$1000,2,0),"")</f>
        <v/>
      </c>
      <c r="BB1952" s="72" t="str">
        <f aca="false">IF(BA1952&lt;&gt;"",VLOOKUP(BA1952,Selects!$B$4:$C$100,2,0),"")</f>
        <v/>
      </c>
      <c r="BG1952" s="75" t="str">
        <f aca="false">IF(LEN(BF1952)=11,"PF",IF(LEN(BF1952)=14,"PJ",""))</f>
        <v/>
      </c>
      <c r="BH1952" s="66"/>
      <c r="CB1952" s="72" t="str">
        <f aca="false">IF(AC1952&lt;&gt;"",VLOOKUP(AC1952,Selects!$B:$E,4,0),"")</f>
        <v/>
      </c>
    </row>
    <row r="1953" customFormat="false" ht="15" hidden="true" customHeight="false" outlineLevel="0" collapsed="false">
      <c r="E1953" s="60" t="str">
        <f aca="false">IF(LEN(D1953)=11,"PF",IF(LEN(D1953)=14,"PJ",""))</f>
        <v/>
      </c>
      <c r="I1953" s="62"/>
      <c r="J1953" s="63" t="str">
        <f aca="false">IF(I1953&lt;&gt;"",VLOOKUP(I1953,'Legal Nature'!$E$2:$G$84,3,0),"")</f>
        <v/>
      </c>
      <c r="AJ1953" s="66"/>
      <c r="AM1953" s="68" t="str">
        <f aca="false">IF(LEFT(AL1953,1)="9","Celular",IF(AL1953="","","Fixo"))</f>
        <v/>
      </c>
      <c r="AN1953" s="58" t="str">
        <f aca="false">IF( AM1953&lt;&gt;"",VLOOKUP(AM1953,Selects!$M$4:$N$1000,2,0),"")</f>
        <v/>
      </c>
      <c r="BB1953" s="72" t="str">
        <f aca="false">IF(BA1953&lt;&gt;"",VLOOKUP(BA1953,Selects!$B$4:$C$100,2,0),"")</f>
        <v/>
      </c>
      <c r="BG1953" s="75" t="str">
        <f aca="false">IF(LEN(BF1953)=11,"PF",IF(LEN(BF1953)=14,"PJ",""))</f>
        <v/>
      </c>
      <c r="BH1953" s="66"/>
      <c r="CB1953" s="72" t="str">
        <f aca="false">IF(AC1953&lt;&gt;"",VLOOKUP(AC1953,Selects!$B:$E,4,0),"")</f>
        <v/>
      </c>
    </row>
    <row r="1954" customFormat="false" ht="15" hidden="true" customHeight="false" outlineLevel="0" collapsed="false">
      <c r="E1954" s="60" t="str">
        <f aca="false">IF(LEN(D1954)=11,"PF",IF(LEN(D1954)=14,"PJ",""))</f>
        <v/>
      </c>
      <c r="I1954" s="62"/>
      <c r="J1954" s="63" t="str">
        <f aca="false">IF(I1954&lt;&gt;"",VLOOKUP(I1954,'Legal Nature'!$E$2:$G$84,3,0),"")</f>
        <v/>
      </c>
      <c r="AJ1954" s="66"/>
      <c r="AM1954" s="68" t="str">
        <f aca="false">IF(LEFT(AL1954,1)="9","Celular",IF(AL1954="","","Fixo"))</f>
        <v/>
      </c>
      <c r="AN1954" s="58" t="str">
        <f aca="false">IF( AM1954&lt;&gt;"",VLOOKUP(AM1954,Selects!$M$4:$N$1000,2,0),"")</f>
        <v/>
      </c>
      <c r="BB1954" s="72" t="str">
        <f aca="false">IF(BA1954&lt;&gt;"",VLOOKUP(BA1954,Selects!$B$4:$C$100,2,0),"")</f>
        <v/>
      </c>
      <c r="BG1954" s="75" t="str">
        <f aca="false">IF(LEN(BF1954)=11,"PF",IF(LEN(BF1954)=14,"PJ",""))</f>
        <v/>
      </c>
      <c r="BH1954" s="66"/>
      <c r="CB1954" s="72" t="str">
        <f aca="false">IF(AC1954&lt;&gt;"",VLOOKUP(AC1954,Selects!$B:$E,4,0),"")</f>
        <v/>
      </c>
    </row>
    <row r="1955" customFormat="false" ht="15" hidden="true" customHeight="false" outlineLevel="0" collapsed="false">
      <c r="E1955" s="60" t="str">
        <f aca="false">IF(LEN(D1955)=11,"PF",IF(LEN(D1955)=14,"PJ",""))</f>
        <v/>
      </c>
      <c r="I1955" s="62"/>
      <c r="J1955" s="63" t="str">
        <f aca="false">IF(I1955&lt;&gt;"",VLOOKUP(I1955,'Legal Nature'!$E$2:$G$84,3,0),"")</f>
        <v/>
      </c>
      <c r="AJ1955" s="66"/>
      <c r="AM1955" s="68" t="str">
        <f aca="false">IF(LEFT(AL1955,1)="9","Celular",IF(AL1955="","","Fixo"))</f>
        <v/>
      </c>
      <c r="AN1955" s="58" t="str">
        <f aca="false">IF( AM1955&lt;&gt;"",VLOOKUP(AM1955,Selects!$M$4:$N$1000,2,0),"")</f>
        <v/>
      </c>
      <c r="BB1955" s="72" t="str">
        <f aca="false">IF(BA1955&lt;&gt;"",VLOOKUP(BA1955,Selects!$B$4:$C$100,2,0),"")</f>
        <v/>
      </c>
      <c r="BG1955" s="75" t="str">
        <f aca="false">IF(LEN(BF1955)=11,"PF",IF(LEN(BF1955)=14,"PJ",""))</f>
        <v/>
      </c>
      <c r="BH1955" s="66"/>
      <c r="CB1955" s="72" t="str">
        <f aca="false">IF(AC1955&lt;&gt;"",VLOOKUP(AC1955,Selects!$B:$E,4,0),"")</f>
        <v/>
      </c>
    </row>
    <row r="1956" customFormat="false" ht="15" hidden="true" customHeight="false" outlineLevel="0" collapsed="false">
      <c r="E1956" s="60" t="str">
        <f aca="false">IF(LEN(D1956)=11,"PF",IF(LEN(D1956)=14,"PJ",""))</f>
        <v/>
      </c>
      <c r="I1956" s="62"/>
      <c r="J1956" s="63" t="str">
        <f aca="false">IF(I1956&lt;&gt;"",VLOOKUP(I1956,'Legal Nature'!$E$2:$G$84,3,0),"")</f>
        <v/>
      </c>
      <c r="AJ1956" s="66"/>
      <c r="AM1956" s="68" t="str">
        <f aca="false">IF(LEFT(AL1956,1)="9","Celular",IF(AL1956="","","Fixo"))</f>
        <v/>
      </c>
      <c r="AN1956" s="58" t="str">
        <f aca="false">IF( AM1956&lt;&gt;"",VLOOKUP(AM1956,Selects!$M$4:$N$1000,2,0),"")</f>
        <v/>
      </c>
      <c r="BB1956" s="72" t="str">
        <f aca="false">IF(BA1956&lt;&gt;"",VLOOKUP(BA1956,Selects!$B$4:$C$100,2,0),"")</f>
        <v/>
      </c>
      <c r="BG1956" s="75" t="str">
        <f aca="false">IF(LEN(BF1956)=11,"PF",IF(LEN(BF1956)=14,"PJ",""))</f>
        <v/>
      </c>
      <c r="BH1956" s="66"/>
      <c r="CB1956" s="72" t="str">
        <f aca="false">IF(AC1956&lt;&gt;"",VLOOKUP(AC1956,Selects!$B:$E,4,0),"")</f>
        <v/>
      </c>
    </row>
    <row r="1957" customFormat="false" ht="15" hidden="true" customHeight="false" outlineLevel="0" collapsed="false">
      <c r="E1957" s="60" t="str">
        <f aca="false">IF(LEN(D1957)=11,"PF",IF(LEN(D1957)=14,"PJ",""))</f>
        <v/>
      </c>
      <c r="I1957" s="62"/>
      <c r="J1957" s="63" t="str">
        <f aca="false">IF(I1957&lt;&gt;"",VLOOKUP(I1957,'Legal Nature'!$E$2:$G$84,3,0),"")</f>
        <v/>
      </c>
      <c r="AJ1957" s="66"/>
      <c r="AM1957" s="68" t="str">
        <f aca="false">IF(LEFT(AL1957,1)="9","Celular",IF(AL1957="","","Fixo"))</f>
        <v/>
      </c>
      <c r="AN1957" s="58" t="str">
        <f aca="false">IF( AM1957&lt;&gt;"",VLOOKUP(AM1957,Selects!$M$4:$N$1000,2,0),"")</f>
        <v/>
      </c>
      <c r="BB1957" s="72" t="str">
        <f aca="false">IF(BA1957&lt;&gt;"",VLOOKUP(BA1957,Selects!$B$4:$C$100,2,0),"")</f>
        <v/>
      </c>
      <c r="BG1957" s="75" t="str">
        <f aca="false">IF(LEN(BF1957)=11,"PF",IF(LEN(BF1957)=14,"PJ",""))</f>
        <v/>
      </c>
      <c r="BH1957" s="66"/>
      <c r="CB1957" s="72" t="str">
        <f aca="false">IF(AC1957&lt;&gt;"",VLOOKUP(AC1957,Selects!$B:$E,4,0),"")</f>
        <v/>
      </c>
    </row>
    <row r="1958" customFormat="false" ht="15" hidden="true" customHeight="false" outlineLevel="0" collapsed="false">
      <c r="E1958" s="60" t="str">
        <f aca="false">IF(LEN(D1958)=11,"PF",IF(LEN(D1958)=14,"PJ",""))</f>
        <v/>
      </c>
      <c r="I1958" s="62"/>
      <c r="J1958" s="63" t="str">
        <f aca="false">IF(I1958&lt;&gt;"",VLOOKUP(I1958,'Legal Nature'!$E$2:$G$84,3,0),"")</f>
        <v/>
      </c>
      <c r="AJ1958" s="66"/>
      <c r="AM1958" s="68" t="str">
        <f aca="false">IF(LEFT(AL1958,1)="9","Celular",IF(AL1958="","","Fixo"))</f>
        <v/>
      </c>
      <c r="AN1958" s="58" t="str">
        <f aca="false">IF( AM1958&lt;&gt;"",VLOOKUP(AM1958,Selects!$M$4:$N$1000,2,0),"")</f>
        <v/>
      </c>
      <c r="BB1958" s="72" t="str">
        <f aca="false">IF(BA1958&lt;&gt;"",VLOOKUP(BA1958,Selects!$B$4:$C$100,2,0),"")</f>
        <v/>
      </c>
      <c r="BG1958" s="75" t="str">
        <f aca="false">IF(LEN(BF1958)=11,"PF",IF(LEN(BF1958)=14,"PJ",""))</f>
        <v/>
      </c>
      <c r="BH1958" s="66"/>
      <c r="CB1958" s="72" t="str">
        <f aca="false">IF(AC1958&lt;&gt;"",VLOOKUP(AC1958,Selects!$B:$E,4,0),"")</f>
        <v/>
      </c>
    </row>
    <row r="1959" customFormat="false" ht="15" hidden="true" customHeight="false" outlineLevel="0" collapsed="false">
      <c r="E1959" s="60" t="str">
        <f aca="false">IF(LEN(D1959)=11,"PF",IF(LEN(D1959)=14,"PJ",""))</f>
        <v/>
      </c>
      <c r="I1959" s="62"/>
      <c r="AJ1959" s="66"/>
      <c r="AM1959" s="68" t="str">
        <f aca="false">IF(LEFT(AL1959,1)="9","Celular",IF(AL1959="","","Fixo"))</f>
        <v/>
      </c>
      <c r="AN1959" s="58" t="str">
        <f aca="false">IF( AM1959&lt;&gt;"",VLOOKUP(AM1959,Selects!$M$4:$N$1000,2,0),"")</f>
        <v/>
      </c>
      <c r="BB1959" s="72" t="str">
        <f aca="false">IF(BA1959&lt;&gt;"",VLOOKUP(BA1959,Selects!$B$4:$C$100,2,0),"")</f>
        <v/>
      </c>
      <c r="BG1959" s="75" t="str">
        <f aca="false">IF(LEN(BF1959)=11,"PF",IF(LEN(BF1959)=14,"PJ",""))</f>
        <v/>
      </c>
      <c r="BH1959" s="66"/>
      <c r="CB1959" s="72" t="str">
        <f aca="false">IF(AC1959&lt;&gt;"",VLOOKUP(AC1959,Selects!$B:$E,4,0),"")</f>
        <v/>
      </c>
    </row>
    <row r="1960" customFormat="false" ht="15" hidden="true" customHeight="false" outlineLevel="0" collapsed="false">
      <c r="E1960" s="60" t="str">
        <f aca="false">IF(LEN(D1960)=11,"PF",IF(LEN(D1960)=14,"PJ",""))</f>
        <v/>
      </c>
      <c r="I1960" s="62"/>
      <c r="AJ1960" s="66"/>
      <c r="AM1960" s="68" t="str">
        <f aca="false">IF(LEFT(AL1960,1)="9","Celular",IF(AL1960="","","Fixo"))</f>
        <v/>
      </c>
      <c r="AN1960" s="58" t="str">
        <f aca="false">IF( AM1960&lt;&gt;"",VLOOKUP(AM1960,Selects!$M$4:$N$1000,2,0),"")</f>
        <v/>
      </c>
      <c r="BB1960" s="72" t="str">
        <f aca="false">IF(BA1960&lt;&gt;"",VLOOKUP(BA1960,Selects!$B$4:$C$100,2,0),"")</f>
        <v/>
      </c>
      <c r="BG1960" s="75" t="str">
        <f aca="false">IF(LEN(BF1960)=11,"PF",IF(LEN(BF1960)=14,"PJ",""))</f>
        <v/>
      </c>
      <c r="BH1960" s="66"/>
      <c r="CB1960" s="72" t="str">
        <f aca="false">IF(AC1960&lt;&gt;"",VLOOKUP(AC1960,Selects!$B:$E,4,0),"")</f>
        <v/>
      </c>
    </row>
    <row r="1961" customFormat="false" ht="15" hidden="true" customHeight="false" outlineLevel="0" collapsed="false">
      <c r="E1961" s="60" t="str">
        <f aca="false">IF(LEN(D1961)=11,"PF",IF(LEN(D1961)=14,"PJ",""))</f>
        <v/>
      </c>
      <c r="I1961" s="62"/>
      <c r="AM1961" s="68" t="str">
        <f aca="false">IF(LEFT(AL1961,1)="9","Celular",IF(AL1961="","","Fixo"))</f>
        <v/>
      </c>
      <c r="AN1961" s="58" t="str">
        <f aca="false">IF( AM1961&lt;&gt;"",VLOOKUP(AM1961,Selects!$M$4:$N$1000,2,0),"")</f>
        <v/>
      </c>
      <c r="BB1961" s="72" t="str">
        <f aca="false">IF(BA1961&lt;&gt;"",VLOOKUP(BA1961,Selects!$B$4:$C$100,2,0),"")</f>
        <v/>
      </c>
      <c r="BG1961" s="75" t="str">
        <f aca="false">IF(LEN(BF1961)=11,"PF",IF(LEN(BF1961)=14,"PJ",""))</f>
        <v/>
      </c>
      <c r="BH1961" s="66"/>
      <c r="CB1961" s="72" t="str">
        <f aca="false">IF(AC1961&lt;&gt;"",VLOOKUP(AC1961,Selects!$B:$E,4,0),"")</f>
        <v/>
      </c>
    </row>
    <row r="1962" customFormat="false" ht="15" hidden="true" customHeight="false" outlineLevel="0" collapsed="false">
      <c r="E1962" s="60" t="str">
        <f aca="false">IF(LEN(D1962)=11,"PF",IF(LEN(D1962)=14,"PJ",""))</f>
        <v/>
      </c>
      <c r="I1962" s="62"/>
      <c r="AM1962" s="68" t="str">
        <f aca="false">IF(LEFT(AL1962,1)="9","Celular",IF(AL1962="","","Fixo"))</f>
        <v/>
      </c>
      <c r="AN1962" s="58" t="str">
        <f aca="false">IF( AM1962&lt;&gt;"",VLOOKUP(AM1962,Selects!$M$4:$N$1000,2,0),"")</f>
        <v/>
      </c>
      <c r="BB1962" s="72" t="str">
        <f aca="false">IF(BA1962&lt;&gt;"",VLOOKUP(BA1962,Selects!$B$4:$C$100,2,0),"")</f>
        <v/>
      </c>
      <c r="BG1962" s="75" t="str">
        <f aca="false">IF(LEN(BF1962)=11,"PF",IF(LEN(BF1962)=14,"PJ",""))</f>
        <v/>
      </c>
      <c r="BH1962" s="66"/>
      <c r="CB1962" s="72" t="str">
        <f aca="false">IF(AC1962&lt;&gt;"",VLOOKUP(AC1962,Selects!$B:$E,4,0),"")</f>
        <v/>
      </c>
    </row>
    <row r="1963" customFormat="false" ht="15" hidden="true" customHeight="false" outlineLevel="0" collapsed="false">
      <c r="E1963" s="60" t="str">
        <f aca="false">IF(LEN(D1963)=11,"PF",IF(LEN(D1963)=14,"PJ",""))</f>
        <v/>
      </c>
      <c r="I1963" s="62"/>
      <c r="AM1963" s="68" t="str">
        <f aca="false">IF(LEFT(AL1963,1)="9","Celular",IF(AL1963="","","Fixo"))</f>
        <v/>
      </c>
      <c r="AN1963" s="58" t="str">
        <f aca="false">IF( AM1963&lt;&gt;"",VLOOKUP(AM1963,Selects!$M$4:$N$1000,2,0),"")</f>
        <v/>
      </c>
      <c r="BB1963" s="72" t="str">
        <f aca="false">IF(BA1963&lt;&gt;"",VLOOKUP(BA1963,Selects!$B$4:$C$100,2,0),"")</f>
        <v/>
      </c>
      <c r="BG1963" s="75" t="str">
        <f aca="false">IF(LEN(BF1963)=11,"PF",IF(LEN(BF1963)=14,"PJ",""))</f>
        <v/>
      </c>
      <c r="BH1963" s="66"/>
      <c r="CB1963" s="72" t="str">
        <f aca="false">IF(AC1963&lt;&gt;"",VLOOKUP(AC1963,Selects!$B:$E,4,0),"")</f>
        <v/>
      </c>
    </row>
    <row r="1964" customFormat="false" ht="15" hidden="true" customHeight="false" outlineLevel="0" collapsed="false">
      <c r="E1964" s="60" t="str">
        <f aca="false">IF(LEN(D1964)=11,"PF",IF(LEN(D1964)=14,"PJ",""))</f>
        <v/>
      </c>
      <c r="I1964" s="62"/>
      <c r="AM1964" s="68" t="str">
        <f aca="false">IF(LEFT(AL1964,1)="9","Celular",IF(AL1964="","","Fixo"))</f>
        <v/>
      </c>
      <c r="AN1964" s="58" t="str">
        <f aca="false">IF( AM1964&lt;&gt;"",VLOOKUP(AM1964,Selects!$M$4:$N$1000,2,0),"")</f>
        <v/>
      </c>
      <c r="BB1964" s="72" t="str">
        <f aca="false">IF(BA1964&lt;&gt;"",VLOOKUP(BA1964,Selects!$B$4:$C$100,2,0),"")</f>
        <v/>
      </c>
      <c r="BG1964" s="75" t="str">
        <f aca="false">IF(LEN(BF1964)=11,"PF",IF(LEN(BF1964)=14,"PJ",""))</f>
        <v/>
      </c>
      <c r="BH1964" s="66"/>
      <c r="CB1964" s="72" t="str">
        <f aca="false">IF(AC1964&lt;&gt;"",VLOOKUP(AC1964,Selects!$B:$E,4,0),"")</f>
        <v/>
      </c>
    </row>
    <row r="1965" customFormat="false" ht="15" hidden="true" customHeight="false" outlineLevel="0" collapsed="false">
      <c r="E1965" s="60" t="str">
        <f aca="false">IF(LEN(D1965)=11,"PF",IF(LEN(D1965)=14,"PJ",""))</f>
        <v/>
      </c>
      <c r="I1965" s="62"/>
      <c r="AM1965" s="68" t="str">
        <f aca="false">IF(LEFT(AL1965,1)="9","Celular",IF(AL1965="","","Fixo"))</f>
        <v/>
      </c>
      <c r="AN1965" s="58" t="str">
        <f aca="false">IF( AM1965&lt;&gt;"",VLOOKUP(AM1965,Selects!$M$4:$N$1000,2,0),"")</f>
        <v/>
      </c>
      <c r="BB1965" s="72" t="str">
        <f aca="false">IF(BA1965&lt;&gt;"",VLOOKUP(BA1965,Selects!$B$4:$C$100,2,0),"")</f>
        <v/>
      </c>
      <c r="BG1965" s="75" t="str">
        <f aca="false">IF(LEN(BF1965)=11,"PF",IF(LEN(BF1965)=14,"PJ",""))</f>
        <v/>
      </c>
      <c r="BH1965" s="66"/>
      <c r="CB1965" s="72" t="str">
        <f aca="false">IF(AC1965&lt;&gt;"",VLOOKUP(AC1965,Selects!$B:$E,4,0),"")</f>
        <v/>
      </c>
    </row>
    <row r="1966" customFormat="false" ht="15" hidden="true" customHeight="false" outlineLevel="0" collapsed="false">
      <c r="E1966" s="60" t="str">
        <f aca="false">IF(LEN(D1966)=11,"PF",IF(LEN(D1966)=14,"PJ",""))</f>
        <v/>
      </c>
      <c r="I1966" s="62"/>
      <c r="AM1966" s="68" t="str">
        <f aca="false">IF(LEFT(AL1966,1)="9","Celular",IF(AL1966="","","Fixo"))</f>
        <v/>
      </c>
      <c r="AN1966" s="58" t="str">
        <f aca="false">IF( AM1966&lt;&gt;"",VLOOKUP(AM1966,Selects!$M$4:$N$1000,2,0),"")</f>
        <v/>
      </c>
      <c r="BB1966" s="72" t="str">
        <f aca="false">IF(BA1966&lt;&gt;"",VLOOKUP(BA1966,Selects!$B$4:$C$100,2,0),"")</f>
        <v/>
      </c>
      <c r="BG1966" s="75" t="str">
        <f aca="false">IF(LEN(BF1966)=11,"PF",IF(LEN(BF1966)=14,"PJ",""))</f>
        <v/>
      </c>
      <c r="BH1966" s="66"/>
      <c r="CB1966" s="72" t="str">
        <f aca="false">IF(AC1966&lt;&gt;"",VLOOKUP(AC1966,Selects!$B:$E,4,0),"")</f>
        <v/>
      </c>
    </row>
    <row r="1967" customFormat="false" ht="15" hidden="true" customHeight="false" outlineLevel="0" collapsed="false">
      <c r="E1967" s="60" t="str">
        <f aca="false">IF(LEN(D1967)=11,"PF",IF(LEN(D1967)=14,"PJ",""))</f>
        <v/>
      </c>
      <c r="I1967" s="62"/>
      <c r="AM1967" s="68" t="str">
        <f aca="false">IF(LEFT(AL1967,1)="9","Celular",IF(AL1967="","","Fixo"))</f>
        <v/>
      </c>
      <c r="AN1967" s="58" t="str">
        <f aca="false">IF( AM1967&lt;&gt;"",VLOOKUP(AM1967,Selects!$M$4:$N$1000,2,0),"")</f>
        <v/>
      </c>
      <c r="BB1967" s="72" t="str">
        <f aca="false">IF(BA1967&lt;&gt;"",VLOOKUP(BA1967,Selects!$B$4:$C$100,2,0),"")</f>
        <v/>
      </c>
      <c r="BG1967" s="75" t="str">
        <f aca="false">IF(LEN(BF1967)=11,"PF",IF(LEN(BF1967)=14,"PJ",""))</f>
        <v/>
      </c>
      <c r="BH1967" s="66"/>
      <c r="CB1967" s="72" t="str">
        <f aca="false">IF(AC1967&lt;&gt;"",VLOOKUP(AC1967,Selects!$B:$E,4,0),"")</f>
        <v/>
      </c>
    </row>
    <row r="1968" customFormat="false" ht="15" hidden="true" customHeight="false" outlineLevel="0" collapsed="false">
      <c r="E1968" s="60" t="str">
        <f aca="false">IF(LEN(D1968)=11,"PF",IF(LEN(D1968)=14,"PJ",""))</f>
        <v/>
      </c>
      <c r="I1968" s="62"/>
      <c r="AM1968" s="68" t="str">
        <f aca="false">IF(LEFT(AL1968,1)="9","Celular",IF(AL1968="","","Fixo"))</f>
        <v/>
      </c>
      <c r="AN1968" s="58" t="str">
        <f aca="false">IF( AM1968&lt;&gt;"",VLOOKUP(AM1968,Selects!$M$4:$N$1000,2,0),"")</f>
        <v/>
      </c>
      <c r="BB1968" s="72" t="str">
        <f aca="false">IF(BA1968&lt;&gt;"",VLOOKUP(BA1968,Selects!$B$4:$C$100,2,0),"")</f>
        <v/>
      </c>
      <c r="BG1968" s="75" t="str">
        <f aca="false">IF(LEN(BF1968)=11,"PF",IF(LEN(BF1968)=14,"PJ",""))</f>
        <v/>
      </c>
      <c r="BH1968" s="66"/>
      <c r="CB1968" s="72" t="str">
        <f aca="false">IF(AC1968&lt;&gt;"",VLOOKUP(AC1968,Selects!$B:$E,4,0),"")</f>
        <v/>
      </c>
    </row>
    <row r="1969" customFormat="false" ht="15" hidden="true" customHeight="false" outlineLevel="0" collapsed="false">
      <c r="E1969" s="60" t="str">
        <f aca="false">IF(LEN(D1969)=11,"PF",IF(LEN(D1969)=14,"PJ",""))</f>
        <v/>
      </c>
      <c r="I1969" s="62"/>
      <c r="AM1969" s="68" t="str">
        <f aca="false">IF(LEFT(AL1969,1)="9","Celular",IF(AL1969="","","Fixo"))</f>
        <v/>
      </c>
      <c r="AN1969" s="58" t="str">
        <f aca="false">IF( AM1969&lt;&gt;"",VLOOKUP(AM1969,Selects!$M$4:$N$1000,2,0),"")</f>
        <v/>
      </c>
      <c r="BB1969" s="72" t="str">
        <f aca="false">IF(BA1969&lt;&gt;"",VLOOKUP(BA1969,Selects!$B$4:$C$100,2,0),"")</f>
        <v/>
      </c>
      <c r="BG1969" s="75" t="str">
        <f aca="false">IF(LEN(BF1969)=11,"PF",IF(LEN(BF1969)=14,"PJ",""))</f>
        <v/>
      </c>
      <c r="BH1969" s="66"/>
      <c r="CB1969" s="72" t="str">
        <f aca="false">IF(AC1969&lt;&gt;"",VLOOKUP(AC1969,Selects!$B:$E,4,0),"")</f>
        <v/>
      </c>
    </row>
    <row r="1970" customFormat="false" ht="15" hidden="true" customHeight="false" outlineLevel="0" collapsed="false">
      <c r="E1970" s="60" t="str">
        <f aca="false">IF(LEN(D1970)=11,"PF",IF(LEN(D1970)=14,"PJ",""))</f>
        <v/>
      </c>
      <c r="I1970" s="62"/>
      <c r="AM1970" s="68" t="str">
        <f aca="false">IF(LEFT(AL1970,1)="9","Celular",IF(AL1970="","","Fixo"))</f>
        <v/>
      </c>
      <c r="AN1970" s="58" t="str">
        <f aca="false">IF( AM1970&lt;&gt;"",VLOOKUP(AM1970,Selects!$M$4:$N$1000,2,0),"")</f>
        <v/>
      </c>
      <c r="BB1970" s="72" t="str">
        <f aca="false">IF(BA1970&lt;&gt;"",VLOOKUP(BA1970,Selects!$B$4:$C$100,2,0),"")</f>
        <v/>
      </c>
      <c r="BG1970" s="75" t="str">
        <f aca="false">IF(LEN(BF1970)=11,"PF",IF(LEN(BF1970)=14,"PJ",""))</f>
        <v/>
      </c>
      <c r="BH1970" s="66"/>
      <c r="CB1970" s="72" t="str">
        <f aca="false">IF(AC1970&lt;&gt;"",VLOOKUP(AC1970,Selects!$B:$E,4,0),"")</f>
        <v/>
      </c>
    </row>
    <row r="1971" customFormat="false" ht="15" hidden="true" customHeight="false" outlineLevel="0" collapsed="false">
      <c r="E1971" s="60" t="str">
        <f aca="false">IF(LEN(D1971)=11,"PF",IF(LEN(D1971)=14,"PJ",""))</f>
        <v/>
      </c>
      <c r="I1971" s="62"/>
      <c r="AM1971" s="68" t="str">
        <f aca="false">IF(LEFT(AL1971,1)="9","Celular",IF(AL1971="","","Fixo"))</f>
        <v/>
      </c>
      <c r="AN1971" s="58" t="str">
        <f aca="false">IF( AM1971&lt;&gt;"",VLOOKUP(AM1971,Selects!$M$4:$N$1000,2,0),"")</f>
        <v/>
      </c>
      <c r="BB1971" s="72" t="str">
        <f aca="false">IF(BA1971&lt;&gt;"",VLOOKUP(BA1971,Selects!$B$4:$C$100,2,0),"")</f>
        <v/>
      </c>
      <c r="BG1971" s="75" t="str">
        <f aca="false">IF(LEN(BF1971)=11,"PF",IF(LEN(BF1971)=14,"PJ",""))</f>
        <v/>
      </c>
      <c r="BH1971" s="66"/>
      <c r="CB1971" s="72" t="str">
        <f aca="false">IF(AC1971&lt;&gt;"",VLOOKUP(AC1971,Selects!$B:$E,4,0),"")</f>
        <v/>
      </c>
    </row>
    <row r="1972" customFormat="false" ht="15" hidden="true" customHeight="false" outlineLevel="0" collapsed="false">
      <c r="E1972" s="60" t="str">
        <f aca="false">IF(LEN(D1972)=11,"PF",IF(LEN(D1972)=14,"PJ",""))</f>
        <v/>
      </c>
      <c r="I1972" s="62"/>
      <c r="AM1972" s="68" t="str">
        <f aca="false">IF(LEFT(AL1972,1)="9","Celular",IF(AL1972="","","Fixo"))</f>
        <v/>
      </c>
      <c r="AN1972" s="58" t="str">
        <f aca="false">IF( AM1972&lt;&gt;"",VLOOKUP(AM1972,Selects!$M$4:$N$1000,2,0),"")</f>
        <v/>
      </c>
      <c r="BB1972" s="72" t="str">
        <f aca="false">IF(BA1972&lt;&gt;"",VLOOKUP(BA1972,Selects!$B$4:$C$100,2,0),"")</f>
        <v/>
      </c>
      <c r="BG1972" s="75" t="str">
        <f aca="false">IF(LEN(BF1972)=11,"PF",IF(LEN(BF1972)=14,"PJ",""))</f>
        <v/>
      </c>
      <c r="BH1972" s="66"/>
      <c r="CB1972" s="72" t="str">
        <f aca="false">IF(AC1972&lt;&gt;"",VLOOKUP(AC1972,Selects!$B:$E,4,0),"")</f>
        <v/>
      </c>
    </row>
    <row r="1973" customFormat="false" ht="15" hidden="true" customHeight="false" outlineLevel="0" collapsed="false">
      <c r="E1973" s="60" t="str">
        <f aca="false">IF(LEN(D1973)=11,"PF",IF(LEN(D1973)=14,"PJ",""))</f>
        <v/>
      </c>
      <c r="I1973" s="62"/>
      <c r="AM1973" s="68" t="str">
        <f aca="false">IF(LEFT(AL1973,1)="9","Celular",IF(AL1973="","","Fixo"))</f>
        <v/>
      </c>
      <c r="AN1973" s="58" t="str">
        <f aca="false">IF( AM1973&lt;&gt;"",VLOOKUP(AM1973,Selects!$M$4:$N$1000,2,0),"")</f>
        <v/>
      </c>
      <c r="BB1973" s="72" t="str">
        <f aca="false">IF(BA1973&lt;&gt;"",VLOOKUP(BA1973,Selects!$B$4:$C$100,2,0),"")</f>
        <v/>
      </c>
      <c r="BG1973" s="75" t="str">
        <f aca="false">IF(LEN(BF1973)=11,"PF",IF(LEN(BF1973)=14,"PJ",""))</f>
        <v/>
      </c>
      <c r="BH1973" s="66"/>
      <c r="CB1973" s="72" t="str">
        <f aca="false">IF(AC1973&lt;&gt;"",VLOOKUP(AC1973,Selects!$B:$E,4,0),"")</f>
        <v/>
      </c>
    </row>
    <row r="1974" customFormat="false" ht="15" hidden="true" customHeight="false" outlineLevel="0" collapsed="false">
      <c r="E1974" s="60" t="str">
        <f aca="false">IF(LEN(D1974)=11,"PF",IF(LEN(D1974)=14,"PJ",""))</f>
        <v/>
      </c>
      <c r="I1974" s="62"/>
      <c r="AM1974" s="68" t="str">
        <f aca="false">IF(LEFT(AL1974,1)="9","Celular",IF(AL1974="","","Fixo"))</f>
        <v/>
      </c>
      <c r="AN1974" s="58" t="str">
        <f aca="false">IF( AM1974&lt;&gt;"",VLOOKUP(AM1974,Selects!$M$4:$N$1000,2,0),"")</f>
        <v/>
      </c>
      <c r="BB1974" s="72" t="str">
        <f aca="false">IF(BA1974&lt;&gt;"",VLOOKUP(BA1974,Selects!$B$4:$C$100,2,0),"")</f>
        <v/>
      </c>
      <c r="BG1974" s="75" t="str">
        <f aca="false">IF(LEN(BF1974)=11,"PF",IF(LEN(BF1974)=14,"PJ",""))</f>
        <v/>
      </c>
      <c r="BH1974" s="66"/>
      <c r="CB1974" s="72" t="str">
        <f aca="false">IF(AC1974&lt;&gt;"",VLOOKUP(AC1974,Selects!$B:$E,4,0),"")</f>
        <v/>
      </c>
    </row>
    <row r="1975" customFormat="false" ht="15" hidden="true" customHeight="false" outlineLevel="0" collapsed="false">
      <c r="E1975" s="60" t="str">
        <f aca="false">IF(LEN(D1975)=11,"PF",IF(LEN(D1975)=14,"PJ",""))</f>
        <v/>
      </c>
      <c r="I1975" s="62"/>
      <c r="AM1975" s="68" t="str">
        <f aca="false">IF(LEFT(AL1975,1)="9","Celular",IF(AL1975="","","Fixo"))</f>
        <v/>
      </c>
      <c r="AN1975" s="58" t="str">
        <f aca="false">IF( AM1975&lt;&gt;"",VLOOKUP(AM1975,Selects!$M$4:$N$1000,2,0),"")</f>
        <v/>
      </c>
      <c r="BB1975" s="72" t="str">
        <f aca="false">IF(BA1975&lt;&gt;"",VLOOKUP(BA1975,Selects!$B$4:$C$100,2,0),"")</f>
        <v/>
      </c>
      <c r="BG1975" s="75" t="str">
        <f aca="false">IF(LEN(BF1975)=11,"PF",IF(LEN(BF1975)=14,"PJ",""))</f>
        <v/>
      </c>
      <c r="BH1975" s="66"/>
      <c r="CB1975" s="72" t="str">
        <f aca="false">IF(AC1975&lt;&gt;"",VLOOKUP(AC1975,Selects!$B:$E,4,0),"")</f>
        <v/>
      </c>
    </row>
    <row r="1976" customFormat="false" ht="15" hidden="true" customHeight="false" outlineLevel="0" collapsed="false">
      <c r="E1976" s="60" t="str">
        <f aca="false">IF(LEN(D1976)=11,"PF",IF(LEN(D1976)=14,"PJ",""))</f>
        <v/>
      </c>
      <c r="I1976" s="62"/>
      <c r="AM1976" s="68" t="str">
        <f aca="false">IF(LEFT(AL1976,1)="9","Celular",IF(AL1976="","","Fixo"))</f>
        <v/>
      </c>
      <c r="AN1976" s="58" t="str">
        <f aca="false">IF( AM1976&lt;&gt;"",VLOOKUP(AM1976,Selects!$M$4:$N$1000,2,0),"")</f>
        <v/>
      </c>
      <c r="BB1976" s="72" t="str">
        <f aca="false">IF(BA1976&lt;&gt;"",VLOOKUP(BA1976,Selects!$B$4:$C$100,2,0),"")</f>
        <v/>
      </c>
      <c r="BG1976" s="75" t="str">
        <f aca="false">IF(LEN(BF1976)=11,"PF",IF(LEN(BF1976)=14,"PJ",""))</f>
        <v/>
      </c>
      <c r="BH1976" s="66"/>
      <c r="CB1976" s="72" t="str">
        <f aca="false">IF(AC1976&lt;&gt;"",VLOOKUP(AC1976,Selects!$B:$E,4,0),"")</f>
        <v/>
      </c>
    </row>
    <row r="1977" customFormat="false" ht="15" hidden="true" customHeight="false" outlineLevel="0" collapsed="false">
      <c r="E1977" s="60" t="str">
        <f aca="false">IF(LEN(D1977)=11,"PF",IF(LEN(D1977)=14,"PJ",""))</f>
        <v/>
      </c>
      <c r="I1977" s="62"/>
      <c r="AM1977" s="68" t="str">
        <f aca="false">IF(LEFT(AL1977,1)="9","Celular",IF(AL1977="","","Fixo"))</f>
        <v/>
      </c>
      <c r="AN1977" s="58" t="str">
        <f aca="false">IF( AM1977&lt;&gt;"",VLOOKUP(AM1977,Selects!$M$4:$N$1000,2,0),"")</f>
        <v/>
      </c>
      <c r="BB1977" s="72" t="str">
        <f aca="false">IF(BA1977&lt;&gt;"",VLOOKUP(BA1977,Selects!$B$4:$C$100,2,0),"")</f>
        <v/>
      </c>
      <c r="BG1977" s="75" t="str">
        <f aca="false">IF(LEN(BF1977)=11,"PF",IF(LEN(BF1977)=14,"PJ",""))</f>
        <v/>
      </c>
      <c r="BH1977" s="66"/>
      <c r="CB1977" s="72" t="str">
        <f aca="false">IF(AC1977&lt;&gt;"",VLOOKUP(AC1977,Selects!$B:$E,4,0),"")</f>
        <v/>
      </c>
    </row>
    <row r="1978" customFormat="false" ht="15" hidden="true" customHeight="false" outlineLevel="0" collapsed="false">
      <c r="E1978" s="60" t="str">
        <f aca="false">IF(LEN(D1978)=11,"PF",IF(LEN(D1978)=14,"PJ",""))</f>
        <v/>
      </c>
      <c r="I1978" s="62"/>
      <c r="AM1978" s="68" t="str">
        <f aca="false">IF(LEFT(AL1978,1)="9","Celular",IF(AL1978="","","Fixo"))</f>
        <v/>
      </c>
      <c r="AN1978" s="58" t="str">
        <f aca="false">IF( AM1978&lt;&gt;"",VLOOKUP(AM1978,Selects!$M$4:$N$1000,2,0),"")</f>
        <v/>
      </c>
      <c r="BB1978" s="72" t="str">
        <f aca="false">IF(BA1978&lt;&gt;"",VLOOKUP(BA1978,Selects!$B$4:$C$100,2,0),"")</f>
        <v/>
      </c>
      <c r="BG1978" s="75" t="str">
        <f aca="false">IF(LEN(BF1978)=11,"PF",IF(LEN(BF1978)=14,"PJ",""))</f>
        <v/>
      </c>
      <c r="BH1978" s="66"/>
      <c r="CB1978" s="72" t="str">
        <f aca="false">IF(AC1978&lt;&gt;"",VLOOKUP(AC1978,Selects!$B:$E,4,0),"")</f>
        <v/>
      </c>
    </row>
    <row r="1979" customFormat="false" ht="15" hidden="true" customHeight="false" outlineLevel="0" collapsed="false">
      <c r="E1979" s="60" t="str">
        <f aca="false">IF(LEN(D1979)=11,"PF",IF(LEN(D1979)=14,"PJ",""))</f>
        <v/>
      </c>
      <c r="I1979" s="62"/>
      <c r="AM1979" s="68" t="str">
        <f aca="false">IF(LEFT(AL1979,1)="9","Celular",IF(AL1979="","","Fixo"))</f>
        <v/>
      </c>
      <c r="AN1979" s="58" t="str">
        <f aca="false">IF( AM1979&lt;&gt;"",VLOOKUP(AM1979,Selects!$M$4:$N$1000,2,0),"")</f>
        <v/>
      </c>
      <c r="BB1979" s="72" t="str">
        <f aca="false">IF(BA1979&lt;&gt;"",VLOOKUP(BA1979,Selects!$B$4:$C$100,2,0),"")</f>
        <v/>
      </c>
      <c r="BG1979" s="75" t="str">
        <f aca="false">IF(LEN(BF1979)=11,"PF",IF(LEN(BF1979)=14,"PJ",""))</f>
        <v/>
      </c>
      <c r="BH1979" s="66"/>
      <c r="CB1979" s="72" t="str">
        <f aca="false">IF(AC1979&lt;&gt;"",VLOOKUP(AC1979,Selects!$B:$E,4,0),"")</f>
        <v/>
      </c>
    </row>
    <row r="1980" customFormat="false" ht="15" hidden="true" customHeight="false" outlineLevel="0" collapsed="false">
      <c r="E1980" s="60" t="str">
        <f aca="false">IF(LEN(D1980)=11,"PF",IF(LEN(D1980)=14,"PJ",""))</f>
        <v/>
      </c>
      <c r="I1980" s="62"/>
      <c r="AM1980" s="68" t="str">
        <f aca="false">IF(LEFT(AL1980,1)="9","Celular",IF(AL1980="","","Fixo"))</f>
        <v/>
      </c>
      <c r="AN1980" s="58" t="str">
        <f aca="false">IF( AM1980&lt;&gt;"",VLOOKUP(AM1980,Selects!$M$4:$N$1000,2,0),"")</f>
        <v/>
      </c>
      <c r="BB1980" s="72" t="str">
        <f aca="false">IF(BA1980&lt;&gt;"",VLOOKUP(BA1980,Selects!$B$4:$C$100,2,0),"")</f>
        <v/>
      </c>
      <c r="BG1980" s="75" t="str">
        <f aca="false">IF(LEN(BF1980)=11,"PF",IF(LEN(BF1980)=14,"PJ",""))</f>
        <v/>
      </c>
      <c r="BH1980" s="66"/>
      <c r="CB1980" s="72" t="str">
        <f aca="false">IF(AC1980&lt;&gt;"",VLOOKUP(AC1980,Selects!$B:$E,4,0),"")</f>
        <v/>
      </c>
    </row>
    <row r="1981" customFormat="false" ht="15" hidden="true" customHeight="false" outlineLevel="0" collapsed="false">
      <c r="E1981" s="60" t="str">
        <f aca="false">IF(LEN(D1981)=11,"PF",IF(LEN(D1981)=14,"PJ",""))</f>
        <v/>
      </c>
      <c r="I1981" s="62"/>
      <c r="AM1981" s="68" t="str">
        <f aca="false">IF(LEFT(AL1981,1)="9","Celular",IF(AL1981="","","Fixo"))</f>
        <v/>
      </c>
      <c r="AN1981" s="58" t="str">
        <f aca="false">IF( AM1981&lt;&gt;"",VLOOKUP(AM1981,Selects!$M$4:$N$1000,2,0),"")</f>
        <v/>
      </c>
      <c r="BB1981" s="72" t="str">
        <f aca="false">IF(BA1981&lt;&gt;"",VLOOKUP(BA1981,Selects!$B$4:$C$100,2,0),"")</f>
        <v/>
      </c>
      <c r="BG1981" s="75" t="str">
        <f aca="false">IF(LEN(BF1981)=11,"PF",IF(LEN(BF1981)=14,"PJ",""))</f>
        <v/>
      </c>
      <c r="BH1981" s="66"/>
      <c r="CB1981" s="72" t="str">
        <f aca="false">IF(AC1981&lt;&gt;"",VLOOKUP(AC1981,Selects!$B:$E,4,0),"")</f>
        <v/>
      </c>
    </row>
    <row r="1982" customFormat="false" ht="15" hidden="true" customHeight="false" outlineLevel="0" collapsed="false">
      <c r="E1982" s="60" t="str">
        <f aca="false">IF(LEN(D1982)=11,"PF",IF(LEN(D1982)=14,"PJ",""))</f>
        <v/>
      </c>
      <c r="I1982" s="62"/>
      <c r="AM1982" s="68" t="str">
        <f aca="false">IF(LEFT(AL1982,1)="9","Celular",IF(AL1982="","","Fixo"))</f>
        <v/>
      </c>
      <c r="AN1982" s="58" t="str">
        <f aca="false">IF( AM1982&lt;&gt;"",VLOOKUP(AM1982,Selects!$M$4:$N$1000,2,0),"")</f>
        <v/>
      </c>
      <c r="BB1982" s="72" t="str">
        <f aca="false">IF(BA1982&lt;&gt;"",VLOOKUP(BA1982,Selects!$B$4:$C$100,2,0),"")</f>
        <v/>
      </c>
      <c r="BG1982" s="75" t="str">
        <f aca="false">IF(LEN(BF1982)=11,"PF",IF(LEN(BF1982)=14,"PJ",""))</f>
        <v/>
      </c>
      <c r="BH1982" s="66"/>
      <c r="CB1982" s="72" t="str">
        <f aca="false">IF(AC1982&lt;&gt;"",VLOOKUP(AC1982,Selects!$B:$E,4,0),"")</f>
        <v/>
      </c>
    </row>
    <row r="1983" customFormat="false" ht="15" hidden="true" customHeight="false" outlineLevel="0" collapsed="false">
      <c r="E1983" s="60" t="str">
        <f aca="false">IF(LEN(D1983)=11,"PF",IF(LEN(D1983)=14,"PJ",""))</f>
        <v/>
      </c>
      <c r="I1983" s="62"/>
      <c r="AM1983" s="68" t="str">
        <f aca="false">IF(LEFT(AL1983,1)="9","Celular",IF(AL1983="","","Fixo"))</f>
        <v/>
      </c>
      <c r="AN1983" s="58" t="str">
        <f aca="false">IF( AM1983&lt;&gt;"",VLOOKUP(AM1983,Selects!$M$4:$N$1000,2,0),"")</f>
        <v/>
      </c>
      <c r="BB1983" s="72" t="str">
        <f aca="false">IF(BA1983&lt;&gt;"",VLOOKUP(BA1983,Selects!$B$4:$C$100,2,0),"")</f>
        <v/>
      </c>
      <c r="BG1983" s="75" t="str">
        <f aca="false">IF(LEN(BF1983)=11,"PF",IF(LEN(BF1983)=14,"PJ",""))</f>
        <v/>
      </c>
      <c r="BH1983" s="66"/>
      <c r="CB1983" s="72" t="str">
        <f aca="false">IF(AC1983&lt;&gt;"",VLOOKUP(AC1983,Selects!$B:$E,4,0),"")</f>
        <v/>
      </c>
    </row>
    <row r="1984" customFormat="false" ht="15" hidden="true" customHeight="false" outlineLevel="0" collapsed="false">
      <c r="E1984" s="60" t="str">
        <f aca="false">IF(LEN(D1984)=11,"PF",IF(LEN(D1984)=14,"PJ",""))</f>
        <v/>
      </c>
      <c r="I1984" s="62"/>
      <c r="AM1984" s="68" t="str">
        <f aca="false">IF(LEFT(AL1984,1)="9","Celular",IF(AL1984="","","Fixo"))</f>
        <v/>
      </c>
      <c r="AN1984" s="58" t="str">
        <f aca="false">IF( AM1984&lt;&gt;"",VLOOKUP(AM1984,Selects!$M$4:$N$1000,2,0),"")</f>
        <v/>
      </c>
      <c r="BB1984" s="72" t="str">
        <f aca="false">IF(BA1984&lt;&gt;"",VLOOKUP(BA1984,Selects!$B$4:$C$100,2,0),"")</f>
        <v/>
      </c>
      <c r="BG1984" s="75" t="str">
        <f aca="false">IF(LEN(BF1984)=11,"PF",IF(LEN(BF1984)=14,"PJ",""))</f>
        <v/>
      </c>
      <c r="BH1984" s="66"/>
      <c r="CB1984" s="72" t="str">
        <f aca="false">IF(AC1984&lt;&gt;"",VLOOKUP(AC1984,Selects!$B:$E,4,0),"")</f>
        <v/>
      </c>
    </row>
    <row r="1985" customFormat="false" ht="15" hidden="true" customHeight="false" outlineLevel="0" collapsed="false">
      <c r="E1985" s="60" t="str">
        <f aca="false">IF(LEN(D1985)=11,"PF",IF(LEN(D1985)=14,"PJ",""))</f>
        <v/>
      </c>
      <c r="I1985" s="62"/>
      <c r="AM1985" s="68" t="str">
        <f aca="false">IF(LEFT(AL1985,1)="9","Celular",IF(AL1985="","","Fixo"))</f>
        <v/>
      </c>
      <c r="AN1985" s="58" t="str">
        <f aca="false">IF( AM1985&lt;&gt;"",VLOOKUP(AM1985,Selects!$M$4:$N$1000,2,0),"")</f>
        <v/>
      </c>
      <c r="BB1985" s="72" t="str">
        <f aca="false">IF(BA1985&lt;&gt;"",VLOOKUP(BA1985,Selects!$B$4:$C$100,2,0),"")</f>
        <v/>
      </c>
      <c r="BG1985" s="75" t="str">
        <f aca="false">IF(LEN(BF1985)=11,"PF",IF(LEN(BF1985)=14,"PJ",""))</f>
        <v/>
      </c>
      <c r="BH1985" s="66"/>
      <c r="CB1985" s="72" t="str">
        <f aca="false">IF(AC1985&lt;&gt;"",VLOOKUP(AC1985,Selects!$B:$E,4,0),"")</f>
        <v/>
      </c>
    </row>
    <row r="1986" customFormat="false" ht="15" hidden="true" customHeight="false" outlineLevel="0" collapsed="false">
      <c r="E1986" s="60" t="str">
        <f aca="false">IF(LEN(D1986)=11,"PF",IF(LEN(D1986)=14,"PJ",""))</f>
        <v/>
      </c>
      <c r="I1986" s="62"/>
      <c r="AM1986" s="68" t="str">
        <f aca="false">IF(LEFT(AL1986,1)="9","Celular",IF(AL1986="","","Fixo"))</f>
        <v/>
      </c>
      <c r="AN1986" s="58" t="str">
        <f aca="false">IF( AM1986&lt;&gt;"",VLOOKUP(AM1986,Selects!$M$4:$N$1000,2,0),"")</f>
        <v/>
      </c>
      <c r="BB1986" s="72" t="str">
        <f aca="false">IF(BA1986&lt;&gt;"",VLOOKUP(BA1986,Selects!$B$4:$C$100,2,0),"")</f>
        <v/>
      </c>
      <c r="BG1986" s="75" t="str">
        <f aca="false">IF(LEN(BF1986)=11,"PF",IF(LEN(BF1986)=14,"PJ",""))</f>
        <v/>
      </c>
      <c r="BH1986" s="66"/>
      <c r="CB1986" s="72" t="str">
        <f aca="false">IF(AC1986&lt;&gt;"",VLOOKUP(AC1986,Selects!$B:$E,4,0),"")</f>
        <v/>
      </c>
    </row>
    <row r="1987" customFormat="false" ht="15" hidden="true" customHeight="false" outlineLevel="0" collapsed="false">
      <c r="E1987" s="60" t="str">
        <f aca="false">IF(LEN(D1987)=11,"PF",IF(LEN(D1987)=14,"PJ",""))</f>
        <v/>
      </c>
      <c r="I1987" s="62"/>
      <c r="AM1987" s="68" t="str">
        <f aca="false">IF(LEFT(AL1987,1)="9","Celular",IF(AL1987="","","Fixo"))</f>
        <v/>
      </c>
      <c r="AN1987" s="58" t="str">
        <f aca="false">IF( AM1987&lt;&gt;"",VLOOKUP(AM1987,Selects!$M$4:$N$1000,2,0),"")</f>
        <v/>
      </c>
      <c r="BB1987" s="72" t="str">
        <f aca="false">IF(BA1987&lt;&gt;"",VLOOKUP(BA1987,Selects!$B$4:$C$100,2,0),"")</f>
        <v/>
      </c>
      <c r="BG1987" s="75" t="str">
        <f aca="false">IF(LEN(BF1987)=11,"PF",IF(LEN(BF1987)=14,"PJ",""))</f>
        <v/>
      </c>
      <c r="BH1987" s="66"/>
      <c r="CB1987" s="72" t="str">
        <f aca="false">IF(AC1987&lt;&gt;"",VLOOKUP(AC1987,Selects!$B:$E,4,0),"")</f>
        <v/>
      </c>
    </row>
    <row r="1988" customFormat="false" ht="15" hidden="true" customHeight="false" outlineLevel="0" collapsed="false">
      <c r="E1988" s="60" t="str">
        <f aca="false">IF(LEN(D1988)=11,"PF",IF(LEN(D1988)=14,"PJ",""))</f>
        <v/>
      </c>
      <c r="I1988" s="62"/>
      <c r="AM1988" s="68" t="str">
        <f aca="false">IF(LEFT(AL1988,1)="9","Celular",IF(AL1988="","","Fixo"))</f>
        <v/>
      </c>
      <c r="AN1988" s="58" t="str">
        <f aca="false">IF( AM1988&lt;&gt;"",VLOOKUP(AM1988,Selects!$M$4:$N$1000,2,0),"")</f>
        <v/>
      </c>
      <c r="BB1988" s="72" t="str">
        <f aca="false">IF(BA1988&lt;&gt;"",VLOOKUP(BA1988,Selects!$B$4:$C$100,2,0),"")</f>
        <v/>
      </c>
      <c r="BG1988" s="75" t="str">
        <f aca="false">IF(LEN(BF1988)=11,"PF",IF(LEN(BF1988)=14,"PJ",""))</f>
        <v/>
      </c>
      <c r="BH1988" s="66"/>
      <c r="CB1988" s="72" t="str">
        <f aca="false">IF(AC1988&lt;&gt;"",VLOOKUP(AC1988,Selects!$B:$E,4,0),"")</f>
        <v/>
      </c>
    </row>
    <row r="1989" customFormat="false" ht="15" hidden="true" customHeight="false" outlineLevel="0" collapsed="false">
      <c r="E1989" s="60" t="str">
        <f aca="false">IF(LEN(D1989)=11,"PF",IF(LEN(D1989)=14,"PJ",""))</f>
        <v/>
      </c>
      <c r="I1989" s="62"/>
      <c r="AM1989" s="68" t="str">
        <f aca="false">IF(LEFT(AL1989,1)="9","Celular",IF(AL1989="","","Fixo"))</f>
        <v/>
      </c>
      <c r="AN1989" s="58" t="str">
        <f aca="false">IF( AM1989&lt;&gt;"",VLOOKUP(AM1989,Selects!$M$4:$N$1000,2,0),"")</f>
        <v/>
      </c>
      <c r="BB1989" s="72" t="str">
        <f aca="false">IF(BA1989&lt;&gt;"",VLOOKUP(BA1989,Selects!$B$4:$C$100,2,0),"")</f>
        <v/>
      </c>
      <c r="BG1989" s="75" t="str">
        <f aca="false">IF(LEN(BF1989)=11,"PF",IF(LEN(BF1989)=14,"PJ",""))</f>
        <v/>
      </c>
      <c r="BH1989" s="66"/>
      <c r="CB1989" s="72" t="str">
        <f aca="false">IF(AC1989&lt;&gt;"",VLOOKUP(AC1989,Selects!$B:$E,4,0),"")</f>
        <v/>
      </c>
    </row>
    <row r="1990" customFormat="false" ht="15" hidden="true" customHeight="false" outlineLevel="0" collapsed="false">
      <c r="E1990" s="60" t="str">
        <f aca="false">IF(LEN(D1990)=11,"PF",IF(LEN(D1990)=14,"PJ",""))</f>
        <v/>
      </c>
      <c r="I1990" s="62"/>
      <c r="AM1990" s="68" t="str">
        <f aca="false">IF(LEFT(AL1990,1)="9","Celular",IF(AL1990="","","Fixo"))</f>
        <v/>
      </c>
      <c r="AN1990" s="58" t="str">
        <f aca="false">IF( AM1990&lt;&gt;"",VLOOKUP(AM1990,Selects!$M$4:$N$1000,2,0),"")</f>
        <v/>
      </c>
      <c r="BB1990" s="72" t="str">
        <f aca="false">IF(BA1990&lt;&gt;"",VLOOKUP(BA1990,Selects!$B$4:$C$100,2,0),"")</f>
        <v/>
      </c>
      <c r="BG1990" s="75" t="str">
        <f aca="false">IF(LEN(BF1990)=11,"PF",IF(LEN(BF1990)=14,"PJ",""))</f>
        <v/>
      </c>
      <c r="BH1990" s="66"/>
      <c r="CB1990" s="72" t="str">
        <f aca="false">IF(AC1990&lt;&gt;"",VLOOKUP(AC1990,Selects!$B:$E,4,0),"")</f>
        <v/>
      </c>
    </row>
    <row r="1991" customFormat="false" ht="15" hidden="true" customHeight="false" outlineLevel="0" collapsed="false">
      <c r="E1991" s="60" t="str">
        <f aca="false">IF(LEN(D1991)=11,"PF",IF(LEN(D1991)=14,"PJ",""))</f>
        <v/>
      </c>
      <c r="I1991" s="62"/>
      <c r="AM1991" s="68" t="str">
        <f aca="false">IF(LEFT(AL1991,1)="9","Celular",IF(AL1991="","","Fixo"))</f>
        <v/>
      </c>
      <c r="AN1991" s="58" t="str">
        <f aca="false">IF( AM1991&lt;&gt;"",VLOOKUP(AM1991,Selects!$M$4:$N$1000,2,0),"")</f>
        <v/>
      </c>
      <c r="BB1991" s="72" t="str">
        <f aca="false">IF(BA1991&lt;&gt;"",VLOOKUP(BA1991,Selects!$B$4:$C$100,2,0),"")</f>
        <v/>
      </c>
      <c r="BG1991" s="75" t="str">
        <f aca="false">IF(LEN(BF1991)=11,"PF",IF(LEN(BF1991)=14,"PJ",""))</f>
        <v/>
      </c>
      <c r="BH1991" s="66"/>
      <c r="CB1991" s="72" t="str">
        <f aca="false">IF(AC1991&lt;&gt;"",VLOOKUP(AC1991,Selects!$B:$E,4,0),"")</f>
        <v/>
      </c>
    </row>
    <row r="1992" customFormat="false" ht="15" hidden="true" customHeight="false" outlineLevel="0" collapsed="false">
      <c r="E1992" s="60" t="str">
        <f aca="false">IF(LEN(D1992)=11,"PF",IF(LEN(D1992)=14,"PJ",""))</f>
        <v/>
      </c>
      <c r="I1992" s="62"/>
      <c r="AM1992" s="68" t="str">
        <f aca="false">IF(LEFT(AL1992,1)="9","Celular",IF(AL1992="","","Fixo"))</f>
        <v/>
      </c>
      <c r="AN1992" s="58" t="str">
        <f aca="false">IF( AM1992&lt;&gt;"",VLOOKUP(AM1992,Selects!$M$4:$N$1000,2,0),"")</f>
        <v/>
      </c>
      <c r="BB1992" s="72" t="str">
        <f aca="false">IF(BA1992&lt;&gt;"",VLOOKUP(BA1992,Selects!$B$4:$C$100,2,0),"")</f>
        <v/>
      </c>
      <c r="BG1992" s="75" t="str">
        <f aca="false">IF(LEN(BF1992)=11,"PF",IF(LEN(BF1992)=14,"PJ",""))</f>
        <v/>
      </c>
      <c r="BH1992" s="66"/>
      <c r="CB1992" s="72" t="str">
        <f aca="false">IF(AC1992&lt;&gt;"",VLOOKUP(AC1992,Selects!$B:$E,4,0),"")</f>
        <v/>
      </c>
    </row>
    <row r="1993" customFormat="false" ht="15" hidden="true" customHeight="false" outlineLevel="0" collapsed="false">
      <c r="E1993" s="60" t="str">
        <f aca="false">IF(LEN(D1993)=11,"PF",IF(LEN(D1993)=14,"PJ",""))</f>
        <v/>
      </c>
      <c r="I1993" s="62"/>
      <c r="AM1993" s="68" t="str">
        <f aca="false">IF(LEFT(AL1993,1)="9","Celular",IF(AL1993="","","Fixo"))</f>
        <v/>
      </c>
      <c r="AN1993" s="58" t="str">
        <f aca="false">IF( AM1993&lt;&gt;"",VLOOKUP(AM1993,Selects!$M$4:$N$1000,2,0),"")</f>
        <v/>
      </c>
      <c r="BB1993" s="72" t="str">
        <f aca="false">IF(BA1993&lt;&gt;"",VLOOKUP(BA1993,Selects!$B$4:$C$100,2,0),"")</f>
        <v/>
      </c>
      <c r="BG1993" s="75" t="str">
        <f aca="false">IF(LEN(BF1993)=11,"PF",IF(LEN(BF1993)=14,"PJ",""))</f>
        <v/>
      </c>
      <c r="BH1993" s="66"/>
      <c r="CB1993" s="72" t="str">
        <f aca="false">IF(AC1993&lt;&gt;"",VLOOKUP(AC1993,Selects!$B:$E,4,0),"")</f>
        <v/>
      </c>
    </row>
    <row r="1994" customFormat="false" ht="15" hidden="true" customHeight="false" outlineLevel="0" collapsed="false">
      <c r="E1994" s="60" t="str">
        <f aca="false">IF(LEN(D1994)=11,"PF",IF(LEN(D1994)=14,"PJ",""))</f>
        <v/>
      </c>
      <c r="I1994" s="62"/>
      <c r="AM1994" s="68" t="str">
        <f aca="false">IF(LEFT(AL1994,1)="9","Celular",IF(AL1994="","","Fixo"))</f>
        <v/>
      </c>
      <c r="AN1994" s="58" t="str">
        <f aca="false">IF( AM1994&lt;&gt;"",VLOOKUP(AM1994,Selects!$M$4:$N$1000,2,0),"")</f>
        <v/>
      </c>
      <c r="BB1994" s="72" t="str">
        <f aca="false">IF(BA1994&lt;&gt;"",VLOOKUP(BA1994,Selects!$B$4:$C$100,2,0),"")</f>
        <v/>
      </c>
      <c r="BG1994" s="75" t="str">
        <f aca="false">IF(LEN(BF1994)=11,"PF",IF(LEN(BF1994)=14,"PJ",""))</f>
        <v/>
      </c>
      <c r="BH1994" s="66"/>
      <c r="CB1994" s="72" t="str">
        <f aca="false">IF(AC1994&lt;&gt;"",VLOOKUP(AC1994,Selects!$B:$E,4,0),"")</f>
        <v/>
      </c>
    </row>
    <row r="1995" customFormat="false" ht="15" hidden="true" customHeight="false" outlineLevel="0" collapsed="false">
      <c r="E1995" s="60" t="str">
        <f aca="false">IF(LEN(D1995)=11,"PF",IF(LEN(D1995)=14,"PJ",""))</f>
        <v/>
      </c>
      <c r="I1995" s="62"/>
      <c r="AM1995" s="68" t="str">
        <f aca="false">IF(LEFT(AL1995,1)="9","Celular",IF(AL1995="","","Fixo"))</f>
        <v/>
      </c>
      <c r="AN1995" s="58" t="str">
        <f aca="false">IF( AM1995&lt;&gt;"",VLOOKUP(AM1995,Selects!$M$4:$N$1000,2,0),"")</f>
        <v/>
      </c>
      <c r="BB1995" s="72" t="str">
        <f aca="false">IF(BA1995&lt;&gt;"",VLOOKUP(BA1995,Selects!$B$4:$C$100,2,0),"")</f>
        <v/>
      </c>
      <c r="BG1995" s="75" t="str">
        <f aca="false">IF(LEN(BF1995)=11,"PF",IF(LEN(BF1995)=14,"PJ",""))</f>
        <v/>
      </c>
      <c r="BH1995" s="66"/>
      <c r="CB1995" s="72" t="str">
        <f aca="false">IF(AC1995&lt;&gt;"",VLOOKUP(AC1995,Selects!$B:$E,4,0),"")</f>
        <v/>
      </c>
    </row>
    <row r="1996" customFormat="false" ht="15" hidden="true" customHeight="false" outlineLevel="0" collapsed="false">
      <c r="E1996" s="60" t="str">
        <f aca="false">IF(LEN(D1996)=11,"PF",IF(LEN(D1996)=14,"PJ",""))</f>
        <v/>
      </c>
      <c r="I1996" s="62"/>
      <c r="AM1996" s="68" t="str">
        <f aca="false">IF(LEFT(AL1996,1)="9","Celular",IF(AL1996="","","Fixo"))</f>
        <v/>
      </c>
      <c r="AN1996" s="58" t="str">
        <f aca="false">IF( AM1996&lt;&gt;"",VLOOKUP(AM1996,Selects!$M$4:$N$1000,2,0),"")</f>
        <v/>
      </c>
      <c r="BB1996" s="72" t="str">
        <f aca="false">IF(BA1996&lt;&gt;"",VLOOKUP(BA1996,Selects!$B$4:$C$100,2,0),"")</f>
        <v/>
      </c>
      <c r="BG1996" s="75" t="str">
        <f aca="false">IF(LEN(BF1996)=11,"PF",IF(LEN(BF1996)=14,"PJ",""))</f>
        <v/>
      </c>
      <c r="BH1996" s="66"/>
      <c r="CB1996" s="72" t="str">
        <f aca="false">IF(AC1996&lt;&gt;"",VLOOKUP(AC1996,Selects!$B:$E,4,0),"")</f>
        <v/>
      </c>
    </row>
    <row r="1997" customFormat="false" ht="15" hidden="true" customHeight="false" outlineLevel="0" collapsed="false">
      <c r="E1997" s="60" t="str">
        <f aca="false">IF(LEN(D1997)=11,"PF",IF(LEN(D1997)=14,"PJ",""))</f>
        <v/>
      </c>
      <c r="I1997" s="62"/>
      <c r="AM1997" s="68" t="str">
        <f aca="false">IF(LEFT(AL1997,1)="9","Celular",IF(AL1997="","","Fixo"))</f>
        <v/>
      </c>
      <c r="AN1997" s="58" t="str">
        <f aca="false">IF( AM1997&lt;&gt;"",VLOOKUP(AM1997,Selects!$M$4:$N$1000,2,0),"")</f>
        <v/>
      </c>
      <c r="BB1997" s="72" t="str">
        <f aca="false">IF(BA1997&lt;&gt;"",VLOOKUP(BA1997,Selects!$B$4:$C$100,2,0),"")</f>
        <v/>
      </c>
      <c r="BG1997" s="75" t="str">
        <f aca="false">IF(LEN(BF1997)=11,"PF",IF(LEN(BF1997)=14,"PJ",""))</f>
        <v/>
      </c>
      <c r="BH1997" s="66"/>
      <c r="CB1997" s="72" t="str">
        <f aca="false">IF(AC1997&lt;&gt;"",VLOOKUP(AC1997,Selects!$B:$E,4,0),"")</f>
        <v/>
      </c>
    </row>
    <row r="1998" customFormat="false" ht="15" hidden="true" customHeight="false" outlineLevel="0" collapsed="false">
      <c r="E1998" s="60" t="str">
        <f aca="false">IF(LEN(D1998)=11,"PF",IF(LEN(D1998)=14,"PJ",""))</f>
        <v/>
      </c>
      <c r="I1998" s="62"/>
      <c r="AM1998" s="68" t="str">
        <f aca="false">IF(LEFT(AL1998,1)="9","Celular",IF(AL1998="","","Fixo"))</f>
        <v/>
      </c>
      <c r="AN1998" s="58" t="str">
        <f aca="false">IF( AM1998&lt;&gt;"",VLOOKUP(AM1998,Selects!$M$4:$N$1000,2,0),"")</f>
        <v/>
      </c>
      <c r="BB1998" s="72" t="str">
        <f aca="false">IF(BA1998&lt;&gt;"",VLOOKUP(BA1998,Selects!$B$4:$C$100,2,0),"")</f>
        <v/>
      </c>
      <c r="BG1998" s="75" t="str">
        <f aca="false">IF(LEN(BF1998)=11,"PF",IF(LEN(BF1998)=14,"PJ",""))</f>
        <v/>
      </c>
      <c r="BH1998" s="66"/>
      <c r="CB1998" s="72" t="str">
        <f aca="false">IF(AC1998&lt;&gt;"",VLOOKUP(AC1998,Selects!$B:$E,4,0),"")</f>
        <v/>
      </c>
    </row>
    <row r="1999" customFormat="false" ht="15" hidden="true" customHeight="false" outlineLevel="0" collapsed="false">
      <c r="E1999" s="60" t="str">
        <f aca="false">IF(LEN(D1999)=11,"PF",IF(LEN(D1999)=14,"PJ",""))</f>
        <v/>
      </c>
      <c r="I1999" s="62"/>
      <c r="AM1999" s="68" t="str">
        <f aca="false">IF(LEFT(AL1999,1)="9","Celular",IF(AL1999="","","Fixo"))</f>
        <v/>
      </c>
      <c r="AN1999" s="58" t="str">
        <f aca="false">IF( AM1999&lt;&gt;"",VLOOKUP(AM1999,Selects!$M$4:$N$1000,2,0),"")</f>
        <v/>
      </c>
      <c r="BB1999" s="72" t="str">
        <f aca="false">IF(BA1999&lt;&gt;"",VLOOKUP(BA1999,Selects!$B$4:$C$100,2,0),"")</f>
        <v/>
      </c>
      <c r="BG1999" s="75" t="str">
        <f aca="false">IF(LEN(BF1999)=11,"PF",IF(LEN(BF1999)=14,"PJ",""))</f>
        <v/>
      </c>
      <c r="BH1999" s="66"/>
      <c r="CB1999" s="72" t="str">
        <f aca="false">IF(AC1999&lt;&gt;"",VLOOKUP(AC1999,Selects!$B:$E,4,0),"")</f>
        <v/>
      </c>
    </row>
    <row r="2000" customFormat="false" ht="15" hidden="true" customHeight="false" outlineLevel="0" collapsed="false">
      <c r="E2000" s="60" t="str">
        <f aca="false">IF(LEN(D2000)=11,"PF",IF(LEN(D2000)=14,"PJ",""))</f>
        <v/>
      </c>
      <c r="I2000" s="62"/>
      <c r="AM2000" s="68" t="str">
        <f aca="false">IF(LEFT(AL2000,1)="9","Celular",IF(AL2000="","","Fixo"))</f>
        <v/>
      </c>
      <c r="AN2000" s="58" t="str">
        <f aca="false">IF( AM2000&lt;&gt;"",VLOOKUP(AM2000,Selects!$M$4:$N$1000,2,0),"")</f>
        <v/>
      </c>
      <c r="BB2000" s="72" t="str">
        <f aca="false">IF(BA2000&lt;&gt;"",VLOOKUP(BA2000,Selects!$B$4:$C$100,2,0),"")</f>
        <v/>
      </c>
      <c r="BG2000" s="75" t="str">
        <f aca="false">IF(LEN(BF2000)=11,"PF",IF(LEN(BF2000)=14,"PJ",""))</f>
        <v/>
      </c>
      <c r="BH2000" s="66"/>
      <c r="CB2000" s="72" t="str">
        <f aca="false">IF(AC2000&lt;&gt;"",VLOOKUP(AC2000,Selects!$B:$E,4,0),"")</f>
        <v/>
      </c>
    </row>
    <row r="2001" customFormat="false" ht="15" hidden="true" customHeight="false" outlineLevel="0" collapsed="false">
      <c r="E2001" s="60" t="str">
        <f aca="false">IF(LEN(D2001)=11,"PF",IF(LEN(D2001)=14,"PJ",""))</f>
        <v/>
      </c>
      <c r="I2001" s="62"/>
      <c r="AM2001" s="68" t="str">
        <f aca="false">IF(LEFT(AL2001,1)="9","Celular",IF(AL2001="","","Fixo"))</f>
        <v/>
      </c>
      <c r="AN2001" s="58" t="str">
        <f aca="false">IF( AM2001&lt;&gt;"",VLOOKUP(AM2001,Selects!$M$4:$N$1000,2,0),"")</f>
        <v/>
      </c>
      <c r="BB2001" s="72" t="str">
        <f aca="false">IF(BA2001&lt;&gt;"",VLOOKUP(BA2001,Selects!$B$4:$C$100,2,0),"")</f>
        <v/>
      </c>
      <c r="BG2001" s="75" t="str">
        <f aca="false">IF(LEN(BF2001)=11,"PF",IF(LEN(BF2001)=14,"PJ",""))</f>
        <v/>
      </c>
      <c r="BH2001" s="66"/>
      <c r="CB2001" s="72" t="str">
        <f aca="false">IF(AC2001&lt;&gt;"",VLOOKUP(AC2001,Selects!$B:$E,4,0),"")</f>
        <v/>
      </c>
    </row>
    <row r="2002" customFormat="false" ht="15" hidden="true" customHeight="false" outlineLevel="0" collapsed="false">
      <c r="E2002" s="60" t="str">
        <f aca="false">IF(LEN(D2002)=11,"PF",IF(LEN(D2002)=14,"PJ",""))</f>
        <v/>
      </c>
      <c r="I2002" s="62"/>
      <c r="AM2002" s="68" t="str">
        <f aca="false">IF(LEFT(AL2002,1)="9","Celular",IF(AL2002="","","Fixo"))</f>
        <v/>
      </c>
      <c r="AN2002" s="58" t="str">
        <f aca="false">IF( AM2002&lt;&gt;"",VLOOKUP(AM2002,Selects!$M$4:$N$1000,2,0),"")</f>
        <v/>
      </c>
      <c r="BB2002" s="72" t="str">
        <f aca="false">IF(BA2002&lt;&gt;"",VLOOKUP(BA2002,Selects!$B$4:$C$100,2,0),"")</f>
        <v/>
      </c>
      <c r="BG2002" s="75" t="str">
        <f aca="false">IF(LEN(BF2002)=11,"PF",IF(LEN(BF2002)=14,"PJ",""))</f>
        <v/>
      </c>
      <c r="BH2002" s="66"/>
      <c r="CB2002" s="72" t="str">
        <f aca="false">IF(AC2002&lt;&gt;"",VLOOKUP(AC2002,Selects!$B:$E,4,0),"")</f>
        <v/>
      </c>
    </row>
    <row r="2003" customFormat="false" ht="15" hidden="true" customHeight="false" outlineLevel="0" collapsed="false">
      <c r="E2003" s="60" t="str">
        <f aca="false">IF(LEN(D2003)=11,"PF",IF(LEN(D2003)=14,"PJ",""))</f>
        <v/>
      </c>
      <c r="I2003" s="62"/>
      <c r="AM2003" s="68" t="str">
        <f aca="false">IF(LEFT(AL2003,1)="9","Celular",IF(AL2003="","","Fixo"))</f>
        <v/>
      </c>
      <c r="AN2003" s="58" t="str">
        <f aca="false">IF( AM2003&lt;&gt;"",VLOOKUP(AM2003,Selects!$M$4:$N$1000,2,0),"")</f>
        <v/>
      </c>
      <c r="BB2003" s="72" t="str">
        <f aca="false">IF(BA2003&lt;&gt;"",VLOOKUP(BA2003,Selects!$B$4:$C$100,2,0),"")</f>
        <v/>
      </c>
      <c r="BG2003" s="75" t="str">
        <f aca="false">IF(LEN(BF2003)=11,"PF",IF(LEN(BF2003)=14,"PJ",""))</f>
        <v/>
      </c>
      <c r="BH2003" s="66"/>
      <c r="CB2003" s="72" t="str">
        <f aca="false">IF(AC2003&lt;&gt;"",VLOOKUP(AC2003,Selects!$B:$E,4,0),"")</f>
        <v/>
      </c>
    </row>
    <row r="2004" customFormat="false" ht="15" hidden="true" customHeight="false" outlineLevel="0" collapsed="false">
      <c r="E2004" s="60" t="str">
        <f aca="false">IF(LEN(D2004)=11,"PF",IF(LEN(D2004)=14,"PJ",""))</f>
        <v/>
      </c>
      <c r="I2004" s="62"/>
      <c r="AM2004" s="68" t="str">
        <f aca="false">IF(LEFT(AL2004,1)="9","Celular",IF(AL2004="","","Fixo"))</f>
        <v/>
      </c>
      <c r="AN2004" s="58" t="str">
        <f aca="false">IF( AM2004&lt;&gt;"",VLOOKUP(AM2004,Selects!$M$4:$N$1000,2,0),"")</f>
        <v/>
      </c>
      <c r="BB2004" s="72" t="str">
        <f aca="false">IF(BA2004&lt;&gt;"",VLOOKUP(BA2004,Selects!$B$4:$C$100,2,0),"")</f>
        <v/>
      </c>
      <c r="BG2004" s="75" t="str">
        <f aca="false">IF(LEN(BF2004)=11,"PF",IF(LEN(BF2004)=14,"PJ",""))</f>
        <v/>
      </c>
      <c r="BH2004" s="66"/>
      <c r="CB2004" s="72" t="str">
        <f aca="false">IF(AC2004&lt;&gt;"",VLOOKUP(AC2004,Selects!$B:$E,4,0),"")</f>
        <v/>
      </c>
    </row>
    <row r="2005" customFormat="false" ht="15" hidden="true" customHeight="false" outlineLevel="0" collapsed="false">
      <c r="E2005" s="60" t="str">
        <f aca="false">IF(LEN(D2005)=11,"PF",IF(LEN(D2005)=14,"PJ",""))</f>
        <v/>
      </c>
      <c r="I2005" s="62"/>
      <c r="AM2005" s="68" t="str">
        <f aca="false">IF(LEFT(AL2005,1)="9","Celular",IF(AL2005="","","Fixo"))</f>
        <v/>
      </c>
      <c r="AN2005" s="58" t="str">
        <f aca="false">IF( AM2005&lt;&gt;"",VLOOKUP(AM2005,Selects!$M$4:$N$1000,2,0),"")</f>
        <v/>
      </c>
      <c r="BB2005" s="72" t="str">
        <f aca="false">IF(BA2005&lt;&gt;"",VLOOKUP(BA2005,Selects!$B$4:$C$100,2,0),"")</f>
        <v/>
      </c>
      <c r="BG2005" s="75" t="str">
        <f aca="false">IF(LEN(BF2005)=11,"PF",IF(LEN(BF2005)=14,"PJ",""))</f>
        <v/>
      </c>
      <c r="BH2005" s="66"/>
      <c r="CB2005" s="72" t="str">
        <f aca="false">IF(AC2005&lt;&gt;"",VLOOKUP(AC2005,Selects!$B:$E,4,0),"")</f>
        <v/>
      </c>
    </row>
    <row r="2006" customFormat="false" ht="15" hidden="true" customHeight="false" outlineLevel="0" collapsed="false">
      <c r="E2006" s="60" t="str">
        <f aca="false">IF(LEN(D2006)=11,"PF",IF(LEN(D2006)=14,"PJ",""))</f>
        <v/>
      </c>
      <c r="I2006" s="62"/>
      <c r="AM2006" s="68" t="str">
        <f aca="false">IF(LEFT(AL2006,1)="9","Celular",IF(AL2006="","","Fixo"))</f>
        <v/>
      </c>
      <c r="AN2006" s="58" t="str">
        <f aca="false">IF( AM2006&lt;&gt;"",VLOOKUP(AM2006,Selects!$M$4:$N$1000,2,0),"")</f>
        <v/>
      </c>
      <c r="BB2006" s="72" t="str">
        <f aca="false">IF(BA2006&lt;&gt;"",VLOOKUP(BA2006,Selects!$B$4:$C$100,2,0),"")</f>
        <v/>
      </c>
      <c r="BG2006" s="75" t="str">
        <f aca="false">IF(LEN(BF2006)=11,"PF",IF(LEN(BF2006)=14,"PJ",""))</f>
        <v/>
      </c>
      <c r="BH2006" s="66"/>
      <c r="CB2006" s="72" t="str">
        <f aca="false">IF(AC2006&lt;&gt;"",VLOOKUP(AC2006,Selects!$B:$E,4,0),"")</f>
        <v/>
      </c>
    </row>
    <row r="2007" customFormat="false" ht="15" hidden="true" customHeight="false" outlineLevel="0" collapsed="false">
      <c r="E2007" s="60" t="str">
        <f aca="false">IF(LEN(D2007)=11,"PF",IF(LEN(D2007)=14,"PJ",""))</f>
        <v/>
      </c>
      <c r="I2007" s="62"/>
      <c r="AM2007" s="68" t="str">
        <f aca="false">IF(LEFT(AL2007,1)="9","Celular",IF(AL2007="","","Fixo"))</f>
        <v/>
      </c>
      <c r="AN2007" s="58" t="str">
        <f aca="false">IF( AM2007&lt;&gt;"",VLOOKUP(AM2007,Selects!$M$4:$N$1000,2,0),"")</f>
        <v/>
      </c>
      <c r="BB2007" s="72" t="str">
        <f aca="false">IF(BA2007&lt;&gt;"",VLOOKUP(BA2007,Selects!$B$4:$C$100,2,0),"")</f>
        <v/>
      </c>
      <c r="BG2007" s="75" t="str">
        <f aca="false">IF(LEN(BF2007)=11,"PF",IF(LEN(BF2007)=14,"PJ",""))</f>
        <v/>
      </c>
      <c r="BH2007" s="66"/>
      <c r="CB2007" s="72" t="str">
        <f aca="false">IF(AC2007&lt;&gt;"",VLOOKUP(AC2007,Selects!$B:$E,4,0),"")</f>
        <v/>
      </c>
    </row>
    <row r="2008" customFormat="false" ht="15" hidden="true" customHeight="false" outlineLevel="0" collapsed="false">
      <c r="E2008" s="60" t="str">
        <f aca="false">IF(LEN(D2008)=11,"PF",IF(LEN(D2008)=14,"PJ",""))</f>
        <v/>
      </c>
      <c r="I2008" s="62"/>
      <c r="AM2008" s="68" t="str">
        <f aca="false">IF(LEFT(AL2008,1)="9","Celular",IF(AL2008="","","Fixo"))</f>
        <v/>
      </c>
      <c r="AN2008" s="58" t="str">
        <f aca="false">IF( AM2008&lt;&gt;"",VLOOKUP(AM2008,Selects!$M$4:$N$1000,2,0),"")</f>
        <v/>
      </c>
      <c r="BB2008" s="72" t="str">
        <f aca="false">IF(BA2008&lt;&gt;"",VLOOKUP(BA2008,Selects!$B$4:$C$100,2,0),"")</f>
        <v/>
      </c>
      <c r="BG2008" s="75" t="str">
        <f aca="false">IF(LEN(BF2008)=11,"PF",IF(LEN(BF2008)=14,"PJ",""))</f>
        <v/>
      </c>
      <c r="BH2008" s="66"/>
      <c r="CB2008" s="72" t="str">
        <f aca="false">IF(AC2008&lt;&gt;"",VLOOKUP(AC2008,Selects!$B:$E,4,0),"")</f>
        <v/>
      </c>
    </row>
    <row r="2009" customFormat="false" ht="15" hidden="true" customHeight="false" outlineLevel="0" collapsed="false">
      <c r="E2009" s="60" t="str">
        <f aca="false">IF(LEN(D2009)=11,"PF",IF(LEN(D2009)=14,"PJ",""))</f>
        <v/>
      </c>
      <c r="I2009" s="62"/>
      <c r="AM2009" s="68" t="str">
        <f aca="false">IF(LEFT(AL2009,1)="9","Celular",IF(AL2009="","","Fixo"))</f>
        <v/>
      </c>
      <c r="AN2009" s="58" t="str">
        <f aca="false">IF( AM2009&lt;&gt;"",VLOOKUP(AM2009,Selects!$M$4:$N$1000,2,0),"")</f>
        <v/>
      </c>
      <c r="BB2009" s="72" t="str">
        <f aca="false">IF(BA2009&lt;&gt;"",VLOOKUP(BA2009,Selects!$B$4:$C$100,2,0),"")</f>
        <v/>
      </c>
      <c r="BG2009" s="75" t="str">
        <f aca="false">IF(LEN(BF2009)=11,"PF",IF(LEN(BF2009)=14,"PJ",""))</f>
        <v/>
      </c>
      <c r="BH2009" s="66"/>
      <c r="CB2009" s="72" t="str">
        <f aca="false">IF(AC2009&lt;&gt;"",VLOOKUP(AC2009,Selects!$B:$E,4,0),"")</f>
        <v/>
      </c>
    </row>
    <row r="2010" customFormat="false" ht="15" hidden="true" customHeight="false" outlineLevel="0" collapsed="false">
      <c r="E2010" s="60" t="str">
        <f aca="false">IF(LEN(D2010)=11,"PF",IF(LEN(D2010)=14,"PJ",""))</f>
        <v/>
      </c>
      <c r="I2010" s="62"/>
      <c r="AM2010" s="68" t="str">
        <f aca="false">IF(LEFT(AL2010,1)="9","Celular",IF(AL2010="","","Fixo"))</f>
        <v/>
      </c>
      <c r="AN2010" s="58" t="str">
        <f aca="false">IF( AM2010&lt;&gt;"",VLOOKUP(AM2010,Selects!$M$4:$N$1000,2,0),"")</f>
        <v/>
      </c>
      <c r="BB2010" s="72" t="str">
        <f aca="false">IF(BA2010&lt;&gt;"",VLOOKUP(BA2010,Selects!$B$4:$C$100,2,0),"")</f>
        <v/>
      </c>
      <c r="BG2010" s="75" t="str">
        <f aca="false">IF(LEN(BF2010)=11,"PF",IF(LEN(BF2010)=14,"PJ",""))</f>
        <v/>
      </c>
      <c r="BH2010" s="66"/>
      <c r="CB2010" s="72" t="str">
        <f aca="false">IF(AC2010&lt;&gt;"",VLOOKUP(AC2010,Selects!$B:$E,4,0),"")</f>
        <v/>
      </c>
    </row>
    <row r="2011" customFormat="false" ht="15" hidden="true" customHeight="false" outlineLevel="0" collapsed="false">
      <c r="E2011" s="60" t="str">
        <f aca="false">IF(LEN(D2011)=11,"PF",IF(LEN(D2011)=14,"PJ",""))</f>
        <v/>
      </c>
      <c r="I2011" s="62"/>
      <c r="AM2011" s="68" t="str">
        <f aca="false">IF(LEFT(AL2011,1)="9","Celular",IF(AL2011="","","Fixo"))</f>
        <v/>
      </c>
      <c r="AN2011" s="58" t="str">
        <f aca="false">IF( AM2011&lt;&gt;"",VLOOKUP(AM2011,Selects!$M$4:$N$1000,2,0),"")</f>
        <v/>
      </c>
      <c r="BB2011" s="72" t="str">
        <f aca="false">IF(BA2011&lt;&gt;"",VLOOKUP(BA2011,Selects!$B$4:$C$100,2,0),"")</f>
        <v/>
      </c>
      <c r="BG2011" s="75" t="str">
        <f aca="false">IF(LEN(BF2011)=11,"PF",IF(LEN(BF2011)=14,"PJ",""))</f>
        <v/>
      </c>
      <c r="BH2011" s="66"/>
      <c r="CB2011" s="72" t="str">
        <f aca="false">IF(AC2011&lt;&gt;"",VLOOKUP(AC2011,Selects!$B:$E,4,0),"")</f>
        <v/>
      </c>
    </row>
    <row r="2012" customFormat="false" ht="15" hidden="true" customHeight="false" outlineLevel="0" collapsed="false">
      <c r="E2012" s="60" t="str">
        <f aca="false">IF(LEN(D2012)=11,"PF",IF(LEN(D2012)=14,"PJ",""))</f>
        <v/>
      </c>
      <c r="I2012" s="62"/>
      <c r="AM2012" s="68" t="str">
        <f aca="false">IF(LEFT(AL2012,1)="9","Celular",IF(AL2012="","","Fixo"))</f>
        <v/>
      </c>
      <c r="AN2012" s="58" t="str">
        <f aca="false">IF( AM2012&lt;&gt;"",VLOOKUP(AM2012,Selects!$M$4:$N$1000,2,0),"")</f>
        <v/>
      </c>
      <c r="BB2012" s="72" t="str">
        <f aca="false">IF(BA2012&lt;&gt;"",VLOOKUP(BA2012,Selects!$B$4:$C$100,2,0),"")</f>
        <v/>
      </c>
      <c r="BG2012" s="75" t="str">
        <f aca="false">IF(LEN(BF2012)=11,"PF",IF(LEN(BF2012)=14,"PJ",""))</f>
        <v/>
      </c>
      <c r="BH2012" s="66"/>
      <c r="CB2012" s="72" t="str">
        <f aca="false">IF(AC2012&lt;&gt;"",VLOOKUP(AC2012,Selects!$B:$E,4,0),"")</f>
        <v/>
      </c>
    </row>
    <row r="2013" customFormat="false" ht="15" hidden="true" customHeight="false" outlineLevel="0" collapsed="false">
      <c r="E2013" s="60" t="str">
        <f aca="false">IF(LEN(D2013)=11,"PF",IF(LEN(D2013)=14,"PJ",""))</f>
        <v/>
      </c>
      <c r="I2013" s="62"/>
      <c r="AM2013" s="68" t="str">
        <f aca="false">IF(LEFT(AL2013,1)="9","Celular",IF(AL2013="","","Fixo"))</f>
        <v/>
      </c>
      <c r="AN2013" s="58" t="str">
        <f aca="false">IF( AM2013&lt;&gt;"",VLOOKUP(AM2013,Selects!$M$4:$N$1000,2,0),"")</f>
        <v/>
      </c>
      <c r="BB2013" s="72" t="str">
        <f aca="false">IF(BA2013&lt;&gt;"",VLOOKUP(BA2013,Selects!$B$4:$C$100,2,0),"")</f>
        <v/>
      </c>
      <c r="BG2013" s="75" t="str">
        <f aca="false">IF(LEN(BF2013)=11,"PF",IF(LEN(BF2013)=14,"PJ",""))</f>
        <v/>
      </c>
      <c r="BH2013" s="66"/>
      <c r="CB2013" s="72" t="str">
        <f aca="false">IF(AC2013&lt;&gt;"",VLOOKUP(AC2013,Selects!$B:$E,4,0),"")</f>
        <v/>
      </c>
    </row>
    <row r="2014" customFormat="false" ht="15" hidden="true" customHeight="false" outlineLevel="0" collapsed="false">
      <c r="E2014" s="60" t="str">
        <f aca="false">IF(LEN(D2014)=11,"PF",IF(LEN(D2014)=14,"PJ",""))</f>
        <v/>
      </c>
      <c r="I2014" s="62"/>
      <c r="AM2014" s="68" t="str">
        <f aca="false">IF(LEFT(AL2014,1)="9","Celular",IF(AL2014="","","Fixo"))</f>
        <v/>
      </c>
      <c r="AN2014" s="58" t="str">
        <f aca="false">IF( AM2014&lt;&gt;"",VLOOKUP(AM2014,Selects!$M$4:$N$1000,2,0),"")</f>
        <v/>
      </c>
      <c r="BB2014" s="72" t="str">
        <f aca="false">IF(BA2014&lt;&gt;"",VLOOKUP(BA2014,Selects!$B$4:$C$100,2,0),"")</f>
        <v/>
      </c>
      <c r="BG2014" s="75" t="str">
        <f aca="false">IF(LEN(BF2014)=11,"PF",IF(LEN(BF2014)=14,"PJ",""))</f>
        <v/>
      </c>
      <c r="BH2014" s="66"/>
      <c r="CB2014" s="72" t="str">
        <f aca="false">IF(AC2014&lt;&gt;"",VLOOKUP(AC2014,Selects!$B:$E,4,0),"")</f>
        <v/>
      </c>
    </row>
    <row r="2015" customFormat="false" ht="15" hidden="true" customHeight="false" outlineLevel="0" collapsed="false">
      <c r="E2015" s="60" t="str">
        <f aca="false">IF(LEN(D2015)=11,"PF",IF(LEN(D2015)=14,"PJ",""))</f>
        <v/>
      </c>
      <c r="I2015" s="62"/>
      <c r="AM2015" s="68" t="str">
        <f aca="false">IF(LEFT(AL2015,1)="9","Celular",IF(AL2015="","","Fixo"))</f>
        <v/>
      </c>
      <c r="AN2015" s="58" t="str">
        <f aca="false">IF( AM2015&lt;&gt;"",VLOOKUP(AM2015,Selects!$M$4:$N$1000,2,0),"")</f>
        <v/>
      </c>
      <c r="BB2015" s="72" t="str">
        <f aca="false">IF(BA2015&lt;&gt;"",VLOOKUP(BA2015,Selects!$B$4:$C$100,2,0),"")</f>
        <v/>
      </c>
      <c r="BG2015" s="75" t="str">
        <f aca="false">IF(LEN(BF2015)=11,"PF",IF(LEN(BF2015)=14,"PJ",""))</f>
        <v/>
      </c>
      <c r="BH2015" s="66"/>
      <c r="CB2015" s="72" t="str">
        <f aca="false">IF(AC2015&lt;&gt;"",VLOOKUP(AC2015,Selects!$B:$E,4,0),"")</f>
        <v/>
      </c>
    </row>
    <row r="2016" customFormat="false" ht="15" hidden="true" customHeight="false" outlineLevel="0" collapsed="false">
      <c r="E2016" s="60" t="str">
        <f aca="false">IF(LEN(D2016)=11,"PF",IF(LEN(D2016)=14,"PJ",""))</f>
        <v/>
      </c>
      <c r="I2016" s="62"/>
      <c r="AM2016" s="68" t="str">
        <f aca="false">IF(LEFT(AL2016,1)="9","Celular",IF(AL2016="","","Fixo"))</f>
        <v/>
      </c>
      <c r="AN2016" s="58" t="str">
        <f aca="false">IF( AM2016&lt;&gt;"",VLOOKUP(AM2016,Selects!$M$4:$N$1000,2,0),"")</f>
        <v/>
      </c>
      <c r="BB2016" s="72" t="str">
        <f aca="false">IF(BA2016&lt;&gt;"",VLOOKUP(BA2016,Selects!$B$4:$C$100,2,0),"")</f>
        <v/>
      </c>
      <c r="BG2016" s="75" t="str">
        <f aca="false">IF(LEN(BF2016)=11,"PF",IF(LEN(BF2016)=14,"PJ",""))</f>
        <v/>
      </c>
      <c r="BH2016" s="66"/>
      <c r="CB2016" s="72" t="str">
        <f aca="false">IF(AC2016&lt;&gt;"",VLOOKUP(AC2016,Selects!$B:$E,4,0),"")</f>
        <v/>
      </c>
    </row>
    <row r="2017" customFormat="false" ht="15" hidden="true" customHeight="false" outlineLevel="0" collapsed="false">
      <c r="E2017" s="60" t="str">
        <f aca="false">IF(LEN(D2017)=11,"PF",IF(LEN(D2017)=14,"PJ",""))</f>
        <v/>
      </c>
      <c r="I2017" s="62"/>
      <c r="AM2017" s="68" t="str">
        <f aca="false">IF(LEFT(AL2017,1)="9","Celular",IF(AL2017="","","Fixo"))</f>
        <v/>
      </c>
      <c r="AN2017" s="58" t="str">
        <f aca="false">IF( AM2017&lt;&gt;"",VLOOKUP(AM2017,Selects!$M$4:$N$1000,2,0),"")</f>
        <v/>
      </c>
      <c r="BB2017" s="72" t="str">
        <f aca="false">IF(BA2017&lt;&gt;"",VLOOKUP(BA2017,Selects!$B$4:$C$100,2,0),"")</f>
        <v/>
      </c>
      <c r="BG2017" s="75" t="str">
        <f aca="false">IF(LEN(BF2017)=11,"PF",IF(LEN(BF2017)=14,"PJ",""))</f>
        <v/>
      </c>
      <c r="BH2017" s="66"/>
      <c r="CB2017" s="72" t="str">
        <f aca="false">IF(AC2017&lt;&gt;"",VLOOKUP(AC2017,Selects!$B:$E,4,0),"")</f>
        <v/>
      </c>
    </row>
    <row r="2018" customFormat="false" ht="15" hidden="true" customHeight="false" outlineLevel="0" collapsed="false">
      <c r="E2018" s="60" t="str">
        <f aca="false">IF(LEN(D2018)=11,"PF",IF(LEN(D2018)=14,"PJ",""))</f>
        <v/>
      </c>
      <c r="I2018" s="62"/>
      <c r="AM2018" s="68" t="str">
        <f aca="false">IF(LEFT(AL2018,1)="9","Celular",IF(AL2018="","","Fixo"))</f>
        <v/>
      </c>
      <c r="AN2018" s="58" t="str">
        <f aca="false">IF( AM2018&lt;&gt;"",VLOOKUP(AM2018,Selects!$M$4:$N$1000,2,0),"")</f>
        <v/>
      </c>
      <c r="BB2018" s="72" t="str">
        <f aca="false">IF(BA2018&lt;&gt;"",VLOOKUP(BA2018,Selects!$B$4:$C$100,2,0),"")</f>
        <v/>
      </c>
      <c r="BG2018" s="75" t="str">
        <f aca="false">IF(LEN(BF2018)=11,"PF",IF(LEN(BF2018)=14,"PJ",""))</f>
        <v/>
      </c>
      <c r="BH2018" s="66"/>
      <c r="CB2018" s="72" t="str">
        <f aca="false">IF(AC2018&lt;&gt;"",VLOOKUP(AC2018,Selects!$B:$E,4,0),"")</f>
        <v/>
      </c>
    </row>
    <row r="2019" customFormat="false" ht="15" hidden="true" customHeight="false" outlineLevel="0" collapsed="false">
      <c r="E2019" s="60" t="str">
        <f aca="false">IF(LEN(D2019)=11,"PF",IF(LEN(D2019)=14,"PJ",""))</f>
        <v/>
      </c>
      <c r="I2019" s="62"/>
      <c r="AM2019" s="68" t="str">
        <f aca="false">IF(LEFT(AL2019,1)="9","Celular",IF(AL2019="","","Fixo"))</f>
        <v/>
      </c>
      <c r="AN2019" s="58" t="str">
        <f aca="false">IF( AM2019&lt;&gt;"",VLOOKUP(AM2019,Selects!$M$4:$N$1000,2,0),"")</f>
        <v/>
      </c>
      <c r="BB2019" s="72" t="str">
        <f aca="false">IF(BA2019&lt;&gt;"",VLOOKUP(BA2019,Selects!$B$4:$C$100,2,0),"")</f>
        <v/>
      </c>
      <c r="BG2019" s="75" t="str">
        <f aca="false">IF(LEN(BF2019)=11,"PF",IF(LEN(BF2019)=14,"PJ",""))</f>
        <v/>
      </c>
      <c r="BH2019" s="66"/>
      <c r="CB2019" s="72" t="str">
        <f aca="false">IF(AC2019&lt;&gt;"",VLOOKUP(AC2019,Selects!$B:$E,4,0),"")</f>
        <v/>
      </c>
    </row>
    <row r="2020" customFormat="false" ht="15" hidden="true" customHeight="false" outlineLevel="0" collapsed="false">
      <c r="E2020" s="60" t="str">
        <f aca="false">IF(LEN(D2020)=11,"PF",IF(LEN(D2020)=14,"PJ",""))</f>
        <v/>
      </c>
      <c r="I2020" s="62"/>
      <c r="AM2020" s="68" t="str">
        <f aca="false">IF(LEFT(AL2020,1)="9","Celular",IF(AL2020="","","Fixo"))</f>
        <v/>
      </c>
      <c r="AN2020" s="58" t="str">
        <f aca="false">IF( AM2020&lt;&gt;"",VLOOKUP(AM2020,Selects!$M$4:$N$1000,2,0),"")</f>
        <v/>
      </c>
      <c r="BB2020" s="72" t="str">
        <f aca="false">IF(BA2020&lt;&gt;"",VLOOKUP(BA2020,Selects!$B$4:$C$100,2,0),"")</f>
        <v/>
      </c>
      <c r="BG2020" s="75" t="str">
        <f aca="false">IF(LEN(BF2020)=11,"PF",IF(LEN(BF2020)=14,"PJ",""))</f>
        <v/>
      </c>
      <c r="BH2020" s="66"/>
      <c r="CB2020" s="72" t="str">
        <f aca="false">IF(AC2020&lt;&gt;"",VLOOKUP(AC2020,Selects!$B:$E,4,0),"")</f>
        <v/>
      </c>
    </row>
    <row r="2021" customFormat="false" ht="15" hidden="true" customHeight="false" outlineLevel="0" collapsed="false">
      <c r="E2021" s="60" t="str">
        <f aca="false">IF(LEN(D2021)=11,"PF",IF(LEN(D2021)=14,"PJ",""))</f>
        <v/>
      </c>
      <c r="I2021" s="62"/>
      <c r="AM2021" s="68" t="str">
        <f aca="false">IF(LEFT(AL2021,1)="9","Celular",IF(AL2021="","","Fixo"))</f>
        <v/>
      </c>
      <c r="AN2021" s="58" t="str">
        <f aca="false">IF( AM2021&lt;&gt;"",VLOOKUP(AM2021,Selects!$M$4:$N$1000,2,0),"")</f>
        <v/>
      </c>
      <c r="BB2021" s="72" t="str">
        <f aca="false">IF(BA2021&lt;&gt;"",VLOOKUP(BA2021,Selects!$B$4:$C$100,2,0),"")</f>
        <v/>
      </c>
      <c r="BG2021" s="75" t="str">
        <f aca="false">IF(LEN(BF2021)=11,"PF",IF(LEN(BF2021)=14,"PJ",""))</f>
        <v/>
      </c>
      <c r="BH2021" s="66"/>
      <c r="CB2021" s="72" t="str">
        <f aca="false">IF(AC2021&lt;&gt;"",VLOOKUP(AC2021,Selects!$B:$E,4,0),"")</f>
        <v/>
      </c>
    </row>
    <row r="2022" customFormat="false" ht="15" hidden="true" customHeight="false" outlineLevel="0" collapsed="false">
      <c r="E2022" s="60" t="str">
        <f aca="false">IF(LEN(D2022)=11,"PF",IF(LEN(D2022)=14,"PJ",""))</f>
        <v/>
      </c>
      <c r="I2022" s="62"/>
      <c r="AM2022" s="68" t="str">
        <f aca="false">IF(LEFT(AL2022,1)="9","Celular",IF(AL2022="","","Fixo"))</f>
        <v/>
      </c>
      <c r="AN2022" s="58" t="str">
        <f aca="false">IF( AM2022&lt;&gt;"",VLOOKUP(AM2022,Selects!$M$4:$N$1000,2,0),"")</f>
        <v/>
      </c>
      <c r="BB2022" s="72" t="str">
        <f aca="false">IF(BA2022&lt;&gt;"",VLOOKUP(BA2022,Selects!$B$4:$C$100,2,0),"")</f>
        <v/>
      </c>
      <c r="BG2022" s="75" t="str">
        <f aca="false">IF(LEN(BF2022)=11,"PF",IF(LEN(BF2022)=14,"PJ",""))</f>
        <v/>
      </c>
      <c r="BH2022" s="66"/>
      <c r="CB2022" s="72" t="str">
        <f aca="false">IF(AC2022&lt;&gt;"",VLOOKUP(AC2022,Selects!$B:$E,4,0),"")</f>
        <v/>
      </c>
    </row>
    <row r="2023" customFormat="false" ht="15" hidden="true" customHeight="false" outlineLevel="0" collapsed="false">
      <c r="E2023" s="60" t="str">
        <f aca="false">IF(LEN(D2023)=11,"PF",IF(LEN(D2023)=14,"PJ",""))</f>
        <v/>
      </c>
      <c r="I2023" s="62"/>
      <c r="AM2023" s="68" t="str">
        <f aca="false">IF(LEFT(AL2023,1)="9","Celular",IF(AL2023="","","Fixo"))</f>
        <v/>
      </c>
      <c r="AN2023" s="58" t="str">
        <f aca="false">IF( AM2023&lt;&gt;"",VLOOKUP(AM2023,Selects!$M$4:$N$1000,2,0),"")</f>
        <v/>
      </c>
      <c r="BB2023" s="72" t="str">
        <f aca="false">IF(BA2023&lt;&gt;"",VLOOKUP(BA2023,Selects!$B$4:$C$100,2,0),"")</f>
        <v/>
      </c>
      <c r="BG2023" s="75" t="str">
        <f aca="false">IF(LEN(BF2023)=11,"PF",IF(LEN(BF2023)=14,"PJ",""))</f>
        <v/>
      </c>
      <c r="BH2023" s="66"/>
      <c r="CB2023" s="72" t="str">
        <f aca="false">IF(AC2023&lt;&gt;"",VLOOKUP(AC2023,Selects!$B:$E,4,0),"")</f>
        <v/>
      </c>
    </row>
    <row r="2024" customFormat="false" ht="15" hidden="true" customHeight="false" outlineLevel="0" collapsed="false">
      <c r="E2024" s="60" t="str">
        <f aca="false">IF(LEN(D2024)=11,"PF",IF(LEN(D2024)=14,"PJ",""))</f>
        <v/>
      </c>
      <c r="I2024" s="62"/>
      <c r="AM2024" s="68" t="str">
        <f aca="false">IF(LEFT(AL2024,1)="9","Celular",IF(AL2024="","","Fixo"))</f>
        <v/>
      </c>
      <c r="AN2024" s="58" t="str">
        <f aca="false">IF( AM2024&lt;&gt;"",VLOOKUP(AM2024,Selects!$M$4:$N$1000,2,0),"")</f>
        <v/>
      </c>
      <c r="BB2024" s="72" t="str">
        <f aca="false">IF(BA2024&lt;&gt;"",VLOOKUP(BA2024,Selects!$B$4:$C$100,2,0),"")</f>
        <v/>
      </c>
      <c r="BG2024" s="75" t="str">
        <f aca="false">IF(LEN(BF2024)=11,"PF",IF(LEN(BF2024)=14,"PJ",""))</f>
        <v/>
      </c>
      <c r="BH2024" s="66"/>
      <c r="CB2024" s="72" t="str">
        <f aca="false">IF(AC2024&lt;&gt;"",VLOOKUP(AC2024,Selects!$B:$E,4,0),"")</f>
        <v/>
      </c>
    </row>
    <row r="2025" customFormat="false" ht="15" hidden="true" customHeight="false" outlineLevel="0" collapsed="false">
      <c r="E2025" s="60" t="str">
        <f aca="false">IF(LEN(D2025)=11,"PF",IF(LEN(D2025)=14,"PJ",""))</f>
        <v/>
      </c>
      <c r="I2025" s="62"/>
      <c r="AM2025" s="68" t="str">
        <f aca="false">IF(LEFT(AL2025,1)="9","Celular",IF(AL2025="","","Fixo"))</f>
        <v/>
      </c>
      <c r="AN2025" s="58" t="str">
        <f aca="false">IF( AM2025&lt;&gt;"",VLOOKUP(AM2025,Selects!$M$4:$N$1000,2,0),"")</f>
        <v/>
      </c>
      <c r="BB2025" s="72" t="str">
        <f aca="false">IF(BA2025&lt;&gt;"",VLOOKUP(BA2025,Selects!$B$4:$C$100,2,0),"")</f>
        <v/>
      </c>
      <c r="BG2025" s="75" t="str">
        <f aca="false">IF(LEN(BF2025)=11,"PF",IF(LEN(BF2025)=14,"PJ",""))</f>
        <v/>
      </c>
      <c r="BH2025" s="66"/>
      <c r="CB2025" s="72" t="str">
        <f aca="false">IF(AC2025&lt;&gt;"",VLOOKUP(AC2025,Selects!$B:$E,4,0),"")</f>
        <v/>
      </c>
    </row>
    <row r="2026" customFormat="false" ht="15" hidden="true" customHeight="false" outlineLevel="0" collapsed="false">
      <c r="E2026" s="60" t="str">
        <f aca="false">IF(LEN(D2026)=11,"PF",IF(LEN(D2026)=14,"PJ",""))</f>
        <v/>
      </c>
      <c r="I2026" s="62"/>
      <c r="AM2026" s="68" t="str">
        <f aca="false">IF(LEFT(AL2026,1)="9","Celular",IF(AL2026="","","Fixo"))</f>
        <v/>
      </c>
      <c r="AN2026" s="58" t="str">
        <f aca="false">IF( AM2026&lt;&gt;"",VLOOKUP(AM2026,Selects!$M$4:$N$1000,2,0),"")</f>
        <v/>
      </c>
      <c r="BB2026" s="72" t="str">
        <f aca="false">IF(BA2026&lt;&gt;"",VLOOKUP(BA2026,Selects!$B$4:$C$100,2,0),"")</f>
        <v/>
      </c>
      <c r="BG2026" s="75" t="str">
        <f aca="false">IF(LEN(BF2026)=11,"PF",IF(LEN(BF2026)=14,"PJ",""))</f>
        <v/>
      </c>
      <c r="BH2026" s="66"/>
      <c r="CB2026" s="72" t="str">
        <f aca="false">IF(AC2026&lt;&gt;"",VLOOKUP(AC2026,Selects!$B:$E,4,0),"")</f>
        <v/>
      </c>
    </row>
    <row r="2027" customFormat="false" ht="15" hidden="true" customHeight="false" outlineLevel="0" collapsed="false">
      <c r="E2027" s="60" t="str">
        <f aca="false">IF(LEN(D2027)=11,"PF",IF(LEN(D2027)=14,"PJ",""))</f>
        <v/>
      </c>
      <c r="I2027" s="62"/>
      <c r="AM2027" s="68" t="str">
        <f aca="false">IF(LEFT(AL2027,1)="9","Celular",IF(AL2027="","","Fixo"))</f>
        <v/>
      </c>
      <c r="AN2027" s="58" t="str">
        <f aca="false">IF( AM2027&lt;&gt;"",VLOOKUP(AM2027,Selects!$M$4:$N$1000,2,0),"")</f>
        <v/>
      </c>
      <c r="BB2027" s="72" t="str">
        <f aca="false">IF(BA2027&lt;&gt;"",VLOOKUP(BA2027,Selects!$B$4:$C$100,2,0),"")</f>
        <v/>
      </c>
      <c r="BG2027" s="75" t="str">
        <f aca="false">IF(LEN(BF2027)=11,"PF",IF(LEN(BF2027)=14,"PJ",""))</f>
        <v/>
      </c>
      <c r="BH2027" s="66"/>
      <c r="CB2027" s="72" t="str">
        <f aca="false">IF(AC2027&lt;&gt;"",VLOOKUP(AC2027,Selects!$B:$E,4,0),"")</f>
        <v/>
      </c>
    </row>
    <row r="2028" customFormat="false" ht="15" hidden="true" customHeight="false" outlineLevel="0" collapsed="false">
      <c r="E2028" s="60" t="str">
        <f aca="false">IF(LEN(D2028)=11,"PF",IF(LEN(D2028)=14,"PJ",""))</f>
        <v/>
      </c>
      <c r="I2028" s="62"/>
      <c r="AM2028" s="68" t="str">
        <f aca="false">IF(LEFT(AL2028,1)="9","Celular",IF(AL2028="","","Fixo"))</f>
        <v/>
      </c>
      <c r="AN2028" s="58" t="str">
        <f aca="false">IF( AM2028&lt;&gt;"",VLOOKUP(AM2028,Selects!$M$4:$N$1000,2,0),"")</f>
        <v/>
      </c>
      <c r="BB2028" s="72" t="str">
        <f aca="false">IF(BA2028&lt;&gt;"",VLOOKUP(BA2028,Selects!$B$4:$C$100,2,0),"")</f>
        <v/>
      </c>
      <c r="BG2028" s="75" t="str">
        <f aca="false">IF(LEN(BF2028)=11,"PF",IF(LEN(BF2028)=14,"PJ",""))</f>
        <v/>
      </c>
      <c r="BH2028" s="66"/>
      <c r="CB2028" s="72" t="str">
        <f aca="false">IF(AC2028&lt;&gt;"",VLOOKUP(AC2028,Selects!$B:$E,4,0),"")</f>
        <v/>
      </c>
    </row>
    <row r="2029" customFormat="false" ht="15" hidden="true" customHeight="false" outlineLevel="0" collapsed="false">
      <c r="E2029" s="60" t="str">
        <f aca="false">IF(LEN(D2029)=11,"PF",IF(LEN(D2029)=14,"PJ",""))</f>
        <v/>
      </c>
      <c r="I2029" s="62"/>
      <c r="AM2029" s="68" t="str">
        <f aca="false">IF(LEFT(AL2029,1)="9","Celular",IF(AL2029="","","Fixo"))</f>
        <v/>
      </c>
      <c r="AN2029" s="58" t="str">
        <f aca="false">IF( AM2029&lt;&gt;"",VLOOKUP(AM2029,Selects!$M$4:$N$1000,2,0),"")</f>
        <v/>
      </c>
      <c r="BB2029" s="72" t="str">
        <f aca="false">IF(BA2029&lt;&gt;"",VLOOKUP(BA2029,Selects!$B$4:$C$100,2,0),"")</f>
        <v/>
      </c>
      <c r="BG2029" s="75" t="str">
        <f aca="false">IF(LEN(BF2029)=11,"PF",IF(LEN(BF2029)=14,"PJ",""))</f>
        <v/>
      </c>
      <c r="BH2029" s="66"/>
      <c r="CB2029" s="72" t="str">
        <f aca="false">IF(AC2029&lt;&gt;"",VLOOKUP(AC2029,Selects!$B:$E,4,0),"")</f>
        <v/>
      </c>
    </row>
    <row r="2030" customFormat="false" ht="15" hidden="true" customHeight="false" outlineLevel="0" collapsed="false">
      <c r="E2030" s="60" t="str">
        <f aca="false">IF(LEN(D2030)=11,"PF",IF(LEN(D2030)=14,"PJ",""))</f>
        <v/>
      </c>
      <c r="I2030" s="62"/>
      <c r="AM2030" s="68" t="str">
        <f aca="false">IF(LEFT(AL2030,1)="9","Celular",IF(AL2030="","","Fixo"))</f>
        <v/>
      </c>
      <c r="AN2030" s="58" t="str">
        <f aca="false">IF( AM2030&lt;&gt;"",VLOOKUP(AM2030,Selects!$M$4:$N$1000,2,0),"")</f>
        <v/>
      </c>
      <c r="BB2030" s="72" t="str">
        <f aca="false">IF(BA2030&lt;&gt;"",VLOOKUP(BA2030,Selects!$B$4:$C$100,2,0),"")</f>
        <v/>
      </c>
      <c r="BG2030" s="75" t="str">
        <f aca="false">IF(LEN(BF2030)=11,"PF",IF(LEN(BF2030)=14,"PJ",""))</f>
        <v/>
      </c>
      <c r="BH2030" s="66"/>
      <c r="CB2030" s="72" t="str">
        <f aca="false">IF(AC2030&lt;&gt;"",VLOOKUP(AC2030,Selects!$B:$E,4,0),"")</f>
        <v/>
      </c>
    </row>
    <row r="2031" customFormat="false" ht="15" hidden="true" customHeight="false" outlineLevel="0" collapsed="false">
      <c r="E2031" s="60" t="str">
        <f aca="false">IF(LEN(D2031)=11,"PF",IF(LEN(D2031)=14,"PJ",""))</f>
        <v/>
      </c>
      <c r="I2031" s="62"/>
      <c r="AM2031" s="68" t="str">
        <f aca="false">IF(LEFT(AL2031,1)="9","Celular",IF(AL2031="","","Fixo"))</f>
        <v/>
      </c>
      <c r="AN2031" s="58" t="str">
        <f aca="false">IF( AM2031&lt;&gt;"",VLOOKUP(AM2031,Selects!$M$4:$N$1000,2,0),"")</f>
        <v/>
      </c>
      <c r="BB2031" s="72" t="str">
        <f aca="false">IF(BA2031&lt;&gt;"",VLOOKUP(BA2031,Selects!$B$4:$C$100,2,0),"")</f>
        <v/>
      </c>
      <c r="BG2031" s="75" t="str">
        <f aca="false">IF(LEN(BF2031)=11,"PF",IF(LEN(BF2031)=14,"PJ",""))</f>
        <v/>
      </c>
      <c r="BH2031" s="66"/>
      <c r="CB2031" s="72" t="str">
        <f aca="false">IF(AC2031&lt;&gt;"",VLOOKUP(AC2031,Selects!$B:$E,4,0),"")</f>
        <v/>
      </c>
    </row>
    <row r="2032" customFormat="false" ht="15" hidden="true" customHeight="false" outlineLevel="0" collapsed="false">
      <c r="E2032" s="60" t="str">
        <f aca="false">IF(LEN(D2032)=11,"PF",IF(LEN(D2032)=14,"PJ",""))</f>
        <v/>
      </c>
      <c r="I2032" s="62"/>
      <c r="AM2032" s="68" t="str">
        <f aca="false">IF(LEFT(AL2032,1)="9","Celular",IF(AL2032="","","Fixo"))</f>
        <v/>
      </c>
      <c r="AN2032" s="58" t="str">
        <f aca="false">IF( AM2032&lt;&gt;"",VLOOKUP(AM2032,Selects!$M$4:$N$1000,2,0),"")</f>
        <v/>
      </c>
      <c r="BB2032" s="72" t="str">
        <f aca="false">IF(BA2032&lt;&gt;"",VLOOKUP(BA2032,Selects!$B$4:$C$100,2,0),"")</f>
        <v/>
      </c>
      <c r="BG2032" s="75" t="str">
        <f aca="false">IF(LEN(BF2032)=11,"PF",IF(LEN(BF2032)=14,"PJ",""))</f>
        <v/>
      </c>
      <c r="BH2032" s="66"/>
      <c r="CB2032" s="72" t="str">
        <f aca="false">IF(AC2032&lt;&gt;"",VLOOKUP(AC2032,Selects!$B:$E,4,0),"")</f>
        <v/>
      </c>
    </row>
    <row r="2033" customFormat="false" ht="15" hidden="true" customHeight="false" outlineLevel="0" collapsed="false">
      <c r="E2033" s="60" t="str">
        <f aca="false">IF(LEN(D2033)=11,"PF",IF(LEN(D2033)=14,"PJ",""))</f>
        <v/>
      </c>
      <c r="I2033" s="62"/>
      <c r="AM2033" s="68" t="str">
        <f aca="false">IF(LEFT(AL2033,1)="9","Celular",IF(AL2033="","","Fixo"))</f>
        <v/>
      </c>
      <c r="AN2033" s="58" t="str">
        <f aca="false">IF( AM2033&lt;&gt;"",VLOOKUP(AM2033,Selects!$M$4:$N$1000,2,0),"")</f>
        <v/>
      </c>
      <c r="BB2033" s="72" t="str">
        <f aca="false">IF(BA2033&lt;&gt;"",VLOOKUP(BA2033,Selects!$B$4:$C$100,2,0),"")</f>
        <v/>
      </c>
      <c r="BG2033" s="75" t="str">
        <f aca="false">IF(LEN(BF2033)=11,"PF",IF(LEN(BF2033)=14,"PJ",""))</f>
        <v/>
      </c>
      <c r="BH2033" s="66"/>
      <c r="CB2033" s="72" t="str">
        <f aca="false">IF(AC2033&lt;&gt;"",VLOOKUP(AC2033,Selects!$B:$E,4,0),"")</f>
        <v/>
      </c>
    </row>
    <row r="2034" customFormat="false" ht="15" hidden="true" customHeight="false" outlineLevel="0" collapsed="false">
      <c r="E2034" s="60" t="str">
        <f aca="false">IF(LEN(D2034)=11,"PF",IF(LEN(D2034)=14,"PJ",""))</f>
        <v/>
      </c>
      <c r="I2034" s="62"/>
      <c r="AM2034" s="68" t="str">
        <f aca="false">IF(LEFT(AL2034,1)="9","Celular",IF(AL2034="","","Fixo"))</f>
        <v/>
      </c>
      <c r="AN2034" s="58" t="str">
        <f aca="false">IF( AM2034&lt;&gt;"",VLOOKUP(AM2034,Selects!$M$4:$N$1000,2,0),"")</f>
        <v/>
      </c>
      <c r="BB2034" s="72" t="str">
        <f aca="false">IF(BA2034&lt;&gt;"",VLOOKUP(BA2034,Selects!$B$4:$C$100,2,0),"")</f>
        <v/>
      </c>
      <c r="BG2034" s="75" t="str">
        <f aca="false">IF(LEN(BF2034)=11,"PF",IF(LEN(BF2034)=14,"PJ",""))</f>
        <v/>
      </c>
      <c r="BH2034" s="66"/>
      <c r="CB2034" s="72" t="str">
        <f aca="false">IF(AC2034&lt;&gt;"",VLOOKUP(AC2034,Selects!$B:$E,4,0),"")</f>
        <v/>
      </c>
    </row>
    <row r="2035" customFormat="false" ht="15" hidden="true" customHeight="false" outlineLevel="0" collapsed="false">
      <c r="E2035" s="60" t="str">
        <f aca="false">IF(LEN(D2035)=11,"PF",IF(LEN(D2035)=14,"PJ",""))</f>
        <v/>
      </c>
      <c r="I2035" s="62"/>
      <c r="AM2035" s="68" t="str">
        <f aca="false">IF(LEFT(AL2035,1)="9","Celular",IF(AL2035="","","Fixo"))</f>
        <v/>
      </c>
      <c r="AN2035" s="58" t="str">
        <f aca="false">IF( AM2035&lt;&gt;"",VLOOKUP(AM2035,Selects!$M$4:$N$1000,2,0),"")</f>
        <v/>
      </c>
      <c r="BB2035" s="72" t="str">
        <f aca="false">IF(BA2035&lt;&gt;"",VLOOKUP(BA2035,Selects!$B$4:$C$100,2,0),"")</f>
        <v/>
      </c>
      <c r="BG2035" s="75" t="str">
        <f aca="false">IF(LEN(BF2035)=11,"PF",IF(LEN(BF2035)=14,"PJ",""))</f>
        <v/>
      </c>
      <c r="BH2035" s="66"/>
      <c r="CB2035" s="72" t="str">
        <f aca="false">IF(AC2035&lt;&gt;"",VLOOKUP(AC2035,Selects!$B:$E,4,0),"")</f>
        <v/>
      </c>
    </row>
    <row r="2036" customFormat="false" ht="15" hidden="true" customHeight="false" outlineLevel="0" collapsed="false">
      <c r="E2036" s="60" t="str">
        <f aca="false">IF(LEN(D2036)=11,"PF",IF(LEN(D2036)=14,"PJ",""))</f>
        <v/>
      </c>
      <c r="I2036" s="62"/>
      <c r="AM2036" s="68" t="str">
        <f aca="false">IF(LEFT(AL2036,1)="9","Celular",IF(AL2036="","","Fixo"))</f>
        <v/>
      </c>
      <c r="AN2036" s="58" t="str">
        <f aca="false">IF( AM2036&lt;&gt;"",VLOOKUP(AM2036,Selects!$M$4:$N$1000,2,0),"")</f>
        <v/>
      </c>
      <c r="BB2036" s="72" t="str">
        <f aca="false">IF(BA2036&lt;&gt;"",VLOOKUP(BA2036,Selects!$B$4:$C$100,2,0),"")</f>
        <v/>
      </c>
      <c r="BG2036" s="75" t="str">
        <f aca="false">IF(LEN(BF2036)=11,"PF",IF(LEN(BF2036)=14,"PJ",""))</f>
        <v/>
      </c>
      <c r="BH2036" s="66"/>
      <c r="CB2036" s="72" t="str">
        <f aca="false">IF(AC2036&lt;&gt;"",VLOOKUP(AC2036,Selects!$B:$E,4,0),"")</f>
        <v/>
      </c>
    </row>
    <row r="2037" customFormat="false" ht="15" hidden="true" customHeight="false" outlineLevel="0" collapsed="false">
      <c r="E2037" s="60" t="str">
        <f aca="false">IF(LEN(D2037)=11,"PF",IF(LEN(D2037)=14,"PJ",""))</f>
        <v/>
      </c>
      <c r="I2037" s="62"/>
      <c r="AM2037" s="68" t="str">
        <f aca="false">IF(LEFT(AL2037,1)="9","Celular",IF(AL2037="","","Fixo"))</f>
        <v/>
      </c>
      <c r="AN2037" s="58" t="str">
        <f aca="false">IF( AM2037&lt;&gt;"",VLOOKUP(AM2037,Selects!$M$4:$N$1000,2,0),"")</f>
        <v/>
      </c>
      <c r="BB2037" s="72" t="str">
        <f aca="false">IF(BA2037&lt;&gt;"",VLOOKUP(BA2037,Selects!$B$4:$C$100,2,0),"")</f>
        <v/>
      </c>
      <c r="BG2037" s="75" t="str">
        <f aca="false">IF(LEN(BF2037)=11,"PF",IF(LEN(BF2037)=14,"PJ",""))</f>
        <v/>
      </c>
      <c r="BH2037" s="66"/>
      <c r="CB2037" s="72" t="str">
        <f aca="false">IF(AC2037&lt;&gt;"",VLOOKUP(AC2037,Selects!$B:$E,4,0),"")</f>
        <v/>
      </c>
    </row>
    <row r="2038" customFormat="false" ht="15" hidden="true" customHeight="false" outlineLevel="0" collapsed="false">
      <c r="E2038" s="60" t="str">
        <f aca="false">IF(LEN(D2038)=11,"PF",IF(LEN(D2038)=14,"PJ",""))</f>
        <v/>
      </c>
      <c r="I2038" s="62"/>
      <c r="AM2038" s="68" t="str">
        <f aca="false">IF(LEFT(AL2038,1)="9","Celular",IF(AL2038="","","Fixo"))</f>
        <v/>
      </c>
      <c r="AN2038" s="58" t="str">
        <f aca="false">IF( AM2038&lt;&gt;"",VLOOKUP(AM2038,Selects!$M$4:$N$1000,2,0),"")</f>
        <v/>
      </c>
      <c r="BB2038" s="72" t="str">
        <f aca="false">IF(BA2038&lt;&gt;"",VLOOKUP(BA2038,Selects!$B$4:$C$100,2,0),"")</f>
        <v/>
      </c>
      <c r="BG2038" s="75" t="str">
        <f aca="false">IF(LEN(BF2038)=11,"PF",IF(LEN(BF2038)=14,"PJ",""))</f>
        <v/>
      </c>
      <c r="BH2038" s="66"/>
      <c r="CB2038" s="72" t="str">
        <f aca="false">IF(AC2038&lt;&gt;"",VLOOKUP(AC2038,Selects!$B:$E,4,0),"")</f>
        <v/>
      </c>
    </row>
    <row r="2039" customFormat="false" ht="15" hidden="true" customHeight="false" outlineLevel="0" collapsed="false">
      <c r="E2039" s="60" t="str">
        <f aca="false">IF(LEN(D2039)=11,"PF",IF(LEN(D2039)=14,"PJ",""))</f>
        <v/>
      </c>
      <c r="I2039" s="62"/>
      <c r="AM2039" s="68" t="str">
        <f aca="false">IF(LEFT(AL2039,1)="9","Celular",IF(AL2039="","","Fixo"))</f>
        <v/>
      </c>
      <c r="AN2039" s="58" t="str">
        <f aca="false">IF( AM2039&lt;&gt;"",VLOOKUP(AM2039,Selects!$M$4:$N$1000,2,0),"")</f>
        <v/>
      </c>
      <c r="BB2039" s="72" t="str">
        <f aca="false">IF(BA2039&lt;&gt;"",VLOOKUP(BA2039,Selects!$B$4:$C$100,2,0),"")</f>
        <v/>
      </c>
      <c r="BG2039" s="75" t="str">
        <f aca="false">IF(LEN(BF2039)=11,"PF",IF(LEN(BF2039)=14,"PJ",""))</f>
        <v/>
      </c>
      <c r="BH2039" s="66"/>
      <c r="CB2039" s="72" t="str">
        <f aca="false">IF(AC2039&lt;&gt;"",VLOOKUP(AC2039,Selects!$B:$E,4,0),"")</f>
        <v/>
      </c>
    </row>
    <row r="2040" customFormat="false" ht="15" hidden="true" customHeight="false" outlineLevel="0" collapsed="false">
      <c r="E2040" s="60" t="str">
        <f aca="false">IF(LEN(D2040)=11,"PF",IF(LEN(D2040)=14,"PJ",""))</f>
        <v/>
      </c>
      <c r="I2040" s="62"/>
      <c r="AM2040" s="68" t="str">
        <f aca="false">IF(LEFT(AL2040,1)="9","Celular",IF(AL2040="","","Fixo"))</f>
        <v/>
      </c>
      <c r="AN2040" s="58" t="str">
        <f aca="false">IF( AM2040&lt;&gt;"",VLOOKUP(AM2040,Selects!$M$4:$N$1000,2,0),"")</f>
        <v/>
      </c>
      <c r="BB2040" s="72" t="str">
        <f aca="false">IF(BA2040&lt;&gt;"",VLOOKUP(BA2040,Selects!$B$4:$C$100,2,0),"")</f>
        <v/>
      </c>
      <c r="BG2040" s="75" t="str">
        <f aca="false">IF(LEN(BF2040)=11,"PF",IF(LEN(BF2040)=14,"PJ",""))</f>
        <v/>
      </c>
      <c r="BH2040" s="66"/>
      <c r="CB2040" s="72" t="str">
        <f aca="false">IF(AC2040&lt;&gt;"",VLOOKUP(AC2040,Selects!$B:$E,4,0),"")</f>
        <v/>
      </c>
    </row>
    <row r="2041" customFormat="false" ht="15" hidden="true" customHeight="false" outlineLevel="0" collapsed="false">
      <c r="E2041" s="60" t="str">
        <f aca="false">IF(LEN(D2041)=11,"PF",IF(LEN(D2041)=14,"PJ",""))</f>
        <v/>
      </c>
      <c r="I2041" s="62"/>
      <c r="AM2041" s="68" t="str">
        <f aca="false">IF(LEFT(AL2041,1)="9","Celular",IF(AL2041="","","Fixo"))</f>
        <v/>
      </c>
      <c r="AN2041" s="58" t="str">
        <f aca="false">IF( AM2041&lt;&gt;"",VLOOKUP(AM2041,Selects!$M$4:$N$1000,2,0),"")</f>
        <v/>
      </c>
      <c r="BB2041" s="72" t="str">
        <f aca="false">IF(BA2041&lt;&gt;"",VLOOKUP(BA2041,Selects!$B$4:$C$100,2,0),"")</f>
        <v/>
      </c>
      <c r="BG2041" s="75" t="str">
        <f aca="false">IF(LEN(BF2041)=11,"PF",IF(LEN(BF2041)=14,"PJ",""))</f>
        <v/>
      </c>
      <c r="BH2041" s="66"/>
      <c r="CB2041" s="72" t="str">
        <f aca="false">IF(AC2041&lt;&gt;"",VLOOKUP(AC2041,Selects!$B:$E,4,0),"")</f>
        <v/>
      </c>
    </row>
    <row r="2042" customFormat="false" ht="15" hidden="true" customHeight="false" outlineLevel="0" collapsed="false">
      <c r="E2042" s="60" t="str">
        <f aca="false">IF(LEN(D2042)=11,"PF",IF(LEN(D2042)=14,"PJ",""))</f>
        <v/>
      </c>
      <c r="I2042" s="62"/>
      <c r="AM2042" s="68" t="str">
        <f aca="false">IF(LEFT(AL2042,1)="9","Celular",IF(AL2042="","","Fixo"))</f>
        <v/>
      </c>
      <c r="AN2042" s="58" t="str">
        <f aca="false">IF( AM2042&lt;&gt;"",VLOOKUP(AM2042,Selects!$M$4:$N$1000,2,0),"")</f>
        <v/>
      </c>
      <c r="BB2042" s="72" t="str">
        <f aca="false">IF(BA2042&lt;&gt;"",VLOOKUP(BA2042,Selects!$B$4:$C$100,2,0),"")</f>
        <v/>
      </c>
      <c r="BG2042" s="75" t="str">
        <f aca="false">IF(LEN(BF2042)=11,"PF",IF(LEN(BF2042)=14,"PJ",""))</f>
        <v/>
      </c>
      <c r="BH2042" s="66"/>
      <c r="CB2042" s="72" t="str">
        <f aca="false">IF(AC2042&lt;&gt;"",VLOOKUP(AC2042,Selects!$B:$E,4,0),"")</f>
        <v/>
      </c>
    </row>
    <row r="2043" customFormat="false" ht="15" hidden="true" customHeight="false" outlineLevel="0" collapsed="false">
      <c r="E2043" s="60" t="str">
        <f aca="false">IF(LEN(D2043)=11,"PF",IF(LEN(D2043)=14,"PJ",""))</f>
        <v/>
      </c>
      <c r="I2043" s="62"/>
      <c r="AM2043" s="68" t="str">
        <f aca="false">IF(LEFT(AL2043,1)="9","Celular",IF(AL2043="","","Fixo"))</f>
        <v/>
      </c>
      <c r="AN2043" s="58" t="str">
        <f aca="false">IF( AM2043&lt;&gt;"",VLOOKUP(AM2043,Selects!$M$4:$N$1000,2,0),"")</f>
        <v/>
      </c>
      <c r="BB2043" s="72" t="str">
        <f aca="false">IF(BA2043&lt;&gt;"",VLOOKUP(BA2043,Selects!$B$4:$C$100,2,0),"")</f>
        <v/>
      </c>
      <c r="BG2043" s="75" t="str">
        <f aca="false">IF(LEN(BF2043)=11,"PF",IF(LEN(BF2043)=14,"PJ",""))</f>
        <v/>
      </c>
      <c r="BH2043" s="66"/>
      <c r="CB2043" s="72" t="str">
        <f aca="false">IF(AC2043&lt;&gt;"",VLOOKUP(AC2043,Selects!$B:$E,4,0),"")</f>
        <v/>
      </c>
    </row>
    <row r="2044" customFormat="false" ht="15" hidden="true" customHeight="false" outlineLevel="0" collapsed="false">
      <c r="E2044" s="60" t="str">
        <f aca="false">IF(LEN(D2044)=11,"PF",IF(LEN(D2044)=14,"PJ",""))</f>
        <v/>
      </c>
      <c r="I2044" s="62"/>
      <c r="AM2044" s="68" t="str">
        <f aca="false">IF(LEFT(AL2044,1)="9","Celular",IF(AL2044="","","Fixo"))</f>
        <v/>
      </c>
      <c r="AN2044" s="58" t="str">
        <f aca="false">IF( AM2044&lt;&gt;"",VLOOKUP(AM2044,Selects!$M$4:$N$1000,2,0),"")</f>
        <v/>
      </c>
      <c r="BB2044" s="72" t="str">
        <f aca="false">IF(BA2044&lt;&gt;"",VLOOKUP(BA2044,Selects!$B$4:$C$100,2,0),"")</f>
        <v/>
      </c>
      <c r="BG2044" s="75" t="str">
        <f aca="false">IF(LEN(BF2044)=11,"PF",IF(LEN(BF2044)=14,"PJ",""))</f>
        <v/>
      </c>
      <c r="BH2044" s="66"/>
      <c r="CB2044" s="72" t="str">
        <f aca="false">IF(AC2044&lt;&gt;"",VLOOKUP(AC2044,Selects!$B:$E,4,0),"")</f>
        <v/>
      </c>
    </row>
    <row r="2045" customFormat="false" ht="15" hidden="true" customHeight="false" outlineLevel="0" collapsed="false">
      <c r="E2045" s="60" t="str">
        <f aca="false">IF(LEN(D2045)=11,"PF",IF(LEN(D2045)=14,"PJ",""))</f>
        <v/>
      </c>
      <c r="I2045" s="62"/>
      <c r="AM2045" s="68" t="str">
        <f aca="false">IF(LEFT(AL2045,1)="9","Celular",IF(AL2045="","","Fixo"))</f>
        <v/>
      </c>
      <c r="AN2045" s="58" t="str">
        <f aca="false">IF( AM2045&lt;&gt;"",VLOOKUP(AM2045,Selects!$M$4:$N$1000,2,0),"")</f>
        <v/>
      </c>
      <c r="BB2045" s="72" t="str">
        <f aca="false">IF(BA2045&lt;&gt;"",VLOOKUP(BA2045,Selects!$B$4:$C$100,2,0),"")</f>
        <v/>
      </c>
      <c r="BG2045" s="75" t="str">
        <f aca="false">IF(LEN(BF2045)=11,"PF",IF(LEN(BF2045)=14,"PJ",""))</f>
        <v/>
      </c>
      <c r="BH2045" s="66"/>
      <c r="CB2045" s="72" t="str">
        <f aca="false">IF(AC2045&lt;&gt;"",VLOOKUP(AC2045,Selects!$B:$E,4,0),"")</f>
        <v/>
      </c>
    </row>
    <row r="2046" customFormat="false" ht="15" hidden="true" customHeight="false" outlineLevel="0" collapsed="false">
      <c r="E2046" s="60" t="str">
        <f aca="false">IF(LEN(D2046)=11,"PF",IF(LEN(D2046)=14,"PJ",""))</f>
        <v/>
      </c>
      <c r="I2046" s="62"/>
      <c r="AM2046" s="68" t="str">
        <f aca="false">IF(LEFT(AL2046,1)="9","Celular",IF(AL2046="","","Fixo"))</f>
        <v/>
      </c>
      <c r="AN2046" s="58" t="str">
        <f aca="false">IF( AM2046&lt;&gt;"",VLOOKUP(AM2046,Selects!$M$4:$N$1000,2,0),"")</f>
        <v/>
      </c>
      <c r="BB2046" s="72" t="str">
        <f aca="false">IF(BA2046&lt;&gt;"",VLOOKUP(BA2046,Selects!$B$4:$C$100,2,0),"")</f>
        <v/>
      </c>
      <c r="BG2046" s="75" t="str">
        <f aca="false">IF(LEN(BF2046)=11,"PF",IF(LEN(BF2046)=14,"PJ",""))</f>
        <v/>
      </c>
      <c r="BH2046" s="66"/>
      <c r="CB2046" s="72" t="str">
        <f aca="false">IF(AC2046&lt;&gt;"",VLOOKUP(AC2046,Selects!$B:$E,4,0),"")</f>
        <v/>
      </c>
    </row>
    <row r="2047" customFormat="false" ht="15" hidden="true" customHeight="false" outlineLevel="0" collapsed="false">
      <c r="E2047" s="60" t="str">
        <f aca="false">IF(LEN(D2047)=11,"PF",IF(LEN(D2047)=14,"PJ",""))</f>
        <v/>
      </c>
      <c r="I2047" s="62"/>
      <c r="AM2047" s="68" t="str">
        <f aca="false">IF(LEFT(AL2047,1)="9","Celular",IF(AL2047="","","Fixo"))</f>
        <v/>
      </c>
      <c r="AN2047" s="58" t="str">
        <f aca="false">IF( AM2047&lt;&gt;"",VLOOKUP(AM2047,Selects!$M$4:$N$1000,2,0),"")</f>
        <v/>
      </c>
      <c r="BB2047" s="72" t="str">
        <f aca="false">IF(BA2047&lt;&gt;"",VLOOKUP(BA2047,Selects!$B$4:$C$100,2,0),"")</f>
        <v/>
      </c>
      <c r="BG2047" s="75" t="str">
        <f aca="false">IF(LEN(BF2047)=11,"PF",IF(LEN(BF2047)=14,"PJ",""))</f>
        <v/>
      </c>
      <c r="BH2047" s="66"/>
      <c r="CB2047" s="72" t="str">
        <f aca="false">IF(AC2047&lt;&gt;"",VLOOKUP(AC2047,Selects!$B:$E,4,0),"")</f>
        <v/>
      </c>
    </row>
    <row r="2048" customFormat="false" ht="15" hidden="true" customHeight="false" outlineLevel="0" collapsed="false">
      <c r="E2048" s="60" t="str">
        <f aca="false">IF(LEN(D2048)=11,"PF",IF(LEN(D2048)=14,"PJ",""))</f>
        <v/>
      </c>
      <c r="I2048" s="62"/>
      <c r="AM2048" s="68" t="str">
        <f aca="false">IF(LEFT(AL2048,1)="9","Celular",IF(AL2048="","","Fixo"))</f>
        <v/>
      </c>
      <c r="AN2048" s="58" t="str">
        <f aca="false">IF( AM2048&lt;&gt;"",VLOOKUP(AM2048,Selects!$M$4:$N$1000,2,0),"")</f>
        <v/>
      </c>
      <c r="BB2048" s="72" t="str">
        <f aca="false">IF(BA2048&lt;&gt;"",VLOOKUP(BA2048,Selects!$B$4:$C$100,2,0),"")</f>
        <v/>
      </c>
      <c r="BG2048" s="75" t="str">
        <f aca="false">IF(LEN(BF2048)=11,"PF",IF(LEN(BF2048)=14,"PJ",""))</f>
        <v/>
      </c>
      <c r="BH2048" s="66"/>
      <c r="CB2048" s="72" t="str">
        <f aca="false">IF(AC2048&lt;&gt;"",VLOOKUP(AC2048,Selects!$B:$E,4,0),"")</f>
        <v/>
      </c>
    </row>
    <row r="2049" customFormat="false" ht="15" hidden="true" customHeight="false" outlineLevel="0" collapsed="false">
      <c r="E2049" s="60" t="str">
        <f aca="false">IF(LEN(D2049)=11,"PF",IF(LEN(D2049)=14,"PJ",""))</f>
        <v/>
      </c>
      <c r="I2049" s="62"/>
      <c r="AM2049" s="68" t="str">
        <f aca="false">IF(LEFT(AL2049,1)="9","Celular",IF(AL2049="","","Fixo"))</f>
        <v/>
      </c>
      <c r="AN2049" s="58" t="str">
        <f aca="false">IF( AM2049&lt;&gt;"",VLOOKUP(AM2049,Selects!$M$4:$N$1000,2,0),"")</f>
        <v/>
      </c>
      <c r="BB2049" s="72" t="str">
        <f aca="false">IF(BA2049&lt;&gt;"",VLOOKUP(BA2049,Selects!$B$4:$C$100,2,0),"")</f>
        <v/>
      </c>
      <c r="BG2049" s="75" t="str">
        <f aca="false">IF(LEN(BF2049)=11,"PF",IF(LEN(BF2049)=14,"PJ",""))</f>
        <v/>
      </c>
      <c r="BH2049" s="66"/>
      <c r="CB2049" s="72" t="str">
        <f aca="false">IF(AC2049&lt;&gt;"",VLOOKUP(AC2049,Selects!$B:$E,4,0),"")</f>
        <v/>
      </c>
    </row>
    <row r="2050" customFormat="false" ht="15" hidden="true" customHeight="false" outlineLevel="0" collapsed="false">
      <c r="E2050" s="60" t="str">
        <f aca="false">IF(LEN(D2050)=11,"PF",IF(LEN(D2050)=14,"PJ",""))</f>
        <v/>
      </c>
      <c r="I2050" s="62"/>
      <c r="AM2050" s="68" t="str">
        <f aca="false">IF(LEFT(AL2050,1)="9","Celular",IF(AL2050="","","Fixo"))</f>
        <v/>
      </c>
      <c r="AN2050" s="58" t="str">
        <f aca="false">IF( AM2050&lt;&gt;"",VLOOKUP(AM2050,Selects!$M$4:$N$1000,2,0),"")</f>
        <v/>
      </c>
      <c r="BB2050" s="72" t="str">
        <f aca="false">IF(BA2050&lt;&gt;"",VLOOKUP(BA2050,Selects!$B$4:$C$100,2,0),"")</f>
        <v/>
      </c>
      <c r="BG2050" s="75" t="str">
        <f aca="false">IF(LEN(BF2050)=11,"PF",IF(LEN(BF2050)=14,"PJ",""))</f>
        <v/>
      </c>
      <c r="BH2050" s="66"/>
      <c r="CB2050" s="72" t="str">
        <f aca="false">IF(AC2050&lt;&gt;"",VLOOKUP(AC2050,Selects!$B:$E,4,0),"")</f>
        <v/>
      </c>
    </row>
    <row r="2051" customFormat="false" ht="15" hidden="true" customHeight="false" outlineLevel="0" collapsed="false">
      <c r="E2051" s="60" t="str">
        <f aca="false">IF(LEN(D2051)=11,"PF",IF(LEN(D2051)=14,"PJ",""))</f>
        <v/>
      </c>
      <c r="I2051" s="62"/>
      <c r="AM2051" s="68" t="str">
        <f aca="false">IF(LEFT(AL2051,1)="9","Celular",IF(AL2051="","","Fixo"))</f>
        <v/>
      </c>
      <c r="AN2051" s="58" t="str">
        <f aca="false">IF( AM2051&lt;&gt;"",VLOOKUP(AM2051,Selects!$M$4:$N$1000,2,0),"")</f>
        <v/>
      </c>
      <c r="BB2051" s="72" t="str">
        <f aca="false">IF(BA2051&lt;&gt;"",VLOOKUP(BA2051,Selects!$B$4:$C$100,2,0),"")</f>
        <v/>
      </c>
      <c r="BG2051" s="75" t="str">
        <f aca="false">IF(LEN(BF2051)=11,"PF",IF(LEN(BF2051)=14,"PJ",""))</f>
        <v/>
      </c>
      <c r="BH2051" s="66"/>
      <c r="CB2051" s="72" t="str">
        <f aca="false">IF(AC2051&lt;&gt;"",VLOOKUP(AC2051,Selects!$B:$E,4,0),"")</f>
        <v/>
      </c>
    </row>
    <row r="2052" customFormat="false" ht="15" hidden="true" customHeight="false" outlineLevel="0" collapsed="false">
      <c r="E2052" s="60" t="str">
        <f aca="false">IF(LEN(D2052)=11,"PF",IF(LEN(D2052)=14,"PJ",""))</f>
        <v/>
      </c>
      <c r="I2052" s="62"/>
      <c r="AM2052" s="68" t="str">
        <f aca="false">IF(LEFT(AL2052,1)="9","Celular",IF(AL2052="","","Fixo"))</f>
        <v/>
      </c>
      <c r="AN2052" s="58" t="str">
        <f aca="false">IF( AM2052&lt;&gt;"",VLOOKUP(AM2052,Selects!$M$4:$N$1000,2,0),"")</f>
        <v/>
      </c>
      <c r="BB2052" s="72" t="str">
        <f aca="false">IF(BA2052&lt;&gt;"",VLOOKUP(BA2052,Selects!$B$4:$C$100,2,0),"")</f>
        <v/>
      </c>
      <c r="BG2052" s="75" t="str">
        <f aca="false">IF(LEN(BF2052)=11,"PF",IF(LEN(BF2052)=14,"PJ",""))</f>
        <v/>
      </c>
      <c r="BH2052" s="66"/>
      <c r="CB2052" s="72" t="str">
        <f aca="false">IF(AC2052&lt;&gt;"",VLOOKUP(AC2052,Selects!$B:$E,4,0),"")</f>
        <v/>
      </c>
    </row>
    <row r="2053" customFormat="false" ht="15" hidden="true" customHeight="false" outlineLevel="0" collapsed="false">
      <c r="E2053" s="60" t="str">
        <f aca="false">IF(LEN(D2053)=11,"PF",IF(LEN(D2053)=14,"PJ",""))</f>
        <v/>
      </c>
      <c r="I2053" s="62"/>
      <c r="AM2053" s="68" t="str">
        <f aca="false">IF(LEFT(AL2053,1)="9","Celular",IF(AL2053="","","Fixo"))</f>
        <v/>
      </c>
      <c r="AN2053" s="58" t="str">
        <f aca="false">IF( AM2053&lt;&gt;"",VLOOKUP(AM2053,Selects!$M$4:$N$1000,2,0),"")</f>
        <v/>
      </c>
      <c r="BB2053" s="72" t="str">
        <f aca="false">IF(BA2053&lt;&gt;"",VLOOKUP(BA2053,Selects!$B$4:$C$100,2,0),"")</f>
        <v/>
      </c>
      <c r="BG2053" s="75" t="str">
        <f aca="false">IF(LEN(BF2053)=11,"PF",IF(LEN(BF2053)=14,"PJ",""))</f>
        <v/>
      </c>
      <c r="BH2053" s="66"/>
      <c r="CB2053" s="72" t="str">
        <f aca="false">IF(AC2053&lt;&gt;"",VLOOKUP(AC2053,Selects!$B:$E,4,0),"")</f>
        <v/>
      </c>
    </row>
    <row r="2054" customFormat="false" ht="15" hidden="true" customHeight="false" outlineLevel="0" collapsed="false">
      <c r="E2054" s="60" t="str">
        <f aca="false">IF(LEN(D2054)=11,"PF",IF(LEN(D2054)=14,"PJ",""))</f>
        <v/>
      </c>
      <c r="I2054" s="62"/>
      <c r="AM2054" s="68" t="str">
        <f aca="false">IF(LEFT(AL2054,1)="9","Celular",IF(AL2054="","","Fixo"))</f>
        <v/>
      </c>
      <c r="AN2054" s="58" t="str">
        <f aca="false">IF( AM2054&lt;&gt;"",VLOOKUP(AM2054,Selects!$M$4:$N$1000,2,0),"")</f>
        <v/>
      </c>
      <c r="BB2054" s="72" t="str">
        <f aca="false">IF(BA2054&lt;&gt;"",VLOOKUP(BA2054,Selects!$B$4:$C$100,2,0),"")</f>
        <v/>
      </c>
      <c r="BG2054" s="75" t="str">
        <f aca="false">IF(LEN(BF2054)=11,"PF",IF(LEN(BF2054)=14,"PJ",""))</f>
        <v/>
      </c>
      <c r="BH2054" s="66"/>
      <c r="CB2054" s="72" t="str">
        <f aca="false">IF(AC2054&lt;&gt;"",VLOOKUP(AC2054,Selects!$B:$E,4,0),"")</f>
        <v/>
      </c>
    </row>
    <row r="2055" customFormat="false" ht="15" hidden="true" customHeight="false" outlineLevel="0" collapsed="false">
      <c r="E2055" s="60" t="str">
        <f aca="false">IF(LEN(D2055)=11,"PF",IF(LEN(D2055)=14,"PJ",""))</f>
        <v/>
      </c>
      <c r="I2055" s="62"/>
      <c r="AM2055" s="68" t="str">
        <f aca="false">IF(LEFT(AL2055,1)="9","Celular",IF(AL2055="","","Fixo"))</f>
        <v/>
      </c>
      <c r="AN2055" s="58" t="str">
        <f aca="false">IF( AM2055&lt;&gt;"",VLOOKUP(AM2055,Selects!$M$4:$N$1000,2,0),"")</f>
        <v/>
      </c>
      <c r="BB2055" s="72" t="str">
        <f aca="false">IF(BA2055&lt;&gt;"",VLOOKUP(BA2055,Selects!$B$4:$C$100,2,0),"")</f>
        <v/>
      </c>
      <c r="BG2055" s="75" t="str">
        <f aca="false">IF(LEN(BF2055)=11,"PF",IF(LEN(BF2055)=14,"PJ",""))</f>
        <v/>
      </c>
      <c r="BH2055" s="66"/>
      <c r="CB2055" s="72" t="str">
        <f aca="false">IF(AC2055&lt;&gt;"",VLOOKUP(AC2055,Selects!$B:$E,4,0),"")</f>
        <v/>
      </c>
    </row>
    <row r="2056" customFormat="false" ht="15" hidden="true" customHeight="false" outlineLevel="0" collapsed="false">
      <c r="E2056" s="60" t="str">
        <f aca="false">IF(LEN(D2056)=11,"PF",IF(LEN(D2056)=14,"PJ",""))</f>
        <v/>
      </c>
      <c r="I2056" s="62"/>
      <c r="AM2056" s="68" t="str">
        <f aca="false">IF(LEFT(AL2056,1)="9","Celular",IF(AL2056="","","Fixo"))</f>
        <v/>
      </c>
      <c r="AN2056" s="58" t="str">
        <f aca="false">IF( AM2056&lt;&gt;"",VLOOKUP(AM2056,Selects!$M$4:$N$1000,2,0),"")</f>
        <v/>
      </c>
      <c r="BB2056" s="72" t="str">
        <f aca="false">IF(BA2056&lt;&gt;"",VLOOKUP(BA2056,Selects!$B$4:$C$100,2,0),"")</f>
        <v/>
      </c>
      <c r="BG2056" s="75" t="str">
        <f aca="false">IF(LEN(BF2056)=11,"PF",IF(LEN(BF2056)=14,"PJ",""))</f>
        <v/>
      </c>
      <c r="BH2056" s="66"/>
      <c r="CB2056" s="72" t="str">
        <f aca="false">IF(AC2056&lt;&gt;"",VLOOKUP(AC2056,Selects!$B:$E,4,0),"")</f>
        <v/>
      </c>
    </row>
    <row r="2057" customFormat="false" ht="15" hidden="true" customHeight="false" outlineLevel="0" collapsed="false">
      <c r="E2057" s="60" t="str">
        <f aca="false">IF(LEN(D2057)=11,"PF",IF(LEN(D2057)=14,"PJ",""))</f>
        <v/>
      </c>
      <c r="I2057" s="62"/>
      <c r="AM2057" s="68" t="str">
        <f aca="false">IF(LEFT(AL2057,1)="9","Celular",IF(AL2057="","","Fixo"))</f>
        <v/>
      </c>
      <c r="AN2057" s="58" t="str">
        <f aca="false">IF( AM2057&lt;&gt;"",VLOOKUP(AM2057,Selects!$M$4:$N$1000,2,0),"")</f>
        <v/>
      </c>
      <c r="BB2057" s="72" t="str">
        <f aca="false">IF(BA2057&lt;&gt;"",VLOOKUP(BA2057,Selects!$B$4:$C$100,2,0),"")</f>
        <v/>
      </c>
      <c r="BG2057" s="75" t="str">
        <f aca="false">IF(LEN(BF2057)=11,"PF",IF(LEN(BF2057)=14,"PJ",""))</f>
        <v/>
      </c>
      <c r="BH2057" s="66"/>
      <c r="CB2057" s="72" t="str">
        <f aca="false">IF(AC2057&lt;&gt;"",VLOOKUP(AC2057,Selects!$B:$E,4,0),"")</f>
        <v/>
      </c>
    </row>
    <row r="2058" customFormat="false" ht="15" hidden="true" customHeight="false" outlineLevel="0" collapsed="false">
      <c r="E2058" s="60" t="str">
        <f aca="false">IF(LEN(D2058)=11,"PF",IF(LEN(D2058)=14,"PJ",""))</f>
        <v/>
      </c>
      <c r="I2058" s="62"/>
      <c r="AM2058" s="68" t="str">
        <f aca="false">IF(LEFT(AL2058,1)="9","Celular",IF(AL2058="","","Fixo"))</f>
        <v/>
      </c>
      <c r="AN2058" s="58" t="str">
        <f aca="false">IF( AM2058&lt;&gt;"",VLOOKUP(AM2058,Selects!$M$4:$N$1000,2,0),"")</f>
        <v/>
      </c>
      <c r="BB2058" s="72" t="str">
        <f aca="false">IF(BA2058&lt;&gt;"",VLOOKUP(BA2058,Selects!$B$4:$C$100,2,0),"")</f>
        <v/>
      </c>
      <c r="BG2058" s="75" t="str">
        <f aca="false">IF(LEN(BF2058)=11,"PF",IF(LEN(BF2058)=14,"PJ",""))</f>
        <v/>
      </c>
      <c r="BH2058" s="66"/>
      <c r="CB2058" s="72" t="str">
        <f aca="false">IF(AC2058&lt;&gt;"",VLOOKUP(AC2058,Selects!$B:$E,4,0),"")</f>
        <v/>
      </c>
    </row>
    <row r="2059" customFormat="false" ht="15" hidden="true" customHeight="false" outlineLevel="0" collapsed="false">
      <c r="E2059" s="60" t="str">
        <f aca="false">IF(LEN(D2059)=11,"PF",IF(LEN(D2059)=14,"PJ",""))</f>
        <v/>
      </c>
      <c r="I2059" s="62"/>
      <c r="AM2059" s="68" t="str">
        <f aca="false">IF(LEFT(AL2059,1)="9","Celular",IF(AL2059="","","Fixo"))</f>
        <v/>
      </c>
      <c r="AN2059" s="58" t="str">
        <f aca="false">IF( AM2059&lt;&gt;"",VLOOKUP(AM2059,Selects!$M$4:$N$1000,2,0),"")</f>
        <v/>
      </c>
      <c r="BB2059" s="72" t="str">
        <f aca="false">IF(BA2059&lt;&gt;"",VLOOKUP(BA2059,Selects!$B$4:$C$100,2,0),"")</f>
        <v/>
      </c>
      <c r="BG2059" s="75" t="str">
        <f aca="false">IF(LEN(BF2059)=11,"PF",IF(LEN(BF2059)=14,"PJ",""))</f>
        <v/>
      </c>
      <c r="BH2059" s="66"/>
      <c r="CB2059" s="72" t="str">
        <f aca="false">IF(AC2059&lt;&gt;"",VLOOKUP(AC2059,Selects!$B:$E,4,0),"")</f>
        <v/>
      </c>
    </row>
    <row r="2060" customFormat="false" ht="15" hidden="true" customHeight="false" outlineLevel="0" collapsed="false">
      <c r="E2060" s="60" t="str">
        <f aca="false">IF(LEN(D2060)=11,"PF",IF(LEN(D2060)=14,"PJ",""))</f>
        <v/>
      </c>
      <c r="I2060" s="62"/>
      <c r="AM2060" s="68" t="str">
        <f aca="false">IF(LEFT(AL2060,1)="9","Celular",IF(AL2060="","","Fixo"))</f>
        <v/>
      </c>
      <c r="AN2060" s="58" t="str">
        <f aca="false">IF( AM2060&lt;&gt;"",VLOOKUP(AM2060,Selects!$M$4:$N$1000,2,0),"")</f>
        <v/>
      </c>
      <c r="BB2060" s="72" t="str">
        <f aca="false">IF(BA2060&lt;&gt;"",VLOOKUP(BA2060,Selects!$B$4:$C$100,2,0),"")</f>
        <v/>
      </c>
      <c r="BG2060" s="75" t="str">
        <f aca="false">IF(LEN(BF2060)=11,"PF",IF(LEN(BF2060)=14,"PJ",""))</f>
        <v/>
      </c>
      <c r="BH2060" s="66"/>
      <c r="CB2060" s="72" t="str">
        <f aca="false">IF(AC2060&lt;&gt;"",VLOOKUP(AC2060,Selects!$B:$E,4,0),"")</f>
        <v/>
      </c>
    </row>
    <row r="2061" customFormat="false" ht="15" hidden="true" customHeight="false" outlineLevel="0" collapsed="false">
      <c r="E2061" s="60" t="str">
        <f aca="false">IF(LEN(D2061)=11,"PF",IF(LEN(D2061)=14,"PJ",""))</f>
        <v/>
      </c>
      <c r="I2061" s="62"/>
      <c r="AM2061" s="68" t="str">
        <f aca="false">IF(LEFT(AL2061,1)="9","Celular",IF(AL2061="","","Fixo"))</f>
        <v/>
      </c>
      <c r="AN2061" s="58" t="str">
        <f aca="false">IF( AM2061&lt;&gt;"",VLOOKUP(AM2061,Selects!$M$4:$N$1000,2,0),"")</f>
        <v/>
      </c>
      <c r="BB2061" s="72" t="str">
        <f aca="false">IF(BA2061&lt;&gt;"",VLOOKUP(BA2061,Selects!$B$4:$C$100,2,0),"")</f>
        <v/>
      </c>
      <c r="BG2061" s="75" t="str">
        <f aca="false">IF(LEN(BF2061)=11,"PF",IF(LEN(BF2061)=14,"PJ",""))</f>
        <v/>
      </c>
      <c r="BH2061" s="66"/>
      <c r="CB2061" s="72" t="str">
        <f aca="false">IF(AC2061&lt;&gt;"",VLOOKUP(AC2061,Selects!$B:$E,4,0),"")</f>
        <v/>
      </c>
    </row>
    <row r="2062" customFormat="false" ht="15" hidden="true" customHeight="false" outlineLevel="0" collapsed="false">
      <c r="E2062" s="60" t="str">
        <f aca="false">IF(LEN(D2062)=11,"PF",IF(LEN(D2062)=14,"PJ",""))</f>
        <v/>
      </c>
      <c r="I2062" s="62"/>
      <c r="AM2062" s="68" t="str">
        <f aca="false">IF(LEFT(AL2062,1)="9","Celular",IF(AL2062="","","Fixo"))</f>
        <v/>
      </c>
      <c r="AN2062" s="58" t="str">
        <f aca="false">IF( AM2062&lt;&gt;"",VLOOKUP(AM2062,Selects!$M$4:$N$1000,2,0),"")</f>
        <v/>
      </c>
      <c r="BB2062" s="72" t="str">
        <f aca="false">IF(BA2062&lt;&gt;"",VLOOKUP(BA2062,Selects!$B$4:$C$100,2,0),"")</f>
        <v/>
      </c>
      <c r="BG2062" s="75" t="str">
        <f aca="false">IF(LEN(BF2062)=11,"PF",IF(LEN(BF2062)=14,"PJ",""))</f>
        <v/>
      </c>
      <c r="BH2062" s="66"/>
      <c r="CB2062" s="72" t="str">
        <f aca="false">IF(AC2062&lt;&gt;"",VLOOKUP(AC2062,Selects!$B:$E,4,0),"")</f>
        <v/>
      </c>
    </row>
    <row r="2063" customFormat="false" ht="15" hidden="true" customHeight="false" outlineLevel="0" collapsed="false">
      <c r="E2063" s="60" t="str">
        <f aca="false">IF(LEN(D2063)=11,"PF",IF(LEN(D2063)=14,"PJ",""))</f>
        <v/>
      </c>
      <c r="I2063" s="62"/>
      <c r="AM2063" s="68" t="str">
        <f aca="false">IF(LEFT(AL2063,1)="9","Celular",IF(AL2063="","","Fixo"))</f>
        <v/>
      </c>
      <c r="AN2063" s="58" t="str">
        <f aca="false">IF( AM2063&lt;&gt;"",VLOOKUP(AM2063,Selects!$M$4:$N$1000,2,0),"")</f>
        <v/>
      </c>
      <c r="BB2063" s="72" t="str">
        <f aca="false">IF(BA2063&lt;&gt;"",VLOOKUP(BA2063,Selects!$B$4:$C$100,2,0),"")</f>
        <v/>
      </c>
      <c r="BG2063" s="75" t="str">
        <f aca="false">IF(LEN(BF2063)=11,"PF",IF(LEN(BF2063)=14,"PJ",""))</f>
        <v/>
      </c>
      <c r="BH2063" s="66"/>
      <c r="CB2063" s="72" t="str">
        <f aca="false">IF(AC2063&lt;&gt;"",VLOOKUP(AC2063,Selects!$B:$E,4,0),"")</f>
        <v/>
      </c>
    </row>
    <row r="2064" customFormat="false" ht="15" hidden="true" customHeight="false" outlineLevel="0" collapsed="false">
      <c r="E2064" s="60" t="str">
        <f aca="false">IF(LEN(D2064)=11,"PF",IF(LEN(D2064)=14,"PJ",""))</f>
        <v/>
      </c>
      <c r="I2064" s="62"/>
      <c r="AM2064" s="68" t="str">
        <f aca="false">IF(LEFT(AL2064,1)="9","Celular",IF(AL2064="","","Fixo"))</f>
        <v/>
      </c>
      <c r="AN2064" s="58" t="str">
        <f aca="false">IF( AM2064&lt;&gt;"",VLOOKUP(AM2064,Selects!$M$4:$N$1000,2,0),"")</f>
        <v/>
      </c>
      <c r="BB2064" s="72" t="str">
        <f aca="false">IF(BA2064&lt;&gt;"",VLOOKUP(BA2064,Selects!$B$4:$C$100,2,0),"")</f>
        <v/>
      </c>
      <c r="BG2064" s="75" t="str">
        <f aca="false">IF(LEN(BF2064)=11,"PF",IF(LEN(BF2064)=14,"PJ",""))</f>
        <v/>
      </c>
      <c r="BH2064" s="66"/>
      <c r="CB2064" s="72" t="str">
        <f aca="false">IF(AC2064&lt;&gt;"",VLOOKUP(AC2064,Selects!$B:$E,4,0),"")</f>
        <v/>
      </c>
    </row>
    <row r="2065" customFormat="false" ht="15" hidden="true" customHeight="false" outlineLevel="0" collapsed="false">
      <c r="E2065" s="60" t="str">
        <f aca="false">IF(LEN(D2065)=11,"PF",IF(LEN(D2065)=14,"PJ",""))</f>
        <v/>
      </c>
      <c r="I2065" s="62"/>
      <c r="AM2065" s="68" t="str">
        <f aca="false">IF(LEFT(AL2065,1)="9","Celular",IF(AL2065="","","Fixo"))</f>
        <v/>
      </c>
      <c r="AN2065" s="58" t="str">
        <f aca="false">IF( AM2065&lt;&gt;"",VLOOKUP(AM2065,Selects!$M$4:$N$1000,2,0),"")</f>
        <v/>
      </c>
      <c r="BB2065" s="72" t="str">
        <f aca="false">IF(BA2065&lt;&gt;"",VLOOKUP(BA2065,Selects!$B$4:$C$100,2,0),"")</f>
        <v/>
      </c>
      <c r="BG2065" s="75" t="str">
        <f aca="false">IF(LEN(BF2065)=11,"PF",IF(LEN(BF2065)=14,"PJ",""))</f>
        <v/>
      </c>
      <c r="BH2065" s="66"/>
      <c r="CB2065" s="72" t="str">
        <f aca="false">IF(AC2065&lt;&gt;"",VLOOKUP(AC2065,Selects!$B:$E,4,0),"")</f>
        <v/>
      </c>
    </row>
    <row r="2066" customFormat="false" ht="15" hidden="true" customHeight="false" outlineLevel="0" collapsed="false">
      <c r="E2066" s="60" t="str">
        <f aca="false">IF(LEN(D2066)=11,"PF",IF(LEN(D2066)=14,"PJ",""))</f>
        <v/>
      </c>
      <c r="I2066" s="62"/>
      <c r="AM2066" s="68" t="str">
        <f aca="false">IF(LEFT(AL2066,1)="9","Celular",IF(AL2066="","","Fixo"))</f>
        <v/>
      </c>
      <c r="AN2066" s="58" t="str">
        <f aca="false">IF( AM2066&lt;&gt;"",VLOOKUP(AM2066,Selects!$M$4:$N$1000,2,0),"")</f>
        <v/>
      </c>
      <c r="BB2066" s="72" t="str">
        <f aca="false">IF(BA2066&lt;&gt;"",VLOOKUP(BA2066,Selects!$B$4:$C$100,2,0),"")</f>
        <v/>
      </c>
      <c r="BG2066" s="75" t="str">
        <f aca="false">IF(LEN(BF2066)=11,"PF",IF(LEN(BF2066)=14,"PJ",""))</f>
        <v/>
      </c>
      <c r="BH2066" s="66"/>
      <c r="CB2066" s="72" t="str">
        <f aca="false">IF(AC2066&lt;&gt;"",VLOOKUP(AC2066,Selects!$B:$E,4,0),"")</f>
        <v/>
      </c>
    </row>
    <row r="2067" customFormat="false" ht="15" hidden="true" customHeight="false" outlineLevel="0" collapsed="false">
      <c r="E2067" s="60" t="str">
        <f aca="false">IF(LEN(D2067)=11,"PF",IF(LEN(D2067)=14,"PJ",""))</f>
        <v/>
      </c>
      <c r="I2067" s="62"/>
      <c r="AM2067" s="68" t="str">
        <f aca="false">IF(LEFT(AL2067,1)="9","Celular",IF(AL2067="","","Fixo"))</f>
        <v/>
      </c>
      <c r="AN2067" s="58" t="str">
        <f aca="false">IF( AM2067&lt;&gt;"",VLOOKUP(AM2067,Selects!$M$4:$N$1000,2,0),"")</f>
        <v/>
      </c>
      <c r="BB2067" s="72" t="str">
        <f aca="false">IF(BA2067&lt;&gt;"",VLOOKUP(BA2067,Selects!$B$4:$C$100,2,0),"")</f>
        <v/>
      </c>
      <c r="BG2067" s="75" t="str">
        <f aca="false">IF(LEN(BF2067)=11,"PF",IF(LEN(BF2067)=14,"PJ",""))</f>
        <v/>
      </c>
      <c r="BH2067" s="66"/>
      <c r="CB2067" s="72" t="str">
        <f aca="false">IF(AC2067&lt;&gt;"",VLOOKUP(AC2067,Selects!$B:$E,4,0),"")</f>
        <v/>
      </c>
    </row>
    <row r="2068" customFormat="false" ht="15" hidden="true" customHeight="false" outlineLevel="0" collapsed="false">
      <c r="E2068" s="60" t="str">
        <f aca="false">IF(LEN(D2068)=11,"PF",IF(LEN(D2068)=14,"PJ",""))</f>
        <v/>
      </c>
      <c r="I2068" s="62"/>
      <c r="AM2068" s="68" t="str">
        <f aca="false">IF(LEFT(AL2068,1)="9","Celular",IF(AL2068="","","Fixo"))</f>
        <v/>
      </c>
      <c r="AN2068" s="58" t="str">
        <f aca="false">IF( AM2068&lt;&gt;"",VLOOKUP(AM2068,Selects!$M$4:$N$1000,2,0),"")</f>
        <v/>
      </c>
      <c r="BB2068" s="72" t="str">
        <f aca="false">IF(BA2068&lt;&gt;"",VLOOKUP(BA2068,Selects!$B$4:$C$100,2,0),"")</f>
        <v/>
      </c>
      <c r="BG2068" s="75" t="str">
        <f aca="false">IF(LEN(BF2068)=11,"PF",IF(LEN(BF2068)=14,"PJ",""))</f>
        <v/>
      </c>
      <c r="BH2068" s="66"/>
      <c r="CB2068" s="72" t="str">
        <f aca="false">IF(AC2068&lt;&gt;"",VLOOKUP(AC2068,Selects!$B:$E,4,0),"")</f>
        <v/>
      </c>
    </row>
    <row r="2069" customFormat="false" ht="15" hidden="true" customHeight="false" outlineLevel="0" collapsed="false">
      <c r="E2069" s="60" t="str">
        <f aca="false">IF(LEN(D2069)=11,"PF",IF(LEN(D2069)=14,"PJ",""))</f>
        <v/>
      </c>
      <c r="I2069" s="62"/>
      <c r="AM2069" s="68" t="str">
        <f aca="false">IF(LEFT(AL2069,1)="9","Celular",IF(AL2069="","","Fixo"))</f>
        <v/>
      </c>
      <c r="AN2069" s="58" t="str">
        <f aca="false">IF( AM2069&lt;&gt;"",VLOOKUP(AM2069,Selects!$M$4:$N$1000,2,0),"")</f>
        <v/>
      </c>
      <c r="BB2069" s="72" t="str">
        <f aca="false">IF(BA2069&lt;&gt;"",VLOOKUP(BA2069,Selects!$B$4:$C$100,2,0),"")</f>
        <v/>
      </c>
      <c r="BG2069" s="75" t="str">
        <f aca="false">IF(LEN(BF2069)=11,"PF",IF(LEN(BF2069)=14,"PJ",""))</f>
        <v/>
      </c>
      <c r="BH2069" s="66"/>
      <c r="CB2069" s="72" t="str">
        <f aca="false">IF(AC2069&lt;&gt;"",VLOOKUP(AC2069,Selects!$B:$E,4,0),"")</f>
        <v/>
      </c>
    </row>
    <row r="2070" customFormat="false" ht="15" hidden="true" customHeight="false" outlineLevel="0" collapsed="false">
      <c r="E2070" s="60" t="str">
        <f aca="false">IF(LEN(D2070)=11,"PF",IF(LEN(D2070)=14,"PJ",""))</f>
        <v/>
      </c>
      <c r="I2070" s="62"/>
      <c r="AM2070" s="68" t="str">
        <f aca="false">IF(LEFT(AL2070,1)="9","Celular",IF(AL2070="","","Fixo"))</f>
        <v/>
      </c>
      <c r="AN2070" s="58" t="str">
        <f aca="false">IF( AM2070&lt;&gt;"",VLOOKUP(AM2070,Selects!$M$4:$N$1000,2,0),"")</f>
        <v/>
      </c>
      <c r="BB2070" s="72" t="str">
        <f aca="false">IF(BA2070&lt;&gt;"",VLOOKUP(BA2070,Selects!$B$4:$C$100,2,0),"")</f>
        <v/>
      </c>
      <c r="BG2070" s="75" t="str">
        <f aca="false">IF(LEN(BF2070)=11,"PF",IF(LEN(BF2070)=14,"PJ",""))</f>
        <v/>
      </c>
      <c r="BH2070" s="66"/>
      <c r="CB2070" s="72" t="str">
        <f aca="false">IF(AC2070&lt;&gt;"",VLOOKUP(AC2070,Selects!$B:$E,4,0),"")</f>
        <v/>
      </c>
    </row>
    <row r="2071" customFormat="false" ht="15" hidden="true" customHeight="false" outlineLevel="0" collapsed="false">
      <c r="E2071" s="60" t="str">
        <f aca="false">IF(LEN(D2071)=11,"PF",IF(LEN(D2071)=14,"PJ",""))</f>
        <v/>
      </c>
      <c r="I2071" s="62"/>
      <c r="AM2071" s="68" t="str">
        <f aca="false">IF(LEFT(AL2071,1)="9","Celular",IF(AL2071="","","Fixo"))</f>
        <v/>
      </c>
      <c r="AN2071" s="58" t="str">
        <f aca="false">IF( AM2071&lt;&gt;"",VLOOKUP(AM2071,Selects!$M$4:$N$1000,2,0),"")</f>
        <v/>
      </c>
      <c r="BB2071" s="72" t="str">
        <f aca="false">IF(BA2071&lt;&gt;"",VLOOKUP(BA2071,Selects!$B$4:$C$100,2,0),"")</f>
        <v/>
      </c>
      <c r="BG2071" s="75" t="str">
        <f aca="false">IF(LEN(BF2071)=11,"PF",IF(LEN(BF2071)=14,"PJ",""))</f>
        <v/>
      </c>
      <c r="BH2071" s="66"/>
      <c r="CB2071" s="72" t="str">
        <f aca="false">IF(AC2071&lt;&gt;"",VLOOKUP(AC2071,Selects!$B:$E,4,0),"")</f>
        <v/>
      </c>
    </row>
    <row r="2072" customFormat="false" ht="15" hidden="true" customHeight="false" outlineLevel="0" collapsed="false">
      <c r="E2072" s="60" t="str">
        <f aca="false">IF(LEN(D2072)=11,"PF",IF(LEN(D2072)=14,"PJ",""))</f>
        <v/>
      </c>
      <c r="I2072" s="62"/>
      <c r="AM2072" s="68" t="str">
        <f aca="false">IF(LEFT(AL2072,1)="9","Celular",IF(AL2072="","","Fixo"))</f>
        <v/>
      </c>
      <c r="AN2072" s="58" t="str">
        <f aca="false">IF( AM2072&lt;&gt;"",VLOOKUP(AM2072,Selects!$M$4:$N$1000,2,0),"")</f>
        <v/>
      </c>
      <c r="BB2072" s="72" t="str">
        <f aca="false">IF(BA2072&lt;&gt;"",VLOOKUP(BA2072,Selects!$B$4:$C$100,2,0),"")</f>
        <v/>
      </c>
      <c r="BG2072" s="75" t="str">
        <f aca="false">IF(LEN(BF2072)=11,"PF",IF(LEN(BF2072)=14,"PJ",""))</f>
        <v/>
      </c>
      <c r="BH2072" s="66"/>
      <c r="CB2072" s="72" t="str">
        <f aca="false">IF(AC2072&lt;&gt;"",VLOOKUP(AC2072,Selects!$B:$E,4,0),"")</f>
        <v/>
      </c>
    </row>
    <row r="2073" customFormat="false" ht="15" hidden="true" customHeight="false" outlineLevel="0" collapsed="false">
      <c r="E2073" s="60" t="str">
        <f aca="false">IF(LEN(D2073)=11,"PF",IF(LEN(D2073)=14,"PJ",""))</f>
        <v/>
      </c>
      <c r="I2073" s="62"/>
      <c r="AM2073" s="68" t="str">
        <f aca="false">IF(LEFT(AL2073,1)="9","Celular",IF(AL2073="","","Fixo"))</f>
        <v/>
      </c>
      <c r="AN2073" s="58" t="str">
        <f aca="false">IF( AM2073&lt;&gt;"",VLOOKUP(AM2073,Selects!$M$4:$N$1000,2,0),"")</f>
        <v/>
      </c>
      <c r="BB2073" s="72" t="str">
        <f aca="false">IF(BA2073&lt;&gt;"",VLOOKUP(BA2073,Selects!$B$4:$C$100,2,0),"")</f>
        <v/>
      </c>
      <c r="BG2073" s="75" t="str">
        <f aca="false">IF(LEN(BF2073)=11,"PF",IF(LEN(BF2073)=14,"PJ",""))</f>
        <v/>
      </c>
      <c r="BH2073" s="66"/>
      <c r="CB2073" s="72" t="str">
        <f aca="false">IF(AC2073&lt;&gt;"",VLOOKUP(AC2073,Selects!$B:$E,4,0),"")</f>
        <v/>
      </c>
    </row>
    <row r="2074" customFormat="false" ht="15" hidden="true" customHeight="false" outlineLevel="0" collapsed="false">
      <c r="E2074" s="60" t="str">
        <f aca="false">IF(LEN(D2074)=11,"PF",IF(LEN(D2074)=14,"PJ",""))</f>
        <v/>
      </c>
      <c r="I2074" s="62"/>
      <c r="AM2074" s="68" t="str">
        <f aca="false">IF(LEFT(AL2074,1)="9","Celular",IF(AL2074="","","Fixo"))</f>
        <v/>
      </c>
      <c r="AN2074" s="58" t="str">
        <f aca="false">IF( AM2074&lt;&gt;"",VLOOKUP(AM2074,Selects!$M$4:$N$1000,2,0),"")</f>
        <v/>
      </c>
      <c r="BB2074" s="72" t="str">
        <f aca="false">IF(BA2074&lt;&gt;"",VLOOKUP(BA2074,Selects!$B$4:$C$100,2,0),"")</f>
        <v/>
      </c>
      <c r="BG2074" s="75" t="str">
        <f aca="false">IF(LEN(BF2074)=11,"PF",IF(LEN(BF2074)=14,"PJ",""))</f>
        <v/>
      </c>
      <c r="BH2074" s="66"/>
      <c r="CB2074" s="72" t="str">
        <f aca="false">IF(AC2074&lt;&gt;"",VLOOKUP(AC2074,Selects!$B:$E,4,0),"")</f>
        <v/>
      </c>
    </row>
    <row r="2075" customFormat="false" ht="15" hidden="true" customHeight="false" outlineLevel="0" collapsed="false">
      <c r="E2075" s="60" t="str">
        <f aca="false">IF(LEN(D2075)=11,"PF",IF(LEN(D2075)=14,"PJ",""))</f>
        <v/>
      </c>
      <c r="I2075" s="62"/>
      <c r="AM2075" s="68" t="str">
        <f aca="false">IF(LEFT(AL2075,1)="9","Celular",IF(AL2075="","","Fixo"))</f>
        <v/>
      </c>
      <c r="AN2075" s="58" t="str">
        <f aca="false">IF( AM2075&lt;&gt;"",VLOOKUP(AM2075,Selects!$M$4:$N$1000,2,0),"")</f>
        <v/>
      </c>
      <c r="BB2075" s="72" t="str">
        <f aca="false">IF(BA2075&lt;&gt;"",VLOOKUP(BA2075,Selects!$B$4:$C$100,2,0),"")</f>
        <v/>
      </c>
      <c r="BG2075" s="75" t="str">
        <f aca="false">IF(LEN(BF2075)=11,"PF",IF(LEN(BF2075)=14,"PJ",""))</f>
        <v/>
      </c>
      <c r="BH2075" s="66"/>
      <c r="CB2075" s="72" t="str">
        <f aca="false">IF(AC2075&lt;&gt;"",VLOOKUP(AC2075,Selects!$B:$E,4,0),"")</f>
        <v/>
      </c>
    </row>
    <row r="2076" customFormat="false" ht="15" hidden="true" customHeight="false" outlineLevel="0" collapsed="false">
      <c r="E2076" s="60" t="str">
        <f aca="false">IF(LEN(D2076)=11,"PF",IF(LEN(D2076)=14,"PJ",""))</f>
        <v/>
      </c>
      <c r="I2076" s="62"/>
      <c r="AM2076" s="68" t="str">
        <f aca="false">IF(LEFT(AL2076,1)="9","Celular",IF(AL2076="","","Fixo"))</f>
        <v/>
      </c>
      <c r="AN2076" s="58" t="str">
        <f aca="false">IF( AM2076&lt;&gt;"",VLOOKUP(AM2076,Selects!$M$4:$N$1000,2,0),"")</f>
        <v/>
      </c>
      <c r="BB2076" s="72" t="str">
        <f aca="false">IF(BA2076&lt;&gt;"",VLOOKUP(BA2076,Selects!$B$4:$C$100,2,0),"")</f>
        <v/>
      </c>
      <c r="BG2076" s="75" t="str">
        <f aca="false">IF(LEN(BF2076)=11,"PF",IF(LEN(BF2076)=14,"PJ",""))</f>
        <v/>
      </c>
      <c r="BH2076" s="66"/>
      <c r="CB2076" s="72" t="str">
        <f aca="false">IF(AC2076&lt;&gt;"",VLOOKUP(AC2076,Selects!$B:$E,4,0),"")</f>
        <v/>
      </c>
    </row>
    <row r="2077" customFormat="false" ht="15" hidden="true" customHeight="false" outlineLevel="0" collapsed="false">
      <c r="E2077" s="60" t="str">
        <f aca="false">IF(LEN(D2077)=11,"PF",IF(LEN(D2077)=14,"PJ",""))</f>
        <v/>
      </c>
      <c r="I2077" s="62"/>
      <c r="AM2077" s="68" t="str">
        <f aca="false">IF(LEFT(AL2077,1)="9","Celular",IF(AL2077="","","Fixo"))</f>
        <v/>
      </c>
      <c r="AN2077" s="58" t="str">
        <f aca="false">IF( AM2077&lt;&gt;"",VLOOKUP(AM2077,Selects!$M$4:$N$1000,2,0),"")</f>
        <v/>
      </c>
      <c r="BB2077" s="72" t="str">
        <f aca="false">IF(BA2077&lt;&gt;"",VLOOKUP(BA2077,Selects!$B$4:$C$100,2,0),"")</f>
        <v/>
      </c>
      <c r="BG2077" s="75" t="str">
        <f aca="false">IF(LEN(BF2077)=11,"PF",IF(LEN(BF2077)=14,"PJ",""))</f>
        <v/>
      </c>
      <c r="BH2077" s="66"/>
      <c r="CB2077" s="72" t="str">
        <f aca="false">IF(AC2077&lt;&gt;"",VLOOKUP(AC2077,Selects!$B:$E,4,0),"")</f>
        <v/>
      </c>
    </row>
    <row r="2078" customFormat="false" ht="15" hidden="true" customHeight="false" outlineLevel="0" collapsed="false">
      <c r="E2078" s="60" t="str">
        <f aca="false">IF(LEN(D2078)=11,"PF",IF(LEN(D2078)=14,"PJ",""))</f>
        <v/>
      </c>
      <c r="I2078" s="62"/>
      <c r="AM2078" s="68" t="str">
        <f aca="false">IF(LEFT(AL2078,1)="9","Celular",IF(AL2078="","","Fixo"))</f>
        <v/>
      </c>
      <c r="AN2078" s="58" t="str">
        <f aca="false">IF( AM2078&lt;&gt;"",VLOOKUP(AM2078,Selects!$M$4:$N$1000,2,0),"")</f>
        <v/>
      </c>
      <c r="BB2078" s="72" t="str">
        <f aca="false">IF(BA2078&lt;&gt;"",VLOOKUP(BA2078,Selects!$B$4:$C$100,2,0),"")</f>
        <v/>
      </c>
      <c r="BG2078" s="75" t="str">
        <f aca="false">IF(LEN(BF2078)=11,"PF",IF(LEN(BF2078)=14,"PJ",""))</f>
        <v/>
      </c>
      <c r="BH2078" s="66"/>
      <c r="CB2078" s="72" t="str">
        <f aca="false">IF(AC2078&lt;&gt;"",VLOOKUP(AC2078,Selects!$B:$E,4,0),"")</f>
        <v/>
      </c>
    </row>
    <row r="2079" customFormat="false" ht="15" hidden="true" customHeight="false" outlineLevel="0" collapsed="false">
      <c r="E2079" s="60" t="str">
        <f aca="false">IF(LEN(D2079)=11,"PF",IF(LEN(D2079)=14,"PJ",""))</f>
        <v/>
      </c>
      <c r="I2079" s="62"/>
      <c r="AM2079" s="68" t="str">
        <f aca="false">IF(LEFT(AL2079,1)="9","Celular",IF(AL2079="","","Fixo"))</f>
        <v/>
      </c>
      <c r="AN2079" s="58" t="str">
        <f aca="false">IF( AM2079&lt;&gt;"",VLOOKUP(AM2079,Selects!$M$4:$N$1000,2,0),"")</f>
        <v/>
      </c>
      <c r="BB2079" s="72" t="str">
        <f aca="false">IF(BA2079&lt;&gt;"",VLOOKUP(BA2079,Selects!$B$4:$C$100,2,0),"")</f>
        <v/>
      </c>
      <c r="BG2079" s="75" t="str">
        <f aca="false">IF(LEN(BF2079)=11,"PF",IF(LEN(BF2079)=14,"PJ",""))</f>
        <v/>
      </c>
      <c r="BH2079" s="66"/>
      <c r="CB2079" s="72" t="str">
        <f aca="false">IF(AC2079&lt;&gt;"",VLOOKUP(AC2079,Selects!$B:$E,4,0),"")</f>
        <v/>
      </c>
    </row>
    <row r="2080" customFormat="false" ht="15" hidden="true" customHeight="false" outlineLevel="0" collapsed="false">
      <c r="E2080" s="60" t="str">
        <f aca="false">IF(LEN(D2080)=11,"PF",IF(LEN(D2080)=14,"PJ",""))</f>
        <v/>
      </c>
      <c r="I2080" s="62"/>
      <c r="AM2080" s="68" t="str">
        <f aca="false">IF(LEFT(AL2080,1)="9","Celular",IF(AL2080="","","Fixo"))</f>
        <v/>
      </c>
      <c r="AN2080" s="58" t="str">
        <f aca="false">IF( AM2080&lt;&gt;"",VLOOKUP(AM2080,Selects!$M$4:$N$1000,2,0),"")</f>
        <v/>
      </c>
      <c r="BB2080" s="72" t="str">
        <f aca="false">IF(BA2080&lt;&gt;"",VLOOKUP(BA2080,Selects!$B$4:$C$100,2,0),"")</f>
        <v/>
      </c>
      <c r="BG2080" s="75" t="str">
        <f aca="false">IF(LEN(BF2080)=11,"PF",IF(LEN(BF2080)=14,"PJ",""))</f>
        <v/>
      </c>
      <c r="BH2080" s="66"/>
      <c r="CB2080" s="72" t="str">
        <f aca="false">IF(AC2080&lt;&gt;"",VLOOKUP(AC2080,Selects!$B:$E,4,0),"")</f>
        <v/>
      </c>
    </row>
    <row r="2081" customFormat="false" ht="15" hidden="true" customHeight="false" outlineLevel="0" collapsed="false">
      <c r="E2081" s="60" t="str">
        <f aca="false">IF(LEN(D2081)=11,"PF",IF(LEN(D2081)=14,"PJ",""))</f>
        <v/>
      </c>
      <c r="I2081" s="62"/>
      <c r="AM2081" s="68" t="str">
        <f aca="false">IF(LEFT(AL2081,1)="9","Celular",IF(AL2081="","","Fixo"))</f>
        <v/>
      </c>
      <c r="AN2081" s="58" t="str">
        <f aca="false">IF( AM2081&lt;&gt;"",VLOOKUP(AM2081,Selects!$M$4:$N$1000,2,0),"")</f>
        <v/>
      </c>
      <c r="BB2081" s="72" t="str">
        <f aca="false">IF(BA2081&lt;&gt;"",VLOOKUP(BA2081,Selects!$B$4:$C$100,2,0),"")</f>
        <v/>
      </c>
      <c r="BG2081" s="75" t="str">
        <f aca="false">IF(LEN(BF2081)=11,"PF",IF(LEN(BF2081)=14,"PJ",""))</f>
        <v/>
      </c>
      <c r="BH2081" s="66"/>
      <c r="CB2081" s="72" t="str">
        <f aca="false">IF(AC2081&lt;&gt;"",VLOOKUP(AC2081,Selects!$B:$E,4,0),"")</f>
        <v/>
      </c>
    </row>
    <row r="2082" customFormat="false" ht="15" hidden="true" customHeight="false" outlineLevel="0" collapsed="false">
      <c r="E2082" s="60" t="str">
        <f aca="false">IF(LEN(D2082)=11,"PF",IF(LEN(D2082)=14,"PJ",""))</f>
        <v/>
      </c>
      <c r="I2082" s="62"/>
      <c r="AM2082" s="68" t="str">
        <f aca="false">IF(LEFT(AL2082,1)="9","Celular",IF(AL2082="","","Fixo"))</f>
        <v/>
      </c>
      <c r="AN2082" s="58" t="str">
        <f aca="false">IF( AM2082&lt;&gt;"",VLOOKUP(AM2082,Selects!$M$4:$N$1000,2,0),"")</f>
        <v/>
      </c>
      <c r="BB2082" s="72" t="str">
        <f aca="false">IF(BA2082&lt;&gt;"",VLOOKUP(BA2082,Selects!$B$4:$C$100,2,0),"")</f>
        <v/>
      </c>
      <c r="BG2082" s="75" t="str">
        <f aca="false">IF(LEN(BF2082)=11,"PF",IF(LEN(BF2082)=14,"PJ",""))</f>
        <v/>
      </c>
      <c r="BH2082" s="66"/>
      <c r="CB2082" s="72" t="str">
        <f aca="false">IF(AC2082&lt;&gt;"",VLOOKUP(AC2082,Selects!$B:$E,4,0),"")</f>
        <v/>
      </c>
    </row>
    <row r="2083" customFormat="false" ht="15" hidden="true" customHeight="false" outlineLevel="0" collapsed="false">
      <c r="E2083" s="60" t="str">
        <f aca="false">IF(LEN(D2083)=11,"PF",IF(LEN(D2083)=14,"PJ",""))</f>
        <v/>
      </c>
      <c r="I2083" s="62"/>
      <c r="AM2083" s="68" t="str">
        <f aca="false">IF(LEFT(AL2083,1)="9","Celular",IF(AL2083="","","Fixo"))</f>
        <v/>
      </c>
      <c r="AN2083" s="58" t="str">
        <f aca="false">IF( AM2083&lt;&gt;"",VLOOKUP(AM2083,Selects!$M$4:$N$1000,2,0),"")</f>
        <v/>
      </c>
      <c r="BB2083" s="72" t="str">
        <f aca="false">IF(BA2083&lt;&gt;"",VLOOKUP(BA2083,Selects!$B$4:$C$100,2,0),"")</f>
        <v/>
      </c>
      <c r="BG2083" s="75" t="str">
        <f aca="false">IF(LEN(BF2083)=11,"PF",IF(LEN(BF2083)=14,"PJ",""))</f>
        <v/>
      </c>
      <c r="BH2083" s="66"/>
      <c r="CB2083" s="72" t="str">
        <f aca="false">IF(AC2083&lt;&gt;"",VLOOKUP(AC2083,Selects!$B:$E,4,0),"")</f>
        <v/>
      </c>
    </row>
    <row r="2084" customFormat="false" ht="15" hidden="true" customHeight="false" outlineLevel="0" collapsed="false">
      <c r="E2084" s="60" t="str">
        <f aca="false">IF(LEN(D2084)=11,"PF",IF(LEN(D2084)=14,"PJ",""))</f>
        <v/>
      </c>
      <c r="I2084" s="62"/>
      <c r="AM2084" s="68" t="str">
        <f aca="false">IF(LEFT(AL2084,1)="9","Celular",IF(AL2084="","","Fixo"))</f>
        <v/>
      </c>
      <c r="AN2084" s="58" t="str">
        <f aca="false">IF( AM2084&lt;&gt;"",VLOOKUP(AM2084,Selects!$M$4:$N$1000,2,0),"")</f>
        <v/>
      </c>
      <c r="BB2084" s="72" t="str">
        <f aca="false">IF(BA2084&lt;&gt;"",VLOOKUP(BA2084,Selects!$B$4:$C$100,2,0),"")</f>
        <v/>
      </c>
      <c r="BG2084" s="75" t="str">
        <f aca="false">IF(LEN(BF2084)=11,"PF",IF(LEN(BF2084)=14,"PJ",""))</f>
        <v/>
      </c>
      <c r="BH2084" s="66"/>
      <c r="CB2084" s="72" t="str">
        <f aca="false">IF(AC2084&lt;&gt;"",VLOOKUP(AC2084,Selects!$B:$E,4,0),"")</f>
        <v/>
      </c>
    </row>
    <row r="2085" customFormat="false" ht="15" hidden="true" customHeight="false" outlineLevel="0" collapsed="false">
      <c r="E2085" s="60" t="str">
        <f aca="false">IF(LEN(D2085)=11,"PF",IF(LEN(D2085)=14,"PJ",""))</f>
        <v/>
      </c>
      <c r="I2085" s="62"/>
      <c r="AM2085" s="68" t="str">
        <f aca="false">IF(LEFT(AL2085,1)="9","Celular",IF(AL2085="","","Fixo"))</f>
        <v/>
      </c>
      <c r="AN2085" s="58" t="str">
        <f aca="false">IF( AM2085&lt;&gt;"",VLOOKUP(AM2085,Selects!$M$4:$N$1000,2,0),"")</f>
        <v/>
      </c>
      <c r="BB2085" s="72" t="str">
        <f aca="false">IF(BA2085&lt;&gt;"",VLOOKUP(BA2085,Selects!$B$4:$C$100,2,0),"")</f>
        <v/>
      </c>
      <c r="BG2085" s="75" t="str">
        <f aca="false">IF(LEN(BF2085)=11,"PF",IF(LEN(BF2085)=14,"PJ",""))</f>
        <v/>
      </c>
      <c r="BH2085" s="66"/>
      <c r="CB2085" s="72" t="str">
        <f aca="false">IF(AC2085&lt;&gt;"",VLOOKUP(AC2085,Selects!$B:$E,4,0),"")</f>
        <v/>
      </c>
    </row>
    <row r="2086" customFormat="false" ht="15" hidden="true" customHeight="false" outlineLevel="0" collapsed="false">
      <c r="E2086" s="60" t="str">
        <f aca="false">IF(LEN(D2086)=11,"PF",IF(LEN(D2086)=14,"PJ",""))</f>
        <v/>
      </c>
      <c r="I2086" s="62"/>
      <c r="AM2086" s="68" t="str">
        <f aca="false">IF(LEFT(AL2086,1)="9","Celular",IF(AL2086="","","Fixo"))</f>
        <v/>
      </c>
      <c r="AN2086" s="58" t="str">
        <f aca="false">IF( AM2086&lt;&gt;"",VLOOKUP(AM2086,Selects!$M$4:$N$1000,2,0),"")</f>
        <v/>
      </c>
      <c r="BB2086" s="72" t="str">
        <f aca="false">IF(BA2086&lt;&gt;"",VLOOKUP(BA2086,Selects!$B$4:$C$100,2,0),"")</f>
        <v/>
      </c>
      <c r="BG2086" s="75" t="str">
        <f aca="false">IF(LEN(BF2086)=11,"PF",IF(LEN(BF2086)=14,"PJ",""))</f>
        <v/>
      </c>
      <c r="BH2086" s="66"/>
      <c r="CB2086" s="72" t="str">
        <f aca="false">IF(AC2086&lt;&gt;"",VLOOKUP(AC2086,Selects!$B:$E,4,0),"")</f>
        <v/>
      </c>
    </row>
    <row r="2087" customFormat="false" ht="15" hidden="true" customHeight="false" outlineLevel="0" collapsed="false">
      <c r="E2087" s="60" t="str">
        <f aca="false">IF(LEN(D2087)=11,"PF",IF(LEN(D2087)=14,"PJ",""))</f>
        <v/>
      </c>
      <c r="I2087" s="62"/>
      <c r="AM2087" s="68" t="str">
        <f aca="false">IF(LEFT(AL2087,1)="9","Celular",IF(AL2087="","","Fixo"))</f>
        <v/>
      </c>
      <c r="AN2087" s="58" t="str">
        <f aca="false">IF( AM2087&lt;&gt;"",VLOOKUP(AM2087,Selects!$M$4:$N$1000,2,0),"")</f>
        <v/>
      </c>
      <c r="BB2087" s="72" t="str">
        <f aca="false">IF(BA2087&lt;&gt;"",VLOOKUP(BA2087,Selects!$B$4:$C$100,2,0),"")</f>
        <v/>
      </c>
      <c r="BG2087" s="75" t="str">
        <f aca="false">IF(LEN(BF2087)=11,"PF",IF(LEN(BF2087)=14,"PJ",""))</f>
        <v/>
      </c>
      <c r="BH2087" s="66"/>
      <c r="CB2087" s="72" t="str">
        <f aca="false">IF(AC2087&lt;&gt;"",VLOOKUP(AC2087,Selects!$B:$E,4,0),"")</f>
        <v/>
      </c>
    </row>
    <row r="2088" customFormat="false" ht="15" hidden="true" customHeight="false" outlineLevel="0" collapsed="false">
      <c r="E2088" s="60" t="str">
        <f aca="false">IF(LEN(D2088)=11,"PF",IF(LEN(D2088)=14,"PJ",""))</f>
        <v/>
      </c>
      <c r="I2088" s="62"/>
      <c r="AM2088" s="68" t="str">
        <f aca="false">IF(LEFT(AL2088,1)="9","Celular",IF(AL2088="","","Fixo"))</f>
        <v/>
      </c>
      <c r="AN2088" s="58" t="str">
        <f aca="false">IF( AM2088&lt;&gt;"",VLOOKUP(AM2088,Selects!$M$4:$N$1000,2,0),"")</f>
        <v/>
      </c>
      <c r="BB2088" s="72" t="str">
        <f aca="false">IF(BA2088&lt;&gt;"",VLOOKUP(BA2088,Selects!$B$4:$C$100,2,0),"")</f>
        <v/>
      </c>
      <c r="BG2088" s="75" t="str">
        <f aca="false">IF(LEN(BF2088)=11,"PF",IF(LEN(BF2088)=14,"PJ",""))</f>
        <v/>
      </c>
      <c r="BH2088" s="66"/>
      <c r="CB2088" s="72" t="str">
        <f aca="false">IF(AC2088&lt;&gt;"",VLOOKUP(AC2088,Selects!$B:$E,4,0),"")</f>
        <v/>
      </c>
    </row>
    <row r="2089" customFormat="false" ht="15" hidden="true" customHeight="false" outlineLevel="0" collapsed="false">
      <c r="E2089" s="60" t="str">
        <f aca="false">IF(LEN(D2089)=11,"PF",IF(LEN(D2089)=14,"PJ",""))</f>
        <v/>
      </c>
      <c r="I2089" s="62"/>
      <c r="AM2089" s="68" t="str">
        <f aca="false">IF(LEFT(AL2089,1)="9","Celular",IF(AL2089="","","Fixo"))</f>
        <v/>
      </c>
      <c r="AN2089" s="58" t="str">
        <f aca="false">IF( AM2089&lt;&gt;"",VLOOKUP(AM2089,Selects!$M$4:$N$1000,2,0),"")</f>
        <v/>
      </c>
      <c r="BB2089" s="72" t="str">
        <f aca="false">IF(BA2089&lt;&gt;"",VLOOKUP(BA2089,Selects!$B$4:$C$100,2,0),"")</f>
        <v/>
      </c>
      <c r="BG2089" s="75" t="str">
        <f aca="false">IF(LEN(BF2089)=11,"PF",IF(LEN(BF2089)=14,"PJ",""))</f>
        <v/>
      </c>
      <c r="BH2089" s="66"/>
      <c r="CB2089" s="72" t="str">
        <f aca="false">IF(AC2089&lt;&gt;"",VLOOKUP(AC2089,Selects!$B:$E,4,0),"")</f>
        <v/>
      </c>
    </row>
    <row r="2090" customFormat="false" ht="15" hidden="true" customHeight="false" outlineLevel="0" collapsed="false">
      <c r="E2090" s="60" t="str">
        <f aca="false">IF(LEN(D2090)=11,"PF",IF(LEN(D2090)=14,"PJ",""))</f>
        <v/>
      </c>
      <c r="I2090" s="62"/>
      <c r="AM2090" s="68" t="str">
        <f aca="false">IF(LEFT(AL2090,1)="9","Celular",IF(AL2090="","","Fixo"))</f>
        <v/>
      </c>
      <c r="AN2090" s="58" t="str">
        <f aca="false">IF( AM2090&lt;&gt;"",VLOOKUP(AM2090,Selects!$M$4:$N$1000,2,0),"")</f>
        <v/>
      </c>
      <c r="BB2090" s="72" t="str">
        <f aca="false">IF(BA2090&lt;&gt;"",VLOOKUP(BA2090,Selects!$B$4:$C$100,2,0),"")</f>
        <v/>
      </c>
      <c r="BG2090" s="75" t="str">
        <f aca="false">IF(LEN(BF2090)=11,"PF",IF(LEN(BF2090)=14,"PJ",""))</f>
        <v/>
      </c>
      <c r="BH2090" s="66"/>
      <c r="CB2090" s="72" t="str">
        <f aca="false">IF(AC2090&lt;&gt;"",VLOOKUP(AC2090,Selects!$B:$E,4,0),"")</f>
        <v/>
      </c>
    </row>
    <row r="2091" customFormat="false" ht="15" hidden="true" customHeight="false" outlineLevel="0" collapsed="false">
      <c r="E2091" s="60" t="str">
        <f aca="false">IF(LEN(D2091)=11,"PF",IF(LEN(D2091)=14,"PJ",""))</f>
        <v/>
      </c>
      <c r="I2091" s="62"/>
      <c r="AM2091" s="68" t="str">
        <f aca="false">IF(LEFT(AL2091,1)="9","Celular",IF(AL2091="","","Fixo"))</f>
        <v/>
      </c>
      <c r="AN2091" s="58" t="str">
        <f aca="false">IF( AM2091&lt;&gt;"",VLOOKUP(AM2091,Selects!$M$4:$N$1000,2,0),"")</f>
        <v/>
      </c>
      <c r="BB2091" s="72" t="str">
        <f aca="false">IF(BA2091&lt;&gt;"",VLOOKUP(BA2091,Selects!$B$4:$C$100,2,0),"")</f>
        <v/>
      </c>
      <c r="BG2091" s="75" t="str">
        <f aca="false">IF(LEN(BF2091)=11,"PF",IF(LEN(BF2091)=14,"PJ",""))</f>
        <v/>
      </c>
      <c r="BH2091" s="66"/>
      <c r="CB2091" s="72" t="str">
        <f aca="false">IF(AC2091&lt;&gt;"",VLOOKUP(AC2091,Selects!$B:$E,4,0),"")</f>
        <v/>
      </c>
    </row>
    <row r="2092" customFormat="false" ht="15" hidden="true" customHeight="false" outlineLevel="0" collapsed="false">
      <c r="E2092" s="60" t="str">
        <f aca="false">IF(LEN(D2092)=11,"PF",IF(LEN(D2092)=14,"PJ",""))</f>
        <v/>
      </c>
      <c r="I2092" s="62"/>
      <c r="AM2092" s="68" t="str">
        <f aca="false">IF(LEFT(AL2092,1)="9","Celular",IF(AL2092="","","Fixo"))</f>
        <v/>
      </c>
      <c r="AN2092" s="58" t="str">
        <f aca="false">IF( AM2092&lt;&gt;"",VLOOKUP(AM2092,Selects!$M$4:$N$1000,2,0),"")</f>
        <v/>
      </c>
      <c r="BB2092" s="72" t="str">
        <f aca="false">IF(BA2092&lt;&gt;"",VLOOKUP(BA2092,Selects!$B$4:$C$100,2,0),"")</f>
        <v/>
      </c>
      <c r="BG2092" s="75" t="str">
        <f aca="false">IF(LEN(BF2092)=11,"PF",IF(LEN(BF2092)=14,"PJ",""))</f>
        <v/>
      </c>
      <c r="BH2092" s="66"/>
      <c r="CB2092" s="72" t="str">
        <f aca="false">IF(AC2092&lt;&gt;"",VLOOKUP(AC2092,Selects!$B:$E,4,0),"")</f>
        <v/>
      </c>
    </row>
    <row r="2093" customFormat="false" ht="15" hidden="true" customHeight="false" outlineLevel="0" collapsed="false">
      <c r="E2093" s="60" t="str">
        <f aca="false">IF(LEN(D2093)=11,"PF",IF(LEN(D2093)=14,"PJ",""))</f>
        <v/>
      </c>
      <c r="I2093" s="62"/>
      <c r="AM2093" s="68" t="str">
        <f aca="false">IF(LEFT(AL2093,1)="9","Celular",IF(AL2093="","","Fixo"))</f>
        <v/>
      </c>
      <c r="AN2093" s="58" t="str">
        <f aca="false">IF( AM2093&lt;&gt;"",VLOOKUP(AM2093,Selects!$M$4:$N$1000,2,0),"")</f>
        <v/>
      </c>
      <c r="BB2093" s="72" t="str">
        <f aca="false">IF(BA2093&lt;&gt;"",VLOOKUP(BA2093,Selects!$B$4:$C$100,2,0),"")</f>
        <v/>
      </c>
      <c r="BG2093" s="75" t="str">
        <f aca="false">IF(LEN(BF2093)=11,"PF",IF(LEN(BF2093)=14,"PJ",""))</f>
        <v/>
      </c>
      <c r="BH2093" s="66"/>
      <c r="CB2093" s="72" t="str">
        <f aca="false">IF(AC2093&lt;&gt;"",VLOOKUP(AC2093,Selects!$B:$E,4,0),"")</f>
        <v/>
      </c>
    </row>
    <row r="2094" customFormat="false" ht="15" hidden="true" customHeight="false" outlineLevel="0" collapsed="false">
      <c r="E2094" s="60" t="str">
        <f aca="false">IF(LEN(D2094)=11,"PF",IF(LEN(D2094)=14,"PJ",""))</f>
        <v/>
      </c>
      <c r="I2094" s="62"/>
      <c r="AM2094" s="68" t="str">
        <f aca="false">IF(LEFT(AL2094,1)="9","Celular",IF(AL2094="","","Fixo"))</f>
        <v/>
      </c>
      <c r="AN2094" s="58" t="str">
        <f aca="false">IF( AM2094&lt;&gt;"",VLOOKUP(AM2094,Selects!$M$4:$N$1000,2,0),"")</f>
        <v/>
      </c>
      <c r="BB2094" s="72" t="str">
        <f aca="false">IF(BA2094&lt;&gt;"",VLOOKUP(BA2094,Selects!$B$4:$C$100,2,0),"")</f>
        <v/>
      </c>
      <c r="BG2094" s="75" t="str">
        <f aca="false">IF(LEN(BF2094)=11,"PF",IF(LEN(BF2094)=14,"PJ",""))</f>
        <v/>
      </c>
      <c r="BH2094" s="66"/>
      <c r="CB2094" s="72" t="str">
        <f aca="false">IF(AC2094&lt;&gt;"",VLOOKUP(AC2094,Selects!$B:$E,4,0),"")</f>
        <v/>
      </c>
    </row>
    <row r="2095" customFormat="false" ht="15" hidden="true" customHeight="false" outlineLevel="0" collapsed="false">
      <c r="E2095" s="60" t="str">
        <f aca="false">IF(LEN(D2095)=11,"PF",IF(LEN(D2095)=14,"PJ",""))</f>
        <v/>
      </c>
      <c r="I2095" s="62"/>
      <c r="AM2095" s="68" t="str">
        <f aca="false">IF(LEFT(AL2095,1)="9","Celular",IF(AL2095="","","Fixo"))</f>
        <v/>
      </c>
      <c r="AN2095" s="58" t="str">
        <f aca="false">IF( AM2095&lt;&gt;"",VLOOKUP(AM2095,Selects!$M$4:$N$1000,2,0),"")</f>
        <v/>
      </c>
      <c r="BB2095" s="72" t="str">
        <f aca="false">IF(BA2095&lt;&gt;"",VLOOKUP(BA2095,Selects!$B$4:$C$100,2,0),"")</f>
        <v/>
      </c>
      <c r="BG2095" s="75" t="str">
        <f aca="false">IF(LEN(BF2095)=11,"PF",IF(LEN(BF2095)=14,"PJ",""))</f>
        <v/>
      </c>
      <c r="BH2095" s="66"/>
      <c r="CB2095" s="72" t="str">
        <f aca="false">IF(AC2095&lt;&gt;"",VLOOKUP(AC2095,Selects!$B:$E,4,0),"")</f>
        <v/>
      </c>
    </row>
    <row r="2096" customFormat="false" ht="15" hidden="true" customHeight="false" outlineLevel="0" collapsed="false">
      <c r="E2096" s="60" t="str">
        <f aca="false">IF(LEN(D2096)=11,"PF",IF(LEN(D2096)=14,"PJ",""))</f>
        <v/>
      </c>
      <c r="I2096" s="62"/>
      <c r="AM2096" s="68" t="str">
        <f aca="false">IF(LEFT(AL2096,1)="9","Celular",IF(AL2096="","","Fixo"))</f>
        <v/>
      </c>
      <c r="AN2096" s="58" t="str">
        <f aca="false">IF( AM2096&lt;&gt;"",VLOOKUP(AM2096,Selects!$M$4:$N$1000,2,0),"")</f>
        <v/>
      </c>
      <c r="BB2096" s="72" t="str">
        <f aca="false">IF(BA2096&lt;&gt;"",VLOOKUP(BA2096,Selects!$B$4:$C$100,2,0),"")</f>
        <v/>
      </c>
      <c r="BG2096" s="75" t="str">
        <f aca="false">IF(LEN(BF2096)=11,"PF",IF(LEN(BF2096)=14,"PJ",""))</f>
        <v/>
      </c>
      <c r="BH2096" s="66"/>
      <c r="CB2096" s="72" t="str">
        <f aca="false">IF(AC2096&lt;&gt;"",VLOOKUP(AC2096,Selects!$B:$E,4,0),"")</f>
        <v/>
      </c>
    </row>
    <row r="2097" customFormat="false" ht="15" hidden="true" customHeight="false" outlineLevel="0" collapsed="false">
      <c r="E2097" s="60" t="str">
        <f aca="false">IF(LEN(D2097)=11,"PF",IF(LEN(D2097)=14,"PJ",""))</f>
        <v/>
      </c>
      <c r="I2097" s="62"/>
      <c r="AM2097" s="68" t="str">
        <f aca="false">IF(LEFT(AL2097,1)="9","Celular",IF(AL2097="","","Fixo"))</f>
        <v/>
      </c>
      <c r="AN2097" s="58" t="str">
        <f aca="false">IF( AM2097&lt;&gt;"",VLOOKUP(AM2097,Selects!$M$4:$N$1000,2,0),"")</f>
        <v/>
      </c>
      <c r="BB2097" s="72" t="str">
        <f aca="false">IF(BA2097&lt;&gt;"",VLOOKUP(BA2097,Selects!$B$4:$C$100,2,0),"")</f>
        <v/>
      </c>
      <c r="BG2097" s="75" t="str">
        <f aca="false">IF(LEN(BF2097)=11,"PF",IF(LEN(BF2097)=14,"PJ",""))</f>
        <v/>
      </c>
      <c r="BH2097" s="66"/>
      <c r="CB2097" s="72" t="str">
        <f aca="false">IF(AC2097&lt;&gt;"",VLOOKUP(AC2097,Selects!$B:$E,4,0),"")</f>
        <v/>
      </c>
    </row>
    <row r="2098" customFormat="false" ht="15" hidden="true" customHeight="false" outlineLevel="0" collapsed="false">
      <c r="E2098" s="60" t="str">
        <f aca="false">IF(LEN(D2098)=11,"PF",IF(LEN(D2098)=14,"PJ",""))</f>
        <v/>
      </c>
      <c r="I2098" s="62"/>
      <c r="AM2098" s="68" t="str">
        <f aca="false">IF(LEFT(AL2098,1)="9","Celular",IF(AL2098="","","Fixo"))</f>
        <v/>
      </c>
      <c r="AN2098" s="58" t="str">
        <f aca="false">IF( AM2098&lt;&gt;"",VLOOKUP(AM2098,Selects!$M$4:$N$1000,2,0),"")</f>
        <v/>
      </c>
      <c r="BB2098" s="72" t="str">
        <f aca="false">IF(BA2098&lt;&gt;"",VLOOKUP(BA2098,Selects!$B$4:$C$100,2,0),"")</f>
        <v/>
      </c>
      <c r="BG2098" s="75" t="str">
        <f aca="false">IF(LEN(BF2098)=11,"PF",IF(LEN(BF2098)=14,"PJ",""))</f>
        <v/>
      </c>
      <c r="BH2098" s="66"/>
      <c r="CB2098" s="72" t="str">
        <f aca="false">IF(AC2098&lt;&gt;"",VLOOKUP(AC2098,Selects!$B:$E,4,0),"")</f>
        <v/>
      </c>
    </row>
    <row r="2099" customFormat="false" ht="15" hidden="true" customHeight="false" outlineLevel="0" collapsed="false">
      <c r="E2099" s="60" t="str">
        <f aca="false">IF(LEN(D2099)=11,"PF",IF(LEN(D2099)=14,"PJ",""))</f>
        <v/>
      </c>
      <c r="I2099" s="62"/>
      <c r="AM2099" s="68" t="str">
        <f aca="false">IF(LEFT(AL2099,1)="9","Celular",IF(AL2099="","","Fixo"))</f>
        <v/>
      </c>
      <c r="AN2099" s="58" t="str">
        <f aca="false">IF( AM2099&lt;&gt;"",VLOOKUP(AM2099,Selects!$M$4:$N$1000,2,0),"")</f>
        <v/>
      </c>
      <c r="BB2099" s="72" t="str">
        <f aca="false">IF(BA2099&lt;&gt;"",VLOOKUP(BA2099,Selects!$B$4:$C$100,2,0),"")</f>
        <v/>
      </c>
      <c r="BG2099" s="75" t="str">
        <f aca="false">IF(LEN(BF2099)=11,"PF",IF(LEN(BF2099)=14,"PJ",""))</f>
        <v/>
      </c>
      <c r="BH2099" s="66"/>
      <c r="CB2099" s="72" t="str">
        <f aca="false">IF(AC2099&lt;&gt;"",VLOOKUP(AC2099,Selects!$B:$E,4,0),"")</f>
        <v/>
      </c>
    </row>
    <row r="2100" customFormat="false" ht="15" hidden="true" customHeight="false" outlineLevel="0" collapsed="false">
      <c r="E2100" s="60" t="str">
        <f aca="false">IF(LEN(D2100)=11,"PF",IF(LEN(D2100)=14,"PJ",""))</f>
        <v/>
      </c>
      <c r="I2100" s="62"/>
      <c r="AM2100" s="68" t="str">
        <f aca="false">IF(LEFT(AL2100,1)="9","Celular",IF(AL2100="","","Fixo"))</f>
        <v/>
      </c>
      <c r="AN2100" s="58" t="str">
        <f aca="false">IF( AM2100&lt;&gt;"",VLOOKUP(AM2100,Selects!$M$4:$N$1000,2,0),"")</f>
        <v/>
      </c>
      <c r="BB2100" s="72" t="str">
        <f aca="false">IF(BA2100&lt;&gt;"",VLOOKUP(BA2100,Selects!$B$4:$C$100,2,0),"")</f>
        <v/>
      </c>
      <c r="BG2100" s="75" t="str">
        <f aca="false">IF(LEN(BF2100)=11,"PF",IF(LEN(BF2100)=14,"PJ",""))</f>
        <v/>
      </c>
      <c r="BH2100" s="66"/>
      <c r="CB2100" s="72" t="str">
        <f aca="false">IF(AC2100&lt;&gt;"",VLOOKUP(AC2100,Selects!$B:$E,4,0),"")</f>
        <v/>
      </c>
    </row>
    <row r="2101" customFormat="false" ht="15" hidden="true" customHeight="false" outlineLevel="0" collapsed="false">
      <c r="E2101" s="60" t="str">
        <f aca="false">IF(LEN(D2101)=11,"PF",IF(LEN(D2101)=14,"PJ",""))</f>
        <v/>
      </c>
      <c r="I2101" s="62"/>
      <c r="AM2101" s="68" t="str">
        <f aca="false">IF(LEFT(AL2101,1)="9","Celular",IF(AL2101="","","Fixo"))</f>
        <v/>
      </c>
      <c r="AN2101" s="58" t="str">
        <f aca="false">IF( AM2101&lt;&gt;"",VLOOKUP(AM2101,Selects!$M$4:$N$1000,2,0),"")</f>
        <v/>
      </c>
      <c r="BB2101" s="72" t="str">
        <f aca="false">IF(BA2101&lt;&gt;"",VLOOKUP(BA2101,Selects!$B$4:$C$100,2,0),"")</f>
        <v/>
      </c>
      <c r="BG2101" s="75" t="str">
        <f aca="false">IF(LEN(BF2101)=11,"PF",IF(LEN(BF2101)=14,"PJ",""))</f>
        <v/>
      </c>
      <c r="BH2101" s="66"/>
      <c r="CB2101" s="72" t="str">
        <f aca="false">IF(AC2101&lt;&gt;"",VLOOKUP(AC2101,Selects!$B:$E,4,0),"")</f>
        <v/>
      </c>
    </row>
    <row r="2102" customFormat="false" ht="15" hidden="true" customHeight="false" outlineLevel="0" collapsed="false">
      <c r="E2102" s="60" t="str">
        <f aca="false">IF(LEN(D2102)=11,"PF",IF(LEN(D2102)=14,"PJ",""))</f>
        <v/>
      </c>
      <c r="I2102" s="62"/>
      <c r="AM2102" s="68" t="str">
        <f aca="false">IF(LEFT(AL2102,1)="9","Celular",IF(AL2102="","","Fixo"))</f>
        <v/>
      </c>
      <c r="AN2102" s="58" t="str">
        <f aca="false">IF( AM2102&lt;&gt;"",VLOOKUP(AM2102,Selects!$M$4:$N$1000,2,0),"")</f>
        <v/>
      </c>
      <c r="BB2102" s="72" t="str">
        <f aca="false">IF(BA2102&lt;&gt;"",VLOOKUP(BA2102,Selects!$B$4:$C$100,2,0),"")</f>
        <v/>
      </c>
      <c r="BG2102" s="75" t="str">
        <f aca="false">IF(LEN(BF2102)=11,"PF",IF(LEN(BF2102)=14,"PJ",""))</f>
        <v/>
      </c>
      <c r="BH2102" s="66"/>
      <c r="CB2102" s="72" t="str">
        <f aca="false">IF(AC2102&lt;&gt;"",VLOOKUP(AC2102,Selects!$B:$E,4,0),"")</f>
        <v/>
      </c>
    </row>
    <row r="2103" customFormat="false" ht="15" hidden="true" customHeight="false" outlineLevel="0" collapsed="false">
      <c r="E2103" s="60" t="str">
        <f aca="false">IF(LEN(D2103)=11,"PF",IF(LEN(D2103)=14,"PJ",""))</f>
        <v/>
      </c>
      <c r="I2103" s="62"/>
      <c r="AM2103" s="68" t="str">
        <f aca="false">IF(LEFT(AL2103,1)="9","Celular",IF(AL2103="","","Fixo"))</f>
        <v/>
      </c>
      <c r="AN2103" s="58" t="str">
        <f aca="false">IF( AM2103&lt;&gt;"",VLOOKUP(AM2103,Selects!$M$4:$N$1000,2,0),"")</f>
        <v/>
      </c>
      <c r="BB2103" s="72" t="str">
        <f aca="false">IF(BA2103&lt;&gt;"",VLOOKUP(BA2103,Selects!$B$4:$C$100,2,0),"")</f>
        <v/>
      </c>
      <c r="BG2103" s="75" t="str">
        <f aca="false">IF(LEN(BF2103)=11,"PF",IF(LEN(BF2103)=14,"PJ",""))</f>
        <v/>
      </c>
      <c r="BH2103" s="66"/>
      <c r="CB2103" s="72" t="str">
        <f aca="false">IF(AC2103&lt;&gt;"",VLOOKUP(AC2103,Selects!$B:$E,4,0),"")</f>
        <v/>
      </c>
    </row>
    <row r="2104" customFormat="false" ht="15" hidden="true" customHeight="false" outlineLevel="0" collapsed="false">
      <c r="E2104" s="60" t="str">
        <f aca="false">IF(LEN(D2104)=11,"PF",IF(LEN(D2104)=14,"PJ",""))</f>
        <v/>
      </c>
      <c r="I2104" s="62"/>
      <c r="AM2104" s="68" t="str">
        <f aca="false">IF(LEFT(AL2104,1)="9","Celular",IF(AL2104="","","Fixo"))</f>
        <v/>
      </c>
      <c r="AN2104" s="58" t="str">
        <f aca="false">IF( AM2104&lt;&gt;"",VLOOKUP(AM2104,Selects!$M$4:$N$1000,2,0),"")</f>
        <v/>
      </c>
      <c r="BB2104" s="72" t="str">
        <f aca="false">IF(BA2104&lt;&gt;"",VLOOKUP(BA2104,Selects!$B$4:$C$100,2,0),"")</f>
        <v/>
      </c>
      <c r="BG2104" s="75" t="str">
        <f aca="false">IF(LEN(BF2104)=11,"PF",IF(LEN(BF2104)=14,"PJ",""))</f>
        <v/>
      </c>
      <c r="BH2104" s="66"/>
      <c r="CB2104" s="72" t="str">
        <f aca="false">IF(AC2104&lt;&gt;"",VLOOKUP(AC2104,Selects!$B:$E,4,0),"")</f>
        <v/>
      </c>
    </row>
    <row r="2105" customFormat="false" ht="15" hidden="true" customHeight="false" outlineLevel="0" collapsed="false">
      <c r="E2105" s="60" t="str">
        <f aca="false">IF(LEN(D2105)=11,"PF",IF(LEN(D2105)=14,"PJ",""))</f>
        <v/>
      </c>
      <c r="I2105" s="62"/>
      <c r="AM2105" s="68" t="str">
        <f aca="false">IF(LEFT(AL2105,1)="9","Celular",IF(AL2105="","","Fixo"))</f>
        <v/>
      </c>
      <c r="AN2105" s="58" t="str">
        <f aca="false">IF( AM2105&lt;&gt;"",VLOOKUP(AM2105,Selects!$M$4:$N$1000,2,0),"")</f>
        <v/>
      </c>
      <c r="BB2105" s="72" t="str">
        <f aca="false">IF(BA2105&lt;&gt;"",VLOOKUP(BA2105,Selects!$B$4:$C$100,2,0),"")</f>
        <v/>
      </c>
      <c r="BG2105" s="75" t="str">
        <f aca="false">IF(LEN(BF2105)=11,"PF",IF(LEN(BF2105)=14,"PJ",""))</f>
        <v/>
      </c>
      <c r="BH2105" s="66"/>
      <c r="CB2105" s="72" t="str">
        <f aca="false">IF(AC2105&lt;&gt;"",VLOOKUP(AC2105,Selects!$B:$E,4,0),"")</f>
        <v/>
      </c>
    </row>
    <row r="2106" customFormat="false" ht="15" hidden="true" customHeight="false" outlineLevel="0" collapsed="false">
      <c r="E2106" s="60" t="str">
        <f aca="false">IF(LEN(D2106)=11,"PF",IF(LEN(D2106)=14,"PJ",""))</f>
        <v/>
      </c>
      <c r="I2106" s="62"/>
      <c r="AM2106" s="68" t="str">
        <f aca="false">IF(LEFT(AL2106,1)="9","Celular",IF(AL2106="","","Fixo"))</f>
        <v/>
      </c>
      <c r="AN2106" s="58" t="str">
        <f aca="false">IF( AM2106&lt;&gt;"",VLOOKUP(AM2106,Selects!$M$4:$N$1000,2,0),"")</f>
        <v/>
      </c>
      <c r="BB2106" s="72" t="str">
        <f aca="false">IF(BA2106&lt;&gt;"",VLOOKUP(BA2106,Selects!$B$4:$C$100,2,0),"")</f>
        <v/>
      </c>
      <c r="BG2106" s="75" t="str">
        <f aca="false">IF(LEN(BF2106)=11,"PF",IF(LEN(BF2106)=14,"PJ",""))</f>
        <v/>
      </c>
      <c r="BH2106" s="66"/>
      <c r="CB2106" s="72" t="str">
        <f aca="false">IF(AC2106&lt;&gt;"",VLOOKUP(AC2106,Selects!$B:$E,4,0),"")</f>
        <v/>
      </c>
    </row>
    <row r="2107" customFormat="false" ht="15" hidden="true" customHeight="false" outlineLevel="0" collapsed="false">
      <c r="E2107" s="60" t="str">
        <f aca="false">IF(LEN(D2107)=11,"PF",IF(LEN(D2107)=14,"PJ",""))</f>
        <v/>
      </c>
      <c r="I2107" s="62"/>
      <c r="AM2107" s="68" t="str">
        <f aca="false">IF(LEFT(AL2107,1)="9","Celular",IF(AL2107="","","Fixo"))</f>
        <v/>
      </c>
      <c r="AN2107" s="58" t="str">
        <f aca="false">IF( AM2107&lt;&gt;"",VLOOKUP(AM2107,Selects!$M$4:$N$1000,2,0),"")</f>
        <v/>
      </c>
      <c r="BB2107" s="72" t="str">
        <f aca="false">IF(BA2107&lt;&gt;"",VLOOKUP(BA2107,Selects!$B$4:$C$100,2,0),"")</f>
        <v/>
      </c>
      <c r="BG2107" s="75" t="str">
        <f aca="false">IF(LEN(BF2107)=11,"PF",IF(LEN(BF2107)=14,"PJ",""))</f>
        <v/>
      </c>
      <c r="BH2107" s="66"/>
      <c r="CB2107" s="72" t="str">
        <f aca="false">IF(AC2107&lt;&gt;"",VLOOKUP(AC2107,Selects!$B:$E,4,0),"")</f>
        <v/>
      </c>
    </row>
    <row r="2108" customFormat="false" ht="15" hidden="true" customHeight="false" outlineLevel="0" collapsed="false">
      <c r="E2108" s="60" t="str">
        <f aca="false">IF(LEN(D2108)=11,"PF",IF(LEN(D2108)=14,"PJ",""))</f>
        <v/>
      </c>
      <c r="I2108" s="62"/>
      <c r="AM2108" s="68" t="str">
        <f aca="false">IF(LEFT(AL2108,1)="9","Celular",IF(AL2108="","","Fixo"))</f>
        <v/>
      </c>
      <c r="AN2108" s="58" t="str">
        <f aca="false">IF( AM2108&lt;&gt;"",VLOOKUP(AM2108,Selects!$M$4:$N$1000,2,0),"")</f>
        <v/>
      </c>
      <c r="BB2108" s="72" t="str">
        <f aca="false">IF(BA2108&lt;&gt;"",VLOOKUP(BA2108,Selects!$B$4:$C$100,2,0),"")</f>
        <v/>
      </c>
      <c r="BG2108" s="75" t="str">
        <f aca="false">IF(LEN(BF2108)=11,"PF",IF(LEN(BF2108)=14,"PJ",""))</f>
        <v/>
      </c>
      <c r="BH2108" s="66"/>
      <c r="CB2108" s="72" t="str">
        <f aca="false">IF(AC2108&lt;&gt;"",VLOOKUP(AC2108,Selects!$B:$E,4,0),"")</f>
        <v/>
      </c>
    </row>
    <row r="2109" customFormat="false" ht="15" hidden="true" customHeight="false" outlineLevel="0" collapsed="false">
      <c r="E2109" s="60" t="str">
        <f aca="false">IF(LEN(D2109)=11,"PF",IF(LEN(D2109)=14,"PJ",""))</f>
        <v/>
      </c>
      <c r="I2109" s="62"/>
      <c r="AM2109" s="68" t="str">
        <f aca="false">IF(LEFT(AL2109,1)="9","Celular",IF(AL2109="","","Fixo"))</f>
        <v/>
      </c>
      <c r="AN2109" s="58" t="str">
        <f aca="false">IF( AM2109&lt;&gt;"",VLOOKUP(AM2109,Selects!$M$4:$N$1000,2,0),"")</f>
        <v/>
      </c>
      <c r="BB2109" s="72" t="str">
        <f aca="false">IF(BA2109&lt;&gt;"",VLOOKUP(BA2109,Selects!$B$4:$C$100,2,0),"")</f>
        <v/>
      </c>
      <c r="BG2109" s="75" t="str">
        <f aca="false">IF(LEN(BF2109)=11,"PF",IF(LEN(BF2109)=14,"PJ",""))</f>
        <v/>
      </c>
      <c r="BH2109" s="66"/>
      <c r="CB2109" s="72" t="str">
        <f aca="false">IF(AC2109&lt;&gt;"",VLOOKUP(AC2109,Selects!$B:$E,4,0),"")</f>
        <v/>
      </c>
    </row>
    <row r="2110" customFormat="false" ht="15" hidden="true" customHeight="false" outlineLevel="0" collapsed="false">
      <c r="E2110" s="60" t="str">
        <f aca="false">IF(LEN(D2110)=11,"PF",IF(LEN(D2110)=14,"PJ",""))</f>
        <v/>
      </c>
      <c r="I2110" s="62"/>
      <c r="AM2110" s="68" t="str">
        <f aca="false">IF(LEFT(AL2110,1)="9","Celular",IF(AL2110="","","Fixo"))</f>
        <v/>
      </c>
      <c r="AN2110" s="58" t="str">
        <f aca="false">IF( AM2110&lt;&gt;"",VLOOKUP(AM2110,Selects!$M$4:$N$1000,2,0),"")</f>
        <v/>
      </c>
      <c r="BB2110" s="72" t="str">
        <f aca="false">IF(BA2110&lt;&gt;"",VLOOKUP(BA2110,Selects!$B$4:$C$100,2,0),"")</f>
        <v/>
      </c>
      <c r="BG2110" s="75" t="str">
        <f aca="false">IF(LEN(BF2110)=11,"PF",IF(LEN(BF2110)=14,"PJ",""))</f>
        <v/>
      </c>
      <c r="BH2110" s="66"/>
      <c r="CB2110" s="72" t="str">
        <f aca="false">IF(AC2110&lt;&gt;"",VLOOKUP(AC2110,Selects!$B:$E,4,0),"")</f>
        <v/>
      </c>
    </row>
    <row r="2111" customFormat="false" ht="15" hidden="true" customHeight="false" outlineLevel="0" collapsed="false">
      <c r="E2111" s="60" t="str">
        <f aca="false">IF(LEN(D2111)=11,"PF",IF(LEN(D2111)=14,"PJ",""))</f>
        <v/>
      </c>
      <c r="I2111" s="62"/>
      <c r="AM2111" s="68" t="str">
        <f aca="false">IF(LEFT(AL2111,1)="9","Celular",IF(AL2111="","","Fixo"))</f>
        <v/>
      </c>
      <c r="AN2111" s="58" t="str">
        <f aca="false">IF( AM2111&lt;&gt;"",VLOOKUP(AM2111,Selects!$M$4:$N$1000,2,0),"")</f>
        <v/>
      </c>
      <c r="BB2111" s="72" t="str">
        <f aca="false">IF(BA2111&lt;&gt;"",VLOOKUP(BA2111,Selects!$B$4:$C$100,2,0),"")</f>
        <v/>
      </c>
      <c r="BG2111" s="75" t="str">
        <f aca="false">IF(LEN(BF2111)=11,"PF",IF(LEN(BF2111)=14,"PJ",""))</f>
        <v/>
      </c>
      <c r="BH2111" s="66"/>
      <c r="CB2111" s="72" t="str">
        <f aca="false">IF(AC2111&lt;&gt;"",VLOOKUP(AC2111,Selects!$B:$E,4,0),"")</f>
        <v/>
      </c>
    </row>
    <row r="2112" customFormat="false" ht="15" hidden="true" customHeight="false" outlineLevel="0" collapsed="false">
      <c r="E2112" s="60" t="str">
        <f aca="false">IF(LEN(D2112)=11,"PF",IF(LEN(D2112)=14,"PJ",""))</f>
        <v/>
      </c>
      <c r="I2112" s="62"/>
      <c r="AM2112" s="68" t="str">
        <f aca="false">IF(LEFT(AL2112,1)="9","Celular",IF(AL2112="","","Fixo"))</f>
        <v/>
      </c>
      <c r="AN2112" s="58" t="str">
        <f aca="false">IF( AM2112&lt;&gt;"",VLOOKUP(AM2112,Selects!$M$4:$N$1000,2,0),"")</f>
        <v/>
      </c>
      <c r="BB2112" s="72" t="str">
        <f aca="false">IF(BA2112&lt;&gt;"",VLOOKUP(BA2112,Selects!$B$4:$C$100,2,0),"")</f>
        <v/>
      </c>
      <c r="BG2112" s="75" t="str">
        <f aca="false">IF(LEN(BF2112)=11,"PF",IF(LEN(BF2112)=14,"PJ",""))</f>
        <v/>
      </c>
      <c r="BH2112" s="66"/>
      <c r="CB2112" s="72" t="str">
        <f aca="false">IF(AC2112&lt;&gt;"",VLOOKUP(AC2112,Selects!$B:$E,4,0),"")</f>
        <v/>
      </c>
    </row>
    <row r="2113" customFormat="false" ht="15" hidden="true" customHeight="false" outlineLevel="0" collapsed="false">
      <c r="E2113" s="60" t="str">
        <f aca="false">IF(LEN(D2113)=11,"PF",IF(LEN(D2113)=14,"PJ",""))</f>
        <v/>
      </c>
      <c r="I2113" s="62"/>
      <c r="AM2113" s="68" t="str">
        <f aca="false">IF(LEFT(AL2113,1)="9","Celular",IF(AL2113="","","Fixo"))</f>
        <v/>
      </c>
      <c r="AN2113" s="58" t="str">
        <f aca="false">IF( AM2113&lt;&gt;"",VLOOKUP(AM2113,Selects!$M$4:$N$1000,2,0),"")</f>
        <v/>
      </c>
      <c r="BB2113" s="72" t="str">
        <f aca="false">IF(BA2113&lt;&gt;"",VLOOKUP(BA2113,Selects!$B$4:$C$100,2,0),"")</f>
        <v/>
      </c>
      <c r="BG2113" s="75" t="str">
        <f aca="false">IF(LEN(BF2113)=11,"PF",IF(LEN(BF2113)=14,"PJ",""))</f>
        <v/>
      </c>
      <c r="BH2113" s="66"/>
      <c r="CB2113" s="72" t="str">
        <f aca="false">IF(AC2113&lt;&gt;"",VLOOKUP(AC2113,Selects!$B:$E,4,0),"")</f>
        <v/>
      </c>
    </row>
    <row r="2114" customFormat="false" ht="15" hidden="true" customHeight="false" outlineLevel="0" collapsed="false">
      <c r="E2114" s="60" t="str">
        <f aca="false">IF(LEN(D2114)=11,"PF",IF(LEN(D2114)=14,"PJ",""))</f>
        <v/>
      </c>
      <c r="I2114" s="62"/>
      <c r="AM2114" s="68" t="str">
        <f aca="false">IF(LEFT(AL2114,1)="9","Celular",IF(AL2114="","","Fixo"))</f>
        <v/>
      </c>
      <c r="AN2114" s="58" t="str">
        <f aca="false">IF( AM2114&lt;&gt;"",VLOOKUP(AM2114,Selects!$M$4:$N$1000,2,0),"")</f>
        <v/>
      </c>
      <c r="BB2114" s="72" t="str">
        <f aca="false">IF(BA2114&lt;&gt;"",VLOOKUP(BA2114,Selects!$B$4:$C$100,2,0),"")</f>
        <v/>
      </c>
      <c r="BG2114" s="75" t="str">
        <f aca="false">IF(LEN(BF2114)=11,"PF",IF(LEN(BF2114)=14,"PJ",""))</f>
        <v/>
      </c>
      <c r="BH2114" s="66"/>
      <c r="CB2114" s="72" t="str">
        <f aca="false">IF(AC2114&lt;&gt;"",VLOOKUP(AC2114,Selects!$B:$E,4,0),"")</f>
        <v/>
      </c>
    </row>
    <row r="2115" customFormat="false" ht="15" hidden="true" customHeight="false" outlineLevel="0" collapsed="false">
      <c r="E2115" s="60" t="str">
        <f aca="false">IF(LEN(D2115)=11,"PF",IF(LEN(D2115)=14,"PJ",""))</f>
        <v/>
      </c>
      <c r="I2115" s="62"/>
      <c r="AM2115" s="68" t="str">
        <f aca="false">IF(LEFT(AL2115,1)="9","Celular",IF(AL2115="","","Fixo"))</f>
        <v/>
      </c>
      <c r="AN2115" s="58" t="str">
        <f aca="false">IF( AM2115&lt;&gt;"",VLOOKUP(AM2115,Selects!$M$4:$N$1000,2,0),"")</f>
        <v/>
      </c>
      <c r="BB2115" s="72" t="str">
        <f aca="false">IF(BA2115&lt;&gt;"",VLOOKUP(BA2115,Selects!$B$4:$C$100,2,0),"")</f>
        <v/>
      </c>
      <c r="BG2115" s="75" t="str">
        <f aca="false">IF(LEN(BF2115)=11,"PF",IF(LEN(BF2115)=14,"PJ",""))</f>
        <v/>
      </c>
      <c r="BH2115" s="66"/>
      <c r="CB2115" s="72" t="str">
        <f aca="false">IF(AC2115&lt;&gt;"",VLOOKUP(AC2115,Selects!$B:$E,4,0),"")</f>
        <v/>
      </c>
    </row>
    <row r="2116" customFormat="false" ht="15" hidden="true" customHeight="false" outlineLevel="0" collapsed="false">
      <c r="E2116" s="60" t="str">
        <f aca="false">IF(LEN(D2116)=11,"PF",IF(LEN(D2116)=14,"PJ",""))</f>
        <v/>
      </c>
      <c r="I2116" s="62"/>
      <c r="AM2116" s="68" t="str">
        <f aca="false">IF(LEFT(AL2116,1)="9","Celular",IF(AL2116="","","Fixo"))</f>
        <v/>
      </c>
      <c r="AN2116" s="58" t="str">
        <f aca="false">IF( AM2116&lt;&gt;"",VLOOKUP(AM2116,Selects!$M$4:$N$1000,2,0),"")</f>
        <v/>
      </c>
      <c r="BB2116" s="72" t="str">
        <f aca="false">IF(BA2116&lt;&gt;"",VLOOKUP(BA2116,Selects!$B$4:$C$100,2,0),"")</f>
        <v/>
      </c>
      <c r="BG2116" s="75" t="str">
        <f aca="false">IF(LEN(BF2116)=11,"PF",IF(LEN(BF2116)=14,"PJ",""))</f>
        <v/>
      </c>
      <c r="BH2116" s="66"/>
      <c r="CB2116" s="72" t="str">
        <f aca="false">IF(AC2116&lt;&gt;"",VLOOKUP(AC2116,Selects!$B:$E,4,0),"")</f>
        <v/>
      </c>
    </row>
    <row r="2117" customFormat="false" ht="15" hidden="true" customHeight="false" outlineLevel="0" collapsed="false">
      <c r="E2117" s="60" t="str">
        <f aca="false">IF(LEN(D2117)=11,"PF",IF(LEN(D2117)=14,"PJ",""))</f>
        <v/>
      </c>
      <c r="I2117" s="62"/>
      <c r="AM2117" s="68" t="str">
        <f aca="false">IF(LEFT(AL2117,1)="9","Celular",IF(AL2117="","","Fixo"))</f>
        <v/>
      </c>
      <c r="AN2117" s="58" t="str">
        <f aca="false">IF( AM2117&lt;&gt;"",VLOOKUP(AM2117,Selects!$M$4:$N$1000,2,0),"")</f>
        <v/>
      </c>
      <c r="BB2117" s="72" t="str">
        <f aca="false">IF(BA2117&lt;&gt;"",VLOOKUP(BA2117,Selects!$B$4:$C$100,2,0),"")</f>
        <v/>
      </c>
      <c r="BG2117" s="75" t="str">
        <f aca="false">IF(LEN(BF2117)=11,"PF",IF(LEN(BF2117)=14,"PJ",""))</f>
        <v/>
      </c>
      <c r="BH2117" s="66"/>
      <c r="CB2117" s="72" t="str">
        <f aca="false">IF(AC2117&lt;&gt;"",VLOOKUP(AC2117,Selects!$B:$E,4,0),"")</f>
        <v/>
      </c>
    </row>
    <row r="2118" customFormat="false" ht="15" hidden="true" customHeight="false" outlineLevel="0" collapsed="false">
      <c r="E2118" s="60" t="str">
        <f aca="false">IF(LEN(D2118)=11,"PF",IF(LEN(D2118)=14,"PJ",""))</f>
        <v/>
      </c>
      <c r="I2118" s="62"/>
      <c r="AM2118" s="68" t="str">
        <f aca="false">IF(LEFT(AL2118,1)="9","Celular",IF(AL2118="","","Fixo"))</f>
        <v/>
      </c>
      <c r="AN2118" s="58" t="str">
        <f aca="false">IF( AM2118&lt;&gt;"",VLOOKUP(AM2118,Selects!$M$4:$N$1000,2,0),"")</f>
        <v/>
      </c>
      <c r="BB2118" s="72" t="str">
        <f aca="false">IF(BA2118&lt;&gt;"",VLOOKUP(BA2118,Selects!$B$4:$C$100,2,0),"")</f>
        <v/>
      </c>
      <c r="BG2118" s="75" t="str">
        <f aca="false">IF(LEN(BF2118)=11,"PF",IF(LEN(BF2118)=14,"PJ",""))</f>
        <v/>
      </c>
      <c r="BH2118" s="66"/>
      <c r="CB2118" s="72" t="str">
        <f aca="false">IF(AC2118&lt;&gt;"",VLOOKUP(AC2118,Selects!$B:$E,4,0),"")</f>
        <v/>
      </c>
    </row>
    <row r="2119" customFormat="false" ht="15" hidden="true" customHeight="false" outlineLevel="0" collapsed="false">
      <c r="E2119" s="60" t="str">
        <f aca="false">IF(LEN(D2119)=11,"PF",IF(LEN(D2119)=14,"PJ",""))</f>
        <v/>
      </c>
      <c r="I2119" s="62"/>
      <c r="AM2119" s="68" t="str">
        <f aca="false">IF(LEFT(AL2119,1)="9","Celular",IF(AL2119="","","Fixo"))</f>
        <v/>
      </c>
      <c r="AN2119" s="58" t="str">
        <f aca="false">IF( AM2119&lt;&gt;"",VLOOKUP(AM2119,Selects!$M$4:$N$1000,2,0),"")</f>
        <v/>
      </c>
      <c r="BB2119" s="72" t="str">
        <f aca="false">IF(BA2119&lt;&gt;"",VLOOKUP(BA2119,Selects!$B$4:$C$100,2,0),"")</f>
        <v/>
      </c>
      <c r="BG2119" s="75" t="str">
        <f aca="false">IF(LEN(BF2119)=11,"PF",IF(LEN(BF2119)=14,"PJ",""))</f>
        <v/>
      </c>
      <c r="BH2119" s="66"/>
      <c r="CB2119" s="72" t="str">
        <f aca="false">IF(AC2119&lt;&gt;"",VLOOKUP(AC2119,Selects!$B:$E,4,0),"")</f>
        <v/>
      </c>
    </row>
    <row r="2120" customFormat="false" ht="15" hidden="true" customHeight="false" outlineLevel="0" collapsed="false">
      <c r="E2120" s="60" t="str">
        <f aca="false">IF(LEN(D2120)=11,"PF",IF(LEN(D2120)=14,"PJ",""))</f>
        <v/>
      </c>
      <c r="I2120" s="62"/>
      <c r="AM2120" s="68" t="str">
        <f aca="false">IF(LEFT(AL2120,1)="9","Celular",IF(AL2120="","","Fixo"))</f>
        <v/>
      </c>
      <c r="AN2120" s="58" t="str">
        <f aca="false">IF( AM2120&lt;&gt;"",VLOOKUP(AM2120,Selects!$M$4:$N$1000,2,0),"")</f>
        <v/>
      </c>
      <c r="BB2120" s="72" t="str">
        <f aca="false">IF(BA2120&lt;&gt;"",VLOOKUP(BA2120,Selects!$B$4:$C$100,2,0),"")</f>
        <v/>
      </c>
      <c r="BG2120" s="75" t="str">
        <f aca="false">IF(LEN(BF2120)=11,"PF",IF(LEN(BF2120)=14,"PJ",""))</f>
        <v/>
      </c>
      <c r="BH2120" s="66"/>
      <c r="CB2120" s="72" t="str">
        <f aca="false">IF(AC2120&lt;&gt;"",VLOOKUP(AC2120,Selects!$B:$E,4,0),"")</f>
        <v/>
      </c>
    </row>
    <row r="2121" customFormat="false" ht="15" hidden="true" customHeight="false" outlineLevel="0" collapsed="false">
      <c r="E2121" s="60" t="str">
        <f aca="false">IF(LEN(D2121)=11,"PF",IF(LEN(D2121)=14,"PJ",""))</f>
        <v/>
      </c>
      <c r="I2121" s="62"/>
      <c r="AM2121" s="68" t="str">
        <f aca="false">IF(LEFT(AL2121,1)="9","Celular",IF(AL2121="","","Fixo"))</f>
        <v/>
      </c>
      <c r="AN2121" s="58" t="str">
        <f aca="false">IF( AM2121&lt;&gt;"",VLOOKUP(AM2121,Selects!$M$4:$N$1000,2,0),"")</f>
        <v/>
      </c>
      <c r="BB2121" s="72" t="str">
        <f aca="false">IF(BA2121&lt;&gt;"",VLOOKUP(BA2121,Selects!$B$4:$C$100,2,0),"")</f>
        <v/>
      </c>
      <c r="BG2121" s="75" t="str">
        <f aca="false">IF(LEN(BF2121)=11,"PF",IF(LEN(BF2121)=14,"PJ",""))</f>
        <v/>
      </c>
      <c r="BH2121" s="66"/>
      <c r="CB2121" s="72" t="str">
        <f aca="false">IF(AC2121&lt;&gt;"",VLOOKUP(AC2121,Selects!$B:$E,4,0),"")</f>
        <v/>
      </c>
    </row>
    <row r="2122" customFormat="false" ht="15" hidden="true" customHeight="false" outlineLevel="0" collapsed="false">
      <c r="E2122" s="60" t="str">
        <f aca="false">IF(LEN(D2122)=11,"PF",IF(LEN(D2122)=14,"PJ",""))</f>
        <v/>
      </c>
      <c r="I2122" s="62"/>
      <c r="AM2122" s="68" t="str">
        <f aca="false">IF(LEFT(AL2122,1)="9","Celular",IF(AL2122="","","Fixo"))</f>
        <v/>
      </c>
      <c r="AN2122" s="58" t="str">
        <f aca="false">IF( AM2122&lt;&gt;"",VLOOKUP(AM2122,Selects!$M$4:$N$1000,2,0),"")</f>
        <v/>
      </c>
      <c r="BB2122" s="72" t="str">
        <f aca="false">IF(BA2122&lt;&gt;"",VLOOKUP(BA2122,Selects!$B$4:$C$100,2,0),"")</f>
        <v/>
      </c>
      <c r="BG2122" s="75" t="str">
        <f aca="false">IF(LEN(BF2122)=11,"PF",IF(LEN(BF2122)=14,"PJ",""))</f>
        <v/>
      </c>
      <c r="BH2122" s="66"/>
      <c r="CB2122" s="72" t="str">
        <f aca="false">IF(AC2122&lt;&gt;"",VLOOKUP(AC2122,Selects!$B:$E,4,0),"")</f>
        <v/>
      </c>
    </row>
    <row r="2123" customFormat="false" ht="15" hidden="true" customHeight="false" outlineLevel="0" collapsed="false">
      <c r="E2123" s="60" t="str">
        <f aca="false">IF(LEN(D2123)=11,"PF",IF(LEN(D2123)=14,"PJ",""))</f>
        <v/>
      </c>
      <c r="I2123" s="62"/>
      <c r="AM2123" s="68" t="str">
        <f aca="false">IF(LEFT(AL2123,1)="9","Celular",IF(AL2123="","","Fixo"))</f>
        <v/>
      </c>
      <c r="AN2123" s="58" t="str">
        <f aca="false">IF( AM2123&lt;&gt;"",VLOOKUP(AM2123,Selects!$M$4:$N$1000,2,0),"")</f>
        <v/>
      </c>
      <c r="BB2123" s="72" t="str">
        <f aca="false">IF(BA2123&lt;&gt;"",VLOOKUP(BA2123,Selects!$B$4:$C$100,2,0),"")</f>
        <v/>
      </c>
      <c r="BG2123" s="75" t="str">
        <f aca="false">IF(LEN(BF2123)=11,"PF",IF(LEN(BF2123)=14,"PJ",""))</f>
        <v/>
      </c>
      <c r="BH2123" s="66"/>
      <c r="CB2123" s="72" t="str">
        <f aca="false">IF(AC2123&lt;&gt;"",VLOOKUP(AC2123,Selects!$B:$E,4,0),"")</f>
        <v/>
      </c>
    </row>
    <row r="2124" customFormat="false" ht="15" hidden="true" customHeight="false" outlineLevel="0" collapsed="false">
      <c r="E2124" s="60" t="str">
        <f aca="false">IF(LEN(D2124)=11,"PF",IF(LEN(D2124)=14,"PJ",""))</f>
        <v/>
      </c>
      <c r="I2124" s="62"/>
      <c r="AM2124" s="68" t="str">
        <f aca="false">IF(LEFT(AL2124,1)="9","Celular",IF(AL2124="","","Fixo"))</f>
        <v/>
      </c>
      <c r="AN2124" s="58" t="str">
        <f aca="false">IF( AM2124&lt;&gt;"",VLOOKUP(AM2124,Selects!$M$4:$N$1000,2,0),"")</f>
        <v/>
      </c>
      <c r="BB2124" s="72" t="str">
        <f aca="false">IF(BA2124&lt;&gt;"",VLOOKUP(BA2124,Selects!$B$4:$C$100,2,0),"")</f>
        <v/>
      </c>
      <c r="BG2124" s="75" t="str">
        <f aca="false">IF(LEN(BF2124)=11,"PF",IF(LEN(BF2124)=14,"PJ",""))</f>
        <v/>
      </c>
      <c r="BH2124" s="66"/>
      <c r="CB2124" s="72" t="str">
        <f aca="false">IF(AC2124&lt;&gt;"",VLOOKUP(AC2124,Selects!$B:$E,4,0),"")</f>
        <v/>
      </c>
    </row>
    <row r="2125" customFormat="false" ht="15" hidden="true" customHeight="false" outlineLevel="0" collapsed="false">
      <c r="E2125" s="60" t="str">
        <f aca="false">IF(LEN(D2125)=11,"PF",IF(LEN(D2125)=14,"PJ",""))</f>
        <v/>
      </c>
      <c r="I2125" s="62"/>
      <c r="AM2125" s="68" t="str">
        <f aca="false">IF(LEFT(AL2125,1)="9","Celular",IF(AL2125="","","Fixo"))</f>
        <v/>
      </c>
      <c r="AN2125" s="58" t="str">
        <f aca="false">IF( AM2125&lt;&gt;"",VLOOKUP(AM2125,Selects!$M$4:$N$1000,2,0),"")</f>
        <v/>
      </c>
      <c r="BB2125" s="72" t="str">
        <f aca="false">IF(BA2125&lt;&gt;"",VLOOKUP(BA2125,Selects!$B$4:$C$100,2,0),"")</f>
        <v/>
      </c>
      <c r="BG2125" s="75" t="str">
        <f aca="false">IF(LEN(BF2125)=11,"PF",IF(LEN(BF2125)=14,"PJ",""))</f>
        <v/>
      </c>
      <c r="BH2125" s="66"/>
      <c r="CB2125" s="72" t="str">
        <f aca="false">IF(AC2125&lt;&gt;"",VLOOKUP(AC2125,Selects!$B:$E,4,0),"")</f>
        <v/>
      </c>
    </row>
    <row r="2126" customFormat="false" ht="15" hidden="true" customHeight="false" outlineLevel="0" collapsed="false">
      <c r="E2126" s="60" t="str">
        <f aca="false">IF(LEN(D2126)=11,"PF",IF(LEN(D2126)=14,"PJ",""))</f>
        <v/>
      </c>
      <c r="I2126" s="62"/>
      <c r="AM2126" s="68" t="str">
        <f aca="false">IF(LEFT(AL2126,1)="9","Celular",IF(AL2126="","","Fixo"))</f>
        <v/>
      </c>
      <c r="AN2126" s="58" t="str">
        <f aca="false">IF( AM2126&lt;&gt;"",VLOOKUP(AM2126,Selects!$M$4:$N$1000,2,0),"")</f>
        <v/>
      </c>
      <c r="BB2126" s="72" t="str">
        <f aca="false">IF(BA2126&lt;&gt;"",VLOOKUP(BA2126,Selects!$B$4:$C$100,2,0),"")</f>
        <v/>
      </c>
      <c r="BG2126" s="75" t="str">
        <f aca="false">IF(LEN(BF2126)=11,"PF",IF(LEN(BF2126)=14,"PJ",""))</f>
        <v/>
      </c>
      <c r="BH2126" s="66"/>
      <c r="CB2126" s="72" t="str">
        <f aca="false">IF(AC2126&lt;&gt;"",VLOOKUP(AC2126,Selects!$B:$E,4,0),"")</f>
        <v/>
      </c>
    </row>
    <row r="2127" customFormat="false" ht="15" hidden="true" customHeight="false" outlineLevel="0" collapsed="false">
      <c r="E2127" s="60" t="str">
        <f aca="false">IF(LEN(D2127)=11,"PF",IF(LEN(D2127)=14,"PJ",""))</f>
        <v/>
      </c>
      <c r="I2127" s="62"/>
      <c r="AM2127" s="68" t="str">
        <f aca="false">IF(LEFT(AL2127,1)="9","Celular",IF(AL2127="","","Fixo"))</f>
        <v/>
      </c>
      <c r="AN2127" s="58" t="str">
        <f aca="false">IF( AM2127&lt;&gt;"",VLOOKUP(AM2127,Selects!$M$4:$N$1000,2,0),"")</f>
        <v/>
      </c>
      <c r="BB2127" s="72" t="str">
        <f aca="false">IF(BA2127&lt;&gt;"",VLOOKUP(BA2127,Selects!$B$4:$C$100,2,0),"")</f>
        <v/>
      </c>
      <c r="BG2127" s="75" t="str">
        <f aca="false">IF(LEN(BF2127)=11,"PF",IF(LEN(BF2127)=14,"PJ",""))</f>
        <v/>
      </c>
      <c r="BH2127" s="66"/>
      <c r="CB2127" s="72" t="str">
        <f aca="false">IF(AC2127&lt;&gt;"",VLOOKUP(AC2127,Selects!$B:$E,4,0),"")</f>
        <v/>
      </c>
    </row>
    <row r="2128" customFormat="false" ht="15" hidden="true" customHeight="false" outlineLevel="0" collapsed="false">
      <c r="E2128" s="60" t="str">
        <f aca="false">IF(LEN(D2128)=11,"PF",IF(LEN(D2128)=14,"PJ",""))</f>
        <v/>
      </c>
      <c r="I2128" s="62"/>
      <c r="AM2128" s="68" t="str">
        <f aca="false">IF(LEFT(AL2128,1)="9","Celular",IF(AL2128="","","Fixo"))</f>
        <v/>
      </c>
      <c r="AN2128" s="58" t="str">
        <f aca="false">IF( AM2128&lt;&gt;"",VLOOKUP(AM2128,Selects!$M$4:$N$1000,2,0),"")</f>
        <v/>
      </c>
      <c r="BB2128" s="72" t="str">
        <f aca="false">IF(BA2128&lt;&gt;"",VLOOKUP(BA2128,Selects!$B$4:$C$100,2,0),"")</f>
        <v/>
      </c>
      <c r="BG2128" s="75" t="str">
        <f aca="false">IF(LEN(BF2128)=11,"PF",IF(LEN(BF2128)=14,"PJ",""))</f>
        <v/>
      </c>
      <c r="BH2128" s="66"/>
      <c r="CB2128" s="72" t="str">
        <f aca="false">IF(AC2128&lt;&gt;"",VLOOKUP(AC2128,Selects!$B:$E,4,0),"")</f>
        <v/>
      </c>
    </row>
    <row r="2129" customFormat="false" ht="15" hidden="true" customHeight="false" outlineLevel="0" collapsed="false">
      <c r="E2129" s="60" t="str">
        <f aca="false">IF(LEN(D2129)=11,"PF",IF(LEN(D2129)=14,"PJ",""))</f>
        <v/>
      </c>
      <c r="I2129" s="62"/>
      <c r="AM2129" s="68" t="str">
        <f aca="false">IF(LEFT(AL2129,1)="9","Celular",IF(AL2129="","","Fixo"))</f>
        <v/>
      </c>
      <c r="AN2129" s="58" t="str">
        <f aca="false">IF( AM2129&lt;&gt;"",VLOOKUP(AM2129,Selects!$M$4:$N$1000,2,0),"")</f>
        <v/>
      </c>
      <c r="BB2129" s="72" t="str">
        <f aca="false">IF(BA2129&lt;&gt;"",VLOOKUP(BA2129,Selects!$B$4:$C$100,2,0),"")</f>
        <v/>
      </c>
      <c r="BG2129" s="75" t="str">
        <f aca="false">IF(LEN(BF2129)=11,"PF",IF(LEN(BF2129)=14,"PJ",""))</f>
        <v/>
      </c>
      <c r="BH2129" s="66"/>
      <c r="CB2129" s="72" t="str">
        <f aca="false">IF(AC2129&lt;&gt;"",VLOOKUP(AC2129,Selects!$B:$E,4,0),"")</f>
        <v/>
      </c>
    </row>
    <row r="2130" customFormat="false" ht="15" hidden="true" customHeight="false" outlineLevel="0" collapsed="false">
      <c r="E2130" s="60" t="str">
        <f aca="false">IF(LEN(D2130)=11,"PF",IF(LEN(D2130)=14,"PJ",""))</f>
        <v/>
      </c>
      <c r="I2130" s="62"/>
      <c r="AM2130" s="68" t="str">
        <f aca="false">IF(LEFT(AL2130,1)="9","Celular",IF(AL2130="","","Fixo"))</f>
        <v/>
      </c>
      <c r="AN2130" s="58" t="str">
        <f aca="false">IF( AM2130&lt;&gt;"",VLOOKUP(AM2130,Selects!$M$4:$N$1000,2,0),"")</f>
        <v/>
      </c>
      <c r="BB2130" s="72" t="str">
        <f aca="false">IF(BA2130&lt;&gt;"",VLOOKUP(BA2130,Selects!$B$4:$C$100,2,0),"")</f>
        <v/>
      </c>
      <c r="BG2130" s="75" t="str">
        <f aca="false">IF(LEN(BF2130)=11,"PF",IF(LEN(BF2130)=14,"PJ",""))</f>
        <v/>
      </c>
      <c r="BH2130" s="66"/>
      <c r="CB2130" s="72" t="str">
        <f aca="false">IF(AC2130&lt;&gt;"",VLOOKUP(AC2130,Selects!$B:$E,4,0),"")</f>
        <v/>
      </c>
    </row>
    <row r="2131" customFormat="false" ht="15" hidden="true" customHeight="false" outlineLevel="0" collapsed="false">
      <c r="E2131" s="60" t="str">
        <f aca="false">IF(LEN(D2131)=11,"PF",IF(LEN(D2131)=14,"PJ",""))</f>
        <v/>
      </c>
      <c r="I2131" s="62"/>
      <c r="AM2131" s="68" t="str">
        <f aca="false">IF(LEFT(AL2131,1)="9","Celular",IF(AL2131="","","Fixo"))</f>
        <v/>
      </c>
      <c r="AN2131" s="58" t="str">
        <f aca="false">IF( AM2131&lt;&gt;"",VLOOKUP(AM2131,Selects!$M$4:$N$1000,2,0),"")</f>
        <v/>
      </c>
      <c r="BB2131" s="72" t="str">
        <f aca="false">IF(BA2131&lt;&gt;"",VLOOKUP(BA2131,Selects!$B$4:$C$100,2,0),"")</f>
        <v/>
      </c>
      <c r="BG2131" s="75" t="str">
        <f aca="false">IF(LEN(BF2131)=11,"PF",IF(LEN(BF2131)=14,"PJ",""))</f>
        <v/>
      </c>
      <c r="BH2131" s="66"/>
      <c r="CB2131" s="72" t="str">
        <f aca="false">IF(AC2131&lt;&gt;"",VLOOKUP(AC2131,Selects!$B:$E,4,0),"")</f>
        <v/>
      </c>
    </row>
    <row r="2132" customFormat="false" ht="15" hidden="true" customHeight="false" outlineLevel="0" collapsed="false">
      <c r="E2132" s="60" t="str">
        <f aca="false">IF(LEN(D2132)=11,"PF",IF(LEN(D2132)=14,"PJ",""))</f>
        <v/>
      </c>
      <c r="I2132" s="62"/>
      <c r="AM2132" s="68" t="str">
        <f aca="false">IF(LEFT(AL2132,1)="9","Celular",IF(AL2132="","","Fixo"))</f>
        <v/>
      </c>
      <c r="AN2132" s="58" t="str">
        <f aca="false">IF( AM2132&lt;&gt;"",VLOOKUP(AM2132,Selects!$M$4:$N$1000,2,0),"")</f>
        <v/>
      </c>
      <c r="BB2132" s="72" t="str">
        <f aca="false">IF(BA2132&lt;&gt;"",VLOOKUP(BA2132,Selects!$B$4:$C$100,2,0),"")</f>
        <v/>
      </c>
      <c r="BG2132" s="75" t="str">
        <f aca="false">IF(LEN(BF2132)=11,"PF",IF(LEN(BF2132)=14,"PJ",""))</f>
        <v/>
      </c>
      <c r="BH2132" s="66"/>
      <c r="CB2132" s="72" t="str">
        <f aca="false">IF(AC2132&lt;&gt;"",VLOOKUP(AC2132,Selects!$B:$E,4,0),"")</f>
        <v/>
      </c>
    </row>
    <row r="2133" customFormat="false" ht="15" hidden="true" customHeight="false" outlineLevel="0" collapsed="false">
      <c r="E2133" s="60" t="str">
        <f aca="false">IF(LEN(D2133)=11,"PF",IF(LEN(D2133)=14,"PJ",""))</f>
        <v/>
      </c>
      <c r="I2133" s="62"/>
      <c r="AM2133" s="68" t="str">
        <f aca="false">IF(LEFT(AL2133,1)="9","Celular",IF(AL2133="","","Fixo"))</f>
        <v/>
      </c>
      <c r="AN2133" s="58" t="str">
        <f aca="false">IF( AM2133&lt;&gt;"",VLOOKUP(AM2133,Selects!$M$4:$N$1000,2,0),"")</f>
        <v/>
      </c>
      <c r="BB2133" s="72" t="str">
        <f aca="false">IF(BA2133&lt;&gt;"",VLOOKUP(BA2133,Selects!$B$4:$C$100,2,0),"")</f>
        <v/>
      </c>
      <c r="BG2133" s="75" t="str">
        <f aca="false">IF(LEN(BF2133)=11,"PF",IF(LEN(BF2133)=14,"PJ",""))</f>
        <v/>
      </c>
      <c r="BH2133" s="66"/>
      <c r="CB2133" s="72" t="str">
        <f aca="false">IF(AC2133&lt;&gt;"",VLOOKUP(AC2133,Selects!$B:$E,4,0),"")</f>
        <v/>
      </c>
    </row>
    <row r="2134" customFormat="false" ht="15" hidden="true" customHeight="false" outlineLevel="0" collapsed="false">
      <c r="E2134" s="60" t="str">
        <f aca="false">IF(LEN(D2134)=11,"PF",IF(LEN(D2134)=14,"PJ",""))</f>
        <v/>
      </c>
      <c r="I2134" s="62"/>
      <c r="AM2134" s="68" t="str">
        <f aca="false">IF(LEFT(AL2134,1)="9","Celular",IF(AL2134="","","Fixo"))</f>
        <v/>
      </c>
      <c r="AN2134" s="58" t="str">
        <f aca="false">IF( AM2134&lt;&gt;"",VLOOKUP(AM2134,Selects!$M$4:$N$1000,2,0),"")</f>
        <v/>
      </c>
      <c r="BB2134" s="72" t="str">
        <f aca="false">IF(BA2134&lt;&gt;"",VLOOKUP(BA2134,Selects!$B$4:$C$100,2,0),"")</f>
        <v/>
      </c>
      <c r="BG2134" s="75" t="str">
        <f aca="false">IF(LEN(BF2134)=11,"PF",IF(LEN(BF2134)=14,"PJ",""))</f>
        <v/>
      </c>
      <c r="BH2134" s="66"/>
      <c r="CB2134" s="72" t="str">
        <f aca="false">IF(AC2134&lt;&gt;"",VLOOKUP(AC2134,Selects!$B:$E,4,0),"")</f>
        <v/>
      </c>
    </row>
    <row r="2135" customFormat="false" ht="15" hidden="true" customHeight="false" outlineLevel="0" collapsed="false">
      <c r="E2135" s="60" t="str">
        <f aca="false">IF(LEN(D2135)=11,"PF",IF(LEN(D2135)=14,"PJ",""))</f>
        <v/>
      </c>
      <c r="I2135" s="62"/>
      <c r="AM2135" s="68" t="str">
        <f aca="false">IF(LEFT(AL2135,1)="9","Celular",IF(AL2135="","","Fixo"))</f>
        <v/>
      </c>
      <c r="AN2135" s="58" t="str">
        <f aca="false">IF( AM2135&lt;&gt;"",VLOOKUP(AM2135,Selects!$M$4:$N$1000,2,0),"")</f>
        <v/>
      </c>
      <c r="BB2135" s="72" t="str">
        <f aca="false">IF(BA2135&lt;&gt;"",VLOOKUP(BA2135,Selects!$B$4:$C$100,2,0),"")</f>
        <v/>
      </c>
      <c r="BG2135" s="75" t="str">
        <f aca="false">IF(LEN(BF2135)=11,"PF",IF(LEN(BF2135)=14,"PJ",""))</f>
        <v/>
      </c>
      <c r="BH2135" s="66"/>
      <c r="CB2135" s="72" t="str">
        <f aca="false">IF(AC2135&lt;&gt;"",VLOOKUP(AC2135,Selects!$B:$E,4,0),"")</f>
        <v/>
      </c>
    </row>
    <row r="2136" customFormat="false" ht="15" hidden="true" customHeight="false" outlineLevel="0" collapsed="false">
      <c r="E2136" s="60" t="str">
        <f aca="false">IF(LEN(D2136)=11,"PF",IF(LEN(D2136)=14,"PJ",""))</f>
        <v/>
      </c>
      <c r="I2136" s="62"/>
      <c r="AM2136" s="68" t="str">
        <f aca="false">IF(LEFT(AL2136,1)="9","Celular",IF(AL2136="","","Fixo"))</f>
        <v/>
      </c>
      <c r="AN2136" s="58" t="str">
        <f aca="false">IF( AM2136&lt;&gt;"",VLOOKUP(AM2136,Selects!$M$4:$N$1000,2,0),"")</f>
        <v/>
      </c>
      <c r="BB2136" s="72" t="str">
        <f aca="false">IF(BA2136&lt;&gt;"",VLOOKUP(BA2136,Selects!$B$4:$C$100,2,0),"")</f>
        <v/>
      </c>
      <c r="BG2136" s="75" t="str">
        <f aca="false">IF(LEN(BF2136)=11,"PF",IF(LEN(BF2136)=14,"PJ",""))</f>
        <v/>
      </c>
      <c r="BH2136" s="66"/>
      <c r="CB2136" s="72" t="str">
        <f aca="false">IF(AC2136&lt;&gt;"",VLOOKUP(AC2136,Selects!$B:$E,4,0),"")</f>
        <v/>
      </c>
    </row>
    <row r="2137" customFormat="false" ht="15" hidden="true" customHeight="false" outlineLevel="0" collapsed="false">
      <c r="E2137" s="60" t="str">
        <f aca="false">IF(LEN(D2137)=11,"PF",IF(LEN(D2137)=14,"PJ",""))</f>
        <v/>
      </c>
      <c r="I2137" s="62"/>
      <c r="AM2137" s="68" t="str">
        <f aca="false">IF(LEFT(AL2137,1)="9","Celular",IF(AL2137="","","Fixo"))</f>
        <v/>
      </c>
      <c r="AN2137" s="58" t="str">
        <f aca="false">IF( AM2137&lt;&gt;"",VLOOKUP(AM2137,Selects!$M$4:$N$1000,2,0),"")</f>
        <v/>
      </c>
      <c r="BB2137" s="72" t="str">
        <f aca="false">IF(BA2137&lt;&gt;"",VLOOKUP(BA2137,Selects!$B$4:$C$100,2,0),"")</f>
        <v/>
      </c>
      <c r="BG2137" s="75" t="str">
        <f aca="false">IF(LEN(BF2137)=11,"PF",IF(LEN(BF2137)=14,"PJ",""))</f>
        <v/>
      </c>
      <c r="BH2137" s="66"/>
      <c r="CB2137" s="72" t="str">
        <f aca="false">IF(AC2137&lt;&gt;"",VLOOKUP(AC2137,Selects!$B:$E,4,0),"")</f>
        <v/>
      </c>
    </row>
    <row r="2138" customFormat="false" ht="15" hidden="true" customHeight="false" outlineLevel="0" collapsed="false">
      <c r="E2138" s="60" t="str">
        <f aca="false">IF(LEN(D2138)=11,"PF",IF(LEN(D2138)=14,"PJ",""))</f>
        <v/>
      </c>
      <c r="I2138" s="62"/>
      <c r="AM2138" s="68" t="str">
        <f aca="false">IF(LEFT(AL2138,1)="9","Celular",IF(AL2138="","","Fixo"))</f>
        <v/>
      </c>
      <c r="AN2138" s="58" t="str">
        <f aca="false">IF( AM2138&lt;&gt;"",VLOOKUP(AM2138,Selects!$M$4:$N$1000,2,0),"")</f>
        <v/>
      </c>
      <c r="BB2138" s="72" t="str">
        <f aca="false">IF(BA2138&lt;&gt;"",VLOOKUP(BA2138,Selects!$B$4:$C$100,2,0),"")</f>
        <v/>
      </c>
      <c r="BG2138" s="75" t="str">
        <f aca="false">IF(LEN(BF2138)=11,"PF",IF(LEN(BF2138)=14,"PJ",""))</f>
        <v/>
      </c>
      <c r="BH2138" s="66"/>
      <c r="CB2138" s="72" t="str">
        <f aca="false">IF(AC2138&lt;&gt;"",VLOOKUP(AC2138,Selects!$B:$E,4,0),"")</f>
        <v/>
      </c>
    </row>
    <row r="2139" customFormat="false" ht="15" hidden="true" customHeight="false" outlineLevel="0" collapsed="false">
      <c r="E2139" s="60" t="str">
        <f aca="false">IF(LEN(D2139)=11,"PF",IF(LEN(D2139)=14,"PJ",""))</f>
        <v/>
      </c>
      <c r="I2139" s="62"/>
      <c r="AM2139" s="68" t="str">
        <f aca="false">IF(LEFT(AL2139,1)="9","Celular",IF(AL2139="","","Fixo"))</f>
        <v/>
      </c>
      <c r="AN2139" s="58" t="str">
        <f aca="false">IF( AM2139&lt;&gt;"",VLOOKUP(AM2139,Selects!$M$4:$N$1000,2,0),"")</f>
        <v/>
      </c>
      <c r="BB2139" s="72" t="str">
        <f aca="false">IF(BA2139&lt;&gt;"",VLOOKUP(BA2139,Selects!$B$4:$C$100,2,0),"")</f>
        <v/>
      </c>
      <c r="BG2139" s="75" t="str">
        <f aca="false">IF(LEN(BF2139)=11,"PF",IF(LEN(BF2139)=14,"PJ",""))</f>
        <v/>
      </c>
      <c r="BH2139" s="66"/>
      <c r="CB2139" s="72" t="str">
        <f aca="false">IF(AC2139&lt;&gt;"",VLOOKUP(AC2139,Selects!$B:$E,4,0),"")</f>
        <v/>
      </c>
    </row>
    <row r="2140" customFormat="false" ht="15" hidden="true" customHeight="false" outlineLevel="0" collapsed="false">
      <c r="E2140" s="60" t="str">
        <f aca="false">IF(LEN(D2140)=11,"PF",IF(LEN(D2140)=14,"PJ",""))</f>
        <v/>
      </c>
      <c r="I2140" s="62"/>
      <c r="AM2140" s="68" t="str">
        <f aca="false">IF(LEFT(AL2140,1)="9","Celular",IF(AL2140="","","Fixo"))</f>
        <v/>
      </c>
      <c r="AN2140" s="58" t="str">
        <f aca="false">IF( AM2140&lt;&gt;"",VLOOKUP(AM2140,Selects!$M$4:$N$1000,2,0),"")</f>
        <v/>
      </c>
      <c r="BB2140" s="72" t="str">
        <f aca="false">IF(BA2140&lt;&gt;"",VLOOKUP(BA2140,Selects!$B$4:$C$100,2,0),"")</f>
        <v/>
      </c>
      <c r="BG2140" s="75" t="str">
        <f aca="false">IF(LEN(BF2140)=11,"PF",IF(LEN(BF2140)=14,"PJ",""))</f>
        <v/>
      </c>
      <c r="BH2140" s="66"/>
      <c r="CB2140" s="72" t="str">
        <f aca="false">IF(AC2140&lt;&gt;"",VLOOKUP(AC2140,Selects!$B:$E,4,0),"")</f>
        <v/>
      </c>
    </row>
    <row r="2141" customFormat="false" ht="15" hidden="true" customHeight="false" outlineLevel="0" collapsed="false">
      <c r="E2141" s="60" t="str">
        <f aca="false">IF(LEN(D2141)=11,"PF",IF(LEN(D2141)=14,"PJ",""))</f>
        <v/>
      </c>
      <c r="I2141" s="62"/>
      <c r="AM2141" s="68" t="str">
        <f aca="false">IF(LEFT(AL2141,1)="9","Celular",IF(AL2141="","","Fixo"))</f>
        <v/>
      </c>
      <c r="AN2141" s="58" t="str">
        <f aca="false">IF( AM2141&lt;&gt;"",VLOOKUP(AM2141,Selects!$M$4:$N$1000,2,0),"")</f>
        <v/>
      </c>
      <c r="BB2141" s="72" t="str">
        <f aca="false">IF(BA2141&lt;&gt;"",VLOOKUP(BA2141,Selects!$B$4:$C$100,2,0),"")</f>
        <v/>
      </c>
      <c r="BG2141" s="75" t="str">
        <f aca="false">IF(LEN(BF2141)=11,"PF",IF(LEN(BF2141)=14,"PJ",""))</f>
        <v/>
      </c>
      <c r="BH2141" s="66"/>
      <c r="CB2141" s="72" t="str">
        <f aca="false">IF(AC2141&lt;&gt;"",VLOOKUP(AC2141,Selects!$B:$E,4,0),"")</f>
        <v/>
      </c>
    </row>
    <row r="2142" customFormat="false" ht="15" hidden="true" customHeight="false" outlineLevel="0" collapsed="false">
      <c r="E2142" s="60" t="str">
        <f aca="false">IF(LEN(D2142)=11,"PF",IF(LEN(D2142)=14,"PJ",""))</f>
        <v/>
      </c>
      <c r="I2142" s="62"/>
      <c r="AM2142" s="68" t="str">
        <f aca="false">IF(LEFT(AL2142,1)="9","Celular",IF(AL2142="","","Fixo"))</f>
        <v/>
      </c>
      <c r="AN2142" s="58" t="str">
        <f aca="false">IF( AM2142&lt;&gt;"",VLOOKUP(AM2142,Selects!$M$4:$N$1000,2,0),"")</f>
        <v/>
      </c>
      <c r="BB2142" s="72" t="str">
        <f aca="false">IF(BA2142&lt;&gt;"",VLOOKUP(BA2142,Selects!$B$4:$C$100,2,0),"")</f>
        <v/>
      </c>
      <c r="BG2142" s="75" t="str">
        <f aca="false">IF(LEN(BF2142)=11,"PF",IF(LEN(BF2142)=14,"PJ",""))</f>
        <v/>
      </c>
      <c r="BH2142" s="66"/>
      <c r="CB2142" s="72" t="str">
        <f aca="false">IF(AC2142&lt;&gt;"",VLOOKUP(AC2142,Selects!$B:$E,4,0),"")</f>
        <v/>
      </c>
    </row>
    <row r="2143" customFormat="false" ht="15" hidden="true" customHeight="false" outlineLevel="0" collapsed="false">
      <c r="E2143" s="60" t="str">
        <f aca="false">IF(LEN(D2143)=11,"PF",IF(LEN(D2143)=14,"PJ",""))</f>
        <v/>
      </c>
      <c r="I2143" s="62"/>
      <c r="AM2143" s="68" t="str">
        <f aca="false">IF(LEFT(AL2143,1)="9","Celular",IF(AL2143="","","Fixo"))</f>
        <v/>
      </c>
      <c r="AN2143" s="58" t="str">
        <f aca="false">IF( AM2143&lt;&gt;"",VLOOKUP(AM2143,Selects!$M$4:$N$1000,2,0),"")</f>
        <v/>
      </c>
      <c r="BB2143" s="72" t="str">
        <f aca="false">IF(BA2143&lt;&gt;"",VLOOKUP(BA2143,Selects!$B$4:$C$100,2,0),"")</f>
        <v/>
      </c>
      <c r="BG2143" s="75" t="str">
        <f aca="false">IF(LEN(BF2143)=11,"PF",IF(LEN(BF2143)=14,"PJ",""))</f>
        <v/>
      </c>
      <c r="BH2143" s="66"/>
      <c r="CB2143" s="72" t="str">
        <f aca="false">IF(AC2143&lt;&gt;"",VLOOKUP(AC2143,Selects!$B:$E,4,0),"")</f>
        <v/>
      </c>
    </row>
    <row r="2144" customFormat="false" ht="15" hidden="true" customHeight="false" outlineLevel="0" collapsed="false">
      <c r="E2144" s="60" t="str">
        <f aca="false">IF(LEN(D2144)=11,"PF",IF(LEN(D2144)=14,"PJ",""))</f>
        <v/>
      </c>
      <c r="I2144" s="62"/>
      <c r="AM2144" s="68" t="str">
        <f aca="false">IF(LEFT(AL2144,1)="9","Celular",IF(AL2144="","","Fixo"))</f>
        <v/>
      </c>
      <c r="AN2144" s="58" t="str">
        <f aca="false">IF( AM2144&lt;&gt;"",VLOOKUP(AM2144,Selects!$M$4:$N$1000,2,0),"")</f>
        <v/>
      </c>
      <c r="BB2144" s="72" t="str">
        <f aca="false">IF(BA2144&lt;&gt;"",VLOOKUP(BA2144,Selects!$B$4:$C$100,2,0),"")</f>
        <v/>
      </c>
      <c r="BG2144" s="75" t="str">
        <f aca="false">IF(LEN(BF2144)=11,"PF",IF(LEN(BF2144)=14,"PJ",""))</f>
        <v/>
      </c>
      <c r="BH2144" s="66"/>
      <c r="CB2144" s="72" t="str">
        <f aca="false">IF(AC2144&lt;&gt;"",VLOOKUP(AC2144,Selects!$B:$E,4,0),"")</f>
        <v/>
      </c>
    </row>
    <row r="2145" customFormat="false" ht="15" hidden="true" customHeight="false" outlineLevel="0" collapsed="false">
      <c r="E2145" s="60" t="str">
        <f aca="false">IF(LEN(D2145)=11,"PF",IF(LEN(D2145)=14,"PJ",""))</f>
        <v/>
      </c>
      <c r="I2145" s="62"/>
      <c r="AM2145" s="68" t="str">
        <f aca="false">IF(LEFT(AL2145,1)="9","Celular",IF(AL2145="","","Fixo"))</f>
        <v/>
      </c>
      <c r="AN2145" s="58" t="str">
        <f aca="false">IF( AM2145&lt;&gt;"",VLOOKUP(AM2145,Selects!$M$4:$N$1000,2,0),"")</f>
        <v/>
      </c>
      <c r="BB2145" s="72" t="str">
        <f aca="false">IF(BA2145&lt;&gt;"",VLOOKUP(BA2145,Selects!$B$4:$C$100,2,0),"")</f>
        <v/>
      </c>
      <c r="BG2145" s="75" t="str">
        <f aca="false">IF(LEN(BF2145)=11,"PF",IF(LEN(BF2145)=14,"PJ",""))</f>
        <v/>
      </c>
      <c r="BH2145" s="66"/>
      <c r="CB2145" s="72" t="str">
        <f aca="false">IF(AC2145&lt;&gt;"",VLOOKUP(AC2145,Selects!$B:$E,4,0),"")</f>
        <v/>
      </c>
    </row>
    <row r="2146" customFormat="false" ht="15" hidden="true" customHeight="false" outlineLevel="0" collapsed="false">
      <c r="E2146" s="60" t="str">
        <f aca="false">IF(LEN(D2146)=11,"PF",IF(LEN(D2146)=14,"PJ",""))</f>
        <v/>
      </c>
      <c r="I2146" s="62"/>
      <c r="AM2146" s="68" t="str">
        <f aca="false">IF(LEFT(AL2146,1)="9","Celular",IF(AL2146="","","Fixo"))</f>
        <v/>
      </c>
      <c r="AN2146" s="58" t="str">
        <f aca="false">IF( AM2146&lt;&gt;"",VLOOKUP(AM2146,Selects!$M$4:$N$1000,2,0),"")</f>
        <v/>
      </c>
      <c r="BB2146" s="72" t="str">
        <f aca="false">IF(BA2146&lt;&gt;"",VLOOKUP(BA2146,Selects!$B$4:$C$100,2,0),"")</f>
        <v/>
      </c>
      <c r="BG2146" s="75" t="str">
        <f aca="false">IF(LEN(BF2146)=11,"PF",IF(LEN(BF2146)=14,"PJ",""))</f>
        <v/>
      </c>
      <c r="BH2146" s="66"/>
      <c r="CB2146" s="72" t="str">
        <f aca="false">IF(AC2146&lt;&gt;"",VLOOKUP(AC2146,Selects!$B:$E,4,0),"")</f>
        <v/>
      </c>
    </row>
    <row r="2147" customFormat="false" ht="15" hidden="true" customHeight="false" outlineLevel="0" collapsed="false">
      <c r="E2147" s="60" t="str">
        <f aca="false">IF(LEN(D2147)=11,"PF",IF(LEN(D2147)=14,"PJ",""))</f>
        <v/>
      </c>
      <c r="I2147" s="62"/>
      <c r="AM2147" s="68" t="str">
        <f aca="false">IF(LEFT(AL2147,1)="9","Celular",IF(AL2147="","","Fixo"))</f>
        <v/>
      </c>
      <c r="AN2147" s="58" t="str">
        <f aca="false">IF( AM2147&lt;&gt;"",VLOOKUP(AM2147,Selects!$M$4:$N$1000,2,0),"")</f>
        <v/>
      </c>
      <c r="BB2147" s="72" t="str">
        <f aca="false">IF(BA2147&lt;&gt;"",VLOOKUP(BA2147,Selects!$B$4:$C$100,2,0),"")</f>
        <v/>
      </c>
      <c r="BG2147" s="75" t="str">
        <f aca="false">IF(LEN(BF2147)=11,"PF",IF(LEN(BF2147)=14,"PJ",""))</f>
        <v/>
      </c>
      <c r="BH2147" s="66"/>
      <c r="CB2147" s="72" t="str">
        <f aca="false">IF(AC2147&lt;&gt;"",VLOOKUP(AC2147,Selects!$B:$E,4,0),"")</f>
        <v/>
      </c>
    </row>
    <row r="2148" customFormat="false" ht="15" hidden="true" customHeight="false" outlineLevel="0" collapsed="false">
      <c r="E2148" s="60" t="str">
        <f aca="false">IF(LEN(D2148)=11,"PF",IF(LEN(D2148)=14,"PJ",""))</f>
        <v/>
      </c>
      <c r="I2148" s="62"/>
      <c r="AM2148" s="68" t="str">
        <f aca="false">IF(LEFT(AL2148,1)="9","Celular",IF(AL2148="","","Fixo"))</f>
        <v/>
      </c>
      <c r="AN2148" s="58" t="str">
        <f aca="false">IF( AM2148&lt;&gt;"",VLOOKUP(AM2148,Selects!$M$4:$N$1000,2,0),"")</f>
        <v/>
      </c>
      <c r="BB2148" s="72" t="str">
        <f aca="false">IF(BA2148&lt;&gt;"",VLOOKUP(BA2148,Selects!$B$4:$C$100,2,0),"")</f>
        <v/>
      </c>
      <c r="BG2148" s="75" t="str">
        <f aca="false">IF(LEN(BF2148)=11,"PF",IF(LEN(BF2148)=14,"PJ",""))</f>
        <v/>
      </c>
      <c r="BH2148" s="66"/>
      <c r="CB2148" s="72" t="str">
        <f aca="false">IF(AC2148&lt;&gt;"",VLOOKUP(AC2148,Selects!$B:$E,4,0),"")</f>
        <v/>
      </c>
    </row>
    <row r="2149" customFormat="false" ht="15" hidden="true" customHeight="false" outlineLevel="0" collapsed="false">
      <c r="E2149" s="60" t="str">
        <f aca="false">IF(LEN(D2149)=11,"PF",IF(LEN(D2149)=14,"PJ",""))</f>
        <v/>
      </c>
      <c r="I2149" s="62"/>
      <c r="AM2149" s="68" t="str">
        <f aca="false">IF(LEFT(AL2149,1)="9","Celular",IF(AL2149="","","Fixo"))</f>
        <v/>
      </c>
      <c r="AN2149" s="58" t="str">
        <f aca="false">IF( AM2149&lt;&gt;"",VLOOKUP(AM2149,Selects!$M$4:$N$1000,2,0),"")</f>
        <v/>
      </c>
      <c r="BB2149" s="72" t="str">
        <f aca="false">IF(BA2149&lt;&gt;"",VLOOKUP(BA2149,Selects!$B$4:$C$100,2,0),"")</f>
        <v/>
      </c>
      <c r="BG2149" s="75" t="str">
        <f aca="false">IF(LEN(BF2149)=11,"PF",IF(LEN(BF2149)=14,"PJ",""))</f>
        <v/>
      </c>
      <c r="BH2149" s="66"/>
      <c r="CB2149" s="72" t="str">
        <f aca="false">IF(AC2149&lt;&gt;"",VLOOKUP(AC2149,Selects!$B:$E,4,0),"")</f>
        <v/>
      </c>
    </row>
    <row r="2150" customFormat="false" ht="15" hidden="true" customHeight="false" outlineLevel="0" collapsed="false">
      <c r="E2150" s="60" t="str">
        <f aca="false">IF(LEN(D2150)=11,"PF",IF(LEN(D2150)=14,"PJ",""))</f>
        <v/>
      </c>
      <c r="I2150" s="62"/>
      <c r="AM2150" s="68" t="str">
        <f aca="false">IF(LEFT(AL2150,1)="9","Celular",IF(AL2150="","","Fixo"))</f>
        <v/>
      </c>
      <c r="AN2150" s="58" t="str">
        <f aca="false">IF( AM2150&lt;&gt;"",VLOOKUP(AM2150,Selects!$M$4:$N$1000,2,0),"")</f>
        <v/>
      </c>
      <c r="BB2150" s="72" t="str">
        <f aca="false">IF(BA2150&lt;&gt;"",VLOOKUP(BA2150,Selects!$B$4:$C$100,2,0),"")</f>
        <v/>
      </c>
      <c r="BG2150" s="75" t="str">
        <f aca="false">IF(LEN(BF2150)=11,"PF",IF(LEN(BF2150)=14,"PJ",""))</f>
        <v/>
      </c>
      <c r="BH2150" s="66"/>
      <c r="CB2150" s="72" t="str">
        <f aca="false">IF(AC2150&lt;&gt;"",VLOOKUP(AC2150,Selects!$B:$E,4,0),"")</f>
        <v/>
      </c>
    </row>
    <row r="2151" customFormat="false" ht="15" hidden="true" customHeight="false" outlineLevel="0" collapsed="false">
      <c r="E2151" s="60" t="str">
        <f aca="false">IF(LEN(D2151)=11,"PF",IF(LEN(D2151)=14,"PJ",""))</f>
        <v/>
      </c>
      <c r="I2151" s="62"/>
      <c r="AM2151" s="68" t="str">
        <f aca="false">IF(LEFT(AL2151,1)="9","Celular",IF(AL2151="","","Fixo"))</f>
        <v/>
      </c>
      <c r="AN2151" s="58" t="str">
        <f aca="false">IF( AM2151&lt;&gt;"",VLOOKUP(AM2151,Selects!$M$4:$N$1000,2,0),"")</f>
        <v/>
      </c>
      <c r="BB2151" s="72" t="str">
        <f aca="false">IF(BA2151&lt;&gt;"",VLOOKUP(BA2151,Selects!$B$4:$C$100,2,0),"")</f>
        <v/>
      </c>
      <c r="BG2151" s="75" t="str">
        <f aca="false">IF(LEN(BF2151)=11,"PF",IF(LEN(BF2151)=14,"PJ",""))</f>
        <v/>
      </c>
      <c r="BH2151" s="66"/>
      <c r="CB2151" s="72" t="str">
        <f aca="false">IF(AC2151&lt;&gt;"",VLOOKUP(AC2151,Selects!$B:$E,4,0),"")</f>
        <v/>
      </c>
    </row>
    <row r="2152" customFormat="false" ht="15" hidden="true" customHeight="false" outlineLevel="0" collapsed="false">
      <c r="E2152" s="60" t="str">
        <f aca="false">IF(LEN(D2152)=11,"PF",IF(LEN(D2152)=14,"PJ",""))</f>
        <v/>
      </c>
      <c r="I2152" s="62"/>
      <c r="AM2152" s="68" t="str">
        <f aca="false">IF(LEFT(AL2152,1)="9","Celular",IF(AL2152="","","Fixo"))</f>
        <v/>
      </c>
      <c r="AN2152" s="58" t="str">
        <f aca="false">IF( AM2152&lt;&gt;"",VLOOKUP(AM2152,Selects!$M$4:$N$1000,2,0),"")</f>
        <v/>
      </c>
      <c r="BB2152" s="72" t="str">
        <f aca="false">IF(BA2152&lt;&gt;"",VLOOKUP(BA2152,Selects!$B$4:$C$100,2,0),"")</f>
        <v/>
      </c>
      <c r="BG2152" s="75" t="str">
        <f aca="false">IF(LEN(BF2152)=11,"PF",IF(LEN(BF2152)=14,"PJ",""))</f>
        <v/>
      </c>
      <c r="BH2152" s="66"/>
      <c r="CB2152" s="72" t="str">
        <f aca="false">IF(AC2152&lt;&gt;"",VLOOKUP(AC2152,Selects!$B:$E,4,0),"")</f>
        <v/>
      </c>
    </row>
    <row r="2153" customFormat="false" ht="15" hidden="true" customHeight="false" outlineLevel="0" collapsed="false">
      <c r="E2153" s="60" t="str">
        <f aca="false">IF(LEN(D2153)=11,"PF",IF(LEN(D2153)=14,"PJ",""))</f>
        <v/>
      </c>
      <c r="I2153" s="62"/>
      <c r="AM2153" s="68" t="str">
        <f aca="false">IF(LEFT(AL2153,1)="9","Celular",IF(AL2153="","","Fixo"))</f>
        <v/>
      </c>
      <c r="AN2153" s="58" t="str">
        <f aca="false">IF( AM2153&lt;&gt;"",VLOOKUP(AM2153,Selects!$M$4:$N$1000,2,0),"")</f>
        <v/>
      </c>
      <c r="BB2153" s="72" t="str">
        <f aca="false">IF(BA2153&lt;&gt;"",VLOOKUP(BA2153,Selects!$B$4:$C$100,2,0),"")</f>
        <v/>
      </c>
      <c r="BG2153" s="75" t="str">
        <f aca="false">IF(LEN(BF2153)=11,"PF",IF(LEN(BF2153)=14,"PJ",""))</f>
        <v/>
      </c>
      <c r="BH2153" s="66"/>
      <c r="CB2153" s="72" t="str">
        <f aca="false">IF(AC2153&lt;&gt;"",VLOOKUP(AC2153,Selects!$B:$E,4,0),"")</f>
        <v/>
      </c>
    </row>
    <row r="2154" customFormat="false" ht="15" hidden="true" customHeight="false" outlineLevel="0" collapsed="false">
      <c r="E2154" s="60" t="str">
        <f aca="false">IF(LEN(D2154)=11,"PF",IF(LEN(D2154)=14,"PJ",""))</f>
        <v/>
      </c>
      <c r="I2154" s="62"/>
      <c r="AM2154" s="68" t="str">
        <f aca="false">IF(LEFT(AL2154,1)="9","Celular",IF(AL2154="","","Fixo"))</f>
        <v/>
      </c>
      <c r="AN2154" s="58" t="str">
        <f aca="false">IF( AM2154&lt;&gt;"",VLOOKUP(AM2154,Selects!$M$4:$N$1000,2,0),"")</f>
        <v/>
      </c>
      <c r="BB2154" s="72" t="str">
        <f aca="false">IF(BA2154&lt;&gt;"",VLOOKUP(BA2154,Selects!$B$4:$C$100,2,0),"")</f>
        <v/>
      </c>
      <c r="BG2154" s="75" t="str">
        <f aca="false">IF(LEN(BF2154)=11,"PF",IF(LEN(BF2154)=14,"PJ",""))</f>
        <v/>
      </c>
      <c r="BH2154" s="66"/>
      <c r="CB2154" s="72" t="str">
        <f aca="false">IF(AC2154&lt;&gt;"",VLOOKUP(AC2154,Selects!$B:$E,4,0),"")</f>
        <v/>
      </c>
    </row>
    <row r="2155" customFormat="false" ht="15" hidden="true" customHeight="false" outlineLevel="0" collapsed="false">
      <c r="E2155" s="60" t="str">
        <f aca="false">IF(LEN(D2155)=11,"PF",IF(LEN(D2155)=14,"PJ",""))</f>
        <v/>
      </c>
      <c r="I2155" s="62"/>
      <c r="AM2155" s="68" t="str">
        <f aca="false">IF(LEFT(AL2155,1)="9","Celular",IF(AL2155="","","Fixo"))</f>
        <v/>
      </c>
      <c r="AN2155" s="58" t="str">
        <f aca="false">IF( AM2155&lt;&gt;"",VLOOKUP(AM2155,Selects!$M$4:$N$1000,2,0),"")</f>
        <v/>
      </c>
      <c r="BB2155" s="72" t="str">
        <f aca="false">IF(BA2155&lt;&gt;"",VLOOKUP(BA2155,Selects!$B$4:$C$100,2,0),"")</f>
        <v/>
      </c>
      <c r="BG2155" s="75" t="str">
        <f aca="false">IF(LEN(BF2155)=11,"PF",IF(LEN(BF2155)=14,"PJ",""))</f>
        <v/>
      </c>
      <c r="BH2155" s="66"/>
      <c r="CB2155" s="72" t="str">
        <f aca="false">IF(AC2155&lt;&gt;"",VLOOKUP(AC2155,Selects!$B:$E,4,0),"")</f>
        <v/>
      </c>
    </row>
    <row r="2156" customFormat="false" ht="15" hidden="true" customHeight="false" outlineLevel="0" collapsed="false">
      <c r="E2156" s="60" t="str">
        <f aca="false">IF(LEN(D2156)=11,"PF",IF(LEN(D2156)=14,"PJ",""))</f>
        <v/>
      </c>
      <c r="I2156" s="62"/>
      <c r="AM2156" s="68" t="str">
        <f aca="false">IF(LEFT(AL2156,1)="9","Celular",IF(AL2156="","","Fixo"))</f>
        <v/>
      </c>
      <c r="AN2156" s="58" t="str">
        <f aca="false">IF( AM2156&lt;&gt;"",VLOOKUP(AM2156,Selects!$M$4:$N$1000,2,0),"")</f>
        <v/>
      </c>
      <c r="BB2156" s="72" t="str">
        <f aca="false">IF(BA2156&lt;&gt;"",VLOOKUP(BA2156,Selects!$B$4:$C$100,2,0),"")</f>
        <v/>
      </c>
      <c r="BG2156" s="75" t="str">
        <f aca="false">IF(LEN(BF2156)=11,"PF",IF(LEN(BF2156)=14,"PJ",""))</f>
        <v/>
      </c>
      <c r="BH2156" s="66"/>
      <c r="CB2156" s="72" t="str">
        <f aca="false">IF(AC2156&lt;&gt;"",VLOOKUP(AC2156,Selects!$B:$E,4,0),"")</f>
        <v/>
      </c>
    </row>
    <row r="2157" customFormat="false" ht="15" hidden="true" customHeight="false" outlineLevel="0" collapsed="false">
      <c r="E2157" s="60" t="str">
        <f aca="false">IF(LEN(D2157)=11,"PF",IF(LEN(D2157)=14,"PJ",""))</f>
        <v/>
      </c>
      <c r="I2157" s="62"/>
      <c r="AM2157" s="68" t="str">
        <f aca="false">IF(LEFT(AL2157,1)="9","Celular",IF(AL2157="","","Fixo"))</f>
        <v/>
      </c>
      <c r="AN2157" s="58" t="str">
        <f aca="false">IF( AM2157&lt;&gt;"",VLOOKUP(AM2157,Selects!$M$4:$N$1000,2,0),"")</f>
        <v/>
      </c>
      <c r="BB2157" s="72" t="str">
        <f aca="false">IF(BA2157&lt;&gt;"",VLOOKUP(BA2157,Selects!$B$4:$C$100,2,0),"")</f>
        <v/>
      </c>
      <c r="BG2157" s="75" t="str">
        <f aca="false">IF(LEN(BF2157)=11,"PF",IF(LEN(BF2157)=14,"PJ",""))</f>
        <v/>
      </c>
      <c r="BH2157" s="66"/>
      <c r="CB2157" s="72" t="str">
        <f aca="false">IF(AC2157&lt;&gt;"",VLOOKUP(AC2157,Selects!$B:$E,4,0),"")</f>
        <v/>
      </c>
    </row>
    <row r="2158" customFormat="false" ht="15" hidden="true" customHeight="false" outlineLevel="0" collapsed="false">
      <c r="E2158" s="60" t="str">
        <f aca="false">IF(LEN(D2158)=11,"PF",IF(LEN(D2158)=14,"PJ",""))</f>
        <v/>
      </c>
      <c r="I2158" s="62"/>
      <c r="AM2158" s="68" t="str">
        <f aca="false">IF(LEFT(AL2158,1)="9","Celular",IF(AL2158="","","Fixo"))</f>
        <v/>
      </c>
      <c r="AN2158" s="58" t="str">
        <f aca="false">IF( AM2158&lt;&gt;"",VLOOKUP(AM2158,Selects!$M$4:$N$1000,2,0),"")</f>
        <v/>
      </c>
      <c r="BB2158" s="72" t="str">
        <f aca="false">IF(BA2158&lt;&gt;"",VLOOKUP(BA2158,Selects!$B$4:$C$100,2,0),"")</f>
        <v/>
      </c>
      <c r="BG2158" s="75" t="str">
        <f aca="false">IF(LEN(BF2158)=11,"PF",IF(LEN(BF2158)=14,"PJ",""))</f>
        <v/>
      </c>
      <c r="BH2158" s="66"/>
      <c r="CB2158" s="72" t="str">
        <f aca="false">IF(AC2158&lt;&gt;"",VLOOKUP(AC2158,Selects!$B:$E,4,0),"")</f>
        <v/>
      </c>
    </row>
    <row r="2159" customFormat="false" ht="15" hidden="true" customHeight="false" outlineLevel="0" collapsed="false">
      <c r="E2159" s="60" t="str">
        <f aca="false">IF(LEN(D2159)=11,"PF",IF(LEN(D2159)=14,"PJ",""))</f>
        <v/>
      </c>
      <c r="I2159" s="62"/>
      <c r="AM2159" s="68" t="str">
        <f aca="false">IF(LEFT(AL2159,1)="9","Celular",IF(AL2159="","","Fixo"))</f>
        <v/>
      </c>
      <c r="AN2159" s="58" t="str">
        <f aca="false">IF( AM2159&lt;&gt;"",VLOOKUP(AM2159,Selects!$M$4:$N$1000,2,0),"")</f>
        <v/>
      </c>
      <c r="BB2159" s="72" t="str">
        <f aca="false">IF(BA2159&lt;&gt;"",VLOOKUP(BA2159,Selects!$B$4:$C$100,2,0),"")</f>
        <v/>
      </c>
      <c r="BG2159" s="75" t="str">
        <f aca="false">IF(LEN(BF2159)=11,"PF",IF(LEN(BF2159)=14,"PJ",""))</f>
        <v/>
      </c>
      <c r="BH2159" s="66"/>
      <c r="CB2159" s="72" t="str">
        <f aca="false">IF(AC2159&lt;&gt;"",VLOOKUP(AC2159,Selects!$B:$E,4,0),"")</f>
        <v/>
      </c>
    </row>
    <row r="2160" customFormat="false" ht="15" hidden="true" customHeight="false" outlineLevel="0" collapsed="false">
      <c r="E2160" s="60" t="str">
        <f aca="false">IF(LEN(D2160)=11,"PF",IF(LEN(D2160)=14,"PJ",""))</f>
        <v/>
      </c>
      <c r="I2160" s="62"/>
      <c r="AM2160" s="68" t="str">
        <f aca="false">IF(LEFT(AL2160,1)="9","Celular",IF(AL2160="","","Fixo"))</f>
        <v/>
      </c>
      <c r="AN2160" s="58" t="str">
        <f aca="false">IF( AM2160&lt;&gt;"",VLOOKUP(AM2160,Selects!$M$4:$N$1000,2,0),"")</f>
        <v/>
      </c>
      <c r="BB2160" s="72" t="str">
        <f aca="false">IF(BA2160&lt;&gt;"",VLOOKUP(BA2160,Selects!$B$4:$C$100,2,0),"")</f>
        <v/>
      </c>
      <c r="BG2160" s="75" t="str">
        <f aca="false">IF(LEN(BF2160)=11,"PF",IF(LEN(BF2160)=14,"PJ",""))</f>
        <v/>
      </c>
      <c r="BH2160" s="66"/>
      <c r="CB2160" s="72" t="str">
        <f aca="false">IF(AC2160&lt;&gt;"",VLOOKUP(AC2160,Selects!$B:$E,4,0),"")</f>
        <v/>
      </c>
    </row>
    <row r="2161" customFormat="false" ht="15" hidden="true" customHeight="false" outlineLevel="0" collapsed="false">
      <c r="E2161" s="60" t="str">
        <f aca="false">IF(LEN(D2161)=11,"PF",IF(LEN(D2161)=14,"PJ",""))</f>
        <v/>
      </c>
      <c r="I2161" s="62"/>
      <c r="AM2161" s="68" t="str">
        <f aca="false">IF(LEFT(AL2161,1)="9","Celular",IF(AL2161="","","Fixo"))</f>
        <v/>
      </c>
      <c r="AN2161" s="58" t="str">
        <f aca="false">IF( AM2161&lt;&gt;"",VLOOKUP(AM2161,Selects!$M$4:$N$1000,2,0),"")</f>
        <v/>
      </c>
      <c r="BB2161" s="72" t="str">
        <f aca="false">IF(BA2161&lt;&gt;"",VLOOKUP(BA2161,Selects!$B$4:$C$100,2,0),"")</f>
        <v/>
      </c>
      <c r="BG2161" s="75" t="str">
        <f aca="false">IF(LEN(BF2161)=11,"PF",IF(LEN(BF2161)=14,"PJ",""))</f>
        <v/>
      </c>
      <c r="BH2161" s="66"/>
      <c r="CB2161" s="72" t="str">
        <f aca="false">IF(AC2161&lt;&gt;"",VLOOKUP(AC2161,Selects!$B:$E,4,0),"")</f>
        <v/>
      </c>
    </row>
    <row r="2162" customFormat="false" ht="15" hidden="true" customHeight="false" outlineLevel="0" collapsed="false">
      <c r="E2162" s="60" t="str">
        <f aca="false">IF(LEN(D2162)=11,"PF",IF(LEN(D2162)=14,"PJ",""))</f>
        <v/>
      </c>
      <c r="I2162" s="62"/>
      <c r="AM2162" s="68" t="str">
        <f aca="false">IF(LEFT(AL2162,1)="9","Celular",IF(AL2162="","","Fixo"))</f>
        <v/>
      </c>
      <c r="AN2162" s="58" t="str">
        <f aca="false">IF( AM2162&lt;&gt;"",VLOOKUP(AM2162,Selects!$M$4:$N$1000,2,0),"")</f>
        <v/>
      </c>
      <c r="BB2162" s="72" t="str">
        <f aca="false">IF(BA2162&lt;&gt;"",VLOOKUP(BA2162,Selects!$B$4:$C$100,2,0),"")</f>
        <v/>
      </c>
      <c r="BG2162" s="75" t="str">
        <f aca="false">IF(LEN(BF2162)=11,"PF",IF(LEN(BF2162)=14,"PJ",""))</f>
        <v/>
      </c>
      <c r="BH2162" s="66"/>
      <c r="CB2162" s="72" t="str">
        <f aca="false">IF(AC2162&lt;&gt;"",VLOOKUP(AC2162,Selects!$B:$E,4,0),"")</f>
        <v/>
      </c>
    </row>
    <row r="2163" customFormat="false" ht="15" hidden="true" customHeight="false" outlineLevel="0" collapsed="false">
      <c r="E2163" s="60" t="str">
        <f aca="false">IF(LEN(D2163)=11,"PF",IF(LEN(D2163)=14,"PJ",""))</f>
        <v/>
      </c>
      <c r="I2163" s="62"/>
      <c r="AM2163" s="68" t="str">
        <f aca="false">IF(LEFT(AL2163,1)="9","Celular",IF(AL2163="","","Fixo"))</f>
        <v/>
      </c>
      <c r="AN2163" s="58" t="str">
        <f aca="false">IF( AM2163&lt;&gt;"",VLOOKUP(AM2163,Selects!$M$4:$N$1000,2,0),"")</f>
        <v/>
      </c>
      <c r="BB2163" s="72" t="str">
        <f aca="false">IF(BA2163&lt;&gt;"",VLOOKUP(BA2163,Selects!$B$4:$C$100,2,0),"")</f>
        <v/>
      </c>
      <c r="BG2163" s="75" t="str">
        <f aca="false">IF(LEN(BF2163)=11,"PF",IF(LEN(BF2163)=14,"PJ",""))</f>
        <v/>
      </c>
      <c r="BH2163" s="66"/>
      <c r="CB2163" s="72" t="str">
        <f aca="false">IF(AC2163&lt;&gt;"",VLOOKUP(AC2163,Selects!$B:$E,4,0),"")</f>
        <v/>
      </c>
    </row>
    <row r="2164" customFormat="false" ht="15" hidden="true" customHeight="false" outlineLevel="0" collapsed="false">
      <c r="E2164" s="60" t="str">
        <f aca="false">IF(LEN(D2164)=11,"PF",IF(LEN(D2164)=14,"PJ",""))</f>
        <v/>
      </c>
      <c r="I2164" s="62"/>
      <c r="AM2164" s="68" t="str">
        <f aca="false">IF(LEFT(AL2164,1)="9","Celular",IF(AL2164="","","Fixo"))</f>
        <v/>
      </c>
      <c r="AN2164" s="58" t="str">
        <f aca="false">IF( AM2164&lt;&gt;"",VLOOKUP(AM2164,Selects!$M$4:$N$1000,2,0),"")</f>
        <v/>
      </c>
      <c r="BB2164" s="72" t="str">
        <f aca="false">IF(BA2164&lt;&gt;"",VLOOKUP(BA2164,Selects!$B$4:$C$100,2,0),"")</f>
        <v/>
      </c>
      <c r="BG2164" s="75" t="str">
        <f aca="false">IF(LEN(BF2164)=11,"PF",IF(LEN(BF2164)=14,"PJ",""))</f>
        <v/>
      </c>
      <c r="BH2164" s="66"/>
      <c r="CB2164" s="72" t="str">
        <f aca="false">IF(AC2164&lt;&gt;"",VLOOKUP(AC2164,Selects!$B:$E,4,0),"")</f>
        <v/>
      </c>
    </row>
    <row r="2165" customFormat="false" ht="15" hidden="true" customHeight="false" outlineLevel="0" collapsed="false">
      <c r="E2165" s="60" t="str">
        <f aca="false">IF(LEN(D2165)=11,"PF",IF(LEN(D2165)=14,"PJ",""))</f>
        <v/>
      </c>
      <c r="I2165" s="62"/>
      <c r="AM2165" s="68" t="str">
        <f aca="false">IF(LEFT(AL2165,1)="9","Celular",IF(AL2165="","","Fixo"))</f>
        <v/>
      </c>
      <c r="AN2165" s="58" t="str">
        <f aca="false">IF( AM2165&lt;&gt;"",VLOOKUP(AM2165,Selects!$M$4:$N$1000,2,0),"")</f>
        <v/>
      </c>
      <c r="BB2165" s="72" t="str">
        <f aca="false">IF(BA2165&lt;&gt;"",VLOOKUP(BA2165,Selects!$B$4:$C$100,2,0),"")</f>
        <v/>
      </c>
      <c r="BG2165" s="75" t="str">
        <f aca="false">IF(LEN(BF2165)=11,"PF",IF(LEN(BF2165)=14,"PJ",""))</f>
        <v/>
      </c>
      <c r="BH2165" s="66"/>
      <c r="CB2165" s="72" t="str">
        <f aca="false">IF(AC2165&lt;&gt;"",VLOOKUP(AC2165,Selects!$B:$E,4,0),"")</f>
        <v/>
      </c>
    </row>
    <row r="2166" customFormat="false" ht="15" hidden="true" customHeight="false" outlineLevel="0" collapsed="false">
      <c r="E2166" s="60" t="str">
        <f aca="false">IF(LEN(D2166)=11,"PF",IF(LEN(D2166)=14,"PJ",""))</f>
        <v/>
      </c>
      <c r="I2166" s="62"/>
      <c r="AM2166" s="68" t="str">
        <f aca="false">IF(LEFT(AL2166,1)="9","Celular",IF(AL2166="","","Fixo"))</f>
        <v/>
      </c>
      <c r="AN2166" s="58" t="str">
        <f aca="false">IF( AM2166&lt;&gt;"",VLOOKUP(AM2166,Selects!$M$4:$N$1000,2,0),"")</f>
        <v/>
      </c>
      <c r="BB2166" s="72" t="str">
        <f aca="false">IF(BA2166&lt;&gt;"",VLOOKUP(BA2166,Selects!$B$4:$C$100,2,0),"")</f>
        <v/>
      </c>
      <c r="BG2166" s="75" t="str">
        <f aca="false">IF(LEN(BF2166)=11,"PF",IF(LEN(BF2166)=14,"PJ",""))</f>
        <v/>
      </c>
      <c r="BH2166" s="66"/>
      <c r="CB2166" s="72" t="str">
        <f aca="false">IF(AC2166&lt;&gt;"",VLOOKUP(AC2166,Selects!$B:$E,4,0),"")</f>
        <v/>
      </c>
    </row>
    <row r="2167" customFormat="false" ht="15" hidden="true" customHeight="false" outlineLevel="0" collapsed="false">
      <c r="E2167" s="60" t="str">
        <f aca="false">IF(LEN(D2167)=11,"PF",IF(LEN(D2167)=14,"PJ",""))</f>
        <v/>
      </c>
      <c r="I2167" s="62"/>
      <c r="AM2167" s="68" t="str">
        <f aca="false">IF(LEFT(AL2167,1)="9","Celular",IF(AL2167="","","Fixo"))</f>
        <v/>
      </c>
      <c r="AN2167" s="58" t="str">
        <f aca="false">IF( AM2167&lt;&gt;"",VLOOKUP(AM2167,Selects!$M$4:$N$1000,2,0),"")</f>
        <v/>
      </c>
      <c r="BB2167" s="72" t="str">
        <f aca="false">IF(BA2167&lt;&gt;"",VLOOKUP(BA2167,Selects!$B$4:$C$100,2,0),"")</f>
        <v/>
      </c>
      <c r="BG2167" s="75" t="str">
        <f aca="false">IF(LEN(BF2167)=11,"PF",IF(LEN(BF2167)=14,"PJ",""))</f>
        <v/>
      </c>
      <c r="BH2167" s="66"/>
      <c r="CB2167" s="72" t="str">
        <f aca="false">IF(AC2167&lt;&gt;"",VLOOKUP(AC2167,Selects!$B:$E,4,0),"")</f>
        <v/>
      </c>
    </row>
    <row r="2168" customFormat="false" ht="15" hidden="true" customHeight="false" outlineLevel="0" collapsed="false">
      <c r="E2168" s="60" t="str">
        <f aca="false">IF(LEN(D2168)=11,"PF",IF(LEN(D2168)=14,"PJ",""))</f>
        <v/>
      </c>
      <c r="I2168" s="62"/>
      <c r="AM2168" s="68" t="str">
        <f aca="false">IF(LEFT(AL2168,1)="9","Celular",IF(AL2168="","","Fixo"))</f>
        <v/>
      </c>
      <c r="AN2168" s="58" t="str">
        <f aca="false">IF( AM2168&lt;&gt;"",VLOOKUP(AM2168,Selects!$M$4:$N$1000,2,0),"")</f>
        <v/>
      </c>
      <c r="BB2168" s="72" t="str">
        <f aca="false">IF(BA2168&lt;&gt;"",VLOOKUP(BA2168,Selects!$B$4:$C$100,2,0),"")</f>
        <v/>
      </c>
      <c r="BG2168" s="75" t="str">
        <f aca="false">IF(LEN(BF2168)=11,"PF",IF(LEN(BF2168)=14,"PJ",""))</f>
        <v/>
      </c>
      <c r="BH2168" s="66"/>
      <c r="CB2168" s="72" t="str">
        <f aca="false">IF(AC2168&lt;&gt;"",VLOOKUP(AC2168,Selects!$B:$E,4,0),"")</f>
        <v/>
      </c>
    </row>
    <row r="2169" customFormat="false" ht="15" hidden="true" customHeight="false" outlineLevel="0" collapsed="false">
      <c r="E2169" s="60" t="str">
        <f aca="false">IF(LEN(D2169)=11,"PF",IF(LEN(D2169)=14,"PJ",""))</f>
        <v/>
      </c>
      <c r="I2169" s="62"/>
      <c r="AM2169" s="68" t="str">
        <f aca="false">IF(LEFT(AL2169,1)="9","Celular",IF(AL2169="","","Fixo"))</f>
        <v/>
      </c>
      <c r="AN2169" s="58" t="str">
        <f aca="false">IF( AM2169&lt;&gt;"",VLOOKUP(AM2169,Selects!$M$4:$N$1000,2,0),"")</f>
        <v/>
      </c>
      <c r="BB2169" s="72" t="str">
        <f aca="false">IF(BA2169&lt;&gt;"",VLOOKUP(BA2169,Selects!$B$4:$C$100,2,0),"")</f>
        <v/>
      </c>
      <c r="BG2169" s="75" t="str">
        <f aca="false">IF(LEN(BF2169)=11,"PF",IF(LEN(BF2169)=14,"PJ",""))</f>
        <v/>
      </c>
      <c r="BH2169" s="66"/>
      <c r="CB2169" s="72" t="str">
        <f aca="false">IF(AC2169&lt;&gt;"",VLOOKUP(AC2169,Selects!$B:$E,4,0),"")</f>
        <v/>
      </c>
    </row>
    <row r="2170" customFormat="false" ht="15" hidden="true" customHeight="false" outlineLevel="0" collapsed="false">
      <c r="E2170" s="60" t="str">
        <f aca="false">IF(LEN(D2170)=11,"PF",IF(LEN(D2170)=14,"PJ",""))</f>
        <v/>
      </c>
      <c r="I2170" s="62"/>
      <c r="AM2170" s="68" t="str">
        <f aca="false">IF(LEFT(AL2170,1)="9","Celular",IF(AL2170="","","Fixo"))</f>
        <v/>
      </c>
      <c r="AN2170" s="58" t="str">
        <f aca="false">IF( AM2170&lt;&gt;"",VLOOKUP(AM2170,Selects!$M$4:$N$1000,2,0),"")</f>
        <v/>
      </c>
      <c r="BB2170" s="72" t="str">
        <f aca="false">IF(BA2170&lt;&gt;"",VLOOKUP(BA2170,Selects!$B$4:$C$100,2,0),"")</f>
        <v/>
      </c>
      <c r="BG2170" s="75" t="str">
        <f aca="false">IF(LEN(BF2170)=11,"PF",IF(LEN(BF2170)=14,"PJ",""))</f>
        <v/>
      </c>
      <c r="BH2170" s="66"/>
      <c r="CB2170" s="72" t="str">
        <f aca="false">IF(AC2170&lt;&gt;"",VLOOKUP(AC2170,Selects!$B:$E,4,0),"")</f>
        <v/>
      </c>
    </row>
    <row r="2171" customFormat="false" ht="15" hidden="true" customHeight="false" outlineLevel="0" collapsed="false">
      <c r="E2171" s="60" t="str">
        <f aca="false">IF(LEN(D2171)=11,"PF",IF(LEN(D2171)=14,"PJ",""))</f>
        <v/>
      </c>
      <c r="I2171" s="62"/>
      <c r="AM2171" s="68" t="str">
        <f aca="false">IF(LEFT(AL2171,1)="9","Celular",IF(AL2171="","","Fixo"))</f>
        <v/>
      </c>
      <c r="AN2171" s="58" t="str">
        <f aca="false">IF( AM2171&lt;&gt;"",VLOOKUP(AM2171,Selects!$M$4:$N$1000,2,0),"")</f>
        <v/>
      </c>
      <c r="BB2171" s="72" t="str">
        <f aca="false">IF(BA2171&lt;&gt;"",VLOOKUP(BA2171,Selects!$B$4:$C$100,2,0),"")</f>
        <v/>
      </c>
      <c r="BG2171" s="75" t="str">
        <f aca="false">IF(LEN(BF2171)=11,"PF",IF(LEN(BF2171)=14,"PJ",""))</f>
        <v/>
      </c>
      <c r="BH2171" s="66"/>
      <c r="CB2171" s="72" t="str">
        <f aca="false">IF(AC2171&lt;&gt;"",VLOOKUP(AC2171,Selects!$B:$E,4,0),"")</f>
        <v/>
      </c>
    </row>
    <row r="2172" customFormat="false" ht="15" hidden="true" customHeight="false" outlineLevel="0" collapsed="false">
      <c r="E2172" s="60" t="str">
        <f aca="false">IF(LEN(D2172)=11,"PF",IF(LEN(D2172)=14,"PJ",""))</f>
        <v/>
      </c>
      <c r="I2172" s="62"/>
      <c r="AM2172" s="68" t="str">
        <f aca="false">IF(LEFT(AL2172,1)="9","Celular",IF(AL2172="","","Fixo"))</f>
        <v/>
      </c>
      <c r="AN2172" s="58" t="str">
        <f aca="false">IF( AM2172&lt;&gt;"",VLOOKUP(AM2172,Selects!$M$4:$N$1000,2,0),"")</f>
        <v/>
      </c>
      <c r="BB2172" s="72" t="str">
        <f aca="false">IF(BA2172&lt;&gt;"",VLOOKUP(BA2172,Selects!$B$4:$C$100,2,0),"")</f>
        <v/>
      </c>
      <c r="BG2172" s="75" t="str">
        <f aca="false">IF(LEN(BF2172)=11,"PF",IF(LEN(BF2172)=14,"PJ",""))</f>
        <v/>
      </c>
      <c r="BH2172" s="66"/>
      <c r="CB2172" s="72" t="str">
        <f aca="false">IF(AC2172&lt;&gt;"",VLOOKUP(AC2172,Selects!$B:$E,4,0),"")</f>
        <v/>
      </c>
    </row>
    <row r="2173" customFormat="false" ht="15" hidden="true" customHeight="false" outlineLevel="0" collapsed="false">
      <c r="E2173" s="60" t="str">
        <f aca="false">IF(LEN(D2173)=11,"PF",IF(LEN(D2173)=14,"PJ",""))</f>
        <v/>
      </c>
      <c r="I2173" s="62"/>
      <c r="AM2173" s="68" t="str">
        <f aca="false">IF(LEFT(AL2173,1)="9","Celular",IF(AL2173="","","Fixo"))</f>
        <v/>
      </c>
      <c r="AN2173" s="58" t="str">
        <f aca="false">IF( AM2173&lt;&gt;"",VLOOKUP(AM2173,Selects!$M$4:$N$1000,2,0),"")</f>
        <v/>
      </c>
      <c r="BB2173" s="72" t="str">
        <f aca="false">IF(BA2173&lt;&gt;"",VLOOKUP(BA2173,Selects!$B$4:$C$100,2,0),"")</f>
        <v/>
      </c>
      <c r="BG2173" s="75" t="str">
        <f aca="false">IF(LEN(BF2173)=11,"PF",IF(LEN(BF2173)=14,"PJ",""))</f>
        <v/>
      </c>
      <c r="BH2173" s="66"/>
      <c r="CB2173" s="72" t="str">
        <f aca="false">IF(AC2173&lt;&gt;"",VLOOKUP(AC2173,Selects!$B:$E,4,0),"")</f>
        <v/>
      </c>
    </row>
    <row r="2174" customFormat="false" ht="15" hidden="true" customHeight="false" outlineLevel="0" collapsed="false">
      <c r="E2174" s="60" t="str">
        <f aca="false">IF(LEN(D2174)=11,"PF",IF(LEN(D2174)=14,"PJ",""))</f>
        <v/>
      </c>
      <c r="I2174" s="62"/>
      <c r="AM2174" s="68" t="str">
        <f aca="false">IF(LEFT(AL2174,1)="9","Celular",IF(AL2174="","","Fixo"))</f>
        <v/>
      </c>
      <c r="AN2174" s="58" t="str">
        <f aca="false">IF( AM2174&lt;&gt;"",VLOOKUP(AM2174,Selects!$M$4:$N$1000,2,0),"")</f>
        <v/>
      </c>
      <c r="BB2174" s="72" t="str">
        <f aca="false">IF(BA2174&lt;&gt;"",VLOOKUP(BA2174,Selects!$B$4:$C$100,2,0),"")</f>
        <v/>
      </c>
      <c r="BG2174" s="75" t="str">
        <f aca="false">IF(LEN(BF2174)=11,"PF",IF(LEN(BF2174)=14,"PJ",""))</f>
        <v/>
      </c>
      <c r="BH2174" s="66"/>
      <c r="CB2174" s="72" t="str">
        <f aca="false">IF(AC2174&lt;&gt;"",VLOOKUP(AC2174,Selects!$B:$E,4,0),"")</f>
        <v/>
      </c>
    </row>
    <row r="2175" customFormat="false" ht="15" hidden="true" customHeight="false" outlineLevel="0" collapsed="false">
      <c r="E2175" s="60" t="str">
        <f aca="false">IF(LEN(D2175)=11,"PF",IF(LEN(D2175)=14,"PJ",""))</f>
        <v/>
      </c>
      <c r="I2175" s="62"/>
      <c r="AM2175" s="68" t="str">
        <f aca="false">IF(LEFT(AL2175,1)="9","Celular",IF(AL2175="","","Fixo"))</f>
        <v/>
      </c>
      <c r="AN2175" s="58" t="str">
        <f aca="false">IF( AM2175&lt;&gt;"",VLOOKUP(AM2175,Selects!$M$4:$N$1000,2,0),"")</f>
        <v/>
      </c>
      <c r="BB2175" s="72" t="str">
        <f aca="false">IF(BA2175&lt;&gt;"",VLOOKUP(BA2175,Selects!$B$4:$C$100,2,0),"")</f>
        <v/>
      </c>
      <c r="BG2175" s="75" t="str">
        <f aca="false">IF(LEN(BF2175)=11,"PF",IF(LEN(BF2175)=14,"PJ",""))</f>
        <v/>
      </c>
      <c r="BH2175" s="66"/>
      <c r="CB2175" s="72" t="str">
        <f aca="false">IF(AC2175&lt;&gt;"",VLOOKUP(AC2175,Selects!$B:$E,4,0),"")</f>
        <v/>
      </c>
    </row>
    <row r="2176" customFormat="false" ht="15" hidden="true" customHeight="false" outlineLevel="0" collapsed="false">
      <c r="E2176" s="60" t="str">
        <f aca="false">IF(LEN(D2176)=11,"PF",IF(LEN(D2176)=14,"PJ",""))</f>
        <v/>
      </c>
      <c r="I2176" s="62"/>
      <c r="AM2176" s="68" t="str">
        <f aca="false">IF(LEFT(AL2176,1)="9","Celular",IF(AL2176="","","Fixo"))</f>
        <v/>
      </c>
      <c r="AN2176" s="58" t="str">
        <f aca="false">IF( AM2176&lt;&gt;"",VLOOKUP(AM2176,Selects!$M$4:$N$1000,2,0),"")</f>
        <v/>
      </c>
      <c r="BB2176" s="72" t="str">
        <f aca="false">IF(BA2176&lt;&gt;"",VLOOKUP(BA2176,Selects!$B$4:$C$100,2,0),"")</f>
        <v/>
      </c>
      <c r="BG2176" s="75" t="str">
        <f aca="false">IF(LEN(BF2176)=11,"PF",IF(LEN(BF2176)=14,"PJ",""))</f>
        <v/>
      </c>
      <c r="BH2176" s="66"/>
      <c r="CB2176" s="72" t="str">
        <f aca="false">IF(AC2176&lt;&gt;"",VLOOKUP(AC2176,Selects!$B:$E,4,0),"")</f>
        <v/>
      </c>
    </row>
    <row r="2177" customFormat="false" ht="15" hidden="true" customHeight="false" outlineLevel="0" collapsed="false">
      <c r="E2177" s="60" t="str">
        <f aca="false">IF(LEN(D2177)=11,"PF",IF(LEN(D2177)=14,"PJ",""))</f>
        <v/>
      </c>
      <c r="I2177" s="62"/>
      <c r="AM2177" s="68" t="str">
        <f aca="false">IF(LEFT(AL2177,1)="9","Celular",IF(AL2177="","","Fixo"))</f>
        <v/>
      </c>
      <c r="AN2177" s="58" t="str">
        <f aca="false">IF( AM2177&lt;&gt;"",VLOOKUP(AM2177,Selects!$M$4:$N$1000,2,0),"")</f>
        <v/>
      </c>
      <c r="BB2177" s="72" t="str">
        <f aca="false">IF(BA2177&lt;&gt;"",VLOOKUP(BA2177,Selects!$B$4:$C$100,2,0),"")</f>
        <v/>
      </c>
      <c r="BG2177" s="75" t="str">
        <f aca="false">IF(LEN(BF2177)=11,"PF",IF(LEN(BF2177)=14,"PJ",""))</f>
        <v/>
      </c>
      <c r="BH2177" s="66"/>
      <c r="CB2177" s="72" t="str">
        <f aca="false">IF(AC2177&lt;&gt;"",VLOOKUP(AC2177,Selects!$B:$E,4,0),"")</f>
        <v/>
      </c>
    </row>
    <row r="2178" customFormat="false" ht="15" hidden="true" customHeight="false" outlineLevel="0" collapsed="false">
      <c r="E2178" s="60" t="str">
        <f aca="false">IF(LEN(D2178)=11,"PF",IF(LEN(D2178)=14,"PJ",""))</f>
        <v/>
      </c>
      <c r="I2178" s="62"/>
      <c r="AM2178" s="68" t="str">
        <f aca="false">IF(LEFT(AL2178,1)="9","Celular",IF(AL2178="","","Fixo"))</f>
        <v/>
      </c>
      <c r="AN2178" s="58" t="str">
        <f aca="false">IF( AM2178&lt;&gt;"",VLOOKUP(AM2178,Selects!$M$4:$N$1000,2,0),"")</f>
        <v/>
      </c>
      <c r="BB2178" s="72" t="str">
        <f aca="false">IF(BA2178&lt;&gt;"",VLOOKUP(BA2178,Selects!$B$4:$C$100,2,0),"")</f>
        <v/>
      </c>
      <c r="BG2178" s="75" t="str">
        <f aca="false">IF(LEN(BF2178)=11,"PF",IF(LEN(BF2178)=14,"PJ",""))</f>
        <v/>
      </c>
      <c r="BH2178" s="66"/>
      <c r="CB2178" s="72" t="str">
        <f aca="false">IF(AC2178&lt;&gt;"",VLOOKUP(AC2178,Selects!$B:$E,4,0),"")</f>
        <v/>
      </c>
    </row>
    <row r="2179" customFormat="false" ht="15" hidden="true" customHeight="false" outlineLevel="0" collapsed="false">
      <c r="E2179" s="60" t="str">
        <f aca="false">IF(LEN(D2179)=11,"PF",IF(LEN(D2179)=14,"PJ",""))</f>
        <v/>
      </c>
      <c r="I2179" s="62"/>
      <c r="AM2179" s="68" t="str">
        <f aca="false">IF(LEFT(AL2179,1)="9","Celular",IF(AL2179="","","Fixo"))</f>
        <v/>
      </c>
      <c r="AN2179" s="58" t="str">
        <f aca="false">IF( AM2179&lt;&gt;"",VLOOKUP(AM2179,Selects!$M$4:$N$1000,2,0),"")</f>
        <v/>
      </c>
      <c r="BB2179" s="72" t="str">
        <f aca="false">IF(BA2179&lt;&gt;"",VLOOKUP(BA2179,Selects!$B$4:$C$100,2,0),"")</f>
        <v/>
      </c>
      <c r="BG2179" s="75" t="str">
        <f aca="false">IF(LEN(BF2179)=11,"PF",IF(LEN(BF2179)=14,"PJ",""))</f>
        <v/>
      </c>
      <c r="BH2179" s="66"/>
      <c r="CB2179" s="72" t="str">
        <f aca="false">IF(AC2179&lt;&gt;"",VLOOKUP(AC2179,Selects!$B:$E,4,0),"")</f>
        <v/>
      </c>
    </row>
    <row r="2180" customFormat="false" ht="15" hidden="true" customHeight="false" outlineLevel="0" collapsed="false">
      <c r="E2180" s="60" t="str">
        <f aca="false">IF(LEN(D2180)=11,"PF",IF(LEN(D2180)=14,"PJ",""))</f>
        <v/>
      </c>
      <c r="I2180" s="62"/>
      <c r="AM2180" s="68" t="str">
        <f aca="false">IF(LEFT(AL2180,1)="9","Celular",IF(AL2180="","","Fixo"))</f>
        <v/>
      </c>
      <c r="AN2180" s="58" t="str">
        <f aca="false">IF( AM2180&lt;&gt;"",VLOOKUP(AM2180,Selects!$M$4:$N$1000,2,0),"")</f>
        <v/>
      </c>
      <c r="BB2180" s="72" t="str">
        <f aca="false">IF(BA2180&lt;&gt;"",VLOOKUP(BA2180,Selects!$B$4:$C$100,2,0),"")</f>
        <v/>
      </c>
      <c r="BG2180" s="75" t="str">
        <f aca="false">IF(LEN(BF2180)=11,"PF",IF(LEN(BF2180)=14,"PJ",""))</f>
        <v/>
      </c>
      <c r="BH2180" s="66"/>
      <c r="CB2180" s="72" t="str">
        <f aca="false">IF(AC2180&lt;&gt;"",VLOOKUP(AC2180,Selects!$B:$E,4,0),"")</f>
        <v/>
      </c>
    </row>
    <row r="2181" customFormat="false" ht="15" hidden="true" customHeight="false" outlineLevel="0" collapsed="false">
      <c r="E2181" s="60" t="str">
        <f aca="false">IF(LEN(D2181)=11,"PF",IF(LEN(D2181)=14,"PJ",""))</f>
        <v/>
      </c>
      <c r="I2181" s="62"/>
      <c r="AM2181" s="68" t="str">
        <f aca="false">IF(LEFT(AL2181,1)="9","Celular",IF(AL2181="","","Fixo"))</f>
        <v/>
      </c>
      <c r="AN2181" s="58" t="str">
        <f aca="false">IF( AM2181&lt;&gt;"",VLOOKUP(AM2181,Selects!$M$4:$N$1000,2,0),"")</f>
        <v/>
      </c>
      <c r="BB2181" s="72" t="str">
        <f aca="false">IF(BA2181&lt;&gt;"",VLOOKUP(BA2181,Selects!$B$4:$C$100,2,0),"")</f>
        <v/>
      </c>
      <c r="BG2181" s="75" t="str">
        <f aca="false">IF(LEN(BF2181)=11,"PF",IF(LEN(BF2181)=14,"PJ",""))</f>
        <v/>
      </c>
      <c r="BH2181" s="66"/>
      <c r="CB2181" s="72" t="str">
        <f aca="false">IF(AC2181&lt;&gt;"",VLOOKUP(AC2181,Selects!$B:$E,4,0),"")</f>
        <v/>
      </c>
    </row>
    <row r="2182" customFormat="false" ht="15" hidden="true" customHeight="false" outlineLevel="0" collapsed="false">
      <c r="E2182" s="60" t="str">
        <f aca="false">IF(LEN(D2182)=11,"PF",IF(LEN(D2182)=14,"PJ",""))</f>
        <v/>
      </c>
      <c r="I2182" s="62"/>
      <c r="AM2182" s="68" t="str">
        <f aca="false">IF(LEFT(AL2182,1)="9","Celular",IF(AL2182="","","Fixo"))</f>
        <v/>
      </c>
      <c r="AN2182" s="58" t="str">
        <f aca="false">IF( AM2182&lt;&gt;"",VLOOKUP(AM2182,Selects!$M$4:$N$1000,2,0),"")</f>
        <v/>
      </c>
      <c r="BB2182" s="72" t="str">
        <f aca="false">IF(BA2182&lt;&gt;"",VLOOKUP(BA2182,Selects!$B$4:$C$100,2,0),"")</f>
        <v/>
      </c>
      <c r="BG2182" s="75" t="str">
        <f aca="false">IF(LEN(BF2182)=11,"PF",IF(LEN(BF2182)=14,"PJ",""))</f>
        <v/>
      </c>
      <c r="BH2182" s="66"/>
      <c r="CB2182" s="72" t="str">
        <f aca="false">IF(AC2182&lt;&gt;"",VLOOKUP(AC2182,Selects!$B:$E,4,0),"")</f>
        <v/>
      </c>
    </row>
    <row r="2183" customFormat="false" ht="15" hidden="true" customHeight="false" outlineLevel="0" collapsed="false">
      <c r="E2183" s="60" t="str">
        <f aca="false">IF(LEN(D2183)=11,"PF",IF(LEN(D2183)=14,"PJ",""))</f>
        <v/>
      </c>
      <c r="I2183" s="62"/>
      <c r="AM2183" s="68" t="str">
        <f aca="false">IF(LEFT(AL2183,1)="9","Celular",IF(AL2183="","","Fixo"))</f>
        <v/>
      </c>
      <c r="AN2183" s="58" t="str">
        <f aca="false">IF( AM2183&lt;&gt;"",VLOOKUP(AM2183,Selects!$M$4:$N$1000,2,0),"")</f>
        <v/>
      </c>
      <c r="BB2183" s="72" t="str">
        <f aca="false">IF(BA2183&lt;&gt;"",VLOOKUP(BA2183,Selects!$B$4:$C$100,2,0),"")</f>
        <v/>
      </c>
      <c r="BG2183" s="75" t="str">
        <f aca="false">IF(LEN(BF2183)=11,"PF",IF(LEN(BF2183)=14,"PJ",""))</f>
        <v/>
      </c>
      <c r="BH2183" s="66"/>
      <c r="CB2183" s="72" t="str">
        <f aca="false">IF(AC2183&lt;&gt;"",VLOOKUP(AC2183,Selects!$B:$E,4,0),"")</f>
        <v/>
      </c>
    </row>
    <row r="2184" customFormat="false" ht="15" hidden="true" customHeight="false" outlineLevel="0" collapsed="false">
      <c r="E2184" s="60" t="str">
        <f aca="false">IF(LEN(D2184)=11,"PF",IF(LEN(D2184)=14,"PJ",""))</f>
        <v/>
      </c>
      <c r="I2184" s="62"/>
      <c r="AM2184" s="68" t="str">
        <f aca="false">IF(LEFT(AL2184,1)="9","Celular",IF(AL2184="","","Fixo"))</f>
        <v/>
      </c>
      <c r="AN2184" s="58" t="str">
        <f aca="false">IF( AM2184&lt;&gt;"",VLOOKUP(AM2184,Selects!$M$4:$N$1000,2,0),"")</f>
        <v/>
      </c>
      <c r="BB2184" s="72" t="str">
        <f aca="false">IF(BA2184&lt;&gt;"",VLOOKUP(BA2184,Selects!$B$4:$C$100,2,0),"")</f>
        <v/>
      </c>
      <c r="BG2184" s="75" t="str">
        <f aca="false">IF(LEN(BF2184)=11,"PF",IF(LEN(BF2184)=14,"PJ",""))</f>
        <v/>
      </c>
      <c r="BH2184" s="66"/>
      <c r="CB2184" s="72" t="str">
        <f aca="false">IF(AC2184&lt;&gt;"",VLOOKUP(AC2184,Selects!$B:$E,4,0),"")</f>
        <v/>
      </c>
    </row>
    <row r="2185" customFormat="false" ht="15" hidden="true" customHeight="false" outlineLevel="0" collapsed="false">
      <c r="E2185" s="60" t="str">
        <f aca="false">IF(LEN(D2185)=11,"PF",IF(LEN(D2185)=14,"PJ",""))</f>
        <v/>
      </c>
      <c r="I2185" s="62"/>
      <c r="AM2185" s="68" t="str">
        <f aca="false">IF(LEFT(AL2185,1)="9","Celular",IF(AL2185="","","Fixo"))</f>
        <v/>
      </c>
      <c r="AN2185" s="58" t="str">
        <f aca="false">IF( AM2185&lt;&gt;"",VLOOKUP(AM2185,Selects!$M$4:$N$1000,2,0),"")</f>
        <v/>
      </c>
      <c r="BB2185" s="72" t="str">
        <f aca="false">IF(BA2185&lt;&gt;"",VLOOKUP(BA2185,Selects!$B$4:$C$100,2,0),"")</f>
        <v/>
      </c>
      <c r="BG2185" s="75" t="str">
        <f aca="false">IF(LEN(BF2185)=11,"PF",IF(LEN(BF2185)=14,"PJ",""))</f>
        <v/>
      </c>
      <c r="BH2185" s="66"/>
      <c r="CB2185" s="72" t="str">
        <f aca="false">IF(AC2185&lt;&gt;"",VLOOKUP(AC2185,Selects!$B:$E,4,0),"")</f>
        <v/>
      </c>
    </row>
    <row r="2186" customFormat="false" ht="15" hidden="true" customHeight="false" outlineLevel="0" collapsed="false">
      <c r="E2186" s="60" t="str">
        <f aca="false">IF(LEN(D2186)=11,"PF",IF(LEN(D2186)=14,"PJ",""))</f>
        <v/>
      </c>
      <c r="I2186" s="62"/>
      <c r="AM2186" s="68" t="str">
        <f aca="false">IF(LEFT(AL2186,1)="9","Celular",IF(AL2186="","","Fixo"))</f>
        <v/>
      </c>
      <c r="AN2186" s="58" t="str">
        <f aca="false">IF( AM2186&lt;&gt;"",VLOOKUP(AM2186,Selects!$M$4:$N$1000,2,0),"")</f>
        <v/>
      </c>
      <c r="BB2186" s="72" t="str">
        <f aca="false">IF(BA2186&lt;&gt;"",VLOOKUP(BA2186,Selects!$B$4:$C$100,2,0),"")</f>
        <v/>
      </c>
      <c r="BG2186" s="75" t="str">
        <f aca="false">IF(LEN(BF2186)=11,"PF",IF(LEN(BF2186)=14,"PJ",""))</f>
        <v/>
      </c>
      <c r="BH2186" s="66"/>
      <c r="CB2186" s="72" t="str">
        <f aca="false">IF(AC2186&lt;&gt;"",VLOOKUP(AC2186,Selects!$B:$E,4,0),"")</f>
        <v/>
      </c>
    </row>
    <row r="2187" customFormat="false" ht="15" hidden="true" customHeight="false" outlineLevel="0" collapsed="false">
      <c r="E2187" s="60" t="str">
        <f aca="false">IF(LEN(D2187)=11,"PF",IF(LEN(D2187)=14,"PJ",""))</f>
        <v/>
      </c>
      <c r="I2187" s="62"/>
      <c r="AM2187" s="68" t="str">
        <f aca="false">IF(LEFT(AL2187,1)="9","Celular",IF(AL2187="","","Fixo"))</f>
        <v/>
      </c>
      <c r="AN2187" s="58" t="str">
        <f aca="false">IF( AM2187&lt;&gt;"",VLOOKUP(AM2187,Selects!$M$4:$N$1000,2,0),"")</f>
        <v/>
      </c>
      <c r="BB2187" s="72" t="str">
        <f aca="false">IF(BA2187&lt;&gt;"",VLOOKUP(BA2187,Selects!$B$4:$C$100,2,0),"")</f>
        <v/>
      </c>
      <c r="BG2187" s="75" t="str">
        <f aca="false">IF(LEN(BF2187)=11,"PF",IF(LEN(BF2187)=14,"PJ",""))</f>
        <v/>
      </c>
      <c r="BH2187" s="66"/>
      <c r="CB2187" s="72" t="str">
        <f aca="false">IF(AC2187&lt;&gt;"",VLOOKUP(AC2187,Selects!$B:$E,4,0),"")</f>
        <v/>
      </c>
    </row>
    <row r="2188" customFormat="false" ht="15" hidden="true" customHeight="false" outlineLevel="0" collapsed="false">
      <c r="E2188" s="60" t="str">
        <f aca="false">IF(LEN(D2188)=11,"PF",IF(LEN(D2188)=14,"PJ",""))</f>
        <v/>
      </c>
      <c r="I2188" s="62"/>
      <c r="AM2188" s="68" t="str">
        <f aca="false">IF(LEFT(AL2188,1)="9","Celular",IF(AL2188="","","Fixo"))</f>
        <v/>
      </c>
      <c r="AN2188" s="58" t="str">
        <f aca="false">IF( AM2188&lt;&gt;"",VLOOKUP(AM2188,Selects!$M$4:$N$1000,2,0),"")</f>
        <v/>
      </c>
      <c r="BB2188" s="72" t="str">
        <f aca="false">IF(BA2188&lt;&gt;"",VLOOKUP(BA2188,Selects!$B$4:$C$100,2,0),"")</f>
        <v/>
      </c>
      <c r="BG2188" s="75" t="str">
        <f aca="false">IF(LEN(BF2188)=11,"PF",IF(LEN(BF2188)=14,"PJ",""))</f>
        <v/>
      </c>
      <c r="BH2188" s="66"/>
      <c r="CB2188" s="72" t="str">
        <f aca="false">IF(AC2188&lt;&gt;"",VLOOKUP(AC2188,Selects!$B:$E,4,0),"")</f>
        <v/>
      </c>
    </row>
    <row r="2189" customFormat="false" ht="15" hidden="true" customHeight="false" outlineLevel="0" collapsed="false">
      <c r="E2189" s="60" t="str">
        <f aca="false">IF(LEN(D2189)=11,"PF",IF(LEN(D2189)=14,"PJ",""))</f>
        <v/>
      </c>
      <c r="I2189" s="62"/>
      <c r="AM2189" s="68" t="str">
        <f aca="false">IF(LEFT(AL2189,1)="9","Celular",IF(AL2189="","","Fixo"))</f>
        <v/>
      </c>
      <c r="AN2189" s="58" t="str">
        <f aca="false">IF( AM2189&lt;&gt;"",VLOOKUP(AM2189,Selects!$M$4:$N$1000,2,0),"")</f>
        <v/>
      </c>
      <c r="BB2189" s="72" t="str">
        <f aca="false">IF(BA2189&lt;&gt;"",VLOOKUP(BA2189,Selects!$B$4:$C$100,2,0),"")</f>
        <v/>
      </c>
      <c r="BG2189" s="75" t="str">
        <f aca="false">IF(LEN(BF2189)=11,"PF",IF(LEN(BF2189)=14,"PJ",""))</f>
        <v/>
      </c>
      <c r="BH2189" s="66"/>
      <c r="CB2189" s="72" t="str">
        <f aca="false">IF(AC2189&lt;&gt;"",VLOOKUP(AC2189,Selects!$B:$E,4,0),"")</f>
        <v/>
      </c>
    </row>
    <row r="2190" customFormat="false" ht="15" hidden="true" customHeight="false" outlineLevel="0" collapsed="false">
      <c r="E2190" s="60" t="str">
        <f aca="false">IF(LEN(D2190)=11,"PF",IF(LEN(D2190)=14,"PJ",""))</f>
        <v/>
      </c>
      <c r="I2190" s="62"/>
      <c r="AM2190" s="68" t="str">
        <f aca="false">IF(LEFT(AL2190,1)="9","Celular",IF(AL2190="","","Fixo"))</f>
        <v/>
      </c>
      <c r="AN2190" s="58" t="str">
        <f aca="false">IF( AM2190&lt;&gt;"",VLOOKUP(AM2190,Selects!$M$4:$N$1000,2,0),"")</f>
        <v/>
      </c>
      <c r="BB2190" s="72" t="str">
        <f aca="false">IF(BA2190&lt;&gt;"",VLOOKUP(BA2190,Selects!$B$4:$C$100,2,0),"")</f>
        <v/>
      </c>
      <c r="BG2190" s="75" t="str">
        <f aca="false">IF(LEN(BF2190)=11,"PF",IF(LEN(BF2190)=14,"PJ",""))</f>
        <v/>
      </c>
      <c r="BH2190" s="66"/>
      <c r="CB2190" s="72" t="str">
        <f aca="false">IF(AC2190&lt;&gt;"",VLOOKUP(AC2190,Selects!$B:$E,4,0),"")</f>
        <v/>
      </c>
    </row>
    <row r="2191" customFormat="false" ht="15" hidden="true" customHeight="false" outlineLevel="0" collapsed="false">
      <c r="E2191" s="60" t="str">
        <f aca="false">IF(LEN(D2191)=11,"PF",IF(LEN(D2191)=14,"PJ",""))</f>
        <v/>
      </c>
      <c r="I2191" s="62"/>
      <c r="AM2191" s="68" t="str">
        <f aca="false">IF(LEFT(AL2191,1)="9","Celular",IF(AL2191="","","Fixo"))</f>
        <v/>
      </c>
      <c r="AN2191" s="58" t="str">
        <f aca="false">IF( AM2191&lt;&gt;"",VLOOKUP(AM2191,Selects!$M$4:$N$1000,2,0),"")</f>
        <v/>
      </c>
      <c r="BB2191" s="72" t="str">
        <f aca="false">IF(BA2191&lt;&gt;"",VLOOKUP(BA2191,Selects!$B$4:$C$100,2,0),"")</f>
        <v/>
      </c>
      <c r="BG2191" s="75" t="str">
        <f aca="false">IF(LEN(BF2191)=11,"PF",IF(LEN(BF2191)=14,"PJ",""))</f>
        <v/>
      </c>
      <c r="BH2191" s="66"/>
      <c r="CB2191" s="72" t="str">
        <f aca="false">IF(AC2191&lt;&gt;"",VLOOKUP(AC2191,Selects!$B:$E,4,0),"")</f>
        <v/>
      </c>
    </row>
    <row r="2192" customFormat="false" ht="15" hidden="true" customHeight="false" outlineLevel="0" collapsed="false">
      <c r="E2192" s="60" t="str">
        <f aca="false">IF(LEN(D2192)=11,"PF",IF(LEN(D2192)=14,"PJ",""))</f>
        <v/>
      </c>
      <c r="I2192" s="62"/>
      <c r="AM2192" s="68" t="str">
        <f aca="false">IF(LEFT(AL2192,1)="9","Celular",IF(AL2192="","","Fixo"))</f>
        <v/>
      </c>
      <c r="AN2192" s="58" t="str">
        <f aca="false">IF( AM2192&lt;&gt;"",VLOOKUP(AM2192,Selects!$M$4:$N$1000,2,0),"")</f>
        <v/>
      </c>
      <c r="BB2192" s="72" t="str">
        <f aca="false">IF(BA2192&lt;&gt;"",VLOOKUP(BA2192,Selects!$B$4:$C$100,2,0),"")</f>
        <v/>
      </c>
      <c r="BG2192" s="75" t="str">
        <f aca="false">IF(LEN(BF2192)=11,"PF",IF(LEN(BF2192)=14,"PJ",""))</f>
        <v/>
      </c>
      <c r="BH2192" s="66"/>
      <c r="CB2192" s="72" t="str">
        <f aca="false">IF(AC2192&lt;&gt;"",VLOOKUP(AC2192,Selects!$B:$E,4,0),"")</f>
        <v/>
      </c>
    </row>
    <row r="2193" customFormat="false" ht="15" hidden="true" customHeight="false" outlineLevel="0" collapsed="false">
      <c r="E2193" s="60" t="str">
        <f aca="false">IF(LEN(D2193)=11,"PF",IF(LEN(D2193)=14,"PJ",""))</f>
        <v/>
      </c>
      <c r="I2193" s="62"/>
      <c r="AM2193" s="68" t="str">
        <f aca="false">IF(LEFT(AL2193,1)="9","Celular",IF(AL2193="","","Fixo"))</f>
        <v/>
      </c>
      <c r="AN2193" s="58" t="str">
        <f aca="false">IF( AM2193&lt;&gt;"",VLOOKUP(AM2193,Selects!$M$4:$N$1000,2,0),"")</f>
        <v/>
      </c>
      <c r="BB2193" s="72" t="str">
        <f aca="false">IF(BA2193&lt;&gt;"",VLOOKUP(BA2193,Selects!$B$4:$C$100,2,0),"")</f>
        <v/>
      </c>
      <c r="BG2193" s="75" t="str">
        <f aca="false">IF(LEN(BF2193)=11,"PF",IF(LEN(BF2193)=14,"PJ",""))</f>
        <v/>
      </c>
      <c r="BH2193" s="66"/>
      <c r="CB2193" s="72" t="str">
        <f aca="false">IF(AC2193&lt;&gt;"",VLOOKUP(AC2193,Selects!$B:$E,4,0),"")</f>
        <v/>
      </c>
    </row>
    <row r="2194" customFormat="false" ht="15" hidden="true" customHeight="false" outlineLevel="0" collapsed="false">
      <c r="E2194" s="60" t="str">
        <f aca="false">IF(LEN(D2194)=11,"PF",IF(LEN(D2194)=14,"PJ",""))</f>
        <v/>
      </c>
      <c r="I2194" s="62"/>
      <c r="AM2194" s="68" t="str">
        <f aca="false">IF(LEFT(AL2194,1)="9","Celular",IF(AL2194="","","Fixo"))</f>
        <v/>
      </c>
      <c r="AN2194" s="58" t="str">
        <f aca="false">IF( AM2194&lt;&gt;"",VLOOKUP(AM2194,Selects!$M$4:$N$1000,2,0),"")</f>
        <v/>
      </c>
      <c r="BB2194" s="72" t="str">
        <f aca="false">IF(BA2194&lt;&gt;"",VLOOKUP(BA2194,Selects!$B$4:$C$100,2,0),"")</f>
        <v/>
      </c>
      <c r="BG2194" s="75" t="str">
        <f aca="false">IF(LEN(BF2194)=11,"PF",IF(LEN(BF2194)=14,"PJ",""))</f>
        <v/>
      </c>
      <c r="BH2194" s="66"/>
      <c r="CB2194" s="72" t="str">
        <f aca="false">IF(AC2194&lt;&gt;"",VLOOKUP(AC2194,Selects!$B:$E,4,0),"")</f>
        <v/>
      </c>
    </row>
    <row r="2195" customFormat="false" ht="15" hidden="true" customHeight="false" outlineLevel="0" collapsed="false">
      <c r="E2195" s="60" t="str">
        <f aca="false">IF(LEN(D2195)=11,"PF",IF(LEN(D2195)=14,"PJ",""))</f>
        <v/>
      </c>
      <c r="I2195" s="62"/>
      <c r="AM2195" s="68" t="str">
        <f aca="false">IF(LEFT(AL2195,1)="9","Celular",IF(AL2195="","","Fixo"))</f>
        <v/>
      </c>
      <c r="AN2195" s="58" t="str">
        <f aca="false">IF( AM2195&lt;&gt;"",VLOOKUP(AM2195,Selects!$M$4:$N$1000,2,0),"")</f>
        <v/>
      </c>
      <c r="BB2195" s="72" t="str">
        <f aca="false">IF(BA2195&lt;&gt;"",VLOOKUP(BA2195,Selects!$B$4:$C$100,2,0),"")</f>
        <v/>
      </c>
      <c r="BG2195" s="75" t="str">
        <f aca="false">IF(LEN(BF2195)=11,"PF",IF(LEN(BF2195)=14,"PJ",""))</f>
        <v/>
      </c>
      <c r="BH2195" s="66"/>
      <c r="CB2195" s="72" t="str">
        <f aca="false">IF(AC2195&lt;&gt;"",VLOOKUP(AC2195,Selects!$B:$E,4,0),"")</f>
        <v/>
      </c>
    </row>
    <row r="2196" customFormat="false" ht="15" hidden="true" customHeight="false" outlineLevel="0" collapsed="false">
      <c r="E2196" s="60" t="str">
        <f aca="false">IF(LEN(D2196)=11,"PF",IF(LEN(D2196)=14,"PJ",""))</f>
        <v/>
      </c>
      <c r="I2196" s="62"/>
      <c r="AM2196" s="68" t="str">
        <f aca="false">IF(LEFT(AL2196,1)="9","Celular",IF(AL2196="","","Fixo"))</f>
        <v/>
      </c>
      <c r="AN2196" s="58" t="str">
        <f aca="false">IF( AM2196&lt;&gt;"",VLOOKUP(AM2196,Selects!$M$4:$N$1000,2,0),"")</f>
        <v/>
      </c>
      <c r="BB2196" s="72" t="str">
        <f aca="false">IF(BA2196&lt;&gt;"",VLOOKUP(BA2196,Selects!$B$4:$C$100,2,0),"")</f>
        <v/>
      </c>
      <c r="BG2196" s="75" t="str">
        <f aca="false">IF(LEN(BF2196)=11,"PF",IF(LEN(BF2196)=14,"PJ",""))</f>
        <v/>
      </c>
      <c r="BH2196" s="66"/>
      <c r="CB2196" s="72" t="str">
        <f aca="false">IF(AC2196&lt;&gt;"",VLOOKUP(AC2196,Selects!$B:$E,4,0),"")</f>
        <v/>
      </c>
    </row>
    <row r="2197" customFormat="false" ht="15" hidden="true" customHeight="false" outlineLevel="0" collapsed="false">
      <c r="E2197" s="60" t="str">
        <f aca="false">IF(LEN(D2197)=11,"PF",IF(LEN(D2197)=14,"PJ",""))</f>
        <v/>
      </c>
      <c r="I2197" s="62"/>
      <c r="AM2197" s="68" t="str">
        <f aca="false">IF(LEFT(AL2197,1)="9","Celular",IF(AL2197="","","Fixo"))</f>
        <v/>
      </c>
      <c r="AN2197" s="58" t="str">
        <f aca="false">IF( AM2197&lt;&gt;"",VLOOKUP(AM2197,Selects!$M$4:$N$1000,2,0),"")</f>
        <v/>
      </c>
      <c r="BB2197" s="72" t="str">
        <f aca="false">IF(BA2197&lt;&gt;"",VLOOKUP(BA2197,Selects!$B$4:$C$100,2,0),"")</f>
        <v/>
      </c>
      <c r="BG2197" s="75" t="str">
        <f aca="false">IF(LEN(BF2197)=11,"PF",IF(LEN(BF2197)=14,"PJ",""))</f>
        <v/>
      </c>
      <c r="BH2197" s="66"/>
      <c r="CB2197" s="72" t="str">
        <f aca="false">IF(AC2197&lt;&gt;"",VLOOKUP(AC2197,Selects!$B:$E,4,0),"")</f>
        <v/>
      </c>
    </row>
    <row r="2198" customFormat="false" ht="15" hidden="true" customHeight="false" outlineLevel="0" collapsed="false">
      <c r="E2198" s="60" t="str">
        <f aca="false">IF(LEN(D2198)=11,"PF",IF(LEN(D2198)=14,"PJ",""))</f>
        <v/>
      </c>
      <c r="I2198" s="62"/>
      <c r="AM2198" s="68" t="str">
        <f aca="false">IF(LEFT(AL2198,1)="9","Celular",IF(AL2198="","","Fixo"))</f>
        <v/>
      </c>
      <c r="AN2198" s="58" t="str">
        <f aca="false">IF( AM2198&lt;&gt;"",VLOOKUP(AM2198,Selects!$M$4:$N$1000,2,0),"")</f>
        <v/>
      </c>
      <c r="BB2198" s="72" t="str">
        <f aca="false">IF(BA2198&lt;&gt;"",VLOOKUP(BA2198,Selects!$B$4:$C$100,2,0),"")</f>
        <v/>
      </c>
      <c r="BG2198" s="75" t="str">
        <f aca="false">IF(LEN(BF2198)=11,"PF",IF(LEN(BF2198)=14,"PJ",""))</f>
        <v/>
      </c>
      <c r="BH2198" s="66"/>
      <c r="CB2198" s="72" t="str">
        <f aca="false">IF(AC2198&lt;&gt;"",VLOOKUP(AC2198,Selects!$B:$E,4,0),"")</f>
        <v/>
      </c>
    </row>
    <row r="2199" customFormat="false" ht="15" hidden="true" customHeight="false" outlineLevel="0" collapsed="false">
      <c r="E2199" s="60" t="str">
        <f aca="false">IF(LEN(D2199)=11,"PF",IF(LEN(D2199)=14,"PJ",""))</f>
        <v/>
      </c>
      <c r="I2199" s="62"/>
      <c r="AM2199" s="68" t="str">
        <f aca="false">IF(LEFT(AL2199,1)="9","Celular",IF(AL2199="","","Fixo"))</f>
        <v/>
      </c>
      <c r="AN2199" s="58" t="str">
        <f aca="false">IF( AM2199&lt;&gt;"",VLOOKUP(AM2199,Selects!$M$4:$N$1000,2,0),"")</f>
        <v/>
      </c>
      <c r="BB2199" s="72" t="str">
        <f aca="false">IF(BA2199&lt;&gt;"",VLOOKUP(BA2199,Selects!$B$4:$C$100,2,0),"")</f>
        <v/>
      </c>
      <c r="BG2199" s="75" t="str">
        <f aca="false">IF(LEN(BF2199)=11,"PF",IF(LEN(BF2199)=14,"PJ",""))</f>
        <v/>
      </c>
      <c r="BH2199" s="66"/>
      <c r="CB2199" s="72" t="str">
        <f aca="false">IF(AC2199&lt;&gt;"",VLOOKUP(AC2199,Selects!$B:$E,4,0),"")</f>
        <v/>
      </c>
    </row>
    <row r="2200" customFormat="false" ht="15" hidden="true" customHeight="false" outlineLevel="0" collapsed="false">
      <c r="E2200" s="60" t="str">
        <f aca="false">IF(LEN(D2200)=11,"PF",IF(LEN(D2200)=14,"PJ",""))</f>
        <v/>
      </c>
      <c r="I2200" s="62"/>
      <c r="AM2200" s="68" t="str">
        <f aca="false">IF(LEFT(AL2200,1)="9","Celular",IF(AL2200="","","Fixo"))</f>
        <v/>
      </c>
      <c r="AN2200" s="58" t="str">
        <f aca="false">IF( AM2200&lt;&gt;"",VLOOKUP(AM2200,Selects!$M$4:$N$1000,2,0),"")</f>
        <v/>
      </c>
      <c r="BB2200" s="72" t="str">
        <f aca="false">IF(BA2200&lt;&gt;"",VLOOKUP(BA2200,Selects!$B$4:$C$100,2,0),"")</f>
        <v/>
      </c>
      <c r="BG2200" s="75" t="str">
        <f aca="false">IF(LEN(BF2200)=11,"PF",IF(LEN(BF2200)=14,"PJ",""))</f>
        <v/>
      </c>
      <c r="BH2200" s="66"/>
      <c r="CB2200" s="72" t="str">
        <f aca="false">IF(AC2200&lt;&gt;"",VLOOKUP(AC2200,Selects!$B:$E,4,0),"")</f>
        <v/>
      </c>
    </row>
    <row r="2201" customFormat="false" ht="15" hidden="true" customHeight="false" outlineLevel="0" collapsed="false">
      <c r="E2201" s="60" t="str">
        <f aca="false">IF(LEN(D2201)=11,"PF",IF(LEN(D2201)=14,"PJ",""))</f>
        <v/>
      </c>
      <c r="I2201" s="62"/>
      <c r="AM2201" s="68" t="str">
        <f aca="false">IF(LEFT(AL2201,1)="9","Celular",IF(AL2201="","","Fixo"))</f>
        <v/>
      </c>
      <c r="AN2201" s="58" t="str">
        <f aca="false">IF( AM2201&lt;&gt;"",VLOOKUP(AM2201,Selects!$M$4:$N$1000,2,0),"")</f>
        <v/>
      </c>
      <c r="BB2201" s="72" t="str">
        <f aca="false">IF(BA2201&lt;&gt;"",VLOOKUP(BA2201,Selects!$B$4:$C$100,2,0),"")</f>
        <v/>
      </c>
      <c r="BG2201" s="75" t="str">
        <f aca="false">IF(LEN(BF2201)=11,"PF",IF(LEN(BF2201)=14,"PJ",""))</f>
        <v/>
      </c>
      <c r="BH2201" s="66"/>
      <c r="CB2201" s="72" t="str">
        <f aca="false">IF(AC2201&lt;&gt;"",VLOOKUP(AC2201,Selects!$B:$E,4,0),"")</f>
        <v/>
      </c>
    </row>
    <row r="2202" customFormat="false" ht="15" hidden="true" customHeight="false" outlineLevel="0" collapsed="false">
      <c r="E2202" s="60" t="str">
        <f aca="false">IF(LEN(D2202)=11,"PF",IF(LEN(D2202)=14,"PJ",""))</f>
        <v/>
      </c>
      <c r="I2202" s="62"/>
      <c r="AM2202" s="68" t="str">
        <f aca="false">IF(LEFT(AL2202,1)="9","Celular",IF(AL2202="","","Fixo"))</f>
        <v/>
      </c>
      <c r="AN2202" s="58" t="str">
        <f aca="false">IF( AM2202&lt;&gt;"",VLOOKUP(AM2202,Selects!$M$4:$N$1000,2,0),"")</f>
        <v/>
      </c>
      <c r="BB2202" s="72" t="str">
        <f aca="false">IF(BA2202&lt;&gt;"",VLOOKUP(BA2202,Selects!$B$4:$C$100,2,0),"")</f>
        <v/>
      </c>
      <c r="BG2202" s="75" t="str">
        <f aca="false">IF(LEN(BF2202)=11,"PF",IF(LEN(BF2202)=14,"PJ",""))</f>
        <v/>
      </c>
      <c r="BH2202" s="66"/>
      <c r="CB2202" s="72" t="str">
        <f aca="false">IF(AC2202&lt;&gt;"",VLOOKUP(AC2202,Selects!$B:$E,4,0),"")</f>
        <v/>
      </c>
    </row>
    <row r="2203" customFormat="false" ht="15" hidden="true" customHeight="false" outlineLevel="0" collapsed="false">
      <c r="E2203" s="60" t="str">
        <f aca="false">IF(LEN(D2203)=11,"PF",IF(LEN(D2203)=14,"PJ",""))</f>
        <v/>
      </c>
      <c r="I2203" s="62"/>
      <c r="AM2203" s="68" t="str">
        <f aca="false">IF(LEFT(AL2203,1)="9","Celular",IF(AL2203="","","Fixo"))</f>
        <v/>
      </c>
      <c r="AN2203" s="58" t="str">
        <f aca="false">IF( AM2203&lt;&gt;"",VLOOKUP(AM2203,Selects!$M$4:$N$1000,2,0),"")</f>
        <v/>
      </c>
      <c r="BB2203" s="72" t="str">
        <f aca="false">IF(BA2203&lt;&gt;"",VLOOKUP(BA2203,Selects!$B$4:$C$100,2,0),"")</f>
        <v/>
      </c>
      <c r="BG2203" s="75" t="str">
        <f aca="false">IF(LEN(BF2203)=11,"PF",IF(LEN(BF2203)=14,"PJ",""))</f>
        <v/>
      </c>
      <c r="BH2203" s="66"/>
      <c r="CB2203" s="72" t="str">
        <f aca="false">IF(AC2203&lt;&gt;"",VLOOKUP(AC2203,Selects!$B:$E,4,0),"")</f>
        <v/>
      </c>
    </row>
    <row r="2204" customFormat="false" ht="15" hidden="true" customHeight="false" outlineLevel="0" collapsed="false">
      <c r="E2204" s="60" t="str">
        <f aca="false">IF(LEN(D2204)=11,"PF",IF(LEN(D2204)=14,"PJ",""))</f>
        <v/>
      </c>
      <c r="I2204" s="62"/>
      <c r="AM2204" s="68" t="str">
        <f aca="false">IF(LEFT(AL2204,1)="9","Celular",IF(AL2204="","","Fixo"))</f>
        <v/>
      </c>
      <c r="AN2204" s="58" t="str">
        <f aca="false">IF( AM2204&lt;&gt;"",VLOOKUP(AM2204,Selects!$M$4:$N$1000,2,0),"")</f>
        <v/>
      </c>
      <c r="BB2204" s="72" t="str">
        <f aca="false">IF(BA2204&lt;&gt;"",VLOOKUP(BA2204,Selects!$B$4:$C$100,2,0),"")</f>
        <v/>
      </c>
      <c r="BG2204" s="75" t="str">
        <f aca="false">IF(LEN(BF2204)=11,"PF",IF(LEN(BF2204)=14,"PJ",""))</f>
        <v/>
      </c>
      <c r="BH2204" s="66"/>
      <c r="CB2204" s="72" t="str">
        <f aca="false">IF(AC2204&lt;&gt;"",VLOOKUP(AC2204,Selects!$B:$E,4,0),"")</f>
        <v/>
      </c>
    </row>
    <row r="2205" customFormat="false" ht="15" hidden="true" customHeight="false" outlineLevel="0" collapsed="false">
      <c r="E2205" s="60" t="str">
        <f aca="false">IF(LEN(D2205)=11,"PF",IF(LEN(D2205)=14,"PJ",""))</f>
        <v/>
      </c>
      <c r="I2205" s="62"/>
      <c r="AM2205" s="68" t="str">
        <f aca="false">IF(LEFT(AL2205,1)="9","Celular",IF(AL2205="","","Fixo"))</f>
        <v/>
      </c>
      <c r="AN2205" s="58" t="str">
        <f aca="false">IF( AM2205&lt;&gt;"",VLOOKUP(AM2205,Selects!$M$4:$N$1000,2,0),"")</f>
        <v/>
      </c>
      <c r="BB2205" s="72" t="str">
        <f aca="false">IF(BA2205&lt;&gt;"",VLOOKUP(BA2205,Selects!$B$4:$C$100,2,0),"")</f>
        <v/>
      </c>
      <c r="BG2205" s="75" t="str">
        <f aca="false">IF(LEN(BF2205)=11,"PF",IF(LEN(BF2205)=14,"PJ",""))</f>
        <v/>
      </c>
      <c r="BH2205" s="66"/>
      <c r="CB2205" s="72" t="str">
        <f aca="false">IF(AC2205&lt;&gt;"",VLOOKUP(AC2205,Selects!$B:$E,4,0),"")</f>
        <v/>
      </c>
    </row>
    <row r="2206" customFormat="false" ht="15" hidden="true" customHeight="false" outlineLevel="0" collapsed="false">
      <c r="E2206" s="60" t="str">
        <f aca="false">IF(LEN(D2206)=11,"PF",IF(LEN(D2206)=14,"PJ",""))</f>
        <v/>
      </c>
      <c r="I2206" s="62"/>
      <c r="AM2206" s="68" t="str">
        <f aca="false">IF(LEFT(AL2206,1)="9","Celular",IF(AL2206="","","Fixo"))</f>
        <v/>
      </c>
      <c r="AN2206" s="58" t="str">
        <f aca="false">IF( AM2206&lt;&gt;"",VLOOKUP(AM2206,Selects!$M$4:$N$1000,2,0),"")</f>
        <v/>
      </c>
      <c r="BB2206" s="72" t="str">
        <f aca="false">IF(BA2206&lt;&gt;"",VLOOKUP(BA2206,Selects!$B$4:$C$100,2,0),"")</f>
        <v/>
      </c>
      <c r="BG2206" s="75" t="str">
        <f aca="false">IF(LEN(BF2206)=11,"PF",IF(LEN(BF2206)=14,"PJ",""))</f>
        <v/>
      </c>
      <c r="BH2206" s="66"/>
      <c r="CB2206" s="72" t="str">
        <f aca="false">IF(AC2206&lt;&gt;"",VLOOKUP(AC2206,Selects!$B:$E,4,0),"")</f>
        <v/>
      </c>
    </row>
    <row r="2207" customFormat="false" ht="15" hidden="true" customHeight="false" outlineLevel="0" collapsed="false">
      <c r="E2207" s="60" t="str">
        <f aca="false">IF(LEN(D2207)=11,"PF",IF(LEN(D2207)=14,"PJ",""))</f>
        <v/>
      </c>
      <c r="I2207" s="62"/>
      <c r="AM2207" s="68" t="str">
        <f aca="false">IF(LEFT(AL2207,1)="9","Celular",IF(AL2207="","","Fixo"))</f>
        <v/>
      </c>
      <c r="AN2207" s="58" t="str">
        <f aca="false">IF( AM2207&lt;&gt;"",VLOOKUP(AM2207,Selects!$M$4:$N$1000,2,0),"")</f>
        <v/>
      </c>
      <c r="BB2207" s="72" t="str">
        <f aca="false">IF(BA2207&lt;&gt;"",VLOOKUP(BA2207,Selects!$B$4:$C$100,2,0),"")</f>
        <v/>
      </c>
      <c r="BG2207" s="75" t="str">
        <f aca="false">IF(LEN(BF2207)=11,"PF",IF(LEN(BF2207)=14,"PJ",""))</f>
        <v/>
      </c>
      <c r="BH2207" s="66"/>
      <c r="CB2207" s="72" t="str">
        <f aca="false">IF(AC2207&lt;&gt;"",VLOOKUP(AC2207,Selects!$B:$E,4,0),"")</f>
        <v/>
      </c>
    </row>
    <row r="2208" customFormat="false" ht="15" hidden="true" customHeight="false" outlineLevel="0" collapsed="false">
      <c r="E2208" s="60" t="str">
        <f aca="false">IF(LEN(D2208)=11,"PF",IF(LEN(D2208)=14,"PJ",""))</f>
        <v/>
      </c>
      <c r="I2208" s="62"/>
      <c r="AM2208" s="68" t="str">
        <f aca="false">IF(LEFT(AL2208,1)="9","Celular",IF(AL2208="","","Fixo"))</f>
        <v/>
      </c>
      <c r="AN2208" s="58" t="str">
        <f aca="false">IF( AM2208&lt;&gt;"",VLOOKUP(AM2208,Selects!$M$4:$N$1000,2,0),"")</f>
        <v/>
      </c>
      <c r="BB2208" s="72" t="str">
        <f aca="false">IF(BA2208&lt;&gt;"",VLOOKUP(BA2208,Selects!$B$4:$C$100,2,0),"")</f>
        <v/>
      </c>
      <c r="BG2208" s="75" t="str">
        <f aca="false">IF(LEN(BF2208)=11,"PF",IF(LEN(BF2208)=14,"PJ",""))</f>
        <v/>
      </c>
      <c r="BH2208" s="66"/>
      <c r="CB2208" s="72" t="str">
        <f aca="false">IF(AC2208&lt;&gt;"",VLOOKUP(AC2208,Selects!$B:$E,4,0),"")</f>
        <v/>
      </c>
    </row>
    <row r="2209" customFormat="false" ht="15" hidden="true" customHeight="false" outlineLevel="0" collapsed="false">
      <c r="E2209" s="60" t="str">
        <f aca="false">IF(LEN(D2209)=11,"PF",IF(LEN(D2209)=14,"PJ",""))</f>
        <v/>
      </c>
      <c r="I2209" s="62"/>
      <c r="AM2209" s="68" t="str">
        <f aca="false">IF(LEFT(AL2209,1)="9","Celular",IF(AL2209="","","Fixo"))</f>
        <v/>
      </c>
      <c r="AN2209" s="58" t="str">
        <f aca="false">IF( AM2209&lt;&gt;"",VLOOKUP(AM2209,Selects!$M$4:$N$1000,2,0),"")</f>
        <v/>
      </c>
      <c r="BB2209" s="72" t="str">
        <f aca="false">IF(BA2209&lt;&gt;"",VLOOKUP(BA2209,Selects!$B$4:$C$100,2,0),"")</f>
        <v/>
      </c>
      <c r="BG2209" s="75" t="str">
        <f aca="false">IF(LEN(BF2209)=11,"PF",IF(LEN(BF2209)=14,"PJ",""))</f>
        <v/>
      </c>
      <c r="BH2209" s="66"/>
      <c r="CB2209" s="72" t="str">
        <f aca="false">IF(AC2209&lt;&gt;"",VLOOKUP(AC2209,Selects!$B:$E,4,0),"")</f>
        <v/>
      </c>
    </row>
    <row r="2210" customFormat="false" ht="15" hidden="true" customHeight="false" outlineLevel="0" collapsed="false">
      <c r="E2210" s="60" t="str">
        <f aca="false">IF(LEN(D2210)=11,"PF",IF(LEN(D2210)=14,"PJ",""))</f>
        <v/>
      </c>
      <c r="I2210" s="62"/>
      <c r="AM2210" s="68" t="str">
        <f aca="false">IF(LEFT(AL2210,1)="9","Celular",IF(AL2210="","","Fixo"))</f>
        <v/>
      </c>
      <c r="AN2210" s="58" t="str">
        <f aca="false">IF( AM2210&lt;&gt;"",VLOOKUP(AM2210,Selects!$M$4:$N$1000,2,0),"")</f>
        <v/>
      </c>
      <c r="BB2210" s="72" t="str">
        <f aca="false">IF(BA2210&lt;&gt;"",VLOOKUP(BA2210,Selects!$B$4:$C$100,2,0),"")</f>
        <v/>
      </c>
      <c r="BG2210" s="75" t="str">
        <f aca="false">IF(LEN(BF2210)=11,"PF",IF(LEN(BF2210)=14,"PJ",""))</f>
        <v/>
      </c>
      <c r="BH2210" s="66"/>
      <c r="CB2210" s="72" t="str">
        <f aca="false">IF(AC2210&lt;&gt;"",VLOOKUP(AC2210,Selects!$B:$E,4,0),"")</f>
        <v/>
      </c>
    </row>
    <row r="2211" customFormat="false" ht="15" hidden="true" customHeight="false" outlineLevel="0" collapsed="false">
      <c r="E2211" s="60" t="str">
        <f aca="false">IF(LEN(D2211)=11,"PF",IF(LEN(D2211)=14,"PJ",""))</f>
        <v/>
      </c>
      <c r="I2211" s="62"/>
      <c r="AM2211" s="68" t="str">
        <f aca="false">IF(LEFT(AL2211,1)="9","Celular",IF(AL2211="","","Fixo"))</f>
        <v/>
      </c>
      <c r="AN2211" s="58" t="str">
        <f aca="false">IF( AM2211&lt;&gt;"",VLOOKUP(AM2211,Selects!$M$4:$N$1000,2,0),"")</f>
        <v/>
      </c>
      <c r="BB2211" s="72" t="str">
        <f aca="false">IF(BA2211&lt;&gt;"",VLOOKUP(BA2211,Selects!$B$4:$C$100,2,0),"")</f>
        <v/>
      </c>
      <c r="BG2211" s="75" t="str">
        <f aca="false">IF(LEN(BF2211)=11,"PF",IF(LEN(BF2211)=14,"PJ",""))</f>
        <v/>
      </c>
      <c r="BH2211" s="66"/>
      <c r="CB2211" s="72" t="str">
        <f aca="false">IF(AC2211&lt;&gt;"",VLOOKUP(AC2211,Selects!$B:$E,4,0),"")</f>
        <v/>
      </c>
    </row>
    <row r="2212" customFormat="false" ht="15" hidden="true" customHeight="false" outlineLevel="0" collapsed="false">
      <c r="E2212" s="60" t="str">
        <f aca="false">IF(LEN(D2212)=11,"PF",IF(LEN(D2212)=14,"PJ",""))</f>
        <v/>
      </c>
      <c r="I2212" s="62"/>
      <c r="AM2212" s="68" t="str">
        <f aca="false">IF(LEFT(AL2212,1)="9","Celular",IF(AL2212="","","Fixo"))</f>
        <v/>
      </c>
      <c r="AN2212" s="58" t="str">
        <f aca="false">IF( AM2212&lt;&gt;"",VLOOKUP(AM2212,Selects!$M$4:$N$1000,2,0),"")</f>
        <v/>
      </c>
      <c r="BB2212" s="72" t="str">
        <f aca="false">IF(BA2212&lt;&gt;"",VLOOKUP(BA2212,Selects!$B$4:$C$100,2,0),"")</f>
        <v/>
      </c>
      <c r="BG2212" s="75" t="str">
        <f aca="false">IF(LEN(BF2212)=11,"PF",IF(LEN(BF2212)=14,"PJ",""))</f>
        <v/>
      </c>
      <c r="BH2212" s="66"/>
      <c r="CB2212" s="72" t="str">
        <f aca="false">IF(AC2212&lt;&gt;"",VLOOKUP(AC2212,Selects!$B:$E,4,0),"")</f>
        <v/>
      </c>
    </row>
    <row r="2213" customFormat="false" ht="15" hidden="true" customHeight="false" outlineLevel="0" collapsed="false">
      <c r="E2213" s="60" t="str">
        <f aca="false">IF(LEN(D2213)=11,"PF",IF(LEN(D2213)=14,"PJ",""))</f>
        <v/>
      </c>
      <c r="I2213" s="62"/>
      <c r="AM2213" s="68" t="str">
        <f aca="false">IF(LEFT(AL2213,1)="9","Celular",IF(AL2213="","","Fixo"))</f>
        <v/>
      </c>
      <c r="AN2213" s="58" t="str">
        <f aca="false">IF( AM2213&lt;&gt;"",VLOOKUP(AM2213,Selects!$M$4:$N$1000,2,0),"")</f>
        <v/>
      </c>
      <c r="BB2213" s="72" t="str">
        <f aca="false">IF(BA2213&lt;&gt;"",VLOOKUP(BA2213,Selects!$B$4:$C$100,2,0),"")</f>
        <v/>
      </c>
      <c r="BG2213" s="75" t="str">
        <f aca="false">IF(LEN(BF2213)=11,"PF",IF(LEN(BF2213)=14,"PJ",""))</f>
        <v/>
      </c>
      <c r="BH2213" s="66"/>
      <c r="CB2213" s="72" t="str">
        <f aca="false">IF(AC2213&lt;&gt;"",VLOOKUP(AC2213,Selects!$B:$E,4,0),"")</f>
        <v/>
      </c>
    </row>
    <row r="2214" customFormat="false" ht="15" hidden="true" customHeight="false" outlineLevel="0" collapsed="false">
      <c r="E2214" s="60" t="str">
        <f aca="false">IF(LEN(D2214)=11,"PF",IF(LEN(D2214)=14,"PJ",""))</f>
        <v/>
      </c>
      <c r="I2214" s="62"/>
      <c r="AM2214" s="68" t="str">
        <f aca="false">IF(LEFT(AL2214,1)="9","Celular",IF(AL2214="","","Fixo"))</f>
        <v/>
      </c>
      <c r="AN2214" s="58" t="str">
        <f aca="false">IF( AM2214&lt;&gt;"",VLOOKUP(AM2214,Selects!$M$4:$N$1000,2,0),"")</f>
        <v/>
      </c>
      <c r="BB2214" s="72" t="str">
        <f aca="false">IF(BA2214&lt;&gt;"",VLOOKUP(BA2214,Selects!$B$4:$C$100,2,0),"")</f>
        <v/>
      </c>
      <c r="BG2214" s="75" t="str">
        <f aca="false">IF(LEN(BF2214)=11,"PF",IF(LEN(BF2214)=14,"PJ",""))</f>
        <v/>
      </c>
      <c r="BH2214" s="66"/>
      <c r="CB2214" s="72" t="str">
        <f aca="false">IF(AC2214&lt;&gt;"",VLOOKUP(AC2214,Selects!$B:$E,4,0),"")</f>
        <v/>
      </c>
    </row>
    <row r="2215" customFormat="false" ht="15" hidden="true" customHeight="false" outlineLevel="0" collapsed="false">
      <c r="E2215" s="60" t="str">
        <f aca="false">IF(LEN(D2215)=11,"PF",IF(LEN(D2215)=14,"PJ",""))</f>
        <v/>
      </c>
      <c r="I2215" s="62"/>
      <c r="AM2215" s="68" t="str">
        <f aca="false">IF(LEFT(AL2215,1)="9","Celular",IF(AL2215="","","Fixo"))</f>
        <v/>
      </c>
      <c r="AN2215" s="58" t="str">
        <f aca="false">IF( AM2215&lt;&gt;"",VLOOKUP(AM2215,Selects!$M$4:$N$1000,2,0),"")</f>
        <v/>
      </c>
      <c r="BB2215" s="72" t="str">
        <f aca="false">IF(BA2215&lt;&gt;"",VLOOKUP(BA2215,Selects!$B$4:$C$100,2,0),"")</f>
        <v/>
      </c>
      <c r="BG2215" s="75" t="str">
        <f aca="false">IF(LEN(BF2215)=11,"PF",IF(LEN(BF2215)=14,"PJ",""))</f>
        <v/>
      </c>
      <c r="BH2215" s="66"/>
      <c r="CB2215" s="72" t="str">
        <f aca="false">IF(AC2215&lt;&gt;"",VLOOKUP(AC2215,Selects!$B:$E,4,0),"")</f>
        <v/>
      </c>
    </row>
    <row r="2216" customFormat="false" ht="15" hidden="true" customHeight="false" outlineLevel="0" collapsed="false">
      <c r="E2216" s="60" t="str">
        <f aca="false">IF(LEN(D2216)=11,"PF",IF(LEN(D2216)=14,"PJ",""))</f>
        <v/>
      </c>
      <c r="I2216" s="62"/>
      <c r="AM2216" s="68" t="str">
        <f aca="false">IF(LEFT(AL2216,1)="9","Celular",IF(AL2216="","","Fixo"))</f>
        <v/>
      </c>
      <c r="AN2216" s="58" t="str">
        <f aca="false">IF( AM2216&lt;&gt;"",VLOOKUP(AM2216,Selects!$M$4:$N$1000,2,0),"")</f>
        <v/>
      </c>
      <c r="BB2216" s="72" t="str">
        <f aca="false">IF(BA2216&lt;&gt;"",VLOOKUP(BA2216,Selects!$B$4:$C$100,2,0),"")</f>
        <v/>
      </c>
      <c r="BG2216" s="75" t="str">
        <f aca="false">IF(LEN(BF2216)=11,"PF",IF(LEN(BF2216)=14,"PJ",""))</f>
        <v/>
      </c>
      <c r="BH2216" s="66"/>
      <c r="CB2216" s="72" t="str">
        <f aca="false">IF(AC2216&lt;&gt;"",VLOOKUP(AC2216,Selects!$B:$E,4,0),"")</f>
        <v/>
      </c>
    </row>
    <row r="2217" customFormat="false" ht="15" hidden="true" customHeight="false" outlineLevel="0" collapsed="false">
      <c r="E2217" s="60" t="str">
        <f aca="false">IF(LEN(D2217)=11,"PF",IF(LEN(D2217)=14,"PJ",""))</f>
        <v/>
      </c>
      <c r="I2217" s="62"/>
      <c r="AM2217" s="68" t="str">
        <f aca="false">IF(LEFT(AL2217,1)="9","Celular",IF(AL2217="","","Fixo"))</f>
        <v/>
      </c>
      <c r="AN2217" s="58" t="str">
        <f aca="false">IF( AM2217&lt;&gt;"",VLOOKUP(AM2217,Selects!$M$4:$N$1000,2,0),"")</f>
        <v/>
      </c>
      <c r="BB2217" s="72" t="str">
        <f aca="false">IF(BA2217&lt;&gt;"",VLOOKUP(BA2217,Selects!$B$4:$C$100,2,0),"")</f>
        <v/>
      </c>
      <c r="BG2217" s="75" t="str">
        <f aca="false">IF(LEN(BF2217)=11,"PF",IF(LEN(BF2217)=14,"PJ",""))</f>
        <v/>
      </c>
      <c r="BH2217" s="66"/>
      <c r="CB2217" s="72" t="str">
        <f aca="false">IF(AC2217&lt;&gt;"",VLOOKUP(AC2217,Selects!$B:$E,4,0),"")</f>
        <v/>
      </c>
    </row>
    <row r="2218" customFormat="false" ht="15" hidden="true" customHeight="false" outlineLevel="0" collapsed="false">
      <c r="E2218" s="60" t="str">
        <f aca="false">IF(LEN(D2218)=11,"PF",IF(LEN(D2218)=14,"PJ",""))</f>
        <v/>
      </c>
      <c r="I2218" s="62"/>
      <c r="AM2218" s="68" t="str">
        <f aca="false">IF(LEFT(AL2218,1)="9","Celular",IF(AL2218="","","Fixo"))</f>
        <v/>
      </c>
      <c r="AN2218" s="58" t="str">
        <f aca="false">IF( AM2218&lt;&gt;"",VLOOKUP(AM2218,Selects!$M$4:$N$1000,2,0),"")</f>
        <v/>
      </c>
      <c r="BB2218" s="72" t="str">
        <f aca="false">IF(BA2218&lt;&gt;"",VLOOKUP(BA2218,Selects!$B$4:$C$100,2,0),"")</f>
        <v/>
      </c>
      <c r="BG2218" s="75" t="str">
        <f aca="false">IF(LEN(BF2218)=11,"PF",IF(LEN(BF2218)=14,"PJ",""))</f>
        <v/>
      </c>
      <c r="BH2218" s="66"/>
      <c r="CB2218" s="72" t="str">
        <f aca="false">IF(AC2218&lt;&gt;"",VLOOKUP(AC2218,Selects!$B:$E,4,0),"")</f>
        <v/>
      </c>
    </row>
    <row r="2219" customFormat="false" ht="15" hidden="true" customHeight="false" outlineLevel="0" collapsed="false">
      <c r="E2219" s="60" t="str">
        <f aca="false">IF(LEN(D2219)=11,"PF",IF(LEN(D2219)=14,"PJ",""))</f>
        <v/>
      </c>
      <c r="I2219" s="62"/>
      <c r="AM2219" s="68" t="str">
        <f aca="false">IF(LEFT(AL2219,1)="9","Celular",IF(AL2219="","","Fixo"))</f>
        <v/>
      </c>
      <c r="AN2219" s="58" t="str">
        <f aca="false">IF( AM2219&lt;&gt;"",VLOOKUP(AM2219,Selects!$M$4:$N$1000,2,0),"")</f>
        <v/>
      </c>
      <c r="BB2219" s="72" t="str">
        <f aca="false">IF(BA2219&lt;&gt;"",VLOOKUP(BA2219,Selects!$B$4:$C$100,2,0),"")</f>
        <v/>
      </c>
      <c r="BG2219" s="75" t="str">
        <f aca="false">IF(LEN(BF2219)=11,"PF",IF(LEN(BF2219)=14,"PJ",""))</f>
        <v/>
      </c>
      <c r="BH2219" s="66"/>
      <c r="CB2219" s="72" t="str">
        <f aca="false">IF(AC2219&lt;&gt;"",VLOOKUP(AC2219,Selects!$B:$E,4,0),"")</f>
        <v/>
      </c>
    </row>
    <row r="2220" customFormat="false" ht="15" hidden="true" customHeight="false" outlineLevel="0" collapsed="false">
      <c r="E2220" s="60" t="str">
        <f aca="false">IF(LEN(D2220)=11,"PF",IF(LEN(D2220)=14,"PJ",""))</f>
        <v/>
      </c>
      <c r="I2220" s="62"/>
      <c r="AM2220" s="68" t="str">
        <f aca="false">IF(LEFT(AL2220,1)="9","Celular",IF(AL2220="","","Fixo"))</f>
        <v/>
      </c>
      <c r="AN2220" s="58" t="str">
        <f aca="false">IF( AM2220&lt;&gt;"",VLOOKUP(AM2220,Selects!$M$4:$N$1000,2,0),"")</f>
        <v/>
      </c>
      <c r="BB2220" s="72" t="str">
        <f aca="false">IF(BA2220&lt;&gt;"",VLOOKUP(BA2220,Selects!$B$4:$C$100,2,0),"")</f>
        <v/>
      </c>
      <c r="BG2220" s="75" t="str">
        <f aca="false">IF(LEN(BF2220)=11,"PF",IF(LEN(BF2220)=14,"PJ",""))</f>
        <v/>
      </c>
      <c r="BH2220" s="66"/>
      <c r="CB2220" s="72" t="str">
        <f aca="false">IF(AC2220&lt;&gt;"",VLOOKUP(AC2220,Selects!$B:$E,4,0),"")</f>
        <v/>
      </c>
    </row>
    <row r="2221" customFormat="false" ht="15" hidden="true" customHeight="false" outlineLevel="0" collapsed="false">
      <c r="E2221" s="60" t="str">
        <f aca="false">IF(LEN(D2221)=11,"PF",IF(LEN(D2221)=14,"PJ",""))</f>
        <v/>
      </c>
      <c r="I2221" s="62"/>
      <c r="AM2221" s="68" t="str">
        <f aca="false">IF(LEFT(AL2221,1)="9","Celular",IF(AL2221="","","Fixo"))</f>
        <v/>
      </c>
      <c r="AN2221" s="58" t="str">
        <f aca="false">IF( AM2221&lt;&gt;"",VLOOKUP(AM2221,Selects!$M$4:$N$1000,2,0),"")</f>
        <v/>
      </c>
      <c r="BB2221" s="72" t="str">
        <f aca="false">IF(BA2221&lt;&gt;"",VLOOKUP(BA2221,Selects!$B$4:$C$100,2,0),"")</f>
        <v/>
      </c>
      <c r="BG2221" s="75" t="str">
        <f aca="false">IF(LEN(BF2221)=11,"PF",IF(LEN(BF2221)=14,"PJ",""))</f>
        <v/>
      </c>
      <c r="BH2221" s="66"/>
      <c r="CB2221" s="72" t="str">
        <f aca="false">IF(AC2221&lt;&gt;"",VLOOKUP(AC2221,Selects!$B:$E,4,0),"")</f>
        <v/>
      </c>
    </row>
    <row r="2222" customFormat="false" ht="15" hidden="true" customHeight="false" outlineLevel="0" collapsed="false">
      <c r="E2222" s="60" t="str">
        <f aca="false">IF(LEN(D2222)=11,"PF",IF(LEN(D2222)=14,"PJ",""))</f>
        <v/>
      </c>
      <c r="I2222" s="62"/>
      <c r="AM2222" s="68" t="str">
        <f aca="false">IF(LEFT(AL2222,1)="9","Celular",IF(AL2222="","","Fixo"))</f>
        <v/>
      </c>
      <c r="AN2222" s="58" t="str">
        <f aca="false">IF( AM2222&lt;&gt;"",VLOOKUP(AM2222,Selects!$M$4:$N$1000,2,0),"")</f>
        <v/>
      </c>
      <c r="BB2222" s="72" t="str">
        <f aca="false">IF(BA2222&lt;&gt;"",VLOOKUP(BA2222,Selects!$B$4:$C$100,2,0),"")</f>
        <v/>
      </c>
      <c r="BG2222" s="75" t="str">
        <f aca="false">IF(LEN(BF2222)=11,"PF",IF(LEN(BF2222)=14,"PJ",""))</f>
        <v/>
      </c>
      <c r="BH2222" s="66"/>
      <c r="CB2222" s="72" t="str">
        <f aca="false">IF(AC2222&lt;&gt;"",VLOOKUP(AC2222,Selects!$B:$E,4,0),"")</f>
        <v/>
      </c>
    </row>
    <row r="2223" customFormat="false" ht="15" hidden="true" customHeight="false" outlineLevel="0" collapsed="false">
      <c r="E2223" s="60" t="str">
        <f aca="false">IF(LEN(D2223)=11,"PF",IF(LEN(D2223)=14,"PJ",""))</f>
        <v/>
      </c>
      <c r="I2223" s="62"/>
      <c r="AM2223" s="68" t="str">
        <f aca="false">IF(LEFT(AL2223,1)="9","Celular",IF(AL2223="","","Fixo"))</f>
        <v/>
      </c>
      <c r="AN2223" s="58" t="str">
        <f aca="false">IF( AM2223&lt;&gt;"",VLOOKUP(AM2223,Selects!$M$4:$N$1000,2,0),"")</f>
        <v/>
      </c>
      <c r="BB2223" s="72" t="str">
        <f aca="false">IF(BA2223&lt;&gt;"",VLOOKUP(BA2223,Selects!$B$4:$C$100,2,0),"")</f>
        <v/>
      </c>
      <c r="BG2223" s="75" t="str">
        <f aca="false">IF(LEN(BF2223)=11,"PF",IF(LEN(BF2223)=14,"PJ",""))</f>
        <v/>
      </c>
      <c r="BH2223" s="66"/>
      <c r="CB2223" s="72" t="str">
        <f aca="false">IF(AC2223&lt;&gt;"",VLOOKUP(AC2223,Selects!$B:$E,4,0),"")</f>
        <v/>
      </c>
    </row>
    <row r="2224" customFormat="false" ht="15" hidden="true" customHeight="false" outlineLevel="0" collapsed="false">
      <c r="E2224" s="60" t="str">
        <f aca="false">IF(LEN(D2224)=11,"PF",IF(LEN(D2224)=14,"PJ",""))</f>
        <v/>
      </c>
      <c r="I2224" s="62"/>
      <c r="AM2224" s="68" t="str">
        <f aca="false">IF(LEFT(AL2224,1)="9","Celular",IF(AL2224="","","Fixo"))</f>
        <v/>
      </c>
      <c r="AN2224" s="58" t="str">
        <f aca="false">IF( AM2224&lt;&gt;"",VLOOKUP(AM2224,Selects!$M$4:$N$1000,2,0),"")</f>
        <v/>
      </c>
      <c r="BB2224" s="72" t="str">
        <f aca="false">IF(BA2224&lt;&gt;"",VLOOKUP(BA2224,Selects!$B$4:$C$100,2,0),"")</f>
        <v/>
      </c>
      <c r="BG2224" s="75" t="str">
        <f aca="false">IF(LEN(BF2224)=11,"PF",IF(LEN(BF2224)=14,"PJ",""))</f>
        <v/>
      </c>
      <c r="BH2224" s="66"/>
      <c r="CB2224" s="72" t="str">
        <f aca="false">IF(AC2224&lt;&gt;"",VLOOKUP(AC2224,Selects!$B:$E,4,0),"")</f>
        <v/>
      </c>
    </row>
    <row r="2225" customFormat="false" ht="15" hidden="true" customHeight="false" outlineLevel="0" collapsed="false">
      <c r="E2225" s="60" t="str">
        <f aca="false">IF(LEN(D2225)=11,"PF",IF(LEN(D2225)=14,"PJ",""))</f>
        <v/>
      </c>
      <c r="I2225" s="62"/>
      <c r="AM2225" s="68" t="str">
        <f aca="false">IF(LEFT(AL2225,1)="9","Celular",IF(AL2225="","","Fixo"))</f>
        <v/>
      </c>
      <c r="AN2225" s="58" t="str">
        <f aca="false">IF( AM2225&lt;&gt;"",VLOOKUP(AM2225,Selects!$M$4:$N$1000,2,0),"")</f>
        <v/>
      </c>
      <c r="BB2225" s="72" t="str">
        <f aca="false">IF(BA2225&lt;&gt;"",VLOOKUP(BA2225,Selects!$B$4:$C$100,2,0),"")</f>
        <v/>
      </c>
      <c r="BG2225" s="75" t="str">
        <f aca="false">IF(LEN(BF2225)=11,"PF",IF(LEN(BF2225)=14,"PJ",""))</f>
        <v/>
      </c>
      <c r="BH2225" s="66"/>
      <c r="CB2225" s="72" t="str">
        <f aca="false">IF(AC2225&lt;&gt;"",VLOOKUP(AC2225,Selects!$B:$E,4,0),"")</f>
        <v/>
      </c>
    </row>
    <row r="2226" customFormat="false" ht="15" hidden="true" customHeight="false" outlineLevel="0" collapsed="false">
      <c r="E2226" s="60" t="str">
        <f aca="false">IF(LEN(D2226)=11,"PF",IF(LEN(D2226)=14,"PJ",""))</f>
        <v/>
      </c>
      <c r="I2226" s="62"/>
      <c r="AM2226" s="68" t="str">
        <f aca="false">IF(LEFT(AL2226,1)="9","Celular",IF(AL2226="","","Fixo"))</f>
        <v/>
      </c>
      <c r="AN2226" s="58" t="str">
        <f aca="false">IF( AM2226&lt;&gt;"",VLOOKUP(AM2226,Selects!$M$4:$N$1000,2,0),"")</f>
        <v/>
      </c>
      <c r="BB2226" s="72" t="str">
        <f aca="false">IF(BA2226&lt;&gt;"",VLOOKUP(BA2226,Selects!$B$4:$C$100,2,0),"")</f>
        <v/>
      </c>
      <c r="BG2226" s="75" t="str">
        <f aca="false">IF(LEN(BF2226)=11,"PF",IF(LEN(BF2226)=14,"PJ",""))</f>
        <v/>
      </c>
      <c r="BH2226" s="66"/>
      <c r="CB2226" s="72" t="str">
        <f aca="false">IF(AC2226&lt;&gt;"",VLOOKUP(AC2226,Selects!$B:$E,4,0),"")</f>
        <v/>
      </c>
    </row>
    <row r="2227" customFormat="false" ht="15" hidden="true" customHeight="false" outlineLevel="0" collapsed="false">
      <c r="E2227" s="60" t="str">
        <f aca="false">IF(LEN(D2227)=11,"PF",IF(LEN(D2227)=14,"PJ",""))</f>
        <v/>
      </c>
      <c r="AM2227" s="68" t="str">
        <f aca="false">IF(LEFT(AL2227,1)="9","Celular",IF(AL2227="","","Fixo"))</f>
        <v/>
      </c>
      <c r="AN2227" s="58" t="str">
        <f aca="false">IF( AM2227&lt;&gt;"",VLOOKUP(AM2227,Selects!$M$4:$N$1000,2,0),"")</f>
        <v/>
      </c>
      <c r="BB2227" s="72" t="str">
        <f aca="false">IF(BA2227&lt;&gt;"",VLOOKUP(BA2227,Selects!$B$4:$C$100,2,0),"")</f>
        <v/>
      </c>
      <c r="BG2227" s="75" t="str">
        <f aca="false">IF(LEN(BF2227)=11,"PF",IF(LEN(BF2227)=14,"PJ",""))</f>
        <v/>
      </c>
      <c r="BH2227" s="66"/>
      <c r="CB2227" s="72" t="str">
        <f aca="false">IF(AC2227&lt;&gt;"",VLOOKUP(AC2227,Selects!$B:$E,4,0),"")</f>
        <v/>
      </c>
    </row>
    <row r="2228" customFormat="false" ht="15" hidden="true" customHeight="false" outlineLevel="0" collapsed="false">
      <c r="E2228" s="60" t="str">
        <f aca="false">IF(LEN(D2228)=11,"PF",IF(LEN(D2228)=14,"PJ",""))</f>
        <v/>
      </c>
      <c r="AM2228" s="68" t="str">
        <f aca="false">IF(LEFT(AL2228,1)="9","Celular",IF(AL2228="","","Fixo"))</f>
        <v/>
      </c>
      <c r="AN2228" s="58" t="str">
        <f aca="false">IF( AM2228&lt;&gt;"",VLOOKUP(AM2228,Selects!$M$4:$N$1000,2,0),"")</f>
        <v/>
      </c>
      <c r="BB2228" s="72" t="str">
        <f aca="false">IF(BA2228&lt;&gt;"",VLOOKUP(BA2228,Selects!$B$4:$C$100,2,0),"")</f>
        <v/>
      </c>
      <c r="BG2228" s="75" t="str">
        <f aca="false">IF(LEN(BF2228)=11,"PF",IF(LEN(BF2228)=14,"PJ",""))</f>
        <v/>
      </c>
      <c r="BH2228" s="66"/>
      <c r="CB2228" s="72" t="str">
        <f aca="false">IF(AC2228&lt;&gt;"",VLOOKUP(AC2228,Selects!$B:$E,4,0),"")</f>
        <v/>
      </c>
    </row>
    <row r="2229" customFormat="false" ht="15" hidden="true" customHeight="false" outlineLevel="0" collapsed="false">
      <c r="E2229" s="60" t="str">
        <f aca="false">IF(LEN(D2229)=11,"PF",IF(LEN(D2229)=14,"PJ",""))</f>
        <v/>
      </c>
      <c r="AM2229" s="68" t="str">
        <f aca="false">IF(LEFT(AL2229,1)="9","Celular",IF(AL2229="","","Fixo"))</f>
        <v/>
      </c>
      <c r="AN2229" s="58" t="str">
        <f aca="false">IF( AM2229&lt;&gt;"",VLOOKUP(AM2229,Selects!$M$4:$N$1000,2,0),"")</f>
        <v/>
      </c>
      <c r="BB2229" s="72" t="str">
        <f aca="false">IF(BA2229&lt;&gt;"",VLOOKUP(BA2229,Selects!$B$4:$C$100,2,0),"")</f>
        <v/>
      </c>
      <c r="BG2229" s="75" t="str">
        <f aca="false">IF(LEN(BF2229)=11,"PF",IF(LEN(BF2229)=14,"PJ",""))</f>
        <v/>
      </c>
      <c r="BH2229" s="66"/>
      <c r="CB2229" s="72" t="str">
        <f aca="false">IF(AC2229&lt;&gt;"",VLOOKUP(AC2229,Selects!$B:$E,4,0),"")</f>
        <v/>
      </c>
    </row>
    <row r="2230" customFormat="false" ht="15" hidden="true" customHeight="false" outlineLevel="0" collapsed="false">
      <c r="E2230" s="60" t="str">
        <f aca="false">IF(LEN(D2230)=11,"PF",IF(LEN(D2230)=14,"PJ",""))</f>
        <v/>
      </c>
      <c r="AM2230" s="68" t="str">
        <f aca="false">IF(LEFT(AL2230,1)="9","Celular",IF(AL2230="","","Fixo"))</f>
        <v/>
      </c>
      <c r="AN2230" s="58" t="str">
        <f aca="false">IF( AM2230&lt;&gt;"",VLOOKUP(AM2230,Selects!$M$4:$N$1000,2,0),"")</f>
        <v/>
      </c>
      <c r="BB2230" s="72" t="str">
        <f aca="false">IF(BA2230&lt;&gt;"",VLOOKUP(BA2230,Selects!$B$4:$C$100,2,0),"")</f>
        <v/>
      </c>
      <c r="BG2230" s="75" t="str">
        <f aca="false">IF(LEN(BF2230)=11,"PF",IF(LEN(BF2230)=14,"PJ",""))</f>
        <v/>
      </c>
      <c r="BH2230" s="66"/>
      <c r="CB2230" s="72" t="str">
        <f aca="false">IF(AC2230&lt;&gt;"",VLOOKUP(AC2230,Selects!$B:$E,4,0),"")</f>
        <v/>
      </c>
    </row>
    <row r="2231" customFormat="false" ht="15" hidden="true" customHeight="false" outlineLevel="0" collapsed="false">
      <c r="E2231" s="60" t="str">
        <f aca="false">IF(LEN(D2231)=11,"PF",IF(LEN(D2231)=14,"PJ",""))</f>
        <v/>
      </c>
      <c r="AM2231" s="68" t="str">
        <f aca="false">IF(LEFT(AL2231,1)="9","Celular",IF(AL2231="","","Fixo"))</f>
        <v/>
      </c>
      <c r="AN2231" s="58" t="str">
        <f aca="false">IF( AM2231&lt;&gt;"",VLOOKUP(AM2231,Selects!$M$4:$N$1000,2,0),"")</f>
        <v/>
      </c>
      <c r="BB2231" s="72" t="str">
        <f aca="false">IF(BA2231&lt;&gt;"",VLOOKUP(BA2231,Selects!$B$4:$C$100,2,0),"")</f>
        <v/>
      </c>
      <c r="BG2231" s="75" t="str">
        <f aca="false">IF(LEN(BF2231)=11,"PF",IF(LEN(BF2231)=14,"PJ",""))</f>
        <v/>
      </c>
      <c r="BH2231" s="66"/>
      <c r="CB2231" s="72" t="str">
        <f aca="false">IF(AC2231&lt;&gt;"",VLOOKUP(AC2231,Selects!$B:$E,4,0),"")</f>
        <v/>
      </c>
    </row>
    <row r="2232" customFormat="false" ht="15" hidden="true" customHeight="false" outlineLevel="0" collapsed="false">
      <c r="E2232" s="60" t="str">
        <f aca="false">IF(LEN(D2232)=11,"PF",IF(LEN(D2232)=14,"PJ",""))</f>
        <v/>
      </c>
      <c r="AM2232" s="68" t="str">
        <f aca="false">IF(LEFT(AL2232,1)="9","Celular",IF(AL2232="","","Fixo"))</f>
        <v/>
      </c>
      <c r="AN2232" s="58" t="str">
        <f aca="false">IF( AM2232&lt;&gt;"",VLOOKUP(AM2232,Selects!$M$4:$N$1000,2,0),"")</f>
        <v/>
      </c>
      <c r="BB2232" s="72" t="str">
        <f aca="false">IF(BA2232&lt;&gt;"",VLOOKUP(BA2232,Selects!$B$4:$C$100,2,0),"")</f>
        <v/>
      </c>
      <c r="BG2232" s="75" t="str">
        <f aca="false">IF(LEN(BF2232)=11,"PF",IF(LEN(BF2232)=14,"PJ",""))</f>
        <v/>
      </c>
      <c r="BH2232" s="66"/>
      <c r="CB2232" s="72" t="str">
        <f aca="false">IF(AC2232&lt;&gt;"",VLOOKUP(AC2232,Selects!$B:$E,4,0),"")</f>
        <v/>
      </c>
    </row>
    <row r="2233" customFormat="false" ht="15" hidden="true" customHeight="false" outlineLevel="0" collapsed="false">
      <c r="E2233" s="60" t="str">
        <f aca="false">IF(LEN(D2233)=11,"PF",IF(LEN(D2233)=14,"PJ",""))</f>
        <v/>
      </c>
      <c r="AM2233" s="68" t="str">
        <f aca="false">IF(LEFT(AL2233,1)="9","Celular",IF(AL2233="","","Fixo"))</f>
        <v/>
      </c>
      <c r="AN2233" s="58" t="str">
        <f aca="false">IF( AM2233&lt;&gt;"",VLOOKUP(AM2233,Selects!$M$4:$N$1000,2,0),"")</f>
        <v/>
      </c>
      <c r="BB2233" s="72" t="str">
        <f aca="false">IF(BA2233&lt;&gt;"",VLOOKUP(BA2233,Selects!$B$4:$C$100,2,0),"")</f>
        <v/>
      </c>
      <c r="BG2233" s="75" t="str">
        <f aca="false">IF(LEN(BF2233)=11,"PF",IF(LEN(BF2233)=14,"PJ",""))</f>
        <v/>
      </c>
      <c r="BH2233" s="66"/>
      <c r="CB2233" s="72" t="str">
        <f aca="false">IF(AC2233&lt;&gt;"",VLOOKUP(AC2233,Selects!$B:$E,4,0),"")</f>
        <v/>
      </c>
    </row>
    <row r="2234" customFormat="false" ht="15" hidden="true" customHeight="false" outlineLevel="0" collapsed="false">
      <c r="E2234" s="60" t="str">
        <f aca="false">IF(LEN(D2234)=11,"PF",IF(LEN(D2234)=14,"PJ",""))</f>
        <v/>
      </c>
      <c r="AM2234" s="68" t="str">
        <f aca="false">IF(LEFT(AL2234,1)="9","Celular",IF(AL2234="","","Fixo"))</f>
        <v/>
      </c>
      <c r="AN2234" s="58" t="str">
        <f aca="false">IF( AM2234&lt;&gt;"",VLOOKUP(AM2234,Selects!$M$4:$N$1000,2,0),"")</f>
        <v/>
      </c>
      <c r="BB2234" s="72" t="str">
        <f aca="false">IF(BA2234&lt;&gt;"",VLOOKUP(BA2234,Selects!$B$4:$C$100,2,0),"")</f>
        <v/>
      </c>
      <c r="BG2234" s="75" t="str">
        <f aca="false">IF(LEN(BF2234)=11,"PF",IF(LEN(BF2234)=14,"PJ",""))</f>
        <v/>
      </c>
      <c r="BH2234" s="66"/>
      <c r="CB2234" s="72" t="str">
        <f aca="false">IF(AC2234&lt;&gt;"",VLOOKUP(AC2234,Selects!$B:$E,4,0),"")</f>
        <v/>
      </c>
    </row>
    <row r="2235" customFormat="false" ht="15" hidden="true" customHeight="false" outlineLevel="0" collapsed="false">
      <c r="E2235" s="60" t="str">
        <f aca="false">IF(LEN(D2235)=11,"PF",IF(LEN(D2235)=14,"PJ",""))</f>
        <v/>
      </c>
      <c r="AM2235" s="68" t="str">
        <f aca="false">IF(LEFT(AL2235,1)="9","Celular",IF(AL2235="","","Fixo"))</f>
        <v/>
      </c>
      <c r="AN2235" s="58" t="str">
        <f aca="false">IF( AM2235&lt;&gt;"",VLOOKUP(AM2235,Selects!$M$4:$N$1000,2,0),"")</f>
        <v/>
      </c>
      <c r="BB2235" s="72" t="str">
        <f aca="false">IF(BA2235&lt;&gt;"",VLOOKUP(BA2235,Selects!$B$4:$C$100,2,0),"")</f>
        <v/>
      </c>
      <c r="BG2235" s="75" t="str">
        <f aca="false">IF(LEN(BF2235)=11,"PF",IF(LEN(BF2235)=14,"PJ",""))</f>
        <v/>
      </c>
      <c r="BH2235" s="66"/>
      <c r="CB2235" s="72" t="str">
        <f aca="false">IF(AC2235&lt;&gt;"",VLOOKUP(AC2235,Selects!$B:$E,4,0),"")</f>
        <v/>
      </c>
    </row>
    <row r="2236" customFormat="false" ht="15" hidden="true" customHeight="false" outlineLevel="0" collapsed="false">
      <c r="E2236" s="60" t="str">
        <f aca="false">IF(LEN(D2236)=11,"PF",IF(LEN(D2236)=14,"PJ",""))</f>
        <v/>
      </c>
      <c r="AM2236" s="68" t="str">
        <f aca="false">IF(LEFT(AL2236,1)="9","Celular",IF(AL2236="","","Fixo"))</f>
        <v/>
      </c>
      <c r="AN2236" s="58" t="str">
        <f aca="false">IF( AM2236&lt;&gt;"",VLOOKUP(AM2236,Selects!$M$4:$N$1000,2,0),"")</f>
        <v/>
      </c>
      <c r="BB2236" s="72" t="str">
        <f aca="false">IF(BA2236&lt;&gt;"",VLOOKUP(BA2236,Selects!$B$4:$C$100,2,0),"")</f>
        <v/>
      </c>
      <c r="BG2236" s="75" t="str">
        <f aca="false">IF(LEN(BF2236)=11,"PF",IF(LEN(BF2236)=14,"PJ",""))</f>
        <v/>
      </c>
      <c r="BH2236" s="66"/>
      <c r="CB2236" s="72" t="str">
        <f aca="false">IF(AC2236&lt;&gt;"",VLOOKUP(AC2236,Selects!$B:$E,4,0),"")</f>
        <v/>
      </c>
    </row>
    <row r="2237" customFormat="false" ht="15" hidden="true" customHeight="false" outlineLevel="0" collapsed="false">
      <c r="E2237" s="60" t="str">
        <f aca="false">IF(LEN(D2237)=11,"PF",IF(LEN(D2237)=14,"PJ",""))</f>
        <v/>
      </c>
      <c r="AM2237" s="68" t="str">
        <f aca="false">IF(LEFT(AL2237,1)="9","Celular",IF(AL2237="","","Fixo"))</f>
        <v/>
      </c>
      <c r="AN2237" s="58" t="str">
        <f aca="false">IF( AM2237&lt;&gt;"",VLOOKUP(AM2237,Selects!$M$4:$N$1000,2,0),"")</f>
        <v/>
      </c>
      <c r="BB2237" s="72" t="str">
        <f aca="false">IF(BA2237&lt;&gt;"",VLOOKUP(BA2237,Selects!$B$4:$C$100,2,0),"")</f>
        <v/>
      </c>
      <c r="BG2237" s="75" t="str">
        <f aca="false">IF(LEN(BF2237)=11,"PF",IF(LEN(BF2237)=14,"PJ",""))</f>
        <v/>
      </c>
      <c r="BH2237" s="66"/>
      <c r="CB2237" s="72" t="str">
        <f aca="false">IF(AC2237&lt;&gt;"",VLOOKUP(AC2237,Selects!$B:$E,4,0),"")</f>
        <v/>
      </c>
    </row>
    <row r="2238" customFormat="false" ht="15" hidden="true" customHeight="false" outlineLevel="0" collapsed="false">
      <c r="E2238" s="60" t="str">
        <f aca="false">IF(LEN(D2238)=11,"PF",IF(LEN(D2238)=14,"PJ",""))</f>
        <v/>
      </c>
      <c r="AM2238" s="68" t="str">
        <f aca="false">IF(LEFT(AL2238,1)="9","Celular",IF(AL2238="","","Fixo"))</f>
        <v/>
      </c>
      <c r="AN2238" s="58" t="str">
        <f aca="false">IF( AM2238&lt;&gt;"",VLOOKUP(AM2238,Selects!$M$4:$N$1000,2,0),"")</f>
        <v/>
      </c>
      <c r="BB2238" s="72" t="str">
        <f aca="false">IF(BA2238&lt;&gt;"",VLOOKUP(BA2238,Selects!$B$4:$C$100,2,0),"")</f>
        <v/>
      </c>
      <c r="BG2238" s="75" t="str">
        <f aca="false">IF(LEN(BF2238)=11,"PF",IF(LEN(BF2238)=14,"PJ",""))</f>
        <v/>
      </c>
      <c r="BH2238" s="66"/>
      <c r="CB2238" s="72" t="str">
        <f aca="false">IF(AC2238&lt;&gt;"",VLOOKUP(AC2238,Selects!$B:$E,4,0),"")</f>
        <v/>
      </c>
    </row>
    <row r="2239" customFormat="false" ht="15" hidden="true" customHeight="false" outlineLevel="0" collapsed="false">
      <c r="E2239" s="60" t="str">
        <f aca="false">IF(LEN(D2239)=11,"PF",IF(LEN(D2239)=14,"PJ",""))</f>
        <v/>
      </c>
      <c r="AM2239" s="68" t="str">
        <f aca="false">IF(LEFT(AL2239,1)="9","Celular",IF(AL2239="","","Fixo"))</f>
        <v/>
      </c>
      <c r="AN2239" s="58" t="str">
        <f aca="false">IF( AM2239&lt;&gt;"",VLOOKUP(AM2239,Selects!$M$4:$N$1000,2,0),"")</f>
        <v/>
      </c>
      <c r="BB2239" s="72" t="str">
        <f aca="false">IF(BA2239&lt;&gt;"",VLOOKUP(BA2239,Selects!$B$4:$C$100,2,0),"")</f>
        <v/>
      </c>
      <c r="BG2239" s="75" t="str">
        <f aca="false">IF(LEN(BF2239)=11,"PF",IF(LEN(BF2239)=14,"PJ",""))</f>
        <v/>
      </c>
      <c r="BH2239" s="66"/>
      <c r="CB2239" s="72" t="str">
        <f aca="false">IF(AC2239&lt;&gt;"",VLOOKUP(AC2239,Selects!$B:$E,4,0),"")</f>
        <v/>
      </c>
    </row>
    <row r="2240" customFormat="false" ht="15" hidden="true" customHeight="false" outlineLevel="0" collapsed="false">
      <c r="E2240" s="60" t="str">
        <f aca="false">IF(LEN(D2240)=11,"PF",IF(LEN(D2240)=14,"PJ",""))</f>
        <v/>
      </c>
      <c r="AM2240" s="68" t="str">
        <f aca="false">IF(LEFT(AL2240,1)="9","Celular",IF(AL2240="","","Fixo"))</f>
        <v/>
      </c>
      <c r="AN2240" s="58" t="str">
        <f aca="false">IF( AM2240&lt;&gt;"",VLOOKUP(AM2240,Selects!$M$4:$N$1000,2,0),"")</f>
        <v/>
      </c>
      <c r="BB2240" s="72" t="str">
        <f aca="false">IF(BA2240&lt;&gt;"",VLOOKUP(BA2240,Selects!$B$4:$C$100,2,0),"")</f>
        <v/>
      </c>
      <c r="BG2240" s="75" t="str">
        <f aca="false">IF(LEN(BF2240)=11,"PF",IF(LEN(BF2240)=14,"PJ",""))</f>
        <v/>
      </c>
      <c r="BH2240" s="66"/>
      <c r="CB2240" s="72" t="str">
        <f aca="false">IF(AC2240&lt;&gt;"",VLOOKUP(AC2240,Selects!$B:$E,4,0),"")</f>
        <v/>
      </c>
    </row>
    <row r="2241" customFormat="false" ht="15" hidden="true" customHeight="false" outlineLevel="0" collapsed="false">
      <c r="E2241" s="60" t="str">
        <f aca="false">IF(LEN(D2241)=11,"PF",IF(LEN(D2241)=14,"PJ",""))</f>
        <v/>
      </c>
      <c r="AM2241" s="68" t="str">
        <f aca="false">IF(LEFT(AL2241,1)="9","Celular",IF(AL2241="","","Fixo"))</f>
        <v/>
      </c>
      <c r="AN2241" s="58" t="str">
        <f aca="false">IF( AM2241&lt;&gt;"",VLOOKUP(AM2241,Selects!$M$4:$N$1000,2,0),"")</f>
        <v/>
      </c>
      <c r="BB2241" s="72" t="str">
        <f aca="false">IF(BA2241&lt;&gt;"",VLOOKUP(BA2241,Selects!$B$4:$C$100,2,0),"")</f>
        <v/>
      </c>
      <c r="BG2241" s="75" t="str">
        <f aca="false">IF(LEN(BF2241)=11,"PF",IF(LEN(BF2241)=14,"PJ",""))</f>
        <v/>
      </c>
      <c r="BH2241" s="66"/>
      <c r="CB2241" s="72" t="str">
        <f aca="false">IF(AC2241&lt;&gt;"",VLOOKUP(AC2241,Selects!$B:$E,4,0),"")</f>
        <v/>
      </c>
    </row>
    <row r="2242" customFormat="false" ht="15" hidden="true" customHeight="false" outlineLevel="0" collapsed="false">
      <c r="E2242" s="60" t="str">
        <f aca="false">IF(LEN(D2242)=11,"PF",IF(LEN(D2242)=14,"PJ",""))</f>
        <v/>
      </c>
      <c r="AM2242" s="68" t="str">
        <f aca="false">IF(LEFT(AL2242,1)="9","Celular",IF(AL2242="","","Fixo"))</f>
        <v/>
      </c>
      <c r="AN2242" s="58" t="str">
        <f aca="false">IF( AM2242&lt;&gt;"",VLOOKUP(AM2242,Selects!$M$4:$N$1000,2,0),"")</f>
        <v/>
      </c>
      <c r="BB2242" s="72" t="str">
        <f aca="false">IF(BA2242&lt;&gt;"",VLOOKUP(BA2242,Selects!$B$4:$C$100,2,0),"")</f>
        <v/>
      </c>
      <c r="BG2242" s="75" t="str">
        <f aca="false">IF(LEN(BF2242)=11,"PF",IF(LEN(BF2242)=14,"PJ",""))</f>
        <v/>
      </c>
      <c r="BH2242" s="66"/>
      <c r="CB2242" s="72" t="str">
        <f aca="false">IF(AC2242&lt;&gt;"",VLOOKUP(AC2242,Selects!$B:$E,4,0),"")</f>
        <v/>
      </c>
    </row>
    <row r="2243" customFormat="false" ht="15" hidden="true" customHeight="false" outlineLevel="0" collapsed="false">
      <c r="E2243" s="60" t="str">
        <f aca="false">IF(LEN(D2243)=11,"PF",IF(LEN(D2243)=14,"PJ",""))</f>
        <v/>
      </c>
      <c r="AM2243" s="68" t="str">
        <f aca="false">IF(LEFT(AL2243,1)="9","Celular",IF(AL2243="","","Fixo"))</f>
        <v/>
      </c>
      <c r="BB2243" s="72" t="str">
        <f aca="false">IF(BA2243&lt;&gt;"",VLOOKUP(BA2243,Selects!$B$4:$C$100,2,0),"")</f>
        <v/>
      </c>
      <c r="BG2243" s="75" t="str">
        <f aca="false">IF(LEN(BF2243)=11,"PF",IF(LEN(BF2243)=14,"PJ",""))</f>
        <v/>
      </c>
      <c r="BH2243" s="66"/>
      <c r="CB2243" s="72" t="str">
        <f aca="false">IF(AC2243&lt;&gt;"",VLOOKUP(AC2243,Selects!$B:$E,4,0),"")</f>
        <v/>
      </c>
    </row>
    <row r="2244" customFormat="false" ht="15" hidden="true" customHeight="false" outlineLevel="0" collapsed="false">
      <c r="E2244" s="60" t="str">
        <f aca="false">IF(LEN(D2244)=11,"PF",IF(LEN(D2244)=14,"PJ",""))</f>
        <v/>
      </c>
      <c r="AM2244" s="68" t="str">
        <f aca="false">IF(LEFT(AL2244,1)="9","Celular",IF(AL2244="","","Fixo"))</f>
        <v/>
      </c>
      <c r="BB2244" s="72" t="str">
        <f aca="false">IF(BA2244&lt;&gt;"",VLOOKUP(BA2244,Selects!$B$4:$C$100,2,0),"")</f>
        <v/>
      </c>
      <c r="BG2244" s="75" t="str">
        <f aca="false">IF(LEN(BF2244)=11,"PF",IF(LEN(BF2244)=14,"PJ",""))</f>
        <v/>
      </c>
      <c r="BH2244" s="66"/>
      <c r="CB2244" s="72" t="str">
        <f aca="false">IF(AC2244&lt;&gt;"",VLOOKUP(AC2244,Selects!$B:$E,4,0),"")</f>
        <v/>
      </c>
    </row>
    <row r="2245" customFormat="false" ht="15" hidden="true" customHeight="false" outlineLevel="0" collapsed="false">
      <c r="E2245" s="60" t="str">
        <f aca="false">IF(LEN(D2245)=11,"PF",IF(LEN(D2245)=14,"PJ",""))</f>
        <v/>
      </c>
      <c r="AM2245" s="68" t="str">
        <f aca="false">IF(LEFT(AL2245,1)="9","Celular",IF(AL2245="","","Fixo"))</f>
        <v/>
      </c>
      <c r="BB2245" s="72" t="str">
        <f aca="false">IF(BA2245&lt;&gt;"",VLOOKUP(BA2245,Selects!$B$4:$C$100,2,0),"")</f>
        <v/>
      </c>
      <c r="BG2245" s="75" t="str">
        <f aca="false">IF(LEN(BF2245)=11,"PF",IF(LEN(BF2245)=14,"PJ",""))</f>
        <v/>
      </c>
      <c r="BH2245" s="66"/>
      <c r="CB2245" s="72" t="str">
        <f aca="false">IF(AC2245&lt;&gt;"",VLOOKUP(AC2245,Selects!$B:$E,4,0),"")</f>
        <v/>
      </c>
    </row>
    <row r="2246" customFormat="false" ht="15" hidden="true" customHeight="false" outlineLevel="0" collapsed="false">
      <c r="E2246" s="60" t="str">
        <f aca="false">IF(LEN(D2246)=11,"PF",IF(LEN(D2246)=14,"PJ",""))</f>
        <v/>
      </c>
      <c r="AM2246" s="68" t="str">
        <f aca="false">IF(LEFT(AL2246,1)="9","Celular",IF(AL2246="","","Fixo"))</f>
        <v/>
      </c>
      <c r="BB2246" s="72" t="str">
        <f aca="false">IF(BA2246&lt;&gt;"",VLOOKUP(BA2246,Selects!$B$4:$C$100,2,0),"")</f>
        <v/>
      </c>
      <c r="BG2246" s="75" t="str">
        <f aca="false">IF(LEN(BF2246)=11,"PF",IF(LEN(BF2246)=14,"PJ",""))</f>
        <v/>
      </c>
      <c r="BH2246" s="66"/>
      <c r="CB2246" s="72" t="str">
        <f aca="false">IF(AC2246&lt;&gt;"",VLOOKUP(AC2246,Selects!$B:$E,4,0),"")</f>
        <v/>
      </c>
    </row>
    <row r="2247" customFormat="false" ht="15" hidden="true" customHeight="false" outlineLevel="0" collapsed="false">
      <c r="E2247" s="60" t="str">
        <f aca="false">IF(LEN(D2247)=11,"PF",IF(LEN(D2247)=14,"PJ",""))</f>
        <v/>
      </c>
      <c r="AM2247" s="68" t="str">
        <f aca="false">IF(LEFT(AL2247,1)="9","Celular",IF(AL2247="","","Fixo"))</f>
        <v/>
      </c>
      <c r="BB2247" s="72" t="str">
        <f aca="false">IF(BA2247&lt;&gt;"",VLOOKUP(BA2247,Selects!$B$4:$C$100,2,0),"")</f>
        <v/>
      </c>
      <c r="BG2247" s="75" t="str">
        <f aca="false">IF(LEN(BF2247)=11,"PF",IF(LEN(BF2247)=14,"PJ",""))</f>
        <v/>
      </c>
      <c r="BH2247" s="66"/>
      <c r="CB2247" s="72" t="str">
        <f aca="false">IF(AC2247&lt;&gt;"",VLOOKUP(AC2247,Selects!$B:$E,4,0),"")</f>
        <v/>
      </c>
    </row>
    <row r="2248" customFormat="false" ht="15" hidden="true" customHeight="false" outlineLevel="0" collapsed="false">
      <c r="E2248" s="60" t="str">
        <f aca="false">IF(LEN(D2248)=11,"PF",IF(LEN(D2248)=14,"PJ",""))</f>
        <v/>
      </c>
      <c r="AM2248" s="68" t="str">
        <f aca="false">IF(LEFT(AL2248,1)="9","Celular",IF(AL2248="","","Fixo"))</f>
        <v/>
      </c>
      <c r="BB2248" s="72" t="str">
        <f aca="false">IF(BA2248&lt;&gt;"",VLOOKUP(BA2248,Selects!$B$4:$C$100,2,0),"")</f>
        <v/>
      </c>
      <c r="BG2248" s="75" t="str">
        <f aca="false">IF(LEN(BF2248)=11,"PF",IF(LEN(BF2248)=14,"PJ",""))</f>
        <v/>
      </c>
      <c r="BH2248" s="66"/>
      <c r="CB2248" s="72" t="str">
        <f aca="false">IF(AC2248&lt;&gt;"",VLOOKUP(AC2248,Selects!$B:$E,4,0),"")</f>
        <v/>
      </c>
    </row>
    <row r="2249" customFormat="false" ht="15" hidden="true" customHeight="false" outlineLevel="0" collapsed="false">
      <c r="E2249" s="60" t="str">
        <f aca="false">IF(LEN(D2249)=11,"PF",IF(LEN(D2249)=14,"PJ",""))</f>
        <v/>
      </c>
      <c r="AM2249" s="68" t="str">
        <f aca="false">IF(LEFT(AL2249,1)="9","Celular",IF(AL2249="","","Fixo"))</f>
        <v/>
      </c>
      <c r="BB2249" s="72" t="str">
        <f aca="false">IF(BA2249&lt;&gt;"",VLOOKUP(BA2249,Selects!$B$4:$C$100,2,0),"")</f>
        <v/>
      </c>
      <c r="BG2249" s="75" t="str">
        <f aca="false">IF(LEN(BF2249)=11,"PF",IF(LEN(BF2249)=14,"PJ",""))</f>
        <v/>
      </c>
      <c r="BH2249" s="66"/>
      <c r="CB2249" s="72" t="str">
        <f aca="false">IF(AC2249&lt;&gt;"",VLOOKUP(AC2249,Selects!$B:$E,4,0),"")</f>
        <v/>
      </c>
    </row>
    <row r="2250" customFormat="false" ht="15" hidden="true" customHeight="false" outlineLevel="0" collapsed="false">
      <c r="E2250" s="60" t="str">
        <f aca="false">IF(LEN(D2250)=11,"PF",IF(LEN(D2250)=14,"PJ",""))</f>
        <v/>
      </c>
      <c r="AM2250" s="68" t="str">
        <f aca="false">IF(LEFT(AL2250,1)="9","Celular",IF(AL2250="","","Fixo"))</f>
        <v/>
      </c>
      <c r="BB2250" s="72" t="str">
        <f aca="false">IF(BA2250&lt;&gt;"",VLOOKUP(BA2250,Selects!$B$4:$C$100,2,0),"")</f>
        <v/>
      </c>
      <c r="BG2250" s="75" t="str">
        <f aca="false">IF(LEN(BF2250)=11,"PF",IF(LEN(BF2250)=14,"PJ",""))</f>
        <v/>
      </c>
      <c r="BH2250" s="66"/>
      <c r="CB2250" s="72" t="str">
        <f aca="false">IF(AC2250&lt;&gt;"",VLOOKUP(AC2250,Selects!$B:$E,4,0),"")</f>
        <v/>
      </c>
    </row>
    <row r="2251" customFormat="false" ht="15" hidden="true" customHeight="false" outlineLevel="0" collapsed="false">
      <c r="E2251" s="60" t="str">
        <f aca="false">IF(LEN(D2251)=11,"PF",IF(LEN(D2251)=14,"PJ",""))</f>
        <v/>
      </c>
      <c r="AM2251" s="68" t="str">
        <f aca="false">IF(LEFT(AL2251,1)="9","Celular",IF(AL2251="","","Fixo"))</f>
        <v/>
      </c>
      <c r="BB2251" s="72" t="str">
        <f aca="false">IF(BA2251&lt;&gt;"",VLOOKUP(BA2251,Selects!$B$4:$C$100,2,0),"")</f>
        <v/>
      </c>
      <c r="BG2251" s="75" t="str">
        <f aca="false">IF(LEN(BF2251)=11,"PF",IF(LEN(BF2251)=14,"PJ",""))</f>
        <v/>
      </c>
      <c r="BH2251" s="66"/>
      <c r="CB2251" s="72" t="str">
        <f aca="false">IF(AC2251&lt;&gt;"",VLOOKUP(AC2251,Selects!$B:$E,4,0),"")</f>
        <v/>
      </c>
    </row>
    <row r="2252" customFormat="false" ht="15" hidden="true" customHeight="false" outlineLevel="0" collapsed="false">
      <c r="E2252" s="60" t="str">
        <f aca="false">IF(LEN(D2252)=11,"PF",IF(LEN(D2252)=14,"PJ",""))</f>
        <v/>
      </c>
      <c r="AM2252" s="68" t="str">
        <f aca="false">IF(LEFT(AL2252,1)="9","Celular",IF(AL2252="","","Fixo"))</f>
        <v/>
      </c>
      <c r="BB2252" s="72" t="str">
        <f aca="false">IF(BA2252&lt;&gt;"",VLOOKUP(BA2252,Selects!$B$4:$C$100,2,0),"")</f>
        <v/>
      </c>
      <c r="BG2252" s="75" t="str">
        <f aca="false">IF(LEN(BF2252)=11,"PF",IF(LEN(BF2252)=14,"PJ",""))</f>
        <v/>
      </c>
      <c r="BH2252" s="66"/>
      <c r="CB2252" s="72" t="str">
        <f aca="false">IF(AC2252&lt;&gt;"",VLOOKUP(AC2252,Selects!$B:$E,4,0),"")</f>
        <v/>
      </c>
    </row>
    <row r="2253" customFormat="false" ht="15" hidden="true" customHeight="false" outlineLevel="0" collapsed="false">
      <c r="E2253" s="60" t="str">
        <f aca="false">IF(LEN(D2253)=11,"PF",IF(LEN(D2253)=14,"PJ",""))</f>
        <v/>
      </c>
      <c r="AM2253" s="68" t="str">
        <f aca="false">IF(LEFT(AL2253,1)="9","Celular",IF(AL2253="","","Fixo"))</f>
        <v/>
      </c>
      <c r="BB2253" s="72" t="str">
        <f aca="false">IF(BA2253&lt;&gt;"",VLOOKUP(BA2253,Selects!$B$4:$C$100,2,0),"")</f>
        <v/>
      </c>
      <c r="BG2253" s="75" t="str">
        <f aca="false">IF(LEN(BF2253)=11,"PF",IF(LEN(BF2253)=14,"PJ",""))</f>
        <v/>
      </c>
      <c r="BH2253" s="66"/>
      <c r="CB2253" s="72" t="str">
        <f aca="false">IF(AC2253&lt;&gt;"",VLOOKUP(AC2253,Selects!$B:$E,4,0),"")</f>
        <v/>
      </c>
    </row>
    <row r="2254" customFormat="false" ht="15" hidden="true" customHeight="false" outlineLevel="0" collapsed="false">
      <c r="E2254" s="60" t="str">
        <f aca="false">IF(LEN(D2254)=11,"PF",IF(LEN(D2254)=14,"PJ",""))</f>
        <v/>
      </c>
      <c r="AM2254" s="68" t="str">
        <f aca="false">IF(LEFT(AL2254,1)="9","Celular",IF(AL2254="","","Fixo"))</f>
        <v/>
      </c>
      <c r="BB2254" s="72" t="str">
        <f aca="false">IF(BA2254&lt;&gt;"",VLOOKUP(BA2254,Selects!$B$4:$C$100,2,0),"")</f>
        <v/>
      </c>
      <c r="BG2254" s="75" t="str">
        <f aca="false">IF(LEN(BF2254)=11,"PF",IF(LEN(BF2254)=14,"PJ",""))</f>
        <v/>
      </c>
      <c r="BH2254" s="66"/>
      <c r="CB2254" s="72" t="str">
        <f aca="false">IF(AC2254&lt;&gt;"",VLOOKUP(AC2254,Selects!$B:$E,4,0),"")</f>
        <v/>
      </c>
    </row>
    <row r="2255" customFormat="false" ht="15" hidden="true" customHeight="false" outlineLevel="0" collapsed="false">
      <c r="E2255" s="60" t="str">
        <f aca="false">IF(LEN(D2255)=11,"PF",IF(LEN(D2255)=14,"PJ",""))</f>
        <v/>
      </c>
      <c r="AM2255" s="68" t="str">
        <f aca="false">IF(LEFT(AL2255,1)="9","Celular",IF(AL2255="","","Fixo"))</f>
        <v/>
      </c>
      <c r="BB2255" s="72" t="str">
        <f aca="false">IF(BA2255&lt;&gt;"",VLOOKUP(BA2255,Selects!$B$4:$C$100,2,0),"")</f>
        <v/>
      </c>
      <c r="BG2255" s="75" t="str">
        <f aca="false">IF(LEN(BF2255)=11,"PF",IF(LEN(BF2255)=14,"PJ",""))</f>
        <v/>
      </c>
      <c r="BH2255" s="66"/>
      <c r="CB2255" s="72" t="str">
        <f aca="false">IF(AC2255&lt;&gt;"",VLOOKUP(AC2255,Selects!$B:$E,4,0),"")</f>
        <v/>
      </c>
    </row>
    <row r="2256" customFormat="false" ht="15" hidden="true" customHeight="false" outlineLevel="0" collapsed="false">
      <c r="E2256" s="60" t="str">
        <f aca="false">IF(LEN(D2256)=11,"PF",IF(LEN(D2256)=14,"PJ",""))</f>
        <v/>
      </c>
      <c r="AM2256" s="68" t="str">
        <f aca="false">IF(LEFT(AL2256,1)="9","Celular",IF(AL2256="","","Fixo"))</f>
        <v/>
      </c>
      <c r="BB2256" s="72" t="str">
        <f aca="false">IF(BA2256&lt;&gt;"",VLOOKUP(BA2256,Selects!$B$4:$C$100,2,0),"")</f>
        <v/>
      </c>
      <c r="BG2256" s="75" t="str">
        <f aca="false">IF(LEN(BF2256)=11,"PF",IF(LEN(BF2256)=14,"PJ",""))</f>
        <v/>
      </c>
      <c r="BH2256" s="66"/>
      <c r="CB2256" s="72" t="str">
        <f aca="false">IF(AC2256&lt;&gt;"",VLOOKUP(AC2256,Selects!$B:$E,4,0),"")</f>
        <v/>
      </c>
    </row>
    <row r="2257" customFormat="false" ht="15" hidden="true" customHeight="false" outlineLevel="0" collapsed="false">
      <c r="E2257" s="60" t="str">
        <f aca="false">IF(LEN(D2257)=11,"PF",IF(LEN(D2257)=14,"PJ",""))</f>
        <v/>
      </c>
      <c r="AM2257" s="68" t="str">
        <f aca="false">IF(LEFT(AL2257,1)="9","Celular",IF(AL2257="","","Fixo"))</f>
        <v/>
      </c>
      <c r="BB2257" s="72" t="str">
        <f aca="false">IF(BA2257&lt;&gt;"",VLOOKUP(BA2257,Selects!$B$4:$C$100,2,0),"")</f>
        <v/>
      </c>
      <c r="BG2257" s="75" t="str">
        <f aca="false">IF(LEN(BF2257)=11,"PF",IF(LEN(BF2257)=14,"PJ",""))</f>
        <v/>
      </c>
      <c r="BH2257" s="66"/>
      <c r="CB2257" s="72" t="str">
        <f aca="false">IF(AC2257&lt;&gt;"",VLOOKUP(AC2257,Selects!$B:$E,4,0),"")</f>
        <v/>
      </c>
    </row>
    <row r="2258" customFormat="false" ht="15" hidden="true" customHeight="false" outlineLevel="0" collapsed="false">
      <c r="E2258" s="60" t="str">
        <f aca="false">IF(LEN(D2258)=11,"PF",IF(LEN(D2258)=14,"PJ",""))</f>
        <v/>
      </c>
      <c r="AM2258" s="68" t="str">
        <f aca="false">IF(LEFT(AL2258,1)="9","Celular",IF(AL2258="","","Fixo"))</f>
        <v/>
      </c>
      <c r="BB2258" s="72" t="str">
        <f aca="false">IF(BA2258&lt;&gt;"",VLOOKUP(BA2258,Selects!$B$4:$C$100,2,0),"")</f>
        <v/>
      </c>
      <c r="BG2258" s="75" t="str">
        <f aca="false">IF(LEN(BF2258)=11,"PF",IF(LEN(BF2258)=14,"PJ",""))</f>
        <v/>
      </c>
      <c r="BH2258" s="66"/>
      <c r="CB2258" s="72" t="str">
        <f aca="false">IF(AC2258&lt;&gt;"",VLOOKUP(AC2258,Selects!$B:$E,4,0),"")</f>
        <v/>
      </c>
    </row>
    <row r="2259" customFormat="false" ht="15" hidden="true" customHeight="false" outlineLevel="0" collapsed="false">
      <c r="E2259" s="60" t="str">
        <f aca="false">IF(LEN(D2259)=11,"PF",IF(LEN(D2259)=14,"PJ",""))</f>
        <v/>
      </c>
      <c r="AM2259" s="68" t="str">
        <f aca="false">IF(LEFT(AL2259,1)="9","Celular",IF(AL2259="","","Fixo"))</f>
        <v/>
      </c>
      <c r="BB2259" s="72" t="str">
        <f aca="false">IF(BA2259&lt;&gt;"",VLOOKUP(BA2259,Selects!$B$4:$C$100,2,0),"")</f>
        <v/>
      </c>
      <c r="BG2259" s="75" t="str">
        <f aca="false">IF(LEN(BF2259)=11,"PF",IF(LEN(BF2259)=14,"PJ",""))</f>
        <v/>
      </c>
      <c r="BH2259" s="66"/>
      <c r="CB2259" s="72" t="str">
        <f aca="false">IF(AC2259&lt;&gt;"",VLOOKUP(AC2259,Selects!$B:$E,4,0),"")</f>
        <v/>
      </c>
    </row>
    <row r="2260" customFormat="false" ht="15" hidden="true" customHeight="false" outlineLevel="0" collapsed="false">
      <c r="E2260" s="60" t="str">
        <f aca="false">IF(LEN(D2260)=11,"PF",IF(LEN(D2260)=14,"PJ",""))</f>
        <v/>
      </c>
      <c r="AM2260" s="68" t="str">
        <f aca="false">IF(LEFT(AL2260,1)="9","Celular",IF(AL2260="","","Fixo"))</f>
        <v/>
      </c>
      <c r="BB2260" s="72" t="str">
        <f aca="false">IF(BA2260&lt;&gt;"",VLOOKUP(BA2260,Selects!$B$4:$C$100,2,0),"")</f>
        <v/>
      </c>
      <c r="BG2260" s="75" t="str">
        <f aca="false">IF(LEN(BF2260)=11,"PF",IF(LEN(BF2260)=14,"PJ",""))</f>
        <v/>
      </c>
      <c r="BH2260" s="66"/>
      <c r="CB2260" s="72" t="str">
        <f aca="false">IF(AC2260&lt;&gt;"",VLOOKUP(AC2260,Selects!$B:$E,4,0),"")</f>
        <v/>
      </c>
    </row>
    <row r="2261" customFormat="false" ht="15" hidden="true" customHeight="false" outlineLevel="0" collapsed="false">
      <c r="E2261" s="60" t="str">
        <f aca="false">IF(LEN(D2261)=11,"PF",IF(LEN(D2261)=14,"PJ",""))</f>
        <v/>
      </c>
      <c r="AM2261" s="68" t="str">
        <f aca="false">IF(LEFT(AL2261,1)="9","Celular",IF(AL2261="","","Fixo"))</f>
        <v/>
      </c>
      <c r="BB2261" s="72" t="str">
        <f aca="false">IF(BA2261&lt;&gt;"",VLOOKUP(BA2261,Selects!$B$4:$C$100,2,0),"")</f>
        <v/>
      </c>
      <c r="BG2261" s="75" t="str">
        <f aca="false">IF(LEN(BF2261)=11,"PF",IF(LEN(BF2261)=14,"PJ",""))</f>
        <v/>
      </c>
      <c r="BH2261" s="66"/>
      <c r="CB2261" s="72" t="str">
        <f aca="false">IF(AC2261&lt;&gt;"",VLOOKUP(AC2261,Selects!$B:$E,4,0),"")</f>
        <v/>
      </c>
    </row>
    <row r="2262" customFormat="false" ht="15" hidden="true" customHeight="false" outlineLevel="0" collapsed="false">
      <c r="E2262" s="60" t="str">
        <f aca="false">IF(LEN(D2262)=11,"PF",IF(LEN(D2262)=14,"PJ",""))</f>
        <v/>
      </c>
      <c r="AM2262" s="68" t="str">
        <f aca="false">IF(LEFT(AL2262,1)="9","Celular",IF(AL2262="","","Fixo"))</f>
        <v/>
      </c>
      <c r="BB2262" s="72" t="str">
        <f aca="false">IF(BA2262&lt;&gt;"",VLOOKUP(BA2262,Selects!$B$4:$C$100,2,0),"")</f>
        <v/>
      </c>
      <c r="BG2262" s="75" t="str">
        <f aca="false">IF(LEN(BF2262)=11,"PF",IF(LEN(BF2262)=14,"PJ",""))</f>
        <v/>
      </c>
      <c r="BH2262" s="66"/>
      <c r="CB2262" s="72" t="str">
        <f aca="false">IF(AC2262&lt;&gt;"",VLOOKUP(AC2262,Selects!$B:$E,4,0),"")</f>
        <v/>
      </c>
    </row>
    <row r="2263" customFormat="false" ht="15" hidden="true" customHeight="false" outlineLevel="0" collapsed="false">
      <c r="E2263" s="60" t="str">
        <f aca="false">IF(LEN(D2263)=11,"PF",IF(LEN(D2263)=14,"PJ",""))</f>
        <v/>
      </c>
      <c r="AM2263" s="68" t="str">
        <f aca="false">IF(LEFT(AL2263,1)="9","Celular",IF(AL2263="","","Fixo"))</f>
        <v/>
      </c>
      <c r="BB2263" s="72" t="str">
        <f aca="false">IF(BA2263&lt;&gt;"",VLOOKUP(BA2263,Selects!$B$4:$C$100,2,0),"")</f>
        <v/>
      </c>
      <c r="BG2263" s="75" t="str">
        <f aca="false">IF(LEN(BF2263)=11,"PF",IF(LEN(BF2263)=14,"PJ",""))</f>
        <v/>
      </c>
      <c r="BH2263" s="66"/>
      <c r="CB2263" s="72" t="str">
        <f aca="false">IF(AC2263&lt;&gt;"",VLOOKUP(AC2263,Selects!$B:$E,4,0),"")</f>
        <v/>
      </c>
    </row>
    <row r="2264" customFormat="false" ht="15" hidden="true" customHeight="false" outlineLevel="0" collapsed="false">
      <c r="E2264" s="60" t="str">
        <f aca="false">IF(LEN(D2264)=11,"PF",IF(LEN(D2264)=14,"PJ",""))</f>
        <v/>
      </c>
      <c r="AM2264" s="68" t="str">
        <f aca="false">IF(LEFT(AL2264,1)="9","Celular",IF(AL2264="","","Fixo"))</f>
        <v/>
      </c>
      <c r="BB2264" s="72" t="str">
        <f aca="false">IF(BA2264&lt;&gt;"",VLOOKUP(BA2264,Selects!$B$4:$C$100,2,0),"")</f>
        <v/>
      </c>
      <c r="BG2264" s="75" t="str">
        <f aca="false">IF(LEN(BF2264)=11,"PF",IF(LEN(BF2264)=14,"PJ",""))</f>
        <v/>
      </c>
      <c r="BH2264" s="66"/>
      <c r="CB2264" s="72" t="str">
        <f aca="false">IF(AC2264&lt;&gt;"",VLOOKUP(AC2264,Selects!$B:$E,4,0),"")</f>
        <v/>
      </c>
    </row>
    <row r="2265" customFormat="false" ht="15" hidden="true" customHeight="false" outlineLevel="0" collapsed="false">
      <c r="E2265" s="60" t="str">
        <f aca="false">IF(LEN(D2265)=11,"PF",IF(LEN(D2265)=14,"PJ",""))</f>
        <v/>
      </c>
      <c r="AM2265" s="68" t="str">
        <f aca="false">IF(LEFT(AL2265,1)="9","Celular",IF(AL2265="","","Fixo"))</f>
        <v/>
      </c>
      <c r="BB2265" s="72" t="str">
        <f aca="false">IF(BA2265&lt;&gt;"",VLOOKUP(BA2265,Selects!$B$4:$C$100,2,0),"")</f>
        <v/>
      </c>
      <c r="BG2265" s="75" t="str">
        <f aca="false">IF(LEN(BF2265)=11,"PF",IF(LEN(BF2265)=14,"PJ",""))</f>
        <v/>
      </c>
      <c r="BH2265" s="66"/>
      <c r="CB2265" s="72" t="str">
        <f aca="false">IF(AC2265&lt;&gt;"",VLOOKUP(AC2265,Selects!$B:$E,4,0),"")</f>
        <v/>
      </c>
    </row>
    <row r="2266" customFormat="false" ht="15" hidden="true" customHeight="false" outlineLevel="0" collapsed="false">
      <c r="E2266" s="60" t="str">
        <f aca="false">IF(LEN(D2266)=11,"PF",IF(LEN(D2266)=14,"PJ",""))</f>
        <v/>
      </c>
      <c r="AM2266" s="68" t="str">
        <f aca="false">IF(LEFT(AL2266,1)="9","Celular",IF(AL2266="","","Fixo"))</f>
        <v/>
      </c>
      <c r="BB2266" s="72" t="str">
        <f aca="false">IF(BA2266&lt;&gt;"",VLOOKUP(BA2266,Selects!$B$4:$C$100,2,0),"")</f>
        <v/>
      </c>
      <c r="BG2266" s="75" t="str">
        <f aca="false">IF(LEN(BF2266)=11,"PF",IF(LEN(BF2266)=14,"PJ",""))</f>
        <v/>
      </c>
      <c r="BH2266" s="66"/>
      <c r="CB2266" s="72" t="str">
        <f aca="false">IF(AC2266&lt;&gt;"",VLOOKUP(AC2266,Selects!$B:$E,4,0),"")</f>
        <v/>
      </c>
    </row>
    <row r="2267" customFormat="false" ht="15" hidden="true" customHeight="false" outlineLevel="0" collapsed="false">
      <c r="E2267" s="60" t="str">
        <f aca="false">IF(LEN(D2267)=11,"PF",IF(LEN(D2267)=14,"PJ",""))</f>
        <v/>
      </c>
      <c r="AM2267" s="68" t="str">
        <f aca="false">IF(LEFT(AL2267,1)="9","Celular",IF(AL2267="","","Fixo"))</f>
        <v/>
      </c>
      <c r="BB2267" s="72" t="str">
        <f aca="false">IF(BA2267&lt;&gt;"",VLOOKUP(BA2267,Selects!$B$4:$C$100,2,0),"")</f>
        <v/>
      </c>
      <c r="BG2267" s="75" t="str">
        <f aca="false">IF(LEN(BF2267)=11,"PF",IF(LEN(BF2267)=14,"PJ",""))</f>
        <v/>
      </c>
      <c r="BH2267" s="66"/>
      <c r="CB2267" s="72" t="str">
        <f aca="false">IF(AC2267&lt;&gt;"",VLOOKUP(AC2267,Selects!$B:$E,4,0),"")</f>
        <v/>
      </c>
    </row>
    <row r="2268" customFormat="false" ht="15" hidden="true" customHeight="false" outlineLevel="0" collapsed="false">
      <c r="E2268" s="60" t="str">
        <f aca="false">IF(LEN(D2268)=11,"PF",IF(LEN(D2268)=14,"PJ",""))</f>
        <v/>
      </c>
      <c r="AM2268" s="68" t="str">
        <f aca="false">IF(LEFT(AL2268,1)="9","Celular",IF(AL2268="","","Fixo"))</f>
        <v/>
      </c>
      <c r="BB2268" s="72" t="str">
        <f aca="false">IF(BA2268&lt;&gt;"",VLOOKUP(BA2268,Selects!$B$4:$C$100,2,0),"")</f>
        <v/>
      </c>
      <c r="BG2268" s="75" t="str">
        <f aca="false">IF(LEN(BF2268)=11,"PF",IF(LEN(BF2268)=14,"PJ",""))</f>
        <v/>
      </c>
      <c r="BH2268" s="66"/>
      <c r="CB2268" s="72" t="str">
        <f aca="false">IF(AC2268&lt;&gt;"",VLOOKUP(AC2268,Selects!$B:$E,4,0),"")</f>
        <v/>
      </c>
    </row>
    <row r="2269" customFormat="false" ht="15" hidden="true" customHeight="false" outlineLevel="0" collapsed="false">
      <c r="E2269" s="60" t="str">
        <f aca="false">IF(LEN(D2269)=11,"PF",IF(LEN(D2269)=14,"PJ",""))</f>
        <v/>
      </c>
      <c r="AM2269" s="68" t="str">
        <f aca="false">IF(LEFT(AL2269,1)="9","Celular",IF(AL2269="","","Fixo"))</f>
        <v/>
      </c>
      <c r="BB2269" s="72" t="str">
        <f aca="false">IF(BA2269&lt;&gt;"",VLOOKUP(BA2269,Selects!$B$4:$C$100,2,0),"")</f>
        <v/>
      </c>
      <c r="BG2269" s="75" t="str">
        <f aca="false">IF(LEN(BF2269)=11,"PF",IF(LEN(BF2269)=14,"PJ",""))</f>
        <v/>
      </c>
      <c r="BH2269" s="66"/>
      <c r="CB2269" s="72" t="str">
        <f aca="false">IF(AC2269&lt;&gt;"",VLOOKUP(AC2269,Selects!$B:$E,4,0),"")</f>
        <v/>
      </c>
    </row>
    <row r="2270" customFormat="false" ht="15" hidden="true" customHeight="false" outlineLevel="0" collapsed="false">
      <c r="E2270" s="60" t="str">
        <f aca="false">IF(LEN(D2270)=11,"PF",IF(LEN(D2270)=14,"PJ",""))</f>
        <v/>
      </c>
      <c r="AM2270" s="68" t="str">
        <f aca="false">IF(LEFT(AL2270,1)="9","Celular",IF(AL2270="","","Fixo"))</f>
        <v/>
      </c>
      <c r="BB2270" s="72" t="str">
        <f aca="false">IF(BA2270&lt;&gt;"",VLOOKUP(BA2270,Selects!$B$4:$C$100,2,0),"")</f>
        <v/>
      </c>
      <c r="BG2270" s="75" t="str">
        <f aca="false">IF(LEN(BF2270)=11,"PF",IF(LEN(BF2270)=14,"PJ",""))</f>
        <v/>
      </c>
      <c r="BH2270" s="66"/>
      <c r="CB2270" s="72" t="str">
        <f aca="false">IF(AC2270&lt;&gt;"",VLOOKUP(AC2270,Selects!$B:$E,4,0),"")</f>
        <v/>
      </c>
    </row>
    <row r="2271" customFormat="false" ht="15" hidden="true" customHeight="false" outlineLevel="0" collapsed="false">
      <c r="E2271" s="60" t="str">
        <f aca="false">IF(LEN(D2271)=11,"PF",IF(LEN(D2271)=14,"PJ",""))</f>
        <v/>
      </c>
      <c r="AM2271" s="68" t="str">
        <f aca="false">IF(LEFT(AL2271,1)="9","Celular",IF(AL2271="","","Fixo"))</f>
        <v/>
      </c>
      <c r="BB2271" s="72" t="str">
        <f aca="false">IF(BA2271&lt;&gt;"",VLOOKUP(BA2271,Selects!$B$4:$C$100,2,0),"")</f>
        <v/>
      </c>
      <c r="BG2271" s="75" t="str">
        <f aca="false">IF(LEN(BF2271)=11,"PF",IF(LEN(BF2271)=14,"PJ",""))</f>
        <v/>
      </c>
      <c r="BH2271" s="66"/>
      <c r="CB2271" s="72" t="str">
        <f aca="false">IF(AC2271&lt;&gt;"",VLOOKUP(AC2271,Selects!$B:$E,4,0),"")</f>
        <v/>
      </c>
    </row>
    <row r="2272" customFormat="false" ht="15" hidden="true" customHeight="false" outlineLevel="0" collapsed="false">
      <c r="E2272" s="60" t="str">
        <f aca="false">IF(LEN(D2272)=11,"PF",IF(LEN(D2272)=14,"PJ",""))</f>
        <v/>
      </c>
      <c r="AM2272" s="68" t="str">
        <f aca="false">IF(LEFT(AL2272,1)="9","Celular",IF(AL2272="","","Fixo"))</f>
        <v/>
      </c>
      <c r="BB2272" s="72" t="str">
        <f aca="false">IF(BA2272&lt;&gt;"",VLOOKUP(BA2272,Selects!$B$4:$C$100,2,0),"")</f>
        <v/>
      </c>
      <c r="BG2272" s="75" t="str">
        <f aca="false">IF(LEN(BF2272)=11,"PF",IF(LEN(BF2272)=14,"PJ",""))</f>
        <v/>
      </c>
      <c r="BH2272" s="66"/>
      <c r="CB2272" s="72" t="str">
        <f aca="false">IF(AC2272&lt;&gt;"",VLOOKUP(AC2272,Selects!$B:$E,4,0),"")</f>
        <v/>
      </c>
    </row>
    <row r="2273" customFormat="false" ht="15" hidden="true" customHeight="false" outlineLevel="0" collapsed="false">
      <c r="E2273" s="60" t="str">
        <f aca="false">IF(LEN(D2273)=11,"PF",IF(LEN(D2273)=14,"PJ",""))</f>
        <v/>
      </c>
      <c r="AM2273" s="68" t="str">
        <f aca="false">IF(LEFT(AL2273,1)="9","Celular",IF(AL2273="","","Fixo"))</f>
        <v/>
      </c>
      <c r="BB2273" s="72" t="str">
        <f aca="false">IF(BA2273&lt;&gt;"",VLOOKUP(BA2273,Selects!$B$4:$C$100,2,0),"")</f>
        <v/>
      </c>
      <c r="BG2273" s="75" t="str">
        <f aca="false">IF(LEN(BF2273)=11,"PF",IF(LEN(BF2273)=14,"PJ",""))</f>
        <v/>
      </c>
      <c r="BH2273" s="66"/>
      <c r="CB2273" s="72" t="str">
        <f aca="false">IF(AC2273&lt;&gt;"",VLOOKUP(AC2273,Selects!$B:$E,4,0),"")</f>
        <v/>
      </c>
    </row>
    <row r="2274" customFormat="false" ht="15" hidden="true" customHeight="false" outlineLevel="0" collapsed="false">
      <c r="E2274" s="60" t="str">
        <f aca="false">IF(LEN(D2274)=11,"PF",IF(LEN(D2274)=14,"PJ",""))</f>
        <v/>
      </c>
      <c r="AM2274" s="68" t="str">
        <f aca="false">IF(LEFT(AL2274,1)="9","Celular",IF(AL2274="","","Fixo"))</f>
        <v/>
      </c>
      <c r="BB2274" s="72" t="str">
        <f aca="false">IF(BA2274&lt;&gt;"",VLOOKUP(BA2274,Selects!$B$4:$C$100,2,0),"")</f>
        <v/>
      </c>
      <c r="BG2274" s="75" t="str">
        <f aca="false">IF(LEN(BF2274)=11,"PF",IF(LEN(BF2274)=14,"PJ",""))</f>
        <v/>
      </c>
      <c r="BH2274" s="66"/>
      <c r="CB2274" s="72" t="str">
        <f aca="false">IF(AC2274&lt;&gt;"",VLOOKUP(AC2274,Selects!$B:$E,4,0),"")</f>
        <v/>
      </c>
    </row>
    <row r="2275" customFormat="false" ht="15" hidden="true" customHeight="false" outlineLevel="0" collapsed="false">
      <c r="E2275" s="60" t="str">
        <f aca="false">IF(LEN(D2275)=11,"PF",IF(LEN(D2275)=14,"PJ",""))</f>
        <v/>
      </c>
      <c r="AM2275" s="68" t="str">
        <f aca="false">IF(LEFT(AL2275,1)="9","Celular",IF(AL2275="","","Fixo"))</f>
        <v/>
      </c>
      <c r="BB2275" s="72" t="str">
        <f aca="false">IF(BA2275&lt;&gt;"",VLOOKUP(BA2275,Selects!$B$4:$C$100,2,0),"")</f>
        <v/>
      </c>
      <c r="BG2275" s="75" t="str">
        <f aca="false">IF(LEN(BF2275)=11,"PF",IF(LEN(BF2275)=14,"PJ",""))</f>
        <v/>
      </c>
      <c r="BH2275" s="66"/>
      <c r="CB2275" s="72" t="str">
        <f aca="false">IF(AC2275&lt;&gt;"",VLOOKUP(AC2275,Selects!$B:$E,4,0),"")</f>
        <v/>
      </c>
    </row>
    <row r="2276" customFormat="false" ht="15" hidden="true" customHeight="false" outlineLevel="0" collapsed="false">
      <c r="E2276" s="60" t="str">
        <f aca="false">IF(LEN(D2276)=11,"PF",IF(LEN(D2276)=14,"PJ",""))</f>
        <v/>
      </c>
      <c r="AM2276" s="68" t="str">
        <f aca="false">IF(LEFT(AL2276,1)="9","Celular",IF(AL2276="","","Fixo"))</f>
        <v/>
      </c>
      <c r="BB2276" s="72" t="str">
        <f aca="false">IF(BA2276&lt;&gt;"",VLOOKUP(BA2276,Selects!$B$4:$C$100,2,0),"")</f>
        <v/>
      </c>
      <c r="BG2276" s="75" t="str">
        <f aca="false">IF(LEN(BF2276)=11,"PF",IF(LEN(BF2276)=14,"PJ",""))</f>
        <v/>
      </c>
      <c r="BH2276" s="66"/>
      <c r="CB2276" s="72" t="str">
        <f aca="false">IF(AC2276&lt;&gt;"",VLOOKUP(AC2276,Selects!$B:$E,4,0),"")</f>
        <v/>
      </c>
    </row>
    <row r="2277" customFormat="false" ht="15" hidden="true" customHeight="false" outlineLevel="0" collapsed="false">
      <c r="E2277" s="60" t="str">
        <f aca="false">IF(LEN(D2277)=11,"PF",IF(LEN(D2277)=14,"PJ",""))</f>
        <v/>
      </c>
      <c r="AM2277" s="68" t="str">
        <f aca="false">IF(LEFT(AL2277,1)="9","Celular",IF(AL2277="","","Fixo"))</f>
        <v/>
      </c>
      <c r="BB2277" s="72" t="str">
        <f aca="false">IF(BA2277&lt;&gt;"",VLOOKUP(BA2277,Selects!$B$4:$C$100,2,0),"")</f>
        <v/>
      </c>
      <c r="BG2277" s="75" t="str">
        <f aca="false">IF(LEN(BF2277)=11,"PF",IF(LEN(BF2277)=14,"PJ",""))</f>
        <v/>
      </c>
      <c r="BH2277" s="66"/>
      <c r="CB2277" s="72" t="str">
        <f aca="false">IF(AC2277&lt;&gt;"",VLOOKUP(AC2277,Selects!$B:$E,4,0),"")</f>
        <v/>
      </c>
    </row>
    <row r="2278" customFormat="false" ht="15" hidden="true" customHeight="false" outlineLevel="0" collapsed="false">
      <c r="E2278" s="60" t="str">
        <f aca="false">IF(LEN(D2278)=11,"PF",IF(LEN(D2278)=14,"PJ",""))</f>
        <v/>
      </c>
      <c r="AM2278" s="68" t="str">
        <f aca="false">IF(LEFT(AL2278,1)="9","Celular",IF(AL2278="","","Fixo"))</f>
        <v/>
      </c>
      <c r="BB2278" s="72" t="str">
        <f aca="false">IF(BA2278&lt;&gt;"",VLOOKUP(BA2278,Selects!$B$4:$C$100,2,0),"")</f>
        <v/>
      </c>
      <c r="BG2278" s="75" t="str">
        <f aca="false">IF(LEN(BF2278)=11,"PF",IF(LEN(BF2278)=14,"PJ",""))</f>
        <v/>
      </c>
      <c r="BH2278" s="66"/>
      <c r="CB2278" s="72" t="str">
        <f aca="false">IF(AC2278&lt;&gt;"",VLOOKUP(AC2278,Selects!$B:$E,4,0),"")</f>
        <v/>
      </c>
    </row>
    <row r="2279" customFormat="false" ht="15" hidden="true" customHeight="false" outlineLevel="0" collapsed="false">
      <c r="E2279" s="60" t="str">
        <f aca="false">IF(LEN(D2279)=11,"PF",IF(LEN(D2279)=14,"PJ",""))</f>
        <v/>
      </c>
      <c r="AM2279" s="68" t="str">
        <f aca="false">IF(LEFT(AL2279,1)="9","Celular",IF(AL2279="","","Fixo"))</f>
        <v/>
      </c>
      <c r="BB2279" s="72" t="str">
        <f aca="false">IF(BA2279&lt;&gt;"",VLOOKUP(BA2279,Selects!$B$4:$C$100,2,0),"")</f>
        <v/>
      </c>
      <c r="BG2279" s="75" t="str">
        <f aca="false">IF(LEN(BF2279)=11,"PF",IF(LEN(BF2279)=14,"PJ",""))</f>
        <v/>
      </c>
      <c r="BH2279" s="66"/>
      <c r="CB2279" s="72" t="str">
        <f aca="false">IF(AC2279&lt;&gt;"",VLOOKUP(AC2279,Selects!$B:$E,4,0),"")</f>
        <v/>
      </c>
    </row>
    <row r="2280" customFormat="false" ht="15" hidden="true" customHeight="false" outlineLevel="0" collapsed="false">
      <c r="E2280" s="60" t="str">
        <f aca="false">IF(LEN(D2280)=11,"PF",IF(LEN(D2280)=14,"PJ",""))</f>
        <v/>
      </c>
      <c r="AM2280" s="68" t="str">
        <f aca="false">IF(LEFT(AL2280,1)="9","Celular",IF(AL2280="","","Fixo"))</f>
        <v/>
      </c>
      <c r="BB2280" s="72" t="str">
        <f aca="false">IF(BA2280&lt;&gt;"",VLOOKUP(BA2280,Selects!$B$4:$C$100,2,0),"")</f>
        <v/>
      </c>
      <c r="BG2280" s="75" t="str">
        <f aca="false">IF(LEN(BF2280)=11,"PF",IF(LEN(BF2280)=14,"PJ",""))</f>
        <v/>
      </c>
      <c r="BH2280" s="66"/>
      <c r="CB2280" s="72" t="str">
        <f aca="false">IF(AC2280&lt;&gt;"",VLOOKUP(AC2280,Selects!$B:$E,4,0),"")</f>
        <v/>
      </c>
    </row>
    <row r="2281" customFormat="false" ht="15" hidden="true" customHeight="false" outlineLevel="0" collapsed="false">
      <c r="E2281" s="60" t="str">
        <f aca="false">IF(LEN(D2281)=11,"PF",IF(LEN(D2281)=14,"PJ",""))</f>
        <v/>
      </c>
      <c r="AM2281" s="68" t="str">
        <f aca="false">IF(LEFT(AL2281,1)="9","Celular",IF(AL2281="","","Fixo"))</f>
        <v/>
      </c>
      <c r="BB2281" s="72" t="str">
        <f aca="false">IF(BA2281&lt;&gt;"",VLOOKUP(BA2281,Selects!$B$4:$C$100,2,0),"")</f>
        <v/>
      </c>
      <c r="BG2281" s="75" t="str">
        <f aca="false">IF(LEN(BF2281)=11,"PF",IF(LEN(BF2281)=14,"PJ",""))</f>
        <v/>
      </c>
      <c r="BH2281" s="66"/>
      <c r="CB2281" s="72" t="str">
        <f aca="false">IF(AC2281&lt;&gt;"",VLOOKUP(AC2281,Selects!$B:$E,4,0),"")</f>
        <v/>
      </c>
    </row>
    <row r="2282" customFormat="false" ht="15" hidden="true" customHeight="false" outlineLevel="0" collapsed="false">
      <c r="E2282" s="60" t="str">
        <f aca="false">IF(LEN(D2282)=11,"PF",IF(LEN(D2282)=14,"PJ",""))</f>
        <v/>
      </c>
      <c r="AM2282" s="68" t="str">
        <f aca="false">IF(LEFT(AL2282,1)="9","Celular",IF(AL2282="","","Fixo"))</f>
        <v/>
      </c>
      <c r="BB2282" s="72" t="str">
        <f aca="false">IF(BA2282&lt;&gt;"",VLOOKUP(BA2282,Selects!$B$4:$C$100,2,0),"")</f>
        <v/>
      </c>
      <c r="BG2282" s="75" t="str">
        <f aca="false">IF(LEN(BF2282)=11,"PF",IF(LEN(BF2282)=14,"PJ",""))</f>
        <v/>
      </c>
      <c r="BH2282" s="66"/>
      <c r="CB2282" s="72" t="str">
        <f aca="false">IF(AC2282&lt;&gt;"",VLOOKUP(AC2282,Selects!$B:$E,4,0),"")</f>
        <v/>
      </c>
    </row>
    <row r="2283" customFormat="false" ht="15" hidden="true" customHeight="false" outlineLevel="0" collapsed="false">
      <c r="E2283" s="60" t="str">
        <f aca="false">IF(LEN(D2283)=11,"PF",IF(LEN(D2283)=14,"PJ",""))</f>
        <v/>
      </c>
      <c r="AM2283" s="68" t="str">
        <f aca="false">IF(LEFT(AL2283,1)="9","Celular",IF(AL2283="","","Fixo"))</f>
        <v/>
      </c>
      <c r="BB2283" s="72" t="str">
        <f aca="false">IF(BA2283&lt;&gt;"",VLOOKUP(BA2283,Selects!$B$4:$C$100,2,0),"")</f>
        <v/>
      </c>
      <c r="BG2283" s="75" t="str">
        <f aca="false">IF(LEN(BF2283)=11,"PF",IF(LEN(BF2283)=14,"PJ",""))</f>
        <v/>
      </c>
      <c r="BH2283" s="66"/>
      <c r="CB2283" s="72" t="str">
        <f aca="false">IF(AC2283&lt;&gt;"",VLOOKUP(AC2283,Selects!$B:$E,4,0),"")</f>
        <v/>
      </c>
    </row>
    <row r="2284" customFormat="false" ht="15" hidden="true" customHeight="false" outlineLevel="0" collapsed="false">
      <c r="E2284" s="60" t="str">
        <f aca="false">IF(LEN(D2284)=11,"PF",IF(LEN(D2284)=14,"PJ",""))</f>
        <v/>
      </c>
      <c r="AM2284" s="68" t="str">
        <f aca="false">IF(LEFT(AL2284,1)="9","Celular",IF(AL2284="","","Fixo"))</f>
        <v/>
      </c>
      <c r="BB2284" s="72" t="str">
        <f aca="false">IF(BA2284&lt;&gt;"",VLOOKUP(BA2284,Selects!$B$4:$C$100,2,0),"")</f>
        <v/>
      </c>
      <c r="BG2284" s="75" t="str">
        <f aca="false">IF(LEN(BF2284)=11,"PF",IF(LEN(BF2284)=14,"PJ",""))</f>
        <v/>
      </c>
      <c r="BH2284" s="66"/>
      <c r="CB2284" s="72" t="str">
        <f aca="false">IF(AC2284&lt;&gt;"",VLOOKUP(AC2284,Selects!$B:$E,4,0),"")</f>
        <v/>
      </c>
    </row>
    <row r="2285" customFormat="false" ht="15" hidden="true" customHeight="false" outlineLevel="0" collapsed="false">
      <c r="E2285" s="60" t="str">
        <f aca="false">IF(LEN(D2285)=11,"PF",IF(LEN(D2285)=14,"PJ",""))</f>
        <v/>
      </c>
      <c r="AM2285" s="68" t="str">
        <f aca="false">IF(LEFT(AL2285,1)="9","Celular",IF(AL2285="","","Fixo"))</f>
        <v/>
      </c>
      <c r="BB2285" s="72" t="str">
        <f aca="false">IF(BA2285&lt;&gt;"",VLOOKUP(BA2285,Selects!$B$4:$C$100,2,0),"")</f>
        <v/>
      </c>
      <c r="BG2285" s="75" t="str">
        <f aca="false">IF(LEN(BF2285)=11,"PF",IF(LEN(BF2285)=14,"PJ",""))</f>
        <v/>
      </c>
      <c r="BH2285" s="66"/>
      <c r="CB2285" s="72" t="str">
        <f aca="false">IF(AC2285&lt;&gt;"",VLOOKUP(AC2285,Selects!$B:$E,4,0),"")</f>
        <v/>
      </c>
    </row>
    <row r="2286" customFormat="false" ht="15" hidden="true" customHeight="false" outlineLevel="0" collapsed="false">
      <c r="E2286" s="60" t="str">
        <f aca="false">IF(LEN(D2286)=11,"PF",IF(LEN(D2286)=14,"PJ",""))</f>
        <v/>
      </c>
      <c r="AM2286" s="68" t="str">
        <f aca="false">IF(LEFT(AL2286,1)="9","Celular",IF(AL2286="","","Fixo"))</f>
        <v/>
      </c>
      <c r="BB2286" s="72" t="str">
        <f aca="false">IF(BA2286&lt;&gt;"",VLOOKUP(BA2286,Selects!$B$4:$C$100,2,0),"")</f>
        <v/>
      </c>
      <c r="BG2286" s="75" t="str">
        <f aca="false">IF(LEN(BF2286)=11,"PF",IF(LEN(BF2286)=14,"PJ",""))</f>
        <v/>
      </c>
      <c r="BH2286" s="66"/>
      <c r="CB2286" s="72" t="str">
        <f aca="false">IF(AC2286&lt;&gt;"",VLOOKUP(AC2286,Selects!$B:$E,4,0),"")</f>
        <v/>
      </c>
    </row>
    <row r="2287" customFormat="false" ht="15" hidden="true" customHeight="false" outlineLevel="0" collapsed="false">
      <c r="E2287" s="60" t="str">
        <f aca="false">IF(LEN(D2287)=11,"PF",IF(LEN(D2287)=14,"PJ",""))</f>
        <v/>
      </c>
      <c r="AM2287" s="68" t="str">
        <f aca="false">IF(LEFT(AL2287,1)="9","Celular",IF(AL2287="","","Fixo"))</f>
        <v/>
      </c>
      <c r="BB2287" s="72" t="str">
        <f aca="false">IF(BA2287&lt;&gt;"",VLOOKUP(BA2287,Selects!$B$4:$C$100,2,0),"")</f>
        <v/>
      </c>
      <c r="BG2287" s="75" t="str">
        <f aca="false">IF(LEN(BF2287)=11,"PF",IF(LEN(BF2287)=14,"PJ",""))</f>
        <v/>
      </c>
      <c r="BH2287" s="66"/>
      <c r="CB2287" s="72" t="str">
        <f aca="false">IF(AC2287&lt;&gt;"",VLOOKUP(AC2287,Selects!$B:$E,4,0),"")</f>
        <v/>
      </c>
    </row>
    <row r="2288" customFormat="false" ht="15" hidden="true" customHeight="false" outlineLevel="0" collapsed="false">
      <c r="E2288" s="60" t="str">
        <f aca="false">IF(LEN(D2288)=11,"PF",IF(LEN(D2288)=14,"PJ",""))</f>
        <v/>
      </c>
      <c r="AM2288" s="68" t="str">
        <f aca="false">IF(LEFT(AL2288,1)="9","Celular",IF(AL2288="","","Fixo"))</f>
        <v/>
      </c>
      <c r="BB2288" s="72" t="str">
        <f aca="false">IF(BA2288&lt;&gt;"",VLOOKUP(BA2288,Selects!$B$4:$C$100,2,0),"")</f>
        <v/>
      </c>
      <c r="BG2288" s="75" t="str">
        <f aca="false">IF(LEN(BF2288)=11,"PF",IF(LEN(BF2288)=14,"PJ",""))</f>
        <v/>
      </c>
      <c r="BH2288" s="66"/>
      <c r="CB2288" s="72" t="str">
        <f aca="false">IF(AC2288&lt;&gt;"",VLOOKUP(AC2288,Selects!$B:$E,4,0),"")</f>
        <v/>
      </c>
    </row>
    <row r="2289" customFormat="false" ht="15" hidden="true" customHeight="false" outlineLevel="0" collapsed="false">
      <c r="E2289" s="60" t="str">
        <f aca="false">IF(LEN(D2289)=11,"PF",IF(LEN(D2289)=14,"PJ",""))</f>
        <v/>
      </c>
      <c r="AM2289" s="68" t="str">
        <f aca="false">IF(LEFT(AL2289,1)="9","Celular",IF(AL2289="","","Fixo"))</f>
        <v/>
      </c>
      <c r="BB2289" s="72" t="str">
        <f aca="false">IF(BA2289&lt;&gt;"",VLOOKUP(BA2289,Selects!$B$4:$C$100,2,0),"")</f>
        <v/>
      </c>
      <c r="BG2289" s="75" t="str">
        <f aca="false">IF(LEN(BF2289)=11,"PF",IF(LEN(BF2289)=14,"PJ",""))</f>
        <v/>
      </c>
      <c r="BH2289" s="66"/>
      <c r="CB2289" s="72" t="str">
        <f aca="false">IF(AC2289&lt;&gt;"",VLOOKUP(AC2289,Selects!$B:$E,4,0),"")</f>
        <v/>
      </c>
    </row>
    <row r="2290" customFormat="false" ht="15" hidden="true" customHeight="false" outlineLevel="0" collapsed="false">
      <c r="E2290" s="60" t="str">
        <f aca="false">IF(LEN(D2290)=11,"PF",IF(LEN(D2290)=14,"PJ",""))</f>
        <v/>
      </c>
      <c r="AM2290" s="68" t="str">
        <f aca="false">IF(LEFT(AL2290,1)="9","Celular",IF(AL2290="","","Fixo"))</f>
        <v/>
      </c>
      <c r="BB2290" s="72" t="str">
        <f aca="false">IF(BA2290&lt;&gt;"",VLOOKUP(BA2290,Selects!$B$4:$C$100,2,0),"")</f>
        <v/>
      </c>
      <c r="BG2290" s="75" t="str">
        <f aca="false">IF(LEN(BF2290)=11,"PF",IF(LEN(BF2290)=14,"PJ",""))</f>
        <v/>
      </c>
      <c r="BH2290" s="66"/>
      <c r="CB2290" s="72" t="str">
        <f aca="false">IF(AC2290&lt;&gt;"",VLOOKUP(AC2290,Selects!$B:$E,4,0),"")</f>
        <v/>
      </c>
    </row>
    <row r="2291" customFormat="false" ht="15" hidden="true" customHeight="false" outlineLevel="0" collapsed="false">
      <c r="E2291" s="60" t="str">
        <f aca="false">IF(LEN(D2291)=11,"PF",IF(LEN(D2291)=14,"PJ",""))</f>
        <v/>
      </c>
      <c r="AM2291" s="68" t="str">
        <f aca="false">IF(LEFT(AL2291,1)="9","Celular",IF(AL2291="","","Fixo"))</f>
        <v/>
      </c>
      <c r="BB2291" s="72" t="str">
        <f aca="false">IF(BA2291&lt;&gt;"",VLOOKUP(BA2291,Selects!$B$4:$C$100,2,0),"")</f>
        <v/>
      </c>
      <c r="BG2291" s="75" t="str">
        <f aca="false">IF(LEN(BF2291)=11,"PF",IF(LEN(BF2291)=14,"PJ",""))</f>
        <v/>
      </c>
      <c r="BH2291" s="66"/>
      <c r="CB2291" s="72" t="str">
        <f aca="false">IF(AC2291&lt;&gt;"",VLOOKUP(AC2291,Selects!$B:$E,4,0),"")</f>
        <v/>
      </c>
    </row>
    <row r="2292" customFormat="false" ht="15" hidden="true" customHeight="false" outlineLevel="0" collapsed="false">
      <c r="E2292" s="60" t="str">
        <f aca="false">IF(LEN(D2292)=11,"PF",IF(LEN(D2292)=14,"PJ",""))</f>
        <v/>
      </c>
      <c r="AM2292" s="68" t="str">
        <f aca="false">IF(LEFT(AL2292,1)="9","Celular",IF(AL2292="","","Fixo"))</f>
        <v/>
      </c>
      <c r="BB2292" s="72" t="str">
        <f aca="false">IF(BA2292&lt;&gt;"",VLOOKUP(BA2292,Selects!$B$4:$C$100,2,0),"")</f>
        <v/>
      </c>
      <c r="BG2292" s="75" t="str">
        <f aca="false">IF(LEN(BF2292)=11,"PF",IF(LEN(BF2292)=14,"PJ",""))</f>
        <v/>
      </c>
      <c r="BH2292" s="66"/>
      <c r="CB2292" s="72" t="str">
        <f aca="false">IF(AC2292&lt;&gt;"",VLOOKUP(AC2292,Selects!$B:$E,4,0),"")</f>
        <v/>
      </c>
    </row>
    <row r="2293" customFormat="false" ht="15" hidden="true" customHeight="false" outlineLevel="0" collapsed="false">
      <c r="E2293" s="60" t="str">
        <f aca="false">IF(LEN(D2293)=11,"PF",IF(LEN(D2293)=14,"PJ",""))</f>
        <v/>
      </c>
      <c r="AM2293" s="68" t="str">
        <f aca="false">IF(LEFT(AL2293,1)="9","Celular",IF(AL2293="","","Fixo"))</f>
        <v/>
      </c>
      <c r="BB2293" s="72" t="str">
        <f aca="false">IF(BA2293&lt;&gt;"",VLOOKUP(BA2293,Selects!$B$4:$C$100,2,0),"")</f>
        <v/>
      </c>
      <c r="BG2293" s="75" t="str">
        <f aca="false">IF(LEN(BF2293)=11,"PF",IF(LEN(BF2293)=14,"PJ",""))</f>
        <v/>
      </c>
      <c r="BH2293" s="66"/>
      <c r="CB2293" s="72" t="str">
        <f aca="false">IF(AC2293&lt;&gt;"",VLOOKUP(AC2293,Selects!$B:$E,4,0),"")</f>
        <v/>
      </c>
    </row>
    <row r="2294" customFormat="false" ht="15" hidden="true" customHeight="false" outlineLevel="0" collapsed="false">
      <c r="E2294" s="60" t="str">
        <f aca="false">IF(LEN(D2294)=11,"PF",IF(LEN(D2294)=14,"PJ",""))</f>
        <v/>
      </c>
      <c r="AM2294" s="68" t="str">
        <f aca="false">IF(LEFT(AL2294,1)="9","Celular",IF(AL2294="","","Fixo"))</f>
        <v/>
      </c>
      <c r="BB2294" s="72" t="str">
        <f aca="false">IF(BA2294&lt;&gt;"",VLOOKUP(BA2294,Selects!$B$4:$C$100,2,0),"")</f>
        <v/>
      </c>
      <c r="BG2294" s="75" t="str">
        <f aca="false">IF(LEN(BF2294)=11,"PF",IF(LEN(BF2294)=14,"PJ",""))</f>
        <v/>
      </c>
      <c r="BH2294" s="66"/>
      <c r="CB2294" s="72" t="str">
        <f aca="false">IF(AC2294&lt;&gt;"",VLOOKUP(AC2294,Selects!$B:$E,4,0),"")</f>
        <v/>
      </c>
    </row>
    <row r="2295" customFormat="false" ht="15" hidden="true" customHeight="false" outlineLevel="0" collapsed="false">
      <c r="E2295" s="60" t="str">
        <f aca="false">IF(LEN(D2295)=11,"PF",IF(LEN(D2295)=14,"PJ",""))</f>
        <v/>
      </c>
      <c r="AM2295" s="68" t="str">
        <f aca="false">IF(LEFT(AL2295,1)="9","Celular",IF(AL2295="","","Fixo"))</f>
        <v/>
      </c>
      <c r="BB2295" s="72" t="str">
        <f aca="false">IF(BA2295&lt;&gt;"",VLOOKUP(BA2295,Selects!$B$4:$C$100,2,0),"")</f>
        <v/>
      </c>
      <c r="BG2295" s="75" t="str">
        <f aca="false">IF(LEN(BF2295)=11,"PF",IF(LEN(BF2295)=14,"PJ",""))</f>
        <v/>
      </c>
      <c r="BH2295" s="66"/>
      <c r="CB2295" s="72" t="str">
        <f aca="false">IF(AC2295&lt;&gt;"",VLOOKUP(AC2295,Selects!$B:$E,4,0),"")</f>
        <v/>
      </c>
    </row>
    <row r="2296" customFormat="false" ht="15" hidden="true" customHeight="false" outlineLevel="0" collapsed="false">
      <c r="E2296" s="60" t="str">
        <f aca="false">IF(LEN(D2296)=11,"PF",IF(LEN(D2296)=14,"PJ",""))</f>
        <v/>
      </c>
      <c r="AM2296" s="68" t="str">
        <f aca="false">IF(LEFT(AL2296,1)="9","Celular",IF(AL2296="","","Fixo"))</f>
        <v/>
      </c>
      <c r="BB2296" s="72" t="str">
        <f aca="false">IF(BA2296&lt;&gt;"",VLOOKUP(BA2296,Selects!$B$4:$C$100,2,0),"")</f>
        <v/>
      </c>
      <c r="BG2296" s="75" t="str">
        <f aca="false">IF(LEN(BF2296)=11,"PF",IF(LEN(BF2296)=14,"PJ",""))</f>
        <v/>
      </c>
      <c r="BH2296" s="66"/>
      <c r="CB2296" s="72" t="str">
        <f aca="false">IF(AC2296&lt;&gt;"",VLOOKUP(AC2296,Selects!$B:$E,4,0),"")</f>
        <v/>
      </c>
    </row>
    <row r="2297" customFormat="false" ht="15" hidden="true" customHeight="false" outlineLevel="0" collapsed="false">
      <c r="E2297" s="60" t="str">
        <f aca="false">IF(LEN(D2297)=11,"PF",IF(LEN(D2297)=14,"PJ",""))</f>
        <v/>
      </c>
      <c r="AM2297" s="68" t="str">
        <f aca="false">IF(LEFT(AL2297,1)="9","Celular",IF(AL2297="","","Fixo"))</f>
        <v/>
      </c>
      <c r="BB2297" s="72" t="str">
        <f aca="false">IF(BA2297&lt;&gt;"",VLOOKUP(BA2297,Selects!$B$4:$C$100,2,0),"")</f>
        <v/>
      </c>
      <c r="BG2297" s="75" t="str">
        <f aca="false">IF(LEN(BF2297)=11,"PF",IF(LEN(BF2297)=14,"PJ",""))</f>
        <v/>
      </c>
      <c r="BH2297" s="66"/>
      <c r="CB2297" s="72" t="str">
        <f aca="false">IF(AC2297&lt;&gt;"",VLOOKUP(AC2297,Selects!$B:$E,4,0),"")</f>
        <v/>
      </c>
    </row>
    <row r="2298" customFormat="false" ht="15" hidden="true" customHeight="false" outlineLevel="0" collapsed="false">
      <c r="E2298" s="60" t="str">
        <f aca="false">IF(LEN(D2298)=11,"PF",IF(LEN(D2298)=14,"PJ",""))</f>
        <v/>
      </c>
      <c r="AM2298" s="68" t="str">
        <f aca="false">IF(LEFT(AL2298,1)="9","Celular",IF(AL2298="","","Fixo"))</f>
        <v/>
      </c>
      <c r="BB2298" s="72" t="str">
        <f aca="false">IF(BA2298&lt;&gt;"",VLOOKUP(BA2298,Selects!$B$4:$C$100,2,0),"")</f>
        <v/>
      </c>
      <c r="BG2298" s="75" t="str">
        <f aca="false">IF(LEN(BF2298)=11,"PF",IF(LEN(BF2298)=14,"PJ",""))</f>
        <v/>
      </c>
      <c r="BH2298" s="66"/>
      <c r="CB2298" s="72" t="str">
        <f aca="false">IF(AC2298&lt;&gt;"",VLOOKUP(AC2298,Selects!$B:$E,4,0),"")</f>
        <v/>
      </c>
    </row>
    <row r="2299" customFormat="false" ht="15" hidden="true" customHeight="false" outlineLevel="0" collapsed="false">
      <c r="E2299" s="60" t="str">
        <f aca="false">IF(LEN(D2299)=11,"PF",IF(LEN(D2299)=14,"PJ",""))</f>
        <v/>
      </c>
      <c r="AM2299" s="68" t="str">
        <f aca="false">IF(LEFT(AL2299,1)="9","Celular",IF(AL2299="","","Fixo"))</f>
        <v/>
      </c>
      <c r="BB2299" s="72" t="str">
        <f aca="false">IF(BA2299&lt;&gt;"",VLOOKUP(BA2299,Selects!$B$4:$C$100,2,0),"")</f>
        <v/>
      </c>
      <c r="BG2299" s="75" t="str">
        <f aca="false">IF(LEN(BF2299)=11,"PF",IF(LEN(BF2299)=14,"PJ",""))</f>
        <v/>
      </c>
      <c r="BH2299" s="66"/>
      <c r="CB2299" s="72" t="str">
        <f aca="false">IF(AC2299&lt;&gt;"",VLOOKUP(AC2299,Selects!$B:$E,4,0),"")</f>
        <v/>
      </c>
    </row>
    <row r="2300" customFormat="false" ht="15" hidden="true" customHeight="false" outlineLevel="0" collapsed="false">
      <c r="E2300" s="60" t="str">
        <f aca="false">IF(LEN(D2300)=11,"PF",IF(LEN(D2300)=14,"PJ",""))</f>
        <v/>
      </c>
      <c r="AM2300" s="68" t="str">
        <f aca="false">IF(LEFT(AL2300,1)="9","Celular",IF(AL2300="","","Fixo"))</f>
        <v/>
      </c>
      <c r="BB2300" s="72" t="str">
        <f aca="false">IF(BA2300&lt;&gt;"",VLOOKUP(BA2300,Selects!$B$4:$C$100,2,0),"")</f>
        <v/>
      </c>
      <c r="BG2300" s="75" t="str">
        <f aca="false">IF(LEN(BF2300)=11,"PF",IF(LEN(BF2300)=14,"PJ",""))</f>
        <v/>
      </c>
      <c r="BH2300" s="66"/>
      <c r="CB2300" s="72" t="str">
        <f aca="false">IF(AC2300&lt;&gt;"",VLOOKUP(AC2300,Selects!$B:$E,4,0),"")</f>
        <v/>
      </c>
    </row>
    <row r="2301" customFormat="false" ht="15" hidden="true" customHeight="false" outlineLevel="0" collapsed="false">
      <c r="E2301" s="60" t="str">
        <f aca="false">IF(LEN(D2301)=11,"PF",IF(LEN(D2301)=14,"PJ",""))</f>
        <v/>
      </c>
      <c r="AM2301" s="68" t="str">
        <f aca="false">IF(LEFT(AL2301,1)="9","Celular",IF(AL2301="","","Fixo"))</f>
        <v/>
      </c>
      <c r="BB2301" s="72" t="str">
        <f aca="false">IF(BA2301&lt;&gt;"",VLOOKUP(BA2301,Selects!$B$4:$C$100,2,0),"")</f>
        <v/>
      </c>
      <c r="BG2301" s="75" t="str">
        <f aca="false">IF(LEN(BF2301)=11,"PF",IF(LEN(BF2301)=14,"PJ",""))</f>
        <v/>
      </c>
      <c r="BH2301" s="66"/>
      <c r="CB2301" s="72" t="str">
        <f aca="false">IF(AC2301&lt;&gt;"",VLOOKUP(AC2301,Selects!$B:$E,4,0),"")</f>
        <v/>
      </c>
    </row>
    <row r="2302" customFormat="false" ht="15" hidden="true" customHeight="false" outlineLevel="0" collapsed="false">
      <c r="E2302" s="60" t="str">
        <f aca="false">IF(LEN(D2302)=11,"PF",IF(LEN(D2302)=14,"PJ",""))</f>
        <v/>
      </c>
      <c r="AM2302" s="68" t="str">
        <f aca="false">IF(LEFT(AL2302,1)="9","Celular",IF(AL2302="","","Fixo"))</f>
        <v/>
      </c>
      <c r="BB2302" s="72" t="str">
        <f aca="false">IF(BA2302&lt;&gt;"",VLOOKUP(BA2302,Selects!$B$4:$C$100,2,0),"")</f>
        <v/>
      </c>
      <c r="BG2302" s="75" t="str">
        <f aca="false">IF(LEN(BF2302)=11,"PF",IF(LEN(BF2302)=14,"PJ",""))</f>
        <v/>
      </c>
      <c r="BH2302" s="66"/>
      <c r="CB2302" s="72" t="str">
        <f aca="false">IF(AC2302&lt;&gt;"",VLOOKUP(AC2302,Selects!$B:$E,4,0),"")</f>
        <v/>
      </c>
    </row>
    <row r="2303" customFormat="false" ht="15" hidden="true" customHeight="false" outlineLevel="0" collapsed="false">
      <c r="E2303" s="60" t="str">
        <f aca="false">IF(LEN(D2303)=11,"PF",IF(LEN(D2303)=14,"PJ",""))</f>
        <v/>
      </c>
      <c r="AM2303" s="68" t="str">
        <f aca="false">IF(LEFT(AL2303,1)="9","Celular",IF(AL2303="","","Fixo"))</f>
        <v/>
      </c>
      <c r="BB2303" s="72" t="str">
        <f aca="false">IF(BA2303&lt;&gt;"",VLOOKUP(BA2303,Selects!$B$4:$C$100,2,0),"")</f>
        <v/>
      </c>
      <c r="BG2303" s="75" t="str">
        <f aca="false">IF(LEN(BF2303)=11,"PF",IF(LEN(BF2303)=14,"PJ",""))</f>
        <v/>
      </c>
      <c r="BH2303" s="66"/>
      <c r="CB2303" s="72" t="str">
        <f aca="false">IF(AC2303&lt;&gt;"",VLOOKUP(AC2303,Selects!$B:$E,4,0),"")</f>
        <v/>
      </c>
    </row>
    <row r="2304" customFormat="false" ht="15" hidden="true" customHeight="false" outlineLevel="0" collapsed="false">
      <c r="E2304" s="60" t="str">
        <f aca="false">IF(LEN(D2304)=11,"PF",IF(LEN(D2304)=14,"PJ",""))</f>
        <v/>
      </c>
      <c r="AM2304" s="68" t="str">
        <f aca="false">IF(LEFT(AL2304,1)="9","Celular",IF(AL2304="","","Fixo"))</f>
        <v/>
      </c>
      <c r="BB2304" s="72" t="str">
        <f aca="false">IF(BA2304&lt;&gt;"",VLOOKUP(BA2304,Selects!$B$4:$C$100,2,0),"")</f>
        <v/>
      </c>
      <c r="BG2304" s="75" t="str">
        <f aca="false">IF(LEN(BF2304)=11,"PF",IF(LEN(BF2304)=14,"PJ",""))</f>
        <v/>
      </c>
      <c r="BH2304" s="66"/>
      <c r="CB2304" s="72" t="str">
        <f aca="false">IF(AC2304&lt;&gt;"",VLOOKUP(AC2304,Selects!$B:$E,4,0),"")</f>
        <v/>
      </c>
    </row>
    <row r="2305" customFormat="false" ht="15" hidden="true" customHeight="false" outlineLevel="0" collapsed="false">
      <c r="E2305" s="60" t="str">
        <f aca="false">IF(LEN(D2305)=11,"PF",IF(LEN(D2305)=14,"PJ",""))</f>
        <v/>
      </c>
      <c r="AM2305" s="68" t="str">
        <f aca="false">IF(LEFT(AL2305,1)="9","Celular",IF(AL2305="","","Fixo"))</f>
        <v/>
      </c>
      <c r="BB2305" s="72" t="str">
        <f aca="false">IF(BA2305&lt;&gt;"",VLOOKUP(BA2305,Selects!$B$4:$C$100,2,0),"")</f>
        <v/>
      </c>
      <c r="BG2305" s="75" t="str">
        <f aca="false">IF(LEN(BF2305)=11,"PF",IF(LEN(BF2305)=14,"PJ",""))</f>
        <v/>
      </c>
      <c r="BH2305" s="66"/>
      <c r="CB2305" s="72" t="str">
        <f aca="false">IF(AC2305&lt;&gt;"",VLOOKUP(AC2305,Selects!$B:$E,4,0),"")</f>
        <v/>
      </c>
    </row>
    <row r="2306" customFormat="false" ht="15" hidden="true" customHeight="false" outlineLevel="0" collapsed="false">
      <c r="E2306" s="60" t="str">
        <f aca="false">IF(LEN(D2306)=11,"PF",IF(LEN(D2306)=14,"PJ",""))</f>
        <v/>
      </c>
      <c r="AM2306" s="68" t="str">
        <f aca="false">IF(LEFT(AL2306,1)="9","Celular",IF(AL2306="","","Fixo"))</f>
        <v/>
      </c>
      <c r="BB2306" s="72" t="str">
        <f aca="false">IF(BA2306&lt;&gt;"",VLOOKUP(BA2306,Selects!$B$4:$C$100,2,0),"")</f>
        <v/>
      </c>
      <c r="BG2306" s="75" t="str">
        <f aca="false">IF(LEN(BF2306)=11,"PF",IF(LEN(BF2306)=14,"PJ",""))</f>
        <v/>
      </c>
      <c r="BH2306" s="66"/>
      <c r="CB2306" s="72" t="str">
        <f aca="false">IF(AC2306&lt;&gt;"",VLOOKUP(AC2306,Selects!$B:$E,4,0),"")</f>
        <v/>
      </c>
    </row>
    <row r="2307" customFormat="false" ht="15" hidden="true" customHeight="false" outlineLevel="0" collapsed="false">
      <c r="E2307" s="60" t="str">
        <f aca="false">IF(LEN(D2307)=11,"PF",IF(LEN(D2307)=14,"PJ",""))</f>
        <v/>
      </c>
      <c r="AM2307" s="68" t="str">
        <f aca="false">IF(LEFT(AL2307,1)="9","Celular",IF(AL2307="","","Fixo"))</f>
        <v/>
      </c>
      <c r="BB2307" s="72" t="str">
        <f aca="false">IF(BA2307&lt;&gt;"",VLOOKUP(BA2307,Selects!$B$4:$C$100,2,0),"")</f>
        <v/>
      </c>
      <c r="BG2307" s="75" t="str">
        <f aca="false">IF(LEN(BF2307)=11,"PF",IF(LEN(BF2307)=14,"PJ",""))</f>
        <v/>
      </c>
      <c r="BH2307" s="66"/>
      <c r="CB2307" s="72" t="str">
        <f aca="false">IF(AC2307&lt;&gt;"",VLOOKUP(AC2307,Selects!$B:$E,4,0),"")</f>
        <v/>
      </c>
    </row>
    <row r="2308" customFormat="false" ht="15" hidden="true" customHeight="false" outlineLevel="0" collapsed="false">
      <c r="E2308" s="60" t="str">
        <f aca="false">IF(LEN(D2308)=11,"PF",IF(LEN(D2308)=14,"PJ",""))</f>
        <v/>
      </c>
      <c r="AM2308" s="68" t="str">
        <f aca="false">IF(LEFT(AL2308,1)="9","Celular",IF(AL2308="","","Fixo"))</f>
        <v/>
      </c>
      <c r="BB2308" s="72" t="str">
        <f aca="false">IF(BA2308&lt;&gt;"",VLOOKUP(BA2308,Selects!$B$4:$C$100,2,0),"")</f>
        <v/>
      </c>
      <c r="BG2308" s="75" t="str">
        <f aca="false">IF(LEN(BF2308)=11,"PF",IF(LEN(BF2308)=14,"PJ",""))</f>
        <v/>
      </c>
      <c r="BH2308" s="66"/>
      <c r="CB2308" s="72" t="str">
        <f aca="false">IF(AC2308&lt;&gt;"",VLOOKUP(AC2308,Selects!$B:$E,4,0),"")</f>
        <v/>
      </c>
    </row>
    <row r="2309" customFormat="false" ht="15" hidden="true" customHeight="false" outlineLevel="0" collapsed="false">
      <c r="E2309" s="60" t="str">
        <f aca="false">IF(LEN(D2309)=11,"PF",IF(LEN(D2309)=14,"PJ",""))</f>
        <v/>
      </c>
      <c r="AM2309" s="68" t="str">
        <f aca="false">IF(LEFT(AL2309,1)="9","Celular",IF(AL2309="","","Fixo"))</f>
        <v/>
      </c>
      <c r="BB2309" s="72" t="str">
        <f aca="false">IF(BA2309&lt;&gt;"",VLOOKUP(BA2309,Selects!$B$4:$C$100,2,0),"")</f>
        <v/>
      </c>
      <c r="BG2309" s="75" t="str">
        <f aca="false">IF(LEN(BF2309)=11,"PF",IF(LEN(BF2309)=14,"PJ",""))</f>
        <v/>
      </c>
      <c r="BH2309" s="66"/>
      <c r="CB2309" s="72" t="str">
        <f aca="false">IF(AC2309&lt;&gt;"",VLOOKUP(AC2309,Selects!$B:$E,4,0),"")</f>
        <v/>
      </c>
    </row>
    <row r="2310" customFormat="false" ht="15" hidden="true" customHeight="false" outlineLevel="0" collapsed="false">
      <c r="E2310" s="60" t="str">
        <f aca="false">IF(LEN(D2310)=11,"PF",IF(LEN(D2310)=14,"PJ",""))</f>
        <v/>
      </c>
      <c r="AM2310" s="68" t="str">
        <f aca="false">IF(LEFT(AL2310,1)="9","Celular",IF(AL2310="","","Fixo"))</f>
        <v/>
      </c>
      <c r="BB2310" s="72" t="str">
        <f aca="false">IF(BA2310&lt;&gt;"",VLOOKUP(BA2310,Selects!$B$4:$C$100,2,0),"")</f>
        <v/>
      </c>
      <c r="BG2310" s="75" t="str">
        <f aca="false">IF(LEN(BF2310)=11,"PF",IF(LEN(BF2310)=14,"PJ",""))</f>
        <v/>
      </c>
      <c r="BH2310" s="66"/>
      <c r="CB2310" s="72" t="str">
        <f aca="false">IF(AC2310&lt;&gt;"",VLOOKUP(AC2310,Selects!$B:$E,4,0),"")</f>
        <v/>
      </c>
    </row>
    <row r="2311" customFormat="false" ht="15" hidden="true" customHeight="false" outlineLevel="0" collapsed="false">
      <c r="E2311" s="60" t="str">
        <f aca="false">IF(LEN(D2311)=11,"PF",IF(LEN(D2311)=14,"PJ",""))</f>
        <v/>
      </c>
      <c r="AM2311" s="68" t="str">
        <f aca="false">IF(LEFT(AL2311,1)="9","Celular",IF(AL2311="","","Fixo"))</f>
        <v/>
      </c>
      <c r="BB2311" s="72" t="str">
        <f aca="false">IF(BA2311&lt;&gt;"",VLOOKUP(BA2311,Selects!$B$4:$C$100,2,0),"")</f>
        <v/>
      </c>
      <c r="BG2311" s="75" t="str">
        <f aca="false">IF(LEN(BF2311)=11,"PF",IF(LEN(BF2311)=14,"PJ",""))</f>
        <v/>
      </c>
      <c r="BH2311" s="66"/>
      <c r="CB2311" s="72" t="str">
        <f aca="false">IF(AC2311&lt;&gt;"",VLOOKUP(AC2311,Selects!$B:$E,4,0),"")</f>
        <v/>
      </c>
    </row>
    <row r="2312" customFormat="false" ht="15" hidden="true" customHeight="false" outlineLevel="0" collapsed="false">
      <c r="E2312" s="60" t="str">
        <f aca="false">IF(LEN(D2312)=11,"PF",IF(LEN(D2312)=14,"PJ",""))</f>
        <v/>
      </c>
      <c r="AM2312" s="68" t="str">
        <f aca="false">IF(LEFT(AL2312,1)="9","Celular",IF(AL2312="","","Fixo"))</f>
        <v/>
      </c>
      <c r="BB2312" s="72" t="str">
        <f aca="false">IF(BA2312&lt;&gt;"",VLOOKUP(BA2312,Selects!$B$4:$C$100,2,0),"")</f>
        <v/>
      </c>
      <c r="BG2312" s="75" t="str">
        <f aca="false">IF(LEN(BF2312)=11,"PF",IF(LEN(BF2312)=14,"PJ",""))</f>
        <v/>
      </c>
      <c r="BH2312" s="66"/>
      <c r="CB2312" s="72" t="str">
        <f aca="false">IF(AC2312&lt;&gt;"",VLOOKUP(AC2312,Selects!$B:$E,4,0),"")</f>
        <v/>
      </c>
    </row>
    <row r="2313" customFormat="false" ht="15" hidden="true" customHeight="false" outlineLevel="0" collapsed="false">
      <c r="E2313" s="60" t="str">
        <f aca="false">IF(LEN(D2313)=11,"PF",IF(LEN(D2313)=14,"PJ",""))</f>
        <v/>
      </c>
      <c r="AM2313" s="68" t="str">
        <f aca="false">IF(LEFT(AL2313,1)="9","Celular",IF(AL2313="","","Fixo"))</f>
        <v/>
      </c>
      <c r="BB2313" s="72" t="str">
        <f aca="false">IF(BA2313&lt;&gt;"",VLOOKUP(BA2313,Selects!$B$4:$C$100,2,0),"")</f>
        <v/>
      </c>
      <c r="BG2313" s="75" t="str">
        <f aca="false">IF(LEN(BF2313)=11,"PF",IF(LEN(BF2313)=14,"PJ",""))</f>
        <v/>
      </c>
      <c r="BH2313" s="66"/>
      <c r="CB2313" s="72" t="str">
        <f aca="false">IF(AC2313&lt;&gt;"",VLOOKUP(AC2313,Selects!$B:$E,4,0),"")</f>
        <v/>
      </c>
    </row>
    <row r="2314" customFormat="false" ht="15" hidden="true" customHeight="false" outlineLevel="0" collapsed="false">
      <c r="E2314" s="60" t="str">
        <f aca="false">IF(LEN(D2314)=11,"PF",IF(LEN(D2314)=14,"PJ",""))</f>
        <v/>
      </c>
      <c r="AM2314" s="68" t="str">
        <f aca="false">IF(LEFT(AL2314,1)="9","Celular",IF(AL2314="","","Fixo"))</f>
        <v/>
      </c>
      <c r="BB2314" s="72" t="str">
        <f aca="false">IF(BA2314&lt;&gt;"",VLOOKUP(BA2314,Selects!$B$4:$C$100,2,0),"")</f>
        <v/>
      </c>
      <c r="BG2314" s="75" t="str">
        <f aca="false">IF(LEN(BF2314)=11,"PF",IF(LEN(BF2314)=14,"PJ",""))</f>
        <v/>
      </c>
      <c r="BH2314" s="66"/>
      <c r="CB2314" s="72" t="str">
        <f aca="false">IF(AC2314&lt;&gt;"",VLOOKUP(AC2314,Selects!$B:$E,4,0),"")</f>
        <v/>
      </c>
    </row>
    <row r="2315" customFormat="false" ht="15" hidden="true" customHeight="false" outlineLevel="0" collapsed="false">
      <c r="E2315" s="60" t="str">
        <f aca="false">IF(LEN(D2315)=11,"PF",IF(LEN(D2315)=14,"PJ",""))</f>
        <v/>
      </c>
      <c r="AM2315" s="68" t="str">
        <f aca="false">IF(LEFT(AL2315,1)="9","Celular",IF(AL2315="","","Fixo"))</f>
        <v/>
      </c>
      <c r="BB2315" s="72" t="str">
        <f aca="false">IF(BA2315&lt;&gt;"",VLOOKUP(BA2315,Selects!$B$4:$C$100,2,0),"")</f>
        <v/>
      </c>
      <c r="BG2315" s="75" t="str">
        <f aca="false">IF(LEN(BF2315)=11,"PF",IF(LEN(BF2315)=14,"PJ",""))</f>
        <v/>
      </c>
      <c r="BH2315" s="66"/>
      <c r="CB2315" s="72" t="str">
        <f aca="false">IF(AC2315&lt;&gt;"",VLOOKUP(AC2315,Selects!$B:$E,4,0),"")</f>
        <v/>
      </c>
    </row>
    <row r="2316" customFormat="false" ht="15" hidden="true" customHeight="false" outlineLevel="0" collapsed="false">
      <c r="E2316" s="60" t="str">
        <f aca="false">IF(LEN(D2316)=11,"PF",IF(LEN(D2316)=14,"PJ",""))</f>
        <v/>
      </c>
      <c r="AM2316" s="68" t="str">
        <f aca="false">IF(LEFT(AL2316,1)="9","Celular",IF(AL2316="","","Fixo"))</f>
        <v/>
      </c>
      <c r="BB2316" s="72" t="str">
        <f aca="false">IF(BA2316&lt;&gt;"",VLOOKUP(BA2316,Selects!$B$4:$C$100,2,0),"")</f>
        <v/>
      </c>
      <c r="BG2316" s="75" t="str">
        <f aca="false">IF(LEN(BF2316)=11,"PF",IF(LEN(BF2316)=14,"PJ",""))</f>
        <v/>
      </c>
      <c r="BH2316" s="66"/>
      <c r="CB2316" s="72" t="str">
        <f aca="false">IF(AC2316&lt;&gt;"",VLOOKUP(AC2316,Selects!$B:$E,4,0),"")</f>
        <v/>
      </c>
    </row>
    <row r="2317" customFormat="false" ht="15" hidden="true" customHeight="false" outlineLevel="0" collapsed="false">
      <c r="E2317" s="60" t="str">
        <f aca="false">IF(LEN(D2317)=11,"PF",IF(LEN(D2317)=14,"PJ",""))</f>
        <v/>
      </c>
      <c r="AM2317" s="68" t="str">
        <f aca="false">IF(LEFT(AL2317,1)="9","Celular",IF(AL2317="","","Fixo"))</f>
        <v/>
      </c>
      <c r="BB2317" s="72" t="str">
        <f aca="false">IF(BA2317&lt;&gt;"",VLOOKUP(BA2317,Selects!$B$4:$C$100,2,0),"")</f>
        <v/>
      </c>
      <c r="BG2317" s="75" t="str">
        <f aca="false">IF(LEN(BF2317)=11,"PF",IF(LEN(BF2317)=14,"PJ",""))</f>
        <v/>
      </c>
      <c r="BH2317" s="66"/>
      <c r="CB2317" s="72" t="str">
        <f aca="false">IF(AC2317&lt;&gt;"",VLOOKUP(AC2317,Selects!$B:$E,4,0),"")</f>
        <v/>
      </c>
    </row>
    <row r="2318" customFormat="false" ht="15" hidden="true" customHeight="false" outlineLevel="0" collapsed="false">
      <c r="E2318" s="60" t="str">
        <f aca="false">IF(LEN(D2318)=11,"PF",IF(LEN(D2318)=14,"PJ",""))</f>
        <v/>
      </c>
      <c r="AM2318" s="68" t="str">
        <f aca="false">IF(LEFT(AL2318,1)="9","Celular",IF(AL2318="","","Fixo"))</f>
        <v/>
      </c>
      <c r="BB2318" s="72" t="str">
        <f aca="false">IF(BA2318&lt;&gt;"",VLOOKUP(BA2318,Selects!$B$4:$C$100,2,0),"")</f>
        <v/>
      </c>
      <c r="BG2318" s="75" t="str">
        <f aca="false">IF(LEN(BF2318)=11,"PF",IF(LEN(BF2318)=14,"PJ",""))</f>
        <v/>
      </c>
      <c r="BH2318" s="66"/>
      <c r="CB2318" s="72" t="str">
        <f aca="false">IF(AC2318&lt;&gt;"",VLOOKUP(AC2318,Selects!$B:$E,4,0),"")</f>
        <v/>
      </c>
    </row>
    <row r="2319" customFormat="false" ht="15" hidden="true" customHeight="false" outlineLevel="0" collapsed="false">
      <c r="E2319" s="60" t="str">
        <f aca="false">IF(LEN(D2319)=11,"PF",IF(LEN(D2319)=14,"PJ",""))</f>
        <v/>
      </c>
      <c r="AM2319" s="68" t="str">
        <f aca="false">IF(LEFT(AL2319,1)="9","Celular",IF(AL2319="","","Fixo"))</f>
        <v/>
      </c>
      <c r="BB2319" s="72" t="str">
        <f aca="false">IF(BA2319&lt;&gt;"",VLOOKUP(BA2319,Selects!$B$4:$C$100,2,0),"")</f>
        <v/>
      </c>
      <c r="BG2319" s="75" t="str">
        <f aca="false">IF(LEN(BF2319)=11,"PF",IF(LEN(BF2319)=14,"PJ",""))</f>
        <v/>
      </c>
      <c r="BH2319" s="66"/>
      <c r="CB2319" s="72" t="str">
        <f aca="false">IF(AC2319&lt;&gt;"",VLOOKUP(AC2319,Selects!$B:$E,4,0),"")</f>
        <v/>
      </c>
    </row>
    <row r="2320" customFormat="false" ht="15" hidden="true" customHeight="false" outlineLevel="0" collapsed="false">
      <c r="E2320" s="60" t="str">
        <f aca="false">IF(LEN(D2320)=11,"PF",IF(LEN(D2320)=14,"PJ",""))</f>
        <v/>
      </c>
      <c r="AM2320" s="68" t="str">
        <f aca="false">IF(LEFT(AL2320,1)="9","Celular",IF(AL2320="","","Fixo"))</f>
        <v/>
      </c>
      <c r="BB2320" s="72" t="str">
        <f aca="false">IF(BA2320&lt;&gt;"",VLOOKUP(BA2320,Selects!$B$4:$C$100,2,0),"")</f>
        <v/>
      </c>
      <c r="BG2320" s="75" t="str">
        <f aca="false">IF(LEN(BF2320)=11,"PF",IF(LEN(BF2320)=14,"PJ",""))</f>
        <v/>
      </c>
      <c r="BH2320" s="66"/>
      <c r="CB2320" s="72" t="str">
        <f aca="false">IF(AC2320&lt;&gt;"",VLOOKUP(AC2320,Selects!$B:$E,4,0),"")</f>
        <v/>
      </c>
    </row>
    <row r="2321" customFormat="false" ht="15" hidden="true" customHeight="false" outlineLevel="0" collapsed="false">
      <c r="E2321" s="60" t="str">
        <f aca="false">IF(LEN(D2321)=11,"PF",IF(LEN(D2321)=14,"PJ",""))</f>
        <v/>
      </c>
      <c r="AM2321" s="68" t="str">
        <f aca="false">IF(LEFT(AL2321,1)="9","Celular",IF(AL2321="","","Fixo"))</f>
        <v/>
      </c>
      <c r="BB2321" s="72" t="str">
        <f aca="false">IF(BA2321&lt;&gt;"",VLOOKUP(BA2321,Selects!$B$4:$C$100,2,0),"")</f>
        <v/>
      </c>
      <c r="BG2321" s="75" t="str">
        <f aca="false">IF(LEN(BF2321)=11,"PF",IF(LEN(BF2321)=14,"PJ",""))</f>
        <v/>
      </c>
      <c r="BH2321" s="66"/>
      <c r="CB2321" s="72" t="str">
        <f aca="false">IF(AC2321&lt;&gt;"",VLOOKUP(AC2321,Selects!$B:$E,4,0),"")</f>
        <v/>
      </c>
    </row>
    <row r="2322" customFormat="false" ht="15" hidden="true" customHeight="false" outlineLevel="0" collapsed="false">
      <c r="E2322" s="60" t="str">
        <f aca="false">IF(LEN(D2322)=11,"PF",IF(LEN(D2322)=14,"PJ",""))</f>
        <v/>
      </c>
      <c r="AM2322" s="68" t="str">
        <f aca="false">IF(LEFT(AL2322,1)="9","Celular",IF(AL2322="","","Fixo"))</f>
        <v/>
      </c>
      <c r="BB2322" s="72" t="str">
        <f aca="false">IF(BA2322&lt;&gt;"",VLOOKUP(BA2322,Selects!$B$4:$C$100,2,0),"")</f>
        <v/>
      </c>
      <c r="BG2322" s="75" t="str">
        <f aca="false">IF(LEN(BF2322)=11,"PF",IF(LEN(BF2322)=14,"PJ",""))</f>
        <v/>
      </c>
      <c r="BH2322" s="66"/>
      <c r="CB2322" s="72" t="str">
        <f aca="false">IF(AC2322&lt;&gt;"",VLOOKUP(AC2322,Selects!$B:$E,4,0),"")</f>
        <v/>
      </c>
    </row>
    <row r="2323" customFormat="false" ht="15" hidden="true" customHeight="false" outlineLevel="0" collapsed="false">
      <c r="E2323" s="60" t="str">
        <f aca="false">IF(LEN(D2323)=11,"PF",IF(LEN(D2323)=14,"PJ",""))</f>
        <v/>
      </c>
      <c r="AM2323" s="68" t="str">
        <f aca="false">IF(LEFT(AL2323,1)="9","Celular",IF(AL2323="","","Fixo"))</f>
        <v/>
      </c>
      <c r="BB2323" s="72" t="str">
        <f aca="false">IF(BA2323&lt;&gt;"",VLOOKUP(BA2323,Selects!$B$4:$C$100,2,0),"")</f>
        <v/>
      </c>
      <c r="BG2323" s="75" t="str">
        <f aca="false">IF(LEN(BF2323)=11,"PF",IF(LEN(BF2323)=14,"PJ",""))</f>
        <v/>
      </c>
      <c r="BH2323" s="66"/>
      <c r="CB2323" s="72" t="str">
        <f aca="false">IF(AC2323&lt;&gt;"",VLOOKUP(AC2323,Selects!$B:$E,4,0),"")</f>
        <v/>
      </c>
    </row>
    <row r="2324" customFormat="false" ht="15" hidden="true" customHeight="false" outlineLevel="0" collapsed="false">
      <c r="E2324" s="60" t="str">
        <f aca="false">IF(LEN(D2324)=11,"PF",IF(LEN(D2324)=14,"PJ",""))</f>
        <v/>
      </c>
      <c r="AM2324" s="68" t="str">
        <f aca="false">IF(LEFT(AL2324,1)="9","Celular",IF(AL2324="","","Fixo"))</f>
        <v/>
      </c>
      <c r="BB2324" s="72" t="str">
        <f aca="false">IF(BA2324&lt;&gt;"",VLOOKUP(BA2324,Selects!$B$4:$C$100,2,0),"")</f>
        <v/>
      </c>
      <c r="BG2324" s="75" t="str">
        <f aca="false">IF(LEN(BF2324)=11,"PF",IF(LEN(BF2324)=14,"PJ",""))</f>
        <v/>
      </c>
      <c r="BH2324" s="66"/>
      <c r="CB2324" s="72" t="str">
        <f aca="false">IF(AC2324&lt;&gt;"",VLOOKUP(AC2324,Selects!$B:$E,4,0),"")</f>
        <v/>
      </c>
    </row>
    <row r="2325" customFormat="false" ht="15" hidden="true" customHeight="false" outlineLevel="0" collapsed="false">
      <c r="E2325" s="60" t="str">
        <f aca="false">IF(LEN(D2325)=11,"PF",IF(LEN(D2325)=14,"PJ",""))</f>
        <v/>
      </c>
      <c r="AM2325" s="68" t="str">
        <f aca="false">IF(LEFT(AL2325,1)="9","Celular",IF(AL2325="","","Fixo"))</f>
        <v/>
      </c>
      <c r="BB2325" s="72" t="str">
        <f aca="false">IF(BA2325&lt;&gt;"",VLOOKUP(BA2325,Selects!$B$4:$C$100,2,0),"")</f>
        <v/>
      </c>
      <c r="BG2325" s="75" t="str">
        <f aca="false">IF(LEN(BF2325)=11,"PF",IF(LEN(BF2325)=14,"PJ",""))</f>
        <v/>
      </c>
      <c r="BH2325" s="66"/>
      <c r="CB2325" s="72" t="str">
        <f aca="false">IF(AC2325&lt;&gt;"",VLOOKUP(AC2325,Selects!$B:$E,4,0),"")</f>
        <v/>
      </c>
    </row>
    <row r="2326" customFormat="false" ht="15" hidden="true" customHeight="false" outlineLevel="0" collapsed="false">
      <c r="E2326" s="60" t="str">
        <f aca="false">IF(LEN(D2326)=11,"PF",IF(LEN(D2326)=14,"PJ",""))</f>
        <v/>
      </c>
      <c r="AM2326" s="68" t="str">
        <f aca="false">IF(LEFT(AL2326,1)="9","Celular",IF(AL2326="","","Fixo"))</f>
        <v/>
      </c>
      <c r="BB2326" s="72" t="str">
        <f aca="false">IF(BA2326&lt;&gt;"",VLOOKUP(BA2326,Selects!$B$4:$C$100,2,0),"")</f>
        <v/>
      </c>
      <c r="BG2326" s="75" t="str">
        <f aca="false">IF(LEN(BF2326)=11,"PF",IF(LEN(BF2326)=14,"PJ",""))</f>
        <v/>
      </c>
      <c r="BH2326" s="66"/>
      <c r="CB2326" s="72" t="str">
        <f aca="false">IF(AC2326&lt;&gt;"",VLOOKUP(AC2326,Selects!$B:$E,4,0),"")</f>
        <v/>
      </c>
    </row>
    <row r="2327" customFormat="false" ht="15" hidden="true" customHeight="false" outlineLevel="0" collapsed="false">
      <c r="E2327" s="60" t="str">
        <f aca="false">IF(LEN(D2327)=11,"PF",IF(LEN(D2327)=14,"PJ",""))</f>
        <v/>
      </c>
      <c r="AM2327" s="68" t="str">
        <f aca="false">IF(LEFT(AL2327,1)="9","Celular",IF(AL2327="","","Fixo"))</f>
        <v/>
      </c>
      <c r="BB2327" s="72" t="str">
        <f aca="false">IF(BA2327&lt;&gt;"",VLOOKUP(BA2327,Selects!$B$4:$C$100,2,0),"")</f>
        <v/>
      </c>
      <c r="BG2327" s="75" t="str">
        <f aca="false">IF(LEN(BF2327)=11,"PF",IF(LEN(BF2327)=14,"PJ",""))</f>
        <v/>
      </c>
      <c r="BH2327" s="66"/>
      <c r="CB2327" s="72" t="str">
        <f aca="false">IF(AC2327&lt;&gt;"",VLOOKUP(AC2327,Selects!$B:$E,4,0),"")</f>
        <v/>
      </c>
    </row>
    <row r="2328" customFormat="false" ht="15" hidden="true" customHeight="false" outlineLevel="0" collapsed="false">
      <c r="E2328" s="60" t="str">
        <f aca="false">IF(LEN(D2328)=11,"PF",IF(LEN(D2328)=14,"PJ",""))</f>
        <v/>
      </c>
      <c r="AM2328" s="68" t="str">
        <f aca="false">IF(LEFT(AL2328,1)="9","Celular",IF(AL2328="","","Fixo"))</f>
        <v/>
      </c>
      <c r="BB2328" s="72" t="str">
        <f aca="false">IF(BA2328&lt;&gt;"",VLOOKUP(BA2328,Selects!$B$4:$C$100,2,0),"")</f>
        <v/>
      </c>
      <c r="BG2328" s="75" t="str">
        <f aca="false">IF(LEN(BF2328)=11,"PF",IF(LEN(BF2328)=14,"PJ",""))</f>
        <v/>
      </c>
      <c r="BH2328" s="66"/>
      <c r="CB2328" s="72" t="str">
        <f aca="false">IF(AC2328&lt;&gt;"",VLOOKUP(AC2328,Selects!$B:$E,4,0),"")</f>
        <v/>
      </c>
    </row>
    <row r="2329" customFormat="false" ht="15" hidden="true" customHeight="false" outlineLevel="0" collapsed="false">
      <c r="E2329" s="60" t="str">
        <f aca="false">IF(LEN(D2329)=11,"PF",IF(LEN(D2329)=14,"PJ",""))</f>
        <v/>
      </c>
      <c r="AM2329" s="68" t="str">
        <f aca="false">IF(LEFT(AL2329,1)="9","Celular",IF(AL2329="","","Fixo"))</f>
        <v/>
      </c>
      <c r="BB2329" s="72" t="str">
        <f aca="false">IF(BA2329&lt;&gt;"",VLOOKUP(BA2329,Selects!$B$4:$C$100,2,0),"")</f>
        <v/>
      </c>
      <c r="BG2329" s="75" t="str">
        <f aca="false">IF(LEN(BF2329)=11,"PF",IF(LEN(BF2329)=14,"PJ",""))</f>
        <v/>
      </c>
      <c r="BH2329" s="66"/>
      <c r="CB2329" s="72" t="str">
        <f aca="false">IF(AC2329&lt;&gt;"",VLOOKUP(AC2329,Selects!$B:$E,4,0),"")</f>
        <v/>
      </c>
    </row>
    <row r="2330" customFormat="false" ht="15" hidden="true" customHeight="false" outlineLevel="0" collapsed="false">
      <c r="E2330" s="60" t="str">
        <f aca="false">IF(LEN(D2330)=11,"PF",IF(LEN(D2330)=14,"PJ",""))</f>
        <v/>
      </c>
      <c r="AM2330" s="68" t="str">
        <f aca="false">IF(LEFT(AL2330,1)="9","Celular",IF(AL2330="","","Fixo"))</f>
        <v/>
      </c>
      <c r="BB2330" s="72" t="str">
        <f aca="false">IF(BA2330&lt;&gt;"",VLOOKUP(BA2330,Selects!$B$4:$C$100,2,0),"")</f>
        <v/>
      </c>
      <c r="BG2330" s="75" t="str">
        <f aca="false">IF(LEN(BF2330)=11,"PF",IF(LEN(BF2330)=14,"PJ",""))</f>
        <v/>
      </c>
      <c r="BH2330" s="66"/>
      <c r="CB2330" s="72" t="str">
        <f aca="false">IF(AC2330&lt;&gt;"",VLOOKUP(AC2330,Selects!$B:$E,4,0),"")</f>
        <v/>
      </c>
    </row>
    <row r="2331" customFormat="false" ht="15" hidden="true" customHeight="false" outlineLevel="0" collapsed="false">
      <c r="E2331" s="60" t="str">
        <f aca="false">IF(LEN(D2331)=11,"PF",IF(LEN(D2331)=14,"PJ",""))</f>
        <v/>
      </c>
      <c r="AM2331" s="68" t="str">
        <f aca="false">IF(LEFT(AL2331,1)="9","Celular",IF(AL2331="","","Fixo"))</f>
        <v/>
      </c>
      <c r="BB2331" s="72" t="str">
        <f aca="false">IF(BA2331&lt;&gt;"",VLOOKUP(BA2331,Selects!$B$4:$C$100,2,0),"")</f>
        <v/>
      </c>
      <c r="BG2331" s="75" t="str">
        <f aca="false">IF(LEN(BF2331)=11,"PF",IF(LEN(BF2331)=14,"PJ",""))</f>
        <v/>
      </c>
      <c r="BH2331" s="66"/>
      <c r="CB2331" s="72" t="str">
        <f aca="false">IF(AC2331&lt;&gt;"",VLOOKUP(AC2331,Selects!$B:$E,4,0),"")</f>
        <v/>
      </c>
    </row>
    <row r="2332" customFormat="false" ht="15" hidden="true" customHeight="false" outlineLevel="0" collapsed="false">
      <c r="E2332" s="60" t="str">
        <f aca="false">IF(LEN(D2332)=11,"PF",IF(LEN(D2332)=14,"PJ",""))</f>
        <v/>
      </c>
      <c r="AM2332" s="68" t="str">
        <f aca="false">IF(LEFT(AL2332,1)="9","Celular",IF(AL2332="","","Fixo"))</f>
        <v/>
      </c>
      <c r="BB2332" s="72" t="str">
        <f aca="false">IF(BA2332&lt;&gt;"",VLOOKUP(BA2332,Selects!$B$4:$C$100,2,0),"")</f>
        <v/>
      </c>
      <c r="BG2332" s="75" t="str">
        <f aca="false">IF(LEN(BF2332)=11,"PF",IF(LEN(BF2332)=14,"PJ",""))</f>
        <v/>
      </c>
      <c r="BH2332" s="66"/>
      <c r="CB2332" s="72" t="str">
        <f aca="false">IF(AC2332&lt;&gt;"",VLOOKUP(AC2332,Selects!$B:$E,4,0),"")</f>
        <v/>
      </c>
    </row>
    <row r="2333" customFormat="false" ht="15" hidden="true" customHeight="false" outlineLevel="0" collapsed="false">
      <c r="E2333" s="60" t="str">
        <f aca="false">IF(LEN(D2333)=11,"PF",IF(LEN(D2333)=14,"PJ",""))</f>
        <v/>
      </c>
      <c r="AM2333" s="68" t="str">
        <f aca="false">IF(LEFT(AL2333,1)="9","Celular",IF(AL2333="","","Fixo"))</f>
        <v/>
      </c>
      <c r="BB2333" s="72" t="str">
        <f aca="false">IF(BA2333&lt;&gt;"",VLOOKUP(BA2333,Selects!$B$4:$C$100,2,0),"")</f>
        <v/>
      </c>
      <c r="BG2333" s="75" t="str">
        <f aca="false">IF(LEN(BF2333)=11,"PF",IF(LEN(BF2333)=14,"PJ",""))</f>
        <v/>
      </c>
      <c r="BH2333" s="66"/>
      <c r="CB2333" s="72" t="str">
        <f aca="false">IF(AC2333&lt;&gt;"",VLOOKUP(AC2333,Selects!$B:$E,4,0),"")</f>
        <v/>
      </c>
    </row>
    <row r="2334" customFormat="false" ht="15" hidden="true" customHeight="false" outlineLevel="0" collapsed="false">
      <c r="E2334" s="60" t="str">
        <f aca="false">IF(LEN(D2334)=11,"PF",IF(LEN(D2334)=14,"PJ",""))</f>
        <v/>
      </c>
      <c r="AM2334" s="68" t="str">
        <f aca="false">IF(LEFT(AL2334,1)="9","Celular",IF(AL2334="","","Fixo"))</f>
        <v/>
      </c>
      <c r="BB2334" s="72" t="str">
        <f aca="false">IF(BA2334&lt;&gt;"",VLOOKUP(BA2334,Selects!$B$4:$C$100,2,0),"")</f>
        <v/>
      </c>
      <c r="BG2334" s="75" t="str">
        <f aca="false">IF(LEN(BF2334)=11,"PF",IF(LEN(BF2334)=14,"PJ",""))</f>
        <v/>
      </c>
      <c r="BH2334" s="66"/>
      <c r="CB2334" s="72" t="str">
        <f aca="false">IF(AC2334&lt;&gt;"",VLOOKUP(AC2334,Selects!$B:$E,4,0),"")</f>
        <v/>
      </c>
    </row>
    <row r="2335" customFormat="false" ht="15" hidden="true" customHeight="false" outlineLevel="0" collapsed="false">
      <c r="E2335" s="60" t="str">
        <f aca="false">IF(LEN(D2335)=11,"PF",IF(LEN(D2335)=14,"PJ",""))</f>
        <v/>
      </c>
      <c r="AM2335" s="68" t="str">
        <f aca="false">IF(LEFT(AL2335,1)="9","Celular",IF(AL2335="","","Fixo"))</f>
        <v/>
      </c>
      <c r="BB2335" s="72" t="str">
        <f aca="false">IF(BA2335&lt;&gt;"",VLOOKUP(BA2335,Selects!$B$4:$C$100,2,0),"")</f>
        <v/>
      </c>
      <c r="BG2335" s="75" t="str">
        <f aca="false">IF(LEN(BF2335)=11,"PF",IF(LEN(BF2335)=14,"PJ",""))</f>
        <v/>
      </c>
      <c r="BH2335" s="66"/>
      <c r="CB2335" s="72" t="str">
        <f aca="false">IF(AC2335&lt;&gt;"",VLOOKUP(AC2335,Selects!$B:$E,4,0),"")</f>
        <v/>
      </c>
    </row>
    <row r="2336" customFormat="false" ht="15" hidden="true" customHeight="false" outlineLevel="0" collapsed="false">
      <c r="E2336" s="60" t="str">
        <f aca="false">IF(LEN(D2336)=11,"PF",IF(LEN(D2336)=14,"PJ",""))</f>
        <v/>
      </c>
      <c r="AM2336" s="68" t="str">
        <f aca="false">IF(LEFT(AL2336,1)="9","Celular",IF(AL2336="","","Fixo"))</f>
        <v/>
      </c>
      <c r="BB2336" s="72" t="str">
        <f aca="false">IF(BA2336&lt;&gt;"",VLOOKUP(BA2336,Selects!$B$4:$C$100,2,0),"")</f>
        <v/>
      </c>
      <c r="BG2336" s="75" t="str">
        <f aca="false">IF(LEN(BF2336)=11,"PF",IF(LEN(BF2336)=14,"PJ",""))</f>
        <v/>
      </c>
      <c r="BH2336" s="66"/>
      <c r="CB2336" s="72" t="str">
        <f aca="false">IF(AC2336&lt;&gt;"",VLOOKUP(AC2336,Selects!$B:$E,4,0),"")</f>
        <v/>
      </c>
    </row>
    <row r="2337" customFormat="false" ht="15" hidden="true" customHeight="false" outlineLevel="0" collapsed="false">
      <c r="E2337" s="60" t="str">
        <f aca="false">IF(LEN(D2337)=11,"PF",IF(LEN(D2337)=14,"PJ",""))</f>
        <v/>
      </c>
      <c r="AM2337" s="68" t="str">
        <f aca="false">IF(LEFT(AL2337,1)="9","Celular",IF(AL2337="","","Fixo"))</f>
        <v/>
      </c>
      <c r="BB2337" s="72" t="str">
        <f aca="false">IF(BA2337&lt;&gt;"",VLOOKUP(BA2337,Selects!$B$4:$C$100,2,0),"")</f>
        <v/>
      </c>
      <c r="BG2337" s="75" t="str">
        <f aca="false">IF(LEN(BF2337)=11,"PF",IF(LEN(BF2337)=14,"PJ",""))</f>
        <v/>
      </c>
      <c r="BH2337" s="66"/>
      <c r="CB2337" s="72" t="str">
        <f aca="false">IF(AC2337&lt;&gt;"",VLOOKUP(AC2337,Selects!$B:$E,4,0),"")</f>
        <v/>
      </c>
    </row>
    <row r="2338" customFormat="false" ht="15" hidden="true" customHeight="false" outlineLevel="0" collapsed="false">
      <c r="E2338" s="60" t="str">
        <f aca="false">IF(LEN(D2338)=11,"PF",IF(LEN(D2338)=14,"PJ",""))</f>
        <v/>
      </c>
      <c r="AM2338" s="68" t="str">
        <f aca="false">IF(LEFT(AL2338,1)="9","Celular",IF(AL2338="","","Fixo"))</f>
        <v/>
      </c>
      <c r="BB2338" s="72" t="str">
        <f aca="false">IF(BA2338&lt;&gt;"",VLOOKUP(BA2338,Selects!$B$4:$C$100,2,0),"")</f>
        <v/>
      </c>
      <c r="BG2338" s="75" t="str">
        <f aca="false">IF(LEN(BF2338)=11,"PF",IF(LEN(BF2338)=14,"PJ",""))</f>
        <v/>
      </c>
      <c r="BH2338" s="66"/>
      <c r="CB2338" s="72" t="str">
        <f aca="false">IF(AC2338&lt;&gt;"",VLOOKUP(AC2338,Selects!$B:$E,4,0),"")</f>
        <v/>
      </c>
    </row>
    <row r="2339" customFormat="false" ht="15" hidden="true" customHeight="false" outlineLevel="0" collapsed="false">
      <c r="E2339" s="60" t="str">
        <f aca="false">IF(LEN(D2339)=11,"PF",IF(LEN(D2339)=14,"PJ",""))</f>
        <v/>
      </c>
      <c r="AM2339" s="68" t="str">
        <f aca="false">IF(LEFT(AL2339,1)="9","Celular",IF(AL2339="","","Fixo"))</f>
        <v/>
      </c>
      <c r="BB2339" s="72" t="str">
        <f aca="false">IF(BA2339&lt;&gt;"",VLOOKUP(BA2339,Selects!$B$4:$C$100,2,0),"")</f>
        <v/>
      </c>
      <c r="BG2339" s="75" t="str">
        <f aca="false">IF(LEN(BF2339)=11,"PF",IF(LEN(BF2339)=14,"PJ",""))</f>
        <v/>
      </c>
      <c r="BH2339" s="66"/>
      <c r="CB2339" s="72" t="str">
        <f aca="false">IF(AC2339&lt;&gt;"",VLOOKUP(AC2339,Selects!$B:$E,4,0),"")</f>
        <v/>
      </c>
    </row>
    <row r="2340" customFormat="false" ht="15" hidden="true" customHeight="false" outlineLevel="0" collapsed="false">
      <c r="E2340" s="60" t="str">
        <f aca="false">IF(LEN(D2340)=11,"PF",IF(LEN(D2340)=14,"PJ",""))</f>
        <v/>
      </c>
      <c r="AM2340" s="68" t="str">
        <f aca="false">IF(LEFT(AL2340,1)="9","Celular",IF(AL2340="","","Fixo"))</f>
        <v/>
      </c>
      <c r="BB2340" s="72" t="str">
        <f aca="false">IF(BA2340&lt;&gt;"",VLOOKUP(BA2340,Selects!$B$4:$C$100,2,0),"")</f>
        <v/>
      </c>
      <c r="BG2340" s="75" t="str">
        <f aca="false">IF(LEN(BF2340)=11,"PF",IF(LEN(BF2340)=14,"PJ",""))</f>
        <v/>
      </c>
      <c r="BH2340" s="66"/>
      <c r="CB2340" s="72" t="str">
        <f aca="false">IF(AC2340&lt;&gt;"",VLOOKUP(AC2340,Selects!$B:$E,4,0),"")</f>
        <v/>
      </c>
    </row>
    <row r="2341" customFormat="false" ht="15" hidden="true" customHeight="false" outlineLevel="0" collapsed="false">
      <c r="E2341" s="60" t="str">
        <f aca="false">IF(LEN(D2341)=11,"PF",IF(LEN(D2341)=14,"PJ",""))</f>
        <v/>
      </c>
      <c r="AM2341" s="68" t="str">
        <f aca="false">IF(LEFT(AL2341,1)="9","Celular",IF(AL2341="","","Fixo"))</f>
        <v/>
      </c>
      <c r="BB2341" s="72" t="str">
        <f aca="false">IF(BA2341&lt;&gt;"",VLOOKUP(BA2341,Selects!$B$4:$C$100,2,0),"")</f>
        <v/>
      </c>
      <c r="BG2341" s="75" t="str">
        <f aca="false">IF(LEN(BF2341)=11,"PF",IF(LEN(BF2341)=14,"PJ",""))</f>
        <v/>
      </c>
      <c r="BH2341" s="66"/>
      <c r="CB2341" s="72" t="str">
        <f aca="false">IF(AC2341&lt;&gt;"",VLOOKUP(AC2341,Selects!$B:$E,4,0),"")</f>
        <v/>
      </c>
    </row>
    <row r="2342" customFormat="false" ht="15" hidden="true" customHeight="false" outlineLevel="0" collapsed="false">
      <c r="E2342" s="60" t="str">
        <f aca="false">IF(LEN(D2342)=11,"PF",IF(LEN(D2342)=14,"PJ",""))</f>
        <v/>
      </c>
      <c r="AM2342" s="68" t="str">
        <f aca="false">IF(LEFT(AL2342,1)="9","Celular",IF(AL2342="","","Fixo"))</f>
        <v/>
      </c>
      <c r="BB2342" s="72" t="str">
        <f aca="false">IF(BA2342&lt;&gt;"",VLOOKUP(BA2342,Selects!$B$4:$C$100,2,0),"")</f>
        <v/>
      </c>
      <c r="BG2342" s="75" t="str">
        <f aca="false">IF(LEN(BF2342)=11,"PF",IF(LEN(BF2342)=14,"PJ",""))</f>
        <v/>
      </c>
      <c r="BH2342" s="66"/>
      <c r="CB2342" s="72" t="str">
        <f aca="false">IF(AC2342&lt;&gt;"",VLOOKUP(AC2342,Selects!$B:$E,4,0),"")</f>
        <v/>
      </c>
    </row>
    <row r="2343" customFormat="false" ht="15" hidden="true" customHeight="false" outlineLevel="0" collapsed="false">
      <c r="E2343" s="60" t="str">
        <f aca="false">IF(LEN(D2343)=11,"PF",IF(LEN(D2343)=14,"PJ",""))</f>
        <v/>
      </c>
      <c r="AM2343" s="68" t="str">
        <f aca="false">IF(LEFT(AL2343,1)="9","Celular",IF(AL2343="","","Fixo"))</f>
        <v/>
      </c>
      <c r="BB2343" s="72" t="str">
        <f aca="false">IF(BA2343&lt;&gt;"",VLOOKUP(BA2343,Selects!$B$4:$C$100,2,0),"")</f>
        <v/>
      </c>
      <c r="BG2343" s="75" t="str">
        <f aca="false">IF(LEN(BF2343)=11,"PF",IF(LEN(BF2343)=14,"PJ",""))</f>
        <v/>
      </c>
      <c r="BH2343" s="66"/>
      <c r="CB2343" s="72" t="str">
        <f aca="false">IF(AC2343&lt;&gt;"",VLOOKUP(AC2343,Selects!$B:$E,4,0),"")</f>
        <v/>
      </c>
    </row>
    <row r="2344" customFormat="false" ht="15" hidden="true" customHeight="false" outlineLevel="0" collapsed="false">
      <c r="E2344" s="60" t="str">
        <f aca="false">IF(LEN(D2344)=11,"PF",IF(LEN(D2344)=14,"PJ",""))</f>
        <v/>
      </c>
      <c r="AM2344" s="68" t="str">
        <f aca="false">IF(LEFT(AL2344,1)="9","Celular",IF(AL2344="","","Fixo"))</f>
        <v/>
      </c>
      <c r="BB2344" s="72" t="str">
        <f aca="false">IF(BA2344&lt;&gt;"",VLOOKUP(BA2344,Selects!$B$4:$C$100,2,0),"")</f>
        <v/>
      </c>
      <c r="BG2344" s="75" t="str">
        <f aca="false">IF(LEN(BF2344)=11,"PF",IF(LEN(BF2344)=14,"PJ",""))</f>
        <v/>
      </c>
      <c r="BH2344" s="66"/>
      <c r="CB2344" s="72" t="str">
        <f aca="false">IF(AC2344&lt;&gt;"",VLOOKUP(AC2344,Selects!$B:$E,4,0),"")</f>
        <v/>
      </c>
    </row>
    <row r="2345" customFormat="false" ht="15" hidden="true" customHeight="false" outlineLevel="0" collapsed="false">
      <c r="E2345" s="60" t="str">
        <f aca="false">IF(LEN(D2345)=11,"PF",IF(LEN(D2345)=14,"PJ",""))</f>
        <v/>
      </c>
      <c r="AM2345" s="68" t="str">
        <f aca="false">IF(LEFT(AL2345,1)="9","Celular",IF(AL2345="","","Fixo"))</f>
        <v/>
      </c>
      <c r="BB2345" s="72" t="str">
        <f aca="false">IF(BA2345&lt;&gt;"",VLOOKUP(BA2345,Selects!$B$4:$C$100,2,0),"")</f>
        <v/>
      </c>
      <c r="BG2345" s="75" t="str">
        <f aca="false">IF(LEN(BF2345)=11,"PF",IF(LEN(BF2345)=14,"PJ",""))</f>
        <v/>
      </c>
      <c r="BH2345" s="66"/>
      <c r="CB2345" s="72" t="str">
        <f aca="false">IF(AC2345&lt;&gt;"",VLOOKUP(AC2345,Selects!$B:$E,4,0),"")</f>
        <v/>
      </c>
    </row>
    <row r="2346" customFormat="false" ht="15" hidden="true" customHeight="false" outlineLevel="0" collapsed="false">
      <c r="E2346" s="60" t="str">
        <f aca="false">IF(LEN(D2346)=11,"PF",IF(LEN(D2346)=14,"PJ",""))</f>
        <v/>
      </c>
      <c r="AM2346" s="68" t="str">
        <f aca="false">IF(LEFT(AL2346,1)="9","Celular",IF(AL2346="","","Fixo"))</f>
        <v/>
      </c>
      <c r="BB2346" s="72" t="str">
        <f aca="false">IF(BA2346&lt;&gt;"",VLOOKUP(BA2346,Selects!$B$4:$C$100,2,0),"")</f>
        <v/>
      </c>
      <c r="BG2346" s="75" t="str">
        <f aca="false">IF(LEN(BF2346)=11,"PF",IF(LEN(BF2346)=14,"PJ",""))</f>
        <v/>
      </c>
      <c r="BH2346" s="66"/>
      <c r="CB2346" s="72" t="str">
        <f aca="false">IF(AC2346&lt;&gt;"",VLOOKUP(AC2346,Selects!$B:$E,4,0),"")</f>
        <v/>
      </c>
    </row>
    <row r="2347" customFormat="false" ht="15" hidden="true" customHeight="false" outlineLevel="0" collapsed="false">
      <c r="E2347" s="60" t="str">
        <f aca="false">IF(LEN(D2347)=11,"PF",IF(LEN(D2347)=14,"PJ",""))</f>
        <v/>
      </c>
      <c r="AM2347" s="68" t="str">
        <f aca="false">IF(LEFT(AL2347,1)="9","Celular",IF(AL2347="","","Fixo"))</f>
        <v/>
      </c>
      <c r="BB2347" s="72" t="str">
        <f aca="false">IF(BA2347&lt;&gt;"",VLOOKUP(BA2347,Selects!$B$4:$C$100,2,0),"")</f>
        <v/>
      </c>
      <c r="BG2347" s="75" t="str">
        <f aca="false">IF(LEN(BF2347)=11,"PF",IF(LEN(BF2347)=14,"PJ",""))</f>
        <v/>
      </c>
      <c r="BH2347" s="66"/>
      <c r="CB2347" s="72" t="str">
        <f aca="false">IF(AC2347&lt;&gt;"",VLOOKUP(AC2347,Selects!$B:$E,4,0),"")</f>
        <v/>
      </c>
    </row>
    <row r="2348" customFormat="false" ht="15" hidden="true" customHeight="false" outlineLevel="0" collapsed="false">
      <c r="E2348" s="60" t="str">
        <f aca="false">IF(LEN(D2348)=11,"PF",IF(LEN(D2348)=14,"PJ",""))</f>
        <v/>
      </c>
      <c r="AM2348" s="68" t="str">
        <f aca="false">IF(LEFT(AL2348,1)="9","Celular",IF(AL2348="","","Fixo"))</f>
        <v/>
      </c>
      <c r="BB2348" s="72" t="str">
        <f aca="false">IF(BA2348&lt;&gt;"",VLOOKUP(BA2348,Selects!$B$4:$C$100,2,0),"")</f>
        <v/>
      </c>
      <c r="BG2348" s="75" t="str">
        <f aca="false">IF(LEN(BF2348)=11,"PF",IF(LEN(BF2348)=14,"PJ",""))</f>
        <v/>
      </c>
      <c r="BH2348" s="66"/>
      <c r="CB2348" s="72" t="str">
        <f aca="false">IF(AC2348&lt;&gt;"",VLOOKUP(AC2348,Selects!$B:$E,4,0),"")</f>
        <v/>
      </c>
    </row>
    <row r="2349" customFormat="false" ht="15" hidden="true" customHeight="false" outlineLevel="0" collapsed="false">
      <c r="E2349" s="60" t="str">
        <f aca="false">IF(LEN(D2349)=11,"PF",IF(LEN(D2349)=14,"PJ",""))</f>
        <v/>
      </c>
      <c r="AM2349" s="68" t="str">
        <f aca="false">IF(LEFT(AL2349,1)="9","Celular",IF(AL2349="","","Fixo"))</f>
        <v/>
      </c>
      <c r="BB2349" s="72" t="str">
        <f aca="false">IF(BA2349&lt;&gt;"",VLOOKUP(BA2349,Selects!$B$4:$C$100,2,0),"")</f>
        <v/>
      </c>
      <c r="BG2349" s="75" t="str">
        <f aca="false">IF(LEN(BF2349)=11,"PF",IF(LEN(BF2349)=14,"PJ",""))</f>
        <v/>
      </c>
      <c r="BH2349" s="66"/>
      <c r="CB2349" s="72" t="str">
        <f aca="false">IF(AC2349&lt;&gt;"",VLOOKUP(AC2349,Selects!$B:$E,4,0),"")</f>
        <v/>
      </c>
    </row>
    <row r="2350" customFormat="false" ht="15" hidden="true" customHeight="false" outlineLevel="0" collapsed="false">
      <c r="E2350" s="60" t="str">
        <f aca="false">IF(LEN(D2350)=11,"PF",IF(LEN(D2350)=14,"PJ",""))</f>
        <v/>
      </c>
      <c r="AM2350" s="68" t="str">
        <f aca="false">IF(LEFT(AL2350,1)="9","Celular",IF(AL2350="","","Fixo"))</f>
        <v/>
      </c>
      <c r="BB2350" s="72" t="str">
        <f aca="false">IF(BA2350&lt;&gt;"",VLOOKUP(BA2350,Selects!$B$4:$C$100,2,0),"")</f>
        <v/>
      </c>
      <c r="BG2350" s="75" t="str">
        <f aca="false">IF(LEN(BF2350)=11,"PF",IF(LEN(BF2350)=14,"PJ",""))</f>
        <v/>
      </c>
      <c r="BH2350" s="66"/>
      <c r="CB2350" s="72" t="str">
        <f aca="false">IF(AC2350&lt;&gt;"",VLOOKUP(AC2350,Selects!$B:$E,4,0),"")</f>
        <v/>
      </c>
    </row>
    <row r="2351" customFormat="false" ht="15" hidden="true" customHeight="false" outlineLevel="0" collapsed="false">
      <c r="E2351" s="60" t="str">
        <f aca="false">IF(LEN(D2351)=11,"PF",IF(LEN(D2351)=14,"PJ",""))</f>
        <v/>
      </c>
      <c r="AM2351" s="68" t="str">
        <f aca="false">IF(LEFT(AL2351,1)="9","Celular",IF(AL2351="","","Fixo"))</f>
        <v/>
      </c>
      <c r="BB2351" s="72" t="str">
        <f aca="false">IF(BA2351&lt;&gt;"",VLOOKUP(BA2351,Selects!$B$4:$C$100,2,0),"")</f>
        <v/>
      </c>
      <c r="BG2351" s="75" t="str">
        <f aca="false">IF(LEN(BF2351)=11,"PF",IF(LEN(BF2351)=14,"PJ",""))</f>
        <v/>
      </c>
      <c r="BH2351" s="66"/>
      <c r="CB2351" s="72" t="str">
        <f aca="false">IF(AC2351&lt;&gt;"",VLOOKUP(AC2351,Selects!$B:$E,4,0),"")</f>
        <v/>
      </c>
    </row>
    <row r="2352" customFormat="false" ht="15" hidden="true" customHeight="false" outlineLevel="0" collapsed="false">
      <c r="E2352" s="60" t="str">
        <f aca="false">IF(LEN(D2352)=11,"PF",IF(LEN(D2352)=14,"PJ",""))</f>
        <v/>
      </c>
      <c r="AM2352" s="68" t="str">
        <f aca="false">IF(LEFT(AL2352,1)="9","Celular",IF(AL2352="","","Fixo"))</f>
        <v/>
      </c>
      <c r="BB2352" s="72" t="str">
        <f aca="false">IF(BA2352&lt;&gt;"",VLOOKUP(BA2352,Selects!$B$4:$C$100,2,0),"")</f>
        <v/>
      </c>
      <c r="BG2352" s="75" t="str">
        <f aca="false">IF(LEN(BF2352)=11,"PF",IF(LEN(BF2352)=14,"PJ",""))</f>
        <v/>
      </c>
      <c r="BH2352" s="66"/>
      <c r="CB2352" s="72" t="str">
        <f aca="false">IF(AC2352&lt;&gt;"",VLOOKUP(AC2352,Selects!$B:$E,4,0),"")</f>
        <v/>
      </c>
    </row>
    <row r="2353" customFormat="false" ht="15" hidden="true" customHeight="false" outlineLevel="0" collapsed="false">
      <c r="E2353" s="60" t="str">
        <f aca="false">IF(LEN(D2353)=11,"PF",IF(LEN(D2353)=14,"PJ",""))</f>
        <v/>
      </c>
      <c r="AM2353" s="68" t="str">
        <f aca="false">IF(LEFT(AL2353,1)="9","Celular",IF(AL2353="","","Fixo"))</f>
        <v/>
      </c>
      <c r="BB2353" s="72" t="str">
        <f aca="false">IF(BA2353&lt;&gt;"",VLOOKUP(BA2353,Selects!$B$4:$C$100,2,0),"")</f>
        <v/>
      </c>
      <c r="BG2353" s="75" t="str">
        <f aca="false">IF(LEN(BF2353)=11,"PF",IF(LEN(BF2353)=14,"PJ",""))</f>
        <v/>
      </c>
      <c r="BH2353" s="66"/>
      <c r="CB2353" s="72" t="str">
        <f aca="false">IF(AC2353&lt;&gt;"",VLOOKUP(AC2353,Selects!$B:$E,4,0),"")</f>
        <v/>
      </c>
    </row>
    <row r="2354" customFormat="false" ht="15" hidden="true" customHeight="false" outlineLevel="0" collapsed="false">
      <c r="E2354" s="60" t="str">
        <f aca="false">IF(LEN(D2354)=11,"PF",IF(LEN(D2354)=14,"PJ",""))</f>
        <v/>
      </c>
      <c r="AM2354" s="68" t="str">
        <f aca="false">IF(LEFT(AL2354,1)="9","Celular",IF(AL2354="","","Fixo"))</f>
        <v/>
      </c>
      <c r="BB2354" s="72" t="str">
        <f aca="false">IF(BA2354&lt;&gt;"",VLOOKUP(BA2354,Selects!$B$4:$C$100,2,0),"")</f>
        <v/>
      </c>
      <c r="BG2354" s="75" t="str">
        <f aca="false">IF(LEN(BF2354)=11,"PF",IF(LEN(BF2354)=14,"PJ",""))</f>
        <v/>
      </c>
      <c r="BH2354" s="66"/>
      <c r="CB2354" s="72" t="str">
        <f aca="false">IF(AC2354&lt;&gt;"",VLOOKUP(AC2354,Selects!$B:$E,4,0),"")</f>
        <v/>
      </c>
    </row>
    <row r="2355" customFormat="false" ht="15" hidden="true" customHeight="false" outlineLevel="0" collapsed="false">
      <c r="E2355" s="60" t="str">
        <f aca="false">IF(LEN(D2355)=11,"PF",IF(LEN(D2355)=14,"PJ",""))</f>
        <v/>
      </c>
      <c r="AM2355" s="68" t="str">
        <f aca="false">IF(LEFT(AL2355,1)="9","Celular",IF(AL2355="","","Fixo"))</f>
        <v/>
      </c>
      <c r="BB2355" s="72" t="str">
        <f aca="false">IF(BA2355&lt;&gt;"",VLOOKUP(BA2355,Selects!$B$4:$C$100,2,0),"")</f>
        <v/>
      </c>
      <c r="BG2355" s="75" t="str">
        <f aca="false">IF(LEN(BF2355)=11,"PF",IF(LEN(BF2355)=14,"PJ",""))</f>
        <v/>
      </c>
      <c r="BH2355" s="66"/>
      <c r="CB2355" s="72" t="str">
        <f aca="false">IF(AC2355&lt;&gt;"",VLOOKUP(AC2355,Selects!$B:$E,4,0),"")</f>
        <v/>
      </c>
    </row>
    <row r="2356" customFormat="false" ht="15" hidden="true" customHeight="false" outlineLevel="0" collapsed="false">
      <c r="E2356" s="60" t="str">
        <f aca="false">IF(LEN(D2356)=11,"PF",IF(LEN(D2356)=14,"PJ",""))</f>
        <v/>
      </c>
      <c r="AM2356" s="68" t="str">
        <f aca="false">IF(LEFT(AL2356,1)="9","Celular",IF(AL2356="","","Fixo"))</f>
        <v/>
      </c>
      <c r="BB2356" s="72" t="str">
        <f aca="false">IF(BA2356&lt;&gt;"",VLOOKUP(BA2356,Selects!$B$4:$C$100,2,0),"")</f>
        <v/>
      </c>
      <c r="BG2356" s="75" t="str">
        <f aca="false">IF(LEN(BF2356)=11,"PF",IF(LEN(BF2356)=14,"PJ",""))</f>
        <v/>
      </c>
      <c r="BH2356" s="66"/>
      <c r="CB2356" s="72" t="str">
        <f aca="false">IF(AC2356&lt;&gt;"",VLOOKUP(AC2356,Selects!$B:$E,4,0),"")</f>
        <v/>
      </c>
    </row>
    <row r="2357" customFormat="false" ht="15" hidden="true" customHeight="false" outlineLevel="0" collapsed="false">
      <c r="E2357" s="60" t="str">
        <f aca="false">IF(LEN(D2357)=11,"PF",IF(LEN(D2357)=14,"PJ",""))</f>
        <v/>
      </c>
      <c r="AM2357" s="68" t="str">
        <f aca="false">IF(LEFT(AL2357,1)="9","Celular",IF(AL2357="","","Fixo"))</f>
        <v/>
      </c>
      <c r="BB2357" s="72" t="str">
        <f aca="false">IF(BA2357&lt;&gt;"",VLOOKUP(BA2357,Selects!$B$4:$C$100,2,0),"")</f>
        <v/>
      </c>
      <c r="BG2357" s="75" t="str">
        <f aca="false">IF(LEN(BF2357)=11,"PF",IF(LEN(BF2357)=14,"PJ",""))</f>
        <v/>
      </c>
      <c r="BH2357" s="66"/>
      <c r="CB2357" s="72" t="str">
        <f aca="false">IF(AC2357&lt;&gt;"",VLOOKUP(AC2357,Selects!$B:$E,4,0),"")</f>
        <v/>
      </c>
    </row>
    <row r="2358" customFormat="false" ht="15" hidden="true" customHeight="false" outlineLevel="0" collapsed="false">
      <c r="E2358" s="60" t="str">
        <f aca="false">IF(LEN(D2358)=11,"PF",IF(LEN(D2358)=14,"PJ",""))</f>
        <v/>
      </c>
      <c r="AM2358" s="68" t="str">
        <f aca="false">IF(LEFT(AL2358,1)="9","Celular",IF(AL2358="","","Fixo"))</f>
        <v/>
      </c>
      <c r="BB2358" s="72" t="str">
        <f aca="false">IF(BA2358&lt;&gt;"",VLOOKUP(BA2358,Selects!$B$4:$C$100,2,0),"")</f>
        <v/>
      </c>
      <c r="BG2358" s="75" t="str">
        <f aca="false">IF(LEN(BF2358)=11,"PF",IF(LEN(BF2358)=14,"PJ",""))</f>
        <v/>
      </c>
      <c r="BH2358" s="66"/>
      <c r="CB2358" s="72" t="str">
        <f aca="false">IF(AC2358&lt;&gt;"",VLOOKUP(AC2358,Selects!$B:$E,4,0),"")</f>
        <v/>
      </c>
    </row>
    <row r="2359" customFormat="false" ht="15" hidden="true" customHeight="false" outlineLevel="0" collapsed="false">
      <c r="E2359" s="60" t="str">
        <f aca="false">IF(LEN(D2359)=11,"PF",IF(LEN(D2359)=14,"PJ",""))</f>
        <v/>
      </c>
      <c r="AM2359" s="68" t="str">
        <f aca="false">IF(LEFT(AL2359,1)="9","Celular",IF(AL2359="","","Fixo"))</f>
        <v/>
      </c>
      <c r="BB2359" s="72" t="str">
        <f aca="false">IF(BA2359&lt;&gt;"",VLOOKUP(BA2359,Selects!$B$4:$C$100,2,0),"")</f>
        <v/>
      </c>
      <c r="BG2359" s="75" t="str">
        <f aca="false">IF(LEN(BF2359)=11,"PF",IF(LEN(BF2359)=14,"PJ",""))</f>
        <v/>
      </c>
      <c r="BH2359" s="66"/>
      <c r="CB2359" s="72" t="str">
        <f aca="false">IF(AC2359&lt;&gt;"",VLOOKUP(AC2359,Selects!$B:$E,4,0),"")</f>
        <v/>
      </c>
    </row>
    <row r="2360" customFormat="false" ht="15" hidden="true" customHeight="false" outlineLevel="0" collapsed="false">
      <c r="E2360" s="60" t="str">
        <f aca="false">IF(LEN(D2360)=11,"PF",IF(LEN(D2360)=14,"PJ",""))</f>
        <v/>
      </c>
      <c r="AM2360" s="68" t="str">
        <f aca="false">IF(LEFT(AL2360,1)="9","Celular",IF(AL2360="","","Fixo"))</f>
        <v/>
      </c>
      <c r="BB2360" s="72" t="str">
        <f aca="false">IF(BA2360&lt;&gt;"",VLOOKUP(BA2360,Selects!$B$4:$C$100,2,0),"")</f>
        <v/>
      </c>
      <c r="BG2360" s="75" t="str">
        <f aca="false">IF(LEN(BF2360)=11,"PF",IF(LEN(BF2360)=14,"PJ",""))</f>
        <v/>
      </c>
      <c r="BH2360" s="66"/>
      <c r="CB2360" s="72" t="str">
        <f aca="false">IF(AC2360&lt;&gt;"",VLOOKUP(AC2360,Selects!$B:$E,4,0),"")</f>
        <v/>
      </c>
    </row>
    <row r="2361" customFormat="false" ht="15" hidden="true" customHeight="false" outlineLevel="0" collapsed="false">
      <c r="E2361" s="60" t="str">
        <f aca="false">IF(LEN(D2361)=11,"PF",IF(LEN(D2361)=14,"PJ",""))</f>
        <v/>
      </c>
      <c r="AM2361" s="68" t="str">
        <f aca="false">IF(LEFT(AL2361,1)="9","Celular",IF(AL2361="","","Fixo"))</f>
        <v/>
      </c>
      <c r="BB2361" s="72" t="str">
        <f aca="false">IF(BA2361&lt;&gt;"",VLOOKUP(BA2361,Selects!$B$4:$C$100,2,0),"")</f>
        <v/>
      </c>
      <c r="BG2361" s="75" t="str">
        <f aca="false">IF(LEN(BF2361)=11,"PF",IF(LEN(BF2361)=14,"PJ",""))</f>
        <v/>
      </c>
      <c r="BH2361" s="66"/>
      <c r="CB2361" s="72" t="str">
        <f aca="false">IF(AC2361&lt;&gt;"",VLOOKUP(AC2361,Selects!$B:$E,4,0),"")</f>
        <v/>
      </c>
    </row>
    <row r="2362" customFormat="false" ht="15" hidden="true" customHeight="false" outlineLevel="0" collapsed="false">
      <c r="E2362" s="60" t="str">
        <f aca="false">IF(LEN(D2362)=11,"PF",IF(LEN(D2362)=14,"PJ",""))</f>
        <v/>
      </c>
      <c r="AM2362" s="68" t="str">
        <f aca="false">IF(LEFT(AL2362,1)="9","Celular",IF(AL2362="","","Fixo"))</f>
        <v/>
      </c>
      <c r="BB2362" s="72" t="str">
        <f aca="false">IF(BA2362&lt;&gt;"",VLOOKUP(BA2362,Selects!$B$4:$C$100,2,0),"")</f>
        <v/>
      </c>
      <c r="BG2362" s="75" t="str">
        <f aca="false">IF(LEN(BF2362)=11,"PF",IF(LEN(BF2362)=14,"PJ",""))</f>
        <v/>
      </c>
      <c r="BH2362" s="66"/>
      <c r="CB2362" s="72" t="str">
        <f aca="false">IF(AC2362&lt;&gt;"",VLOOKUP(AC2362,Selects!$B:$E,4,0),"")</f>
        <v/>
      </c>
    </row>
    <row r="2363" customFormat="false" ht="15" hidden="true" customHeight="false" outlineLevel="0" collapsed="false">
      <c r="E2363" s="60" t="str">
        <f aca="false">IF(LEN(D2363)=11,"PF",IF(LEN(D2363)=14,"PJ",""))</f>
        <v/>
      </c>
      <c r="AM2363" s="68" t="str">
        <f aca="false">IF(LEFT(AL2363,1)="9","Celular",IF(AL2363="","","Fixo"))</f>
        <v/>
      </c>
      <c r="BB2363" s="72" t="str">
        <f aca="false">IF(BA2363&lt;&gt;"",VLOOKUP(BA2363,Selects!$B$4:$C$100,2,0),"")</f>
        <v/>
      </c>
      <c r="BG2363" s="75" t="str">
        <f aca="false">IF(LEN(BF2363)=11,"PF",IF(LEN(BF2363)=14,"PJ",""))</f>
        <v/>
      </c>
      <c r="BH2363" s="66"/>
      <c r="CB2363" s="72" t="str">
        <f aca="false">IF(AC2363&lt;&gt;"",VLOOKUP(AC2363,Selects!$B:$E,4,0),"")</f>
        <v/>
      </c>
    </row>
    <row r="2364" customFormat="false" ht="15" hidden="true" customHeight="false" outlineLevel="0" collapsed="false">
      <c r="E2364" s="60" t="str">
        <f aca="false">IF(LEN(D2364)=11,"PF",IF(LEN(D2364)=14,"PJ",""))</f>
        <v/>
      </c>
      <c r="AM2364" s="68" t="str">
        <f aca="false">IF(LEFT(AL2364,1)="9","Celular",IF(AL2364="","","Fixo"))</f>
        <v/>
      </c>
      <c r="BB2364" s="72" t="str">
        <f aca="false">IF(BA2364&lt;&gt;"",VLOOKUP(BA2364,Selects!$B$4:$C$100,2,0),"")</f>
        <v/>
      </c>
      <c r="BG2364" s="75" t="str">
        <f aca="false">IF(LEN(BF2364)=11,"PF",IF(LEN(BF2364)=14,"PJ",""))</f>
        <v/>
      </c>
      <c r="BH2364" s="66"/>
      <c r="CB2364" s="72" t="str">
        <f aca="false">IF(AC2364&lt;&gt;"",VLOOKUP(AC2364,Selects!$B:$E,4,0),"")</f>
        <v/>
      </c>
    </row>
    <row r="2365" customFormat="false" ht="15" hidden="true" customHeight="false" outlineLevel="0" collapsed="false">
      <c r="E2365" s="60" t="str">
        <f aca="false">IF(LEN(D2365)=11,"PF",IF(LEN(D2365)=14,"PJ",""))</f>
        <v/>
      </c>
      <c r="AM2365" s="68" t="str">
        <f aca="false">IF(LEFT(AL2365,1)="9","Celular",IF(AL2365="","","Fixo"))</f>
        <v/>
      </c>
      <c r="BB2365" s="72" t="str">
        <f aca="false">IF(BA2365&lt;&gt;"",VLOOKUP(BA2365,Selects!$B$4:$C$100,2,0),"")</f>
        <v/>
      </c>
      <c r="BG2365" s="75" t="str">
        <f aca="false">IF(LEN(BF2365)=11,"PF",IF(LEN(BF2365)=14,"PJ",""))</f>
        <v/>
      </c>
      <c r="BH2365" s="66"/>
      <c r="CB2365" s="72" t="str">
        <f aca="false">IF(AC2365&lt;&gt;"",VLOOKUP(AC2365,Selects!$B:$E,4,0),"")</f>
        <v/>
      </c>
    </row>
    <row r="2366" customFormat="false" ht="15" hidden="true" customHeight="false" outlineLevel="0" collapsed="false">
      <c r="E2366" s="60" t="str">
        <f aca="false">IF(LEN(D2366)=11,"PF",IF(LEN(D2366)=14,"PJ",""))</f>
        <v/>
      </c>
      <c r="AM2366" s="68" t="str">
        <f aca="false">IF(LEFT(AL2366,1)="9","Celular",IF(AL2366="","","Fixo"))</f>
        <v/>
      </c>
      <c r="BB2366" s="72" t="str">
        <f aca="false">IF(BA2366&lt;&gt;"",VLOOKUP(BA2366,Selects!$B$4:$C$100,2,0),"")</f>
        <v/>
      </c>
      <c r="BG2366" s="75" t="str">
        <f aca="false">IF(LEN(BF2366)=11,"PF",IF(LEN(BF2366)=14,"PJ",""))</f>
        <v/>
      </c>
      <c r="BH2366" s="66"/>
      <c r="CB2366" s="72" t="str">
        <f aca="false">IF(AC2366&lt;&gt;"",VLOOKUP(AC2366,Selects!$B:$E,4,0),"")</f>
        <v/>
      </c>
    </row>
    <row r="2367" customFormat="false" ht="15" hidden="true" customHeight="false" outlineLevel="0" collapsed="false">
      <c r="E2367" s="60" t="str">
        <f aca="false">IF(LEN(D2367)=11,"PF",IF(LEN(D2367)=14,"PJ",""))</f>
        <v/>
      </c>
      <c r="AM2367" s="68" t="str">
        <f aca="false">IF(LEFT(AL2367,1)="9","Celular",IF(AL2367="","","Fixo"))</f>
        <v/>
      </c>
      <c r="BB2367" s="72" t="str">
        <f aca="false">IF(BA2367&lt;&gt;"",VLOOKUP(BA2367,Selects!$B$4:$C$100,2,0),"")</f>
        <v/>
      </c>
      <c r="BG2367" s="75" t="str">
        <f aca="false">IF(LEN(BF2367)=11,"PF",IF(LEN(BF2367)=14,"PJ",""))</f>
        <v/>
      </c>
      <c r="BH2367" s="66"/>
      <c r="CB2367" s="72" t="str">
        <f aca="false">IF(AC2367&lt;&gt;"",VLOOKUP(AC2367,Selects!$B:$E,4,0),"")</f>
        <v/>
      </c>
    </row>
    <row r="2368" customFormat="false" ht="15" hidden="true" customHeight="false" outlineLevel="0" collapsed="false">
      <c r="E2368" s="60" t="str">
        <f aca="false">IF(LEN(D2368)=11,"PF",IF(LEN(D2368)=14,"PJ",""))</f>
        <v/>
      </c>
      <c r="AM2368" s="68" t="str">
        <f aca="false">IF(LEFT(AL2368,1)="9","Celular",IF(AL2368="","","Fixo"))</f>
        <v/>
      </c>
      <c r="BB2368" s="72" t="str">
        <f aca="false">IF(BA2368&lt;&gt;"",VLOOKUP(BA2368,Selects!$B$4:$C$100,2,0),"")</f>
        <v/>
      </c>
      <c r="BG2368" s="75" t="str">
        <f aca="false">IF(LEN(BF2368)=11,"PF",IF(LEN(BF2368)=14,"PJ",""))</f>
        <v/>
      </c>
      <c r="BH2368" s="66"/>
      <c r="CB2368" s="72" t="str">
        <f aca="false">IF(AC2368&lt;&gt;"",VLOOKUP(AC2368,Selects!$B:$E,4,0),"")</f>
        <v/>
      </c>
    </row>
    <row r="2369" customFormat="false" ht="15" hidden="true" customHeight="false" outlineLevel="0" collapsed="false">
      <c r="E2369" s="60" t="str">
        <f aca="false">IF(LEN(D2369)=11,"PF",IF(LEN(D2369)=14,"PJ",""))</f>
        <v/>
      </c>
      <c r="AM2369" s="68" t="str">
        <f aca="false">IF(LEFT(AL2369,1)="9","Celular",IF(AL2369="","","Fixo"))</f>
        <v/>
      </c>
      <c r="BB2369" s="72" t="str">
        <f aca="false">IF(BA2369&lt;&gt;"",VLOOKUP(BA2369,Selects!$B$4:$C$100,2,0),"")</f>
        <v/>
      </c>
      <c r="BG2369" s="75" t="str">
        <f aca="false">IF(LEN(BF2369)=11,"PF",IF(LEN(BF2369)=14,"PJ",""))</f>
        <v/>
      </c>
      <c r="BH2369" s="66"/>
      <c r="CB2369" s="72" t="str">
        <f aca="false">IF(AC2369&lt;&gt;"",VLOOKUP(AC2369,Selects!$B:$E,4,0),"")</f>
        <v/>
      </c>
    </row>
    <row r="2370" customFormat="false" ht="15" hidden="true" customHeight="false" outlineLevel="0" collapsed="false">
      <c r="E2370" s="60" t="str">
        <f aca="false">IF(LEN(D2370)=11,"PF",IF(LEN(D2370)=14,"PJ",""))</f>
        <v/>
      </c>
      <c r="AM2370" s="68" t="str">
        <f aca="false">IF(LEFT(AL2370,1)="9","Celular",IF(AL2370="","","Fixo"))</f>
        <v/>
      </c>
      <c r="BB2370" s="72" t="str">
        <f aca="false">IF(BA2370&lt;&gt;"",VLOOKUP(BA2370,Selects!$B$4:$C$100,2,0),"")</f>
        <v/>
      </c>
      <c r="BG2370" s="75" t="str">
        <f aca="false">IF(LEN(BF2370)=11,"PF",IF(LEN(BF2370)=14,"PJ",""))</f>
        <v/>
      </c>
      <c r="BH2370" s="66"/>
      <c r="CB2370" s="72" t="str">
        <f aca="false">IF(AC2370&lt;&gt;"",VLOOKUP(AC2370,Selects!$B:$E,4,0),"")</f>
        <v/>
      </c>
    </row>
    <row r="2371" customFormat="false" ht="15" hidden="true" customHeight="false" outlineLevel="0" collapsed="false">
      <c r="E2371" s="60" t="str">
        <f aca="false">IF(LEN(D2371)=11,"PF",IF(LEN(D2371)=14,"PJ",""))</f>
        <v/>
      </c>
      <c r="AM2371" s="68" t="str">
        <f aca="false">IF(LEFT(AL2371,1)="9","Celular",IF(AL2371="","","Fixo"))</f>
        <v/>
      </c>
      <c r="BB2371" s="72" t="str">
        <f aca="false">IF(BA2371&lt;&gt;"",VLOOKUP(BA2371,Selects!$B$4:$C$100,2,0),"")</f>
        <v/>
      </c>
      <c r="BG2371" s="75" t="str">
        <f aca="false">IF(LEN(BF2371)=11,"PF",IF(LEN(BF2371)=14,"PJ",""))</f>
        <v/>
      </c>
      <c r="BH2371" s="66"/>
      <c r="CB2371" s="72" t="str">
        <f aca="false">IF(AC2371&lt;&gt;"",VLOOKUP(AC2371,Selects!$B:$E,4,0),"")</f>
        <v/>
      </c>
    </row>
    <row r="2372" customFormat="false" ht="15" hidden="true" customHeight="false" outlineLevel="0" collapsed="false">
      <c r="E2372" s="60" t="str">
        <f aca="false">IF(LEN(D2372)=11,"PF",IF(LEN(D2372)=14,"PJ",""))</f>
        <v/>
      </c>
      <c r="AM2372" s="68" t="str">
        <f aca="false">IF(LEFT(AL2372,1)="9","Celular",IF(AL2372="","","Fixo"))</f>
        <v/>
      </c>
      <c r="BB2372" s="72" t="str">
        <f aca="false">IF(BA2372&lt;&gt;"",VLOOKUP(BA2372,Selects!$B$4:$C$100,2,0),"")</f>
        <v/>
      </c>
      <c r="BG2372" s="75" t="str">
        <f aca="false">IF(LEN(BF2372)=11,"PF",IF(LEN(BF2372)=14,"PJ",""))</f>
        <v/>
      </c>
      <c r="BH2372" s="66"/>
      <c r="CB2372" s="72" t="str">
        <f aca="false">IF(AC2372&lt;&gt;"",VLOOKUP(AC2372,Selects!$B:$E,4,0),"")</f>
        <v/>
      </c>
    </row>
    <row r="2373" customFormat="false" ht="15" hidden="true" customHeight="false" outlineLevel="0" collapsed="false">
      <c r="E2373" s="60" t="str">
        <f aca="false">IF(LEN(D2373)=11,"PF",IF(LEN(D2373)=14,"PJ",""))</f>
        <v/>
      </c>
      <c r="AM2373" s="68" t="str">
        <f aca="false">IF(LEFT(AL2373,1)="9","Celular",IF(AL2373="","","Fixo"))</f>
        <v/>
      </c>
      <c r="BB2373" s="72" t="str">
        <f aca="false">IF(BA2373&lt;&gt;"",VLOOKUP(BA2373,Selects!$B$4:$C$100,2,0),"")</f>
        <v/>
      </c>
      <c r="BG2373" s="75" t="str">
        <f aca="false">IF(LEN(BF2373)=11,"PF",IF(LEN(BF2373)=14,"PJ",""))</f>
        <v/>
      </c>
      <c r="BH2373" s="66"/>
      <c r="CB2373" s="72" t="str">
        <f aca="false">IF(AC2373&lt;&gt;"",VLOOKUP(AC2373,Selects!$B:$E,4,0),"")</f>
        <v/>
      </c>
    </row>
    <row r="2374" customFormat="false" ht="15" hidden="true" customHeight="false" outlineLevel="0" collapsed="false">
      <c r="E2374" s="60" t="str">
        <f aca="false">IF(LEN(D2374)=11,"PF",IF(LEN(D2374)=14,"PJ",""))</f>
        <v/>
      </c>
      <c r="AM2374" s="68" t="str">
        <f aca="false">IF(LEFT(AL2374,1)="9","Celular",IF(AL2374="","","Fixo"))</f>
        <v/>
      </c>
      <c r="BB2374" s="72" t="str">
        <f aca="false">IF(BA2374&lt;&gt;"",VLOOKUP(BA2374,Selects!$B$4:$C$100,2,0),"")</f>
        <v/>
      </c>
      <c r="BG2374" s="75" t="str">
        <f aca="false">IF(LEN(BF2374)=11,"PF",IF(LEN(BF2374)=14,"PJ",""))</f>
        <v/>
      </c>
      <c r="BH2374" s="66"/>
      <c r="CB2374" s="72" t="str">
        <f aca="false">IF(AC2374&lt;&gt;"",VLOOKUP(AC2374,Selects!$B:$E,4,0),"")</f>
        <v/>
      </c>
    </row>
    <row r="2375" customFormat="false" ht="15" hidden="true" customHeight="false" outlineLevel="0" collapsed="false">
      <c r="E2375" s="60" t="str">
        <f aca="false">IF(LEN(D2375)=11,"PF",IF(LEN(D2375)=14,"PJ",""))</f>
        <v/>
      </c>
      <c r="AM2375" s="68" t="str">
        <f aca="false">IF(LEFT(AL2375,1)="9","Celular",IF(AL2375="","","Fixo"))</f>
        <v/>
      </c>
      <c r="BB2375" s="72" t="str">
        <f aca="false">IF(BA2375&lt;&gt;"",VLOOKUP(BA2375,Selects!$B$4:$C$100,2,0),"")</f>
        <v/>
      </c>
      <c r="BG2375" s="75" t="str">
        <f aca="false">IF(LEN(BF2375)=11,"PF",IF(LEN(BF2375)=14,"PJ",""))</f>
        <v/>
      </c>
      <c r="BH2375" s="66"/>
      <c r="CB2375" s="72" t="str">
        <f aca="false">IF(AC2375&lt;&gt;"",VLOOKUP(AC2375,Selects!$B:$E,4,0),"")</f>
        <v/>
      </c>
    </row>
    <row r="2376" customFormat="false" ht="15" hidden="true" customHeight="false" outlineLevel="0" collapsed="false">
      <c r="E2376" s="60" t="str">
        <f aca="false">IF(LEN(D2376)=11,"PF",IF(LEN(D2376)=14,"PJ",""))</f>
        <v/>
      </c>
      <c r="AM2376" s="68" t="str">
        <f aca="false">IF(LEFT(AL2376,1)="9","Celular",IF(AL2376="","","Fixo"))</f>
        <v/>
      </c>
      <c r="BB2376" s="72" t="str">
        <f aca="false">IF(BA2376&lt;&gt;"",VLOOKUP(BA2376,Selects!$B$4:$C$100,2,0),"")</f>
        <v/>
      </c>
      <c r="BG2376" s="75" t="str">
        <f aca="false">IF(LEN(BF2376)=11,"PF",IF(LEN(BF2376)=14,"PJ",""))</f>
        <v/>
      </c>
      <c r="BH2376" s="66"/>
      <c r="CB2376" s="72" t="str">
        <f aca="false">IF(AC2376&lt;&gt;"",VLOOKUP(AC2376,Selects!$B:$E,4,0),"")</f>
        <v/>
      </c>
    </row>
    <row r="2377" customFormat="false" ht="15" hidden="true" customHeight="false" outlineLevel="0" collapsed="false">
      <c r="E2377" s="60" t="str">
        <f aca="false">IF(LEN(D2377)=11,"PF",IF(LEN(D2377)=14,"PJ",""))</f>
        <v/>
      </c>
      <c r="AM2377" s="68" t="str">
        <f aca="false">IF(LEFT(AL2377,1)="9","Celular",IF(AL2377="","","Fixo"))</f>
        <v/>
      </c>
      <c r="BB2377" s="72" t="str">
        <f aca="false">IF(BA2377&lt;&gt;"",VLOOKUP(BA2377,Selects!$B$4:$C$100,2,0),"")</f>
        <v/>
      </c>
      <c r="BG2377" s="75" t="str">
        <f aca="false">IF(LEN(BF2377)=11,"PF",IF(LEN(BF2377)=14,"PJ",""))</f>
        <v/>
      </c>
      <c r="BH2377" s="66"/>
      <c r="CB2377" s="72" t="str">
        <f aca="false">IF(AC2377&lt;&gt;"",VLOOKUP(AC2377,Selects!$B:$E,4,0),"")</f>
        <v/>
      </c>
    </row>
    <row r="2378" customFormat="false" ht="15" hidden="true" customHeight="false" outlineLevel="0" collapsed="false">
      <c r="E2378" s="60" t="str">
        <f aca="false">IF(LEN(D2378)=11,"PF",IF(LEN(D2378)=14,"PJ",""))</f>
        <v/>
      </c>
      <c r="AM2378" s="68" t="str">
        <f aca="false">IF(LEFT(AL2378,1)="9","Celular",IF(AL2378="","","Fixo"))</f>
        <v/>
      </c>
      <c r="BB2378" s="72" t="str">
        <f aca="false">IF(BA2378&lt;&gt;"",VLOOKUP(BA2378,Selects!$B$4:$C$100,2,0),"")</f>
        <v/>
      </c>
      <c r="BG2378" s="75" t="str">
        <f aca="false">IF(LEN(BF2378)=11,"PF",IF(LEN(BF2378)=14,"PJ",""))</f>
        <v/>
      </c>
      <c r="BH2378" s="66"/>
      <c r="CB2378" s="72" t="str">
        <f aca="false">IF(AC2378&lt;&gt;"",VLOOKUP(AC2378,Selects!$B:$E,4,0),"")</f>
        <v/>
      </c>
    </row>
    <row r="2379" customFormat="false" ht="15" hidden="true" customHeight="false" outlineLevel="0" collapsed="false">
      <c r="E2379" s="60" t="str">
        <f aca="false">IF(LEN(D2379)=11,"PF",IF(LEN(D2379)=14,"PJ",""))</f>
        <v/>
      </c>
      <c r="AM2379" s="68" t="str">
        <f aca="false">IF(LEFT(AL2379,1)="9","Celular",IF(AL2379="","","Fixo"))</f>
        <v/>
      </c>
      <c r="BB2379" s="72" t="str">
        <f aca="false">IF(BA2379&lt;&gt;"",VLOOKUP(BA2379,Selects!$B$4:$C$100,2,0),"")</f>
        <v/>
      </c>
      <c r="BG2379" s="75" t="str">
        <f aca="false">IF(LEN(BF2379)=11,"PF",IF(LEN(BF2379)=14,"PJ",""))</f>
        <v/>
      </c>
      <c r="BH2379" s="66"/>
      <c r="CB2379" s="72" t="str">
        <f aca="false">IF(AC2379&lt;&gt;"",VLOOKUP(AC2379,Selects!$B:$E,4,0),"")</f>
        <v/>
      </c>
    </row>
    <row r="2380" customFormat="false" ht="15" hidden="true" customHeight="false" outlineLevel="0" collapsed="false">
      <c r="E2380" s="60" t="str">
        <f aca="false">IF(LEN(D2380)=11,"PF",IF(LEN(D2380)=14,"PJ",""))</f>
        <v/>
      </c>
      <c r="AM2380" s="68" t="str">
        <f aca="false">IF(LEFT(AL2380,1)="9","Celular",IF(AL2380="","","Fixo"))</f>
        <v/>
      </c>
      <c r="BB2380" s="72" t="str">
        <f aca="false">IF(BA2380&lt;&gt;"",VLOOKUP(BA2380,Selects!$B$4:$C$100,2,0),"")</f>
        <v/>
      </c>
      <c r="BG2380" s="75" t="str">
        <f aca="false">IF(LEN(BF2380)=11,"PF",IF(LEN(BF2380)=14,"PJ",""))</f>
        <v/>
      </c>
      <c r="BH2380" s="66"/>
      <c r="CB2380" s="72" t="str">
        <f aca="false">IF(AC2380&lt;&gt;"",VLOOKUP(AC2380,Selects!$B:$E,4,0),"")</f>
        <v/>
      </c>
    </row>
    <row r="2381" customFormat="false" ht="15" hidden="true" customHeight="false" outlineLevel="0" collapsed="false">
      <c r="E2381" s="60" t="str">
        <f aca="false">IF(LEN(D2381)=11,"PF",IF(LEN(D2381)=14,"PJ",""))</f>
        <v/>
      </c>
      <c r="AM2381" s="68" t="str">
        <f aca="false">IF(LEFT(AL2381,1)="9","Celular",IF(AL2381="","","Fixo"))</f>
        <v/>
      </c>
      <c r="BB2381" s="72" t="str">
        <f aca="false">IF(BA2381&lt;&gt;"",VLOOKUP(BA2381,Selects!$B$4:$C$100,2,0),"")</f>
        <v/>
      </c>
      <c r="BG2381" s="75" t="str">
        <f aca="false">IF(LEN(BF2381)=11,"PF",IF(LEN(BF2381)=14,"PJ",""))</f>
        <v/>
      </c>
      <c r="BH2381" s="66"/>
      <c r="CB2381" s="72" t="str">
        <f aca="false">IF(AC2381&lt;&gt;"",VLOOKUP(AC2381,Selects!$B:$E,4,0),"")</f>
        <v/>
      </c>
    </row>
    <row r="2382" customFormat="false" ht="15" hidden="true" customHeight="false" outlineLevel="0" collapsed="false">
      <c r="E2382" s="60" t="str">
        <f aca="false">IF(LEN(D2382)=11,"PF",IF(LEN(D2382)=14,"PJ",""))</f>
        <v/>
      </c>
      <c r="AM2382" s="68" t="str">
        <f aca="false">IF(LEFT(AL2382,1)="9","Celular",IF(AL2382="","","Fixo"))</f>
        <v/>
      </c>
      <c r="BB2382" s="72" t="str">
        <f aca="false">IF(BA2382&lt;&gt;"",VLOOKUP(BA2382,Selects!$B$4:$C$100,2,0),"")</f>
        <v/>
      </c>
      <c r="BG2382" s="75" t="str">
        <f aca="false">IF(LEN(BF2382)=11,"PF",IF(LEN(BF2382)=14,"PJ",""))</f>
        <v/>
      </c>
      <c r="BH2382" s="66"/>
      <c r="CB2382" s="72" t="str">
        <f aca="false">IF(AC2382&lt;&gt;"",VLOOKUP(AC2382,Selects!$B:$E,4,0),"")</f>
        <v/>
      </c>
    </row>
    <row r="2383" customFormat="false" ht="15" hidden="true" customHeight="false" outlineLevel="0" collapsed="false">
      <c r="E2383" s="60" t="str">
        <f aca="false">IF(LEN(D2383)=11,"PF",IF(LEN(D2383)=14,"PJ",""))</f>
        <v/>
      </c>
      <c r="AM2383" s="68" t="str">
        <f aca="false">IF(LEFT(AL2383,1)="9","Celular",IF(AL2383="","","Fixo"))</f>
        <v/>
      </c>
      <c r="BB2383" s="72" t="str">
        <f aca="false">IF(BA2383&lt;&gt;"",VLOOKUP(BA2383,Selects!$B$4:$C$100,2,0),"")</f>
        <v/>
      </c>
      <c r="BG2383" s="75" t="str">
        <f aca="false">IF(LEN(BF2383)=11,"PF",IF(LEN(BF2383)=14,"PJ",""))</f>
        <v/>
      </c>
      <c r="BH2383" s="66"/>
      <c r="CB2383" s="72" t="str">
        <f aca="false">IF(AC2383&lt;&gt;"",VLOOKUP(AC2383,Selects!$B:$E,4,0),"")</f>
        <v/>
      </c>
    </row>
    <row r="2384" customFormat="false" ht="15" hidden="true" customHeight="false" outlineLevel="0" collapsed="false">
      <c r="E2384" s="60" t="str">
        <f aca="false">IF(LEN(D2384)=11,"PF",IF(LEN(D2384)=14,"PJ",""))</f>
        <v/>
      </c>
      <c r="AM2384" s="68" t="str">
        <f aca="false">IF(LEFT(AL2384,1)="9","Celular",IF(AL2384="","","Fixo"))</f>
        <v/>
      </c>
      <c r="BB2384" s="72" t="str">
        <f aca="false">IF(BA2384&lt;&gt;"",VLOOKUP(BA2384,Selects!$B$4:$C$100,2,0),"")</f>
        <v/>
      </c>
      <c r="BG2384" s="75" t="str">
        <f aca="false">IF(LEN(BF2384)=11,"PF",IF(LEN(BF2384)=14,"PJ",""))</f>
        <v/>
      </c>
      <c r="BH2384" s="66"/>
      <c r="CB2384" s="72" t="str">
        <f aca="false">IF(AC2384&lt;&gt;"",VLOOKUP(AC2384,Selects!$B:$E,4,0),"")</f>
        <v/>
      </c>
    </row>
    <row r="2385" customFormat="false" ht="15" hidden="true" customHeight="false" outlineLevel="0" collapsed="false">
      <c r="E2385" s="60" t="str">
        <f aca="false">IF(LEN(D2385)=11,"PF",IF(LEN(D2385)=14,"PJ",""))</f>
        <v/>
      </c>
      <c r="AM2385" s="68" t="str">
        <f aca="false">IF(LEFT(AL2385,1)="9","Celular",IF(AL2385="","","Fixo"))</f>
        <v/>
      </c>
      <c r="BB2385" s="72" t="str">
        <f aca="false">IF(BA2385&lt;&gt;"",VLOOKUP(BA2385,Selects!$B$4:$C$100,2,0),"")</f>
        <v/>
      </c>
      <c r="BG2385" s="75" t="str">
        <f aca="false">IF(LEN(BF2385)=11,"PF",IF(LEN(BF2385)=14,"PJ",""))</f>
        <v/>
      </c>
      <c r="BH2385" s="66"/>
      <c r="CB2385" s="72" t="str">
        <f aca="false">IF(AC2385&lt;&gt;"",VLOOKUP(AC2385,Selects!$B:$E,4,0),"")</f>
        <v/>
      </c>
    </row>
    <row r="2386" customFormat="false" ht="15" hidden="true" customHeight="false" outlineLevel="0" collapsed="false">
      <c r="E2386" s="60" t="str">
        <f aca="false">IF(LEN(D2386)=11,"PF",IF(LEN(D2386)=14,"PJ",""))</f>
        <v/>
      </c>
      <c r="AM2386" s="68" t="str">
        <f aca="false">IF(LEFT(AL2386,1)="9","Celular",IF(AL2386="","","Fixo"))</f>
        <v/>
      </c>
      <c r="BB2386" s="72" t="str">
        <f aca="false">IF(BA2386&lt;&gt;"",VLOOKUP(BA2386,Selects!$B$4:$C$100,2,0),"")</f>
        <v/>
      </c>
      <c r="BG2386" s="75" t="str">
        <f aca="false">IF(LEN(BF2386)=11,"PF",IF(LEN(BF2386)=14,"PJ",""))</f>
        <v/>
      </c>
      <c r="BH2386" s="66"/>
      <c r="CB2386" s="72" t="str">
        <f aca="false">IF(AC2386&lt;&gt;"",VLOOKUP(AC2386,Selects!$B:$E,4,0),"")</f>
        <v/>
      </c>
    </row>
    <row r="2387" customFormat="false" ht="15" hidden="true" customHeight="false" outlineLevel="0" collapsed="false">
      <c r="E2387" s="60" t="str">
        <f aca="false">IF(LEN(D2387)=11,"PF",IF(LEN(D2387)=14,"PJ",""))</f>
        <v/>
      </c>
      <c r="AM2387" s="68" t="str">
        <f aca="false">IF(LEFT(AL2387,1)="9","Celular",IF(AL2387="","","Fixo"))</f>
        <v/>
      </c>
      <c r="BB2387" s="72" t="str">
        <f aca="false">IF(BA2387&lt;&gt;"",VLOOKUP(BA2387,Selects!$B$4:$C$100,2,0),"")</f>
        <v/>
      </c>
      <c r="BG2387" s="75" t="str">
        <f aca="false">IF(LEN(BF2387)=11,"PF",IF(LEN(BF2387)=14,"PJ",""))</f>
        <v/>
      </c>
      <c r="BH2387" s="66"/>
      <c r="CB2387" s="72" t="str">
        <f aca="false">IF(AC2387&lt;&gt;"",VLOOKUP(AC2387,Selects!$B:$E,4,0),"")</f>
        <v/>
      </c>
    </row>
    <row r="2388" customFormat="false" ht="15" hidden="true" customHeight="false" outlineLevel="0" collapsed="false">
      <c r="E2388" s="60" t="str">
        <f aca="false">IF(LEN(D2388)=11,"PF",IF(LEN(D2388)=14,"PJ",""))</f>
        <v/>
      </c>
      <c r="AM2388" s="68" t="str">
        <f aca="false">IF(LEFT(AL2388,1)="9","Celular",IF(AL2388="","","Fixo"))</f>
        <v/>
      </c>
      <c r="BB2388" s="72" t="str">
        <f aca="false">IF(BA2388&lt;&gt;"",VLOOKUP(BA2388,Selects!$B$4:$C$100,2,0),"")</f>
        <v/>
      </c>
      <c r="BG2388" s="75" t="str">
        <f aca="false">IF(LEN(BF2388)=11,"PF",IF(LEN(BF2388)=14,"PJ",""))</f>
        <v/>
      </c>
      <c r="BH2388" s="66"/>
      <c r="CB2388" s="72" t="str">
        <f aca="false">IF(AC2388&lt;&gt;"",VLOOKUP(AC2388,Selects!$B:$E,4,0),"")</f>
        <v/>
      </c>
    </row>
    <row r="2389" customFormat="false" ht="15" hidden="true" customHeight="false" outlineLevel="0" collapsed="false">
      <c r="E2389" s="60" t="str">
        <f aca="false">IF(LEN(D2389)=11,"PF",IF(LEN(D2389)=14,"PJ",""))</f>
        <v/>
      </c>
      <c r="AM2389" s="68" t="str">
        <f aca="false">IF(LEFT(AL2389,1)="9","Celular",IF(AL2389="","","Fixo"))</f>
        <v/>
      </c>
      <c r="BB2389" s="72" t="str">
        <f aca="false">IF(BA2389&lt;&gt;"",VLOOKUP(BA2389,Selects!$B$4:$C$100,2,0),"")</f>
        <v/>
      </c>
      <c r="BG2389" s="75" t="str">
        <f aca="false">IF(LEN(BF2389)=11,"PF",IF(LEN(BF2389)=14,"PJ",""))</f>
        <v/>
      </c>
      <c r="BH2389" s="66"/>
      <c r="CB2389" s="72" t="str">
        <f aca="false">IF(AC2389&lt;&gt;"",VLOOKUP(AC2389,Selects!$B:$E,4,0),"")</f>
        <v/>
      </c>
    </row>
    <row r="2390" customFormat="false" ht="15" hidden="true" customHeight="false" outlineLevel="0" collapsed="false">
      <c r="E2390" s="60" t="str">
        <f aca="false">IF(LEN(D2390)=11,"PF",IF(LEN(D2390)=14,"PJ",""))</f>
        <v/>
      </c>
      <c r="AM2390" s="68" t="str">
        <f aca="false">IF(LEFT(AL2390,1)="9","Celular",IF(AL2390="","","Fixo"))</f>
        <v/>
      </c>
      <c r="BB2390" s="72" t="str">
        <f aca="false">IF(BA2390&lt;&gt;"",VLOOKUP(BA2390,Selects!$B$4:$C$100,2,0),"")</f>
        <v/>
      </c>
      <c r="BG2390" s="75" t="str">
        <f aca="false">IF(LEN(BF2390)=11,"PF",IF(LEN(BF2390)=14,"PJ",""))</f>
        <v/>
      </c>
      <c r="BH2390" s="66"/>
      <c r="CB2390" s="72" t="str">
        <f aca="false">IF(AC2390&lt;&gt;"",VLOOKUP(AC2390,Selects!$B:$E,4,0),"")</f>
        <v/>
      </c>
    </row>
    <row r="2391" customFormat="false" ht="15" hidden="true" customHeight="false" outlineLevel="0" collapsed="false">
      <c r="E2391" s="60" t="str">
        <f aca="false">IF(LEN(D2391)=11,"PF",IF(LEN(D2391)=14,"PJ",""))</f>
        <v/>
      </c>
      <c r="AM2391" s="68" t="str">
        <f aca="false">IF(LEFT(AL2391,1)="9","Celular",IF(AL2391="","","Fixo"))</f>
        <v/>
      </c>
      <c r="BB2391" s="72" t="str">
        <f aca="false">IF(BA2391&lt;&gt;"",VLOOKUP(BA2391,Selects!$B$4:$C$100,2,0),"")</f>
        <v/>
      </c>
      <c r="BG2391" s="75" t="str">
        <f aca="false">IF(LEN(BF2391)=11,"PF",IF(LEN(BF2391)=14,"PJ",""))</f>
        <v/>
      </c>
      <c r="BH2391" s="66"/>
      <c r="CB2391" s="72" t="str">
        <f aca="false">IF(AC2391&lt;&gt;"",VLOOKUP(AC2391,Selects!$B:$E,4,0),"")</f>
        <v/>
      </c>
    </row>
    <row r="2392" customFormat="false" ht="15" hidden="true" customHeight="false" outlineLevel="0" collapsed="false">
      <c r="E2392" s="60" t="str">
        <f aca="false">IF(LEN(D2392)=11,"PF",IF(LEN(D2392)=14,"PJ",""))</f>
        <v/>
      </c>
      <c r="AM2392" s="68" t="str">
        <f aca="false">IF(LEFT(AL2392,1)="9","Celular",IF(AL2392="","","Fixo"))</f>
        <v/>
      </c>
      <c r="BB2392" s="72" t="str">
        <f aca="false">IF(BA2392&lt;&gt;"",VLOOKUP(BA2392,Selects!$B$4:$C$100,2,0),"")</f>
        <v/>
      </c>
      <c r="BG2392" s="75" t="str">
        <f aca="false">IF(LEN(BF2392)=11,"PF",IF(LEN(BF2392)=14,"PJ",""))</f>
        <v/>
      </c>
      <c r="BH2392" s="66"/>
      <c r="CB2392" s="72" t="str">
        <f aca="false">IF(AC2392&lt;&gt;"",VLOOKUP(AC2392,Selects!$B:$E,4,0),"")</f>
        <v/>
      </c>
    </row>
    <row r="2393" customFormat="false" ht="15" hidden="true" customHeight="false" outlineLevel="0" collapsed="false">
      <c r="E2393" s="60" t="str">
        <f aca="false">IF(LEN(D2393)=11,"PF",IF(LEN(D2393)=14,"PJ",""))</f>
        <v/>
      </c>
      <c r="AM2393" s="68" t="str">
        <f aca="false">IF(LEFT(AL2393,1)="9","Celular",IF(AL2393="","","Fixo"))</f>
        <v/>
      </c>
      <c r="BB2393" s="72" t="str">
        <f aca="false">IF(BA2393&lt;&gt;"",VLOOKUP(BA2393,Selects!$B$4:$C$100,2,0),"")</f>
        <v/>
      </c>
      <c r="BG2393" s="75" t="str">
        <f aca="false">IF(LEN(BF2393)=11,"PF",IF(LEN(BF2393)=14,"PJ",""))</f>
        <v/>
      </c>
      <c r="BH2393" s="66"/>
      <c r="CB2393" s="72" t="str">
        <f aca="false">IF(AC2393&lt;&gt;"",VLOOKUP(AC2393,Selects!$B:$E,4,0),"")</f>
        <v/>
      </c>
    </row>
    <row r="2394" customFormat="false" ht="15" hidden="true" customHeight="false" outlineLevel="0" collapsed="false">
      <c r="E2394" s="60" t="str">
        <f aca="false">IF(LEN(D2394)=11,"PF",IF(LEN(D2394)=14,"PJ",""))</f>
        <v/>
      </c>
      <c r="AM2394" s="68" t="str">
        <f aca="false">IF(LEFT(AL2394,1)="9","Celular",IF(AL2394="","","Fixo"))</f>
        <v/>
      </c>
      <c r="BB2394" s="72" t="str">
        <f aca="false">IF(BA2394&lt;&gt;"",VLOOKUP(BA2394,Selects!$B$4:$C$100,2,0),"")</f>
        <v/>
      </c>
      <c r="BG2394" s="75" t="str">
        <f aca="false">IF(LEN(BF2394)=11,"PF",IF(LEN(BF2394)=14,"PJ",""))</f>
        <v/>
      </c>
      <c r="BH2394" s="66"/>
      <c r="CB2394" s="72" t="str">
        <f aca="false">IF(AC2394&lt;&gt;"",VLOOKUP(AC2394,Selects!$B:$E,4,0),"")</f>
        <v/>
      </c>
    </row>
    <row r="2395" customFormat="false" ht="15" hidden="true" customHeight="false" outlineLevel="0" collapsed="false">
      <c r="E2395" s="60" t="str">
        <f aca="false">IF(LEN(D2395)=11,"PF",IF(LEN(D2395)=14,"PJ",""))</f>
        <v/>
      </c>
      <c r="AM2395" s="68" t="str">
        <f aca="false">IF(LEFT(AL2395,1)="9","Celular",IF(AL2395="","","Fixo"))</f>
        <v/>
      </c>
      <c r="BB2395" s="72" t="str">
        <f aca="false">IF(BA2395&lt;&gt;"",VLOOKUP(BA2395,Selects!$B$4:$C$100,2,0),"")</f>
        <v/>
      </c>
      <c r="BG2395" s="75" t="str">
        <f aca="false">IF(LEN(BF2395)=11,"PF",IF(LEN(BF2395)=14,"PJ",""))</f>
        <v/>
      </c>
      <c r="BH2395" s="66"/>
      <c r="CB2395" s="72" t="str">
        <f aca="false">IF(AC2395&lt;&gt;"",VLOOKUP(AC2395,Selects!$B:$E,4,0),"")</f>
        <v/>
      </c>
    </row>
    <row r="2396" customFormat="false" ht="15" hidden="true" customHeight="false" outlineLevel="0" collapsed="false">
      <c r="E2396" s="60" t="str">
        <f aca="false">IF(LEN(D2396)=11,"PF",IF(LEN(D2396)=14,"PJ",""))</f>
        <v/>
      </c>
      <c r="AM2396" s="68" t="str">
        <f aca="false">IF(LEFT(AL2396,1)="9","Celular",IF(AL2396="","","Fixo"))</f>
        <v/>
      </c>
      <c r="BB2396" s="72" t="str">
        <f aca="false">IF(BA2396&lt;&gt;"",VLOOKUP(BA2396,Selects!$B$4:$C$100,2,0),"")</f>
        <v/>
      </c>
      <c r="BG2396" s="75" t="str">
        <f aca="false">IF(LEN(BF2396)=11,"PF",IF(LEN(BF2396)=14,"PJ",""))</f>
        <v/>
      </c>
      <c r="BH2396" s="66"/>
      <c r="CB2396" s="72" t="str">
        <f aca="false">IF(AC2396&lt;&gt;"",VLOOKUP(AC2396,Selects!$B:$E,4,0),"")</f>
        <v/>
      </c>
    </row>
    <row r="2397" customFormat="false" ht="15" hidden="true" customHeight="false" outlineLevel="0" collapsed="false">
      <c r="E2397" s="60" t="str">
        <f aca="false">IF(LEN(D2397)=11,"PF",IF(LEN(D2397)=14,"PJ",""))</f>
        <v/>
      </c>
      <c r="AM2397" s="68" t="str">
        <f aca="false">IF(LEFT(AL2397,1)="9","Celular",IF(AL2397="","","Fixo"))</f>
        <v/>
      </c>
      <c r="BB2397" s="72" t="str">
        <f aca="false">IF(BA2397&lt;&gt;"",VLOOKUP(BA2397,Selects!$B$4:$C$100,2,0),"")</f>
        <v/>
      </c>
      <c r="BG2397" s="75" t="str">
        <f aca="false">IF(LEN(BF2397)=11,"PF",IF(LEN(BF2397)=14,"PJ",""))</f>
        <v/>
      </c>
      <c r="BH2397" s="66"/>
      <c r="CB2397" s="72" t="str">
        <f aca="false">IF(AC2397&lt;&gt;"",VLOOKUP(AC2397,Selects!$B:$E,4,0),"")</f>
        <v/>
      </c>
    </row>
    <row r="2398" customFormat="false" ht="15" hidden="true" customHeight="false" outlineLevel="0" collapsed="false">
      <c r="E2398" s="60" t="str">
        <f aca="false">IF(LEN(D2398)=11,"PF",IF(LEN(D2398)=14,"PJ",""))</f>
        <v/>
      </c>
      <c r="AM2398" s="68" t="str">
        <f aca="false">IF(LEFT(AL2398,1)="9","Celular",IF(AL2398="","","Fixo"))</f>
        <v/>
      </c>
      <c r="BB2398" s="72" t="str">
        <f aca="false">IF(BA2398&lt;&gt;"",VLOOKUP(BA2398,Selects!$B$4:$C$100,2,0),"")</f>
        <v/>
      </c>
      <c r="BG2398" s="75" t="str">
        <f aca="false">IF(LEN(BF2398)=11,"PF",IF(LEN(BF2398)=14,"PJ",""))</f>
        <v/>
      </c>
      <c r="BH2398" s="66"/>
      <c r="CB2398" s="72" t="str">
        <f aca="false">IF(AC2398&lt;&gt;"",VLOOKUP(AC2398,Selects!$B:$E,4,0),"")</f>
        <v/>
      </c>
    </row>
    <row r="2399" customFormat="false" ht="15" hidden="true" customHeight="false" outlineLevel="0" collapsed="false">
      <c r="E2399" s="60" t="str">
        <f aca="false">IF(LEN(D2399)=11,"PF",IF(LEN(D2399)=14,"PJ",""))</f>
        <v/>
      </c>
      <c r="AM2399" s="68" t="str">
        <f aca="false">IF(LEFT(AL2399,1)="9","Celular",IF(AL2399="","","Fixo"))</f>
        <v/>
      </c>
      <c r="BB2399" s="72" t="str">
        <f aca="false">IF(BA2399&lt;&gt;"",VLOOKUP(BA2399,Selects!$B$4:$C$100,2,0),"")</f>
        <v/>
      </c>
      <c r="BG2399" s="75" t="str">
        <f aca="false">IF(LEN(BF2399)=11,"PF",IF(LEN(BF2399)=14,"PJ",""))</f>
        <v/>
      </c>
      <c r="BH2399" s="66"/>
      <c r="CB2399" s="72" t="str">
        <f aca="false">IF(AC2399&lt;&gt;"",VLOOKUP(AC2399,Selects!$B:$E,4,0),"")</f>
        <v/>
      </c>
    </row>
    <row r="2400" customFormat="false" ht="15" hidden="true" customHeight="false" outlineLevel="0" collapsed="false">
      <c r="E2400" s="60" t="str">
        <f aca="false">IF(LEN(D2400)=11,"PF",IF(LEN(D2400)=14,"PJ",""))</f>
        <v/>
      </c>
      <c r="AM2400" s="68" t="str">
        <f aca="false">IF(LEFT(AL2400,1)="9","Celular",IF(AL2400="","","Fixo"))</f>
        <v/>
      </c>
      <c r="BB2400" s="72" t="str">
        <f aca="false">IF(BA2400&lt;&gt;"",VLOOKUP(BA2400,Selects!$B$4:$C$100,2,0),"")</f>
        <v/>
      </c>
      <c r="BG2400" s="75" t="str">
        <f aca="false">IF(LEN(BF2400)=11,"PF",IF(LEN(BF2400)=14,"PJ",""))</f>
        <v/>
      </c>
      <c r="BH2400" s="66"/>
      <c r="CB2400" s="72" t="str">
        <f aca="false">IF(AC2400&lt;&gt;"",VLOOKUP(AC2400,Selects!$B:$E,4,0),"")</f>
        <v/>
      </c>
    </row>
    <row r="2401" customFormat="false" ht="15" hidden="true" customHeight="false" outlineLevel="0" collapsed="false">
      <c r="E2401" s="60" t="str">
        <f aca="false">IF(LEN(D2401)=11,"PF",IF(LEN(D2401)=14,"PJ",""))</f>
        <v/>
      </c>
      <c r="AM2401" s="68" t="str">
        <f aca="false">IF(LEFT(AL2401,1)="9","Celular",IF(AL2401="","","Fixo"))</f>
        <v/>
      </c>
      <c r="BB2401" s="72" t="str">
        <f aca="false">IF(BA2401&lt;&gt;"",VLOOKUP(BA2401,Selects!$B$4:$C$100,2,0),"")</f>
        <v/>
      </c>
      <c r="BG2401" s="75" t="str">
        <f aca="false">IF(LEN(BF2401)=11,"PF",IF(LEN(BF2401)=14,"PJ",""))</f>
        <v/>
      </c>
      <c r="BH2401" s="66"/>
      <c r="CB2401" s="72" t="str">
        <f aca="false">IF(AC2401&lt;&gt;"",VLOOKUP(AC2401,Selects!$B:$E,4,0),"")</f>
        <v/>
      </c>
    </row>
    <row r="2402" customFormat="false" ht="15" hidden="true" customHeight="false" outlineLevel="0" collapsed="false">
      <c r="E2402" s="60" t="str">
        <f aca="false">IF(LEN(D2402)=11,"PF",IF(LEN(D2402)=14,"PJ",""))</f>
        <v/>
      </c>
      <c r="AM2402" s="68" t="str">
        <f aca="false">IF(LEFT(AL2402,1)="9","Celular",IF(AL2402="","","Fixo"))</f>
        <v/>
      </c>
      <c r="BB2402" s="72" t="str">
        <f aca="false">IF(BA2402&lt;&gt;"",VLOOKUP(BA2402,Selects!$B$4:$C$100,2,0),"")</f>
        <v/>
      </c>
      <c r="BG2402" s="75" t="str">
        <f aca="false">IF(LEN(BF2402)=11,"PF",IF(LEN(BF2402)=14,"PJ",""))</f>
        <v/>
      </c>
      <c r="BH2402" s="66"/>
      <c r="CB2402" s="72" t="str">
        <f aca="false">IF(AC2402&lt;&gt;"",VLOOKUP(AC2402,Selects!$B:$E,4,0),"")</f>
        <v/>
      </c>
    </row>
    <row r="2403" customFormat="false" ht="15" hidden="true" customHeight="false" outlineLevel="0" collapsed="false">
      <c r="E2403" s="60" t="str">
        <f aca="false">IF(LEN(D2403)=11,"PF",IF(LEN(D2403)=14,"PJ",""))</f>
        <v/>
      </c>
      <c r="AM2403" s="68" t="str">
        <f aca="false">IF(LEFT(AL2403,1)="9","Celular",IF(AL2403="","","Fixo"))</f>
        <v/>
      </c>
      <c r="BB2403" s="72" t="str">
        <f aca="false">IF(BA2403&lt;&gt;"",VLOOKUP(BA2403,Selects!$B$4:$C$100,2,0),"")</f>
        <v/>
      </c>
      <c r="BG2403" s="75" t="str">
        <f aca="false">IF(LEN(BF2403)=11,"PF",IF(LEN(BF2403)=14,"PJ",""))</f>
        <v/>
      </c>
      <c r="BH2403" s="66"/>
      <c r="CB2403" s="72" t="str">
        <f aca="false">IF(AC2403&lt;&gt;"",VLOOKUP(AC2403,Selects!$B:$E,4,0),"")</f>
        <v/>
      </c>
    </row>
    <row r="2404" customFormat="false" ht="15" hidden="true" customHeight="false" outlineLevel="0" collapsed="false">
      <c r="E2404" s="60" t="str">
        <f aca="false">IF(LEN(D2404)=11,"PF",IF(LEN(D2404)=14,"PJ",""))</f>
        <v/>
      </c>
      <c r="AM2404" s="68" t="str">
        <f aca="false">IF(LEFT(AL2404,1)="9","Celular",IF(AL2404="","","Fixo"))</f>
        <v/>
      </c>
      <c r="BB2404" s="72" t="str">
        <f aca="false">IF(BA2404&lt;&gt;"",VLOOKUP(BA2404,Selects!$B$4:$C$100,2,0),"")</f>
        <v/>
      </c>
      <c r="BG2404" s="75" t="str">
        <f aca="false">IF(LEN(BF2404)=11,"PF",IF(LEN(BF2404)=14,"PJ",""))</f>
        <v/>
      </c>
      <c r="BH2404" s="66"/>
      <c r="CB2404" s="72" t="str">
        <f aca="false">IF(AC2404&lt;&gt;"",VLOOKUP(AC2404,Selects!$B:$E,4,0),"")</f>
        <v/>
      </c>
    </row>
    <row r="2405" customFormat="false" ht="15" hidden="true" customHeight="false" outlineLevel="0" collapsed="false">
      <c r="E2405" s="60" t="str">
        <f aca="false">IF(LEN(D2405)=11,"PF",IF(LEN(D2405)=14,"PJ",""))</f>
        <v/>
      </c>
      <c r="AM2405" s="68" t="str">
        <f aca="false">IF(LEFT(AL2405,1)="9","Celular",IF(AL2405="","","Fixo"))</f>
        <v/>
      </c>
      <c r="BB2405" s="72" t="str">
        <f aca="false">IF(BA2405&lt;&gt;"",VLOOKUP(BA2405,Selects!$B$4:$C$100,2,0),"")</f>
        <v/>
      </c>
      <c r="BG2405" s="75" t="str">
        <f aca="false">IF(LEN(BF2405)=11,"PF",IF(LEN(BF2405)=14,"PJ",""))</f>
        <v/>
      </c>
      <c r="BH2405" s="66"/>
      <c r="CB2405" s="72" t="str">
        <f aca="false">IF(AC2405&lt;&gt;"",VLOOKUP(AC2405,Selects!$B:$E,4,0),"")</f>
        <v/>
      </c>
    </row>
    <row r="2406" customFormat="false" ht="15" hidden="true" customHeight="false" outlineLevel="0" collapsed="false">
      <c r="E2406" s="60" t="str">
        <f aca="false">IF(LEN(D2406)=11,"PF",IF(LEN(D2406)=14,"PJ",""))</f>
        <v/>
      </c>
      <c r="AM2406" s="68" t="str">
        <f aca="false">IF(LEFT(AL2406,1)="9","Celular",IF(AL2406="","","Fixo"))</f>
        <v/>
      </c>
      <c r="BB2406" s="72" t="str">
        <f aca="false">IF(BA2406&lt;&gt;"",VLOOKUP(BA2406,Selects!$B$4:$C$100,2,0),"")</f>
        <v/>
      </c>
      <c r="BG2406" s="75" t="str">
        <f aca="false">IF(LEN(BF2406)=11,"PF",IF(LEN(BF2406)=14,"PJ",""))</f>
        <v/>
      </c>
      <c r="BH2406" s="66"/>
      <c r="CB2406" s="72" t="str">
        <f aca="false">IF(AC2406&lt;&gt;"",VLOOKUP(AC2406,Selects!$B:$E,4,0),"")</f>
        <v/>
      </c>
    </row>
    <row r="2407" customFormat="false" ht="15" hidden="true" customHeight="false" outlineLevel="0" collapsed="false">
      <c r="E2407" s="60" t="str">
        <f aca="false">IF(LEN(D2407)=11,"PF",IF(LEN(D2407)=14,"PJ",""))</f>
        <v/>
      </c>
      <c r="AM2407" s="68" t="str">
        <f aca="false">IF(LEFT(AL2407,1)="9","Celular",IF(AL2407="","","Fixo"))</f>
        <v/>
      </c>
      <c r="BB2407" s="72" t="str">
        <f aca="false">IF(BA2407&lt;&gt;"",VLOOKUP(BA2407,Selects!$B$4:$C$100,2,0),"")</f>
        <v/>
      </c>
      <c r="BG2407" s="75" t="str">
        <f aca="false">IF(LEN(BF2407)=11,"PF",IF(LEN(BF2407)=14,"PJ",""))</f>
        <v/>
      </c>
      <c r="BH2407" s="66"/>
      <c r="CB2407" s="72" t="str">
        <f aca="false">IF(AC2407&lt;&gt;"",VLOOKUP(AC2407,Selects!$B:$E,4,0),"")</f>
        <v/>
      </c>
    </row>
    <row r="2408" customFormat="false" ht="15" hidden="true" customHeight="false" outlineLevel="0" collapsed="false">
      <c r="E2408" s="60" t="str">
        <f aca="false">IF(LEN(D2408)=11,"PF",IF(LEN(D2408)=14,"PJ",""))</f>
        <v/>
      </c>
      <c r="AM2408" s="68" t="str">
        <f aca="false">IF(LEFT(AL2408,1)="9","Celular",IF(AL2408="","","Fixo"))</f>
        <v/>
      </c>
      <c r="BB2408" s="72" t="str">
        <f aca="false">IF(BA2408&lt;&gt;"",VLOOKUP(BA2408,Selects!$B$4:$C$100,2,0),"")</f>
        <v/>
      </c>
      <c r="BG2408" s="75" t="str">
        <f aca="false">IF(LEN(BF2408)=11,"PF",IF(LEN(BF2408)=14,"PJ",""))</f>
        <v/>
      </c>
      <c r="BH2408" s="66"/>
      <c r="CB2408" s="72" t="str">
        <f aca="false">IF(AC2408&lt;&gt;"",VLOOKUP(AC2408,Selects!$B:$E,4,0),"")</f>
        <v/>
      </c>
    </row>
    <row r="2409" customFormat="false" ht="15" hidden="true" customHeight="false" outlineLevel="0" collapsed="false">
      <c r="E2409" s="60" t="str">
        <f aca="false">IF(LEN(D2409)=11,"PF",IF(LEN(D2409)=14,"PJ",""))</f>
        <v/>
      </c>
      <c r="AM2409" s="68" t="str">
        <f aca="false">IF(LEFT(AL2409,1)="9","Celular",IF(AL2409="","","Fixo"))</f>
        <v/>
      </c>
      <c r="BB2409" s="72" t="str">
        <f aca="false">IF(BA2409&lt;&gt;"",VLOOKUP(BA2409,Selects!$B$4:$C$100,2,0),"")</f>
        <v/>
      </c>
      <c r="BG2409" s="75" t="str">
        <f aca="false">IF(LEN(BF2409)=11,"PF",IF(LEN(BF2409)=14,"PJ",""))</f>
        <v/>
      </c>
      <c r="BH2409" s="66"/>
      <c r="CB2409" s="72" t="str">
        <f aca="false">IF(AC2409&lt;&gt;"",VLOOKUP(AC2409,Selects!$B:$E,4,0),"")</f>
        <v/>
      </c>
    </row>
    <row r="2410" customFormat="false" ht="15" hidden="true" customHeight="false" outlineLevel="0" collapsed="false">
      <c r="E2410" s="60" t="str">
        <f aca="false">IF(LEN(D2410)=11,"PF",IF(LEN(D2410)=14,"PJ",""))</f>
        <v/>
      </c>
      <c r="AM2410" s="68" t="str">
        <f aca="false">IF(LEFT(AL2410,1)="9","Celular",IF(AL2410="","","Fixo"))</f>
        <v/>
      </c>
      <c r="BB2410" s="72" t="str">
        <f aca="false">IF(BA2410&lt;&gt;"",VLOOKUP(BA2410,Selects!$B$4:$C$100,2,0),"")</f>
        <v/>
      </c>
      <c r="BG2410" s="75" t="str">
        <f aca="false">IF(LEN(BF2410)=11,"PF",IF(LEN(BF2410)=14,"PJ",""))</f>
        <v/>
      </c>
      <c r="BH2410" s="66"/>
      <c r="CB2410" s="72" t="str">
        <f aca="false">IF(AC2410&lt;&gt;"",VLOOKUP(AC2410,Selects!$B:$E,4,0),"")</f>
        <v/>
      </c>
    </row>
    <row r="2411" customFormat="false" ht="15" hidden="true" customHeight="false" outlineLevel="0" collapsed="false">
      <c r="E2411" s="60" t="str">
        <f aca="false">IF(LEN(D2411)=11,"PF",IF(LEN(D2411)=14,"PJ",""))</f>
        <v/>
      </c>
      <c r="AM2411" s="68" t="str">
        <f aca="false">IF(LEFT(AL2411,1)="9","Celular",IF(AL2411="","","Fixo"))</f>
        <v/>
      </c>
      <c r="BB2411" s="72" t="str">
        <f aca="false">IF(BA2411&lt;&gt;"",VLOOKUP(BA2411,Selects!$B$4:$C$100,2,0),"")</f>
        <v/>
      </c>
      <c r="BG2411" s="75" t="str">
        <f aca="false">IF(LEN(BF2411)=11,"PF",IF(LEN(BF2411)=14,"PJ",""))</f>
        <v/>
      </c>
      <c r="BH2411" s="66"/>
      <c r="CB2411" s="72" t="str">
        <f aca="false">IF(AC2411&lt;&gt;"",VLOOKUP(AC2411,Selects!$B:$E,4,0),"")</f>
        <v/>
      </c>
    </row>
    <row r="2412" customFormat="false" ht="15" hidden="true" customHeight="false" outlineLevel="0" collapsed="false">
      <c r="E2412" s="60" t="str">
        <f aca="false">IF(LEN(D2412)=11,"PF",IF(LEN(D2412)=14,"PJ",""))</f>
        <v/>
      </c>
      <c r="AM2412" s="68" t="str">
        <f aca="false">IF(LEFT(AL2412,1)="9","Celular",IF(AL2412="","","Fixo"))</f>
        <v/>
      </c>
      <c r="BB2412" s="72" t="str">
        <f aca="false">IF(BA2412&lt;&gt;"",VLOOKUP(BA2412,Selects!$B$4:$C$100,2,0),"")</f>
        <v/>
      </c>
      <c r="BG2412" s="75" t="str">
        <f aca="false">IF(LEN(BF2412)=11,"PF",IF(LEN(BF2412)=14,"PJ",""))</f>
        <v/>
      </c>
      <c r="BH2412" s="66"/>
      <c r="CB2412" s="72" t="str">
        <f aca="false">IF(AC2412&lt;&gt;"",VLOOKUP(AC2412,Selects!$B:$E,4,0),"")</f>
        <v/>
      </c>
    </row>
    <row r="2413" customFormat="false" ht="15" hidden="true" customHeight="false" outlineLevel="0" collapsed="false">
      <c r="E2413" s="60" t="str">
        <f aca="false">IF(LEN(D2413)=11,"PF",IF(LEN(D2413)=14,"PJ",""))</f>
        <v/>
      </c>
      <c r="AM2413" s="68" t="str">
        <f aca="false">IF(LEFT(AL2413,1)="9","Celular",IF(AL2413="","","Fixo"))</f>
        <v/>
      </c>
      <c r="BB2413" s="72" t="str">
        <f aca="false">IF(BA2413&lt;&gt;"",VLOOKUP(BA2413,Selects!$B$4:$C$100,2,0),"")</f>
        <v/>
      </c>
      <c r="BG2413" s="75" t="str">
        <f aca="false">IF(LEN(BF2413)=11,"PF",IF(LEN(BF2413)=14,"PJ",""))</f>
        <v/>
      </c>
      <c r="BH2413" s="66"/>
      <c r="CB2413" s="72" t="str">
        <f aca="false">IF(AC2413&lt;&gt;"",VLOOKUP(AC2413,Selects!$B:$E,4,0),"")</f>
        <v/>
      </c>
    </row>
    <row r="2414" customFormat="false" ht="15" hidden="true" customHeight="false" outlineLevel="0" collapsed="false">
      <c r="E2414" s="60" t="str">
        <f aca="false">IF(LEN(D2414)=11,"PF",IF(LEN(D2414)=14,"PJ",""))</f>
        <v/>
      </c>
      <c r="AM2414" s="68" t="str">
        <f aca="false">IF(LEFT(AL2414,1)="9","Celular",IF(AL2414="","","Fixo"))</f>
        <v/>
      </c>
      <c r="BB2414" s="72" t="str">
        <f aca="false">IF(BA2414&lt;&gt;"",VLOOKUP(BA2414,Selects!$B$4:$C$100,2,0),"")</f>
        <v/>
      </c>
      <c r="BG2414" s="75" t="str">
        <f aca="false">IF(LEN(BF2414)=11,"PF",IF(LEN(BF2414)=14,"PJ",""))</f>
        <v/>
      </c>
      <c r="BH2414" s="66"/>
      <c r="CB2414" s="72" t="str">
        <f aca="false">IF(AC2414&lt;&gt;"",VLOOKUP(AC2414,Selects!$B:$E,4,0),"")</f>
        <v/>
      </c>
    </row>
    <row r="2415" customFormat="false" ht="15" hidden="true" customHeight="false" outlineLevel="0" collapsed="false">
      <c r="E2415" s="60" t="str">
        <f aca="false">IF(LEN(D2415)=11,"PF",IF(LEN(D2415)=14,"PJ",""))</f>
        <v/>
      </c>
      <c r="AM2415" s="68" t="str">
        <f aca="false">IF(LEFT(AL2415,1)="9","Celular",IF(AL2415="","","Fixo"))</f>
        <v/>
      </c>
      <c r="BB2415" s="72" t="str">
        <f aca="false">IF(BA2415&lt;&gt;"",VLOOKUP(BA2415,Selects!$B$4:$C$100,2,0),"")</f>
        <v/>
      </c>
      <c r="BG2415" s="75" t="str">
        <f aca="false">IF(LEN(BF2415)=11,"PF",IF(LEN(BF2415)=14,"PJ",""))</f>
        <v/>
      </c>
      <c r="BH2415" s="66"/>
      <c r="CB2415" s="72" t="str">
        <f aca="false">IF(AC2415&lt;&gt;"",VLOOKUP(AC2415,Selects!$B:$E,4,0),"")</f>
        <v/>
      </c>
    </row>
    <row r="2416" customFormat="false" ht="15" hidden="true" customHeight="false" outlineLevel="0" collapsed="false">
      <c r="E2416" s="60" t="str">
        <f aca="false">IF(LEN(D2416)=11,"PF",IF(LEN(D2416)=14,"PJ",""))</f>
        <v/>
      </c>
      <c r="AM2416" s="68" t="str">
        <f aca="false">IF(LEFT(AL2416,1)="9","Celular",IF(AL2416="","","Fixo"))</f>
        <v/>
      </c>
      <c r="BB2416" s="72" t="str">
        <f aca="false">IF(BA2416&lt;&gt;"",VLOOKUP(BA2416,Selects!$B$4:$C$100,2,0),"")</f>
        <v/>
      </c>
      <c r="BG2416" s="75" t="str">
        <f aca="false">IF(LEN(BF2416)=11,"PF",IF(LEN(BF2416)=14,"PJ",""))</f>
        <v/>
      </c>
      <c r="BH2416" s="66"/>
      <c r="CB2416" s="72" t="str">
        <f aca="false">IF(AC2416&lt;&gt;"",VLOOKUP(AC2416,Selects!$B:$E,4,0),"")</f>
        <v/>
      </c>
    </row>
    <row r="2417" customFormat="false" ht="15" hidden="true" customHeight="false" outlineLevel="0" collapsed="false">
      <c r="E2417" s="60" t="str">
        <f aca="false">IF(LEN(D2417)=11,"PF",IF(LEN(D2417)=14,"PJ",""))</f>
        <v/>
      </c>
      <c r="AM2417" s="68" t="str">
        <f aca="false">IF(LEFT(AL2417,1)="9","Celular",IF(AL2417="","","Fixo"))</f>
        <v/>
      </c>
      <c r="BB2417" s="72" t="str">
        <f aca="false">IF(BA2417&lt;&gt;"",VLOOKUP(BA2417,Selects!$B$4:$C$100,2,0),"")</f>
        <v/>
      </c>
      <c r="BG2417" s="75" t="str">
        <f aca="false">IF(LEN(BF2417)=11,"PF",IF(LEN(BF2417)=14,"PJ",""))</f>
        <v/>
      </c>
      <c r="BH2417" s="66"/>
      <c r="CB2417" s="72" t="str">
        <f aca="false">IF(AC2417&lt;&gt;"",VLOOKUP(AC2417,Selects!$B:$E,4,0),"")</f>
        <v/>
      </c>
    </row>
    <row r="2418" customFormat="false" ht="15" hidden="true" customHeight="false" outlineLevel="0" collapsed="false">
      <c r="E2418" s="60" t="str">
        <f aca="false">IF(LEN(D2418)=11,"PF",IF(LEN(D2418)=14,"PJ",""))</f>
        <v/>
      </c>
      <c r="AM2418" s="68" t="str">
        <f aca="false">IF(LEFT(AL2418,1)="9","Celular",IF(AL2418="","","Fixo"))</f>
        <v/>
      </c>
      <c r="BB2418" s="72" t="str">
        <f aca="false">IF(BA2418&lt;&gt;"",VLOOKUP(BA2418,Selects!$B$4:$C$100,2,0),"")</f>
        <v/>
      </c>
      <c r="BG2418" s="75" t="str">
        <f aca="false">IF(LEN(BF2418)=11,"PF",IF(LEN(BF2418)=14,"PJ",""))</f>
        <v/>
      </c>
      <c r="BH2418" s="66"/>
      <c r="CB2418" s="72" t="str">
        <f aca="false">IF(AC2418&lt;&gt;"",VLOOKUP(AC2418,Selects!$B:$E,4,0),"")</f>
        <v/>
      </c>
    </row>
    <row r="2419" customFormat="false" ht="15" hidden="true" customHeight="false" outlineLevel="0" collapsed="false">
      <c r="E2419" s="60" t="str">
        <f aca="false">IF(LEN(D2419)=11,"PF",IF(LEN(D2419)=14,"PJ",""))</f>
        <v/>
      </c>
      <c r="AM2419" s="68" t="str">
        <f aca="false">IF(LEFT(AL2419,1)="9","Celular",IF(AL2419="","","Fixo"))</f>
        <v/>
      </c>
      <c r="BB2419" s="72" t="str">
        <f aca="false">IF(BA2419&lt;&gt;"",VLOOKUP(BA2419,Selects!$B$4:$C$100,2,0),"")</f>
        <v/>
      </c>
      <c r="BG2419" s="75" t="str">
        <f aca="false">IF(LEN(BF2419)=11,"PF",IF(LEN(BF2419)=14,"PJ",""))</f>
        <v/>
      </c>
      <c r="BH2419" s="66"/>
      <c r="CB2419" s="72" t="str">
        <f aca="false">IF(AC2419&lt;&gt;"",VLOOKUP(AC2419,Selects!$B:$E,4,0),"")</f>
        <v/>
      </c>
    </row>
    <row r="2420" customFormat="false" ht="15" hidden="true" customHeight="false" outlineLevel="0" collapsed="false">
      <c r="E2420" s="60" t="str">
        <f aca="false">IF(LEN(D2420)=11,"PF",IF(LEN(D2420)=14,"PJ",""))</f>
        <v/>
      </c>
      <c r="AM2420" s="68" t="str">
        <f aca="false">IF(LEFT(AL2420,1)="9","Celular",IF(AL2420="","","Fixo"))</f>
        <v/>
      </c>
      <c r="BB2420" s="72" t="str">
        <f aca="false">IF(BA2420&lt;&gt;"",VLOOKUP(BA2420,Selects!$B$4:$C$100,2,0),"")</f>
        <v/>
      </c>
      <c r="BG2420" s="75" t="str">
        <f aca="false">IF(LEN(BF2420)=11,"PF",IF(LEN(BF2420)=14,"PJ",""))</f>
        <v/>
      </c>
      <c r="BH2420" s="66"/>
      <c r="CB2420" s="72" t="str">
        <f aca="false">IF(AC2420&lt;&gt;"",VLOOKUP(AC2420,Selects!$B:$E,4,0),"")</f>
        <v/>
      </c>
    </row>
    <row r="2421" customFormat="false" ht="15" hidden="true" customHeight="false" outlineLevel="0" collapsed="false">
      <c r="E2421" s="60" t="str">
        <f aca="false">IF(LEN(D2421)=11,"PF",IF(LEN(D2421)=14,"PJ",""))</f>
        <v/>
      </c>
      <c r="AM2421" s="68" t="str">
        <f aca="false">IF(LEFT(AL2421,1)="9","Celular",IF(AL2421="","","Fixo"))</f>
        <v/>
      </c>
      <c r="BB2421" s="72" t="str">
        <f aca="false">IF(BA2421&lt;&gt;"",VLOOKUP(BA2421,Selects!$B$4:$C$100,2,0),"")</f>
        <v/>
      </c>
      <c r="BG2421" s="75" t="str">
        <f aca="false">IF(LEN(BF2421)=11,"PF",IF(LEN(BF2421)=14,"PJ",""))</f>
        <v/>
      </c>
      <c r="BH2421" s="66"/>
      <c r="CB2421" s="72" t="str">
        <f aca="false">IF(AC2421&lt;&gt;"",VLOOKUP(AC2421,Selects!$B:$E,4,0),"")</f>
        <v/>
      </c>
    </row>
    <row r="2422" customFormat="false" ht="15" hidden="true" customHeight="false" outlineLevel="0" collapsed="false">
      <c r="E2422" s="60" t="str">
        <f aca="false">IF(LEN(D2422)=11,"PF",IF(LEN(D2422)=14,"PJ",""))</f>
        <v/>
      </c>
      <c r="AM2422" s="68" t="str">
        <f aca="false">IF(LEFT(AL2422,1)="9","Celular",IF(AL2422="","","Fixo"))</f>
        <v/>
      </c>
      <c r="BB2422" s="72" t="str">
        <f aca="false">IF(BA2422&lt;&gt;"",VLOOKUP(BA2422,Selects!$B$4:$C$100,2,0),"")</f>
        <v/>
      </c>
      <c r="BG2422" s="75" t="str">
        <f aca="false">IF(LEN(BF2422)=11,"PF",IF(LEN(BF2422)=14,"PJ",""))</f>
        <v/>
      </c>
      <c r="BH2422" s="66"/>
      <c r="CB2422" s="72" t="str">
        <f aca="false">IF(AC2422&lt;&gt;"",VLOOKUP(AC2422,Selects!$B:$E,4,0),"")</f>
        <v/>
      </c>
    </row>
    <row r="2423" customFormat="false" ht="15" hidden="true" customHeight="false" outlineLevel="0" collapsed="false">
      <c r="E2423" s="60" t="str">
        <f aca="false">IF(LEN(D2423)=11,"PF",IF(LEN(D2423)=14,"PJ",""))</f>
        <v/>
      </c>
      <c r="AM2423" s="68" t="str">
        <f aca="false">IF(LEFT(AL2423,1)="9","Celular",IF(AL2423="","","Fixo"))</f>
        <v/>
      </c>
      <c r="BB2423" s="72" t="str">
        <f aca="false">IF(BA2423&lt;&gt;"",VLOOKUP(BA2423,Selects!$B$4:$C$100,2,0),"")</f>
        <v/>
      </c>
      <c r="BG2423" s="75" t="str">
        <f aca="false">IF(LEN(BF2423)=11,"PF",IF(LEN(BF2423)=14,"PJ",""))</f>
        <v/>
      </c>
      <c r="BH2423" s="66"/>
      <c r="CB2423" s="72" t="str">
        <f aca="false">IF(AC2423&lt;&gt;"",VLOOKUP(AC2423,Selects!$B:$E,4,0),"")</f>
        <v/>
      </c>
    </row>
    <row r="2424" customFormat="false" ht="15" hidden="true" customHeight="false" outlineLevel="0" collapsed="false">
      <c r="E2424" s="60" t="str">
        <f aca="false">IF(LEN(D2424)=11,"PF",IF(LEN(D2424)=14,"PJ",""))</f>
        <v/>
      </c>
      <c r="AM2424" s="68" t="str">
        <f aca="false">IF(LEFT(AL2424,1)="9","Celular",IF(AL2424="","","Fixo"))</f>
        <v/>
      </c>
      <c r="BB2424" s="72" t="str">
        <f aca="false">IF(BA2424&lt;&gt;"",VLOOKUP(BA2424,Selects!$B$4:$C$100,2,0),"")</f>
        <v/>
      </c>
      <c r="BG2424" s="75" t="str">
        <f aca="false">IF(LEN(BF2424)=11,"PF",IF(LEN(BF2424)=14,"PJ",""))</f>
        <v/>
      </c>
      <c r="BH2424" s="66"/>
      <c r="CB2424" s="72" t="str">
        <f aca="false">IF(AC2424&lt;&gt;"",VLOOKUP(AC2424,Selects!$B:$E,4,0),"")</f>
        <v/>
      </c>
    </row>
    <row r="2425" customFormat="false" ht="15" hidden="true" customHeight="false" outlineLevel="0" collapsed="false">
      <c r="E2425" s="60" t="str">
        <f aca="false">IF(LEN(D2425)=11,"PF",IF(LEN(D2425)=14,"PJ",""))</f>
        <v/>
      </c>
      <c r="AM2425" s="68" t="str">
        <f aca="false">IF(LEFT(AL2425,1)="9","Celular",IF(AL2425="","","Fixo"))</f>
        <v/>
      </c>
      <c r="BB2425" s="72" t="str">
        <f aca="false">IF(BA2425&lt;&gt;"",VLOOKUP(BA2425,Selects!$B$4:$C$100,2,0),"")</f>
        <v/>
      </c>
      <c r="BG2425" s="75" t="str">
        <f aca="false">IF(LEN(BF2425)=11,"PF",IF(LEN(BF2425)=14,"PJ",""))</f>
        <v/>
      </c>
      <c r="BH2425" s="66"/>
      <c r="CB2425" s="72" t="str">
        <f aca="false">IF(AC2425&lt;&gt;"",VLOOKUP(AC2425,Selects!$B:$E,4,0),"")</f>
        <v/>
      </c>
    </row>
    <row r="2426" customFormat="false" ht="15" hidden="true" customHeight="false" outlineLevel="0" collapsed="false">
      <c r="E2426" s="60" t="str">
        <f aca="false">IF(LEN(D2426)=11,"PF",IF(LEN(D2426)=14,"PJ",""))</f>
        <v/>
      </c>
      <c r="AM2426" s="68" t="str">
        <f aca="false">IF(LEFT(AL2426,1)="9","Celular",IF(AL2426="","","Fixo"))</f>
        <v/>
      </c>
      <c r="BB2426" s="72" t="str">
        <f aca="false">IF(BA2426&lt;&gt;"",VLOOKUP(BA2426,Selects!$B$4:$C$100,2,0),"")</f>
        <v/>
      </c>
      <c r="BG2426" s="75" t="str">
        <f aca="false">IF(LEN(BF2426)=11,"PF",IF(LEN(BF2426)=14,"PJ",""))</f>
        <v/>
      </c>
      <c r="BH2426" s="66"/>
      <c r="CB2426" s="72" t="str">
        <f aca="false">IF(AC2426&lt;&gt;"",VLOOKUP(AC2426,Selects!$B:$E,4,0),"")</f>
        <v/>
      </c>
    </row>
    <row r="2427" customFormat="false" ht="15" hidden="true" customHeight="false" outlineLevel="0" collapsed="false">
      <c r="E2427" s="60" t="str">
        <f aca="false">IF(LEN(D2427)=11,"PF",IF(LEN(D2427)=14,"PJ",""))</f>
        <v/>
      </c>
      <c r="AM2427" s="68" t="str">
        <f aca="false">IF(LEFT(AL2427,1)="9","Celular",IF(AL2427="","","Fixo"))</f>
        <v/>
      </c>
      <c r="BB2427" s="72" t="str">
        <f aca="false">IF(BA2427&lt;&gt;"",VLOOKUP(BA2427,Selects!$B$4:$C$100,2,0),"")</f>
        <v/>
      </c>
      <c r="BG2427" s="75" t="str">
        <f aca="false">IF(LEN(BF2427)=11,"PF",IF(LEN(BF2427)=14,"PJ",""))</f>
        <v/>
      </c>
      <c r="BH2427" s="66"/>
      <c r="CB2427" s="72" t="str">
        <f aca="false">IF(AC2427&lt;&gt;"",VLOOKUP(AC2427,Selects!$B:$E,4,0),"")</f>
        <v/>
      </c>
    </row>
    <row r="2428" customFormat="false" ht="15" hidden="true" customHeight="false" outlineLevel="0" collapsed="false">
      <c r="E2428" s="60" t="str">
        <f aca="false">IF(LEN(D2428)=11,"PF",IF(LEN(D2428)=14,"PJ",""))</f>
        <v/>
      </c>
      <c r="AM2428" s="68" t="str">
        <f aca="false">IF(LEFT(AL2428,1)="9","Celular",IF(AL2428="","","Fixo"))</f>
        <v/>
      </c>
      <c r="BB2428" s="72" t="str">
        <f aca="false">IF(BA2428&lt;&gt;"",VLOOKUP(BA2428,Selects!$B$4:$C$100,2,0),"")</f>
        <v/>
      </c>
      <c r="BG2428" s="75" t="str">
        <f aca="false">IF(LEN(BF2428)=11,"PF",IF(LEN(BF2428)=14,"PJ",""))</f>
        <v/>
      </c>
      <c r="BH2428" s="66"/>
      <c r="CB2428" s="72" t="str">
        <f aca="false">IF(AC2428&lt;&gt;"",VLOOKUP(AC2428,Selects!$B:$E,4,0),"")</f>
        <v/>
      </c>
    </row>
    <row r="2429" customFormat="false" ht="15" hidden="true" customHeight="false" outlineLevel="0" collapsed="false">
      <c r="E2429" s="60" t="str">
        <f aca="false">IF(LEN(D2429)=11,"PF",IF(LEN(D2429)=14,"PJ",""))</f>
        <v/>
      </c>
      <c r="AM2429" s="68" t="str">
        <f aca="false">IF(LEFT(AL2429,1)="9","Celular",IF(AL2429="","","Fixo"))</f>
        <v/>
      </c>
      <c r="BB2429" s="72" t="str">
        <f aca="false">IF(BA2429&lt;&gt;"",VLOOKUP(BA2429,Selects!$B$4:$C$100,2,0),"")</f>
        <v/>
      </c>
      <c r="BG2429" s="75" t="str">
        <f aca="false">IF(LEN(BF2429)=11,"PF",IF(LEN(BF2429)=14,"PJ",""))</f>
        <v/>
      </c>
      <c r="BH2429" s="66"/>
      <c r="CB2429" s="72" t="str">
        <f aca="false">IF(AC2429&lt;&gt;"",VLOOKUP(AC2429,Selects!$B:$E,4,0),"")</f>
        <v/>
      </c>
    </row>
    <row r="2430" customFormat="false" ht="15" hidden="true" customHeight="false" outlineLevel="0" collapsed="false">
      <c r="E2430" s="60" t="str">
        <f aca="false">IF(LEN(D2430)=11,"PF",IF(LEN(D2430)=14,"PJ",""))</f>
        <v/>
      </c>
      <c r="AM2430" s="68" t="str">
        <f aca="false">IF(LEFT(AL2430,1)="9","Celular",IF(AL2430="","","Fixo"))</f>
        <v/>
      </c>
      <c r="BB2430" s="72" t="str">
        <f aca="false">IF(BA2430&lt;&gt;"",VLOOKUP(BA2430,Selects!$B$4:$C$100,2,0),"")</f>
        <v/>
      </c>
      <c r="BG2430" s="75" t="str">
        <f aca="false">IF(LEN(BF2430)=11,"PF",IF(LEN(BF2430)=14,"PJ",""))</f>
        <v/>
      </c>
      <c r="BH2430" s="66"/>
      <c r="CB2430" s="72" t="str">
        <f aca="false">IF(AC2430&lt;&gt;"",VLOOKUP(AC2430,Selects!$B:$E,4,0),"")</f>
        <v/>
      </c>
    </row>
    <row r="2431" customFormat="false" ht="15" hidden="true" customHeight="false" outlineLevel="0" collapsed="false">
      <c r="E2431" s="60" t="str">
        <f aca="false">IF(LEN(D2431)=11,"PF",IF(LEN(D2431)=14,"PJ",""))</f>
        <v/>
      </c>
      <c r="AM2431" s="68" t="str">
        <f aca="false">IF(LEFT(AL2431,1)="9","Celular",IF(AL2431="","","Fixo"))</f>
        <v/>
      </c>
      <c r="BB2431" s="72" t="str">
        <f aca="false">IF(BA2431&lt;&gt;"",VLOOKUP(BA2431,Selects!$B$4:$C$100,2,0),"")</f>
        <v/>
      </c>
      <c r="BG2431" s="75" t="str">
        <f aca="false">IF(LEN(BF2431)=11,"PF",IF(LEN(BF2431)=14,"PJ",""))</f>
        <v/>
      </c>
      <c r="BH2431" s="66"/>
      <c r="CB2431" s="72" t="str">
        <f aca="false">IF(AC2431&lt;&gt;"",VLOOKUP(AC2431,Selects!$B:$E,4,0),"")</f>
        <v/>
      </c>
    </row>
    <row r="2432" customFormat="false" ht="15" hidden="true" customHeight="false" outlineLevel="0" collapsed="false">
      <c r="E2432" s="60" t="str">
        <f aca="false">IF(LEN(D2432)=11,"PF",IF(LEN(D2432)=14,"PJ",""))</f>
        <v/>
      </c>
      <c r="AM2432" s="68" t="str">
        <f aca="false">IF(LEFT(AL2432,1)="9","Celular",IF(AL2432="","","Fixo"))</f>
        <v/>
      </c>
      <c r="BB2432" s="72" t="str">
        <f aca="false">IF(BA2432&lt;&gt;"",VLOOKUP(BA2432,Selects!$B$4:$C$100,2,0),"")</f>
        <v/>
      </c>
      <c r="BG2432" s="75" t="str">
        <f aca="false">IF(LEN(BF2432)=11,"PF",IF(LEN(BF2432)=14,"PJ",""))</f>
        <v/>
      </c>
      <c r="BH2432" s="66"/>
      <c r="CB2432" s="72" t="str">
        <f aca="false">IF(AC2432&lt;&gt;"",VLOOKUP(AC2432,Selects!$B:$E,4,0),"")</f>
        <v/>
      </c>
    </row>
    <row r="2433" customFormat="false" ht="15" hidden="true" customHeight="false" outlineLevel="0" collapsed="false">
      <c r="E2433" s="60" t="str">
        <f aca="false">IF(LEN(D2433)=11,"PF",IF(LEN(D2433)=14,"PJ",""))</f>
        <v/>
      </c>
      <c r="AM2433" s="68" t="str">
        <f aca="false">IF(LEFT(AL2433,1)="9","Celular",IF(AL2433="","","Fixo"))</f>
        <v/>
      </c>
      <c r="BB2433" s="72" t="str">
        <f aca="false">IF(BA2433&lt;&gt;"",VLOOKUP(BA2433,Selects!$B$4:$C$100,2,0),"")</f>
        <v/>
      </c>
      <c r="BG2433" s="75" t="str">
        <f aca="false">IF(LEN(BF2433)=11,"PF",IF(LEN(BF2433)=14,"PJ",""))</f>
        <v/>
      </c>
      <c r="BH2433" s="66"/>
      <c r="CB2433" s="72" t="str">
        <f aca="false">IF(AC2433&lt;&gt;"",VLOOKUP(AC2433,Selects!$B:$E,4,0),"")</f>
        <v/>
      </c>
    </row>
    <row r="2434" customFormat="false" ht="15" hidden="true" customHeight="false" outlineLevel="0" collapsed="false">
      <c r="E2434" s="60" t="str">
        <f aca="false">IF(LEN(D2434)=11,"PF",IF(LEN(D2434)=14,"PJ",""))</f>
        <v/>
      </c>
      <c r="AM2434" s="68" t="str">
        <f aca="false">IF(LEFT(AL2434,1)="9","Celular",IF(AL2434="","","Fixo"))</f>
        <v/>
      </c>
      <c r="BB2434" s="72" t="str">
        <f aca="false">IF(BA2434&lt;&gt;"",VLOOKUP(BA2434,Selects!$B$4:$C$100,2,0),"")</f>
        <v/>
      </c>
      <c r="BG2434" s="75" t="str">
        <f aca="false">IF(LEN(BF2434)=11,"PF",IF(LEN(BF2434)=14,"PJ",""))</f>
        <v/>
      </c>
      <c r="BH2434" s="66"/>
      <c r="CB2434" s="72" t="str">
        <f aca="false">IF(AC2434&lt;&gt;"",VLOOKUP(AC2434,Selects!$B:$E,4,0),"")</f>
        <v/>
      </c>
    </row>
    <row r="2435" customFormat="false" ht="15" hidden="true" customHeight="false" outlineLevel="0" collapsed="false">
      <c r="E2435" s="60" t="str">
        <f aca="false">IF(LEN(D2435)=11,"PF",IF(LEN(D2435)=14,"PJ",""))</f>
        <v/>
      </c>
      <c r="AM2435" s="68" t="str">
        <f aca="false">IF(LEFT(AL2435,1)="9","Celular",IF(AL2435="","","Fixo"))</f>
        <v/>
      </c>
      <c r="BB2435" s="72" t="str">
        <f aca="false">IF(BA2435&lt;&gt;"",VLOOKUP(BA2435,Selects!$B$4:$C$100,2,0),"")</f>
        <v/>
      </c>
      <c r="BG2435" s="75" t="str">
        <f aca="false">IF(LEN(BF2435)=11,"PF",IF(LEN(BF2435)=14,"PJ",""))</f>
        <v/>
      </c>
      <c r="BH2435" s="66"/>
      <c r="CB2435" s="72" t="str">
        <f aca="false">IF(AC2435&lt;&gt;"",VLOOKUP(AC2435,Selects!$B:$E,4,0),"")</f>
        <v/>
      </c>
    </row>
    <row r="2436" customFormat="false" ht="15" hidden="true" customHeight="false" outlineLevel="0" collapsed="false">
      <c r="E2436" s="60" t="str">
        <f aca="false">IF(LEN(D2436)=11,"PF",IF(LEN(D2436)=14,"PJ",""))</f>
        <v/>
      </c>
      <c r="AM2436" s="68" t="str">
        <f aca="false">IF(LEFT(AL2436,1)="9","Celular",IF(AL2436="","","Fixo"))</f>
        <v/>
      </c>
      <c r="BB2436" s="72" t="str">
        <f aca="false">IF(BA2436&lt;&gt;"",VLOOKUP(BA2436,Selects!$B$4:$C$100,2,0),"")</f>
        <v/>
      </c>
      <c r="BG2436" s="75" t="str">
        <f aca="false">IF(LEN(BF2436)=11,"PF",IF(LEN(BF2436)=14,"PJ",""))</f>
        <v/>
      </c>
      <c r="BH2436" s="66"/>
      <c r="CB2436" s="72" t="str">
        <f aca="false">IF(AC2436&lt;&gt;"",VLOOKUP(AC2436,Selects!$B:$E,4,0),"")</f>
        <v/>
      </c>
    </row>
    <row r="2437" customFormat="false" ht="15" hidden="true" customHeight="false" outlineLevel="0" collapsed="false">
      <c r="E2437" s="60" t="str">
        <f aca="false">IF(LEN(D2437)=11,"PF",IF(LEN(D2437)=14,"PJ",""))</f>
        <v/>
      </c>
      <c r="AM2437" s="68" t="str">
        <f aca="false">IF(LEFT(AL2437,1)="9","Celular",IF(AL2437="","","Fixo"))</f>
        <v/>
      </c>
      <c r="BB2437" s="72" t="str">
        <f aca="false">IF(BA2437&lt;&gt;"",VLOOKUP(BA2437,Selects!$B$4:$C$100,2,0),"")</f>
        <v/>
      </c>
      <c r="BG2437" s="75" t="str">
        <f aca="false">IF(LEN(BF2437)=11,"PF",IF(LEN(BF2437)=14,"PJ",""))</f>
        <v/>
      </c>
      <c r="BH2437" s="66"/>
      <c r="CB2437" s="72" t="str">
        <f aca="false">IF(AC2437&lt;&gt;"",VLOOKUP(AC2437,Selects!$B:$E,4,0),"")</f>
        <v/>
      </c>
    </row>
    <row r="2438" customFormat="false" ht="15" hidden="true" customHeight="false" outlineLevel="0" collapsed="false">
      <c r="E2438" s="60" t="str">
        <f aca="false">IF(LEN(D2438)=11,"PF",IF(LEN(D2438)=14,"PJ",""))</f>
        <v/>
      </c>
      <c r="AM2438" s="68" t="str">
        <f aca="false">IF(LEFT(AL2438,1)="9","Celular",IF(AL2438="","","Fixo"))</f>
        <v/>
      </c>
      <c r="BB2438" s="72" t="str">
        <f aca="false">IF(BA2438&lt;&gt;"",VLOOKUP(BA2438,Selects!$B$4:$C$100,2,0),"")</f>
        <v/>
      </c>
      <c r="BG2438" s="75" t="str">
        <f aca="false">IF(LEN(BF2438)=11,"PF",IF(LEN(BF2438)=14,"PJ",""))</f>
        <v/>
      </c>
      <c r="BH2438" s="66"/>
      <c r="CB2438" s="72" t="str">
        <f aca="false">IF(AC2438&lt;&gt;"",VLOOKUP(AC2438,Selects!$B:$E,4,0),"")</f>
        <v/>
      </c>
    </row>
    <row r="2439" customFormat="false" ht="15" hidden="true" customHeight="false" outlineLevel="0" collapsed="false">
      <c r="E2439" s="60" t="str">
        <f aca="false">IF(LEN(D2439)=11,"PF",IF(LEN(D2439)=14,"PJ",""))</f>
        <v/>
      </c>
      <c r="AM2439" s="68" t="str">
        <f aca="false">IF(LEFT(AL2439,1)="9","Celular",IF(AL2439="","","Fixo"))</f>
        <v/>
      </c>
      <c r="BB2439" s="72" t="str">
        <f aca="false">IF(BA2439&lt;&gt;"",VLOOKUP(BA2439,Selects!$B$4:$C$100,2,0),"")</f>
        <v/>
      </c>
      <c r="BG2439" s="75" t="str">
        <f aca="false">IF(LEN(BF2439)=11,"PF",IF(LEN(BF2439)=14,"PJ",""))</f>
        <v/>
      </c>
      <c r="BH2439" s="66"/>
      <c r="CB2439" s="72" t="str">
        <f aca="false">IF(AC2439&lt;&gt;"",VLOOKUP(AC2439,Selects!$B:$E,4,0),"")</f>
        <v/>
      </c>
    </row>
    <row r="2440" customFormat="false" ht="15" hidden="true" customHeight="false" outlineLevel="0" collapsed="false">
      <c r="E2440" s="60" t="str">
        <f aca="false">IF(LEN(D2440)=11,"PF",IF(LEN(D2440)=14,"PJ",""))</f>
        <v/>
      </c>
      <c r="AM2440" s="68" t="str">
        <f aca="false">IF(LEFT(AL2440,1)="9","Celular",IF(AL2440="","","Fixo"))</f>
        <v/>
      </c>
      <c r="BB2440" s="72" t="str">
        <f aca="false">IF(BA2440&lt;&gt;"",VLOOKUP(BA2440,Selects!$B$4:$C$100,2,0),"")</f>
        <v/>
      </c>
      <c r="BG2440" s="75" t="str">
        <f aca="false">IF(LEN(BF2440)=11,"PF",IF(LEN(BF2440)=14,"PJ",""))</f>
        <v/>
      </c>
      <c r="BH2440" s="66"/>
      <c r="CB2440" s="72" t="str">
        <f aca="false">IF(AC2440&lt;&gt;"",VLOOKUP(AC2440,Selects!$B:$E,4,0),"")</f>
        <v/>
      </c>
    </row>
    <row r="2441" customFormat="false" ht="15" hidden="true" customHeight="false" outlineLevel="0" collapsed="false">
      <c r="E2441" s="60" t="str">
        <f aca="false">IF(LEN(D2441)=11,"PF",IF(LEN(D2441)=14,"PJ",""))</f>
        <v/>
      </c>
      <c r="AM2441" s="68" t="str">
        <f aca="false">IF(LEFT(AL2441,1)="9","Celular",IF(AL2441="","","Fixo"))</f>
        <v/>
      </c>
      <c r="BB2441" s="72" t="str">
        <f aca="false">IF(BA2441&lt;&gt;"",VLOOKUP(BA2441,Selects!$B$4:$C$100,2,0),"")</f>
        <v/>
      </c>
      <c r="BG2441" s="75" t="str">
        <f aca="false">IF(LEN(BF2441)=11,"PF",IF(LEN(BF2441)=14,"PJ",""))</f>
        <v/>
      </c>
      <c r="BH2441" s="66"/>
      <c r="CB2441" s="72" t="str">
        <f aca="false">IF(AC2441&lt;&gt;"",VLOOKUP(AC2441,Selects!$B:$E,4,0),"")</f>
        <v/>
      </c>
    </row>
    <row r="2442" customFormat="false" ht="15" hidden="true" customHeight="false" outlineLevel="0" collapsed="false">
      <c r="E2442" s="60" t="str">
        <f aca="false">IF(LEN(D2442)=11,"PF",IF(LEN(D2442)=14,"PJ",""))</f>
        <v/>
      </c>
      <c r="AM2442" s="68" t="str">
        <f aca="false">IF(LEFT(AL2442,1)="9","Celular",IF(AL2442="","","Fixo"))</f>
        <v/>
      </c>
      <c r="BB2442" s="72" t="str">
        <f aca="false">IF(BA2442&lt;&gt;"",VLOOKUP(BA2442,Selects!$B$4:$C$100,2,0),"")</f>
        <v/>
      </c>
      <c r="BG2442" s="75" t="str">
        <f aca="false">IF(LEN(BF2442)=11,"PF",IF(LEN(BF2442)=14,"PJ",""))</f>
        <v/>
      </c>
      <c r="BH2442" s="66"/>
      <c r="CB2442" s="72" t="str">
        <f aca="false">IF(AC2442&lt;&gt;"",VLOOKUP(AC2442,Selects!$B:$E,4,0),"")</f>
        <v/>
      </c>
    </row>
    <row r="2443" customFormat="false" ht="15" hidden="true" customHeight="false" outlineLevel="0" collapsed="false">
      <c r="E2443" s="60" t="str">
        <f aca="false">IF(LEN(D2443)=11,"PF",IF(LEN(D2443)=14,"PJ",""))</f>
        <v/>
      </c>
      <c r="AM2443" s="68" t="str">
        <f aca="false">IF(LEFT(AL2443,1)="9","Celular",IF(AL2443="","","Fixo"))</f>
        <v/>
      </c>
      <c r="BB2443" s="72" t="str">
        <f aca="false">IF(BA2443&lt;&gt;"",VLOOKUP(BA2443,Selects!$B$4:$C$100,2,0),"")</f>
        <v/>
      </c>
      <c r="BG2443" s="75" t="str">
        <f aca="false">IF(LEN(BF2443)=11,"PF",IF(LEN(BF2443)=14,"PJ",""))</f>
        <v/>
      </c>
      <c r="BH2443" s="66"/>
      <c r="CB2443" s="72" t="str">
        <f aca="false">IF(AC2443&lt;&gt;"",VLOOKUP(AC2443,Selects!$B:$E,4,0),"")</f>
        <v/>
      </c>
    </row>
    <row r="2444" customFormat="false" ht="15" hidden="true" customHeight="false" outlineLevel="0" collapsed="false">
      <c r="E2444" s="60" t="str">
        <f aca="false">IF(LEN(D2444)=11,"PF",IF(LEN(D2444)=14,"PJ",""))</f>
        <v/>
      </c>
      <c r="AM2444" s="68" t="str">
        <f aca="false">IF(LEFT(AL2444,1)="9","Celular",IF(AL2444="","","Fixo"))</f>
        <v/>
      </c>
      <c r="BB2444" s="72" t="str">
        <f aca="false">IF(BA2444&lt;&gt;"",VLOOKUP(BA2444,Selects!$B$4:$C$100,2,0),"")</f>
        <v/>
      </c>
      <c r="BG2444" s="75" t="str">
        <f aca="false">IF(LEN(BF2444)=11,"PF",IF(LEN(BF2444)=14,"PJ",""))</f>
        <v/>
      </c>
      <c r="BH2444" s="66"/>
      <c r="CB2444" s="72" t="str">
        <f aca="false">IF(AC2444&lt;&gt;"",VLOOKUP(AC2444,Selects!$B:$E,4,0),"")</f>
        <v/>
      </c>
    </row>
    <row r="2445" customFormat="false" ht="15" hidden="true" customHeight="false" outlineLevel="0" collapsed="false">
      <c r="E2445" s="60" t="str">
        <f aca="false">IF(LEN(D2445)=11,"PF",IF(LEN(D2445)=14,"PJ",""))</f>
        <v/>
      </c>
      <c r="AM2445" s="68" t="str">
        <f aca="false">IF(LEFT(AL2445,1)="9","Celular",IF(AL2445="","","Fixo"))</f>
        <v/>
      </c>
      <c r="BB2445" s="72" t="str">
        <f aca="false">IF(BA2445&lt;&gt;"",VLOOKUP(BA2445,Selects!$B$4:$C$100,2,0),"")</f>
        <v/>
      </c>
      <c r="BG2445" s="75" t="str">
        <f aca="false">IF(LEN(BF2445)=11,"PF",IF(LEN(BF2445)=14,"PJ",""))</f>
        <v/>
      </c>
      <c r="BH2445" s="66"/>
      <c r="CB2445" s="72" t="str">
        <f aca="false">IF(AC2445&lt;&gt;"",VLOOKUP(AC2445,Selects!$B:$E,4,0),"")</f>
        <v/>
      </c>
    </row>
    <row r="2446" customFormat="false" ht="15" hidden="true" customHeight="false" outlineLevel="0" collapsed="false">
      <c r="E2446" s="60" t="str">
        <f aca="false">IF(LEN(D2446)=11,"PF",IF(LEN(D2446)=14,"PJ",""))</f>
        <v/>
      </c>
      <c r="AM2446" s="68" t="str">
        <f aca="false">IF(LEFT(AL2446,1)="9","Celular",IF(AL2446="","","Fixo"))</f>
        <v/>
      </c>
      <c r="BB2446" s="72" t="str">
        <f aca="false">IF(BA2446&lt;&gt;"",VLOOKUP(BA2446,Selects!$B$4:$C$100,2,0),"")</f>
        <v/>
      </c>
      <c r="BG2446" s="75" t="str">
        <f aca="false">IF(LEN(BF2446)=11,"PF",IF(LEN(BF2446)=14,"PJ",""))</f>
        <v/>
      </c>
      <c r="BH2446" s="66"/>
      <c r="CB2446" s="72" t="str">
        <f aca="false">IF(AC2446&lt;&gt;"",VLOOKUP(AC2446,Selects!$B:$E,4,0),"")</f>
        <v/>
      </c>
    </row>
    <row r="2447" customFormat="false" ht="15" hidden="true" customHeight="false" outlineLevel="0" collapsed="false">
      <c r="E2447" s="60" t="str">
        <f aca="false">IF(LEN(D2447)=11,"PF",IF(LEN(D2447)=14,"PJ",""))</f>
        <v/>
      </c>
      <c r="AM2447" s="68" t="str">
        <f aca="false">IF(LEFT(AL2447,1)="9","Celular",IF(AL2447="","","Fixo"))</f>
        <v/>
      </c>
      <c r="BB2447" s="72" t="str">
        <f aca="false">IF(BA2447&lt;&gt;"",VLOOKUP(BA2447,Selects!$B$4:$C$100,2,0),"")</f>
        <v/>
      </c>
      <c r="BG2447" s="75" t="str">
        <f aca="false">IF(LEN(BF2447)=11,"PF",IF(LEN(BF2447)=14,"PJ",""))</f>
        <v/>
      </c>
      <c r="BH2447" s="66"/>
      <c r="CB2447" s="72" t="str">
        <f aca="false">IF(AC2447&lt;&gt;"",VLOOKUP(AC2447,Selects!$B:$E,4,0),"")</f>
        <v/>
      </c>
    </row>
    <row r="2448" customFormat="false" ht="15" hidden="true" customHeight="false" outlineLevel="0" collapsed="false">
      <c r="E2448" s="60" t="str">
        <f aca="false">IF(LEN(D2448)=11,"PF",IF(LEN(D2448)=14,"PJ",""))</f>
        <v/>
      </c>
      <c r="AM2448" s="68" t="str">
        <f aca="false">IF(LEFT(AL2448,1)="9","Celular",IF(AL2448="","","Fixo"))</f>
        <v/>
      </c>
      <c r="BB2448" s="72" t="str">
        <f aca="false">IF(BA2448&lt;&gt;"",VLOOKUP(BA2448,Selects!$B$4:$C$100,2,0),"")</f>
        <v/>
      </c>
      <c r="BG2448" s="75" t="str">
        <f aca="false">IF(LEN(BF2448)=11,"PF",IF(LEN(BF2448)=14,"PJ",""))</f>
        <v/>
      </c>
      <c r="BH2448" s="66"/>
      <c r="CB2448" s="72" t="str">
        <f aca="false">IF(AC2448&lt;&gt;"",VLOOKUP(AC2448,Selects!$B:$E,4,0),"")</f>
        <v/>
      </c>
    </row>
    <row r="2449" customFormat="false" ht="15" hidden="true" customHeight="false" outlineLevel="0" collapsed="false">
      <c r="E2449" s="60" t="str">
        <f aca="false">IF(LEN(D2449)=11,"PF",IF(LEN(D2449)=14,"PJ",""))</f>
        <v/>
      </c>
      <c r="AM2449" s="68" t="str">
        <f aca="false">IF(LEFT(AL2449,1)="9","Celular",IF(AL2449="","","Fixo"))</f>
        <v/>
      </c>
      <c r="BB2449" s="72" t="str">
        <f aca="false">IF(BA2449&lt;&gt;"",VLOOKUP(BA2449,Selects!$B$4:$C$100,2,0),"")</f>
        <v/>
      </c>
      <c r="BG2449" s="75" t="str">
        <f aca="false">IF(LEN(BF2449)=11,"PF",IF(LEN(BF2449)=14,"PJ",""))</f>
        <v/>
      </c>
      <c r="BH2449" s="66"/>
      <c r="CB2449" s="72" t="str">
        <f aca="false">IF(AC2449&lt;&gt;"",VLOOKUP(AC2449,Selects!$B:$E,4,0),"")</f>
        <v/>
      </c>
    </row>
    <row r="2450" customFormat="false" ht="15" hidden="true" customHeight="false" outlineLevel="0" collapsed="false">
      <c r="E2450" s="60" t="str">
        <f aca="false">IF(LEN(D2450)=11,"PF",IF(LEN(D2450)=14,"PJ",""))</f>
        <v/>
      </c>
      <c r="AM2450" s="68" t="str">
        <f aca="false">IF(LEFT(AL2450,1)="9","Celular",IF(AL2450="","","Fixo"))</f>
        <v/>
      </c>
      <c r="BB2450" s="72" t="str">
        <f aca="false">IF(BA2450&lt;&gt;"",VLOOKUP(BA2450,Selects!$B$4:$C$100,2,0),"")</f>
        <v/>
      </c>
      <c r="BG2450" s="75" t="str">
        <f aca="false">IF(LEN(BF2450)=11,"PF",IF(LEN(BF2450)=14,"PJ",""))</f>
        <v/>
      </c>
      <c r="BH2450" s="66"/>
      <c r="CB2450" s="72" t="str">
        <f aca="false">IF(AC2450&lt;&gt;"",VLOOKUP(AC2450,Selects!$B:$E,4,0),"")</f>
        <v/>
      </c>
    </row>
    <row r="2451" customFormat="false" ht="15" hidden="true" customHeight="false" outlineLevel="0" collapsed="false">
      <c r="E2451" s="60" t="str">
        <f aca="false">IF(LEN(D2451)=11,"PF",IF(LEN(D2451)=14,"PJ",""))</f>
        <v/>
      </c>
      <c r="AM2451" s="68" t="str">
        <f aca="false">IF(LEFT(AL2451,1)="9","Celular",IF(AL2451="","","Fixo"))</f>
        <v/>
      </c>
      <c r="BB2451" s="72" t="str">
        <f aca="false">IF(BA2451&lt;&gt;"",VLOOKUP(BA2451,Selects!$B$4:$C$100,2,0),"")</f>
        <v/>
      </c>
      <c r="BG2451" s="75" t="str">
        <f aca="false">IF(LEN(BF2451)=11,"PF",IF(LEN(BF2451)=14,"PJ",""))</f>
        <v/>
      </c>
      <c r="BH2451" s="66"/>
      <c r="CB2451" s="72" t="str">
        <f aca="false">IF(AC2451&lt;&gt;"",VLOOKUP(AC2451,Selects!$B:$E,4,0),"")</f>
        <v/>
      </c>
    </row>
    <row r="2452" customFormat="false" ht="15" hidden="true" customHeight="false" outlineLevel="0" collapsed="false">
      <c r="E2452" s="60" t="str">
        <f aca="false">IF(LEN(D2452)=11,"PF",IF(LEN(D2452)=14,"PJ",""))</f>
        <v/>
      </c>
      <c r="AM2452" s="68" t="str">
        <f aca="false">IF(LEFT(AL2452,1)="9","Celular",IF(AL2452="","","Fixo"))</f>
        <v/>
      </c>
      <c r="BB2452" s="72" t="str">
        <f aca="false">IF(BA2452&lt;&gt;"",VLOOKUP(BA2452,Selects!$B$4:$C$100,2,0),"")</f>
        <v/>
      </c>
      <c r="BG2452" s="75" t="str">
        <f aca="false">IF(LEN(BF2452)=11,"PF",IF(LEN(BF2452)=14,"PJ",""))</f>
        <v/>
      </c>
      <c r="BH2452" s="66"/>
    </row>
    <row r="2453" customFormat="false" ht="15" hidden="true" customHeight="false" outlineLevel="0" collapsed="false">
      <c r="E2453" s="60" t="str">
        <f aca="false">IF(LEN(D2453)=11,"PF",IF(LEN(D2453)=14,"PJ",""))</f>
        <v/>
      </c>
      <c r="AM2453" s="68" t="str">
        <f aca="false">IF(LEFT(AL2453,1)="9","Celular",IF(AL2453="","","Fixo"))</f>
        <v/>
      </c>
      <c r="BB2453" s="72" t="str">
        <f aca="false">IF(BA2453&lt;&gt;"",VLOOKUP(BA2453,Selects!$B$4:$C$100,2,0),"")</f>
        <v/>
      </c>
      <c r="BG2453" s="75" t="str">
        <f aca="false">IF(LEN(BF2453)=11,"PF",IF(LEN(BF2453)=14,"PJ",""))</f>
        <v/>
      </c>
      <c r="BH2453" s="66"/>
    </row>
    <row r="2454" customFormat="false" ht="15" hidden="true" customHeight="false" outlineLevel="0" collapsed="false">
      <c r="E2454" s="60" t="str">
        <f aca="false">IF(LEN(D2454)=11,"PF",IF(LEN(D2454)=14,"PJ",""))</f>
        <v/>
      </c>
      <c r="AM2454" s="68" t="str">
        <f aca="false">IF(LEFT(AL2454,1)="9","Celular",IF(AL2454="","","Fixo"))</f>
        <v/>
      </c>
      <c r="BB2454" s="72" t="str">
        <f aca="false">IF(BA2454&lt;&gt;"",VLOOKUP(BA2454,Selects!$B$4:$C$100,2,0),"")</f>
        <v/>
      </c>
      <c r="BG2454" s="75" t="str">
        <f aca="false">IF(LEN(BF2454)=11,"PF",IF(LEN(BF2454)=14,"PJ",""))</f>
        <v/>
      </c>
      <c r="BH2454" s="66"/>
    </row>
    <row r="2455" customFormat="false" ht="15" hidden="true" customHeight="false" outlineLevel="0" collapsed="false">
      <c r="E2455" s="60" t="str">
        <f aca="false">IF(LEN(D2455)=11,"PF",IF(LEN(D2455)=14,"PJ",""))</f>
        <v/>
      </c>
      <c r="AM2455" s="68" t="str">
        <f aca="false">IF(LEFT(AL2455,1)="9","Celular",IF(AL2455="","","Fixo"))</f>
        <v/>
      </c>
      <c r="BB2455" s="72" t="str">
        <f aca="false">IF(BA2455&lt;&gt;"",VLOOKUP(BA2455,Selects!$B$4:$C$100,2,0),"")</f>
        <v/>
      </c>
      <c r="BG2455" s="75" t="str">
        <f aca="false">IF(LEN(BF2455)=11,"PF",IF(LEN(BF2455)=14,"PJ",""))</f>
        <v/>
      </c>
      <c r="BH2455" s="66"/>
    </row>
    <row r="2456" customFormat="false" ht="15" hidden="true" customHeight="false" outlineLevel="0" collapsed="false">
      <c r="E2456" s="60" t="str">
        <f aca="false">IF(LEN(D2456)=11,"PF",IF(LEN(D2456)=14,"PJ",""))</f>
        <v/>
      </c>
      <c r="AM2456" s="68" t="str">
        <f aca="false">IF(LEFT(AL2456,1)="9","Celular",IF(AL2456="","","Fixo"))</f>
        <v/>
      </c>
      <c r="BB2456" s="72" t="str">
        <f aca="false">IF(BA2456&lt;&gt;"",VLOOKUP(BA2456,Selects!$B$4:$C$100,2,0),"")</f>
        <v/>
      </c>
      <c r="BG2456" s="75" t="str">
        <f aca="false">IF(LEN(BF2456)=11,"PF",IF(LEN(BF2456)=14,"PJ",""))</f>
        <v/>
      </c>
      <c r="BH2456" s="66"/>
    </row>
    <row r="2457" customFormat="false" ht="15" hidden="true" customHeight="false" outlineLevel="0" collapsed="false">
      <c r="E2457" s="60" t="str">
        <f aca="false">IF(LEN(D2457)=11,"PF",IF(LEN(D2457)=14,"PJ",""))</f>
        <v/>
      </c>
      <c r="AM2457" s="68" t="str">
        <f aca="false">IF(LEFT(AL2457,1)="9","Celular",IF(AL2457="","","Fixo"))</f>
        <v/>
      </c>
      <c r="BB2457" s="72" t="str">
        <f aca="false">IF(BA2457&lt;&gt;"",VLOOKUP(BA2457,Selects!$B$4:$C$100,2,0),"")</f>
        <v/>
      </c>
      <c r="BG2457" s="75" t="str">
        <f aca="false">IF(LEN(BF2457)=11,"PF",IF(LEN(BF2457)=14,"PJ",""))</f>
        <v/>
      </c>
      <c r="BH2457" s="66"/>
    </row>
    <row r="2458" customFormat="false" ht="15" hidden="true" customHeight="false" outlineLevel="0" collapsed="false">
      <c r="E2458" s="60" t="str">
        <f aca="false">IF(LEN(D2458)=11,"PF",IF(LEN(D2458)=14,"PJ",""))</f>
        <v/>
      </c>
      <c r="AM2458" s="68" t="str">
        <f aca="false">IF(LEFT(AL2458,1)="9","Celular",IF(AL2458="","","Fixo"))</f>
        <v/>
      </c>
      <c r="BB2458" s="72" t="str">
        <f aca="false">IF(BA2458&lt;&gt;"",VLOOKUP(BA2458,Selects!$B$4:$C$100,2,0),"")</f>
        <v/>
      </c>
      <c r="BG2458" s="75" t="str">
        <f aca="false">IF(LEN(BF2458)=11,"PF",IF(LEN(BF2458)=14,"PJ",""))</f>
        <v/>
      </c>
      <c r="BH2458" s="66"/>
    </row>
    <row r="2459" customFormat="false" ht="15" hidden="true" customHeight="false" outlineLevel="0" collapsed="false">
      <c r="E2459" s="60" t="str">
        <f aca="false">IF(LEN(D2459)=11,"PF",IF(LEN(D2459)=14,"PJ",""))</f>
        <v/>
      </c>
      <c r="AM2459" s="68" t="str">
        <f aca="false">IF(LEFT(AL2459,1)="9","Celular",IF(AL2459="","","Fixo"))</f>
        <v/>
      </c>
      <c r="BB2459" s="72" t="str">
        <f aca="false">IF(BA2459&lt;&gt;"",VLOOKUP(BA2459,Selects!$B$4:$C$100,2,0),"")</f>
        <v/>
      </c>
      <c r="BG2459" s="75" t="str">
        <f aca="false">IF(LEN(BF2459)=11,"PF",IF(LEN(BF2459)=14,"PJ",""))</f>
        <v/>
      </c>
      <c r="BH2459" s="66"/>
    </row>
    <row r="2460" customFormat="false" ht="15" hidden="true" customHeight="false" outlineLevel="0" collapsed="false">
      <c r="E2460" s="60" t="str">
        <f aca="false">IF(LEN(D2460)=11,"PF",IF(LEN(D2460)=14,"PJ",""))</f>
        <v/>
      </c>
      <c r="AM2460" s="68" t="str">
        <f aca="false">IF(LEFT(AL2460,1)="9","Celular",IF(AL2460="","","Fixo"))</f>
        <v/>
      </c>
      <c r="BB2460" s="72" t="str">
        <f aca="false">IF(BA2460&lt;&gt;"",VLOOKUP(BA2460,Selects!$B$4:$C$100,2,0),"")</f>
        <v/>
      </c>
      <c r="BG2460" s="75" t="str">
        <f aca="false">IF(LEN(BF2460)=11,"PF",IF(LEN(BF2460)=14,"PJ",""))</f>
        <v/>
      </c>
      <c r="BH2460" s="66"/>
    </row>
    <row r="2461" customFormat="false" ht="15" hidden="true" customHeight="false" outlineLevel="0" collapsed="false">
      <c r="E2461" s="60" t="str">
        <f aca="false">IF(LEN(D2461)=11,"PF",IF(LEN(D2461)=14,"PJ",""))</f>
        <v/>
      </c>
      <c r="AM2461" s="68" t="str">
        <f aca="false">IF(LEFT(AL2461,1)="9","Celular",IF(AL2461="","","Fixo"))</f>
        <v/>
      </c>
      <c r="BB2461" s="72" t="str">
        <f aca="false">IF(BA2461&lt;&gt;"",VLOOKUP(BA2461,Selects!$B$4:$C$100,2,0),"")</f>
        <v/>
      </c>
      <c r="BG2461" s="75" t="str">
        <f aca="false">IF(LEN(BF2461)=11,"PF",IF(LEN(BF2461)=14,"PJ",""))</f>
        <v/>
      </c>
      <c r="BH2461" s="66"/>
    </row>
    <row r="2462" customFormat="false" ht="15" hidden="true" customHeight="false" outlineLevel="0" collapsed="false">
      <c r="E2462" s="60" t="str">
        <f aca="false">IF(LEN(D2462)=11,"PF",IF(LEN(D2462)=14,"PJ",""))</f>
        <v/>
      </c>
      <c r="AM2462" s="68" t="str">
        <f aca="false">IF(LEFT(AL2462,1)="9","Celular",IF(AL2462="","","Fixo"))</f>
        <v/>
      </c>
      <c r="BB2462" s="72" t="str">
        <f aca="false">IF(BA2462&lt;&gt;"",VLOOKUP(BA2462,Selects!$B$4:$C$100,2,0),"")</f>
        <v/>
      </c>
      <c r="BG2462" s="75" t="str">
        <f aca="false">IF(LEN(BF2462)=11,"PF",IF(LEN(BF2462)=14,"PJ",""))</f>
        <v/>
      </c>
      <c r="BH2462" s="66"/>
    </row>
    <row r="2463" customFormat="false" ht="15" hidden="true" customHeight="false" outlineLevel="0" collapsed="false">
      <c r="E2463" s="60" t="str">
        <f aca="false">IF(LEN(D2463)=11,"PF",IF(LEN(D2463)=14,"PJ",""))</f>
        <v/>
      </c>
      <c r="AM2463" s="68" t="str">
        <f aca="false">IF(LEFT(AL2463,1)="9","Celular",IF(AL2463="","","Fixo"))</f>
        <v/>
      </c>
      <c r="BB2463" s="72" t="str">
        <f aca="false">IF(BA2463&lt;&gt;"",VLOOKUP(BA2463,Selects!$B$4:$C$100,2,0),"")</f>
        <v/>
      </c>
      <c r="BG2463" s="75" t="str">
        <f aca="false">IF(LEN(BF2463)=11,"PF",IF(LEN(BF2463)=14,"PJ",""))</f>
        <v/>
      </c>
      <c r="BH2463" s="66"/>
    </row>
    <row r="2464" customFormat="false" ht="15" hidden="true" customHeight="false" outlineLevel="0" collapsed="false">
      <c r="E2464" s="60" t="str">
        <f aca="false">IF(LEN(D2464)=11,"PF",IF(LEN(D2464)=14,"PJ",""))</f>
        <v/>
      </c>
      <c r="AM2464" s="68" t="str">
        <f aca="false">IF(LEFT(AL2464,1)="9","Celular",IF(AL2464="","","Fixo"))</f>
        <v/>
      </c>
      <c r="BB2464" s="72" t="str">
        <f aca="false">IF(BA2464&lt;&gt;"",VLOOKUP(BA2464,Selects!$B$4:$C$100,2,0),"")</f>
        <v/>
      </c>
      <c r="BG2464" s="75" t="str">
        <f aca="false">IF(LEN(BF2464)=11,"PF",IF(LEN(BF2464)=14,"PJ",""))</f>
        <v/>
      </c>
      <c r="BH2464" s="66"/>
    </row>
    <row r="2465" customFormat="false" ht="15" hidden="true" customHeight="false" outlineLevel="0" collapsed="false">
      <c r="E2465" s="60" t="str">
        <f aca="false">IF(LEN(D2465)=11,"PF",IF(LEN(D2465)=14,"PJ",""))</f>
        <v/>
      </c>
      <c r="AM2465" s="68" t="str">
        <f aca="false">IF(LEFT(AL2465,1)="9","Celular",IF(AL2465="","","Fixo"))</f>
        <v/>
      </c>
      <c r="BB2465" s="72" t="str">
        <f aca="false">IF(BA2465&lt;&gt;"",VLOOKUP(BA2465,Selects!$B$4:$C$100,2,0),"")</f>
        <v/>
      </c>
      <c r="BG2465" s="75" t="str">
        <f aca="false">IF(LEN(BF2465)=11,"PF",IF(LEN(BF2465)=14,"PJ",""))</f>
        <v/>
      </c>
      <c r="BH2465" s="66"/>
    </row>
    <row r="2466" customFormat="false" ht="15" hidden="true" customHeight="false" outlineLevel="0" collapsed="false">
      <c r="E2466" s="60" t="str">
        <f aca="false">IF(LEN(D2466)=11,"PF",IF(LEN(D2466)=14,"PJ",""))</f>
        <v/>
      </c>
      <c r="AM2466" s="68" t="str">
        <f aca="false">IF(LEFT(AL2466,1)="9","Celular",IF(AL2466="","","Fixo"))</f>
        <v/>
      </c>
      <c r="BB2466" s="72" t="str">
        <f aca="false">IF(BA2466&lt;&gt;"",VLOOKUP(BA2466,Selects!$B$4:$C$100,2,0),"")</f>
        <v/>
      </c>
      <c r="BG2466" s="75" t="str">
        <f aca="false">IF(LEN(BF2466)=11,"PF",IF(LEN(BF2466)=14,"PJ",""))</f>
        <v/>
      </c>
      <c r="BH2466" s="66"/>
    </row>
    <row r="2467" customFormat="false" ht="15" hidden="true" customHeight="false" outlineLevel="0" collapsed="false">
      <c r="E2467" s="60" t="str">
        <f aca="false">IF(LEN(D2467)=11,"PF",IF(LEN(D2467)=14,"PJ",""))</f>
        <v/>
      </c>
      <c r="AM2467" s="68" t="str">
        <f aca="false">IF(LEFT(AL2467,1)="9","Celular",IF(AL2467="","","Fixo"))</f>
        <v/>
      </c>
      <c r="BB2467" s="72" t="str">
        <f aca="false">IF(BA2467&lt;&gt;"",VLOOKUP(BA2467,Selects!$B$4:$C$100,2,0),"")</f>
        <v/>
      </c>
      <c r="BG2467" s="75" t="str">
        <f aca="false">IF(LEN(BF2467)=11,"PF",IF(LEN(BF2467)=14,"PJ",""))</f>
        <v/>
      </c>
      <c r="BH2467" s="66"/>
    </row>
    <row r="2468" customFormat="false" ht="15" hidden="true" customHeight="false" outlineLevel="0" collapsed="false">
      <c r="E2468" s="60" t="str">
        <f aca="false">IF(LEN(D2468)=11,"PF",IF(LEN(D2468)=14,"PJ",""))</f>
        <v/>
      </c>
      <c r="AM2468" s="68" t="str">
        <f aca="false">IF(LEFT(AL2468,1)="9","Celular",IF(AL2468="","","Fixo"))</f>
        <v/>
      </c>
      <c r="BB2468" s="72" t="str">
        <f aca="false">IF(BA2468&lt;&gt;"",VLOOKUP(BA2468,Selects!$B$4:$C$100,2,0),"")</f>
        <v/>
      </c>
      <c r="BG2468" s="75" t="str">
        <f aca="false">IF(LEN(BF2468)=11,"PF",IF(LEN(BF2468)=14,"PJ",""))</f>
        <v/>
      </c>
      <c r="BH2468" s="66"/>
    </row>
    <row r="2469" customFormat="false" ht="15" hidden="true" customHeight="false" outlineLevel="0" collapsed="false">
      <c r="E2469" s="60" t="str">
        <f aca="false">IF(LEN(D2469)=11,"PF",IF(LEN(D2469)=14,"PJ",""))</f>
        <v/>
      </c>
      <c r="AM2469" s="68" t="str">
        <f aca="false">IF(LEFT(AL2469,1)="9","Celular",IF(AL2469="","","Fixo"))</f>
        <v/>
      </c>
      <c r="BB2469" s="72" t="str">
        <f aca="false">IF(BA2469&lt;&gt;"",VLOOKUP(BA2469,Selects!$B$4:$C$100,2,0),"")</f>
        <v/>
      </c>
      <c r="BG2469" s="75" t="str">
        <f aca="false">IF(LEN(BF2469)=11,"PF",IF(LEN(BF2469)=14,"PJ",""))</f>
        <v/>
      </c>
      <c r="BH2469" s="66"/>
    </row>
    <row r="2470" customFormat="false" ht="15" hidden="true" customHeight="false" outlineLevel="0" collapsed="false">
      <c r="E2470" s="60" t="str">
        <f aca="false">IF(LEN(D2470)=11,"PF",IF(LEN(D2470)=14,"PJ",""))</f>
        <v/>
      </c>
      <c r="AM2470" s="68" t="str">
        <f aca="false">IF(LEFT(AL2470,1)="9","Celular",IF(AL2470="","","Fixo"))</f>
        <v/>
      </c>
      <c r="BB2470" s="72" t="str">
        <f aca="false">IF(BA2470&lt;&gt;"",VLOOKUP(BA2470,Selects!$B$4:$C$100,2,0),"")</f>
        <v/>
      </c>
      <c r="BG2470" s="75" t="str">
        <f aca="false">IF(LEN(BF2470)=11,"PF",IF(LEN(BF2470)=14,"PJ",""))</f>
        <v/>
      </c>
      <c r="BH2470" s="66"/>
    </row>
    <row r="2471" customFormat="false" ht="15" hidden="true" customHeight="false" outlineLevel="0" collapsed="false">
      <c r="E2471" s="60" t="str">
        <f aca="false">IF(LEN(D2471)=11,"PF",IF(LEN(D2471)=14,"PJ",""))</f>
        <v/>
      </c>
      <c r="AM2471" s="68" t="str">
        <f aca="false">IF(LEFT(AL2471,1)="9","Celular",IF(AL2471="","","Fixo"))</f>
        <v/>
      </c>
      <c r="BB2471" s="72" t="str">
        <f aca="false">IF(BA2471&lt;&gt;"",VLOOKUP(BA2471,Selects!$B$4:$C$100,2,0),"")</f>
        <v/>
      </c>
      <c r="BG2471" s="75" t="str">
        <f aca="false">IF(LEN(BF2471)=11,"PF",IF(LEN(BF2471)=14,"PJ",""))</f>
        <v/>
      </c>
      <c r="BH2471" s="66"/>
    </row>
    <row r="2472" customFormat="false" ht="15" hidden="true" customHeight="false" outlineLevel="0" collapsed="false">
      <c r="E2472" s="60" t="str">
        <f aca="false">IF(LEN(D2472)=11,"PF",IF(LEN(D2472)=14,"PJ",""))</f>
        <v/>
      </c>
      <c r="AM2472" s="68" t="str">
        <f aca="false">IF(LEFT(AL2472,1)="9","Celular",IF(AL2472="","","Fixo"))</f>
        <v/>
      </c>
      <c r="BB2472" s="72" t="str">
        <f aca="false">IF(BA2472&lt;&gt;"",VLOOKUP(BA2472,Selects!$B$4:$C$100,2,0),"")</f>
        <v/>
      </c>
      <c r="BG2472" s="75" t="str">
        <f aca="false">IF(LEN(BF2472)=11,"PF",IF(LEN(BF2472)=14,"PJ",""))</f>
        <v/>
      </c>
      <c r="BH2472" s="66"/>
    </row>
    <row r="2473" customFormat="false" ht="15" hidden="true" customHeight="false" outlineLevel="0" collapsed="false">
      <c r="E2473" s="60" t="str">
        <f aca="false">IF(LEN(D2473)=11,"PF",IF(LEN(D2473)=14,"PJ",""))</f>
        <v/>
      </c>
      <c r="AM2473" s="68" t="str">
        <f aca="false">IF(LEFT(AL2473,1)="9","Celular",IF(AL2473="","","Fixo"))</f>
        <v/>
      </c>
      <c r="BB2473" s="72" t="str">
        <f aca="false">IF(BA2473&lt;&gt;"",VLOOKUP(BA2473,Selects!$B$4:$C$100,2,0),"")</f>
        <v/>
      </c>
      <c r="BG2473" s="75" t="str">
        <f aca="false">IF(LEN(BF2473)=11,"PF",IF(LEN(BF2473)=14,"PJ",""))</f>
        <v/>
      </c>
      <c r="BH2473" s="66"/>
    </row>
    <row r="2474" customFormat="false" ht="15" hidden="true" customHeight="false" outlineLevel="0" collapsed="false">
      <c r="E2474" s="60" t="str">
        <f aca="false">IF(LEN(D2474)=11,"PF",IF(LEN(D2474)=14,"PJ",""))</f>
        <v/>
      </c>
      <c r="AM2474" s="68" t="str">
        <f aca="false">IF(LEFT(AL2474,1)="9","Celular",IF(AL2474="","","Fixo"))</f>
        <v/>
      </c>
      <c r="BB2474" s="72" t="str">
        <f aca="false">IF(BA2474&lt;&gt;"",VLOOKUP(BA2474,Selects!$B$4:$C$100,2,0),"")</f>
        <v/>
      </c>
      <c r="BG2474" s="75" t="str">
        <f aca="false">IF(LEN(BF2474)=11,"PF",IF(LEN(BF2474)=14,"PJ",""))</f>
        <v/>
      </c>
      <c r="BH2474" s="66"/>
    </row>
    <row r="2475" customFormat="false" ht="15" hidden="true" customHeight="false" outlineLevel="0" collapsed="false">
      <c r="E2475" s="60" t="str">
        <f aca="false">IF(LEN(D2475)=11,"PF",IF(LEN(D2475)=14,"PJ",""))</f>
        <v/>
      </c>
      <c r="AM2475" s="68" t="str">
        <f aca="false">IF(LEFT(AL2475,1)="9","Celular",IF(AL2475="","","Fixo"))</f>
        <v/>
      </c>
      <c r="BB2475" s="72" t="str">
        <f aca="false">IF(BA2475&lt;&gt;"",VLOOKUP(BA2475,Selects!$B$4:$C$100,2,0),"")</f>
        <v/>
      </c>
      <c r="BG2475" s="75" t="str">
        <f aca="false">IF(LEN(BF2475)=11,"PF",IF(LEN(BF2475)=14,"PJ",""))</f>
        <v/>
      </c>
      <c r="BH2475" s="66"/>
    </row>
    <row r="2476" customFormat="false" ht="15" hidden="true" customHeight="false" outlineLevel="0" collapsed="false">
      <c r="E2476" s="60" t="str">
        <f aca="false">IF(LEN(D2476)=11,"PF",IF(LEN(D2476)=14,"PJ",""))</f>
        <v/>
      </c>
      <c r="AM2476" s="68" t="str">
        <f aca="false">IF(LEFT(AL2476,1)="9","Celular",IF(AL2476="","","Fixo"))</f>
        <v/>
      </c>
      <c r="BB2476" s="72" t="str">
        <f aca="false">IF(BA2476&lt;&gt;"",VLOOKUP(BA2476,Selects!$B$4:$C$100,2,0),"")</f>
        <v/>
      </c>
      <c r="BG2476" s="75" t="str">
        <f aca="false">IF(LEN(BF2476)=11,"PF",IF(LEN(BF2476)=14,"PJ",""))</f>
        <v/>
      </c>
      <c r="BH2476" s="66"/>
    </row>
    <row r="2477" customFormat="false" ht="15" hidden="true" customHeight="false" outlineLevel="0" collapsed="false">
      <c r="E2477" s="60" t="str">
        <f aca="false">IF(LEN(D2477)=11,"PF",IF(LEN(D2477)=14,"PJ",""))</f>
        <v/>
      </c>
      <c r="AM2477" s="68" t="str">
        <f aca="false">IF(LEFT(AL2477,1)="9","Celular",IF(AL2477="","","Fixo"))</f>
        <v/>
      </c>
      <c r="BB2477" s="72" t="str">
        <f aca="false">IF(BA2477&lt;&gt;"",VLOOKUP(BA2477,Selects!$B$4:$C$100,2,0),"")</f>
        <v/>
      </c>
      <c r="BG2477" s="75" t="str">
        <f aca="false">IF(LEN(BF2477)=11,"PF",IF(LEN(BF2477)=14,"PJ",""))</f>
        <v/>
      </c>
      <c r="BH2477" s="66"/>
    </row>
    <row r="2478" customFormat="false" ht="15" hidden="true" customHeight="false" outlineLevel="0" collapsed="false">
      <c r="E2478" s="60" t="str">
        <f aca="false">IF(LEN(D2478)=11,"PF",IF(LEN(D2478)=14,"PJ",""))</f>
        <v/>
      </c>
      <c r="AM2478" s="68" t="str">
        <f aca="false">IF(LEFT(AL2478,1)="9","Celular",IF(AL2478="","","Fixo"))</f>
        <v/>
      </c>
      <c r="BB2478" s="72" t="str">
        <f aca="false">IF(BA2478&lt;&gt;"",VLOOKUP(BA2478,Selects!$B$4:$C$100,2,0),"")</f>
        <v/>
      </c>
      <c r="BG2478" s="75" t="str">
        <f aca="false">IF(LEN(BF2478)=11,"PF",IF(LEN(BF2478)=14,"PJ",""))</f>
        <v/>
      </c>
      <c r="BH2478" s="66"/>
    </row>
    <row r="2479" customFormat="false" ht="15" hidden="true" customHeight="false" outlineLevel="0" collapsed="false">
      <c r="E2479" s="60" t="str">
        <f aca="false">IF(LEN(D2479)=11,"PF",IF(LEN(D2479)=14,"PJ",""))</f>
        <v/>
      </c>
      <c r="AM2479" s="68" t="str">
        <f aca="false">IF(LEFT(AL2479,1)="9","Celular",IF(AL2479="","","Fixo"))</f>
        <v/>
      </c>
      <c r="BB2479" s="72" t="str">
        <f aca="false">IF(BA2479&lt;&gt;"",VLOOKUP(BA2479,Selects!$B$4:$C$100,2,0),"")</f>
        <v/>
      </c>
      <c r="BG2479" s="75" t="str">
        <f aca="false">IF(LEN(BF2479)=11,"PF",IF(LEN(BF2479)=14,"PJ",""))</f>
        <v/>
      </c>
      <c r="BH2479" s="66"/>
    </row>
    <row r="2480" customFormat="false" ht="15" hidden="true" customHeight="false" outlineLevel="0" collapsed="false">
      <c r="E2480" s="60" t="str">
        <f aca="false">IF(LEN(D2480)=11,"PF",IF(LEN(D2480)=14,"PJ",""))</f>
        <v/>
      </c>
      <c r="AM2480" s="68" t="str">
        <f aca="false">IF(LEFT(AL2480,1)="9","Celular",IF(AL2480="","","Fixo"))</f>
        <v/>
      </c>
      <c r="BB2480" s="72" t="str">
        <f aca="false">IF(BA2480&lt;&gt;"",VLOOKUP(BA2480,Selects!$B$4:$C$100,2,0),"")</f>
        <v/>
      </c>
      <c r="BG2480" s="75" t="str">
        <f aca="false">IF(LEN(BF2480)=11,"PF",IF(LEN(BF2480)=14,"PJ",""))</f>
        <v/>
      </c>
      <c r="BH2480" s="66"/>
    </row>
    <row r="2481" customFormat="false" ht="15" hidden="true" customHeight="false" outlineLevel="0" collapsed="false">
      <c r="E2481" s="60" t="str">
        <f aca="false">IF(LEN(D2481)=11,"PF",IF(LEN(D2481)=14,"PJ",""))</f>
        <v/>
      </c>
      <c r="AM2481" s="68" t="str">
        <f aca="false">IF(LEFT(AL2481,1)="9","Celular",IF(AL2481="","","Fixo"))</f>
        <v/>
      </c>
      <c r="BB2481" s="72" t="str">
        <f aca="false">IF(BA2481&lt;&gt;"",VLOOKUP(BA2481,Selects!$B$4:$C$100,2,0),"")</f>
        <v/>
      </c>
      <c r="BG2481" s="75" t="str">
        <f aca="false">IF(LEN(BF2481)=11,"PF",IF(LEN(BF2481)=14,"PJ",""))</f>
        <v/>
      </c>
      <c r="BH2481" s="66"/>
    </row>
    <row r="2482" customFormat="false" ht="15" hidden="true" customHeight="false" outlineLevel="0" collapsed="false">
      <c r="E2482" s="60" t="str">
        <f aca="false">IF(LEN(D2482)=11,"PF",IF(LEN(D2482)=14,"PJ",""))</f>
        <v/>
      </c>
      <c r="AM2482" s="68" t="str">
        <f aca="false">IF(LEFT(AL2482,1)="9","Celular",IF(AL2482="","","Fixo"))</f>
        <v/>
      </c>
      <c r="BB2482" s="72" t="str">
        <f aca="false">IF(BA2482&lt;&gt;"",VLOOKUP(BA2482,Selects!$B$4:$C$100,2,0),"")</f>
        <v/>
      </c>
      <c r="BG2482" s="75" t="str">
        <f aca="false">IF(LEN(BF2482)=11,"PF",IF(LEN(BF2482)=14,"PJ",""))</f>
        <v/>
      </c>
      <c r="BH2482" s="66"/>
    </row>
    <row r="2483" customFormat="false" ht="15" hidden="true" customHeight="false" outlineLevel="0" collapsed="false">
      <c r="E2483" s="60" t="str">
        <f aca="false">IF(LEN(D2483)=11,"PF",IF(LEN(D2483)=14,"PJ",""))</f>
        <v/>
      </c>
      <c r="AM2483" s="68" t="str">
        <f aca="false">IF(LEFT(AL2483,1)="9","Celular",IF(AL2483="","","Fixo"))</f>
        <v/>
      </c>
      <c r="BB2483" s="72" t="str">
        <f aca="false">IF(BA2483&lt;&gt;"",VLOOKUP(BA2483,Selects!$B$4:$C$100,2,0),"")</f>
        <v/>
      </c>
      <c r="BG2483" s="75" t="str">
        <f aca="false">IF(LEN(BF2483)=11,"PF",IF(LEN(BF2483)=14,"PJ",""))</f>
        <v/>
      </c>
      <c r="BH2483" s="66"/>
    </row>
    <row r="2484" customFormat="false" ht="15" hidden="true" customHeight="false" outlineLevel="0" collapsed="false">
      <c r="E2484" s="60" t="str">
        <f aca="false">IF(LEN(D2484)=11,"PF",IF(LEN(D2484)=14,"PJ",""))</f>
        <v/>
      </c>
      <c r="AM2484" s="68" t="str">
        <f aca="false">IF(LEFT(AL2484,1)="9","Celular",IF(AL2484="","","Fixo"))</f>
        <v/>
      </c>
      <c r="BB2484" s="72" t="str">
        <f aca="false">IF(BA2484&lt;&gt;"",VLOOKUP(BA2484,Selects!$B$4:$C$100,2,0),"")</f>
        <v/>
      </c>
      <c r="BG2484" s="75" t="str">
        <f aca="false">IF(LEN(BF2484)=11,"PF",IF(LEN(BF2484)=14,"PJ",""))</f>
        <v/>
      </c>
      <c r="BH2484" s="66"/>
    </row>
    <row r="2485" customFormat="false" ht="15" hidden="true" customHeight="false" outlineLevel="0" collapsed="false">
      <c r="E2485" s="60" t="str">
        <f aca="false">IF(LEN(D2485)=11,"PF",IF(LEN(D2485)=14,"PJ",""))</f>
        <v/>
      </c>
      <c r="AM2485" s="68" t="str">
        <f aca="false">IF(LEFT(AL2485,1)="9","Celular",IF(AL2485="","","Fixo"))</f>
        <v/>
      </c>
      <c r="BB2485" s="72" t="str">
        <f aca="false">IF(BA2485&lt;&gt;"",VLOOKUP(BA2485,Selects!$B$4:$C$100,2,0),"")</f>
        <v/>
      </c>
      <c r="BG2485" s="75" t="str">
        <f aca="false">IF(LEN(BF2485)=11,"PF",IF(LEN(BF2485)=14,"PJ",""))</f>
        <v/>
      </c>
      <c r="BH2485" s="66"/>
    </row>
    <row r="2486" customFormat="false" ht="15" hidden="true" customHeight="false" outlineLevel="0" collapsed="false">
      <c r="E2486" s="60" t="str">
        <f aca="false">IF(LEN(D2486)=11,"PF",IF(LEN(D2486)=14,"PJ",""))</f>
        <v/>
      </c>
      <c r="AM2486" s="68" t="str">
        <f aca="false">IF(LEFT(AL2486,1)="9","Celular",IF(AL2486="","","Fixo"))</f>
        <v/>
      </c>
      <c r="BB2486" s="72" t="str">
        <f aca="false">IF(BA2486&lt;&gt;"",VLOOKUP(BA2486,Selects!$B$4:$C$100,2,0),"")</f>
        <v/>
      </c>
      <c r="BG2486" s="75" t="str">
        <f aca="false">IF(LEN(BF2486)=11,"PF",IF(LEN(BF2486)=14,"PJ",""))</f>
        <v/>
      </c>
      <c r="BH2486" s="66"/>
    </row>
    <row r="2487" customFormat="false" ht="15" hidden="true" customHeight="false" outlineLevel="0" collapsed="false">
      <c r="E2487" s="60" t="str">
        <f aca="false">IF(LEN(D2487)=11,"PF",IF(LEN(D2487)=14,"PJ",""))</f>
        <v/>
      </c>
      <c r="AM2487" s="68" t="str">
        <f aca="false">IF(LEFT(AL2487,1)="9","Celular",IF(AL2487="","","Fixo"))</f>
        <v/>
      </c>
      <c r="BB2487" s="72" t="str">
        <f aca="false">IF(BA2487&lt;&gt;"",VLOOKUP(BA2487,Selects!$B$4:$C$100,2,0),"")</f>
        <v/>
      </c>
      <c r="BG2487" s="75" t="str">
        <f aca="false">IF(LEN(BF2487)=11,"PF",IF(LEN(BF2487)=14,"PJ",""))</f>
        <v/>
      </c>
      <c r="BH2487" s="66"/>
    </row>
    <row r="2488" customFormat="false" ht="15" hidden="true" customHeight="false" outlineLevel="0" collapsed="false">
      <c r="E2488" s="60" t="str">
        <f aca="false">IF(LEN(D2488)=11,"PF",IF(LEN(D2488)=14,"PJ",""))</f>
        <v/>
      </c>
      <c r="AM2488" s="68" t="str">
        <f aca="false">IF(LEFT(AL2488,1)="9","Celular",IF(AL2488="","","Fixo"))</f>
        <v/>
      </c>
      <c r="BB2488" s="72" t="str">
        <f aca="false">IF(BA2488&lt;&gt;"",VLOOKUP(BA2488,Selects!$B$4:$C$100,2,0),"")</f>
        <v/>
      </c>
      <c r="BG2488" s="75" t="str">
        <f aca="false">IF(LEN(BF2488)=11,"PF",IF(LEN(BF2488)=14,"PJ",""))</f>
        <v/>
      </c>
      <c r="BH2488" s="66"/>
    </row>
    <row r="2489" customFormat="false" ht="15" hidden="true" customHeight="false" outlineLevel="0" collapsed="false">
      <c r="E2489" s="60" t="str">
        <f aca="false">IF(LEN(D2489)=11,"PF",IF(LEN(D2489)=14,"PJ",""))</f>
        <v/>
      </c>
      <c r="AM2489" s="68" t="str">
        <f aca="false">IF(LEFT(AL2489,1)="9","Celular",IF(AL2489="","","Fixo"))</f>
        <v/>
      </c>
      <c r="BB2489" s="72" t="str">
        <f aca="false">IF(BA2489&lt;&gt;"",VLOOKUP(BA2489,Selects!$B$4:$C$100,2,0),"")</f>
        <v/>
      </c>
      <c r="BG2489" s="75" t="str">
        <f aca="false">IF(LEN(BF2489)=11,"PF",IF(LEN(BF2489)=14,"PJ",""))</f>
        <v/>
      </c>
      <c r="BH2489" s="66"/>
    </row>
    <row r="2490" customFormat="false" ht="15" hidden="true" customHeight="false" outlineLevel="0" collapsed="false">
      <c r="E2490" s="60" t="str">
        <f aca="false">IF(LEN(D2490)=11,"PF",IF(LEN(D2490)=14,"PJ",""))</f>
        <v/>
      </c>
      <c r="AM2490" s="68" t="str">
        <f aca="false">IF(LEFT(AL2490,1)="9","Celular",IF(AL2490="","","Fixo"))</f>
        <v/>
      </c>
      <c r="BB2490" s="72" t="str">
        <f aca="false">IF(BA2490&lt;&gt;"",VLOOKUP(BA2490,Selects!$B$4:$C$100,2,0),"")</f>
        <v/>
      </c>
      <c r="BG2490" s="75" t="str">
        <f aca="false">IF(LEN(BF2490)=11,"PF",IF(LEN(BF2490)=14,"PJ",""))</f>
        <v/>
      </c>
      <c r="BH2490" s="66"/>
    </row>
    <row r="2491" customFormat="false" ht="15" hidden="true" customHeight="false" outlineLevel="0" collapsed="false">
      <c r="E2491" s="60" t="str">
        <f aca="false">IF(LEN(D2491)=11,"PF",IF(LEN(D2491)=14,"PJ",""))</f>
        <v/>
      </c>
      <c r="AM2491" s="68" t="str">
        <f aca="false">IF(LEFT(AL2491,1)="9","Celular",IF(AL2491="","","Fixo"))</f>
        <v/>
      </c>
      <c r="BB2491" s="72" t="str">
        <f aca="false">IF(BA2491&lt;&gt;"",VLOOKUP(BA2491,Selects!$B$4:$C$100,2,0),"")</f>
        <v/>
      </c>
      <c r="BG2491" s="75" t="str">
        <f aca="false">IF(LEN(BF2491)=11,"PF",IF(LEN(BF2491)=14,"PJ",""))</f>
        <v/>
      </c>
      <c r="BH2491" s="66"/>
    </row>
    <row r="2492" customFormat="false" ht="15" hidden="true" customHeight="false" outlineLevel="0" collapsed="false">
      <c r="E2492" s="60" t="str">
        <f aca="false">IF(LEN(D2492)=11,"PF",IF(LEN(D2492)=14,"PJ",""))</f>
        <v/>
      </c>
      <c r="AM2492" s="68" t="str">
        <f aca="false">IF(LEFT(AL2492,1)="9","Celular",IF(AL2492="","","Fixo"))</f>
        <v/>
      </c>
      <c r="BB2492" s="72" t="str">
        <f aca="false">IF(BA2492&lt;&gt;"",VLOOKUP(BA2492,Selects!$B$4:$C$100,2,0),"")</f>
        <v/>
      </c>
      <c r="BG2492" s="75" t="str">
        <f aca="false">IF(LEN(BF2492)=11,"PF",IF(LEN(BF2492)=14,"PJ",""))</f>
        <v/>
      </c>
      <c r="BH2492" s="66"/>
    </row>
    <row r="2493" customFormat="false" ht="15" hidden="true" customHeight="false" outlineLevel="0" collapsed="false">
      <c r="E2493" s="60" t="str">
        <f aca="false">IF(LEN(D2493)=11,"PF",IF(LEN(D2493)=14,"PJ",""))</f>
        <v/>
      </c>
      <c r="AM2493" s="68" t="str">
        <f aca="false">IF(LEFT(AL2493,1)="9","Celular",IF(AL2493="","","Fixo"))</f>
        <v/>
      </c>
      <c r="BB2493" s="72" t="str">
        <f aca="false">IF(BA2493&lt;&gt;"",VLOOKUP(BA2493,Selects!$B$4:$C$100,2,0),"")</f>
        <v/>
      </c>
      <c r="BG2493" s="75" t="str">
        <f aca="false">IF(LEN(BF2493)=11,"PF",IF(LEN(BF2493)=14,"PJ",""))</f>
        <v/>
      </c>
      <c r="BH2493" s="66"/>
    </row>
    <row r="2494" customFormat="false" ht="15" hidden="true" customHeight="false" outlineLevel="0" collapsed="false">
      <c r="E2494" s="60" t="str">
        <f aca="false">IF(LEN(D2494)=11,"PF",IF(LEN(D2494)=14,"PJ",""))</f>
        <v/>
      </c>
      <c r="AM2494" s="68" t="str">
        <f aca="false">IF(LEFT(AL2494,1)="9","Celular",IF(AL2494="","","Fixo"))</f>
        <v/>
      </c>
      <c r="BB2494" s="72" t="str">
        <f aca="false">IF(BA2494&lt;&gt;"",VLOOKUP(BA2494,Selects!$B$4:$C$100,2,0),"")</f>
        <v/>
      </c>
      <c r="BG2494" s="75" t="str">
        <f aca="false">IF(LEN(BF2494)=11,"PF",IF(LEN(BF2494)=14,"PJ",""))</f>
        <v/>
      </c>
      <c r="BH2494" s="66"/>
    </row>
    <row r="2495" customFormat="false" ht="15" hidden="true" customHeight="false" outlineLevel="0" collapsed="false">
      <c r="AM2495" s="68" t="str">
        <f aca="false">IF(LEFT(AL2495,1)="9","Celular",IF(AL2495="","","Fixo"))</f>
        <v/>
      </c>
      <c r="BB2495" s="72" t="str">
        <f aca="false">IF(BA2495&lt;&gt;"",VLOOKUP(BA2495,Selects!$B$4:$C$100,2,0),"")</f>
        <v/>
      </c>
      <c r="BG2495" s="75" t="str">
        <f aca="false">IF(LEN(BF2495)=11,"PF",IF(LEN(BF2495)=14,"PJ",""))</f>
        <v/>
      </c>
      <c r="BH2495" s="66"/>
    </row>
    <row r="2496" customFormat="false" ht="15" hidden="true" customHeight="false" outlineLevel="0" collapsed="false">
      <c r="AM2496" s="68" t="str">
        <f aca="false">IF(LEFT(AL2496,1)="9","Celular",IF(AL2496="","","Fixo"))</f>
        <v/>
      </c>
      <c r="BB2496" s="72" t="str">
        <f aca="false">IF(BA2496&lt;&gt;"",VLOOKUP(BA2496,Selects!$B$4:$C$100,2,0),"")</f>
        <v/>
      </c>
      <c r="BG2496" s="75" t="str">
        <f aca="false">IF(LEN(BF2496)=11,"PF",IF(LEN(BF2496)=14,"PJ",""))</f>
        <v/>
      </c>
      <c r="BH2496" s="66"/>
    </row>
    <row r="2497" customFormat="false" ht="15" hidden="true" customHeight="false" outlineLevel="0" collapsed="false">
      <c r="AM2497" s="68" t="str">
        <f aca="false">IF(LEFT(AL2497,1)="9","Celular",IF(AL2497="","","Fixo"))</f>
        <v/>
      </c>
      <c r="BB2497" s="72" t="str">
        <f aca="false">IF(BA2497&lt;&gt;"",VLOOKUP(BA2497,Selects!$B$4:$C$100,2,0),"")</f>
        <v/>
      </c>
      <c r="BG2497" s="75" t="str">
        <f aca="false">IF(LEN(BF2497)=11,"PF",IF(LEN(BF2497)=14,"PJ",""))</f>
        <v/>
      </c>
      <c r="BH2497" s="66"/>
    </row>
    <row r="2498" customFormat="false" ht="15" hidden="true" customHeight="false" outlineLevel="0" collapsed="false">
      <c r="AM2498" s="68" t="str">
        <f aca="false">IF(LEFT(AL2498,1)="9","Celular",IF(AL2498="","","Fixo"))</f>
        <v/>
      </c>
      <c r="BB2498" s="72" t="str">
        <f aca="false">IF(BA2498&lt;&gt;"",VLOOKUP(BA2498,Selects!$B$4:$C$100,2,0),"")</f>
        <v/>
      </c>
      <c r="BG2498" s="75" t="str">
        <f aca="false">IF(LEN(BF2498)=11,"PF",IF(LEN(BF2498)=14,"PJ",""))</f>
        <v/>
      </c>
      <c r="BH2498" s="66"/>
    </row>
    <row r="2499" customFormat="false" ht="15" hidden="true" customHeight="false" outlineLevel="0" collapsed="false">
      <c r="AM2499" s="68" t="str">
        <f aca="false">IF(LEFT(AL2499,1)="9","Celular",IF(AL2499="","","Fixo"))</f>
        <v/>
      </c>
      <c r="BB2499" s="72" t="str">
        <f aca="false">IF(BA2499&lt;&gt;"",VLOOKUP(BA2499,Selects!$B$4:$C$100,2,0),"")</f>
        <v/>
      </c>
      <c r="BG2499" s="75" t="str">
        <f aca="false">IF(LEN(BF2499)=11,"PF",IF(LEN(BF2499)=14,"PJ",""))</f>
        <v/>
      </c>
      <c r="BH2499" s="66"/>
    </row>
    <row r="2500" customFormat="false" ht="15" hidden="true" customHeight="false" outlineLevel="0" collapsed="false">
      <c r="AM2500" s="68" t="str">
        <f aca="false">IF(LEFT(AL2500,1)="9","Celular",IF(AL2500="","","Fixo"))</f>
        <v/>
      </c>
      <c r="BB2500" s="72" t="str">
        <f aca="false">IF(BA2500&lt;&gt;"",VLOOKUP(BA2500,Selects!$B$4:$C$100,2,0),"")</f>
        <v/>
      </c>
      <c r="BG2500" s="75" t="str">
        <f aca="false">IF(LEN(BF2500)=11,"PF",IF(LEN(BF2500)=14,"PJ",""))</f>
        <v/>
      </c>
      <c r="BH2500" s="66"/>
    </row>
    <row r="2501" customFormat="false" ht="15" hidden="true" customHeight="false" outlineLevel="0" collapsed="false">
      <c r="AM2501" s="68" t="str">
        <f aca="false">IF(LEFT(AL2501,1)="9","Celular",IF(AL2501="","","Fixo"))</f>
        <v/>
      </c>
      <c r="BB2501" s="72" t="str">
        <f aca="false">IF(BA2501&lt;&gt;"",VLOOKUP(BA2501,Selects!$B$4:$C$100,2,0),"")</f>
        <v/>
      </c>
      <c r="BG2501" s="75" t="str">
        <f aca="false">IF(LEN(BF2501)=11,"PF",IF(LEN(BF2501)=14,"PJ",""))</f>
        <v/>
      </c>
      <c r="BH2501" s="66"/>
    </row>
    <row r="2502" customFormat="false" ht="15" hidden="true" customHeight="false" outlineLevel="0" collapsed="false">
      <c r="AM2502" s="68" t="str">
        <f aca="false">IF(LEFT(AL2502,1)="9","Celular",IF(AL2502="","","Fixo"))</f>
        <v/>
      </c>
      <c r="BB2502" s="72" t="str">
        <f aca="false">IF(BA2502&lt;&gt;"",VLOOKUP(BA2502,Selects!$B$4:$C$100,2,0),"")</f>
        <v/>
      </c>
      <c r="BG2502" s="75" t="str">
        <f aca="false">IF(LEN(BF2502)=11,"PF",IF(LEN(BF2502)=14,"PJ",""))</f>
        <v/>
      </c>
      <c r="BH2502" s="66"/>
    </row>
    <row r="2503" customFormat="false" ht="15" hidden="true" customHeight="false" outlineLevel="0" collapsed="false">
      <c r="AM2503" s="68" t="str">
        <f aca="false">IF(LEFT(AL2503,1)="9","Celular",IF(AL2503="","","Fixo"))</f>
        <v/>
      </c>
      <c r="BB2503" s="72" t="str">
        <f aca="false">IF(BA2503&lt;&gt;"",VLOOKUP(BA2503,Selects!$B$4:$C$100,2,0),"")</f>
        <v/>
      </c>
      <c r="BG2503" s="75" t="str">
        <f aca="false">IF(LEN(BF2503)=11,"PF",IF(LEN(BF2503)=14,"PJ",""))</f>
        <v/>
      </c>
      <c r="BH2503" s="66"/>
    </row>
    <row r="2504" customFormat="false" ht="15" hidden="true" customHeight="false" outlineLevel="0" collapsed="false">
      <c r="AM2504" s="68" t="str">
        <f aca="false">IF(LEFT(AL2504,1)="9","Celular",IF(AL2504="","","Fixo"))</f>
        <v/>
      </c>
      <c r="BB2504" s="72" t="str">
        <f aca="false">IF(BA2504&lt;&gt;"",VLOOKUP(BA2504,Selects!$B$4:$C$100,2,0),"")</f>
        <v/>
      </c>
      <c r="BG2504" s="75" t="str">
        <f aca="false">IF(LEN(BF2504)=11,"PF",IF(LEN(BF2504)=14,"PJ",""))</f>
        <v/>
      </c>
      <c r="BH2504" s="66"/>
    </row>
    <row r="2505" customFormat="false" ht="15" hidden="true" customHeight="false" outlineLevel="0" collapsed="false">
      <c r="AM2505" s="68" t="str">
        <f aca="false">IF(LEFT(AL2505,1)="9","Celular",IF(AL2505="","","Fixo"))</f>
        <v/>
      </c>
      <c r="BB2505" s="72" t="str">
        <f aca="false">IF(BA2505&lt;&gt;"",VLOOKUP(BA2505,Selects!$B$4:$C$100,2,0),"")</f>
        <v/>
      </c>
      <c r="BG2505" s="75" t="str">
        <f aca="false">IF(LEN(BF2505)=11,"PF",IF(LEN(BF2505)=14,"PJ",""))</f>
        <v/>
      </c>
      <c r="BH2505" s="66"/>
    </row>
    <row r="2506" customFormat="false" ht="15" hidden="true" customHeight="false" outlineLevel="0" collapsed="false">
      <c r="AM2506" s="68" t="str">
        <f aca="false">IF(LEFT(AL2506,1)="9","Celular",IF(AL2506="","","Fixo"))</f>
        <v/>
      </c>
      <c r="BB2506" s="72" t="str">
        <f aca="false">IF(BA2506&lt;&gt;"",VLOOKUP(BA2506,Selects!$B$4:$C$100,2,0),"")</f>
        <v/>
      </c>
      <c r="BG2506" s="75" t="str">
        <f aca="false">IF(LEN(BF2506)=11,"PF",IF(LEN(BF2506)=14,"PJ",""))</f>
        <v/>
      </c>
      <c r="BH2506" s="66"/>
    </row>
    <row r="2507" customFormat="false" ht="15" hidden="true" customHeight="false" outlineLevel="0" collapsed="false">
      <c r="AM2507" s="68" t="str">
        <f aca="false">IF(LEFT(AL2507,1)="9","Celular",IF(AL2507="","","Fixo"))</f>
        <v/>
      </c>
      <c r="BB2507" s="72" t="str">
        <f aca="false">IF(BA2507&lt;&gt;"",VLOOKUP(BA2507,Selects!$B$4:$C$100,2,0),"")</f>
        <v/>
      </c>
      <c r="BG2507" s="75" t="str">
        <f aca="false">IF(LEN(BF2507)=11,"PF",IF(LEN(BF2507)=14,"PJ",""))</f>
        <v/>
      </c>
      <c r="BH2507" s="66"/>
    </row>
    <row r="2508" customFormat="false" ht="15" hidden="true" customHeight="false" outlineLevel="0" collapsed="false">
      <c r="AM2508" s="68" t="str">
        <f aca="false">IF(LEFT(AL2508,1)="9","Celular",IF(AL2508="","","Fixo"))</f>
        <v/>
      </c>
      <c r="BB2508" s="72" t="str">
        <f aca="false">IF(BA2508&lt;&gt;"",VLOOKUP(BA2508,Selects!$B$4:$C$100,2,0),"")</f>
        <v/>
      </c>
      <c r="BG2508" s="75" t="str">
        <f aca="false">IF(LEN(BF2508)=11,"PF",IF(LEN(BF2508)=14,"PJ",""))</f>
        <v/>
      </c>
      <c r="BH2508" s="66"/>
    </row>
    <row r="2509" customFormat="false" ht="15" hidden="true" customHeight="false" outlineLevel="0" collapsed="false">
      <c r="AM2509" s="68" t="str">
        <f aca="false">IF(LEFT(AL2509,1)="9","Celular",IF(AL2509="","","Fixo"))</f>
        <v/>
      </c>
      <c r="BB2509" s="72" t="str">
        <f aca="false">IF(BA2509&lt;&gt;"",VLOOKUP(BA2509,Selects!$B$4:$C$100,2,0),"")</f>
        <v/>
      </c>
      <c r="BG2509" s="75" t="str">
        <f aca="false">IF(LEN(BF2509)=11,"PF",IF(LEN(BF2509)=14,"PJ",""))</f>
        <v/>
      </c>
      <c r="BH2509" s="66"/>
    </row>
    <row r="2510" customFormat="false" ht="15" hidden="true" customHeight="false" outlineLevel="0" collapsed="false">
      <c r="AM2510" s="68" t="str">
        <f aca="false">IF(LEFT(AL2510,1)="9","Celular",IF(AL2510="","","Fixo"))</f>
        <v/>
      </c>
      <c r="BB2510" s="72" t="str">
        <f aca="false">IF(BA2510&lt;&gt;"",VLOOKUP(BA2510,Selects!$B$4:$C$100,2,0),"")</f>
        <v/>
      </c>
      <c r="BG2510" s="75" t="str">
        <f aca="false">IF(LEN(BF2510)=11,"PF",IF(LEN(BF2510)=14,"PJ",""))</f>
        <v/>
      </c>
      <c r="BH2510" s="66"/>
    </row>
    <row r="2511" customFormat="false" ht="15" hidden="true" customHeight="false" outlineLevel="0" collapsed="false">
      <c r="AM2511" s="68" t="str">
        <f aca="false">IF(LEFT(AL2511,1)="9","Celular",IF(AL2511="","","Fixo"))</f>
        <v/>
      </c>
      <c r="BB2511" s="72" t="str">
        <f aca="false">IF(BA2511&lt;&gt;"",VLOOKUP(BA2511,Selects!$B$4:$C$100,2,0),"")</f>
        <v/>
      </c>
      <c r="BG2511" s="75" t="str">
        <f aca="false">IF(LEN(BF2511)=11,"PF",IF(LEN(BF2511)=14,"PJ",""))</f>
        <v/>
      </c>
      <c r="BH2511" s="66"/>
    </row>
    <row r="2512" customFormat="false" ht="15" hidden="true" customHeight="false" outlineLevel="0" collapsed="false">
      <c r="AM2512" s="68" t="str">
        <f aca="false">IF(LEFT(AL2512,1)="9","Celular",IF(AL2512="","","Fixo"))</f>
        <v/>
      </c>
      <c r="BB2512" s="72" t="str">
        <f aca="false">IF(BA2512&lt;&gt;"",VLOOKUP(BA2512,Selects!$B$4:$C$100,2,0),"")</f>
        <v/>
      </c>
      <c r="BG2512" s="75" t="str">
        <f aca="false">IF(LEN(BF2512)=11,"PF",IF(LEN(BF2512)=14,"PJ",""))</f>
        <v/>
      </c>
      <c r="BH2512" s="66"/>
    </row>
    <row r="2513" customFormat="false" ht="15" hidden="true" customHeight="false" outlineLevel="0" collapsed="false">
      <c r="AM2513" s="68" t="str">
        <f aca="false">IF(LEFT(AL2513,1)="9","Celular",IF(AL2513="","","Fixo"))</f>
        <v/>
      </c>
      <c r="BB2513" s="72" t="str">
        <f aca="false">IF(BA2513&lt;&gt;"",VLOOKUP(BA2513,Selects!$B$4:$C$100,2,0),"")</f>
        <v/>
      </c>
      <c r="BG2513" s="75" t="str">
        <f aca="false">IF(LEN(BF2513)=11,"PF",IF(LEN(BF2513)=14,"PJ",""))</f>
        <v/>
      </c>
      <c r="BH2513" s="66"/>
    </row>
    <row r="2514" customFormat="false" ht="15" hidden="true" customHeight="false" outlineLevel="0" collapsed="false">
      <c r="AM2514" s="68" t="str">
        <f aca="false">IF(LEFT(AL2514,1)="9","Celular",IF(AL2514="","","Fixo"))</f>
        <v/>
      </c>
      <c r="BB2514" s="72" t="str">
        <f aca="false">IF(BA2514&lt;&gt;"",VLOOKUP(BA2514,Selects!$B$4:$C$100,2,0),"")</f>
        <v/>
      </c>
      <c r="BG2514" s="75" t="str">
        <f aca="false">IF(LEN(BF2514)=11,"PF",IF(LEN(BF2514)=14,"PJ",""))</f>
        <v/>
      </c>
      <c r="BH2514" s="66"/>
    </row>
    <row r="2515" customFormat="false" ht="15" hidden="true" customHeight="false" outlineLevel="0" collapsed="false">
      <c r="AM2515" s="68" t="str">
        <f aca="false">IF(LEFT(AL2515,1)="9","Celular",IF(AL2515="","","Fixo"))</f>
        <v/>
      </c>
      <c r="BB2515" s="72" t="str">
        <f aca="false">IF(BA2515&lt;&gt;"",VLOOKUP(BA2515,Selects!$B$4:$C$100,2,0),"")</f>
        <v/>
      </c>
      <c r="BG2515" s="75" t="str">
        <f aca="false">IF(LEN(BF2515)=11,"PF",IF(LEN(BF2515)=14,"PJ",""))</f>
        <v/>
      </c>
      <c r="BH2515" s="66"/>
    </row>
    <row r="2516" customFormat="false" ht="15" hidden="true" customHeight="false" outlineLevel="0" collapsed="false">
      <c r="AM2516" s="68" t="str">
        <f aca="false">IF(LEFT(AL2516,1)="9","Celular",IF(AL2516="","","Fixo"))</f>
        <v/>
      </c>
      <c r="BB2516" s="72" t="str">
        <f aca="false">IF(BA2516&lt;&gt;"",VLOOKUP(BA2516,Selects!$B$4:$C$100,2,0),"")</f>
        <v/>
      </c>
      <c r="BG2516" s="75" t="str">
        <f aca="false">IF(LEN(BF2516)=11,"PF",IF(LEN(BF2516)=14,"PJ",""))</f>
        <v/>
      </c>
      <c r="BH2516" s="66"/>
    </row>
    <row r="2517" customFormat="false" ht="15" hidden="true" customHeight="false" outlineLevel="0" collapsed="false">
      <c r="AM2517" s="68" t="str">
        <f aca="false">IF(LEFT(AL2517,1)="9","Celular",IF(AL2517="","","Fixo"))</f>
        <v/>
      </c>
      <c r="BB2517" s="72" t="str">
        <f aca="false">IF(BA2517&lt;&gt;"",VLOOKUP(BA2517,Selects!$B$4:$C$100,2,0),"")</f>
        <v/>
      </c>
      <c r="BG2517" s="75" t="str">
        <f aca="false">IF(LEN(BF2517)=11,"PF",IF(LEN(BF2517)=14,"PJ",""))</f>
        <v/>
      </c>
      <c r="BH2517" s="66"/>
    </row>
    <row r="2518" customFormat="false" ht="15" hidden="true" customHeight="false" outlineLevel="0" collapsed="false">
      <c r="AM2518" s="68" t="str">
        <f aca="false">IF(LEFT(AL2518,1)="9","Celular",IF(AL2518="","","Fixo"))</f>
        <v/>
      </c>
      <c r="BB2518" s="72" t="str">
        <f aca="false">IF(BA2518&lt;&gt;"",VLOOKUP(BA2518,Selects!$B$4:$C$100,2,0),"")</f>
        <v/>
      </c>
      <c r="BG2518" s="75" t="str">
        <f aca="false">IF(LEN(BF2518)=11,"PF",IF(LEN(BF2518)=14,"PJ",""))</f>
        <v/>
      </c>
      <c r="BH2518" s="66"/>
    </row>
    <row r="2519" customFormat="false" ht="15" hidden="true" customHeight="false" outlineLevel="0" collapsed="false">
      <c r="AM2519" s="68" t="str">
        <f aca="false">IF(LEFT(AL2519,1)="9","Celular",IF(AL2519="","","Fixo"))</f>
        <v/>
      </c>
      <c r="BB2519" s="72" t="str">
        <f aca="false">IF(BA2519&lt;&gt;"",VLOOKUP(BA2519,Selects!$B$4:$C$100,2,0),"")</f>
        <v/>
      </c>
      <c r="BG2519" s="75" t="str">
        <f aca="false">IF(LEN(BF2519)=11,"PF",IF(LEN(BF2519)=14,"PJ",""))</f>
        <v/>
      </c>
      <c r="BH2519" s="66"/>
    </row>
    <row r="2520" customFormat="false" ht="15" hidden="true" customHeight="false" outlineLevel="0" collapsed="false">
      <c r="AM2520" s="68" t="str">
        <f aca="false">IF(LEFT(AL2520,1)="9","Celular",IF(AL2520="","","Fixo"))</f>
        <v/>
      </c>
      <c r="BB2520" s="72" t="str">
        <f aca="false">IF(BA2520&lt;&gt;"",VLOOKUP(BA2520,Selects!$B$4:$C$100,2,0),"")</f>
        <v/>
      </c>
      <c r="BG2520" s="75" t="str">
        <f aca="false">IF(LEN(BF2520)=11,"PF",IF(LEN(BF2520)=14,"PJ",""))</f>
        <v/>
      </c>
      <c r="BH2520" s="66"/>
    </row>
    <row r="2521" customFormat="false" ht="15" hidden="true" customHeight="false" outlineLevel="0" collapsed="false">
      <c r="AM2521" s="68" t="str">
        <f aca="false">IF(LEFT(AL2521,1)="9","Celular",IF(AL2521="","","Fixo"))</f>
        <v/>
      </c>
      <c r="BB2521" s="72" t="str">
        <f aca="false">IF(BA2521&lt;&gt;"",VLOOKUP(BA2521,Selects!$B$4:$C$100,2,0),"")</f>
        <v/>
      </c>
      <c r="BG2521" s="75" t="str">
        <f aca="false">IF(LEN(BF2521)=11,"PF",IF(LEN(BF2521)=14,"PJ",""))</f>
        <v/>
      </c>
      <c r="BH2521" s="66"/>
    </row>
    <row r="2522" customFormat="false" ht="15" hidden="true" customHeight="false" outlineLevel="0" collapsed="false">
      <c r="AM2522" s="68" t="str">
        <f aca="false">IF(LEFT(AL2522,1)="9","Celular",IF(AL2522="","","Fixo"))</f>
        <v/>
      </c>
      <c r="BB2522" s="72" t="str">
        <f aca="false">IF(BA2522&lt;&gt;"",VLOOKUP(BA2522,Selects!$B$4:$C$100,2,0),"")</f>
        <v/>
      </c>
      <c r="BG2522" s="75" t="str">
        <f aca="false">IF(LEN(BF2522)=11,"PF",IF(LEN(BF2522)=14,"PJ",""))</f>
        <v/>
      </c>
      <c r="BH2522" s="66"/>
    </row>
    <row r="2523" customFormat="false" ht="15" hidden="true" customHeight="false" outlineLevel="0" collapsed="false">
      <c r="AM2523" s="68" t="str">
        <f aca="false">IF(LEFT(AL2523,1)="9","Celular",IF(AL2523="","","Fixo"))</f>
        <v/>
      </c>
      <c r="BB2523" s="72" t="str">
        <f aca="false">IF(BA2523&lt;&gt;"",VLOOKUP(BA2523,Selects!$B$4:$C$100,2,0),"")</f>
        <v/>
      </c>
      <c r="BG2523" s="75" t="str">
        <f aca="false">IF(LEN(BF2523)=11,"PF",IF(LEN(BF2523)=14,"PJ",""))</f>
        <v/>
      </c>
      <c r="BH2523" s="66"/>
    </row>
    <row r="2524" customFormat="false" ht="15" hidden="true" customHeight="false" outlineLevel="0" collapsed="false">
      <c r="AM2524" s="68" t="str">
        <f aca="false">IF(LEFT(AL2524,1)="9","Celular",IF(AL2524="","","Fixo"))</f>
        <v/>
      </c>
      <c r="BB2524" s="72" t="str">
        <f aca="false">IF(BA2524&lt;&gt;"",VLOOKUP(BA2524,Selects!$B$4:$C$100,2,0),"")</f>
        <v/>
      </c>
      <c r="BG2524" s="75" t="str">
        <f aca="false">IF(LEN(BF2524)=11,"PF",IF(LEN(BF2524)=14,"PJ",""))</f>
        <v/>
      </c>
      <c r="BH2524" s="66"/>
    </row>
    <row r="2525" customFormat="false" ht="15" hidden="true" customHeight="false" outlineLevel="0" collapsed="false">
      <c r="AM2525" s="68" t="str">
        <f aca="false">IF(LEFT(AL2525,1)="9","Celular",IF(AL2525="","","Fixo"))</f>
        <v/>
      </c>
      <c r="BB2525" s="72" t="str">
        <f aca="false">IF(BA2525&lt;&gt;"",VLOOKUP(BA2525,Selects!$B$4:$C$100,2,0),"")</f>
        <v/>
      </c>
      <c r="BG2525" s="75" t="str">
        <f aca="false">IF(LEN(BF2525)=11,"PF",IF(LEN(BF2525)=14,"PJ",""))</f>
        <v/>
      </c>
      <c r="BH2525" s="66"/>
    </row>
    <row r="2526" customFormat="false" ht="15" hidden="true" customHeight="false" outlineLevel="0" collapsed="false">
      <c r="AM2526" s="68" t="str">
        <f aca="false">IF(LEFT(AL2526,1)="9","Celular",IF(AL2526="","","Fixo"))</f>
        <v/>
      </c>
      <c r="BB2526" s="72" t="str">
        <f aca="false">IF(BA2526&lt;&gt;"",VLOOKUP(BA2526,Selects!$B$4:$C$100,2,0),"")</f>
        <v/>
      </c>
      <c r="BG2526" s="75" t="str">
        <f aca="false">IF(LEN(BF2526)=11,"PF",IF(LEN(BF2526)=14,"PJ",""))</f>
        <v/>
      </c>
      <c r="BH2526" s="66"/>
    </row>
    <row r="2527" customFormat="false" ht="15" hidden="true" customHeight="false" outlineLevel="0" collapsed="false">
      <c r="AM2527" s="68" t="str">
        <f aca="false">IF(LEFT(AL2527,1)="9","Celular",IF(AL2527="","","Fixo"))</f>
        <v/>
      </c>
      <c r="BB2527" s="72" t="str">
        <f aca="false">IF(BA2527&lt;&gt;"",VLOOKUP(BA2527,Selects!$B$4:$C$100,2,0),"")</f>
        <v/>
      </c>
      <c r="BG2527" s="75" t="str">
        <f aca="false">IF(LEN(BF2527)=11,"PF",IF(LEN(BF2527)=14,"PJ",""))</f>
        <v/>
      </c>
      <c r="BH2527" s="66"/>
    </row>
    <row r="2528" customFormat="false" ht="15" hidden="true" customHeight="false" outlineLevel="0" collapsed="false">
      <c r="AM2528" s="68" t="str">
        <f aca="false">IF(LEFT(AL2528,1)="9","Celular",IF(AL2528="","","Fixo"))</f>
        <v/>
      </c>
      <c r="BB2528" s="72" t="str">
        <f aca="false">IF(BA2528&lt;&gt;"",VLOOKUP(BA2528,Selects!$B$4:$C$100,2,0),"")</f>
        <v/>
      </c>
      <c r="BG2528" s="75" t="str">
        <f aca="false">IF(LEN(BF2528)=11,"PF",IF(LEN(BF2528)=14,"PJ",""))</f>
        <v/>
      </c>
      <c r="BH2528" s="66"/>
    </row>
    <row r="2529" customFormat="false" ht="15" hidden="true" customHeight="false" outlineLevel="0" collapsed="false">
      <c r="AM2529" s="68" t="str">
        <f aca="false">IF(LEFT(AL2529,1)="9","Celular",IF(AL2529="","","Fixo"))</f>
        <v/>
      </c>
      <c r="BB2529" s="72" t="str">
        <f aca="false">IF(BA2529&lt;&gt;"",VLOOKUP(BA2529,Selects!$B$4:$C$100,2,0),"")</f>
        <v/>
      </c>
      <c r="BG2529" s="75" t="str">
        <f aca="false">IF(LEN(BF2529)=11,"PF",IF(LEN(BF2529)=14,"PJ",""))</f>
        <v/>
      </c>
      <c r="BH2529" s="66"/>
    </row>
    <row r="2530" customFormat="false" ht="15" hidden="true" customHeight="false" outlineLevel="0" collapsed="false">
      <c r="AM2530" s="68" t="str">
        <f aca="false">IF(LEFT(AL2530,1)="9","Celular",IF(AL2530="","","Fixo"))</f>
        <v/>
      </c>
      <c r="BB2530" s="72" t="str">
        <f aca="false">IF(BA2530&lt;&gt;"",VLOOKUP(BA2530,Selects!$B$4:$C$100,2,0),"")</f>
        <v/>
      </c>
      <c r="BG2530" s="75" t="str">
        <f aca="false">IF(LEN(BF2530)=11,"PF",IF(LEN(BF2530)=14,"PJ",""))</f>
        <v/>
      </c>
      <c r="BH2530" s="66"/>
    </row>
    <row r="2531" customFormat="false" ht="15" hidden="true" customHeight="false" outlineLevel="0" collapsed="false">
      <c r="AM2531" s="68" t="str">
        <f aca="false">IF(LEFT(AL2531,1)="9","Celular",IF(AL2531="","","Fixo"))</f>
        <v/>
      </c>
      <c r="BB2531" s="72" t="str">
        <f aca="false">IF(BA2531&lt;&gt;"",VLOOKUP(BA2531,Selects!$B$4:$C$100,2,0),"")</f>
        <v/>
      </c>
      <c r="BG2531" s="75" t="str">
        <f aca="false">IF(LEN(BF2531)=11,"PF",IF(LEN(BF2531)=14,"PJ",""))</f>
        <v/>
      </c>
      <c r="BH2531" s="66"/>
    </row>
    <row r="2532" customFormat="false" ht="15" hidden="true" customHeight="false" outlineLevel="0" collapsed="false">
      <c r="AM2532" s="68" t="str">
        <f aca="false">IF(LEFT(AL2532,1)="9","Celular",IF(AL2532="","","Fixo"))</f>
        <v/>
      </c>
      <c r="BB2532" s="72" t="str">
        <f aca="false">IF(BA2532&lt;&gt;"",VLOOKUP(BA2532,Selects!$B$4:$C$100,2,0),"")</f>
        <v/>
      </c>
      <c r="BG2532" s="75" t="str">
        <f aca="false">IF(LEN(BF2532)=11,"PF",IF(LEN(BF2532)=14,"PJ",""))</f>
        <v/>
      </c>
      <c r="BH2532" s="66"/>
    </row>
    <row r="2533" customFormat="false" ht="15" hidden="true" customHeight="false" outlineLevel="0" collapsed="false">
      <c r="AM2533" s="68" t="str">
        <f aca="false">IF(LEFT(AL2533,1)="9","Celular",IF(AL2533="","","Fixo"))</f>
        <v/>
      </c>
      <c r="BB2533" s="72" t="str">
        <f aca="false">IF(BA2533&lt;&gt;"",VLOOKUP(BA2533,Selects!$B$4:$C$100,2,0),"")</f>
        <v/>
      </c>
      <c r="BG2533" s="75" t="str">
        <f aca="false">IF(LEN(BF2533)=11,"PF",IF(LEN(BF2533)=14,"PJ",""))</f>
        <v/>
      </c>
      <c r="BH2533" s="66"/>
    </row>
    <row r="2534" customFormat="false" ht="15" hidden="true" customHeight="false" outlineLevel="0" collapsed="false">
      <c r="AM2534" s="68" t="str">
        <f aca="false">IF(LEFT(AL2534,1)="9","Celular",IF(AL2534="","","Fixo"))</f>
        <v/>
      </c>
      <c r="BB2534" s="72" t="str">
        <f aca="false">IF(BA2534&lt;&gt;"",VLOOKUP(BA2534,Selects!$B$4:$C$100,2,0),"")</f>
        <v/>
      </c>
      <c r="BG2534" s="75" t="str">
        <f aca="false">IF(LEN(BF2534)=11,"PF",IF(LEN(BF2534)=14,"PJ",""))</f>
        <v/>
      </c>
      <c r="BH2534" s="66"/>
    </row>
    <row r="2535" customFormat="false" ht="15" hidden="true" customHeight="false" outlineLevel="0" collapsed="false">
      <c r="AM2535" s="68" t="str">
        <f aca="false">IF(LEFT(AL2535,1)="9","Celular",IF(AL2535="","","Fixo"))</f>
        <v/>
      </c>
      <c r="BB2535" s="72" t="str">
        <f aca="false">IF(BA2535&lt;&gt;"",VLOOKUP(BA2535,Selects!$B$4:$C$100,2,0),"")</f>
        <v/>
      </c>
      <c r="BG2535" s="75" t="str">
        <f aca="false">IF(LEN(BF2535)=11,"PF",IF(LEN(BF2535)=14,"PJ",""))</f>
        <v/>
      </c>
      <c r="BH2535" s="66"/>
    </row>
    <row r="2536" customFormat="false" ht="15" hidden="true" customHeight="false" outlineLevel="0" collapsed="false">
      <c r="AM2536" s="68" t="str">
        <f aca="false">IF(LEFT(AL2536,1)="9","Celular",IF(AL2536="","","Fixo"))</f>
        <v/>
      </c>
      <c r="BB2536" s="72" t="str">
        <f aca="false">IF(BA2536&lt;&gt;"",VLOOKUP(BA2536,Selects!$B$4:$C$100,2,0),"")</f>
        <v/>
      </c>
      <c r="BG2536" s="75" t="str">
        <f aca="false">IF(LEN(BF2536)=11,"PF",IF(LEN(BF2536)=14,"PJ",""))</f>
        <v/>
      </c>
      <c r="BH2536" s="66"/>
    </row>
    <row r="2537" customFormat="false" ht="15" hidden="true" customHeight="false" outlineLevel="0" collapsed="false">
      <c r="AM2537" s="68" t="str">
        <f aca="false">IF(LEFT(AL2537,1)="9","Celular",IF(AL2537="","","Fixo"))</f>
        <v/>
      </c>
      <c r="BB2537" s="72" t="str">
        <f aca="false">IF(BA2537&lt;&gt;"",VLOOKUP(BA2537,Selects!$B$4:$C$100,2,0),"")</f>
        <v/>
      </c>
      <c r="BG2537" s="75" t="str">
        <f aca="false">IF(LEN(BF2537)=11,"PF",IF(LEN(BF2537)=14,"PJ",""))</f>
        <v/>
      </c>
      <c r="BH2537" s="66"/>
    </row>
    <row r="2538" customFormat="false" ht="15" hidden="true" customHeight="false" outlineLevel="0" collapsed="false">
      <c r="AM2538" s="68" t="str">
        <f aca="false">IF(LEFT(AL2538,1)="9","Celular",IF(AL2538="","","Fixo"))</f>
        <v/>
      </c>
      <c r="BB2538" s="72" t="str">
        <f aca="false">IF(BA2538&lt;&gt;"",VLOOKUP(BA2538,Selects!$B$4:$C$100,2,0),"")</f>
        <v/>
      </c>
      <c r="BG2538" s="75" t="str">
        <f aca="false">IF(LEN(BF2538)=11,"PF",IF(LEN(BF2538)=14,"PJ",""))</f>
        <v/>
      </c>
      <c r="BH2538" s="66"/>
    </row>
    <row r="2539" customFormat="false" ht="15" hidden="true" customHeight="false" outlineLevel="0" collapsed="false">
      <c r="AM2539" s="68" t="str">
        <f aca="false">IF(LEFT(AL2539,1)="9","Celular",IF(AL2539="","","Fixo"))</f>
        <v/>
      </c>
      <c r="BB2539" s="72" t="str">
        <f aca="false">IF(BA2539&lt;&gt;"",VLOOKUP(BA2539,Selects!$B$4:$C$100,2,0),"")</f>
        <v/>
      </c>
      <c r="BG2539" s="75" t="str">
        <f aca="false">IF(LEN(BF2539)=11,"PF",IF(LEN(BF2539)=14,"PJ",""))</f>
        <v/>
      </c>
      <c r="BH2539" s="66"/>
    </row>
    <row r="2540" customFormat="false" ht="15" hidden="true" customHeight="false" outlineLevel="0" collapsed="false">
      <c r="AM2540" s="68" t="str">
        <f aca="false">IF(LEFT(AL2540,1)="9","Celular",IF(AL2540="","","Fixo"))</f>
        <v/>
      </c>
      <c r="BB2540" s="72" t="str">
        <f aca="false">IF(BA2540&lt;&gt;"",VLOOKUP(BA2540,Selects!$B$4:$C$100,2,0),"")</f>
        <v/>
      </c>
      <c r="BG2540" s="75" t="str">
        <f aca="false">IF(LEN(BF2540)=11,"PF",IF(LEN(BF2540)=14,"PJ",""))</f>
        <v/>
      </c>
      <c r="BH2540" s="66"/>
    </row>
    <row r="2541" customFormat="false" ht="15" hidden="true" customHeight="false" outlineLevel="0" collapsed="false">
      <c r="AM2541" s="68" t="str">
        <f aca="false">IF(LEFT(AL2541,1)="9","Celular",IF(AL2541="","","Fixo"))</f>
        <v/>
      </c>
      <c r="BB2541" s="72" t="str">
        <f aca="false">IF(BA2541&lt;&gt;"",VLOOKUP(BA2541,Selects!$B$4:$C$100,2,0),"")</f>
        <v/>
      </c>
      <c r="BG2541" s="75" t="str">
        <f aca="false">IF(LEN(BF2541)=11,"PF",IF(LEN(BF2541)=14,"PJ",""))</f>
        <v/>
      </c>
      <c r="BH2541" s="66"/>
    </row>
    <row r="2542" customFormat="false" ht="15" hidden="true" customHeight="false" outlineLevel="0" collapsed="false">
      <c r="AM2542" s="68" t="str">
        <f aca="false">IF(LEFT(AL2542,1)="9","Celular",IF(AL2542="","","Fixo"))</f>
        <v/>
      </c>
      <c r="BB2542" s="72" t="str">
        <f aca="false">IF(BA2542&lt;&gt;"",VLOOKUP(BA2542,Selects!$B$4:$C$100,2,0),"")</f>
        <v/>
      </c>
      <c r="BG2542" s="75" t="str">
        <f aca="false">IF(LEN(BF2542)=11,"PF",IF(LEN(BF2542)=14,"PJ",""))</f>
        <v/>
      </c>
      <c r="BH2542" s="66"/>
    </row>
    <row r="2543" customFormat="false" ht="15" hidden="true" customHeight="false" outlineLevel="0" collapsed="false">
      <c r="AM2543" s="68" t="str">
        <f aca="false">IF(LEFT(AL2543,1)="9","Celular",IF(AL2543="","","Fixo"))</f>
        <v/>
      </c>
      <c r="BB2543" s="72" t="str">
        <f aca="false">IF(BA2543&lt;&gt;"",VLOOKUP(BA2543,Selects!$B$4:$C$100,2,0),"")</f>
        <v/>
      </c>
      <c r="BG2543" s="75" t="str">
        <f aca="false">IF(LEN(BF2543)=11,"PF",IF(LEN(BF2543)=14,"PJ",""))</f>
        <v/>
      </c>
      <c r="BH2543" s="66"/>
    </row>
    <row r="2544" customFormat="false" ht="15" hidden="true" customHeight="false" outlineLevel="0" collapsed="false">
      <c r="AM2544" s="68" t="str">
        <f aca="false">IF(LEFT(AL2544,1)="9","Celular",IF(AL2544="","","Fixo"))</f>
        <v/>
      </c>
      <c r="BB2544" s="72" t="str">
        <f aca="false">IF(BA2544&lt;&gt;"",VLOOKUP(BA2544,Selects!$B$4:$C$100,2,0),"")</f>
        <v/>
      </c>
      <c r="BG2544" s="75" t="str">
        <f aca="false">IF(LEN(BF2544)=11,"PF",IF(LEN(BF2544)=14,"PJ",""))</f>
        <v/>
      </c>
      <c r="BH2544" s="66"/>
    </row>
    <row r="2545" customFormat="false" ht="15" hidden="true" customHeight="false" outlineLevel="0" collapsed="false">
      <c r="AM2545" s="68" t="str">
        <f aca="false">IF(LEFT(AL2545,1)="9","Celular",IF(AL2545="","","Fixo"))</f>
        <v/>
      </c>
      <c r="BB2545" s="72" t="str">
        <f aca="false">IF(BA2545&lt;&gt;"",VLOOKUP(BA2545,Selects!$B$4:$C$100,2,0),"")</f>
        <v/>
      </c>
      <c r="BG2545" s="75" t="str">
        <f aca="false">IF(LEN(BF2545)=11,"PF",IF(LEN(BF2545)=14,"PJ",""))</f>
        <v/>
      </c>
      <c r="BH2545" s="66"/>
    </row>
    <row r="2546" customFormat="false" ht="15" hidden="true" customHeight="false" outlineLevel="0" collapsed="false">
      <c r="AM2546" s="68" t="str">
        <f aca="false">IF(LEFT(AL2546,1)="9","Celular",IF(AL2546="","","Fixo"))</f>
        <v/>
      </c>
      <c r="BB2546" s="72" t="str">
        <f aca="false">IF(BA2546&lt;&gt;"",VLOOKUP(BA2546,Selects!$B$4:$C$100,2,0),"")</f>
        <v/>
      </c>
      <c r="BG2546" s="75" t="str">
        <f aca="false">IF(LEN(BF2546)=11,"PF",IF(LEN(BF2546)=14,"PJ",""))</f>
        <v/>
      </c>
      <c r="BH2546" s="66"/>
    </row>
    <row r="2547" customFormat="false" ht="15" hidden="true" customHeight="false" outlineLevel="0" collapsed="false">
      <c r="AM2547" s="68" t="str">
        <f aca="false">IF(LEFT(AL2547,1)="9","Celular",IF(AL2547="","","Fixo"))</f>
        <v/>
      </c>
      <c r="BB2547" s="72" t="str">
        <f aca="false">IF(BA2547&lt;&gt;"",VLOOKUP(BA2547,Selects!$B$4:$C$100,2,0),"")</f>
        <v/>
      </c>
      <c r="BG2547" s="75" t="str">
        <f aca="false">IF(LEN(BF2547)=11,"PF",IF(LEN(BF2547)=14,"PJ",""))</f>
        <v/>
      </c>
      <c r="BH2547" s="66"/>
    </row>
    <row r="2548" customFormat="false" ht="15" hidden="true" customHeight="false" outlineLevel="0" collapsed="false">
      <c r="AM2548" s="68" t="str">
        <f aca="false">IF(LEFT(AL2548,1)="9","Celular",IF(AL2548="","","Fixo"))</f>
        <v/>
      </c>
      <c r="BB2548" s="72" t="str">
        <f aca="false">IF(BA2548&lt;&gt;"",VLOOKUP(BA2548,Selects!$B$4:$C$100,2,0),"")</f>
        <v/>
      </c>
      <c r="BG2548" s="75" t="str">
        <f aca="false">IF(LEN(BF2548)=11,"PF",IF(LEN(BF2548)=14,"PJ",""))</f>
        <v/>
      </c>
      <c r="BH2548" s="66"/>
    </row>
    <row r="2549" customFormat="false" ht="15" hidden="true" customHeight="false" outlineLevel="0" collapsed="false">
      <c r="AM2549" s="68" t="str">
        <f aca="false">IF(LEFT(AL2549,1)="9","Celular",IF(AL2549="","","Fixo"))</f>
        <v/>
      </c>
      <c r="BB2549" s="72" t="str">
        <f aca="false">IF(BA2549&lt;&gt;"",VLOOKUP(BA2549,Selects!$B$4:$C$100,2,0),"")</f>
        <v/>
      </c>
      <c r="BG2549" s="75" t="str">
        <f aca="false">IF(LEN(BF2549)=11,"PF",IF(LEN(BF2549)=14,"PJ",""))</f>
        <v/>
      </c>
      <c r="BH2549" s="66"/>
    </row>
    <row r="2550" customFormat="false" ht="15" hidden="true" customHeight="false" outlineLevel="0" collapsed="false">
      <c r="AM2550" s="68" t="str">
        <f aca="false">IF(LEFT(AL2550,1)="9","Celular",IF(AL2550="","","Fixo"))</f>
        <v/>
      </c>
      <c r="BB2550" s="72" t="str">
        <f aca="false">IF(BA2550&lt;&gt;"",VLOOKUP(BA2550,Selects!$B$4:$C$100,2,0),"")</f>
        <v/>
      </c>
      <c r="BG2550" s="75" t="str">
        <f aca="false">IF(LEN(BF2550)=11,"PF",IF(LEN(BF2550)=14,"PJ",""))</f>
        <v/>
      </c>
      <c r="BH2550" s="66"/>
    </row>
    <row r="2551" customFormat="false" ht="15" hidden="true" customHeight="false" outlineLevel="0" collapsed="false">
      <c r="AM2551" s="68" t="str">
        <f aca="false">IF(LEFT(AL2551,1)="9","Celular",IF(AL2551="","","Fixo"))</f>
        <v/>
      </c>
      <c r="BB2551" s="72" t="str">
        <f aca="false">IF(BA2551&lt;&gt;"",VLOOKUP(BA2551,Selects!$B$4:$C$100,2,0),"")</f>
        <v/>
      </c>
      <c r="BG2551" s="75" t="str">
        <f aca="false">IF(LEN(BF2551)=11,"PF",IF(LEN(BF2551)=14,"PJ",""))</f>
        <v/>
      </c>
      <c r="BH2551" s="66"/>
    </row>
    <row r="2552" customFormat="false" ht="15" hidden="true" customHeight="false" outlineLevel="0" collapsed="false">
      <c r="AM2552" s="68" t="str">
        <f aca="false">IF(LEFT(AL2552,1)="9","Celular",IF(AL2552="","","Fixo"))</f>
        <v/>
      </c>
      <c r="BB2552" s="72" t="str">
        <f aca="false">IF(BA2552&lt;&gt;"",VLOOKUP(BA2552,Selects!$B$4:$C$100,2,0),"")</f>
        <v/>
      </c>
      <c r="BG2552" s="75" t="str">
        <f aca="false">IF(LEN(BF2552)=11,"PF",IF(LEN(BF2552)=14,"PJ",""))</f>
        <v/>
      </c>
      <c r="BH2552" s="66"/>
    </row>
    <row r="2553" customFormat="false" ht="15" hidden="true" customHeight="false" outlineLevel="0" collapsed="false">
      <c r="AM2553" s="68" t="str">
        <f aca="false">IF(LEFT(AL2553,1)="9","Celular",IF(AL2553="","","Fixo"))</f>
        <v/>
      </c>
      <c r="BB2553" s="72" t="str">
        <f aca="false">IF(BA2553&lt;&gt;"",VLOOKUP(BA2553,Selects!$B$4:$C$100,2,0),"")</f>
        <v/>
      </c>
      <c r="BG2553" s="75" t="str">
        <f aca="false">IF(LEN(BF2553)=11,"PF",IF(LEN(BF2553)=14,"PJ",""))</f>
        <v/>
      </c>
      <c r="BH2553" s="66"/>
    </row>
    <row r="2554" customFormat="false" ht="15" hidden="true" customHeight="false" outlineLevel="0" collapsed="false">
      <c r="AM2554" s="68" t="str">
        <f aca="false">IF(LEFT(AL2554,1)="9","Celular",IF(AL2554="","","Fixo"))</f>
        <v/>
      </c>
      <c r="BB2554" s="72" t="str">
        <f aca="false">IF(BA2554&lt;&gt;"",VLOOKUP(BA2554,Selects!$B$4:$C$100,2,0),"")</f>
        <v/>
      </c>
      <c r="BG2554" s="75" t="str">
        <f aca="false">IF(LEN(BF2554)=11,"PF",IF(LEN(BF2554)=14,"PJ",""))</f>
        <v/>
      </c>
      <c r="BH2554" s="66"/>
    </row>
    <row r="2555" customFormat="false" ht="15" hidden="true" customHeight="false" outlineLevel="0" collapsed="false">
      <c r="AM2555" s="68" t="str">
        <f aca="false">IF(LEFT(AL2555,1)="9","Celular",IF(AL2555="","","Fixo"))</f>
        <v/>
      </c>
      <c r="BB2555" s="72" t="str">
        <f aca="false">IF(BA2555&lt;&gt;"",VLOOKUP(BA2555,Selects!$B$4:$C$100,2,0),"")</f>
        <v/>
      </c>
      <c r="BG2555" s="75" t="str">
        <f aca="false">IF(LEN(BF2555)=11,"PF",IF(LEN(BF2555)=14,"PJ",""))</f>
        <v/>
      </c>
      <c r="BH2555" s="66"/>
    </row>
    <row r="2556" customFormat="false" ht="15" hidden="true" customHeight="false" outlineLevel="0" collapsed="false">
      <c r="AM2556" s="68" t="str">
        <f aca="false">IF(LEFT(AL2556,1)="9","Celular",IF(AL2556="","","Fixo"))</f>
        <v/>
      </c>
      <c r="BB2556" s="72" t="str">
        <f aca="false">IF(BA2556&lt;&gt;"",VLOOKUP(BA2556,Selects!$B$4:$C$100,2,0),"")</f>
        <v/>
      </c>
      <c r="BG2556" s="75" t="str">
        <f aca="false">IF(LEN(BF2556)=11,"PF",IF(LEN(BF2556)=14,"PJ",""))</f>
        <v/>
      </c>
      <c r="BH2556" s="66"/>
    </row>
    <row r="2557" customFormat="false" ht="15" hidden="true" customHeight="false" outlineLevel="0" collapsed="false">
      <c r="AM2557" s="68" t="str">
        <f aca="false">IF(LEFT(AL2557,1)="9","Celular",IF(AL2557="","","Fixo"))</f>
        <v/>
      </c>
      <c r="BB2557" s="72" t="str">
        <f aca="false">IF(BA2557&lt;&gt;"",VLOOKUP(BA2557,Selects!$B$4:$C$100,2,0),"")</f>
        <v/>
      </c>
      <c r="BG2557" s="75" t="str">
        <f aca="false">IF(LEN(BF2557)=11,"PF",IF(LEN(BF2557)=14,"PJ",""))</f>
        <v/>
      </c>
      <c r="BH2557" s="66"/>
    </row>
    <row r="2558" customFormat="false" ht="15" hidden="true" customHeight="false" outlineLevel="0" collapsed="false">
      <c r="AM2558" s="68" t="str">
        <f aca="false">IF(LEFT(AL2558,1)="9","Celular",IF(AL2558="","","Fixo"))</f>
        <v/>
      </c>
      <c r="BB2558" s="72" t="str">
        <f aca="false">IF(BA2558&lt;&gt;"",VLOOKUP(BA2558,Selects!$B$4:$C$100,2,0),"")</f>
        <v/>
      </c>
      <c r="BG2558" s="75" t="str">
        <f aca="false">IF(LEN(BF2558)=11,"PF",IF(LEN(BF2558)=14,"PJ",""))</f>
        <v/>
      </c>
      <c r="BH2558" s="66"/>
    </row>
    <row r="2559" customFormat="false" ht="15" hidden="true" customHeight="false" outlineLevel="0" collapsed="false">
      <c r="AM2559" s="68" t="str">
        <f aca="false">IF(LEFT(AL2559,1)="9","Celular",IF(AL2559="","","Fixo"))</f>
        <v/>
      </c>
      <c r="BB2559" s="72" t="str">
        <f aca="false">IF(BA2559&lt;&gt;"",VLOOKUP(BA2559,Selects!$B$4:$C$100,2,0),"")</f>
        <v/>
      </c>
      <c r="BG2559" s="75" t="str">
        <f aca="false">IF(LEN(BF2559)=11,"PF",IF(LEN(BF2559)=14,"PJ",""))</f>
        <v/>
      </c>
      <c r="BH2559" s="66"/>
    </row>
    <row r="2560" customFormat="false" ht="15" hidden="true" customHeight="false" outlineLevel="0" collapsed="false">
      <c r="AM2560" s="68" t="str">
        <f aca="false">IF(LEFT(AL2560,1)="9","Celular",IF(AL2560="","","Fixo"))</f>
        <v/>
      </c>
      <c r="BB2560" s="72" t="str">
        <f aca="false">IF(BA2560&lt;&gt;"",VLOOKUP(BA2560,Selects!$B$4:$C$100,2,0),"")</f>
        <v/>
      </c>
      <c r="BG2560" s="75" t="str">
        <f aca="false">IF(LEN(BF2560)=11,"PF",IF(LEN(BF2560)=14,"PJ",""))</f>
        <v/>
      </c>
      <c r="BH2560" s="66"/>
    </row>
    <row r="2561" customFormat="false" ht="15" hidden="true" customHeight="false" outlineLevel="0" collapsed="false">
      <c r="AM2561" s="68" t="str">
        <f aca="false">IF(LEFT(AL2561,1)="9","Celular",IF(AL2561="","","Fixo"))</f>
        <v/>
      </c>
      <c r="BB2561" s="72" t="str">
        <f aca="false">IF(BA2561&lt;&gt;"",VLOOKUP(BA2561,Selects!$B$4:$C$100,2,0),"")</f>
        <v/>
      </c>
      <c r="BG2561" s="75" t="str">
        <f aca="false">IF(LEN(BF2561)=11,"PF",IF(LEN(BF2561)=14,"PJ",""))</f>
        <v/>
      </c>
      <c r="BH2561" s="66"/>
    </row>
    <row r="2562" customFormat="false" ht="15" hidden="true" customHeight="false" outlineLevel="0" collapsed="false">
      <c r="AM2562" s="68" t="str">
        <f aca="false">IF(LEFT(AL2562,1)="9","Celular",IF(AL2562="","","Fixo"))</f>
        <v/>
      </c>
      <c r="BB2562" s="72" t="str">
        <f aca="false">IF(BA2562&lt;&gt;"",VLOOKUP(BA2562,Selects!$B$4:$C$100,2,0),"")</f>
        <v/>
      </c>
      <c r="BG2562" s="75" t="str">
        <f aca="false">IF(LEN(BF2562)=11,"PF",IF(LEN(BF2562)=14,"PJ",""))</f>
        <v/>
      </c>
      <c r="BH2562" s="66"/>
    </row>
    <row r="2563" customFormat="false" ht="15" hidden="true" customHeight="false" outlineLevel="0" collapsed="false">
      <c r="AM2563" s="68" t="str">
        <f aca="false">IF(LEFT(AL2563,1)="9","Celular",IF(AL2563="","","Fixo"))</f>
        <v/>
      </c>
      <c r="BB2563" s="72" t="str">
        <f aca="false">IF(BA2563&lt;&gt;"",VLOOKUP(BA2563,Selects!$B$4:$C$100,2,0),"")</f>
        <v/>
      </c>
      <c r="BG2563" s="75" t="str">
        <f aca="false">IF(LEN(BF2563)=11,"PF",IF(LEN(BF2563)=14,"PJ",""))</f>
        <v/>
      </c>
      <c r="BH2563" s="66"/>
    </row>
    <row r="2564" customFormat="false" ht="15" hidden="true" customHeight="false" outlineLevel="0" collapsed="false">
      <c r="AM2564" s="68" t="str">
        <f aca="false">IF(LEFT(AL2564,1)="9","Celular",IF(AL2564="","","Fixo"))</f>
        <v/>
      </c>
      <c r="BB2564" s="72" t="str">
        <f aca="false">IF(BA2564&lt;&gt;"",VLOOKUP(BA2564,Selects!$B$4:$C$100,2,0),"")</f>
        <v/>
      </c>
      <c r="BG2564" s="75" t="str">
        <f aca="false">IF(LEN(BF2564)=11,"PF",IF(LEN(BF2564)=14,"PJ",""))</f>
        <v/>
      </c>
      <c r="BH2564" s="66"/>
    </row>
    <row r="2565" customFormat="false" ht="15" hidden="true" customHeight="false" outlineLevel="0" collapsed="false">
      <c r="AM2565" s="68" t="str">
        <f aca="false">IF(LEFT(AL2565,1)="9","Celular",IF(AL2565="","","Fixo"))</f>
        <v/>
      </c>
      <c r="BB2565" s="72" t="str">
        <f aca="false">IF(BA2565&lt;&gt;"",VLOOKUP(BA2565,Selects!$B$4:$C$100,2,0),"")</f>
        <v/>
      </c>
      <c r="BG2565" s="75" t="str">
        <f aca="false">IF(LEN(BF2565)=11,"PF",IF(LEN(BF2565)=14,"PJ",""))</f>
        <v/>
      </c>
      <c r="BH2565" s="66"/>
    </row>
    <row r="2566" customFormat="false" ht="15" hidden="true" customHeight="false" outlineLevel="0" collapsed="false">
      <c r="AM2566" s="68" t="str">
        <f aca="false">IF(LEFT(AL2566,1)="9","Celular",IF(AL2566="","","Fixo"))</f>
        <v/>
      </c>
      <c r="BB2566" s="72" t="str">
        <f aca="false">IF(BA2566&lt;&gt;"",VLOOKUP(BA2566,Selects!$B$4:$C$100,2,0),"")</f>
        <v/>
      </c>
      <c r="BG2566" s="75" t="str">
        <f aca="false">IF(LEN(BF2566)=11,"PF",IF(LEN(BF2566)=14,"PJ",""))</f>
        <v/>
      </c>
      <c r="BH2566" s="66"/>
    </row>
    <row r="2567" customFormat="false" ht="15" hidden="true" customHeight="false" outlineLevel="0" collapsed="false">
      <c r="AM2567" s="68" t="str">
        <f aca="false">IF(LEFT(AL2567,1)="9","Celular",IF(AL2567="","","Fixo"))</f>
        <v/>
      </c>
      <c r="BB2567" s="72" t="str">
        <f aca="false">IF(BA2567&lt;&gt;"",VLOOKUP(BA2567,Selects!$B$4:$C$100,2,0),"")</f>
        <v/>
      </c>
      <c r="BG2567" s="75" t="str">
        <f aca="false">IF(LEN(BF2567)=11,"PF",IF(LEN(BF2567)=14,"PJ",""))</f>
        <v/>
      </c>
      <c r="BH2567" s="66"/>
    </row>
    <row r="2568" customFormat="false" ht="15" hidden="true" customHeight="false" outlineLevel="0" collapsed="false">
      <c r="AM2568" s="68" t="str">
        <f aca="false">IF(LEFT(AL2568,1)="9","Celular",IF(AL2568="","","Fixo"))</f>
        <v/>
      </c>
      <c r="BB2568" s="72" t="str">
        <f aca="false">IF(BA2568&lt;&gt;"",VLOOKUP(BA2568,Selects!$B$4:$C$100,2,0),"")</f>
        <v/>
      </c>
      <c r="BG2568" s="75" t="str">
        <f aca="false">IF(LEN(BF2568)=11,"PF",IF(LEN(BF2568)=14,"PJ",""))</f>
        <v/>
      </c>
      <c r="BH2568" s="66"/>
    </row>
    <row r="2569" customFormat="false" ht="15" hidden="true" customHeight="false" outlineLevel="0" collapsed="false">
      <c r="AM2569" s="68" t="str">
        <f aca="false">IF(LEFT(AL2569,1)="9","Celular",IF(AL2569="","","Fixo"))</f>
        <v/>
      </c>
      <c r="BB2569" s="72" t="str">
        <f aca="false">IF(BA2569&lt;&gt;"",VLOOKUP(BA2569,Selects!$B$4:$C$100,2,0),"")</f>
        <v/>
      </c>
      <c r="BG2569" s="75" t="str">
        <f aca="false">IF(LEN(BF2569)=11,"PF",IF(LEN(BF2569)=14,"PJ",""))</f>
        <v/>
      </c>
      <c r="BH2569" s="66"/>
    </row>
    <row r="2570" customFormat="false" ht="15" hidden="true" customHeight="false" outlineLevel="0" collapsed="false">
      <c r="AM2570" s="68" t="str">
        <f aca="false">IF(LEFT(AL2570,1)="9","Celular",IF(AL2570="","","Fixo"))</f>
        <v/>
      </c>
      <c r="BB2570" s="72" t="str">
        <f aca="false">IF(BA2570&lt;&gt;"",VLOOKUP(BA2570,Selects!$B$4:$C$100,2,0),"")</f>
        <v/>
      </c>
      <c r="BG2570" s="75" t="str">
        <f aca="false">IF(LEN(BF2570)=11,"PF",IF(LEN(BF2570)=14,"PJ",""))</f>
        <v/>
      </c>
      <c r="BH2570" s="66"/>
    </row>
    <row r="2571" customFormat="false" ht="15" hidden="true" customHeight="false" outlineLevel="0" collapsed="false">
      <c r="AM2571" s="68" t="str">
        <f aca="false">IF(LEFT(AL2571,1)="9","Celular",IF(AL2571="","","Fixo"))</f>
        <v/>
      </c>
      <c r="BB2571" s="72" t="str">
        <f aca="false">IF(BA2571&lt;&gt;"",VLOOKUP(BA2571,Selects!$B$4:$C$100,2,0),"")</f>
        <v/>
      </c>
      <c r="BG2571" s="75" t="str">
        <f aca="false">IF(LEN(BF2571)=11,"PF",IF(LEN(BF2571)=14,"PJ",""))</f>
        <v/>
      </c>
      <c r="BH2571" s="66"/>
    </row>
    <row r="2572" customFormat="false" ht="15" hidden="true" customHeight="false" outlineLevel="0" collapsed="false">
      <c r="AM2572" s="68" t="str">
        <f aca="false">IF(LEFT(AL2572,1)="9","Celular",IF(AL2572="","","Fixo"))</f>
        <v/>
      </c>
      <c r="BB2572" s="72" t="str">
        <f aca="false">IF(BA2572&lt;&gt;"",VLOOKUP(BA2572,Selects!$B$4:$C$100,2,0),"")</f>
        <v/>
      </c>
      <c r="BG2572" s="75" t="str">
        <f aca="false">IF(LEN(BF2572)=11,"PF",IF(LEN(BF2572)=14,"PJ",""))</f>
        <v/>
      </c>
      <c r="BH2572" s="66"/>
    </row>
    <row r="2573" customFormat="false" ht="15" hidden="true" customHeight="false" outlineLevel="0" collapsed="false">
      <c r="AM2573" s="68" t="str">
        <f aca="false">IF(LEFT(AL2573,1)="9","Celular",IF(AL2573="","","Fixo"))</f>
        <v/>
      </c>
      <c r="BB2573" s="72" t="str">
        <f aca="false">IF(BA2573&lt;&gt;"",VLOOKUP(BA2573,Selects!$B$4:$C$100,2,0),"")</f>
        <v/>
      </c>
      <c r="BG2573" s="75" t="str">
        <f aca="false">IF(LEN(BF2573)=11,"PF",IF(LEN(BF2573)=14,"PJ",""))</f>
        <v/>
      </c>
      <c r="BH2573" s="66"/>
    </row>
    <row r="2574" customFormat="false" ht="15" hidden="true" customHeight="false" outlineLevel="0" collapsed="false">
      <c r="AM2574" s="68" t="str">
        <f aca="false">IF(LEFT(AL2574,1)="9","Celular",IF(AL2574="","","Fixo"))</f>
        <v/>
      </c>
      <c r="BB2574" s="72" t="str">
        <f aca="false">IF(BA2574&lt;&gt;"",VLOOKUP(BA2574,Selects!$B$4:$C$100,2,0),"")</f>
        <v/>
      </c>
      <c r="BG2574" s="75" t="str">
        <f aca="false">IF(LEN(BF2574)=11,"PF",IF(LEN(BF2574)=14,"PJ",""))</f>
        <v/>
      </c>
      <c r="BH2574" s="66"/>
    </row>
    <row r="2575" customFormat="false" ht="15" hidden="true" customHeight="false" outlineLevel="0" collapsed="false">
      <c r="AM2575" s="68" t="str">
        <f aca="false">IF(LEFT(AL2575,1)="9","Celular",IF(AL2575="","","Fixo"))</f>
        <v/>
      </c>
      <c r="BB2575" s="72" t="str">
        <f aca="false">IF(BA2575&lt;&gt;"",VLOOKUP(BA2575,Selects!$B$4:$C$100,2,0),"")</f>
        <v/>
      </c>
      <c r="BG2575" s="75" t="str">
        <f aca="false">IF(LEN(BF2575)=11,"PF",IF(LEN(BF2575)=14,"PJ",""))</f>
        <v/>
      </c>
      <c r="BH2575" s="66"/>
    </row>
    <row r="2576" customFormat="false" ht="15" hidden="true" customHeight="false" outlineLevel="0" collapsed="false">
      <c r="AM2576" s="68" t="str">
        <f aca="false">IF(LEFT(AL2576,1)="9","Celular",IF(AL2576="","","Fixo"))</f>
        <v/>
      </c>
      <c r="BB2576" s="72" t="str">
        <f aca="false">IF(BA2576&lt;&gt;"",VLOOKUP(BA2576,Selects!$B$4:$C$100,2,0),"")</f>
        <v/>
      </c>
      <c r="BG2576" s="75" t="str">
        <f aca="false">IF(LEN(BF2576)=11,"PF",IF(LEN(BF2576)=14,"PJ",""))</f>
        <v/>
      </c>
      <c r="BH2576" s="66"/>
    </row>
    <row r="2577" customFormat="false" ht="15" hidden="true" customHeight="false" outlineLevel="0" collapsed="false">
      <c r="AM2577" s="68" t="str">
        <f aca="false">IF(LEFT(AL2577,1)="9","Celular",IF(AL2577="","","Fixo"))</f>
        <v/>
      </c>
      <c r="BB2577" s="72" t="str">
        <f aca="false">IF(BA2577&lt;&gt;"",VLOOKUP(BA2577,Selects!$B$4:$C$100,2,0),"")</f>
        <v/>
      </c>
      <c r="BG2577" s="75" t="str">
        <f aca="false">IF(LEN(BF2577)=11,"PF",IF(LEN(BF2577)=14,"PJ",""))</f>
        <v/>
      </c>
      <c r="BH2577" s="66"/>
    </row>
    <row r="2578" customFormat="false" ht="15" hidden="true" customHeight="false" outlineLevel="0" collapsed="false">
      <c r="AM2578" s="68" t="str">
        <f aca="false">IF(LEFT(AL2578,1)="9","Celular",IF(AL2578="","","Fixo"))</f>
        <v/>
      </c>
      <c r="BB2578" s="72" t="str">
        <f aca="false">IF(BA2578&lt;&gt;"",VLOOKUP(BA2578,Selects!$B$4:$C$100,2,0),"")</f>
        <v/>
      </c>
      <c r="BG2578" s="75" t="str">
        <f aca="false">IF(LEN(BF2578)=11,"PF",IF(LEN(BF2578)=14,"PJ",""))</f>
        <v/>
      </c>
      <c r="BH2578" s="66"/>
    </row>
    <row r="2579" customFormat="false" ht="15" hidden="true" customHeight="false" outlineLevel="0" collapsed="false">
      <c r="AM2579" s="68" t="str">
        <f aca="false">IF(LEFT(AL2579,1)="9","Celular",IF(AL2579="","","Fixo"))</f>
        <v/>
      </c>
      <c r="BB2579" s="72" t="str">
        <f aca="false">IF(BA2579&lt;&gt;"",VLOOKUP(BA2579,Selects!$B$4:$C$100,2,0),"")</f>
        <v/>
      </c>
      <c r="BG2579" s="75" t="str">
        <f aca="false">IF(LEN(BF2579)=11,"PF",IF(LEN(BF2579)=14,"PJ",""))</f>
        <v/>
      </c>
      <c r="BH2579" s="66"/>
    </row>
    <row r="2580" customFormat="false" ht="15" hidden="true" customHeight="false" outlineLevel="0" collapsed="false">
      <c r="AM2580" s="68" t="str">
        <f aca="false">IF(LEFT(AL2580,1)="9","Celular",IF(AL2580="","","Fixo"))</f>
        <v/>
      </c>
      <c r="BB2580" s="72" t="str">
        <f aca="false">IF(BA2580&lt;&gt;"",VLOOKUP(BA2580,Selects!$B$4:$C$100,2,0),"")</f>
        <v/>
      </c>
      <c r="BG2580" s="75" t="str">
        <f aca="false">IF(LEN(BF2580)=11,"PF",IF(LEN(BF2580)=14,"PJ",""))</f>
        <v/>
      </c>
      <c r="BH2580" s="66"/>
    </row>
    <row r="2581" customFormat="false" ht="15" hidden="true" customHeight="false" outlineLevel="0" collapsed="false">
      <c r="AM2581" s="68" t="str">
        <f aca="false">IF(LEFT(AL2581,1)="9","Celular",IF(AL2581="","","Fixo"))</f>
        <v/>
      </c>
      <c r="BB2581" s="72" t="str">
        <f aca="false">IF(BA2581&lt;&gt;"",VLOOKUP(BA2581,Selects!$B$4:$C$100,2,0),"")</f>
        <v/>
      </c>
      <c r="BG2581" s="75" t="str">
        <f aca="false">IF(LEN(BF2581)=11,"PF",IF(LEN(BF2581)=14,"PJ",""))</f>
        <v/>
      </c>
      <c r="BH2581" s="66"/>
    </row>
    <row r="2582" customFormat="false" ht="15" hidden="true" customHeight="false" outlineLevel="0" collapsed="false">
      <c r="AM2582" s="68" t="str">
        <f aca="false">IF(LEFT(AL2582,1)="9","Celular",IF(AL2582="","","Fixo"))</f>
        <v/>
      </c>
      <c r="BB2582" s="72" t="str">
        <f aca="false">IF(BA2582&lt;&gt;"",VLOOKUP(BA2582,Selects!$B$4:$C$100,2,0),"")</f>
        <v/>
      </c>
      <c r="BG2582" s="75" t="str">
        <f aca="false">IF(LEN(BF2582)=11,"PF",IF(LEN(BF2582)=14,"PJ",""))</f>
        <v/>
      </c>
      <c r="BH2582" s="66"/>
    </row>
    <row r="2583" customFormat="false" ht="15" hidden="true" customHeight="false" outlineLevel="0" collapsed="false">
      <c r="AM2583" s="68" t="str">
        <f aca="false">IF(LEFT(AL2583,1)="9","Celular",IF(AL2583="","","Fixo"))</f>
        <v/>
      </c>
      <c r="BB2583" s="72" t="str">
        <f aca="false">IF(BA2583&lt;&gt;"",VLOOKUP(BA2583,Selects!$B$4:$C$100,2,0),"")</f>
        <v/>
      </c>
      <c r="BG2583" s="75" t="str">
        <f aca="false">IF(LEN(BF2583)=11,"PF",IF(LEN(BF2583)=14,"PJ",""))</f>
        <v/>
      </c>
      <c r="BH2583" s="66"/>
    </row>
    <row r="2584" customFormat="false" ht="15" hidden="true" customHeight="false" outlineLevel="0" collapsed="false">
      <c r="AM2584" s="68" t="str">
        <f aca="false">IF(LEFT(AL2584,1)="9","Celular",IF(AL2584="","","Fixo"))</f>
        <v/>
      </c>
      <c r="BB2584" s="72" t="str">
        <f aca="false">IF(BA2584&lt;&gt;"",VLOOKUP(BA2584,Selects!$B$4:$C$100,2,0),"")</f>
        <v/>
      </c>
      <c r="BG2584" s="75" t="str">
        <f aca="false">IF(LEN(BF2584)=11,"PF",IF(LEN(BF2584)=14,"PJ",""))</f>
        <v/>
      </c>
      <c r="BH2584" s="66"/>
    </row>
    <row r="2585" customFormat="false" ht="15" hidden="true" customHeight="false" outlineLevel="0" collapsed="false">
      <c r="AM2585" s="68" t="str">
        <f aca="false">IF(LEFT(AL2585,1)="9","Celular",IF(AL2585="","","Fixo"))</f>
        <v/>
      </c>
      <c r="BB2585" s="72" t="str">
        <f aca="false">IF(BA2585&lt;&gt;"",VLOOKUP(BA2585,Selects!$B$4:$C$100,2,0),"")</f>
        <v/>
      </c>
      <c r="BG2585" s="75" t="str">
        <f aca="false">IF(LEN(BF2585)=11,"PF",IF(LEN(BF2585)=14,"PJ",""))</f>
        <v/>
      </c>
      <c r="BH2585" s="66"/>
    </row>
    <row r="2586" customFormat="false" ht="15" hidden="true" customHeight="false" outlineLevel="0" collapsed="false">
      <c r="AM2586" s="68" t="str">
        <f aca="false">IF(LEFT(AL2586,1)="9","Celular",IF(AL2586="","","Fixo"))</f>
        <v/>
      </c>
      <c r="BB2586" s="72" t="str">
        <f aca="false">IF(BA2586&lt;&gt;"",VLOOKUP(BA2586,Selects!$B$4:$C$100,2,0),"")</f>
        <v/>
      </c>
      <c r="BG2586" s="75" t="str">
        <f aca="false">IF(LEN(BF2586)=11,"PF",IF(LEN(BF2586)=14,"PJ",""))</f>
        <v/>
      </c>
      <c r="BH2586" s="66"/>
    </row>
    <row r="2587" customFormat="false" ht="15" hidden="true" customHeight="false" outlineLevel="0" collapsed="false">
      <c r="AM2587" s="68" t="str">
        <f aca="false">IF(LEFT(AL2587,1)="9","Celular",IF(AL2587="","","Fixo"))</f>
        <v/>
      </c>
      <c r="BB2587" s="72" t="str">
        <f aca="false">IF(BA2587&lt;&gt;"",VLOOKUP(BA2587,Selects!$B$4:$C$100,2,0),"")</f>
        <v/>
      </c>
      <c r="BG2587" s="75" t="str">
        <f aca="false">IF(LEN(BF2587)=11,"PF",IF(LEN(BF2587)=14,"PJ",""))</f>
        <v/>
      </c>
      <c r="BH2587" s="66"/>
    </row>
    <row r="2588" customFormat="false" ht="15" hidden="true" customHeight="false" outlineLevel="0" collapsed="false">
      <c r="AM2588" s="68" t="str">
        <f aca="false">IF(LEFT(AL2588,1)="9","Celular",IF(AL2588="","","Fixo"))</f>
        <v/>
      </c>
      <c r="BB2588" s="72" t="str">
        <f aca="false">IF(BA2588&lt;&gt;"",VLOOKUP(BA2588,Selects!$B$4:$C$100,2,0),"")</f>
        <v/>
      </c>
      <c r="BG2588" s="75" t="str">
        <f aca="false">IF(LEN(BF2588)=11,"PF",IF(LEN(BF2588)=14,"PJ",""))</f>
        <v/>
      </c>
      <c r="BH2588" s="66"/>
    </row>
    <row r="2589" customFormat="false" ht="15" hidden="true" customHeight="false" outlineLevel="0" collapsed="false">
      <c r="AM2589" s="68" t="str">
        <f aca="false">IF(LEFT(AL2589,1)="9","Celular",IF(AL2589="","","Fixo"))</f>
        <v/>
      </c>
      <c r="BB2589" s="72" t="str">
        <f aca="false">IF(BA2589&lt;&gt;"",VLOOKUP(BA2589,Selects!$B$4:$C$100,2,0),"")</f>
        <v/>
      </c>
      <c r="BG2589" s="75" t="str">
        <f aca="false">IF(LEN(BF2589)=11,"PF",IF(LEN(BF2589)=14,"PJ",""))</f>
        <v/>
      </c>
      <c r="BH2589" s="66"/>
    </row>
    <row r="2590" customFormat="false" ht="15" hidden="true" customHeight="false" outlineLevel="0" collapsed="false">
      <c r="AM2590" s="68" t="str">
        <f aca="false">IF(LEFT(AL2590,1)="9","Celular",IF(AL2590="","","Fixo"))</f>
        <v/>
      </c>
      <c r="BB2590" s="72" t="str">
        <f aca="false">IF(BA2590&lt;&gt;"",VLOOKUP(BA2590,Selects!$B$4:$C$100,2,0),"")</f>
        <v/>
      </c>
      <c r="BG2590" s="75" t="str">
        <f aca="false">IF(LEN(BF2590)=11,"PF",IF(LEN(BF2590)=14,"PJ",""))</f>
        <v/>
      </c>
      <c r="BH2590" s="66"/>
    </row>
    <row r="2591" customFormat="false" ht="15" hidden="true" customHeight="false" outlineLevel="0" collapsed="false">
      <c r="AM2591" s="68" t="str">
        <f aca="false">IF(LEFT(AL2591,1)="9","Celular",IF(AL2591="","","Fixo"))</f>
        <v/>
      </c>
      <c r="BB2591" s="72" t="str">
        <f aca="false">IF(BA2591&lt;&gt;"",VLOOKUP(BA2591,Selects!$B$4:$C$100,2,0),"")</f>
        <v/>
      </c>
      <c r="BG2591" s="75" t="str">
        <f aca="false">IF(LEN(BF2591)=11,"PF",IF(LEN(BF2591)=14,"PJ",""))</f>
        <v/>
      </c>
      <c r="BH2591" s="66"/>
    </row>
    <row r="2592" customFormat="false" ht="15" hidden="true" customHeight="false" outlineLevel="0" collapsed="false">
      <c r="AM2592" s="68" t="str">
        <f aca="false">IF(LEFT(AL2592,1)="9","Celular",IF(AL2592="","","Fixo"))</f>
        <v/>
      </c>
      <c r="BB2592" s="72" t="str">
        <f aca="false">IF(BA2592&lt;&gt;"",VLOOKUP(BA2592,Selects!$B$4:$C$100,2,0),"")</f>
        <v/>
      </c>
      <c r="BG2592" s="75" t="str">
        <f aca="false">IF(LEN(BF2592)=11,"PF",IF(LEN(BF2592)=14,"PJ",""))</f>
        <v/>
      </c>
      <c r="BH2592" s="66"/>
    </row>
    <row r="2593" customFormat="false" ht="15" hidden="true" customHeight="false" outlineLevel="0" collapsed="false">
      <c r="AM2593" s="68" t="str">
        <f aca="false">IF(LEFT(AL2593,1)="9","Celular",IF(AL2593="","","Fixo"))</f>
        <v/>
      </c>
      <c r="BB2593" s="72" t="str">
        <f aca="false">IF(BA2593&lt;&gt;"",VLOOKUP(BA2593,Selects!$B$4:$C$100,2,0),"")</f>
        <v/>
      </c>
      <c r="BG2593" s="75" t="str">
        <f aca="false">IF(LEN(BF2593)=11,"PF",IF(LEN(BF2593)=14,"PJ",""))</f>
        <v/>
      </c>
      <c r="BH2593" s="66"/>
    </row>
    <row r="2594" customFormat="false" ht="15" hidden="true" customHeight="false" outlineLevel="0" collapsed="false">
      <c r="AM2594" s="68" t="str">
        <f aca="false">IF(LEFT(AL2594,1)="9","Celular",IF(AL2594="","","Fixo"))</f>
        <v/>
      </c>
      <c r="BB2594" s="72" t="str">
        <f aca="false">IF(BA2594&lt;&gt;"",VLOOKUP(BA2594,Selects!$B$4:$C$100,2,0),"")</f>
        <v/>
      </c>
      <c r="BG2594" s="75" t="str">
        <f aca="false">IF(LEN(BF2594)=11,"PF",IF(LEN(BF2594)=14,"PJ",""))</f>
        <v/>
      </c>
      <c r="BH2594" s="66"/>
    </row>
    <row r="2595" customFormat="false" ht="15" hidden="true" customHeight="false" outlineLevel="0" collapsed="false">
      <c r="AM2595" s="68" t="str">
        <f aca="false">IF(LEFT(AL2595,1)="9","Celular",IF(AL2595="","","Fixo"))</f>
        <v/>
      </c>
      <c r="BB2595" s="72" t="str">
        <f aca="false">IF(BA2595&lt;&gt;"",VLOOKUP(BA2595,Selects!$B$4:$C$100,2,0),"")</f>
        <v/>
      </c>
      <c r="BG2595" s="75" t="str">
        <f aca="false">IF(LEN(BF2595)=11,"PF",IF(LEN(BF2595)=14,"PJ",""))</f>
        <v/>
      </c>
      <c r="BH2595" s="66"/>
    </row>
    <row r="2596" customFormat="false" ht="15" hidden="true" customHeight="false" outlineLevel="0" collapsed="false">
      <c r="AM2596" s="68" t="str">
        <f aca="false">IF(LEFT(AL2596,1)="9","Celular",IF(AL2596="","","Fixo"))</f>
        <v/>
      </c>
      <c r="BB2596" s="72" t="str">
        <f aca="false">IF(BA2596&lt;&gt;"",VLOOKUP(BA2596,Selects!$B$4:$C$100,2,0),"")</f>
        <v/>
      </c>
      <c r="BG2596" s="75" t="str">
        <f aca="false">IF(LEN(BF2596)=11,"PF",IF(LEN(BF2596)=14,"PJ",""))</f>
        <v/>
      </c>
      <c r="BH2596" s="66"/>
    </row>
    <row r="2597" customFormat="false" ht="15" hidden="true" customHeight="false" outlineLevel="0" collapsed="false">
      <c r="AM2597" s="68" t="str">
        <f aca="false">IF(LEFT(AL2597,1)="9","Celular",IF(AL2597="","","Fixo"))</f>
        <v/>
      </c>
      <c r="BB2597" s="72" t="str">
        <f aca="false">IF(BA2597&lt;&gt;"",VLOOKUP(BA2597,Selects!$B$4:$C$100,2,0),"")</f>
        <v/>
      </c>
      <c r="BG2597" s="75" t="str">
        <f aca="false">IF(LEN(BF2597)=11,"PF",IF(LEN(BF2597)=14,"PJ",""))</f>
        <v/>
      </c>
      <c r="BH2597" s="66"/>
    </row>
    <row r="2598" customFormat="false" ht="15" hidden="true" customHeight="false" outlineLevel="0" collapsed="false">
      <c r="AM2598" s="68" t="str">
        <f aca="false">IF(LEFT(AL2598,1)="9","Celular",IF(AL2598="","","Fixo"))</f>
        <v/>
      </c>
      <c r="BB2598" s="72" t="str">
        <f aca="false">IF(BA2598&lt;&gt;"",VLOOKUP(BA2598,Selects!$B$4:$C$100,2,0),"")</f>
        <v/>
      </c>
      <c r="BG2598" s="75" t="str">
        <f aca="false">IF(LEN(BF2598)=11,"PF",IF(LEN(BF2598)=14,"PJ",""))</f>
        <v/>
      </c>
      <c r="BH2598" s="66"/>
    </row>
    <row r="2599" customFormat="false" ht="15" hidden="true" customHeight="false" outlineLevel="0" collapsed="false">
      <c r="AM2599" s="68" t="str">
        <f aca="false">IF(LEFT(AL2599,1)="9","Celular",IF(AL2599="","","Fixo"))</f>
        <v/>
      </c>
      <c r="BB2599" s="72" t="str">
        <f aca="false">IF(BA2599&lt;&gt;"",VLOOKUP(BA2599,Selects!$B$4:$C$100,2,0),"")</f>
        <v/>
      </c>
      <c r="BG2599" s="75" t="str">
        <f aca="false">IF(LEN(BF2599)=11,"PF",IF(LEN(BF2599)=14,"PJ",""))</f>
        <v/>
      </c>
      <c r="BH2599" s="66"/>
    </row>
    <row r="2600" customFormat="false" ht="15" hidden="true" customHeight="false" outlineLevel="0" collapsed="false">
      <c r="AM2600" s="68" t="str">
        <f aca="false">IF(LEFT(AL2600,1)="9","Celular",IF(AL2600="","","Fixo"))</f>
        <v/>
      </c>
      <c r="BB2600" s="72" t="str">
        <f aca="false">IF(BA2600&lt;&gt;"",VLOOKUP(BA2600,Selects!$B$4:$C$100,2,0),"")</f>
        <v/>
      </c>
      <c r="BG2600" s="75" t="str">
        <f aca="false">IF(LEN(BF2600)=11,"PF",IF(LEN(BF2600)=14,"PJ",""))</f>
        <v/>
      </c>
      <c r="BH2600" s="66"/>
    </row>
    <row r="2601" customFormat="false" ht="15" hidden="true" customHeight="false" outlineLevel="0" collapsed="false">
      <c r="AM2601" s="68" t="str">
        <f aca="false">IF(LEFT(AL2601,1)="9","Celular",IF(AL2601="","","Fixo"))</f>
        <v/>
      </c>
      <c r="BB2601" s="72" t="str">
        <f aca="false">IF(BA2601&lt;&gt;"",VLOOKUP(BA2601,Selects!$B$4:$C$100,2,0),"")</f>
        <v/>
      </c>
      <c r="BG2601" s="75" t="str">
        <f aca="false">IF(LEN(BF2601)=11,"PF",IF(LEN(BF2601)=14,"PJ",""))</f>
        <v/>
      </c>
      <c r="BH2601" s="66"/>
    </row>
    <row r="2602" customFormat="false" ht="15" hidden="true" customHeight="false" outlineLevel="0" collapsed="false">
      <c r="AM2602" s="68" t="str">
        <f aca="false">IF(LEFT(AL2602,1)="9","Celular",IF(AL2602="","","Fixo"))</f>
        <v/>
      </c>
      <c r="BB2602" s="72" t="str">
        <f aca="false">IF(BA2602&lt;&gt;"",VLOOKUP(BA2602,Selects!$B$4:$C$100,2,0),"")</f>
        <v/>
      </c>
      <c r="BG2602" s="75" t="str">
        <f aca="false">IF(LEN(BF2602)=11,"PF",IF(LEN(BF2602)=14,"PJ",""))</f>
        <v/>
      </c>
      <c r="BH2602" s="66"/>
    </row>
    <row r="2603" customFormat="false" ht="15" hidden="true" customHeight="false" outlineLevel="0" collapsed="false">
      <c r="AM2603" s="68" t="str">
        <f aca="false">IF(LEFT(AL2603,1)="9","Celular",IF(AL2603="","","Fixo"))</f>
        <v/>
      </c>
      <c r="BB2603" s="72" t="str">
        <f aca="false">IF(BA2603&lt;&gt;"",VLOOKUP(BA2603,Selects!$B$4:$C$100,2,0),"")</f>
        <v/>
      </c>
      <c r="BG2603" s="75" t="str">
        <f aca="false">IF(LEN(BF2603)=11,"PF",IF(LEN(BF2603)=14,"PJ",""))</f>
        <v/>
      </c>
      <c r="BH2603" s="66"/>
    </row>
    <row r="2604" customFormat="false" ht="15" hidden="true" customHeight="false" outlineLevel="0" collapsed="false">
      <c r="AM2604" s="68" t="str">
        <f aca="false">IF(LEFT(AL2604,1)="9","Celular",IF(AL2604="","","Fixo"))</f>
        <v/>
      </c>
      <c r="BB2604" s="72" t="str">
        <f aca="false">IF(BA2604&lt;&gt;"",VLOOKUP(BA2604,Selects!$B$4:$C$100,2,0),"")</f>
        <v/>
      </c>
      <c r="BG2604" s="75" t="str">
        <f aca="false">IF(LEN(BF2604)=11,"PF",IF(LEN(BF2604)=14,"PJ",""))</f>
        <v/>
      </c>
      <c r="BH2604" s="66"/>
    </row>
    <row r="2605" customFormat="false" ht="15" hidden="true" customHeight="false" outlineLevel="0" collapsed="false">
      <c r="AM2605" s="68" t="str">
        <f aca="false">IF(LEFT(AL2605,1)="9","Celular",IF(AL2605="","","Fixo"))</f>
        <v/>
      </c>
      <c r="BB2605" s="72" t="str">
        <f aca="false">IF(BA2605&lt;&gt;"",VLOOKUP(BA2605,Selects!$B$4:$C$100,2,0),"")</f>
        <v/>
      </c>
      <c r="BG2605" s="75" t="str">
        <f aca="false">IF(LEN(BF2605)=11,"PF",IF(LEN(BF2605)=14,"PJ",""))</f>
        <v/>
      </c>
      <c r="BH2605" s="66"/>
    </row>
    <row r="2606" customFormat="false" ht="15" hidden="true" customHeight="false" outlineLevel="0" collapsed="false">
      <c r="AM2606" s="68" t="str">
        <f aca="false">IF(LEFT(AL2606,1)="9","Celular",IF(AL2606="","","Fixo"))</f>
        <v/>
      </c>
      <c r="BB2606" s="72" t="str">
        <f aca="false">IF(BA2606&lt;&gt;"",VLOOKUP(BA2606,Selects!$B$4:$C$100,2,0),"")</f>
        <v/>
      </c>
      <c r="BG2606" s="75" t="str">
        <f aca="false">IF(LEN(BF2606)=11,"PF",IF(LEN(BF2606)=14,"PJ",""))</f>
        <v/>
      </c>
      <c r="BH2606" s="66"/>
    </row>
    <row r="2607" customFormat="false" ht="15" hidden="true" customHeight="false" outlineLevel="0" collapsed="false">
      <c r="AM2607" s="68" t="str">
        <f aca="false">IF(LEFT(AL2607,1)="9","Celular",IF(AL2607="","","Fixo"))</f>
        <v/>
      </c>
      <c r="BB2607" s="72" t="str">
        <f aca="false">IF(BA2607&lt;&gt;"",VLOOKUP(BA2607,Selects!$B$4:$C$100,2,0),"")</f>
        <v/>
      </c>
      <c r="BG2607" s="75" t="str">
        <f aca="false">IF(LEN(BF2607)=11,"PF",IF(LEN(BF2607)=14,"PJ",""))</f>
        <v/>
      </c>
      <c r="BH2607" s="66"/>
    </row>
    <row r="2608" customFormat="false" ht="15" hidden="true" customHeight="false" outlineLevel="0" collapsed="false">
      <c r="AM2608" s="68" t="str">
        <f aca="false">IF(LEFT(AL2608,1)="9","Celular",IF(AL2608="","","Fixo"))</f>
        <v/>
      </c>
      <c r="BB2608" s="72" t="str">
        <f aca="false">IF(BA2608&lt;&gt;"",VLOOKUP(BA2608,Selects!$B$4:$C$100,2,0),"")</f>
        <v/>
      </c>
      <c r="BG2608" s="75" t="str">
        <f aca="false">IF(LEN(BF2608)=11,"PF",IF(LEN(BF2608)=14,"PJ",""))</f>
        <v/>
      </c>
      <c r="BH2608" s="66"/>
    </row>
    <row r="2609" customFormat="false" ht="15" hidden="true" customHeight="false" outlineLevel="0" collapsed="false">
      <c r="AM2609" s="68" t="str">
        <f aca="false">IF(LEFT(AL2609,1)="9","Celular",IF(AL2609="","","Fixo"))</f>
        <v/>
      </c>
      <c r="BB2609" s="72" t="str">
        <f aca="false">IF(BA2609&lt;&gt;"",VLOOKUP(BA2609,Selects!$B$4:$C$100,2,0),"")</f>
        <v/>
      </c>
      <c r="BG2609" s="75" t="str">
        <f aca="false">IF(LEN(BF2609)=11,"PF",IF(LEN(BF2609)=14,"PJ",""))</f>
        <v/>
      </c>
      <c r="BH2609" s="66"/>
    </row>
    <row r="2610" customFormat="false" ht="15" hidden="true" customHeight="false" outlineLevel="0" collapsed="false">
      <c r="AM2610" s="68" t="str">
        <f aca="false">IF(LEFT(AL2610,1)="9","Celular",IF(AL2610="","","Fixo"))</f>
        <v/>
      </c>
      <c r="BB2610" s="72" t="str">
        <f aca="false">IF(BA2610&lt;&gt;"",VLOOKUP(BA2610,Selects!$B$4:$C$100,2,0),"")</f>
        <v/>
      </c>
      <c r="BG2610" s="75" t="str">
        <f aca="false">IF(LEN(BF2610)=11,"PF",IF(LEN(BF2610)=14,"PJ",""))</f>
        <v/>
      </c>
      <c r="BH2610" s="66"/>
    </row>
    <row r="2611" customFormat="false" ht="15" hidden="true" customHeight="false" outlineLevel="0" collapsed="false">
      <c r="AM2611" s="68" t="str">
        <f aca="false">IF(LEFT(AL2611,1)="9","Celular",IF(AL2611="","","Fixo"))</f>
        <v/>
      </c>
      <c r="BB2611" s="72" t="str">
        <f aca="false">IF(BA2611&lt;&gt;"",VLOOKUP(BA2611,Selects!$B$4:$C$100,2,0),"")</f>
        <v/>
      </c>
      <c r="BG2611" s="75" t="str">
        <f aca="false">IF(LEN(BF2611)=11,"PF",IF(LEN(BF2611)=14,"PJ",""))</f>
        <v/>
      </c>
      <c r="BH2611" s="66"/>
    </row>
    <row r="2612" customFormat="false" ht="15" hidden="true" customHeight="false" outlineLevel="0" collapsed="false">
      <c r="AM2612" s="68" t="str">
        <f aca="false">IF(LEFT(AL2612,1)="9","Celular",IF(AL2612="","","Fixo"))</f>
        <v/>
      </c>
      <c r="BB2612" s="72" t="str">
        <f aca="false">IF(BA2612&lt;&gt;"",VLOOKUP(BA2612,Selects!$B$4:$C$100,2,0),"")</f>
        <v/>
      </c>
      <c r="BG2612" s="75" t="str">
        <f aca="false">IF(LEN(BF2612)=11,"PF",IF(LEN(BF2612)=14,"PJ",""))</f>
        <v/>
      </c>
      <c r="BH2612" s="66"/>
    </row>
    <row r="2613" customFormat="false" ht="15" hidden="true" customHeight="false" outlineLevel="0" collapsed="false">
      <c r="AM2613" s="68" t="str">
        <f aca="false">IF(LEFT(AL2613,1)="9","Celular",IF(AL2613="","","Fixo"))</f>
        <v/>
      </c>
      <c r="BB2613" s="72" t="str">
        <f aca="false">IF(BA2613&lt;&gt;"",VLOOKUP(BA2613,Selects!$B$4:$C$100,2,0),"")</f>
        <v/>
      </c>
      <c r="BG2613" s="75" t="str">
        <f aca="false">IF(LEN(BF2613)=11,"PF",IF(LEN(BF2613)=14,"PJ",""))</f>
        <v/>
      </c>
      <c r="BH2613" s="66"/>
    </row>
    <row r="2614" customFormat="false" ht="15" hidden="true" customHeight="false" outlineLevel="0" collapsed="false">
      <c r="AM2614" s="68" t="str">
        <f aca="false">IF(LEFT(AL2614,1)="9","Celular",IF(AL2614="","","Fixo"))</f>
        <v/>
      </c>
      <c r="BB2614" s="72" t="str">
        <f aca="false">IF(BA2614&lt;&gt;"",VLOOKUP(BA2614,Selects!$B$4:$C$100,2,0),"")</f>
        <v/>
      </c>
      <c r="BG2614" s="75" t="str">
        <f aca="false">IF(LEN(BF2614)=11,"PF",IF(LEN(BF2614)=14,"PJ",""))</f>
        <v/>
      </c>
      <c r="BH2614" s="66"/>
    </row>
    <row r="2615" customFormat="false" ht="15" hidden="true" customHeight="false" outlineLevel="0" collapsed="false">
      <c r="AM2615" s="68" t="str">
        <f aca="false">IF(LEFT(AL2615,1)="9","Celular",IF(AL2615="","","Fixo"))</f>
        <v/>
      </c>
      <c r="BB2615" s="72" t="str">
        <f aca="false">IF(BA2615&lt;&gt;"",VLOOKUP(BA2615,Selects!$B$4:$C$100,2,0),"")</f>
        <v/>
      </c>
      <c r="BG2615" s="75" t="str">
        <f aca="false">IF(LEN(BF2615)=11,"PF",IF(LEN(BF2615)=14,"PJ",""))</f>
        <v/>
      </c>
      <c r="BH2615" s="66"/>
    </row>
    <row r="2616" customFormat="false" ht="15" hidden="true" customHeight="false" outlineLevel="0" collapsed="false">
      <c r="AM2616" s="68" t="str">
        <f aca="false">IF(LEFT(AL2616,1)="9","Celular",IF(AL2616="","","Fixo"))</f>
        <v/>
      </c>
      <c r="BB2616" s="72" t="str">
        <f aca="false">IF(BA2616&lt;&gt;"",VLOOKUP(BA2616,Selects!$B$4:$C$100,2,0),"")</f>
        <v/>
      </c>
      <c r="BG2616" s="75" t="str">
        <f aca="false">IF(LEN(BF2616)=11,"PF",IF(LEN(BF2616)=14,"PJ",""))</f>
        <v/>
      </c>
      <c r="BH2616" s="66"/>
    </row>
    <row r="2617" customFormat="false" ht="15" hidden="true" customHeight="false" outlineLevel="0" collapsed="false">
      <c r="AM2617" s="68" t="str">
        <f aca="false">IF(LEFT(AL2617,1)="9","Celular",IF(AL2617="","","Fixo"))</f>
        <v/>
      </c>
      <c r="BB2617" s="72" t="str">
        <f aca="false">IF(BA2617&lt;&gt;"",VLOOKUP(BA2617,Selects!$B$4:$C$100,2,0),"")</f>
        <v/>
      </c>
      <c r="BG2617" s="75" t="str">
        <f aca="false">IF(LEN(BF2617)=11,"PF",IF(LEN(BF2617)=14,"PJ",""))</f>
        <v/>
      </c>
      <c r="BH2617" s="66"/>
    </row>
    <row r="2618" customFormat="false" ht="15" hidden="true" customHeight="false" outlineLevel="0" collapsed="false">
      <c r="AM2618" s="68" t="str">
        <f aca="false">IF(LEFT(AL2618,1)="9","Celular",IF(AL2618="","","Fixo"))</f>
        <v/>
      </c>
      <c r="BB2618" s="72" t="str">
        <f aca="false">IF(BA2618&lt;&gt;"",VLOOKUP(BA2618,Selects!$B$4:$C$100,2,0),"")</f>
        <v/>
      </c>
      <c r="BG2618" s="75" t="str">
        <f aca="false">IF(LEN(BF2618)=11,"PF",IF(LEN(BF2618)=14,"PJ",""))</f>
        <v/>
      </c>
      <c r="BH2618" s="66"/>
    </row>
    <row r="2619" customFormat="false" ht="15" hidden="true" customHeight="false" outlineLevel="0" collapsed="false">
      <c r="AM2619" s="68" t="str">
        <f aca="false">IF(LEFT(AL2619,1)="9","Celular",IF(AL2619="","","Fixo"))</f>
        <v/>
      </c>
      <c r="BB2619" s="72" t="str">
        <f aca="false">IF(BA2619&lt;&gt;"",VLOOKUP(BA2619,Selects!$B$4:$C$100,2,0),"")</f>
        <v/>
      </c>
      <c r="BG2619" s="75" t="str">
        <f aca="false">IF(LEN(BF2619)=11,"PF",IF(LEN(BF2619)=14,"PJ",""))</f>
        <v/>
      </c>
      <c r="BH2619" s="66"/>
    </row>
    <row r="2620" customFormat="false" ht="15" hidden="true" customHeight="false" outlineLevel="0" collapsed="false">
      <c r="AM2620" s="68" t="str">
        <f aca="false">IF(LEFT(AL2620,1)="9","Celular",IF(AL2620="","","Fixo"))</f>
        <v/>
      </c>
      <c r="BB2620" s="72" t="str">
        <f aca="false">IF(BA2620&lt;&gt;"",VLOOKUP(BA2620,Selects!$B$4:$C$100,2,0),"")</f>
        <v/>
      </c>
      <c r="BG2620" s="75" t="str">
        <f aca="false">IF(LEN(BF2620)=11,"PF",IF(LEN(BF2620)=14,"PJ",""))</f>
        <v/>
      </c>
      <c r="BH2620" s="66"/>
    </row>
    <row r="2621" customFormat="false" ht="15" hidden="true" customHeight="false" outlineLevel="0" collapsed="false">
      <c r="AM2621" s="68" t="str">
        <f aca="false">IF(LEFT(AL2621,1)="9","Celular",IF(AL2621="","","Fixo"))</f>
        <v/>
      </c>
      <c r="BB2621" s="72" t="str">
        <f aca="false">IF(BA2621&lt;&gt;"",VLOOKUP(BA2621,Selects!$B$4:$C$100,2,0),"")</f>
        <v/>
      </c>
      <c r="BG2621" s="75" t="str">
        <f aca="false">IF(LEN(BF2621)=11,"PF",IF(LEN(BF2621)=14,"PJ",""))</f>
        <v/>
      </c>
      <c r="BH2621" s="66"/>
    </row>
    <row r="2622" customFormat="false" ht="15" hidden="true" customHeight="false" outlineLevel="0" collapsed="false">
      <c r="AM2622" s="68" t="str">
        <f aca="false">IF(LEFT(AL2622,1)="9","Celular",IF(AL2622="","","Fixo"))</f>
        <v/>
      </c>
      <c r="BB2622" s="72" t="str">
        <f aca="false">IF(BA2622&lt;&gt;"",VLOOKUP(BA2622,Selects!$B$4:$C$100,2,0),"")</f>
        <v/>
      </c>
      <c r="BG2622" s="75" t="str">
        <f aca="false">IF(LEN(BF2622)=11,"PF",IF(LEN(BF2622)=14,"PJ",""))</f>
        <v/>
      </c>
      <c r="BH2622" s="66"/>
    </row>
    <row r="2623" customFormat="false" ht="15" hidden="true" customHeight="false" outlineLevel="0" collapsed="false">
      <c r="AM2623" s="68" t="str">
        <f aca="false">IF(LEFT(AL2623,1)="9","Celular",IF(AL2623="","","Fixo"))</f>
        <v/>
      </c>
      <c r="BB2623" s="72" t="str">
        <f aca="false">IF(BA2623&lt;&gt;"",VLOOKUP(BA2623,Selects!$B$4:$C$100,2,0),"")</f>
        <v/>
      </c>
      <c r="BG2623" s="75" t="str">
        <f aca="false">IF(LEN(BF2623)=11,"PF",IF(LEN(BF2623)=14,"PJ",""))</f>
        <v/>
      </c>
      <c r="BH2623" s="66"/>
    </row>
    <row r="2624" customFormat="false" ht="15" hidden="true" customHeight="false" outlineLevel="0" collapsed="false">
      <c r="AM2624" s="68" t="str">
        <f aca="false">IF(LEFT(AL2624,1)="9","Celular",IF(AL2624="","","Fixo"))</f>
        <v/>
      </c>
      <c r="BB2624" s="72" t="str">
        <f aca="false">IF(BA2624&lt;&gt;"",VLOOKUP(BA2624,Selects!$B$4:$C$100,2,0),"")</f>
        <v/>
      </c>
      <c r="BG2624" s="75" t="str">
        <f aca="false">IF(LEN(BF2624)=11,"PF",IF(LEN(BF2624)=14,"PJ",""))</f>
        <v/>
      </c>
      <c r="BH2624" s="66"/>
    </row>
    <row r="2625" customFormat="false" ht="15" hidden="true" customHeight="false" outlineLevel="0" collapsed="false">
      <c r="AM2625" s="68" t="str">
        <f aca="false">IF(LEFT(AL2625,1)="9","Celular",IF(AL2625="","","Fixo"))</f>
        <v/>
      </c>
      <c r="BB2625" s="72" t="str">
        <f aca="false">IF(BA2625&lt;&gt;"",VLOOKUP(BA2625,Selects!$B$4:$C$100,2,0),"")</f>
        <v/>
      </c>
      <c r="BG2625" s="75" t="str">
        <f aca="false">IF(LEN(BF2625)=11,"PF",IF(LEN(BF2625)=14,"PJ",""))</f>
        <v/>
      </c>
      <c r="BH2625" s="66"/>
    </row>
    <row r="2626" customFormat="false" ht="15" hidden="true" customHeight="false" outlineLevel="0" collapsed="false">
      <c r="AM2626" s="68" t="str">
        <f aca="false">IF(LEFT(AL2626,1)="9","Celular",IF(AL2626="","","Fixo"))</f>
        <v/>
      </c>
      <c r="BB2626" s="72" t="str">
        <f aca="false">IF(BA2626&lt;&gt;"",VLOOKUP(BA2626,Selects!$B$4:$C$100,2,0),"")</f>
        <v/>
      </c>
      <c r="BG2626" s="75" t="str">
        <f aca="false">IF(LEN(BF2626)=11,"PF",IF(LEN(BF2626)=14,"PJ",""))</f>
        <v/>
      </c>
      <c r="BH2626" s="66"/>
    </row>
    <row r="2627" customFormat="false" ht="15" hidden="true" customHeight="false" outlineLevel="0" collapsed="false">
      <c r="AM2627" s="68" t="str">
        <f aca="false">IF(LEFT(AL2627,1)="9","Celular",IF(AL2627="","","Fixo"))</f>
        <v/>
      </c>
      <c r="BB2627" s="72" t="str">
        <f aca="false">IF(BA2627&lt;&gt;"",VLOOKUP(BA2627,Selects!$B$4:$C$100,2,0),"")</f>
        <v/>
      </c>
      <c r="BG2627" s="75" t="str">
        <f aca="false">IF(LEN(BF2627)=11,"PF",IF(LEN(BF2627)=14,"PJ",""))</f>
        <v/>
      </c>
      <c r="BH2627" s="66"/>
    </row>
    <row r="2628" customFormat="false" ht="15" hidden="true" customHeight="false" outlineLevel="0" collapsed="false">
      <c r="AM2628" s="68" t="str">
        <f aca="false">IF(LEFT(AL2628,1)="9","Celular",IF(AL2628="","","Fixo"))</f>
        <v/>
      </c>
      <c r="BB2628" s="72" t="str">
        <f aca="false">IF(BA2628&lt;&gt;"",VLOOKUP(BA2628,Selects!$B$4:$C$100,2,0),"")</f>
        <v/>
      </c>
      <c r="BG2628" s="75" t="str">
        <f aca="false">IF(LEN(BF2628)=11,"PF",IF(LEN(BF2628)=14,"PJ",""))</f>
        <v/>
      </c>
      <c r="BH2628" s="66"/>
    </row>
    <row r="2629" customFormat="false" ht="15" hidden="true" customHeight="false" outlineLevel="0" collapsed="false">
      <c r="AM2629" s="68" t="str">
        <f aca="false">IF(LEFT(AL2629,1)="9","Celular",IF(AL2629="","","Fixo"))</f>
        <v/>
      </c>
      <c r="BB2629" s="72" t="str">
        <f aca="false">IF(BA2629&lt;&gt;"",VLOOKUP(BA2629,Selects!$B$4:$C$100,2,0),"")</f>
        <v/>
      </c>
      <c r="BG2629" s="75" t="str">
        <f aca="false">IF(LEN(BF2629)=11,"PF",IF(LEN(BF2629)=14,"PJ",""))</f>
        <v/>
      </c>
      <c r="BH2629" s="66"/>
    </row>
    <row r="2630" customFormat="false" ht="15" hidden="true" customHeight="false" outlineLevel="0" collapsed="false">
      <c r="AM2630" s="68" t="str">
        <f aca="false">IF(LEFT(AL2630,1)="9","Celular",IF(AL2630="","","Fixo"))</f>
        <v/>
      </c>
      <c r="BB2630" s="72" t="str">
        <f aca="false">IF(BA2630&lt;&gt;"",VLOOKUP(BA2630,Selects!$B$4:$C$100,2,0),"")</f>
        <v/>
      </c>
      <c r="BG2630" s="75" t="str">
        <f aca="false">IF(LEN(BF2630)=11,"PF",IF(LEN(BF2630)=14,"PJ",""))</f>
        <v/>
      </c>
      <c r="BH2630" s="66"/>
    </row>
    <row r="2631" customFormat="false" ht="15" hidden="true" customHeight="false" outlineLevel="0" collapsed="false">
      <c r="AM2631" s="68" t="str">
        <f aca="false">IF(LEFT(AL2631,1)="9","Celular",IF(AL2631="","","Fixo"))</f>
        <v/>
      </c>
      <c r="BB2631" s="72" t="str">
        <f aca="false">IF(BA2631&lt;&gt;"",VLOOKUP(BA2631,Selects!$B$4:$C$100,2,0),"")</f>
        <v/>
      </c>
      <c r="BG2631" s="75" t="str">
        <f aca="false">IF(LEN(BF2631)=11,"PF",IF(LEN(BF2631)=14,"PJ",""))</f>
        <v/>
      </c>
      <c r="BH2631" s="66"/>
    </row>
    <row r="2632" customFormat="false" ht="15" hidden="true" customHeight="false" outlineLevel="0" collapsed="false">
      <c r="AM2632" s="68" t="str">
        <f aca="false">IF(LEFT(AL2632,1)="9","Celular",IF(AL2632="","","Fixo"))</f>
        <v/>
      </c>
      <c r="BB2632" s="72" t="str">
        <f aca="false">IF(BA2632&lt;&gt;"",VLOOKUP(BA2632,Selects!$B$4:$C$100,2,0),"")</f>
        <v/>
      </c>
      <c r="BG2632" s="75" t="str">
        <f aca="false">IF(LEN(BF2632)=11,"PF",IF(LEN(BF2632)=14,"PJ",""))</f>
        <v/>
      </c>
      <c r="BH2632" s="66"/>
    </row>
    <row r="2633" customFormat="false" ht="15" hidden="true" customHeight="false" outlineLevel="0" collapsed="false">
      <c r="AM2633" s="68" t="str">
        <f aca="false">IF(LEFT(AL2633,1)="9","Celular",IF(AL2633="","","Fixo"))</f>
        <v/>
      </c>
      <c r="BB2633" s="72" t="str">
        <f aca="false">IF(BA2633&lt;&gt;"",VLOOKUP(BA2633,Selects!$B$4:$C$100,2,0),"")</f>
        <v/>
      </c>
      <c r="BG2633" s="75" t="str">
        <f aca="false">IF(LEN(BF2633)=11,"PF",IF(LEN(BF2633)=14,"PJ",""))</f>
        <v/>
      </c>
      <c r="BH2633" s="66"/>
    </row>
    <row r="2634" customFormat="false" ht="15" hidden="true" customHeight="false" outlineLevel="0" collapsed="false">
      <c r="AM2634" s="68" t="str">
        <f aca="false">IF(LEFT(AL2634,1)="9","Celular",IF(AL2634="","","Fixo"))</f>
        <v/>
      </c>
      <c r="BB2634" s="72" t="str">
        <f aca="false">IF(BA2634&lt;&gt;"",VLOOKUP(BA2634,Selects!$B$4:$C$100,2,0),"")</f>
        <v/>
      </c>
      <c r="BG2634" s="75" t="str">
        <f aca="false">IF(LEN(BF2634)=11,"PF",IF(LEN(BF2634)=14,"PJ",""))</f>
        <v/>
      </c>
      <c r="BH2634" s="66"/>
    </row>
    <row r="2635" customFormat="false" ht="15" hidden="true" customHeight="false" outlineLevel="0" collapsed="false">
      <c r="AM2635" s="68" t="str">
        <f aca="false">IF(LEFT(AL2635,1)="9","Celular",IF(AL2635="","","Fixo"))</f>
        <v/>
      </c>
      <c r="BB2635" s="72" t="str">
        <f aca="false">IF(BA2635&lt;&gt;"",VLOOKUP(BA2635,Selects!$B$4:$C$100,2,0),"")</f>
        <v/>
      </c>
      <c r="BG2635" s="75" t="str">
        <f aca="false">IF(LEN(BF2635)=11,"PF",IF(LEN(BF2635)=14,"PJ",""))</f>
        <v/>
      </c>
      <c r="BH2635" s="66"/>
    </row>
    <row r="2636" customFormat="false" ht="15" hidden="true" customHeight="false" outlineLevel="0" collapsed="false">
      <c r="AM2636" s="68" t="str">
        <f aca="false">IF(LEFT(AL2636,1)="9","Celular",IF(AL2636="","","Fixo"))</f>
        <v/>
      </c>
      <c r="BB2636" s="72" t="str">
        <f aca="false">IF(BA2636&lt;&gt;"",VLOOKUP(BA2636,Selects!$B$4:$C$100,2,0),"")</f>
        <v/>
      </c>
      <c r="BG2636" s="75" t="str">
        <f aca="false">IF(LEN(BF2636)=11,"PF",IF(LEN(BF2636)=14,"PJ",""))</f>
        <v/>
      </c>
      <c r="BH2636" s="66"/>
    </row>
    <row r="2637" customFormat="false" ht="15" hidden="true" customHeight="false" outlineLevel="0" collapsed="false">
      <c r="AM2637" s="68" t="str">
        <f aca="false">IF(LEFT(AL2637,1)="9","Celular",IF(AL2637="","","Fixo"))</f>
        <v/>
      </c>
      <c r="BB2637" s="72" t="str">
        <f aca="false">IF(BA2637&lt;&gt;"",VLOOKUP(BA2637,Selects!$B$4:$C$100,2,0),"")</f>
        <v/>
      </c>
      <c r="BG2637" s="75" t="str">
        <f aca="false">IF(LEN(BF2637)=11,"PF",IF(LEN(BF2637)=14,"PJ",""))</f>
        <v/>
      </c>
      <c r="BH2637" s="66"/>
    </row>
    <row r="2638" customFormat="false" ht="15" hidden="true" customHeight="false" outlineLevel="0" collapsed="false">
      <c r="AM2638" s="68" t="str">
        <f aca="false">IF(LEFT(AL2638,1)="9","Celular",IF(AL2638="","","Fixo"))</f>
        <v/>
      </c>
      <c r="BB2638" s="72" t="str">
        <f aca="false">IF(BA2638&lt;&gt;"",VLOOKUP(BA2638,Selects!$B$4:$C$100,2,0),"")</f>
        <v/>
      </c>
      <c r="BG2638" s="75" t="str">
        <f aca="false">IF(LEN(BF2638)=11,"PF",IF(LEN(BF2638)=14,"PJ",""))</f>
        <v/>
      </c>
      <c r="BH2638" s="66"/>
    </row>
    <row r="2639" customFormat="false" ht="15" hidden="true" customHeight="false" outlineLevel="0" collapsed="false">
      <c r="AM2639" s="68" t="str">
        <f aca="false">IF(LEFT(AL2639,1)="9","Celular",IF(AL2639="","","Fixo"))</f>
        <v/>
      </c>
      <c r="BB2639" s="72" t="str">
        <f aca="false">IF(BA2639&lt;&gt;"",VLOOKUP(BA2639,Selects!$B$4:$C$100,2,0),"")</f>
        <v/>
      </c>
      <c r="BG2639" s="75" t="str">
        <f aca="false">IF(LEN(BF2639)=11,"PF",IF(LEN(BF2639)=14,"PJ",""))</f>
        <v/>
      </c>
      <c r="BH2639" s="66"/>
    </row>
    <row r="2640" customFormat="false" ht="15" hidden="true" customHeight="false" outlineLevel="0" collapsed="false">
      <c r="AM2640" s="68" t="str">
        <f aca="false">IF(LEFT(AL2640,1)="9","Celular",IF(AL2640="","","Fixo"))</f>
        <v/>
      </c>
      <c r="BB2640" s="72" t="str">
        <f aca="false">IF(BA2640&lt;&gt;"",VLOOKUP(BA2640,Selects!$B$4:$C$100,2,0),"")</f>
        <v/>
      </c>
      <c r="BG2640" s="75" t="str">
        <f aca="false">IF(LEN(BF2640)=11,"PF",IF(LEN(BF2640)=14,"PJ",""))</f>
        <v/>
      </c>
      <c r="BH2640" s="66"/>
    </row>
    <row r="2641" customFormat="false" ht="15" hidden="true" customHeight="false" outlineLevel="0" collapsed="false">
      <c r="AM2641" s="68" t="str">
        <f aca="false">IF(LEFT(AL2641,1)="9","Celular",IF(AL2641="","","Fixo"))</f>
        <v/>
      </c>
      <c r="BB2641" s="72" t="str">
        <f aca="false">IF(BA2641&lt;&gt;"",VLOOKUP(BA2641,Selects!$B$4:$C$100,2,0),"")</f>
        <v/>
      </c>
      <c r="BG2641" s="75" t="str">
        <f aca="false">IF(LEN(BF2641)=11,"PF",IF(LEN(BF2641)=14,"PJ",""))</f>
        <v/>
      </c>
      <c r="BH2641" s="66"/>
    </row>
    <row r="2642" customFormat="false" ht="15" hidden="true" customHeight="false" outlineLevel="0" collapsed="false">
      <c r="AM2642" s="68" t="str">
        <f aca="false">IF(LEFT(AL2642,1)="9","Celular",IF(AL2642="","","Fixo"))</f>
        <v/>
      </c>
      <c r="BB2642" s="72" t="str">
        <f aca="false">IF(BA2642&lt;&gt;"",VLOOKUP(BA2642,Selects!$B$4:$C$100,2,0),"")</f>
        <v/>
      </c>
      <c r="BG2642" s="75" t="str">
        <f aca="false">IF(LEN(BF2642)=11,"PF",IF(LEN(BF2642)=14,"PJ",""))</f>
        <v/>
      </c>
      <c r="BH2642" s="66"/>
    </row>
    <row r="2643" customFormat="false" ht="15" hidden="true" customHeight="false" outlineLevel="0" collapsed="false">
      <c r="AM2643" s="68" t="str">
        <f aca="false">IF(LEFT(AL2643,1)="9","Celular",IF(AL2643="","","Fixo"))</f>
        <v/>
      </c>
      <c r="BB2643" s="72" t="str">
        <f aca="false">IF(BA2643&lt;&gt;"",VLOOKUP(BA2643,Selects!$B$4:$C$100,2,0),"")</f>
        <v/>
      </c>
      <c r="BG2643" s="75" t="str">
        <f aca="false">IF(LEN(BF2643)=11,"PF",IF(LEN(BF2643)=14,"PJ",""))</f>
        <v/>
      </c>
      <c r="BH2643" s="66"/>
    </row>
    <row r="2644" customFormat="false" ht="15" hidden="true" customHeight="false" outlineLevel="0" collapsed="false">
      <c r="AM2644" s="68" t="str">
        <f aca="false">IF(LEFT(AL2644,1)="9","Celular",IF(AL2644="","","Fixo"))</f>
        <v/>
      </c>
      <c r="BB2644" s="72" t="str">
        <f aca="false">IF(BA2644&lt;&gt;"",VLOOKUP(BA2644,Selects!$B$4:$C$100,2,0),"")</f>
        <v/>
      </c>
      <c r="BG2644" s="75" t="str">
        <f aca="false">IF(LEN(BF2644)=11,"PF",IF(LEN(BF2644)=14,"PJ",""))</f>
        <v/>
      </c>
      <c r="BH2644" s="66"/>
    </row>
    <row r="2645" customFormat="false" ht="15" hidden="true" customHeight="false" outlineLevel="0" collapsed="false">
      <c r="AM2645" s="68" t="str">
        <f aca="false">IF(LEFT(AL2645,1)="9","Celular",IF(AL2645="","","Fixo"))</f>
        <v/>
      </c>
      <c r="BB2645" s="72" t="str">
        <f aca="false">IF(BA2645&lt;&gt;"",VLOOKUP(BA2645,Selects!$B$4:$C$100,2,0),"")</f>
        <v/>
      </c>
      <c r="BG2645" s="75" t="str">
        <f aca="false">IF(LEN(BF2645)=11,"PF",IF(LEN(BF2645)=14,"PJ",""))</f>
        <v/>
      </c>
      <c r="BH2645" s="66"/>
    </row>
    <row r="2646" customFormat="false" ht="15" hidden="true" customHeight="false" outlineLevel="0" collapsed="false">
      <c r="AM2646" s="68" t="str">
        <f aca="false">IF(LEFT(AL2646,1)="9","Celular",IF(AL2646="","","Fixo"))</f>
        <v/>
      </c>
      <c r="BB2646" s="72" t="str">
        <f aca="false">IF(BA2646&lt;&gt;"",VLOOKUP(BA2646,Selects!$B$4:$C$100,2,0),"")</f>
        <v/>
      </c>
      <c r="BG2646" s="75" t="str">
        <f aca="false">IF(LEN(BF2646)=11,"PF",IF(LEN(BF2646)=14,"PJ",""))</f>
        <v/>
      </c>
      <c r="BH2646" s="66"/>
    </row>
    <row r="2647" customFormat="false" ht="15" hidden="true" customHeight="false" outlineLevel="0" collapsed="false">
      <c r="AM2647" s="68" t="str">
        <f aca="false">IF(LEFT(AL2647,1)="9","Celular",IF(AL2647="","","Fixo"))</f>
        <v/>
      </c>
      <c r="BB2647" s="72" t="str">
        <f aca="false">IF(BA2647&lt;&gt;"",VLOOKUP(BA2647,Selects!$B$4:$C$100,2,0),"")</f>
        <v/>
      </c>
      <c r="BG2647" s="75" t="str">
        <f aca="false">IF(LEN(BF2647)=11,"PF",IF(LEN(BF2647)=14,"PJ",""))</f>
        <v/>
      </c>
      <c r="BH2647" s="66"/>
    </row>
    <row r="2648" customFormat="false" ht="15" hidden="true" customHeight="false" outlineLevel="0" collapsed="false">
      <c r="AM2648" s="68" t="str">
        <f aca="false">IF(LEFT(AL2648,1)="9","Celular",IF(AL2648="","","Fixo"))</f>
        <v/>
      </c>
      <c r="BB2648" s="72" t="str">
        <f aca="false">IF(BA2648&lt;&gt;"",VLOOKUP(BA2648,Selects!$B$4:$C$100,2,0),"")</f>
        <v/>
      </c>
      <c r="BG2648" s="75" t="str">
        <f aca="false">IF(LEN(BF2648)=11,"PF",IF(LEN(BF2648)=14,"PJ",""))</f>
        <v/>
      </c>
      <c r="BH2648" s="66"/>
    </row>
    <row r="2649" customFormat="false" ht="15" hidden="true" customHeight="false" outlineLevel="0" collapsed="false">
      <c r="AM2649" s="68" t="str">
        <f aca="false">IF(LEFT(AL2649,1)="9","Celular",IF(AL2649="","","Fixo"))</f>
        <v/>
      </c>
      <c r="BB2649" s="72" t="str">
        <f aca="false">IF(BA2649&lt;&gt;"",VLOOKUP(BA2649,Selects!$B$4:$C$100,2,0),"")</f>
        <v/>
      </c>
      <c r="BG2649" s="75" t="str">
        <f aca="false">IF(LEN(BF2649)=11,"PF",IF(LEN(BF2649)=14,"PJ",""))</f>
        <v/>
      </c>
      <c r="BH2649" s="66"/>
    </row>
    <row r="2650" customFormat="false" ht="15" hidden="true" customHeight="false" outlineLevel="0" collapsed="false">
      <c r="AM2650" s="68" t="str">
        <f aca="false">IF(LEFT(AL2650,1)="9","Celular",IF(AL2650="","","Fixo"))</f>
        <v/>
      </c>
      <c r="BB2650" s="72" t="str">
        <f aca="false">IF(BA2650&lt;&gt;"",VLOOKUP(BA2650,Selects!$B$4:$C$100,2,0),"")</f>
        <v/>
      </c>
      <c r="BG2650" s="75" t="str">
        <f aca="false">IF(LEN(BF2650)=11,"PF",IF(LEN(BF2650)=14,"PJ",""))</f>
        <v/>
      </c>
      <c r="BH2650" s="66"/>
    </row>
    <row r="2651" customFormat="false" ht="15" hidden="true" customHeight="false" outlineLevel="0" collapsed="false">
      <c r="AM2651" s="68" t="str">
        <f aca="false">IF(LEFT(AL2651,1)="9","Celular",IF(AL2651="","","Fixo"))</f>
        <v/>
      </c>
      <c r="BB2651" s="72" t="str">
        <f aca="false">IF(BA2651&lt;&gt;"",VLOOKUP(BA2651,Selects!$B$4:$C$100,2,0),"")</f>
        <v/>
      </c>
      <c r="BG2651" s="75" t="str">
        <f aca="false">IF(LEN(BF2651)=11,"PF",IF(LEN(BF2651)=14,"PJ",""))</f>
        <v/>
      </c>
      <c r="BH2651" s="66"/>
    </row>
    <row r="2652" customFormat="false" ht="15" hidden="true" customHeight="false" outlineLevel="0" collapsed="false">
      <c r="AM2652" s="68" t="str">
        <f aca="false">IF(LEFT(AL2652,1)="9","Celular",IF(AL2652="","","Fixo"))</f>
        <v/>
      </c>
      <c r="BB2652" s="72" t="str">
        <f aca="false">IF(BA2652&lt;&gt;"",VLOOKUP(BA2652,Selects!$B$4:$C$100,2,0),"")</f>
        <v/>
      </c>
      <c r="BG2652" s="75" t="str">
        <f aca="false">IF(LEN(BF2652)=11,"PF",IF(LEN(BF2652)=14,"PJ",""))</f>
        <v/>
      </c>
      <c r="BH2652" s="66"/>
    </row>
    <row r="2653" customFormat="false" ht="15" hidden="true" customHeight="false" outlineLevel="0" collapsed="false">
      <c r="AM2653" s="68" t="str">
        <f aca="false">IF(LEFT(AL2653,1)="9","Celular",IF(AL2653="","","Fixo"))</f>
        <v/>
      </c>
      <c r="BB2653" s="72" t="str">
        <f aca="false">IF(BA2653&lt;&gt;"",VLOOKUP(BA2653,Selects!$B$4:$C$100,2,0),"")</f>
        <v/>
      </c>
      <c r="BG2653" s="75" t="str">
        <f aca="false">IF(LEN(BF2653)=11,"PF",IF(LEN(BF2653)=14,"PJ",""))</f>
        <v/>
      </c>
      <c r="BH2653" s="66"/>
    </row>
    <row r="2654" customFormat="false" ht="15" hidden="true" customHeight="false" outlineLevel="0" collapsed="false">
      <c r="AM2654" s="68" t="str">
        <f aca="false">IF(LEFT(AL2654,1)="9","Celular",IF(AL2654="","","Fixo"))</f>
        <v/>
      </c>
      <c r="BB2654" s="72" t="str">
        <f aca="false">IF(BA2654&lt;&gt;"",VLOOKUP(BA2654,Selects!$B$4:$C$100,2,0),"")</f>
        <v/>
      </c>
      <c r="BG2654" s="75" t="str">
        <f aca="false">IF(LEN(BF2654)=11,"PF",IF(LEN(BF2654)=14,"PJ",""))</f>
        <v/>
      </c>
      <c r="BH2654" s="66"/>
    </row>
    <row r="2655" customFormat="false" ht="15" hidden="true" customHeight="false" outlineLevel="0" collapsed="false">
      <c r="AM2655" s="68" t="str">
        <f aca="false">IF(LEFT(AL2655,1)="9","Celular",IF(AL2655="","","Fixo"))</f>
        <v/>
      </c>
      <c r="BB2655" s="72" t="str">
        <f aca="false">IF(BA2655&lt;&gt;"",VLOOKUP(BA2655,Selects!$B$4:$C$100,2,0),"")</f>
        <v/>
      </c>
      <c r="BG2655" s="75" t="str">
        <f aca="false">IF(LEN(BF2655)=11,"PF",IF(LEN(BF2655)=14,"PJ",""))</f>
        <v/>
      </c>
      <c r="BH2655" s="66"/>
    </row>
    <row r="2656" customFormat="false" ht="15" hidden="true" customHeight="false" outlineLevel="0" collapsed="false">
      <c r="AM2656" s="68" t="str">
        <f aca="false">IF(LEFT(AL2656,1)="9","Celular",IF(AL2656="","","Fixo"))</f>
        <v/>
      </c>
      <c r="BB2656" s="72" t="str">
        <f aca="false">IF(BA2656&lt;&gt;"",VLOOKUP(BA2656,Selects!$B$4:$C$100,2,0),"")</f>
        <v/>
      </c>
      <c r="BG2656" s="75" t="str">
        <f aca="false">IF(LEN(BF2656)=11,"PF",IF(LEN(BF2656)=14,"PJ",""))</f>
        <v/>
      </c>
      <c r="BH2656" s="66"/>
    </row>
    <row r="2657" customFormat="false" ht="15" hidden="true" customHeight="false" outlineLevel="0" collapsed="false">
      <c r="AM2657" s="68" t="str">
        <f aca="false">IF(LEFT(AL2657,1)="9","Celular",IF(AL2657="","","Fixo"))</f>
        <v/>
      </c>
      <c r="BB2657" s="72" t="str">
        <f aca="false">IF(BA2657&lt;&gt;"",VLOOKUP(BA2657,Selects!$B$4:$C$100,2,0),"")</f>
        <v/>
      </c>
      <c r="BG2657" s="75" t="str">
        <f aca="false">IF(LEN(BF2657)=11,"PF",IF(LEN(BF2657)=14,"PJ",""))</f>
        <v/>
      </c>
      <c r="BH2657" s="66"/>
    </row>
    <row r="2658" customFormat="false" ht="15" hidden="true" customHeight="false" outlineLevel="0" collapsed="false">
      <c r="AM2658" s="68" t="str">
        <f aca="false">IF(LEFT(AL2658,1)="9","Celular",IF(AL2658="","","Fixo"))</f>
        <v/>
      </c>
      <c r="BB2658" s="72" t="str">
        <f aca="false">IF(BA2658&lt;&gt;"",VLOOKUP(BA2658,Selects!$B$4:$C$100,2,0),"")</f>
        <v/>
      </c>
      <c r="BG2658" s="75" t="str">
        <f aca="false">IF(LEN(BF2658)=11,"PF",IF(LEN(BF2658)=14,"PJ",""))</f>
        <v/>
      </c>
      <c r="BH2658" s="66"/>
    </row>
    <row r="2659" customFormat="false" ht="15" hidden="true" customHeight="false" outlineLevel="0" collapsed="false">
      <c r="AM2659" s="68" t="str">
        <f aca="false">IF(LEFT(AL2659,1)="9","Celular",IF(AL2659="","","Fixo"))</f>
        <v/>
      </c>
      <c r="BB2659" s="72" t="str">
        <f aca="false">IF(BA2659&lt;&gt;"",VLOOKUP(BA2659,Selects!$B$4:$C$100,2,0),"")</f>
        <v/>
      </c>
      <c r="BG2659" s="75" t="str">
        <f aca="false">IF(LEN(BF2659)=11,"PF",IF(LEN(BF2659)=14,"PJ",""))</f>
        <v/>
      </c>
      <c r="BH2659" s="66"/>
    </row>
    <row r="2660" customFormat="false" ht="15" hidden="true" customHeight="false" outlineLevel="0" collapsed="false">
      <c r="AM2660" s="68" t="str">
        <f aca="false">IF(LEFT(AL2660,1)="9","Celular",IF(AL2660="","","Fixo"))</f>
        <v/>
      </c>
      <c r="BB2660" s="72" t="str">
        <f aca="false">IF(BA2660&lt;&gt;"",VLOOKUP(BA2660,Selects!$B$4:$C$100,2,0),"")</f>
        <v/>
      </c>
      <c r="BG2660" s="75" t="str">
        <f aca="false">IF(LEN(BF2660)=11,"PF",IF(LEN(BF2660)=14,"PJ",""))</f>
        <v/>
      </c>
      <c r="BH2660" s="66"/>
    </row>
    <row r="2661" customFormat="false" ht="15" hidden="true" customHeight="false" outlineLevel="0" collapsed="false">
      <c r="AM2661" s="68" t="str">
        <f aca="false">IF(LEFT(AL2661,1)="9","Celular",IF(AL2661="","","Fixo"))</f>
        <v/>
      </c>
      <c r="BB2661" s="72" t="str">
        <f aca="false">IF(BA2661&lt;&gt;"",VLOOKUP(BA2661,Selects!$B$4:$C$100,2,0),"")</f>
        <v/>
      </c>
      <c r="BG2661" s="75" t="str">
        <f aca="false">IF(LEN(BF2661)=11,"PF",IF(LEN(BF2661)=14,"PJ",""))</f>
        <v/>
      </c>
      <c r="BH2661" s="66"/>
    </row>
    <row r="2662" customFormat="false" ht="15" hidden="true" customHeight="false" outlineLevel="0" collapsed="false">
      <c r="AM2662" s="68" t="str">
        <f aca="false">IF(LEFT(AL2662,1)="9","Celular",IF(AL2662="","","Fixo"))</f>
        <v/>
      </c>
      <c r="BB2662" s="72" t="str">
        <f aca="false">IF(BA2662&lt;&gt;"",VLOOKUP(BA2662,Selects!$B$4:$C$100,2,0),"")</f>
        <v/>
      </c>
      <c r="BG2662" s="75" t="str">
        <f aca="false">IF(LEN(BF2662)=11,"PF",IF(LEN(BF2662)=14,"PJ",""))</f>
        <v/>
      </c>
      <c r="BH2662" s="66"/>
    </row>
    <row r="2663" customFormat="false" ht="15" hidden="true" customHeight="false" outlineLevel="0" collapsed="false">
      <c r="AM2663" s="68" t="str">
        <f aca="false">IF(LEFT(AL2663,1)="9","Celular",IF(AL2663="","","Fixo"))</f>
        <v/>
      </c>
      <c r="BB2663" s="72" t="str">
        <f aca="false">IF(BA2663&lt;&gt;"",VLOOKUP(BA2663,Selects!$B$4:$C$100,2,0),"")</f>
        <v/>
      </c>
      <c r="BG2663" s="75" t="str">
        <f aca="false">IF(LEN(BF2663)=11,"PF",IF(LEN(BF2663)=14,"PJ",""))</f>
        <v/>
      </c>
      <c r="BH2663" s="66"/>
    </row>
    <row r="2664" customFormat="false" ht="15" hidden="true" customHeight="false" outlineLevel="0" collapsed="false">
      <c r="AM2664" s="68" t="str">
        <f aca="false">IF(LEFT(AL2664,1)="9","Celular",IF(AL2664="","","Fixo"))</f>
        <v/>
      </c>
      <c r="BB2664" s="72" t="str">
        <f aca="false">IF(BA2664&lt;&gt;"",VLOOKUP(BA2664,Selects!$B$4:$C$100,2,0),"")</f>
        <v/>
      </c>
      <c r="BG2664" s="75" t="str">
        <f aca="false">IF(LEN(BF2664)=11,"PF",IF(LEN(BF2664)=14,"PJ",""))</f>
        <v/>
      </c>
      <c r="BH2664" s="66"/>
    </row>
    <row r="2665" customFormat="false" ht="15" hidden="true" customHeight="false" outlineLevel="0" collapsed="false">
      <c r="AM2665" s="68" t="str">
        <f aca="false">IF(LEFT(AL2665,1)="9","Celular",IF(AL2665="","","Fixo"))</f>
        <v/>
      </c>
      <c r="BB2665" s="72" t="str">
        <f aca="false">IF(BA2665&lt;&gt;"",VLOOKUP(BA2665,Selects!$B$4:$C$100,2,0),"")</f>
        <v/>
      </c>
      <c r="BG2665" s="75" t="str">
        <f aca="false">IF(LEN(BF2665)=11,"PF",IF(LEN(BF2665)=14,"PJ",""))</f>
        <v/>
      </c>
      <c r="BH2665" s="66"/>
    </row>
    <row r="2666" customFormat="false" ht="15" hidden="true" customHeight="false" outlineLevel="0" collapsed="false">
      <c r="AM2666" s="68" t="str">
        <f aca="false">IF(LEFT(AL2666,1)="9","Celular",IF(AL2666="","","Fixo"))</f>
        <v/>
      </c>
      <c r="BB2666" s="72" t="str">
        <f aca="false">IF(BA2666&lt;&gt;"",VLOOKUP(BA2666,Selects!$B$4:$C$100,2,0),"")</f>
        <v/>
      </c>
      <c r="BG2666" s="75" t="str">
        <f aca="false">IF(LEN(BF2666)=11,"PF",IF(LEN(BF2666)=14,"PJ",""))</f>
        <v/>
      </c>
      <c r="BH2666" s="66"/>
    </row>
    <row r="2667" customFormat="false" ht="15" hidden="true" customHeight="false" outlineLevel="0" collapsed="false">
      <c r="AM2667" s="68" t="str">
        <f aca="false">IF(LEFT(AL2667,1)="9","Celular",IF(AL2667="","","Fixo"))</f>
        <v/>
      </c>
      <c r="BB2667" s="72" t="str">
        <f aca="false">IF(BA2667&lt;&gt;"",VLOOKUP(BA2667,Selects!$B$4:$C$100,2,0),"")</f>
        <v/>
      </c>
      <c r="BG2667" s="75" t="str">
        <f aca="false">IF(LEN(BF2667)=11,"PF",IF(LEN(BF2667)=14,"PJ",""))</f>
        <v/>
      </c>
      <c r="BH2667" s="66"/>
    </row>
    <row r="2668" customFormat="false" ht="15" hidden="true" customHeight="false" outlineLevel="0" collapsed="false">
      <c r="AM2668" s="68" t="str">
        <f aca="false">IF(LEFT(AL2668,1)="9","Celular",IF(AL2668="","","Fixo"))</f>
        <v/>
      </c>
      <c r="BB2668" s="72" t="str">
        <f aca="false">IF(BA2668&lt;&gt;"",VLOOKUP(BA2668,Selects!$B$4:$C$100,2,0),"")</f>
        <v/>
      </c>
      <c r="BG2668" s="75" t="str">
        <f aca="false">IF(LEN(BF2668)=11,"PF",IF(LEN(BF2668)=14,"PJ",""))</f>
        <v/>
      </c>
      <c r="BH2668" s="66"/>
    </row>
    <row r="2669" customFormat="false" ht="15" hidden="true" customHeight="false" outlineLevel="0" collapsed="false">
      <c r="AM2669" s="68" t="str">
        <f aca="false">IF(LEFT(AL2669,1)="9","Celular",IF(AL2669="","","Fixo"))</f>
        <v/>
      </c>
      <c r="BB2669" s="72" t="str">
        <f aca="false">IF(BA2669&lt;&gt;"",VLOOKUP(BA2669,Selects!$B$4:$C$100,2,0),"")</f>
        <v/>
      </c>
      <c r="BG2669" s="75" t="str">
        <f aca="false">IF(LEN(BF2669)=11,"PF",IF(LEN(BF2669)=14,"PJ",""))</f>
        <v/>
      </c>
      <c r="BH2669" s="66"/>
    </row>
    <row r="2670" customFormat="false" ht="15" hidden="true" customHeight="false" outlineLevel="0" collapsed="false">
      <c r="AM2670" s="68" t="str">
        <f aca="false">IF(LEFT(AL2670,1)="9","Celular",IF(AL2670="","","Fixo"))</f>
        <v/>
      </c>
      <c r="BB2670" s="72" t="str">
        <f aca="false">IF(BA2670&lt;&gt;"",VLOOKUP(BA2670,Selects!$B$4:$C$100,2,0),"")</f>
        <v/>
      </c>
      <c r="BG2670" s="75" t="str">
        <f aca="false">IF(LEN(BF2670)=11,"PF",IF(LEN(BF2670)=14,"PJ",""))</f>
        <v/>
      </c>
      <c r="BH2670" s="66"/>
    </row>
    <row r="2671" customFormat="false" ht="15" hidden="true" customHeight="false" outlineLevel="0" collapsed="false">
      <c r="AM2671" s="68" t="str">
        <f aca="false">IF(LEFT(AL2671,1)="9","Celular",IF(AL2671="","","Fixo"))</f>
        <v/>
      </c>
      <c r="BB2671" s="72" t="str">
        <f aca="false">IF(BA2671&lt;&gt;"",VLOOKUP(BA2671,Selects!$B$4:$C$100,2,0),"")</f>
        <v/>
      </c>
      <c r="BG2671" s="75" t="str">
        <f aca="false">IF(LEN(BF2671)=11,"PF",IF(LEN(BF2671)=14,"PJ",""))</f>
        <v/>
      </c>
      <c r="BH2671" s="66"/>
    </row>
    <row r="2672" customFormat="false" ht="15" hidden="true" customHeight="false" outlineLevel="0" collapsed="false">
      <c r="AM2672" s="68" t="str">
        <f aca="false">IF(LEFT(AL2672,1)="9","Celular",IF(AL2672="","","Fixo"))</f>
        <v/>
      </c>
      <c r="BB2672" s="72" t="str">
        <f aca="false">IF(BA2672&lt;&gt;"",VLOOKUP(BA2672,Selects!$B$4:$C$100,2,0),"")</f>
        <v/>
      </c>
      <c r="BG2672" s="75" t="str">
        <f aca="false">IF(LEN(BF2672)=11,"PF",IF(LEN(BF2672)=14,"PJ",""))</f>
        <v/>
      </c>
      <c r="BH2672" s="66"/>
    </row>
    <row r="2673" customFormat="false" ht="15" hidden="true" customHeight="false" outlineLevel="0" collapsed="false">
      <c r="AM2673" s="68" t="str">
        <f aca="false">IF(LEFT(AL2673,1)="9","Celular",IF(AL2673="","","Fixo"))</f>
        <v/>
      </c>
      <c r="BB2673" s="72" t="str">
        <f aca="false">IF(BA2673&lt;&gt;"",VLOOKUP(BA2673,Selects!$B$4:$C$100,2,0),"")</f>
        <v/>
      </c>
      <c r="BG2673" s="75" t="str">
        <f aca="false">IF(LEN(BF2673)=11,"PF",IF(LEN(BF2673)=14,"PJ",""))</f>
        <v/>
      </c>
      <c r="BH2673" s="66"/>
    </row>
    <row r="2674" customFormat="false" ht="15" hidden="true" customHeight="false" outlineLevel="0" collapsed="false">
      <c r="AM2674" s="68" t="str">
        <f aca="false">IF(LEFT(AL2674,1)="9","Celular",IF(AL2674="","","Fixo"))</f>
        <v/>
      </c>
      <c r="BB2674" s="72" t="str">
        <f aca="false">IF(BA2674&lt;&gt;"",VLOOKUP(BA2674,Selects!$B$4:$C$100,2,0),"")</f>
        <v/>
      </c>
      <c r="BG2674" s="75" t="str">
        <f aca="false">IF(LEN(BF2674)=11,"PF",IF(LEN(BF2674)=14,"PJ",""))</f>
        <v/>
      </c>
      <c r="BH2674" s="66"/>
    </row>
    <row r="2675" customFormat="false" ht="15" hidden="true" customHeight="false" outlineLevel="0" collapsed="false">
      <c r="AM2675" s="68" t="str">
        <f aca="false">IF(LEFT(AL2675,1)="9","Celular",IF(AL2675="","","Fixo"))</f>
        <v/>
      </c>
      <c r="BB2675" s="72" t="str">
        <f aca="false">IF(BA2675&lt;&gt;"",VLOOKUP(BA2675,Selects!$B$4:$C$100,2,0),"")</f>
        <v/>
      </c>
      <c r="BG2675" s="75" t="str">
        <f aca="false">IF(LEN(BF2675)=11,"PF",IF(LEN(BF2675)=14,"PJ",""))</f>
        <v/>
      </c>
      <c r="BH2675" s="66"/>
    </row>
    <row r="2676" customFormat="false" ht="15" hidden="true" customHeight="false" outlineLevel="0" collapsed="false">
      <c r="AM2676" s="68" t="str">
        <f aca="false">IF(LEFT(AL2676,1)="9","Celular",IF(AL2676="","","Fixo"))</f>
        <v/>
      </c>
      <c r="BB2676" s="72" t="str">
        <f aca="false">IF(BA2676&lt;&gt;"",VLOOKUP(BA2676,Selects!$B$4:$C$100,2,0),"")</f>
        <v/>
      </c>
      <c r="BG2676" s="75" t="str">
        <f aca="false">IF(LEN(BF2676)=11,"PF",IF(LEN(BF2676)=14,"PJ",""))</f>
        <v/>
      </c>
      <c r="BH2676" s="66"/>
    </row>
    <row r="2677" customFormat="false" ht="15" hidden="true" customHeight="false" outlineLevel="0" collapsed="false">
      <c r="AM2677" s="68" t="str">
        <f aca="false">IF(LEFT(AL2677,1)="9","Celular",IF(AL2677="","","Fixo"))</f>
        <v/>
      </c>
      <c r="BB2677" s="72" t="str">
        <f aca="false">IF(BA2677&lt;&gt;"",VLOOKUP(BA2677,Selects!$B$4:$C$100,2,0),"")</f>
        <v/>
      </c>
      <c r="BG2677" s="75" t="str">
        <f aca="false">IF(LEN(BF2677)=11,"PF",IF(LEN(BF2677)=14,"PJ",""))</f>
        <v/>
      </c>
      <c r="BH2677" s="66"/>
    </row>
    <row r="2678" customFormat="false" ht="15" hidden="true" customHeight="false" outlineLevel="0" collapsed="false">
      <c r="AM2678" s="68" t="str">
        <f aca="false">IF(LEFT(AL2678,1)="9","Celular",IF(AL2678="","","Fixo"))</f>
        <v/>
      </c>
      <c r="BB2678" s="72" t="str">
        <f aca="false">IF(BA2678&lt;&gt;"",VLOOKUP(BA2678,Selects!$B$4:$C$100,2,0),"")</f>
        <v/>
      </c>
      <c r="BG2678" s="75" t="str">
        <f aca="false">IF(LEN(BF2678)=11,"PF",IF(LEN(BF2678)=14,"PJ",""))</f>
        <v/>
      </c>
      <c r="BH2678" s="66"/>
    </row>
    <row r="2679" customFormat="false" ht="15" hidden="true" customHeight="false" outlineLevel="0" collapsed="false">
      <c r="AM2679" s="68" t="str">
        <f aca="false">IF(LEFT(AL2679,1)="9","Celular",IF(AL2679="","","Fixo"))</f>
        <v/>
      </c>
      <c r="BB2679" s="72" t="str">
        <f aca="false">IF(BA2679&lt;&gt;"",VLOOKUP(BA2679,Selects!$B$4:$C$100,2,0),"")</f>
        <v/>
      </c>
      <c r="BG2679" s="75" t="str">
        <f aca="false">IF(LEN(BF2679)=11,"PF",IF(LEN(BF2679)=14,"PJ",""))</f>
        <v/>
      </c>
      <c r="BH2679" s="66"/>
    </row>
    <row r="2680" customFormat="false" ht="15" hidden="true" customHeight="false" outlineLevel="0" collapsed="false">
      <c r="AM2680" s="68" t="str">
        <f aca="false">IF(LEFT(AL2680,1)="9","Celular",IF(AL2680="","","Fixo"))</f>
        <v/>
      </c>
      <c r="BB2680" s="72" t="str">
        <f aca="false">IF(BA2680&lt;&gt;"",VLOOKUP(BA2680,Selects!$B$4:$C$100,2,0),"")</f>
        <v/>
      </c>
      <c r="BG2680" s="75" t="str">
        <f aca="false">IF(LEN(BF2680)=11,"PF",IF(LEN(BF2680)=14,"PJ",""))</f>
        <v/>
      </c>
      <c r="BH2680" s="66"/>
    </row>
    <row r="2681" customFormat="false" ht="15" hidden="true" customHeight="false" outlineLevel="0" collapsed="false">
      <c r="AM2681" s="68" t="str">
        <f aca="false">IF(LEFT(AL2681,1)="9","Celular",IF(AL2681="","","Fixo"))</f>
        <v/>
      </c>
      <c r="BB2681" s="72" t="str">
        <f aca="false">IF(BA2681&lt;&gt;"",VLOOKUP(BA2681,Selects!$B$4:$C$100,2,0),"")</f>
        <v/>
      </c>
      <c r="BG2681" s="75" t="str">
        <f aca="false">IF(LEN(BF2681)=11,"PF",IF(LEN(BF2681)=14,"PJ",""))</f>
        <v/>
      </c>
      <c r="BH2681" s="66"/>
    </row>
    <row r="2682" customFormat="false" ht="15" hidden="true" customHeight="false" outlineLevel="0" collapsed="false">
      <c r="AM2682" s="68" t="str">
        <f aca="false">IF(LEFT(AL2682,1)="9","Celular",IF(AL2682="","","Fixo"))</f>
        <v/>
      </c>
      <c r="BB2682" s="72" t="str">
        <f aca="false">IF(BA2682&lt;&gt;"",VLOOKUP(BA2682,Selects!$B$4:$C$100,2,0),"")</f>
        <v/>
      </c>
      <c r="BG2682" s="75" t="str">
        <f aca="false">IF(LEN(BF2682)=11,"PF",IF(LEN(BF2682)=14,"PJ",""))</f>
        <v/>
      </c>
      <c r="BH2682" s="66"/>
    </row>
    <row r="2683" customFormat="false" ht="15" hidden="true" customHeight="false" outlineLevel="0" collapsed="false">
      <c r="AM2683" s="68" t="str">
        <f aca="false">IF(LEFT(AL2683,1)="9","Celular",IF(AL2683="","","Fixo"))</f>
        <v/>
      </c>
      <c r="BB2683" s="72" t="str">
        <f aca="false">IF(BA2683&lt;&gt;"",VLOOKUP(BA2683,Selects!$B$4:$C$100,2,0),"")</f>
        <v/>
      </c>
      <c r="BG2683" s="75" t="str">
        <f aca="false">IF(LEN(BF2683)=11,"PF",IF(LEN(BF2683)=14,"PJ",""))</f>
        <v/>
      </c>
      <c r="BH2683" s="66"/>
    </row>
    <row r="2684" customFormat="false" ht="15" hidden="true" customHeight="false" outlineLevel="0" collapsed="false">
      <c r="AM2684" s="68" t="str">
        <f aca="false">IF(LEFT(AL2684,1)="9","Celular",IF(AL2684="","","Fixo"))</f>
        <v/>
      </c>
      <c r="BB2684" s="72" t="str">
        <f aca="false">IF(BA2684&lt;&gt;"",VLOOKUP(BA2684,Selects!$B$4:$C$100,2,0),"")</f>
        <v/>
      </c>
      <c r="BG2684" s="75" t="str">
        <f aca="false">IF(LEN(BF2684)=11,"PF",IF(LEN(BF2684)=14,"PJ",""))</f>
        <v/>
      </c>
      <c r="BH2684" s="66"/>
    </row>
    <row r="2685" customFormat="false" ht="15" hidden="true" customHeight="false" outlineLevel="0" collapsed="false">
      <c r="AM2685" s="68" t="str">
        <f aca="false">IF(LEFT(AL2685,1)="9","Celular",IF(AL2685="","","Fixo"))</f>
        <v/>
      </c>
      <c r="BB2685" s="72" t="str">
        <f aca="false">IF(BA2685&lt;&gt;"",VLOOKUP(BA2685,Selects!$B$4:$C$100,2,0),"")</f>
        <v/>
      </c>
      <c r="BG2685" s="75" t="str">
        <f aca="false">IF(LEN(BF2685)=11,"PF",IF(LEN(BF2685)=14,"PJ",""))</f>
        <v/>
      </c>
      <c r="BH2685" s="66"/>
    </row>
    <row r="2686" customFormat="false" ht="15" hidden="true" customHeight="false" outlineLevel="0" collapsed="false">
      <c r="AM2686" s="68" t="str">
        <f aca="false">IF(LEFT(AL2686,1)="9","Celular",IF(AL2686="","","Fixo"))</f>
        <v/>
      </c>
      <c r="BB2686" s="72" t="str">
        <f aca="false">IF(BA2686&lt;&gt;"",VLOOKUP(BA2686,Selects!$B$4:$C$100,2,0),"")</f>
        <v/>
      </c>
      <c r="BG2686" s="75" t="str">
        <f aca="false">IF(LEN(BF2686)=11,"PF",IF(LEN(BF2686)=14,"PJ",""))</f>
        <v/>
      </c>
      <c r="BH2686" s="66"/>
    </row>
    <row r="2687" customFormat="false" ht="15" hidden="true" customHeight="false" outlineLevel="0" collapsed="false">
      <c r="AM2687" s="68" t="str">
        <f aca="false">IF(LEFT(AL2687,1)="9","Celular",IF(AL2687="","","Fixo"))</f>
        <v/>
      </c>
      <c r="BB2687" s="72" t="str">
        <f aca="false">IF(BA2687&lt;&gt;"",VLOOKUP(BA2687,Selects!$B$4:$C$100,2,0),"")</f>
        <v/>
      </c>
      <c r="BG2687" s="75" t="str">
        <f aca="false">IF(LEN(BF2687)=11,"PF",IF(LEN(BF2687)=14,"PJ",""))</f>
        <v/>
      </c>
      <c r="BH2687" s="66"/>
    </row>
    <row r="2688" customFormat="false" ht="15" hidden="true" customHeight="false" outlineLevel="0" collapsed="false">
      <c r="AM2688" s="68" t="str">
        <f aca="false">IF(LEFT(AL2688,1)="9","Celular",IF(AL2688="","","Fixo"))</f>
        <v/>
      </c>
      <c r="BB2688" s="72" t="str">
        <f aca="false">IF(BA2688&lt;&gt;"",VLOOKUP(BA2688,Selects!$B$4:$C$100,2,0),"")</f>
        <v/>
      </c>
      <c r="BG2688" s="75" t="str">
        <f aca="false">IF(LEN(BF2688)=11,"PF",IF(LEN(BF2688)=14,"PJ",""))</f>
        <v/>
      </c>
      <c r="BH2688" s="66"/>
    </row>
    <row r="2689" customFormat="false" ht="15" hidden="true" customHeight="false" outlineLevel="0" collapsed="false">
      <c r="AM2689" s="68" t="str">
        <f aca="false">IF(LEFT(AL2689,1)="9","Celular",IF(AL2689="","","Fixo"))</f>
        <v/>
      </c>
      <c r="BB2689" s="72" t="str">
        <f aca="false">IF(BA2689&lt;&gt;"",VLOOKUP(BA2689,Selects!$B$4:$C$100,2,0),"")</f>
        <v/>
      </c>
      <c r="BG2689" s="75" t="str">
        <f aca="false">IF(LEN(BF2689)=11,"PF",IF(LEN(BF2689)=14,"PJ",""))</f>
        <v/>
      </c>
      <c r="BH2689" s="66"/>
    </row>
    <row r="2690" customFormat="false" ht="15" hidden="true" customHeight="false" outlineLevel="0" collapsed="false">
      <c r="AM2690" s="68" t="str">
        <f aca="false">IF(LEFT(AL2690,1)="9","Celular",IF(AL2690="","","Fixo"))</f>
        <v/>
      </c>
      <c r="BB2690" s="72" t="str">
        <f aca="false">IF(BA2690&lt;&gt;"",VLOOKUP(BA2690,Selects!$B$4:$C$100,2,0),"")</f>
        <v/>
      </c>
      <c r="BG2690" s="75" t="str">
        <f aca="false">IF(LEN(BF2690)=11,"PF",IF(LEN(BF2690)=14,"PJ",""))</f>
        <v/>
      </c>
      <c r="BH2690" s="66"/>
    </row>
    <row r="2691" customFormat="false" ht="15" hidden="true" customHeight="false" outlineLevel="0" collapsed="false">
      <c r="AM2691" s="68" t="str">
        <f aca="false">IF(LEFT(AL2691,1)="9","Celular",IF(AL2691="","","Fixo"))</f>
        <v/>
      </c>
      <c r="BB2691" s="72" t="str">
        <f aca="false">IF(BA2691&lt;&gt;"",VLOOKUP(BA2691,Selects!$B$4:$C$100,2,0),"")</f>
        <v/>
      </c>
      <c r="BG2691" s="75" t="str">
        <f aca="false">IF(LEN(BF2691)=11,"PF",IF(LEN(BF2691)=14,"PJ",""))</f>
        <v/>
      </c>
      <c r="BH2691" s="66"/>
    </row>
    <row r="2692" customFormat="false" ht="15" hidden="true" customHeight="false" outlineLevel="0" collapsed="false">
      <c r="AM2692" s="68" t="str">
        <f aca="false">IF(LEFT(AL2692,1)="9","Celular",IF(AL2692="","","Fixo"))</f>
        <v/>
      </c>
      <c r="BB2692" s="72" t="str">
        <f aca="false">IF(BA2692&lt;&gt;"",VLOOKUP(BA2692,Selects!$B$4:$C$100,2,0),"")</f>
        <v/>
      </c>
      <c r="BG2692" s="75" t="str">
        <f aca="false">IF(LEN(BF2692)=11,"PF",IF(LEN(BF2692)=14,"PJ",""))</f>
        <v/>
      </c>
      <c r="BH2692" s="66"/>
    </row>
    <row r="2693" customFormat="false" ht="15" hidden="true" customHeight="false" outlineLevel="0" collapsed="false">
      <c r="AM2693" s="68" t="str">
        <f aca="false">IF(LEFT(AL2693,1)="9","Celular",IF(AL2693="","","Fixo"))</f>
        <v/>
      </c>
      <c r="BB2693" s="72" t="str">
        <f aca="false">IF(BA2693&lt;&gt;"",VLOOKUP(BA2693,Selects!$B$4:$C$100,2,0),"")</f>
        <v/>
      </c>
      <c r="BG2693" s="75" t="str">
        <f aca="false">IF(LEN(BF2693)=11,"PF",IF(LEN(BF2693)=14,"PJ",""))</f>
        <v/>
      </c>
      <c r="BH2693" s="66"/>
    </row>
    <row r="2694" customFormat="false" ht="15" hidden="true" customHeight="false" outlineLevel="0" collapsed="false">
      <c r="AM2694" s="68" t="str">
        <f aca="false">IF(LEFT(AL2694,1)="9","Celular",IF(AL2694="","","Fixo"))</f>
        <v/>
      </c>
      <c r="BB2694" s="72" t="str">
        <f aca="false">IF(BA2694&lt;&gt;"",VLOOKUP(BA2694,Selects!$B$4:$C$100,2,0),"")</f>
        <v/>
      </c>
      <c r="BG2694" s="75" t="str">
        <f aca="false">IF(LEN(BF2694)=11,"PF",IF(LEN(BF2694)=14,"PJ",""))</f>
        <v/>
      </c>
      <c r="BH2694" s="66"/>
    </row>
    <row r="2695" customFormat="false" ht="15" hidden="true" customHeight="false" outlineLevel="0" collapsed="false">
      <c r="AM2695" s="68" t="str">
        <f aca="false">IF(LEFT(AL2695,1)="9","Celular",IF(AL2695="","","Fixo"))</f>
        <v/>
      </c>
      <c r="BB2695" s="72" t="str">
        <f aca="false">IF(BA2695&lt;&gt;"",VLOOKUP(BA2695,Selects!$B$4:$C$100,2,0),"")</f>
        <v/>
      </c>
      <c r="BG2695" s="75" t="str">
        <f aca="false">IF(LEN(BF2695)=11,"PF",IF(LEN(BF2695)=14,"PJ",""))</f>
        <v/>
      </c>
      <c r="BH2695" s="66"/>
    </row>
    <row r="2696" customFormat="false" ht="15" hidden="true" customHeight="false" outlineLevel="0" collapsed="false">
      <c r="AM2696" s="68" t="str">
        <f aca="false">IF(LEFT(AL2696,1)="9","Celular",IF(AL2696="","","Fixo"))</f>
        <v/>
      </c>
      <c r="BB2696" s="72" t="str">
        <f aca="false">IF(BA2696&lt;&gt;"",VLOOKUP(BA2696,Selects!$B$4:$C$100,2,0),"")</f>
        <v/>
      </c>
      <c r="BG2696" s="75" t="str">
        <f aca="false">IF(LEN(BF2696)=11,"PF",IF(LEN(BF2696)=14,"PJ",""))</f>
        <v/>
      </c>
      <c r="BH2696" s="66"/>
    </row>
    <row r="2697" customFormat="false" ht="15" hidden="true" customHeight="false" outlineLevel="0" collapsed="false">
      <c r="AM2697" s="68" t="str">
        <f aca="false">IF(LEFT(AL2697,1)="9","Celular",IF(AL2697="","","Fixo"))</f>
        <v/>
      </c>
      <c r="BB2697" s="72" t="str">
        <f aca="false">IF(BA2697&lt;&gt;"",VLOOKUP(BA2697,Selects!$B$4:$C$100,2,0),"")</f>
        <v/>
      </c>
      <c r="BG2697" s="75" t="str">
        <f aca="false">IF(LEN(BF2697)=11,"PF",IF(LEN(BF2697)=14,"PJ",""))</f>
        <v/>
      </c>
      <c r="BH2697" s="66"/>
    </row>
    <row r="2698" customFormat="false" ht="15" hidden="true" customHeight="false" outlineLevel="0" collapsed="false">
      <c r="AM2698" s="68" t="str">
        <f aca="false">IF(LEFT(AL2698,1)="9","Celular",IF(AL2698="","","Fixo"))</f>
        <v/>
      </c>
      <c r="BB2698" s="72" t="str">
        <f aca="false">IF(BA2698&lt;&gt;"",VLOOKUP(BA2698,Selects!$B$4:$C$100,2,0),"")</f>
        <v/>
      </c>
      <c r="BG2698" s="75" t="str">
        <f aca="false">IF(LEN(BF2698)=11,"PF",IF(LEN(BF2698)=14,"PJ",""))</f>
        <v/>
      </c>
      <c r="BH2698" s="66"/>
    </row>
    <row r="2699" customFormat="false" ht="15" hidden="true" customHeight="false" outlineLevel="0" collapsed="false">
      <c r="AM2699" s="68" t="str">
        <f aca="false">IF(LEFT(AL2699,1)="9","Celular",IF(AL2699="","","Fixo"))</f>
        <v/>
      </c>
      <c r="BB2699" s="72" t="str">
        <f aca="false">IF(BA2699&lt;&gt;"",VLOOKUP(BA2699,Selects!$B$4:$C$100,2,0),"")</f>
        <v/>
      </c>
      <c r="BG2699" s="75" t="str">
        <f aca="false">IF(LEN(BF2699)=11,"PF",IF(LEN(BF2699)=14,"PJ",""))</f>
        <v/>
      </c>
      <c r="BH2699" s="66"/>
    </row>
    <row r="2700" customFormat="false" ht="15" hidden="true" customHeight="false" outlineLevel="0" collapsed="false">
      <c r="AM2700" s="68" t="str">
        <f aca="false">IF(LEFT(AL2700,1)="9","Celular",IF(AL2700="","","Fixo"))</f>
        <v/>
      </c>
      <c r="BB2700" s="72" t="str">
        <f aca="false">IF(BA2700&lt;&gt;"",VLOOKUP(BA2700,Selects!$B$4:$C$100,2,0),"")</f>
        <v/>
      </c>
      <c r="BG2700" s="75" t="str">
        <f aca="false">IF(LEN(BF2700)=11,"PF",IF(LEN(BF2700)=14,"PJ",""))</f>
        <v/>
      </c>
      <c r="BH2700" s="66"/>
    </row>
    <row r="2701" customFormat="false" ht="15" hidden="true" customHeight="false" outlineLevel="0" collapsed="false">
      <c r="AM2701" s="68" t="str">
        <f aca="false">IF(LEFT(AL2701,1)="9","Celular",IF(AL2701="","","Fixo"))</f>
        <v/>
      </c>
      <c r="BB2701" s="72" t="str">
        <f aca="false">IF(BA2701&lt;&gt;"",VLOOKUP(BA2701,Selects!$B$4:$C$100,2,0),"")</f>
        <v/>
      </c>
      <c r="BG2701" s="75" t="str">
        <f aca="false">IF(LEN(BF2701)=11,"PF",IF(LEN(BF2701)=14,"PJ",""))</f>
        <v/>
      </c>
      <c r="BH2701" s="66"/>
    </row>
    <row r="2702" customFormat="false" ht="15" hidden="true" customHeight="false" outlineLevel="0" collapsed="false">
      <c r="AM2702" s="68" t="str">
        <f aca="false">IF(LEFT(AL2702,1)="9","Celular",IF(AL2702="","","Fixo"))</f>
        <v/>
      </c>
      <c r="BB2702" s="72" t="str">
        <f aca="false">IF(BA2702&lt;&gt;"",VLOOKUP(BA2702,Selects!$B$4:$C$100,2,0),"")</f>
        <v/>
      </c>
      <c r="BG2702" s="75" t="str">
        <f aca="false">IF(LEN(BF2702)=11,"PF",IF(LEN(BF2702)=14,"PJ",""))</f>
        <v/>
      </c>
      <c r="BH2702" s="66"/>
    </row>
    <row r="2703" customFormat="false" ht="15" hidden="true" customHeight="false" outlineLevel="0" collapsed="false">
      <c r="AM2703" s="68" t="str">
        <f aca="false">IF(LEFT(AL2703,1)="9","Celular",IF(AL2703="","","Fixo"))</f>
        <v/>
      </c>
      <c r="BB2703" s="72" t="str">
        <f aca="false">IF(BA2703&lt;&gt;"",VLOOKUP(BA2703,Selects!$B$4:$C$100,2,0),"")</f>
        <v/>
      </c>
      <c r="BG2703" s="75" t="str">
        <f aca="false">IF(LEN(BF2703)=11,"PF",IF(LEN(BF2703)=14,"PJ",""))</f>
        <v/>
      </c>
      <c r="BH2703" s="66"/>
    </row>
    <row r="2704" customFormat="false" ht="15" hidden="true" customHeight="false" outlineLevel="0" collapsed="false">
      <c r="AM2704" s="68" t="str">
        <f aca="false">IF(LEFT(AL2704,1)="9","Celular",IF(AL2704="","","Fixo"))</f>
        <v/>
      </c>
      <c r="BB2704" s="72" t="str">
        <f aca="false">IF(BA2704&lt;&gt;"",VLOOKUP(BA2704,Selects!$B$4:$C$100,2,0),"")</f>
        <v/>
      </c>
      <c r="BG2704" s="75" t="str">
        <f aca="false">IF(LEN(BF2704)=11,"PF",IF(LEN(BF2704)=14,"PJ",""))</f>
        <v/>
      </c>
      <c r="BH2704" s="66"/>
    </row>
    <row r="2705" customFormat="false" ht="15" hidden="true" customHeight="false" outlineLevel="0" collapsed="false">
      <c r="AM2705" s="68" t="str">
        <f aca="false">IF(LEFT(AL2705,1)="9","Celular",IF(AL2705="","","Fixo"))</f>
        <v/>
      </c>
      <c r="BB2705" s="72" t="str">
        <f aca="false">IF(BA2705&lt;&gt;"",VLOOKUP(BA2705,Selects!$B$4:$C$100,2,0),"")</f>
        <v/>
      </c>
      <c r="BG2705" s="75" t="str">
        <f aca="false">IF(LEN(BF2705)=11,"PF",IF(LEN(BF2705)=14,"PJ",""))</f>
        <v/>
      </c>
      <c r="BH2705" s="66"/>
    </row>
    <row r="2706" customFormat="false" ht="15" hidden="true" customHeight="false" outlineLevel="0" collapsed="false">
      <c r="AM2706" s="68" t="str">
        <f aca="false">IF(LEFT(AL2706,1)="9","Celular",IF(AL2706="","","Fixo"))</f>
        <v/>
      </c>
      <c r="BB2706" s="72" t="str">
        <f aca="false">IF(BA2706&lt;&gt;"",VLOOKUP(BA2706,Selects!$B$4:$C$100,2,0),"")</f>
        <v/>
      </c>
      <c r="BG2706" s="75" t="str">
        <f aca="false">IF(LEN(BF2706)=11,"PF",IF(LEN(BF2706)=14,"PJ",""))</f>
        <v/>
      </c>
      <c r="BH2706" s="66"/>
    </row>
    <row r="2707" customFormat="false" ht="15" hidden="true" customHeight="false" outlineLevel="0" collapsed="false">
      <c r="AM2707" s="68" t="str">
        <f aca="false">IF(LEFT(AL2707,1)="9","Celular",IF(AL2707="","","Fixo"))</f>
        <v/>
      </c>
      <c r="BB2707" s="72" t="str">
        <f aca="false">IF(BA2707&lt;&gt;"",VLOOKUP(BA2707,Selects!$B$4:$C$100,2,0),"")</f>
        <v/>
      </c>
      <c r="BG2707" s="75" t="str">
        <f aca="false">IF(LEN(BF2707)=11,"PF",IF(LEN(BF2707)=14,"PJ",""))</f>
        <v/>
      </c>
      <c r="BH2707" s="66"/>
    </row>
    <row r="2708" customFormat="false" ht="15" hidden="true" customHeight="false" outlineLevel="0" collapsed="false">
      <c r="AM2708" s="68" t="str">
        <f aca="false">IF(LEFT(AL2708,1)="9","Celular",IF(AL2708="","","Fixo"))</f>
        <v/>
      </c>
      <c r="BB2708" s="72" t="str">
        <f aca="false">IF(BA2708&lt;&gt;"",VLOOKUP(BA2708,Selects!$B$4:$C$100,2,0),"")</f>
        <v/>
      </c>
      <c r="BG2708" s="75" t="str">
        <f aca="false">IF(LEN(BF2708)=11,"PF",IF(LEN(BF2708)=14,"PJ",""))</f>
        <v/>
      </c>
      <c r="BH2708" s="66"/>
    </row>
    <row r="2709" customFormat="false" ht="15" hidden="true" customHeight="false" outlineLevel="0" collapsed="false">
      <c r="AM2709" s="68" t="str">
        <f aca="false">IF(LEFT(AL2709,1)="9","Celular",IF(AL2709="","","Fixo"))</f>
        <v/>
      </c>
      <c r="BB2709" s="72" t="str">
        <f aca="false">IF(BA2709&lt;&gt;"",VLOOKUP(BA2709,Selects!$B$4:$C$100,2,0),"")</f>
        <v/>
      </c>
      <c r="BG2709" s="75" t="str">
        <f aca="false">IF(LEN(BF2709)=11,"PF",IF(LEN(BF2709)=14,"PJ",""))</f>
        <v/>
      </c>
      <c r="BH2709" s="66"/>
    </row>
    <row r="2710" customFormat="false" ht="15" hidden="true" customHeight="false" outlineLevel="0" collapsed="false">
      <c r="AM2710" s="68" t="str">
        <f aca="false">IF(LEFT(AL2710,1)="9","Celular",IF(AL2710="","","Fixo"))</f>
        <v/>
      </c>
      <c r="BB2710" s="72" t="str">
        <f aca="false">IF(BA2710&lt;&gt;"",VLOOKUP(BA2710,Selects!$B$4:$C$100,2,0),"")</f>
        <v/>
      </c>
      <c r="BG2710" s="75" t="str">
        <f aca="false">IF(LEN(BF2710)=11,"PF",IF(LEN(BF2710)=14,"PJ",""))</f>
        <v/>
      </c>
      <c r="BH2710" s="66"/>
    </row>
    <row r="2711" customFormat="false" ht="15" hidden="true" customHeight="false" outlineLevel="0" collapsed="false">
      <c r="AM2711" s="68" t="str">
        <f aca="false">IF(LEFT(AL2711,1)="9","Celular",IF(AL2711="","","Fixo"))</f>
        <v/>
      </c>
      <c r="BB2711" s="72" t="str">
        <f aca="false">IF(BA2711&lt;&gt;"",VLOOKUP(BA2711,Selects!$B$4:$C$100,2,0),"")</f>
        <v/>
      </c>
      <c r="BG2711" s="75" t="str">
        <f aca="false">IF(LEN(BF2711)=11,"PF",IF(LEN(BF2711)=14,"PJ",""))</f>
        <v/>
      </c>
      <c r="BH2711" s="66"/>
    </row>
    <row r="2712" customFormat="false" ht="15" hidden="true" customHeight="false" outlineLevel="0" collapsed="false">
      <c r="AM2712" s="68" t="str">
        <f aca="false">IF(LEFT(AL2712,1)="9","Celular",IF(AL2712="","","Fixo"))</f>
        <v/>
      </c>
      <c r="BB2712" s="72" t="str">
        <f aca="false">IF(BA2712&lt;&gt;"",VLOOKUP(BA2712,Selects!$B$4:$C$100,2,0),"")</f>
        <v/>
      </c>
      <c r="BG2712" s="75" t="str">
        <f aca="false">IF(LEN(BF2712)=11,"PF",IF(LEN(BF2712)=14,"PJ",""))</f>
        <v/>
      </c>
      <c r="BH2712" s="66"/>
    </row>
    <row r="2713" customFormat="false" ht="15" hidden="true" customHeight="false" outlineLevel="0" collapsed="false">
      <c r="AM2713" s="68" t="str">
        <f aca="false">IF(LEFT(AL2713,1)="9","Celular",IF(AL2713="","","Fixo"))</f>
        <v/>
      </c>
      <c r="BB2713" s="72" t="str">
        <f aca="false">IF(BA2713&lt;&gt;"",VLOOKUP(BA2713,Selects!$B$4:$C$100,2,0),"")</f>
        <v/>
      </c>
      <c r="BG2713" s="75" t="str">
        <f aca="false">IF(LEN(BF2713)=11,"PF",IF(LEN(BF2713)=14,"PJ",""))</f>
        <v/>
      </c>
      <c r="BH2713" s="66"/>
    </row>
    <row r="2714" customFormat="false" ht="15" hidden="true" customHeight="false" outlineLevel="0" collapsed="false">
      <c r="AM2714" s="68" t="str">
        <f aca="false">IF(LEFT(AL2714,1)="9","Celular",IF(AL2714="","","Fixo"))</f>
        <v/>
      </c>
      <c r="BB2714" s="72" t="str">
        <f aca="false">IF(BA2714&lt;&gt;"",VLOOKUP(BA2714,Selects!$B$4:$C$100,2,0),"")</f>
        <v/>
      </c>
      <c r="BG2714" s="75" t="str">
        <f aca="false">IF(LEN(BF2714)=11,"PF",IF(LEN(BF2714)=14,"PJ",""))</f>
        <v/>
      </c>
      <c r="BH2714" s="66"/>
    </row>
    <row r="2715" customFormat="false" ht="15" hidden="true" customHeight="false" outlineLevel="0" collapsed="false">
      <c r="AM2715" s="68" t="str">
        <f aca="false">IF(LEFT(AL2715,1)="9","Celular",IF(AL2715="","","Fixo"))</f>
        <v/>
      </c>
      <c r="BB2715" s="72" t="str">
        <f aca="false">IF(BA2715&lt;&gt;"",VLOOKUP(BA2715,Selects!$B$4:$C$100,2,0),"")</f>
        <v/>
      </c>
      <c r="BG2715" s="75" t="str">
        <f aca="false">IF(LEN(BF2715)=11,"PF",IF(LEN(BF2715)=14,"PJ",""))</f>
        <v/>
      </c>
      <c r="BH2715" s="66"/>
    </row>
    <row r="2716" customFormat="false" ht="15" hidden="true" customHeight="false" outlineLevel="0" collapsed="false">
      <c r="AM2716" s="68" t="str">
        <f aca="false">IF(LEFT(AL2716,1)="9","Celular",IF(AL2716="","","Fixo"))</f>
        <v/>
      </c>
      <c r="BB2716" s="72" t="str">
        <f aca="false">IF(BA2716&lt;&gt;"",VLOOKUP(BA2716,Selects!$B$4:$C$100,2,0),"")</f>
        <v/>
      </c>
      <c r="BG2716" s="75" t="str">
        <f aca="false">IF(LEN(BF2716)=11,"PF",IF(LEN(BF2716)=14,"PJ",""))</f>
        <v/>
      </c>
      <c r="BH2716" s="66"/>
    </row>
    <row r="2717" customFormat="false" ht="15" hidden="true" customHeight="false" outlineLevel="0" collapsed="false">
      <c r="AM2717" s="68" t="str">
        <f aca="false">IF(LEFT(AL2717,1)="9","Celular",IF(AL2717="","","Fixo"))</f>
        <v/>
      </c>
      <c r="BB2717" s="72" t="str">
        <f aca="false">IF(BA2717&lt;&gt;"",VLOOKUP(BA2717,Selects!$B$4:$C$100,2,0),"")</f>
        <v/>
      </c>
      <c r="BG2717" s="75" t="str">
        <f aca="false">IF(LEN(BF2717)=11,"PF",IF(LEN(BF2717)=14,"PJ",""))</f>
        <v/>
      </c>
      <c r="BH2717" s="66"/>
    </row>
    <row r="2718" customFormat="false" ht="15" hidden="true" customHeight="false" outlineLevel="0" collapsed="false">
      <c r="AM2718" s="68" t="str">
        <f aca="false">IF(LEFT(AL2718,1)="9","Celular",IF(AL2718="","","Fixo"))</f>
        <v/>
      </c>
      <c r="BB2718" s="72" t="str">
        <f aca="false">IF(BA2718&lt;&gt;"",VLOOKUP(BA2718,Selects!$B$4:$C$100,2,0),"")</f>
        <v/>
      </c>
      <c r="BG2718" s="75" t="str">
        <f aca="false">IF(LEN(BF2718)=11,"PF",IF(LEN(BF2718)=14,"PJ",""))</f>
        <v/>
      </c>
      <c r="BH2718" s="66"/>
    </row>
    <row r="2719" customFormat="false" ht="15" hidden="true" customHeight="false" outlineLevel="0" collapsed="false">
      <c r="AM2719" s="68" t="str">
        <f aca="false">IF(LEFT(AL2719,1)="9","Celular",IF(AL2719="","","Fixo"))</f>
        <v/>
      </c>
      <c r="BB2719" s="72" t="str">
        <f aca="false">IF(BA2719&lt;&gt;"",VLOOKUP(BA2719,Selects!$B$4:$C$100,2,0),"")</f>
        <v/>
      </c>
      <c r="BG2719" s="75" t="str">
        <f aca="false">IF(LEN(BF2719)=11,"PF",IF(LEN(BF2719)=14,"PJ",""))</f>
        <v/>
      </c>
      <c r="BH2719" s="66"/>
    </row>
    <row r="2720" customFormat="false" ht="15" hidden="true" customHeight="false" outlineLevel="0" collapsed="false">
      <c r="AM2720" s="68" t="str">
        <f aca="false">IF(LEFT(AL2720,1)="9","Celular",IF(AL2720="","","Fixo"))</f>
        <v/>
      </c>
      <c r="BB2720" s="72" t="str">
        <f aca="false">IF(BA2720&lt;&gt;"",VLOOKUP(BA2720,Selects!$B$4:$C$100,2,0),"")</f>
        <v/>
      </c>
      <c r="BG2720" s="75" t="str">
        <f aca="false">IF(LEN(BF2720)=11,"PF",IF(LEN(BF2720)=14,"PJ",""))</f>
        <v/>
      </c>
      <c r="BH2720" s="66"/>
    </row>
    <row r="2721" customFormat="false" ht="15" hidden="true" customHeight="false" outlineLevel="0" collapsed="false">
      <c r="AM2721" s="68" t="str">
        <f aca="false">IF(LEFT(AL2721,1)="9","Celular",IF(AL2721="","","Fixo"))</f>
        <v/>
      </c>
      <c r="BB2721" s="72" t="str">
        <f aca="false">IF(BA2721&lt;&gt;"",VLOOKUP(BA2721,Selects!$B$4:$C$100,2,0),"")</f>
        <v/>
      </c>
      <c r="BG2721" s="75" t="str">
        <f aca="false">IF(LEN(BF2721)=11,"PF",IF(LEN(BF2721)=14,"PJ",""))</f>
        <v/>
      </c>
      <c r="BH2721" s="66"/>
    </row>
    <row r="2722" customFormat="false" ht="15" hidden="true" customHeight="false" outlineLevel="0" collapsed="false">
      <c r="AM2722" s="68" t="str">
        <f aca="false">IF(LEFT(AL2722,1)="9","Celular",IF(AL2722="","","Fixo"))</f>
        <v/>
      </c>
      <c r="BB2722" s="72" t="str">
        <f aca="false">IF(BA2722&lt;&gt;"",VLOOKUP(BA2722,Selects!$B$4:$C$100,2,0),"")</f>
        <v/>
      </c>
      <c r="BG2722" s="75" t="str">
        <f aca="false">IF(LEN(BF2722)=11,"PF",IF(LEN(BF2722)=14,"PJ",""))</f>
        <v/>
      </c>
      <c r="BH2722" s="66"/>
    </row>
    <row r="2723" customFormat="false" ht="15" hidden="true" customHeight="false" outlineLevel="0" collapsed="false">
      <c r="AM2723" s="68" t="str">
        <f aca="false">IF(LEFT(AL2723,1)="9","Celular",IF(AL2723="","","Fixo"))</f>
        <v/>
      </c>
      <c r="BB2723" s="72" t="str">
        <f aca="false">IF(BA2723&lt;&gt;"",VLOOKUP(BA2723,Selects!$B$4:$C$100,2,0),"")</f>
        <v/>
      </c>
      <c r="BG2723" s="75" t="str">
        <f aca="false">IF(LEN(BF2723)=11,"PF",IF(LEN(BF2723)=14,"PJ",""))</f>
        <v/>
      </c>
      <c r="BH2723" s="66"/>
    </row>
    <row r="2724" customFormat="false" ht="15" hidden="true" customHeight="false" outlineLevel="0" collapsed="false">
      <c r="AM2724" s="68" t="str">
        <f aca="false">IF(LEFT(AL2724,1)="9","Celular",IF(AL2724="","","Fixo"))</f>
        <v/>
      </c>
      <c r="BB2724" s="72" t="str">
        <f aca="false">IF(BA2724&lt;&gt;"",VLOOKUP(BA2724,Selects!$B$4:$C$100,2,0),"")</f>
        <v/>
      </c>
      <c r="BG2724" s="75" t="str">
        <f aca="false">IF(LEN(BF2724)=11,"PF",IF(LEN(BF2724)=14,"PJ",""))</f>
        <v/>
      </c>
      <c r="BH2724" s="66"/>
    </row>
    <row r="2725" customFormat="false" ht="15" hidden="true" customHeight="false" outlineLevel="0" collapsed="false">
      <c r="AM2725" s="68" t="str">
        <f aca="false">IF(LEFT(AL2725,1)="9","Celular",IF(AL2725="","","Fixo"))</f>
        <v/>
      </c>
      <c r="BB2725" s="72" t="str">
        <f aca="false">IF(BA2725&lt;&gt;"",VLOOKUP(BA2725,Selects!$B$4:$C$100,2,0),"")</f>
        <v/>
      </c>
      <c r="BG2725" s="75" t="str">
        <f aca="false">IF(LEN(BF2725)=11,"PF",IF(LEN(BF2725)=14,"PJ",""))</f>
        <v/>
      </c>
      <c r="BH2725" s="66"/>
    </row>
    <row r="2726" customFormat="false" ht="15" hidden="true" customHeight="false" outlineLevel="0" collapsed="false">
      <c r="AM2726" s="68" t="str">
        <f aca="false">IF(LEFT(AL2726,1)="9","Celular",IF(AL2726="","","Fixo"))</f>
        <v/>
      </c>
      <c r="BB2726" s="72" t="str">
        <f aca="false">IF(BA2726&lt;&gt;"",VLOOKUP(BA2726,Selects!$B$4:$C$100,2,0),"")</f>
        <v/>
      </c>
      <c r="BG2726" s="75" t="str">
        <f aca="false">IF(LEN(BF2726)=11,"PF",IF(LEN(BF2726)=14,"PJ",""))</f>
        <v/>
      </c>
      <c r="BH2726" s="66"/>
    </row>
    <row r="2727" customFormat="false" ht="15" hidden="true" customHeight="false" outlineLevel="0" collapsed="false">
      <c r="AM2727" s="68" t="str">
        <f aca="false">IF(LEFT(AL2727,1)="9","Celular",IF(AL2727="","","Fixo"))</f>
        <v/>
      </c>
      <c r="BB2727" s="72" t="str">
        <f aca="false">IF(BA2727&lt;&gt;"",VLOOKUP(BA2727,Selects!$B$4:$C$100,2,0),"")</f>
        <v/>
      </c>
      <c r="BG2727" s="75" t="str">
        <f aca="false">IF(LEN(BF2727)=11,"PF",IF(LEN(BF2727)=14,"PJ",""))</f>
        <v/>
      </c>
      <c r="BH2727" s="66"/>
    </row>
    <row r="2728" customFormat="false" ht="15" hidden="true" customHeight="false" outlineLevel="0" collapsed="false">
      <c r="AM2728" s="68" t="str">
        <f aca="false">IF(LEFT(AL2728,1)="9","Celular",IF(AL2728="","","Fixo"))</f>
        <v/>
      </c>
      <c r="BB2728" s="72" t="str">
        <f aca="false">IF(BA2728&lt;&gt;"",VLOOKUP(BA2728,Selects!$B$4:$C$100,2,0),"")</f>
        <v/>
      </c>
      <c r="BG2728" s="75" t="str">
        <f aca="false">IF(LEN(BF2728)=11,"PF",IF(LEN(BF2728)=14,"PJ",""))</f>
        <v/>
      </c>
      <c r="BH2728" s="66"/>
    </row>
    <row r="2729" customFormat="false" ht="15" hidden="true" customHeight="false" outlineLevel="0" collapsed="false">
      <c r="AM2729" s="68" t="str">
        <f aca="false">IF(LEFT(AL2729,1)="9","Celular",IF(AL2729="","","Fixo"))</f>
        <v/>
      </c>
      <c r="BB2729" s="72" t="str">
        <f aca="false">IF(BA2729&lt;&gt;"",VLOOKUP(BA2729,Selects!$B$4:$C$100,2,0),"")</f>
        <v/>
      </c>
      <c r="BG2729" s="75" t="str">
        <f aca="false">IF(LEN(BF2729)=11,"PF",IF(LEN(BF2729)=14,"PJ",""))</f>
        <v/>
      </c>
      <c r="BH2729" s="66"/>
    </row>
    <row r="2730" customFormat="false" ht="15" hidden="true" customHeight="false" outlineLevel="0" collapsed="false">
      <c r="AM2730" s="68" t="str">
        <f aca="false">IF(LEFT(AL2730,1)="9","Celular",IF(AL2730="","","Fixo"))</f>
        <v/>
      </c>
      <c r="BB2730" s="72" t="str">
        <f aca="false">IF(BA2730&lt;&gt;"",VLOOKUP(BA2730,Selects!$B$4:$C$100,2,0),"")</f>
        <v/>
      </c>
      <c r="BG2730" s="75" t="str">
        <f aca="false">IF(LEN(BF2730)=11,"PF",IF(LEN(BF2730)=14,"PJ",""))</f>
        <v/>
      </c>
      <c r="BH2730" s="66"/>
    </row>
    <row r="2731" customFormat="false" ht="15" hidden="true" customHeight="false" outlineLevel="0" collapsed="false">
      <c r="AM2731" s="68" t="str">
        <f aca="false">IF(LEFT(AL2731,1)="9","Celular",IF(AL2731="","","Fixo"))</f>
        <v/>
      </c>
      <c r="BB2731" s="72" t="str">
        <f aca="false">IF(BA2731&lt;&gt;"",VLOOKUP(BA2731,Selects!$B$4:$C$100,2,0),"")</f>
        <v/>
      </c>
      <c r="BG2731" s="75" t="str">
        <f aca="false">IF(LEN(BF2731)=11,"PF",IF(LEN(BF2731)=14,"PJ",""))</f>
        <v/>
      </c>
      <c r="BH2731" s="66"/>
    </row>
    <row r="2732" customFormat="false" ht="15" hidden="true" customHeight="false" outlineLevel="0" collapsed="false">
      <c r="AM2732" s="68" t="str">
        <f aca="false">IF(LEFT(AL2732,1)="9","Celular",IF(AL2732="","","Fixo"))</f>
        <v/>
      </c>
      <c r="BB2732" s="72" t="str">
        <f aca="false">IF(BA2732&lt;&gt;"",VLOOKUP(BA2732,Selects!$B$4:$C$100,2,0),"")</f>
        <v/>
      </c>
      <c r="BG2732" s="75" t="str">
        <f aca="false">IF(LEN(BF2732)=11,"PF",IF(LEN(BF2732)=14,"PJ",""))</f>
        <v/>
      </c>
      <c r="BH2732" s="66"/>
    </row>
    <row r="2733" customFormat="false" ht="15" hidden="true" customHeight="false" outlineLevel="0" collapsed="false">
      <c r="AM2733" s="68" t="str">
        <f aca="false">IF(LEFT(AL2733,1)="9","Celular",IF(AL2733="","","Fixo"))</f>
        <v/>
      </c>
      <c r="BB2733" s="72" t="str">
        <f aca="false">IF(BA2733&lt;&gt;"",VLOOKUP(BA2733,Selects!$B$4:$C$100,2,0),"")</f>
        <v/>
      </c>
      <c r="BG2733" s="75" t="str">
        <f aca="false">IF(LEN(BF2733)=11,"PF",IF(LEN(BF2733)=14,"PJ",""))</f>
        <v/>
      </c>
      <c r="BH2733" s="66"/>
    </row>
    <row r="2734" customFormat="false" ht="15" hidden="true" customHeight="false" outlineLevel="0" collapsed="false">
      <c r="AM2734" s="68" t="str">
        <f aca="false">IF(LEFT(AL2734,1)="9","Celular",IF(AL2734="","","Fixo"))</f>
        <v/>
      </c>
      <c r="BB2734" s="72" t="str">
        <f aca="false">IF(BA2734&lt;&gt;"",VLOOKUP(BA2734,Selects!$B$4:$C$100,2,0),"")</f>
        <v/>
      </c>
      <c r="BG2734" s="75" t="str">
        <f aca="false">IF(LEN(BF2734)=11,"PF",IF(LEN(BF2734)=14,"PJ",""))</f>
        <v/>
      </c>
      <c r="BH2734" s="66"/>
    </row>
    <row r="2735" customFormat="false" ht="15" hidden="true" customHeight="false" outlineLevel="0" collapsed="false">
      <c r="AM2735" s="68" t="str">
        <f aca="false">IF(LEFT(AL2735,1)="9","Celular",IF(AL2735="","","Fixo"))</f>
        <v/>
      </c>
      <c r="BB2735" s="72" t="str">
        <f aca="false">IF(BA2735&lt;&gt;"",VLOOKUP(BA2735,Selects!$B$4:$C$100,2,0),"")</f>
        <v/>
      </c>
      <c r="BG2735" s="75" t="str">
        <f aca="false">IF(LEN(BF2735)=11,"PF",IF(LEN(BF2735)=14,"PJ",""))</f>
        <v/>
      </c>
      <c r="BH2735" s="66"/>
    </row>
    <row r="2736" customFormat="false" ht="15" hidden="true" customHeight="false" outlineLevel="0" collapsed="false">
      <c r="AM2736" s="68" t="str">
        <f aca="false">IF(LEFT(AL2736,1)="9","Celular",IF(AL2736="","","Fixo"))</f>
        <v/>
      </c>
      <c r="BB2736" s="72" t="str">
        <f aca="false">IF(BA2736&lt;&gt;"",VLOOKUP(BA2736,Selects!$B$4:$C$100,2,0),"")</f>
        <v/>
      </c>
      <c r="BG2736" s="75" t="str">
        <f aca="false">IF(LEN(BF2736)=11,"PF",IF(LEN(BF2736)=14,"PJ",""))</f>
        <v/>
      </c>
      <c r="BH2736" s="66"/>
    </row>
    <row r="2737" customFormat="false" ht="15" hidden="true" customHeight="false" outlineLevel="0" collapsed="false">
      <c r="AM2737" s="68" t="str">
        <f aca="false">IF(LEFT(AL2737,1)="9","Celular",IF(AL2737="","","Fixo"))</f>
        <v/>
      </c>
      <c r="BB2737" s="72" t="str">
        <f aca="false">IF(BA2737&lt;&gt;"",VLOOKUP(BA2737,Selects!$B$4:$C$100,2,0),"")</f>
        <v/>
      </c>
      <c r="BG2737" s="75" t="str">
        <f aca="false">IF(LEN(BF2737)=11,"PF",IF(LEN(BF2737)=14,"PJ",""))</f>
        <v/>
      </c>
      <c r="BH2737" s="66"/>
    </row>
    <row r="2738" customFormat="false" ht="15" hidden="true" customHeight="false" outlineLevel="0" collapsed="false">
      <c r="AM2738" s="68" t="str">
        <f aca="false">IF(LEFT(AL2738,1)="9","Celular",IF(AL2738="","","Fixo"))</f>
        <v/>
      </c>
      <c r="BB2738" s="72" t="str">
        <f aca="false">IF(BA2738&lt;&gt;"",VLOOKUP(BA2738,Selects!$B$4:$C$100,2,0),"")</f>
        <v/>
      </c>
      <c r="BG2738" s="75" t="str">
        <f aca="false">IF(LEN(BF2738)=11,"PF",IF(LEN(BF2738)=14,"PJ",""))</f>
        <v/>
      </c>
      <c r="BH2738" s="66"/>
    </row>
    <row r="2739" customFormat="false" ht="15" hidden="true" customHeight="false" outlineLevel="0" collapsed="false">
      <c r="AM2739" s="68" t="str">
        <f aca="false">IF(LEFT(AL2739,1)="9","Celular",IF(AL2739="","","Fixo"))</f>
        <v/>
      </c>
      <c r="BB2739" s="72" t="str">
        <f aca="false">IF(BA2739&lt;&gt;"",VLOOKUP(BA2739,Selects!$B$4:$C$100,2,0),"")</f>
        <v/>
      </c>
      <c r="BG2739" s="75" t="str">
        <f aca="false">IF(LEN(BF2739)=11,"PF",IF(LEN(BF2739)=14,"PJ",""))</f>
        <v/>
      </c>
      <c r="BH2739" s="66"/>
    </row>
    <row r="2740" customFormat="false" ht="15" hidden="true" customHeight="false" outlineLevel="0" collapsed="false">
      <c r="AM2740" s="68" t="str">
        <f aca="false">IF(LEFT(AL2740,1)="9","Celular",IF(AL2740="","","Fixo"))</f>
        <v/>
      </c>
      <c r="BB2740" s="72" t="str">
        <f aca="false">IF(BA2740&lt;&gt;"",VLOOKUP(BA2740,Selects!$B$4:$C$100,2,0),"")</f>
        <v/>
      </c>
      <c r="BG2740" s="75" t="str">
        <f aca="false">IF(LEN(BF2740)=11,"PF",IF(LEN(BF2740)=14,"PJ",""))</f>
        <v/>
      </c>
      <c r="BH2740" s="66"/>
    </row>
    <row r="2741" customFormat="false" ht="15" hidden="true" customHeight="false" outlineLevel="0" collapsed="false">
      <c r="AM2741" s="68" t="str">
        <f aca="false">IF(LEFT(AL2741,1)="9","Celular",IF(AL2741="","","Fixo"))</f>
        <v/>
      </c>
      <c r="BB2741" s="72" t="str">
        <f aca="false">IF(BA2741&lt;&gt;"",VLOOKUP(BA2741,Selects!$B$4:$C$100,2,0),"")</f>
        <v/>
      </c>
      <c r="BG2741" s="75" t="str">
        <f aca="false">IF(LEN(BF2741)=11,"PF",IF(LEN(BF2741)=14,"PJ",""))</f>
        <v/>
      </c>
      <c r="BH2741" s="66"/>
    </row>
    <row r="2742" customFormat="false" ht="15" hidden="true" customHeight="false" outlineLevel="0" collapsed="false">
      <c r="AM2742" s="68" t="str">
        <f aca="false">IF(LEFT(AL2742,1)="9","Celular",IF(AL2742="","","Fixo"))</f>
        <v/>
      </c>
      <c r="BB2742" s="72" t="str">
        <f aca="false">IF(BA2742&lt;&gt;"",VLOOKUP(BA2742,Selects!$B$4:$C$100,2,0),"")</f>
        <v/>
      </c>
      <c r="BG2742" s="75" t="str">
        <f aca="false">IF(LEN(BF2742)=11,"PF",IF(LEN(BF2742)=14,"PJ",""))</f>
        <v/>
      </c>
      <c r="BH2742" s="66"/>
    </row>
    <row r="2743" customFormat="false" ht="15" hidden="true" customHeight="false" outlineLevel="0" collapsed="false">
      <c r="AM2743" s="68" t="str">
        <f aca="false">IF(LEFT(AL2743,1)="9","Celular",IF(AL2743="","","Fixo"))</f>
        <v/>
      </c>
      <c r="BB2743" s="72" t="str">
        <f aca="false">IF(BA2743&lt;&gt;"",VLOOKUP(BA2743,Selects!$B$4:$C$100,2,0),"")</f>
        <v/>
      </c>
      <c r="BG2743" s="75" t="str">
        <f aca="false">IF(LEN(BF2743)=11,"PF",IF(LEN(BF2743)=14,"PJ",""))</f>
        <v/>
      </c>
      <c r="BH2743" s="66"/>
    </row>
    <row r="2744" customFormat="false" ht="15" hidden="true" customHeight="false" outlineLevel="0" collapsed="false">
      <c r="AM2744" s="68" t="str">
        <f aca="false">IF(LEFT(AL2744,1)="9","Celular",IF(AL2744="","","Fixo"))</f>
        <v/>
      </c>
      <c r="BB2744" s="72" t="str">
        <f aca="false">IF(BA2744&lt;&gt;"",VLOOKUP(BA2744,Selects!$B$4:$C$100,2,0),"")</f>
        <v/>
      </c>
      <c r="BG2744" s="75" t="str">
        <f aca="false">IF(LEN(BF2744)=11,"PF",IF(LEN(BF2744)=14,"PJ",""))</f>
        <v/>
      </c>
      <c r="BH2744" s="66"/>
    </row>
    <row r="2745" customFormat="false" ht="15" hidden="true" customHeight="false" outlineLevel="0" collapsed="false">
      <c r="AM2745" s="68" t="str">
        <f aca="false">IF(LEFT(AL2745,1)="9","Celular",IF(AL2745="","","Fixo"))</f>
        <v/>
      </c>
      <c r="BB2745" s="72" t="str">
        <f aca="false">IF(BA2745&lt;&gt;"",VLOOKUP(BA2745,Selects!$B$4:$C$100,2,0),"")</f>
        <v/>
      </c>
      <c r="BG2745" s="75" t="str">
        <f aca="false">IF(LEN(BF2745)=11,"PF",IF(LEN(BF2745)=14,"PJ",""))</f>
        <v/>
      </c>
      <c r="BH2745" s="66"/>
    </row>
    <row r="2746" customFormat="false" ht="15" hidden="true" customHeight="false" outlineLevel="0" collapsed="false">
      <c r="AM2746" s="68" t="str">
        <f aca="false">IF(LEFT(AL2746,1)="9","Celular",IF(AL2746="","","Fixo"))</f>
        <v/>
      </c>
      <c r="BB2746" s="72" t="str">
        <f aca="false">IF(BA2746&lt;&gt;"",VLOOKUP(BA2746,Selects!$B$4:$C$100,2,0),"")</f>
        <v/>
      </c>
      <c r="BG2746" s="75" t="str">
        <f aca="false">IF(LEN(BF2746)=11,"PF",IF(LEN(BF2746)=14,"PJ",""))</f>
        <v/>
      </c>
      <c r="BH2746" s="66"/>
    </row>
    <row r="2747" customFormat="false" ht="15" hidden="true" customHeight="false" outlineLevel="0" collapsed="false">
      <c r="AM2747" s="68" t="str">
        <f aca="false">IF(LEFT(AL2747,1)="9","Celular",IF(AL2747="","","Fixo"))</f>
        <v/>
      </c>
      <c r="BB2747" s="72" t="str">
        <f aca="false">IF(BA2747&lt;&gt;"",VLOOKUP(BA2747,Selects!$B$4:$C$100,2,0),"")</f>
        <v/>
      </c>
      <c r="BG2747" s="75" t="str">
        <f aca="false">IF(LEN(BF2747)=11,"PF",IF(LEN(BF2747)=14,"PJ",""))</f>
        <v/>
      </c>
      <c r="BH2747" s="66"/>
    </row>
    <row r="2748" customFormat="false" ht="15" hidden="true" customHeight="false" outlineLevel="0" collapsed="false">
      <c r="AM2748" s="68" t="str">
        <f aca="false">IF(LEFT(AL2748,1)="9","Celular",IF(AL2748="","","Fixo"))</f>
        <v/>
      </c>
      <c r="BB2748" s="72" t="str">
        <f aca="false">IF(BA2748&lt;&gt;"",VLOOKUP(BA2748,Selects!$B$4:$C$100,2,0),"")</f>
        <v/>
      </c>
      <c r="BG2748" s="75" t="str">
        <f aca="false">IF(LEN(BF2748)=11,"PF",IF(LEN(BF2748)=14,"PJ",""))</f>
        <v/>
      </c>
      <c r="BH2748" s="66"/>
    </row>
    <row r="2749" customFormat="false" ht="15" hidden="true" customHeight="false" outlineLevel="0" collapsed="false">
      <c r="AM2749" s="68" t="str">
        <f aca="false">IF(LEFT(AL2749,1)="9","Celular",IF(AL2749="","","Fixo"))</f>
        <v/>
      </c>
      <c r="BB2749" s="72" t="str">
        <f aca="false">IF(BA2749&lt;&gt;"",VLOOKUP(BA2749,Selects!$B$4:$C$100,2,0),"")</f>
        <v/>
      </c>
      <c r="BG2749" s="75" t="str">
        <f aca="false">IF(LEN(BF2749)=11,"PF",IF(LEN(BF2749)=14,"PJ",""))</f>
        <v/>
      </c>
      <c r="BH2749" s="66"/>
    </row>
    <row r="2750" customFormat="false" ht="15" hidden="true" customHeight="false" outlineLevel="0" collapsed="false">
      <c r="AM2750" s="68" t="str">
        <f aca="false">IF(LEFT(AL2750,1)="9","Celular",IF(AL2750="","","Fixo"))</f>
        <v/>
      </c>
      <c r="BB2750" s="72" t="str">
        <f aca="false">IF(BA2750&lt;&gt;"",VLOOKUP(BA2750,Selects!$B$4:$C$100,2,0),"")</f>
        <v/>
      </c>
      <c r="BG2750" s="75" t="str">
        <f aca="false">IF(LEN(BF2750)=11,"PF",IF(LEN(BF2750)=14,"PJ",""))</f>
        <v/>
      </c>
      <c r="BH2750" s="66"/>
    </row>
    <row r="2751" customFormat="false" ht="15" hidden="true" customHeight="false" outlineLevel="0" collapsed="false">
      <c r="AM2751" s="68" t="str">
        <f aca="false">IF(LEFT(AL2751,1)="9","Celular",IF(AL2751="","","Fixo"))</f>
        <v/>
      </c>
      <c r="BB2751" s="72" t="str">
        <f aca="false">IF(BA2751&lt;&gt;"",VLOOKUP(BA2751,Selects!$B$4:$C$100,2,0),"")</f>
        <v/>
      </c>
      <c r="BG2751" s="75" t="str">
        <f aca="false">IF(LEN(BF2751)=11,"PF",IF(LEN(BF2751)=14,"PJ",""))</f>
        <v/>
      </c>
      <c r="BH2751" s="66"/>
    </row>
    <row r="2752" customFormat="false" ht="15" hidden="true" customHeight="false" outlineLevel="0" collapsed="false">
      <c r="AM2752" s="68" t="str">
        <f aca="false">IF(LEFT(AL2752,1)="9","Celular",IF(AL2752="","","Fixo"))</f>
        <v/>
      </c>
      <c r="BB2752" s="72" t="str">
        <f aca="false">IF(BA2752&lt;&gt;"",VLOOKUP(BA2752,Selects!$B$4:$C$100,2,0),"")</f>
        <v/>
      </c>
      <c r="BG2752" s="75" t="str">
        <f aca="false">IF(LEN(BF2752)=11,"PF",IF(LEN(BF2752)=14,"PJ",""))</f>
        <v/>
      </c>
      <c r="BH2752" s="66"/>
    </row>
    <row r="2753" customFormat="false" ht="15" hidden="true" customHeight="false" outlineLevel="0" collapsed="false">
      <c r="AM2753" s="68" t="str">
        <f aca="false">IF(LEFT(AL2753,1)="9","Celular",IF(AL2753="","","Fixo"))</f>
        <v/>
      </c>
      <c r="BB2753" s="72" t="str">
        <f aca="false">IF(BA2753&lt;&gt;"",VLOOKUP(BA2753,Selects!$B$4:$C$100,2,0),"")</f>
        <v/>
      </c>
      <c r="BG2753" s="75" t="str">
        <f aca="false">IF(LEN(BF2753)=11,"PF",IF(LEN(BF2753)=14,"PJ",""))</f>
        <v/>
      </c>
      <c r="BH2753" s="66"/>
    </row>
    <row r="2754" customFormat="false" ht="15" hidden="true" customHeight="false" outlineLevel="0" collapsed="false">
      <c r="AM2754" s="68" t="str">
        <f aca="false">IF(LEFT(AL2754,1)="9","Celular",IF(AL2754="","","Fixo"))</f>
        <v/>
      </c>
      <c r="BB2754" s="72" t="str">
        <f aca="false">IF(BA2754&lt;&gt;"",VLOOKUP(BA2754,Selects!$B$4:$C$100,2,0),"")</f>
        <v/>
      </c>
      <c r="BG2754" s="75" t="str">
        <f aca="false">IF(LEN(BF2754)=11,"PF",IF(LEN(BF2754)=14,"PJ",""))</f>
        <v/>
      </c>
      <c r="BH2754" s="66"/>
    </row>
    <row r="2755" customFormat="false" ht="15" hidden="true" customHeight="false" outlineLevel="0" collapsed="false">
      <c r="AM2755" s="68" t="str">
        <f aca="false">IF(LEFT(AL2755,1)="9","Celular",IF(AL2755="","","Fixo"))</f>
        <v/>
      </c>
      <c r="BB2755" s="72" t="str">
        <f aca="false">IF(BA2755&lt;&gt;"",VLOOKUP(BA2755,Selects!$B$4:$C$100,2,0),"")</f>
        <v/>
      </c>
      <c r="BG2755" s="75" t="str">
        <f aca="false">IF(LEN(BF2755)=11,"PF",IF(LEN(BF2755)=14,"PJ",""))</f>
        <v/>
      </c>
      <c r="BH2755" s="66"/>
    </row>
    <row r="2756" customFormat="false" ht="15" hidden="true" customHeight="false" outlineLevel="0" collapsed="false">
      <c r="AM2756" s="68" t="str">
        <f aca="false">IF(LEFT(AL2756,1)="9","Celular",IF(AL2756="","","Fixo"))</f>
        <v/>
      </c>
      <c r="BB2756" s="72" t="str">
        <f aca="false">IF(BA2756&lt;&gt;"",VLOOKUP(BA2756,Selects!$B$4:$C$100,2,0),"")</f>
        <v/>
      </c>
      <c r="BG2756" s="75" t="str">
        <f aca="false">IF(LEN(BF2756)=11,"PF",IF(LEN(BF2756)=14,"PJ",""))</f>
        <v/>
      </c>
      <c r="BH2756" s="66"/>
    </row>
    <row r="2757" customFormat="false" ht="15" hidden="true" customHeight="false" outlineLevel="0" collapsed="false">
      <c r="AM2757" s="68" t="str">
        <f aca="false">IF(LEFT(AL2757,1)="9","Celular",IF(AL2757="","","Fixo"))</f>
        <v/>
      </c>
      <c r="BB2757" s="72" t="str">
        <f aca="false">IF(BA2757&lt;&gt;"",VLOOKUP(BA2757,Selects!$B$4:$C$100,2,0),"")</f>
        <v/>
      </c>
      <c r="BG2757" s="75" t="str">
        <f aca="false">IF(LEN(BF2757)=11,"PF",IF(LEN(BF2757)=14,"PJ",""))</f>
        <v/>
      </c>
      <c r="BH2757" s="66"/>
    </row>
    <row r="2758" customFormat="false" ht="15" hidden="true" customHeight="false" outlineLevel="0" collapsed="false">
      <c r="AM2758" s="68" t="str">
        <f aca="false">IF(LEFT(AL2758,1)="9","Celular",IF(AL2758="","","Fixo"))</f>
        <v/>
      </c>
      <c r="BB2758" s="72" t="str">
        <f aca="false">IF(BA2758&lt;&gt;"",VLOOKUP(BA2758,Selects!$B$4:$C$100,2,0),"")</f>
        <v/>
      </c>
      <c r="BG2758" s="75" t="str">
        <f aca="false">IF(LEN(BF2758)=11,"PF",IF(LEN(BF2758)=14,"PJ",""))</f>
        <v/>
      </c>
      <c r="BH2758" s="66"/>
    </row>
    <row r="2759" customFormat="false" ht="15" hidden="true" customHeight="false" outlineLevel="0" collapsed="false">
      <c r="AM2759" s="68" t="str">
        <f aca="false">IF(LEFT(AL2759,1)="9","Celular",IF(AL2759="","","Fixo"))</f>
        <v/>
      </c>
      <c r="BB2759" s="72" t="str">
        <f aca="false">IF(BA2759&lt;&gt;"",VLOOKUP(BA2759,Selects!$B$4:$C$100,2,0),"")</f>
        <v/>
      </c>
      <c r="BG2759" s="75" t="str">
        <f aca="false">IF(LEN(BF2759)=11,"PF",IF(LEN(BF2759)=14,"PJ",""))</f>
        <v/>
      </c>
      <c r="BH2759" s="66"/>
    </row>
    <row r="2760" customFormat="false" ht="15" hidden="true" customHeight="false" outlineLevel="0" collapsed="false">
      <c r="AM2760" s="68" t="str">
        <f aca="false">IF(LEFT(AL2760,1)="9","Celular",IF(AL2760="","","Fixo"))</f>
        <v/>
      </c>
      <c r="BB2760" s="72" t="str">
        <f aca="false">IF(BA2760&lt;&gt;"",VLOOKUP(BA2760,Selects!$B$4:$C$100,2,0),"")</f>
        <v/>
      </c>
      <c r="BG2760" s="75" t="str">
        <f aca="false">IF(LEN(BF2760)=11,"PF",IF(LEN(BF2760)=14,"PJ",""))</f>
        <v/>
      </c>
      <c r="BH2760" s="66"/>
    </row>
    <row r="2761" customFormat="false" ht="15" hidden="true" customHeight="false" outlineLevel="0" collapsed="false">
      <c r="AM2761" s="68" t="str">
        <f aca="false">IF(LEFT(AL2761,1)="9","Celular",IF(AL2761="","","Fixo"))</f>
        <v/>
      </c>
      <c r="BB2761" s="72" t="str">
        <f aca="false">IF(BA2761&lt;&gt;"",VLOOKUP(BA2761,Selects!$B$4:$C$100,2,0),"")</f>
        <v/>
      </c>
      <c r="BG2761" s="75" t="str">
        <f aca="false">IF(LEN(BF2761)=11,"PF",IF(LEN(BF2761)=14,"PJ",""))</f>
        <v/>
      </c>
      <c r="BH2761" s="66"/>
    </row>
    <row r="2762" customFormat="false" ht="15" hidden="true" customHeight="false" outlineLevel="0" collapsed="false">
      <c r="AM2762" s="68" t="str">
        <f aca="false">IF(LEFT(AL2762,1)="9","Celular",IF(AL2762="","","Fixo"))</f>
        <v/>
      </c>
      <c r="BB2762" s="72" t="str">
        <f aca="false">IF(BA2762&lt;&gt;"",VLOOKUP(BA2762,Selects!$B$4:$C$100,2,0),"")</f>
        <v/>
      </c>
      <c r="BG2762" s="75" t="str">
        <f aca="false">IF(LEN(BF2762)=11,"PF",IF(LEN(BF2762)=14,"PJ",""))</f>
        <v/>
      </c>
      <c r="BH2762" s="66"/>
    </row>
    <row r="2763" customFormat="false" ht="15" hidden="true" customHeight="false" outlineLevel="0" collapsed="false">
      <c r="AM2763" s="68" t="str">
        <f aca="false">IF(LEFT(AL2763,1)="9","Celular",IF(AL2763="","","Fixo"))</f>
        <v/>
      </c>
      <c r="BB2763" s="72" t="str">
        <f aca="false">IF(BA2763&lt;&gt;"",VLOOKUP(BA2763,Selects!$B$4:$C$100,2,0),"")</f>
        <v/>
      </c>
      <c r="BG2763" s="75" t="str">
        <f aca="false">IF(LEN(BF2763)=11,"PF",IF(LEN(BF2763)=14,"PJ",""))</f>
        <v/>
      </c>
      <c r="BH2763" s="66"/>
    </row>
    <row r="2764" customFormat="false" ht="15" hidden="true" customHeight="false" outlineLevel="0" collapsed="false">
      <c r="AM2764" s="68" t="str">
        <f aca="false">IF(LEFT(AL2764,1)="9","Celular",IF(AL2764="","","Fixo"))</f>
        <v/>
      </c>
      <c r="BB2764" s="72" t="str">
        <f aca="false">IF(BA2764&lt;&gt;"",VLOOKUP(BA2764,Selects!$B$4:$C$100,2,0),"")</f>
        <v/>
      </c>
      <c r="BG2764" s="75" t="str">
        <f aca="false">IF(LEN(BF2764)=11,"PF",IF(LEN(BF2764)=14,"PJ",""))</f>
        <v/>
      </c>
      <c r="BH2764" s="66"/>
    </row>
    <row r="2765" customFormat="false" ht="15" hidden="true" customHeight="false" outlineLevel="0" collapsed="false">
      <c r="AM2765" s="68" t="str">
        <f aca="false">IF(LEFT(AL2765,1)="9","Celular",IF(AL2765="","","Fixo"))</f>
        <v/>
      </c>
      <c r="BB2765" s="72" t="str">
        <f aca="false">IF(BA2765&lt;&gt;"",VLOOKUP(BA2765,Selects!$B$4:$C$100,2,0),"")</f>
        <v/>
      </c>
      <c r="BG2765" s="75" t="str">
        <f aca="false">IF(LEN(BF2765)=11,"PF",IF(LEN(BF2765)=14,"PJ",""))</f>
        <v/>
      </c>
      <c r="BH2765" s="66"/>
    </row>
    <row r="2766" customFormat="false" ht="15" hidden="true" customHeight="false" outlineLevel="0" collapsed="false">
      <c r="AM2766" s="68" t="str">
        <f aca="false">IF(LEFT(AL2766,1)="9","Celular",IF(AL2766="","","Fixo"))</f>
        <v/>
      </c>
      <c r="BB2766" s="72" t="str">
        <f aca="false">IF(BA2766&lt;&gt;"",VLOOKUP(BA2766,Selects!$B$4:$C$100,2,0),"")</f>
        <v/>
      </c>
      <c r="BG2766" s="75" t="str">
        <f aca="false">IF(LEN(BF2766)=11,"PF",IF(LEN(BF2766)=14,"PJ",""))</f>
        <v/>
      </c>
      <c r="BH2766" s="66"/>
    </row>
    <row r="2767" customFormat="false" ht="15" hidden="true" customHeight="false" outlineLevel="0" collapsed="false">
      <c r="AM2767" s="68" t="str">
        <f aca="false">IF(LEFT(AL2767,1)="9","Celular",IF(AL2767="","","Fixo"))</f>
        <v/>
      </c>
      <c r="BB2767" s="72" t="str">
        <f aca="false">IF(BA2767&lt;&gt;"",VLOOKUP(BA2767,Selects!$B$4:$C$100,2,0),"")</f>
        <v/>
      </c>
      <c r="BG2767" s="75" t="str">
        <f aca="false">IF(LEN(BF2767)=11,"PF",IF(LEN(BF2767)=14,"PJ",""))</f>
        <v/>
      </c>
      <c r="BH2767" s="66"/>
    </row>
    <row r="2768" customFormat="false" ht="15" hidden="true" customHeight="false" outlineLevel="0" collapsed="false">
      <c r="AM2768" s="68" t="str">
        <f aca="false">IF(LEFT(AL2768,1)="9","Celular",IF(AL2768="","","Fixo"))</f>
        <v/>
      </c>
      <c r="BB2768" s="72" t="str">
        <f aca="false">IF(BA2768&lt;&gt;"",VLOOKUP(BA2768,Selects!$B$4:$C$100,2,0),"")</f>
        <v/>
      </c>
      <c r="BG2768" s="75" t="str">
        <f aca="false">IF(LEN(BF2768)=11,"PF",IF(LEN(BF2768)=14,"PJ",""))</f>
        <v/>
      </c>
      <c r="BH2768" s="66"/>
    </row>
    <row r="2769" customFormat="false" ht="15" hidden="true" customHeight="false" outlineLevel="0" collapsed="false">
      <c r="AM2769" s="68" t="str">
        <f aca="false">IF(LEFT(AL2769,1)="9","Celular",IF(AL2769="","","Fixo"))</f>
        <v/>
      </c>
      <c r="BB2769" s="72" t="str">
        <f aca="false">IF(BA2769&lt;&gt;"",VLOOKUP(BA2769,Selects!$B$4:$C$100,2,0),"")</f>
        <v/>
      </c>
      <c r="BG2769" s="75" t="str">
        <f aca="false">IF(LEN(BF2769)=11,"PF",IF(LEN(BF2769)=14,"PJ",""))</f>
        <v/>
      </c>
      <c r="BH2769" s="66"/>
    </row>
    <row r="2770" customFormat="false" ht="15" hidden="true" customHeight="false" outlineLevel="0" collapsed="false">
      <c r="AM2770" s="68" t="str">
        <f aca="false">IF(LEFT(AL2770,1)="9","Celular",IF(AL2770="","","Fixo"))</f>
        <v/>
      </c>
      <c r="BB2770" s="72" t="str">
        <f aca="false">IF(BA2770&lt;&gt;"",VLOOKUP(BA2770,Selects!$B$4:$C$100,2,0),"")</f>
        <v/>
      </c>
      <c r="BG2770" s="75" t="str">
        <f aca="false">IF(LEN(BF2770)=11,"PF",IF(LEN(BF2770)=14,"PJ",""))</f>
        <v/>
      </c>
      <c r="BH2770" s="66"/>
    </row>
    <row r="2771" customFormat="false" ht="15" hidden="true" customHeight="false" outlineLevel="0" collapsed="false">
      <c r="AM2771" s="68" t="str">
        <f aca="false">IF(LEFT(AL2771,1)="9","Celular",IF(AL2771="","","Fixo"))</f>
        <v/>
      </c>
      <c r="BB2771" s="72" t="str">
        <f aca="false">IF(BA2771&lt;&gt;"",VLOOKUP(BA2771,Selects!$B$4:$C$100,2,0),"")</f>
        <v/>
      </c>
      <c r="BG2771" s="75" t="str">
        <f aca="false">IF(LEN(BF2771)=11,"PF",IF(LEN(BF2771)=14,"PJ",""))</f>
        <v/>
      </c>
      <c r="BH2771" s="66"/>
    </row>
    <row r="2772" customFormat="false" ht="15" hidden="true" customHeight="false" outlineLevel="0" collapsed="false">
      <c r="AM2772" s="68" t="str">
        <f aca="false">IF(LEFT(AL2772,1)="9","Celular",IF(AL2772="","","Fixo"))</f>
        <v/>
      </c>
      <c r="BB2772" s="72" t="str">
        <f aca="false">IF(BA2772&lt;&gt;"",VLOOKUP(BA2772,Selects!$B$4:$C$100,2,0),"")</f>
        <v/>
      </c>
      <c r="BG2772" s="75" t="str">
        <f aca="false">IF(LEN(BF2772)=11,"PF",IF(LEN(BF2772)=14,"PJ",""))</f>
        <v/>
      </c>
      <c r="BH2772" s="66"/>
    </row>
    <row r="2773" customFormat="false" ht="15" hidden="true" customHeight="false" outlineLevel="0" collapsed="false">
      <c r="AM2773" s="68" t="str">
        <f aca="false">IF(LEFT(AL2773,1)="9","Celular",IF(AL2773="","","Fixo"))</f>
        <v/>
      </c>
      <c r="BB2773" s="72" t="str">
        <f aca="false">IF(BA2773&lt;&gt;"",VLOOKUP(BA2773,Selects!$B$4:$C$100,2,0),"")</f>
        <v/>
      </c>
      <c r="BG2773" s="75" t="str">
        <f aca="false">IF(LEN(BF2773)=11,"PF",IF(LEN(BF2773)=14,"PJ",""))</f>
        <v/>
      </c>
      <c r="BH2773" s="66"/>
    </row>
    <row r="2774" customFormat="false" ht="15" hidden="true" customHeight="false" outlineLevel="0" collapsed="false">
      <c r="AM2774" s="68" t="str">
        <f aca="false">IF(LEFT(AL2774,1)="9","Celular",IF(AL2774="","","Fixo"))</f>
        <v/>
      </c>
      <c r="BB2774" s="72" t="str">
        <f aca="false">IF(BA2774&lt;&gt;"",VLOOKUP(BA2774,Selects!$B$4:$C$100,2,0),"")</f>
        <v/>
      </c>
      <c r="BG2774" s="75" t="str">
        <f aca="false">IF(LEN(BF2774)=11,"PF",IF(LEN(BF2774)=14,"PJ",""))</f>
        <v/>
      </c>
      <c r="BH2774" s="66"/>
    </row>
    <row r="2775" customFormat="false" ht="15" hidden="true" customHeight="false" outlineLevel="0" collapsed="false">
      <c r="AM2775" s="68" t="str">
        <f aca="false">IF(LEFT(AL2775,1)="9","Celular",IF(AL2775="","","Fixo"))</f>
        <v/>
      </c>
      <c r="BB2775" s="72" t="str">
        <f aca="false">IF(BA2775&lt;&gt;"",VLOOKUP(BA2775,Selects!$B$4:$C$100,2,0),"")</f>
        <v/>
      </c>
      <c r="BG2775" s="75" t="str">
        <f aca="false">IF(LEN(BF2775)=11,"PF",IF(LEN(BF2775)=14,"PJ",""))</f>
        <v/>
      </c>
      <c r="BH2775" s="66"/>
    </row>
    <row r="2776" customFormat="false" ht="15" hidden="true" customHeight="false" outlineLevel="0" collapsed="false">
      <c r="AM2776" s="68" t="str">
        <f aca="false">IF(LEFT(AL2776,1)="9","Celular",IF(AL2776="","","Fixo"))</f>
        <v/>
      </c>
      <c r="BB2776" s="72" t="str">
        <f aca="false">IF(BA2776&lt;&gt;"",VLOOKUP(BA2776,Selects!$B$4:$C$100,2,0),"")</f>
        <v/>
      </c>
      <c r="BG2776" s="75" t="str">
        <f aca="false">IF(LEN(BF2776)=11,"PF",IF(LEN(BF2776)=14,"PJ",""))</f>
        <v/>
      </c>
      <c r="BH2776" s="66"/>
    </row>
    <row r="2777" customFormat="false" ht="15" hidden="true" customHeight="false" outlineLevel="0" collapsed="false">
      <c r="AM2777" s="68" t="str">
        <f aca="false">IF(LEFT(AL2777,1)="9","Celular",IF(AL2777="","","Fixo"))</f>
        <v/>
      </c>
      <c r="BB2777" s="72" t="str">
        <f aca="false">IF(BA2777&lt;&gt;"",VLOOKUP(BA2777,Selects!$B$4:$C$100,2,0),"")</f>
        <v/>
      </c>
      <c r="BG2777" s="75" t="str">
        <f aca="false">IF(LEN(BF2777)=11,"PF",IF(LEN(BF2777)=14,"PJ",""))</f>
        <v/>
      </c>
      <c r="BH2777" s="66"/>
    </row>
    <row r="2778" customFormat="false" ht="15" hidden="true" customHeight="false" outlineLevel="0" collapsed="false">
      <c r="AM2778" s="68" t="str">
        <f aca="false">IF(LEFT(AL2778,1)="9","Celular",IF(AL2778="","","Fixo"))</f>
        <v/>
      </c>
      <c r="BB2778" s="72" t="str">
        <f aca="false">IF(BA2778&lt;&gt;"",VLOOKUP(BA2778,Selects!$B$4:$C$100,2,0),"")</f>
        <v/>
      </c>
      <c r="BG2778" s="75" t="str">
        <f aca="false">IF(LEN(BF2778)=11,"PF",IF(LEN(BF2778)=14,"PJ",""))</f>
        <v/>
      </c>
      <c r="BH2778" s="66"/>
    </row>
    <row r="2779" customFormat="false" ht="15" hidden="true" customHeight="false" outlineLevel="0" collapsed="false">
      <c r="AM2779" s="68" t="str">
        <f aca="false">IF(LEFT(AL2779,1)="9","Celular",IF(AL2779="","","Fixo"))</f>
        <v/>
      </c>
      <c r="BB2779" s="72" t="str">
        <f aca="false">IF(BA2779&lt;&gt;"",VLOOKUP(BA2779,Selects!$B$4:$C$100,2,0),"")</f>
        <v/>
      </c>
      <c r="BG2779" s="75" t="str">
        <f aca="false">IF(LEN(BF2779)=11,"PF",IF(LEN(BF2779)=14,"PJ",""))</f>
        <v/>
      </c>
      <c r="BH2779" s="66"/>
    </row>
    <row r="2780" customFormat="false" ht="15" hidden="true" customHeight="false" outlineLevel="0" collapsed="false">
      <c r="AM2780" s="68" t="str">
        <f aca="false">IF(LEFT(AL2780,1)="9","Celular",IF(AL2780="","","Fixo"))</f>
        <v/>
      </c>
      <c r="BB2780" s="72" t="str">
        <f aca="false">IF(BA2780&lt;&gt;"",VLOOKUP(BA2780,Selects!$B$4:$C$100,2,0),"")</f>
        <v/>
      </c>
      <c r="BG2780" s="75" t="str">
        <f aca="false">IF(LEN(BF2780)=11,"PF",IF(LEN(BF2780)=14,"PJ",""))</f>
        <v/>
      </c>
      <c r="BH2780" s="66"/>
    </row>
    <row r="2781" customFormat="false" ht="15" hidden="true" customHeight="false" outlineLevel="0" collapsed="false">
      <c r="AM2781" s="68" t="str">
        <f aca="false">IF(LEFT(AL2781,1)="9","Celular",IF(AL2781="","","Fixo"))</f>
        <v/>
      </c>
      <c r="BB2781" s="72" t="str">
        <f aca="false">IF(BA2781&lt;&gt;"",VLOOKUP(BA2781,Selects!$B$4:$C$100,2,0),"")</f>
        <v/>
      </c>
      <c r="BG2781" s="75" t="str">
        <f aca="false">IF(LEN(BF2781)=11,"PF",IF(LEN(BF2781)=14,"PJ",""))</f>
        <v/>
      </c>
      <c r="BH2781" s="66"/>
    </row>
    <row r="2782" customFormat="false" ht="15" hidden="true" customHeight="false" outlineLevel="0" collapsed="false">
      <c r="AM2782" s="68" t="str">
        <f aca="false">IF(LEFT(AL2782,1)="9","Celular",IF(AL2782="","","Fixo"))</f>
        <v/>
      </c>
      <c r="BB2782" s="72" t="str">
        <f aca="false">IF(BA2782&lt;&gt;"",VLOOKUP(BA2782,Selects!$B$4:$C$100,2,0),"")</f>
        <v/>
      </c>
      <c r="BG2782" s="75" t="str">
        <f aca="false">IF(LEN(BF2782)=11,"PF",IF(LEN(BF2782)=14,"PJ",""))</f>
        <v/>
      </c>
      <c r="BH2782" s="66"/>
    </row>
    <row r="2783" customFormat="false" ht="15" hidden="true" customHeight="false" outlineLevel="0" collapsed="false">
      <c r="AM2783" s="68" t="str">
        <f aca="false">IF(LEFT(AL2783,1)="9","Celular",IF(AL2783="","","Fixo"))</f>
        <v/>
      </c>
      <c r="BB2783" s="72" t="str">
        <f aca="false">IF(BA2783&lt;&gt;"",VLOOKUP(BA2783,Selects!$B$4:$C$100,2,0),"")</f>
        <v/>
      </c>
      <c r="BG2783" s="75" t="str">
        <f aca="false">IF(LEN(BF2783)=11,"PF",IF(LEN(BF2783)=14,"PJ",""))</f>
        <v/>
      </c>
      <c r="BH2783" s="66"/>
    </row>
    <row r="2784" customFormat="false" ht="15" hidden="true" customHeight="false" outlineLevel="0" collapsed="false">
      <c r="AM2784" s="68" t="str">
        <f aca="false">IF(LEFT(AL2784,1)="9","Celular",IF(AL2784="","","Fixo"))</f>
        <v/>
      </c>
      <c r="BB2784" s="72" t="str">
        <f aca="false">IF(BA2784&lt;&gt;"",VLOOKUP(BA2784,Selects!$B$4:$C$100,2,0),"")</f>
        <v/>
      </c>
      <c r="BG2784" s="75" t="str">
        <f aca="false">IF(LEN(BF2784)=11,"PF",IF(LEN(BF2784)=14,"PJ",""))</f>
        <v/>
      </c>
      <c r="BH2784" s="66"/>
    </row>
    <row r="2785" customFormat="false" ht="15" hidden="true" customHeight="false" outlineLevel="0" collapsed="false">
      <c r="AM2785" s="68" t="str">
        <f aca="false">IF(LEFT(AL2785,1)="9","Celular",IF(AL2785="","","Fixo"))</f>
        <v/>
      </c>
      <c r="BB2785" s="72" t="str">
        <f aca="false">IF(BA2785&lt;&gt;"",VLOOKUP(BA2785,Selects!$B$4:$C$100,2,0),"")</f>
        <v/>
      </c>
      <c r="BG2785" s="75" t="str">
        <f aca="false">IF(LEN(BF2785)=11,"PF",IF(LEN(BF2785)=14,"PJ",""))</f>
        <v/>
      </c>
      <c r="BH2785" s="66"/>
    </row>
    <row r="2786" customFormat="false" ht="15" hidden="true" customHeight="false" outlineLevel="0" collapsed="false">
      <c r="AM2786" s="68" t="str">
        <f aca="false">IF(LEFT(AL2786,1)="9","Celular",IF(AL2786="","","Fixo"))</f>
        <v/>
      </c>
      <c r="BB2786" s="72" t="str">
        <f aca="false">IF(BA2786&lt;&gt;"",VLOOKUP(BA2786,Selects!$B$4:$C$100,2,0),"")</f>
        <v/>
      </c>
      <c r="BG2786" s="75" t="str">
        <f aca="false">IF(LEN(BF2786)=11,"PF",IF(LEN(BF2786)=14,"PJ",""))</f>
        <v/>
      </c>
      <c r="BH2786" s="66"/>
    </row>
    <row r="2787" customFormat="false" ht="15" hidden="true" customHeight="false" outlineLevel="0" collapsed="false">
      <c r="AM2787" s="68" t="str">
        <f aca="false">IF(LEFT(AL2787,1)="9","Celular",IF(AL2787="","","Fixo"))</f>
        <v/>
      </c>
      <c r="BB2787" s="72" t="str">
        <f aca="false">IF(BA2787&lt;&gt;"",VLOOKUP(BA2787,Selects!$B$4:$C$100,2,0),"")</f>
        <v/>
      </c>
      <c r="BG2787" s="75" t="str">
        <f aca="false">IF(LEN(BF2787)=11,"PF",IF(LEN(BF2787)=14,"PJ",""))</f>
        <v/>
      </c>
      <c r="BH2787" s="66"/>
    </row>
    <row r="2788" customFormat="false" ht="15" hidden="true" customHeight="false" outlineLevel="0" collapsed="false">
      <c r="AM2788" s="68" t="str">
        <f aca="false">IF(LEFT(AL2788,1)="9","Celular",IF(AL2788="","","Fixo"))</f>
        <v/>
      </c>
      <c r="BB2788" s="72" t="str">
        <f aca="false">IF(BA2788&lt;&gt;"",VLOOKUP(BA2788,Selects!$B$4:$C$100,2,0),"")</f>
        <v/>
      </c>
      <c r="BG2788" s="75" t="str">
        <f aca="false">IF(LEN(BF2788)=11,"PF",IF(LEN(BF2788)=14,"PJ",""))</f>
        <v/>
      </c>
      <c r="BH2788" s="66"/>
    </row>
    <row r="2789" customFormat="false" ht="15" hidden="true" customHeight="false" outlineLevel="0" collapsed="false">
      <c r="AM2789" s="68" t="str">
        <f aca="false">IF(LEFT(AL2789,1)="9","Celular",IF(AL2789="","","Fixo"))</f>
        <v/>
      </c>
      <c r="BB2789" s="72" t="str">
        <f aca="false">IF(BA2789&lt;&gt;"",VLOOKUP(BA2789,Selects!$B$4:$C$100,2,0),"")</f>
        <v/>
      </c>
      <c r="BG2789" s="75" t="str">
        <f aca="false">IF(LEN(BF2789)=11,"PF",IF(LEN(BF2789)=14,"PJ",""))</f>
        <v/>
      </c>
      <c r="BH2789" s="66"/>
    </row>
    <row r="2790" customFormat="false" ht="15" hidden="true" customHeight="false" outlineLevel="0" collapsed="false">
      <c r="AM2790" s="68" t="str">
        <f aca="false">IF(LEFT(AL2790,1)="9","Celular",IF(AL2790="","","Fixo"))</f>
        <v/>
      </c>
      <c r="BB2790" s="72" t="str">
        <f aca="false">IF(BA2790&lt;&gt;"",VLOOKUP(BA2790,Selects!$B$4:$C$100,2,0),"")</f>
        <v/>
      </c>
      <c r="BG2790" s="75" t="str">
        <f aca="false">IF(LEN(BF2790)=11,"PF",IF(LEN(BF2790)=14,"PJ",""))</f>
        <v/>
      </c>
      <c r="BH2790" s="66"/>
    </row>
    <row r="2791" customFormat="false" ht="15" hidden="true" customHeight="false" outlineLevel="0" collapsed="false">
      <c r="AM2791" s="68" t="str">
        <f aca="false">IF(LEFT(AL2791,1)="9","Celular",IF(AL2791="","","Fixo"))</f>
        <v/>
      </c>
      <c r="BB2791" s="72" t="str">
        <f aca="false">IF(BA2791&lt;&gt;"",VLOOKUP(BA2791,Selects!$B$4:$C$100,2,0),"")</f>
        <v/>
      </c>
      <c r="BG2791" s="75" t="str">
        <f aca="false">IF(LEN(BF2791)=11,"PF",IF(LEN(BF2791)=14,"PJ",""))</f>
        <v/>
      </c>
      <c r="BH2791" s="66"/>
    </row>
    <row r="2792" customFormat="false" ht="15" hidden="true" customHeight="false" outlineLevel="0" collapsed="false">
      <c r="AM2792" s="68" t="str">
        <f aca="false">IF(LEFT(AL2792,1)="9","Celular",IF(AL2792="","","Fixo"))</f>
        <v/>
      </c>
      <c r="BB2792" s="72" t="str">
        <f aca="false">IF(BA2792&lt;&gt;"",VLOOKUP(BA2792,Selects!$B$4:$C$100,2,0),"")</f>
        <v/>
      </c>
      <c r="BG2792" s="75" t="str">
        <f aca="false">IF(LEN(BF2792)=11,"PF",IF(LEN(BF2792)=14,"PJ",""))</f>
        <v/>
      </c>
      <c r="BH2792" s="66"/>
    </row>
    <row r="2793" customFormat="false" ht="15" hidden="true" customHeight="false" outlineLevel="0" collapsed="false">
      <c r="AM2793" s="68" t="str">
        <f aca="false">IF(LEFT(AL2793,1)="9","Celular",IF(AL2793="","","Fixo"))</f>
        <v/>
      </c>
      <c r="BB2793" s="72" t="str">
        <f aca="false">IF(BA2793&lt;&gt;"",VLOOKUP(BA2793,Selects!$B$4:$C$100,2,0),"")</f>
        <v/>
      </c>
      <c r="BG2793" s="75" t="str">
        <f aca="false">IF(LEN(BF2793)=11,"PF",IF(LEN(BF2793)=14,"PJ",""))</f>
        <v/>
      </c>
      <c r="BH2793" s="66"/>
    </row>
    <row r="2794" customFormat="false" ht="15" hidden="true" customHeight="false" outlineLevel="0" collapsed="false">
      <c r="AM2794" s="68" t="str">
        <f aca="false">IF(LEFT(AL2794,1)="9","Celular",IF(AL2794="","","Fixo"))</f>
        <v/>
      </c>
      <c r="BB2794" s="72" t="str">
        <f aca="false">IF(BA2794&lt;&gt;"",VLOOKUP(BA2794,Selects!$B$4:$C$100,2,0),"")</f>
        <v/>
      </c>
      <c r="BG2794" s="75" t="str">
        <f aca="false">IF(LEN(BF2794)=11,"PF",IF(LEN(BF2794)=14,"PJ",""))</f>
        <v/>
      </c>
      <c r="BH2794" s="66"/>
    </row>
    <row r="2795" customFormat="false" ht="15" hidden="true" customHeight="false" outlineLevel="0" collapsed="false">
      <c r="AM2795" s="68" t="str">
        <f aca="false">IF(LEFT(AL2795,1)="9","Celular",IF(AL2795="","","Fixo"))</f>
        <v/>
      </c>
      <c r="BB2795" s="72" t="str">
        <f aca="false">IF(BA2795&lt;&gt;"",VLOOKUP(BA2795,Selects!$B$4:$C$100,2,0),"")</f>
        <v/>
      </c>
      <c r="BG2795" s="75" t="str">
        <f aca="false">IF(LEN(BF2795)=11,"PF",IF(LEN(BF2795)=14,"PJ",""))</f>
        <v/>
      </c>
      <c r="BH2795" s="66"/>
    </row>
    <row r="2796" customFormat="false" ht="15" hidden="true" customHeight="false" outlineLevel="0" collapsed="false">
      <c r="AM2796" s="68" t="str">
        <f aca="false">IF(LEFT(AL2796,1)="9","Celular",IF(AL2796="","","Fixo"))</f>
        <v/>
      </c>
      <c r="BB2796" s="72" t="str">
        <f aca="false">IF(BA2796&lt;&gt;"",VLOOKUP(BA2796,Selects!$B$4:$C$100,2,0),"")</f>
        <v/>
      </c>
      <c r="BG2796" s="75" t="str">
        <f aca="false">IF(LEN(BF2796)=11,"PF",IF(LEN(BF2796)=14,"PJ",""))</f>
        <v/>
      </c>
      <c r="BH2796" s="66"/>
    </row>
    <row r="2797" customFormat="false" ht="15" hidden="true" customHeight="false" outlineLevel="0" collapsed="false">
      <c r="AM2797" s="68" t="str">
        <f aca="false">IF(LEFT(AL2797,1)="9","Celular",IF(AL2797="","","Fixo"))</f>
        <v/>
      </c>
      <c r="BB2797" s="72" t="str">
        <f aca="false">IF(BA2797&lt;&gt;"",VLOOKUP(BA2797,Selects!$B$4:$C$100,2,0),"")</f>
        <v/>
      </c>
      <c r="BG2797" s="75" t="str">
        <f aca="false">IF(LEN(BF2797)=11,"PF",IF(LEN(BF2797)=14,"PJ",""))</f>
        <v/>
      </c>
      <c r="BH2797" s="66"/>
    </row>
    <row r="2798" customFormat="false" ht="15" hidden="true" customHeight="false" outlineLevel="0" collapsed="false">
      <c r="AM2798" s="68" t="str">
        <f aca="false">IF(LEFT(AL2798,1)="9","Celular",IF(AL2798="","","Fixo"))</f>
        <v/>
      </c>
      <c r="BB2798" s="72" t="str">
        <f aca="false">IF(BA2798&lt;&gt;"",VLOOKUP(BA2798,Selects!$B$4:$C$100,2,0),"")</f>
        <v/>
      </c>
      <c r="BG2798" s="75" t="str">
        <f aca="false">IF(LEN(BF2798)=11,"PF",IF(LEN(BF2798)=14,"PJ",""))</f>
        <v/>
      </c>
      <c r="BH2798" s="66"/>
    </row>
    <row r="2799" customFormat="false" ht="15" hidden="true" customHeight="false" outlineLevel="0" collapsed="false">
      <c r="AM2799" s="68" t="str">
        <f aca="false">IF(LEFT(AL2799,1)="9","Celular",IF(AL2799="","","Fixo"))</f>
        <v/>
      </c>
      <c r="BB2799" s="72" t="str">
        <f aca="false">IF(BA2799&lt;&gt;"",VLOOKUP(BA2799,Selects!$B$4:$C$100,2,0),"")</f>
        <v/>
      </c>
      <c r="BG2799" s="75" t="str">
        <f aca="false">IF(LEN(BF2799)=11,"PF",IF(LEN(BF2799)=14,"PJ",""))</f>
        <v/>
      </c>
      <c r="BH2799" s="66"/>
    </row>
    <row r="2800" customFormat="false" ht="15" hidden="true" customHeight="false" outlineLevel="0" collapsed="false">
      <c r="AM2800" s="68" t="str">
        <f aca="false">IF(LEFT(AL2800,1)="9","Celular",IF(AL2800="","","Fixo"))</f>
        <v/>
      </c>
      <c r="BB2800" s="72" t="str">
        <f aca="false">IF(BA2800&lt;&gt;"",VLOOKUP(BA2800,Selects!$B$4:$C$100,2,0),"")</f>
        <v/>
      </c>
      <c r="BG2800" s="75" t="str">
        <f aca="false">IF(LEN(BF2800)=11,"PF",IF(LEN(BF2800)=14,"PJ",""))</f>
        <v/>
      </c>
      <c r="BH2800" s="66"/>
    </row>
    <row r="2801" customFormat="false" ht="15" hidden="true" customHeight="false" outlineLevel="0" collapsed="false">
      <c r="AM2801" s="68" t="str">
        <f aca="false">IF(LEFT(AL2801,1)="9","Celular",IF(AL2801="","","Fixo"))</f>
        <v/>
      </c>
      <c r="BB2801" s="72" t="str">
        <f aca="false">IF(BA2801&lt;&gt;"",VLOOKUP(BA2801,Selects!$B$4:$C$100,2,0),"")</f>
        <v/>
      </c>
      <c r="BG2801" s="75" t="str">
        <f aca="false">IF(LEN(BF2801)=11,"PF",IF(LEN(BF2801)=14,"PJ",""))</f>
        <v/>
      </c>
      <c r="BH2801" s="66"/>
    </row>
    <row r="2802" customFormat="false" ht="15" hidden="true" customHeight="false" outlineLevel="0" collapsed="false">
      <c r="AM2802" s="68" t="str">
        <f aca="false">IF(LEFT(AL2802,1)="9","Celular",IF(AL2802="","","Fixo"))</f>
        <v/>
      </c>
      <c r="BB2802" s="72" t="str">
        <f aca="false">IF(BA2802&lt;&gt;"",VLOOKUP(BA2802,Selects!$B$4:$C$100,2,0),"")</f>
        <v/>
      </c>
      <c r="BG2802" s="75" t="str">
        <f aca="false">IF(LEN(BF2802)=11,"PF",IF(LEN(BF2802)=14,"PJ",""))</f>
        <v/>
      </c>
      <c r="BH2802" s="66"/>
    </row>
    <row r="2803" customFormat="false" ht="15" hidden="true" customHeight="false" outlineLevel="0" collapsed="false">
      <c r="AM2803" s="68" t="str">
        <f aca="false">IF(LEFT(AL2803,1)="9","Celular",IF(AL2803="","","Fixo"))</f>
        <v/>
      </c>
      <c r="BB2803" s="72" t="str">
        <f aca="false">IF(BA2803&lt;&gt;"",VLOOKUP(BA2803,Selects!$B$4:$C$100,2,0),"")</f>
        <v/>
      </c>
      <c r="BG2803" s="75" t="str">
        <f aca="false">IF(LEN(BF2803)=11,"PF",IF(LEN(BF2803)=14,"PJ",""))</f>
        <v/>
      </c>
      <c r="BH2803" s="66"/>
    </row>
    <row r="2804" customFormat="false" ht="15" hidden="true" customHeight="false" outlineLevel="0" collapsed="false">
      <c r="AM2804" s="68" t="str">
        <f aca="false">IF(LEFT(AL2804,1)="9","Celular",IF(AL2804="","","Fixo"))</f>
        <v/>
      </c>
      <c r="BB2804" s="72" t="str">
        <f aca="false">IF(BA2804&lt;&gt;"",VLOOKUP(BA2804,Selects!$B$4:$C$100,2,0),"")</f>
        <v/>
      </c>
      <c r="BG2804" s="75" t="str">
        <f aca="false">IF(LEN(BF2804)=11,"PF",IF(LEN(BF2804)=14,"PJ",""))</f>
        <v/>
      </c>
      <c r="BH2804" s="66"/>
    </row>
    <row r="2805" customFormat="false" ht="15" hidden="true" customHeight="false" outlineLevel="0" collapsed="false">
      <c r="AM2805" s="68" t="str">
        <f aca="false">IF(LEFT(AL2805,1)="9","Celular",IF(AL2805="","","Fixo"))</f>
        <v/>
      </c>
      <c r="BB2805" s="72" t="str">
        <f aca="false">IF(BA2805&lt;&gt;"",VLOOKUP(BA2805,Selects!$B$4:$C$100,2,0),"")</f>
        <v/>
      </c>
      <c r="BG2805" s="75" t="str">
        <f aca="false">IF(LEN(BF2805)=11,"PF",IF(LEN(BF2805)=14,"PJ",""))</f>
        <v/>
      </c>
      <c r="BH2805" s="66"/>
    </row>
    <row r="2806" customFormat="false" ht="15" hidden="true" customHeight="false" outlineLevel="0" collapsed="false">
      <c r="AM2806" s="68" t="str">
        <f aca="false">IF(LEFT(AL2806,1)="9","Celular",IF(AL2806="","","Fixo"))</f>
        <v/>
      </c>
      <c r="BB2806" s="72" t="str">
        <f aca="false">IF(BA2806&lt;&gt;"",VLOOKUP(BA2806,Selects!$B$4:$C$100,2,0),"")</f>
        <v/>
      </c>
      <c r="BG2806" s="75" t="str">
        <f aca="false">IF(LEN(BF2806)=11,"PF",IF(LEN(BF2806)=14,"PJ",""))</f>
        <v/>
      </c>
      <c r="BH2806" s="66"/>
    </row>
    <row r="2807" customFormat="false" ht="15" hidden="true" customHeight="false" outlineLevel="0" collapsed="false">
      <c r="AM2807" s="68" t="str">
        <f aca="false">IF(LEFT(AL2807,1)="9","Celular",IF(AL2807="","","Fixo"))</f>
        <v/>
      </c>
      <c r="BB2807" s="72" t="str">
        <f aca="false">IF(BA2807&lt;&gt;"",VLOOKUP(BA2807,Selects!$B$4:$C$100,2,0),"")</f>
        <v/>
      </c>
      <c r="BG2807" s="75" t="str">
        <f aca="false">IF(LEN(BF2807)=11,"PF",IF(LEN(BF2807)=14,"PJ",""))</f>
        <v/>
      </c>
      <c r="BH2807" s="66"/>
    </row>
    <row r="2808" customFormat="false" ht="15" hidden="true" customHeight="false" outlineLevel="0" collapsed="false">
      <c r="AM2808" s="68" t="str">
        <f aca="false">IF(LEFT(AL2808,1)="9","Celular",IF(AL2808="","","Fixo"))</f>
        <v/>
      </c>
      <c r="BB2808" s="72" t="str">
        <f aca="false">IF(BA2808&lt;&gt;"",VLOOKUP(BA2808,Selects!$B$4:$C$100,2,0),"")</f>
        <v/>
      </c>
      <c r="BG2808" s="75" t="str">
        <f aca="false">IF(LEN(BF2808)=11,"PF",IF(LEN(BF2808)=14,"PJ",""))</f>
        <v/>
      </c>
      <c r="BH2808" s="66"/>
    </row>
    <row r="2809" customFormat="false" ht="15" hidden="true" customHeight="false" outlineLevel="0" collapsed="false">
      <c r="AM2809" s="68" t="str">
        <f aca="false">IF(LEFT(AL2809,1)="9","Celular",IF(AL2809="","","Fixo"))</f>
        <v/>
      </c>
      <c r="BB2809" s="72" t="str">
        <f aca="false">IF(BA2809&lt;&gt;"",VLOOKUP(BA2809,Selects!$B$4:$C$100,2,0),"")</f>
        <v/>
      </c>
      <c r="BG2809" s="75" t="str">
        <f aca="false">IF(LEN(BF2809)=11,"PF",IF(LEN(BF2809)=14,"PJ",""))</f>
        <v/>
      </c>
      <c r="BH2809" s="66"/>
    </row>
    <row r="2810" customFormat="false" ht="15" hidden="true" customHeight="false" outlineLevel="0" collapsed="false">
      <c r="AM2810" s="68" t="str">
        <f aca="false">IF(LEFT(AL2810,1)="9","Celular",IF(AL2810="","","Fixo"))</f>
        <v/>
      </c>
      <c r="BB2810" s="72" t="str">
        <f aca="false">IF(BA2810&lt;&gt;"",VLOOKUP(BA2810,Selects!$B$4:$C$100,2,0),"")</f>
        <v/>
      </c>
      <c r="BG2810" s="75" t="str">
        <f aca="false">IF(LEN(BF2810)=11,"PF",IF(LEN(BF2810)=14,"PJ",""))</f>
        <v/>
      </c>
      <c r="BH2810" s="66"/>
    </row>
    <row r="2811" customFormat="false" ht="15" hidden="true" customHeight="false" outlineLevel="0" collapsed="false">
      <c r="AM2811" s="68" t="str">
        <f aca="false">IF(LEFT(AL2811,1)="9","Celular",IF(AL2811="","","Fixo"))</f>
        <v/>
      </c>
      <c r="BB2811" s="72" t="str">
        <f aca="false">IF(BA2811&lt;&gt;"",VLOOKUP(BA2811,Selects!$B$4:$C$100,2,0),"")</f>
        <v/>
      </c>
      <c r="BG2811" s="75" t="str">
        <f aca="false">IF(LEN(BF2811)=11,"PF",IF(LEN(BF2811)=14,"PJ",""))</f>
        <v/>
      </c>
      <c r="BH2811" s="66"/>
    </row>
    <row r="2812" customFormat="false" ht="15" hidden="true" customHeight="false" outlineLevel="0" collapsed="false">
      <c r="AM2812" s="68" t="str">
        <f aca="false">IF(LEFT(AL2812,1)="9","Celular",IF(AL2812="","","Fixo"))</f>
        <v/>
      </c>
      <c r="BB2812" s="72" t="str">
        <f aca="false">IF(BA2812&lt;&gt;"",VLOOKUP(BA2812,Selects!$B$4:$C$100,2,0),"")</f>
        <v/>
      </c>
      <c r="BG2812" s="75" t="str">
        <f aca="false">IF(LEN(BF2812)=11,"PF",IF(LEN(BF2812)=14,"PJ",""))</f>
        <v/>
      </c>
      <c r="BH2812" s="66"/>
    </row>
    <row r="2813" customFormat="false" ht="15" hidden="true" customHeight="false" outlineLevel="0" collapsed="false">
      <c r="AM2813" s="68" t="str">
        <f aca="false">IF(LEFT(AL2813,1)="9","Celular",IF(AL2813="","","Fixo"))</f>
        <v/>
      </c>
      <c r="BB2813" s="72" t="str">
        <f aca="false">IF(BA2813&lt;&gt;"",VLOOKUP(BA2813,Selects!$B$4:$C$100,2,0),"")</f>
        <v/>
      </c>
      <c r="BG2813" s="75" t="str">
        <f aca="false">IF(LEN(BF2813)=11,"PF",IF(LEN(BF2813)=14,"PJ",""))</f>
        <v/>
      </c>
      <c r="BH2813" s="66"/>
    </row>
    <row r="2814" customFormat="false" ht="15" hidden="true" customHeight="false" outlineLevel="0" collapsed="false">
      <c r="AM2814" s="68" t="str">
        <f aca="false">IF(LEFT(AL2814,1)="9","Celular",IF(AL2814="","","Fixo"))</f>
        <v/>
      </c>
      <c r="BB2814" s="72" t="str">
        <f aca="false">IF(BA2814&lt;&gt;"",VLOOKUP(BA2814,Selects!$B$4:$C$100,2,0),"")</f>
        <v/>
      </c>
      <c r="BG2814" s="75" t="str">
        <f aca="false">IF(LEN(BF2814)=11,"PF",IF(LEN(BF2814)=14,"PJ",""))</f>
        <v/>
      </c>
      <c r="BH2814" s="66"/>
    </row>
    <row r="2815" customFormat="false" ht="15" hidden="true" customHeight="false" outlineLevel="0" collapsed="false">
      <c r="AM2815" s="68" t="str">
        <f aca="false">IF(LEFT(AL2815,1)="9","Celular",IF(AL2815="","","Fixo"))</f>
        <v/>
      </c>
      <c r="BB2815" s="72" t="str">
        <f aca="false">IF(BA2815&lt;&gt;"",VLOOKUP(BA2815,Selects!$B$4:$C$100,2,0),"")</f>
        <v/>
      </c>
      <c r="BG2815" s="75" t="str">
        <f aca="false">IF(LEN(BF2815)=11,"PF",IF(LEN(BF2815)=14,"PJ",""))</f>
        <v/>
      </c>
      <c r="BH2815" s="66"/>
    </row>
    <row r="2816" customFormat="false" ht="15" hidden="true" customHeight="false" outlineLevel="0" collapsed="false">
      <c r="AM2816" s="68" t="str">
        <f aca="false">IF(LEFT(AL2816,1)="9","Celular",IF(AL2816="","","Fixo"))</f>
        <v/>
      </c>
      <c r="BB2816" s="72" t="str">
        <f aca="false">IF(BA2816&lt;&gt;"",VLOOKUP(BA2816,Selects!$B$4:$C$100,2,0),"")</f>
        <v/>
      </c>
      <c r="BG2816" s="75" t="str">
        <f aca="false">IF(LEN(BF2816)=11,"PF",IF(LEN(BF2816)=14,"PJ",""))</f>
        <v/>
      </c>
      <c r="BH2816" s="66"/>
    </row>
    <row r="2817" customFormat="false" ht="15" hidden="true" customHeight="false" outlineLevel="0" collapsed="false">
      <c r="AM2817" s="68" t="str">
        <f aca="false">IF(LEFT(AL2817,1)="9","Celular",IF(AL2817="","","Fixo"))</f>
        <v/>
      </c>
      <c r="BB2817" s="72" t="str">
        <f aca="false">IF(BA2817&lt;&gt;"",VLOOKUP(BA2817,Selects!$B$4:$C$100,2,0),"")</f>
        <v/>
      </c>
      <c r="BG2817" s="75" t="str">
        <f aca="false">IF(LEN(BF2817)=11,"PF",IF(LEN(BF2817)=14,"PJ",""))</f>
        <v/>
      </c>
      <c r="BH2817" s="66"/>
    </row>
    <row r="2818" customFormat="false" ht="15" hidden="true" customHeight="false" outlineLevel="0" collapsed="false">
      <c r="AM2818" s="68" t="str">
        <f aca="false">IF(LEFT(AL2818,1)="9","Celular",IF(AL2818="","","Fixo"))</f>
        <v/>
      </c>
      <c r="BB2818" s="72" t="str">
        <f aca="false">IF(BA2818&lt;&gt;"",VLOOKUP(BA2818,Selects!$B$4:$C$100,2,0),"")</f>
        <v/>
      </c>
      <c r="BG2818" s="75" t="str">
        <f aca="false">IF(LEN(BF2818)=11,"PF",IF(LEN(BF2818)=14,"PJ",""))</f>
        <v/>
      </c>
      <c r="BH2818" s="66"/>
    </row>
    <row r="2819" customFormat="false" ht="15" hidden="true" customHeight="false" outlineLevel="0" collapsed="false">
      <c r="AM2819" s="68" t="str">
        <f aca="false">IF(LEFT(AL2819,1)="9","Celular",IF(AL2819="","","Fixo"))</f>
        <v/>
      </c>
      <c r="BB2819" s="72" t="str">
        <f aca="false">IF(BA2819&lt;&gt;"",VLOOKUP(BA2819,Selects!$B$4:$C$100,2,0),"")</f>
        <v/>
      </c>
      <c r="BG2819" s="75" t="str">
        <f aca="false">IF(LEN(BF2819)=11,"PF",IF(LEN(BF2819)=14,"PJ",""))</f>
        <v/>
      </c>
      <c r="BH2819" s="66"/>
    </row>
    <row r="2820" customFormat="false" ht="15" hidden="true" customHeight="false" outlineLevel="0" collapsed="false">
      <c r="AM2820" s="68" t="str">
        <f aca="false">IF(LEFT(AL2820,1)="9","Celular",IF(AL2820="","","Fixo"))</f>
        <v/>
      </c>
      <c r="BB2820" s="72" t="str">
        <f aca="false">IF(BA2820&lt;&gt;"",VLOOKUP(BA2820,Selects!$B$4:$C$100,2,0),"")</f>
        <v/>
      </c>
      <c r="BG2820" s="75" t="str">
        <f aca="false">IF(LEN(BF2820)=11,"PF",IF(LEN(BF2820)=14,"PJ",""))</f>
        <v/>
      </c>
      <c r="BH2820" s="66"/>
    </row>
    <row r="2821" customFormat="false" ht="15" hidden="true" customHeight="false" outlineLevel="0" collapsed="false">
      <c r="AM2821" s="68" t="str">
        <f aca="false">IF(LEFT(AL2821,1)="9","Celular",IF(AL2821="","","Fixo"))</f>
        <v/>
      </c>
      <c r="BB2821" s="72" t="str">
        <f aca="false">IF(BA2821&lt;&gt;"",VLOOKUP(BA2821,Selects!$B$4:$C$100,2,0),"")</f>
        <v/>
      </c>
      <c r="BG2821" s="75" t="str">
        <f aca="false">IF(LEN(BF2821)=11,"PF",IF(LEN(BF2821)=14,"PJ",""))</f>
        <v/>
      </c>
      <c r="BH2821" s="66"/>
    </row>
    <row r="2822" customFormat="false" ht="15" hidden="true" customHeight="false" outlineLevel="0" collapsed="false">
      <c r="AM2822" s="68" t="str">
        <f aca="false">IF(LEFT(AL2822,1)="9","Celular",IF(AL2822="","","Fixo"))</f>
        <v/>
      </c>
      <c r="BB2822" s="72" t="str">
        <f aca="false">IF(BA2822&lt;&gt;"",VLOOKUP(BA2822,Selects!$B$4:$C$100,2,0),"")</f>
        <v/>
      </c>
      <c r="BG2822" s="75" t="str">
        <f aca="false">IF(LEN(BF2822)=11,"PF",IF(LEN(BF2822)=14,"PJ",""))</f>
        <v/>
      </c>
      <c r="BH2822" s="66"/>
    </row>
    <row r="2823" customFormat="false" ht="15" hidden="true" customHeight="false" outlineLevel="0" collapsed="false">
      <c r="AM2823" s="68" t="str">
        <f aca="false">IF(LEFT(AL2823,1)="9","Celular",IF(AL2823="","","Fixo"))</f>
        <v/>
      </c>
      <c r="BB2823" s="72" t="str">
        <f aca="false">IF(BA2823&lt;&gt;"",VLOOKUP(BA2823,Selects!$B$4:$C$100,2,0),"")</f>
        <v/>
      </c>
      <c r="BG2823" s="75" t="str">
        <f aca="false">IF(LEN(BF2823)=11,"PF",IF(LEN(BF2823)=14,"PJ",""))</f>
        <v/>
      </c>
      <c r="BH2823" s="66"/>
    </row>
    <row r="2824" customFormat="false" ht="15" hidden="true" customHeight="false" outlineLevel="0" collapsed="false">
      <c r="AM2824" s="68" t="str">
        <f aca="false">IF(LEFT(AL2824,1)="9","Celular",IF(AL2824="","","Fixo"))</f>
        <v/>
      </c>
      <c r="BB2824" s="72" t="str">
        <f aca="false">IF(BA2824&lt;&gt;"",VLOOKUP(BA2824,Selects!$B$4:$C$100,2,0),"")</f>
        <v/>
      </c>
      <c r="BG2824" s="75" t="str">
        <f aca="false">IF(LEN(BF2824)=11,"PF",IF(LEN(BF2824)=14,"PJ",""))</f>
        <v/>
      </c>
      <c r="BH2824" s="66"/>
    </row>
    <row r="2825" customFormat="false" ht="15" hidden="true" customHeight="false" outlineLevel="0" collapsed="false">
      <c r="AM2825" s="68" t="str">
        <f aca="false">IF(LEFT(AL2825,1)="9","Celular",IF(AL2825="","","Fixo"))</f>
        <v/>
      </c>
      <c r="BB2825" s="72" t="str">
        <f aca="false">IF(BA2825&lt;&gt;"",VLOOKUP(BA2825,Selects!$B$4:$C$100,2,0),"")</f>
        <v/>
      </c>
      <c r="BG2825" s="75" t="str">
        <f aca="false">IF(LEN(BF2825)=11,"PF",IF(LEN(BF2825)=14,"PJ",""))</f>
        <v/>
      </c>
      <c r="BH2825" s="66"/>
    </row>
    <row r="2826" customFormat="false" ht="15" hidden="true" customHeight="false" outlineLevel="0" collapsed="false">
      <c r="AM2826" s="68" t="str">
        <f aca="false">IF(LEFT(AL2826,1)="9","Celular",IF(AL2826="","","Fixo"))</f>
        <v/>
      </c>
      <c r="BB2826" s="72" t="str">
        <f aca="false">IF(BA2826&lt;&gt;"",VLOOKUP(BA2826,Selects!$B$4:$C$100,2,0),"")</f>
        <v/>
      </c>
      <c r="BG2826" s="75" t="str">
        <f aca="false">IF(LEN(BF2826)=11,"PF",IF(LEN(BF2826)=14,"PJ",""))</f>
        <v/>
      </c>
      <c r="BH2826" s="66"/>
    </row>
    <row r="2827" customFormat="false" ht="15" hidden="true" customHeight="false" outlineLevel="0" collapsed="false">
      <c r="AM2827" s="68" t="str">
        <f aca="false">IF(LEFT(AL2827,1)="9","Celular",IF(AL2827="","","Fixo"))</f>
        <v/>
      </c>
      <c r="BB2827" s="72" t="str">
        <f aca="false">IF(BA2827&lt;&gt;"",VLOOKUP(BA2827,Selects!$B$4:$C$100,2,0),"")</f>
        <v/>
      </c>
      <c r="BG2827" s="75" t="str">
        <f aca="false">IF(LEN(BF2827)=11,"PF",IF(LEN(BF2827)=14,"PJ",""))</f>
        <v/>
      </c>
      <c r="BH2827" s="66"/>
    </row>
    <row r="2828" customFormat="false" ht="15" hidden="true" customHeight="false" outlineLevel="0" collapsed="false">
      <c r="AM2828" s="68" t="str">
        <f aca="false">IF(LEFT(AL2828,1)="9","Celular",IF(AL2828="","","Fixo"))</f>
        <v/>
      </c>
      <c r="BB2828" s="72" t="str">
        <f aca="false">IF(BA2828&lt;&gt;"",VLOOKUP(BA2828,Selects!$B$4:$C$100,2,0),"")</f>
        <v/>
      </c>
      <c r="BG2828" s="75" t="str">
        <f aca="false">IF(LEN(BF2828)=11,"PF",IF(LEN(BF2828)=14,"PJ",""))</f>
        <v/>
      </c>
      <c r="BH2828" s="66"/>
    </row>
    <row r="2829" customFormat="false" ht="15" hidden="true" customHeight="false" outlineLevel="0" collapsed="false">
      <c r="AM2829" s="68" t="str">
        <f aca="false">IF(LEFT(AL2829,1)="9","Celular",IF(AL2829="","","Fixo"))</f>
        <v/>
      </c>
      <c r="BB2829" s="72" t="str">
        <f aca="false">IF(BA2829&lt;&gt;"",VLOOKUP(BA2829,Selects!$B$4:$C$100,2,0),"")</f>
        <v/>
      </c>
      <c r="BG2829" s="75" t="str">
        <f aca="false">IF(LEN(BF2829)=11,"PF",IF(LEN(BF2829)=14,"PJ",""))</f>
        <v/>
      </c>
      <c r="BH2829" s="66"/>
    </row>
    <row r="2830" customFormat="false" ht="15" hidden="true" customHeight="false" outlineLevel="0" collapsed="false">
      <c r="AM2830" s="68" t="str">
        <f aca="false">IF(LEFT(AL2830,1)="9","Celular",IF(AL2830="","","Fixo"))</f>
        <v/>
      </c>
      <c r="BB2830" s="72" t="str">
        <f aca="false">IF(BA2830&lt;&gt;"",VLOOKUP(BA2830,Selects!$B$4:$C$100,2,0),"")</f>
        <v/>
      </c>
      <c r="BG2830" s="75" t="str">
        <f aca="false">IF(LEN(BF2830)=11,"PF",IF(LEN(BF2830)=14,"PJ",""))</f>
        <v/>
      </c>
      <c r="BH2830" s="66"/>
    </row>
    <row r="2831" customFormat="false" ht="15" hidden="true" customHeight="false" outlineLevel="0" collapsed="false">
      <c r="AM2831" s="68" t="str">
        <f aca="false">IF(LEFT(AL2831,1)="9","Celular",IF(AL2831="","","Fixo"))</f>
        <v/>
      </c>
      <c r="BB2831" s="72" t="str">
        <f aca="false">IF(BA2831&lt;&gt;"",VLOOKUP(BA2831,Selects!$B$4:$C$100,2,0),"")</f>
        <v/>
      </c>
      <c r="BG2831" s="75" t="str">
        <f aca="false">IF(LEN(BF2831)=11,"PF",IF(LEN(BF2831)=14,"PJ",""))</f>
        <v/>
      </c>
      <c r="BH2831" s="66"/>
    </row>
    <row r="2832" customFormat="false" ht="15" hidden="true" customHeight="false" outlineLevel="0" collapsed="false">
      <c r="AM2832" s="68" t="str">
        <f aca="false">IF(LEFT(AL2832,1)="9","Celular",IF(AL2832="","","Fixo"))</f>
        <v/>
      </c>
      <c r="BB2832" s="72" t="str">
        <f aca="false">IF(BA2832&lt;&gt;"",VLOOKUP(BA2832,Selects!$B$4:$C$100,2,0),"")</f>
        <v/>
      </c>
      <c r="BG2832" s="75" t="str">
        <f aca="false">IF(LEN(BF2832)=11,"PF",IF(LEN(BF2832)=14,"PJ",""))</f>
        <v/>
      </c>
      <c r="BH2832" s="66"/>
    </row>
    <row r="2833" customFormat="false" ht="15" hidden="true" customHeight="false" outlineLevel="0" collapsed="false">
      <c r="AM2833" s="68" t="str">
        <f aca="false">IF(LEFT(AL2833,1)="9","Celular",IF(AL2833="","","Fixo"))</f>
        <v/>
      </c>
      <c r="BB2833" s="72" t="str">
        <f aca="false">IF(BA2833&lt;&gt;"",VLOOKUP(BA2833,Selects!$B$4:$C$100,2,0),"")</f>
        <v/>
      </c>
      <c r="BG2833" s="75" t="str">
        <f aca="false">IF(LEN(BF2833)=11,"PF",IF(LEN(BF2833)=14,"PJ",""))</f>
        <v/>
      </c>
      <c r="BH2833" s="66"/>
    </row>
    <row r="2834" customFormat="false" ht="15" hidden="true" customHeight="false" outlineLevel="0" collapsed="false">
      <c r="AM2834" s="68" t="str">
        <f aca="false">IF(LEFT(AL2834,1)="9","Celular",IF(AL2834="","","Fixo"))</f>
        <v/>
      </c>
      <c r="BB2834" s="72" t="str">
        <f aca="false">IF(BA2834&lt;&gt;"",VLOOKUP(BA2834,Selects!$B$4:$C$100,2,0),"")</f>
        <v/>
      </c>
      <c r="BG2834" s="75" t="str">
        <f aca="false">IF(LEN(BF2834)=11,"PF",IF(LEN(BF2834)=14,"PJ",""))</f>
        <v/>
      </c>
      <c r="BH2834" s="66"/>
    </row>
    <row r="2835" customFormat="false" ht="15" hidden="true" customHeight="false" outlineLevel="0" collapsed="false">
      <c r="AM2835" s="68" t="str">
        <f aca="false">IF(LEFT(AL2835,1)="9","Celular",IF(AL2835="","","Fixo"))</f>
        <v/>
      </c>
      <c r="BB2835" s="72" t="str">
        <f aca="false">IF(BA2835&lt;&gt;"",VLOOKUP(BA2835,Selects!$B$4:$C$100,2,0),"")</f>
        <v/>
      </c>
      <c r="BG2835" s="75" t="str">
        <f aca="false">IF(LEN(BF2835)=11,"PF",IF(LEN(BF2835)=14,"PJ",""))</f>
        <v/>
      </c>
      <c r="BH2835" s="66"/>
    </row>
    <row r="2836" customFormat="false" ht="15" hidden="true" customHeight="false" outlineLevel="0" collapsed="false">
      <c r="AM2836" s="68" t="str">
        <f aca="false">IF(LEFT(AL2836,1)="9","Celular",IF(AL2836="","","Fixo"))</f>
        <v/>
      </c>
      <c r="BB2836" s="72" t="str">
        <f aca="false">IF(BA2836&lt;&gt;"",VLOOKUP(BA2836,Selects!$B$4:$C$100,2,0),"")</f>
        <v/>
      </c>
      <c r="BG2836" s="75" t="str">
        <f aca="false">IF(LEN(BF2836)=11,"PF",IF(LEN(BF2836)=14,"PJ",""))</f>
        <v/>
      </c>
      <c r="BH2836" s="66"/>
    </row>
    <row r="2837" customFormat="false" ht="15" hidden="true" customHeight="false" outlineLevel="0" collapsed="false">
      <c r="AM2837" s="68" t="str">
        <f aca="false">IF(LEFT(AL2837,1)="9","Celular",IF(AL2837="","","Fixo"))</f>
        <v/>
      </c>
      <c r="BB2837" s="72" t="str">
        <f aca="false">IF(BA2837&lt;&gt;"",VLOOKUP(BA2837,Selects!$B$4:$C$100,2,0),"")</f>
        <v/>
      </c>
      <c r="BG2837" s="75" t="str">
        <f aca="false">IF(LEN(BF2837)=11,"PF",IF(LEN(BF2837)=14,"PJ",""))</f>
        <v/>
      </c>
      <c r="BH2837" s="66"/>
    </row>
    <row r="2838" customFormat="false" ht="15" hidden="true" customHeight="false" outlineLevel="0" collapsed="false">
      <c r="AM2838" s="68" t="str">
        <f aca="false">IF(LEFT(AL2838,1)="9","Celular",IF(AL2838="","","Fixo"))</f>
        <v/>
      </c>
      <c r="BB2838" s="72" t="str">
        <f aca="false">IF(BA2838&lt;&gt;"",VLOOKUP(BA2838,Selects!$B$4:$C$100,2,0),"")</f>
        <v/>
      </c>
      <c r="BG2838" s="75" t="str">
        <f aca="false">IF(LEN(BF2838)=11,"PF",IF(LEN(BF2838)=14,"PJ",""))</f>
        <v/>
      </c>
      <c r="BH2838" s="66"/>
    </row>
    <row r="2839" customFormat="false" ht="15" hidden="true" customHeight="false" outlineLevel="0" collapsed="false">
      <c r="AM2839" s="68" t="str">
        <f aca="false">IF(LEFT(AL2839,1)="9","Celular",IF(AL2839="","","Fixo"))</f>
        <v/>
      </c>
      <c r="BB2839" s="72" t="str">
        <f aca="false">IF(BA2839&lt;&gt;"",VLOOKUP(BA2839,Selects!$B$4:$C$100,2,0),"")</f>
        <v/>
      </c>
      <c r="BG2839" s="75" t="str">
        <f aca="false">IF(LEN(BF2839)=11,"PF",IF(LEN(BF2839)=14,"PJ",""))</f>
        <v/>
      </c>
      <c r="BH2839" s="66"/>
    </row>
    <row r="2840" customFormat="false" ht="15" hidden="true" customHeight="false" outlineLevel="0" collapsed="false">
      <c r="AM2840" s="68" t="str">
        <f aca="false">IF(LEFT(AL2840,1)="9","Celular",IF(AL2840="","","Fixo"))</f>
        <v/>
      </c>
      <c r="BB2840" s="72" t="str">
        <f aca="false">IF(BA2840&lt;&gt;"",VLOOKUP(BA2840,Selects!$B$4:$C$100,2,0),"")</f>
        <v/>
      </c>
      <c r="BG2840" s="75" t="str">
        <f aca="false">IF(LEN(BF2840)=11,"PF",IF(LEN(BF2840)=14,"PJ",""))</f>
        <v/>
      </c>
      <c r="BH2840" s="66"/>
    </row>
    <row r="2841" customFormat="false" ht="15" hidden="true" customHeight="false" outlineLevel="0" collapsed="false">
      <c r="AM2841" s="68" t="str">
        <f aca="false">IF(LEFT(AL2841,1)="9","Celular",IF(AL2841="","","Fixo"))</f>
        <v/>
      </c>
      <c r="BB2841" s="72" t="str">
        <f aca="false">IF(BA2841&lt;&gt;"",VLOOKUP(BA2841,Selects!$B$4:$C$100,2,0),"")</f>
        <v/>
      </c>
      <c r="BG2841" s="75" t="str">
        <f aca="false">IF(LEN(BF2841)=11,"PF",IF(LEN(BF2841)=14,"PJ",""))</f>
        <v/>
      </c>
      <c r="BH2841" s="66"/>
    </row>
    <row r="2842" customFormat="false" ht="15" hidden="true" customHeight="false" outlineLevel="0" collapsed="false">
      <c r="AM2842" s="68" t="str">
        <f aca="false">IF(LEFT(AL2842,1)="9","Celular",IF(AL2842="","","Fixo"))</f>
        <v/>
      </c>
      <c r="BB2842" s="72" t="str">
        <f aca="false">IF(BA2842&lt;&gt;"",VLOOKUP(BA2842,Selects!$B$4:$C$100,2,0),"")</f>
        <v/>
      </c>
      <c r="BG2842" s="75" t="str">
        <f aca="false">IF(LEN(BF2842)=11,"PF",IF(LEN(BF2842)=14,"PJ",""))</f>
        <v/>
      </c>
      <c r="BH2842" s="66"/>
    </row>
    <row r="2843" customFormat="false" ht="15" hidden="true" customHeight="false" outlineLevel="0" collapsed="false">
      <c r="AM2843" s="68" t="str">
        <f aca="false">IF(LEFT(AL2843,1)="9","Celular",IF(AL2843="","","Fixo"))</f>
        <v/>
      </c>
      <c r="BB2843" s="72" t="str">
        <f aca="false">IF(BA2843&lt;&gt;"",VLOOKUP(BA2843,Selects!$B$4:$C$100,2,0),"")</f>
        <v/>
      </c>
      <c r="BG2843" s="75" t="str">
        <f aca="false">IF(LEN(BF2843)=11,"PF",IF(LEN(BF2843)=14,"PJ",""))</f>
        <v/>
      </c>
      <c r="BH2843" s="66"/>
    </row>
    <row r="2844" customFormat="false" ht="15" hidden="true" customHeight="false" outlineLevel="0" collapsed="false">
      <c r="AM2844" s="68" t="str">
        <f aca="false">IF(LEFT(AL2844,1)="9","Celular",IF(AL2844="","","Fixo"))</f>
        <v/>
      </c>
      <c r="BB2844" s="72" t="str">
        <f aca="false">IF(BA2844&lt;&gt;"",VLOOKUP(BA2844,Selects!$B$4:$C$100,2,0),"")</f>
        <v/>
      </c>
      <c r="BG2844" s="75" t="str">
        <f aca="false">IF(LEN(BF2844)=11,"PF",IF(LEN(BF2844)=14,"PJ",""))</f>
        <v/>
      </c>
      <c r="BH2844" s="66"/>
    </row>
    <row r="2845" customFormat="false" ht="15" hidden="true" customHeight="false" outlineLevel="0" collapsed="false">
      <c r="AM2845" s="68" t="str">
        <f aca="false">IF(LEFT(AL2845,1)="9","Celular",IF(AL2845="","","Fixo"))</f>
        <v/>
      </c>
      <c r="BB2845" s="72" t="str">
        <f aca="false">IF(BA2845&lt;&gt;"",VLOOKUP(BA2845,Selects!$B$4:$C$100,2,0),"")</f>
        <v/>
      </c>
      <c r="BG2845" s="75" t="str">
        <f aca="false">IF(LEN(BF2845)=11,"PF",IF(LEN(BF2845)=14,"PJ",""))</f>
        <v/>
      </c>
      <c r="BH2845" s="66"/>
    </row>
    <row r="2846" customFormat="false" ht="15" hidden="true" customHeight="false" outlineLevel="0" collapsed="false">
      <c r="AM2846" s="68" t="str">
        <f aca="false">IF(LEFT(AL2846,1)="9","Celular",IF(AL2846="","","Fixo"))</f>
        <v/>
      </c>
      <c r="BB2846" s="72" t="str">
        <f aca="false">IF(BA2846&lt;&gt;"",VLOOKUP(BA2846,Selects!$B$4:$C$100,2,0),"")</f>
        <v/>
      </c>
      <c r="BG2846" s="75" t="str">
        <f aca="false">IF(LEN(BF2846)=11,"PF",IF(LEN(BF2846)=14,"PJ",""))</f>
        <v/>
      </c>
      <c r="BH2846" s="66"/>
    </row>
    <row r="2847" customFormat="false" ht="15" hidden="true" customHeight="false" outlineLevel="0" collapsed="false">
      <c r="AM2847" s="68" t="str">
        <f aca="false">IF(LEFT(AL2847,1)="9","Celular",IF(AL2847="","","Fixo"))</f>
        <v/>
      </c>
      <c r="BB2847" s="72" t="str">
        <f aca="false">IF(BA2847&lt;&gt;"",VLOOKUP(BA2847,Selects!$B$4:$C$100,2,0),"")</f>
        <v/>
      </c>
      <c r="BG2847" s="75" t="str">
        <f aca="false">IF(LEN(BF2847)=11,"PF",IF(LEN(BF2847)=14,"PJ",""))</f>
        <v/>
      </c>
      <c r="BH2847" s="66"/>
    </row>
    <row r="2848" customFormat="false" ht="15" hidden="true" customHeight="false" outlineLevel="0" collapsed="false">
      <c r="AM2848" s="68" t="str">
        <f aca="false">IF(LEFT(AL2848,1)="9","Celular",IF(AL2848="","","Fixo"))</f>
        <v/>
      </c>
      <c r="BB2848" s="72" t="str">
        <f aca="false">IF(BA2848&lt;&gt;"",VLOOKUP(BA2848,Selects!$B$4:$C$100,2,0),"")</f>
        <v/>
      </c>
      <c r="BG2848" s="75" t="str">
        <f aca="false">IF(LEN(BF2848)=11,"PF",IF(LEN(BF2848)=14,"PJ",""))</f>
        <v/>
      </c>
      <c r="BH2848" s="66"/>
    </row>
    <row r="2849" customFormat="false" ht="15" hidden="true" customHeight="false" outlineLevel="0" collapsed="false">
      <c r="AM2849" s="68" t="str">
        <f aca="false">IF(LEFT(AL2849,1)="9","Celular",IF(AL2849="","","Fixo"))</f>
        <v/>
      </c>
      <c r="BB2849" s="72" t="str">
        <f aca="false">IF(BA2849&lt;&gt;"",VLOOKUP(BA2849,Selects!$B$4:$C$100,2,0),"")</f>
        <v/>
      </c>
      <c r="BG2849" s="75" t="str">
        <f aca="false">IF(LEN(BF2849)=11,"PF",IF(LEN(BF2849)=14,"PJ",""))</f>
        <v/>
      </c>
      <c r="BH2849" s="66"/>
    </row>
    <row r="2850" customFormat="false" ht="15" hidden="true" customHeight="false" outlineLevel="0" collapsed="false">
      <c r="AM2850" s="68" t="str">
        <f aca="false">IF(LEFT(AL2850,1)="9","Celular",IF(AL2850="","","Fixo"))</f>
        <v/>
      </c>
      <c r="BB2850" s="72" t="str">
        <f aca="false">IF(BA2850&lt;&gt;"",VLOOKUP(BA2850,Selects!$B$4:$C$100,2,0),"")</f>
        <v/>
      </c>
      <c r="BG2850" s="75" t="str">
        <f aca="false">IF(LEN(BF2850)=11,"PF",IF(LEN(BF2850)=14,"PJ",""))</f>
        <v/>
      </c>
      <c r="BH2850" s="66"/>
    </row>
    <row r="2851" customFormat="false" ht="15" hidden="true" customHeight="false" outlineLevel="0" collapsed="false">
      <c r="AM2851" s="68" t="str">
        <f aca="false">IF(LEFT(AL2851,1)="9","Celular",IF(AL2851="","","Fixo"))</f>
        <v/>
      </c>
      <c r="BB2851" s="72" t="str">
        <f aca="false">IF(BA2851&lt;&gt;"",VLOOKUP(BA2851,Selects!$B$4:$C$100,2,0),"")</f>
        <v/>
      </c>
      <c r="BG2851" s="75" t="str">
        <f aca="false">IF(LEN(BF2851)=11,"PF",IF(LEN(BF2851)=14,"PJ",""))</f>
        <v/>
      </c>
      <c r="BH2851" s="66"/>
    </row>
    <row r="2852" customFormat="false" ht="15" hidden="true" customHeight="false" outlineLevel="0" collapsed="false">
      <c r="AM2852" s="68" t="str">
        <f aca="false">IF(LEFT(AL2852,1)="9","Celular",IF(AL2852="","","Fixo"))</f>
        <v/>
      </c>
      <c r="BB2852" s="72" t="str">
        <f aca="false">IF(BA2852&lt;&gt;"",VLOOKUP(BA2852,Selects!$B$4:$C$100,2,0),"")</f>
        <v/>
      </c>
      <c r="BG2852" s="75" t="str">
        <f aca="false">IF(LEN(BF2852)=11,"PF",IF(LEN(BF2852)=14,"PJ",""))</f>
        <v/>
      </c>
      <c r="BH2852" s="66"/>
    </row>
    <row r="2853" customFormat="false" ht="15" hidden="true" customHeight="false" outlineLevel="0" collapsed="false">
      <c r="AM2853" s="68" t="str">
        <f aca="false">IF(LEFT(AL2853,1)="9","Celular",IF(AL2853="","","Fixo"))</f>
        <v/>
      </c>
      <c r="BB2853" s="72" t="str">
        <f aca="false">IF(BA2853&lt;&gt;"",VLOOKUP(BA2853,Selects!$B$4:$C$100,2,0),"")</f>
        <v/>
      </c>
      <c r="BG2853" s="75" t="str">
        <f aca="false">IF(LEN(BF2853)=11,"PF",IF(LEN(BF2853)=14,"PJ",""))</f>
        <v/>
      </c>
      <c r="BH2853" s="66"/>
    </row>
    <row r="2854" customFormat="false" ht="15" hidden="true" customHeight="false" outlineLevel="0" collapsed="false">
      <c r="AM2854" s="68" t="str">
        <f aca="false">IF(LEFT(AL2854,1)="9","Celular",IF(AL2854="","","Fixo"))</f>
        <v/>
      </c>
      <c r="BB2854" s="72" t="str">
        <f aca="false">IF(BA2854&lt;&gt;"",VLOOKUP(BA2854,Selects!$B$4:$C$100,2,0),"")</f>
        <v/>
      </c>
      <c r="BG2854" s="75" t="str">
        <f aca="false">IF(LEN(BF2854)=11,"PF",IF(LEN(BF2854)=14,"PJ",""))</f>
        <v/>
      </c>
      <c r="BH2854" s="66"/>
    </row>
    <row r="2855" customFormat="false" ht="15" hidden="true" customHeight="false" outlineLevel="0" collapsed="false">
      <c r="AM2855" s="68" t="str">
        <f aca="false">IF(LEFT(AL2855,1)="9","Celular",IF(AL2855="","","Fixo"))</f>
        <v/>
      </c>
      <c r="BB2855" s="72" t="str">
        <f aca="false">IF(BA2855&lt;&gt;"",VLOOKUP(BA2855,Selects!$B$4:$C$100,2,0),"")</f>
        <v/>
      </c>
      <c r="BG2855" s="75" t="str">
        <f aca="false">IF(LEN(BF2855)=11,"PF",IF(LEN(BF2855)=14,"PJ",""))</f>
        <v/>
      </c>
      <c r="BH2855" s="66"/>
    </row>
    <row r="2856" customFormat="false" ht="15" hidden="true" customHeight="false" outlineLevel="0" collapsed="false">
      <c r="AM2856" s="68" t="str">
        <f aca="false">IF(LEFT(AL2856,1)="9","Celular",IF(AL2856="","","Fixo"))</f>
        <v/>
      </c>
      <c r="BB2856" s="72" t="str">
        <f aca="false">IF(BA2856&lt;&gt;"",VLOOKUP(BA2856,Selects!$B$4:$C$100,2,0),"")</f>
        <v/>
      </c>
      <c r="BG2856" s="75" t="str">
        <f aca="false">IF(LEN(BF2856)=11,"PF",IF(LEN(BF2856)=14,"PJ",""))</f>
        <v/>
      </c>
      <c r="BH2856" s="66"/>
    </row>
    <row r="2857" customFormat="false" ht="15" hidden="true" customHeight="false" outlineLevel="0" collapsed="false">
      <c r="AM2857" s="68" t="str">
        <f aca="false">IF(LEFT(AL2857,1)="9","Celular",IF(AL2857="","","Fixo"))</f>
        <v/>
      </c>
      <c r="BB2857" s="72" t="str">
        <f aca="false">IF(BA2857&lt;&gt;"",VLOOKUP(BA2857,Selects!$B$4:$C$100,2,0),"")</f>
        <v/>
      </c>
      <c r="BG2857" s="75" t="str">
        <f aca="false">IF(LEN(BF2857)=11,"PF",IF(LEN(BF2857)=14,"PJ",""))</f>
        <v/>
      </c>
      <c r="BH2857" s="66"/>
    </row>
    <row r="2858" customFormat="false" ht="15" hidden="true" customHeight="false" outlineLevel="0" collapsed="false">
      <c r="AM2858" s="68" t="str">
        <f aca="false">IF(LEFT(AL2858,1)="9","Celular",IF(AL2858="","","Fixo"))</f>
        <v/>
      </c>
      <c r="BB2858" s="72" t="str">
        <f aca="false">IF(BA2858&lt;&gt;"",VLOOKUP(BA2858,Selects!$B$4:$C$100,2,0),"")</f>
        <v/>
      </c>
      <c r="BG2858" s="75" t="str">
        <f aca="false">IF(LEN(BF2858)=11,"PF",IF(LEN(BF2858)=14,"PJ",""))</f>
        <v/>
      </c>
      <c r="BH2858" s="66"/>
    </row>
    <row r="2859" customFormat="false" ht="15" hidden="true" customHeight="false" outlineLevel="0" collapsed="false">
      <c r="AM2859" s="68" t="str">
        <f aca="false">IF(LEFT(AL2859,1)="9","Celular",IF(AL2859="","","Fixo"))</f>
        <v/>
      </c>
      <c r="BB2859" s="72" t="str">
        <f aca="false">IF(BA2859&lt;&gt;"",VLOOKUP(BA2859,Selects!$B$4:$C$100,2,0),"")</f>
        <v/>
      </c>
      <c r="BG2859" s="75" t="str">
        <f aca="false">IF(LEN(BF2859)=11,"PF",IF(LEN(BF2859)=14,"PJ",""))</f>
        <v/>
      </c>
      <c r="BH2859" s="66"/>
    </row>
    <row r="2860" customFormat="false" ht="15" hidden="true" customHeight="false" outlineLevel="0" collapsed="false">
      <c r="AM2860" s="68" t="str">
        <f aca="false">IF(LEFT(AL2860,1)="9","Celular",IF(AL2860="","","Fixo"))</f>
        <v/>
      </c>
      <c r="BB2860" s="72" t="str">
        <f aca="false">IF(BA2860&lt;&gt;"",VLOOKUP(BA2860,Selects!$B$4:$C$100,2,0),"")</f>
        <v/>
      </c>
      <c r="BG2860" s="75" t="str">
        <f aca="false">IF(LEN(BF2860)=11,"PF",IF(LEN(BF2860)=14,"PJ",""))</f>
        <v/>
      </c>
      <c r="BH2860" s="66"/>
    </row>
    <row r="2861" customFormat="false" ht="15" hidden="true" customHeight="false" outlineLevel="0" collapsed="false">
      <c r="AM2861" s="68" t="str">
        <f aca="false">IF(LEFT(AL2861,1)="9","Celular",IF(AL2861="","","Fixo"))</f>
        <v/>
      </c>
      <c r="BB2861" s="72" t="str">
        <f aca="false">IF(BA2861&lt;&gt;"",VLOOKUP(BA2861,Selects!$B$4:$C$100,2,0),"")</f>
        <v/>
      </c>
      <c r="BG2861" s="75" t="str">
        <f aca="false">IF(LEN(BF2861)=11,"PF",IF(LEN(BF2861)=14,"PJ",""))</f>
        <v/>
      </c>
      <c r="BH2861" s="66"/>
    </row>
    <row r="2862" customFormat="false" ht="15" hidden="true" customHeight="false" outlineLevel="0" collapsed="false">
      <c r="AM2862" s="68" t="str">
        <f aca="false">IF(LEFT(AL2862,1)="9","Celular",IF(AL2862="","","Fixo"))</f>
        <v/>
      </c>
      <c r="BB2862" s="72" t="str">
        <f aca="false">IF(BA2862&lt;&gt;"",VLOOKUP(BA2862,Selects!$B$4:$C$100,2,0),"")</f>
        <v/>
      </c>
      <c r="BG2862" s="75" t="str">
        <f aca="false">IF(LEN(BF2862)=11,"PF",IF(LEN(BF2862)=14,"PJ",""))</f>
        <v/>
      </c>
      <c r="BH2862" s="66"/>
    </row>
    <row r="2863" customFormat="false" ht="15" hidden="true" customHeight="false" outlineLevel="0" collapsed="false">
      <c r="AM2863" s="68" t="str">
        <f aca="false">IF(LEFT(AL2863,1)="9","Celular",IF(AL2863="","","Fixo"))</f>
        <v/>
      </c>
      <c r="BB2863" s="72" t="str">
        <f aca="false">IF(BA2863&lt;&gt;"",VLOOKUP(BA2863,Selects!$B$4:$C$100,2,0),"")</f>
        <v/>
      </c>
      <c r="BG2863" s="75" t="str">
        <f aca="false">IF(LEN(BF2863)=11,"PF",IF(LEN(BF2863)=14,"PJ",""))</f>
        <v/>
      </c>
      <c r="BH2863" s="66"/>
    </row>
    <row r="2864" customFormat="false" ht="15" hidden="true" customHeight="false" outlineLevel="0" collapsed="false">
      <c r="AM2864" s="68" t="str">
        <f aca="false">IF(LEFT(AL2864,1)="9","Celular",IF(AL2864="","","Fixo"))</f>
        <v/>
      </c>
      <c r="BB2864" s="72" t="str">
        <f aca="false">IF(BA2864&lt;&gt;"",VLOOKUP(BA2864,Selects!$B$4:$C$100,2,0),"")</f>
        <v/>
      </c>
      <c r="BG2864" s="75" t="str">
        <f aca="false">IF(LEN(BF2864)=11,"PF",IF(LEN(BF2864)=14,"PJ",""))</f>
        <v/>
      </c>
      <c r="BH2864" s="66"/>
    </row>
    <row r="2865" customFormat="false" ht="15" hidden="true" customHeight="false" outlineLevel="0" collapsed="false">
      <c r="AM2865" s="68" t="str">
        <f aca="false">IF(LEFT(AL2865,1)="9","Celular",IF(AL2865="","","Fixo"))</f>
        <v/>
      </c>
      <c r="BB2865" s="72" t="str">
        <f aca="false">IF(BA2865&lt;&gt;"",VLOOKUP(BA2865,Selects!$B$4:$C$100,2,0),"")</f>
        <v/>
      </c>
      <c r="BG2865" s="75" t="str">
        <f aca="false">IF(LEN(BF2865)=11,"PF",IF(LEN(BF2865)=14,"PJ",""))</f>
        <v/>
      </c>
      <c r="BH2865" s="66"/>
    </row>
    <row r="2866" customFormat="false" ht="15" hidden="true" customHeight="false" outlineLevel="0" collapsed="false">
      <c r="AM2866" s="68" t="str">
        <f aca="false">IF(LEFT(AL2866,1)="9","Celular",IF(AL2866="","","Fixo"))</f>
        <v/>
      </c>
      <c r="BB2866" s="72" t="str">
        <f aca="false">IF(BA2866&lt;&gt;"",VLOOKUP(BA2866,Selects!$B$4:$C$100,2,0),"")</f>
        <v/>
      </c>
      <c r="BG2866" s="75" t="str">
        <f aca="false">IF(LEN(BF2866)=11,"PF",IF(LEN(BF2866)=14,"PJ",""))</f>
        <v/>
      </c>
      <c r="BH2866" s="66"/>
    </row>
    <row r="2867" customFormat="false" ht="15" hidden="true" customHeight="false" outlineLevel="0" collapsed="false">
      <c r="AM2867" s="68" t="str">
        <f aca="false">IF(LEFT(AL2867,1)="9","Celular",IF(AL2867="","","Fixo"))</f>
        <v/>
      </c>
      <c r="BB2867" s="72" t="str">
        <f aca="false">IF(BA2867&lt;&gt;"",VLOOKUP(BA2867,Selects!$B$4:$C$100,2,0),"")</f>
        <v/>
      </c>
      <c r="BG2867" s="75" t="str">
        <f aca="false">IF(LEN(BF2867)=11,"PF",IF(LEN(BF2867)=14,"PJ",""))</f>
        <v/>
      </c>
      <c r="BH2867" s="66"/>
    </row>
    <row r="2868" customFormat="false" ht="15" hidden="true" customHeight="false" outlineLevel="0" collapsed="false">
      <c r="AM2868" s="68" t="str">
        <f aca="false">IF(LEFT(AL2868,1)="9","Celular",IF(AL2868="","","Fixo"))</f>
        <v/>
      </c>
      <c r="BB2868" s="72" t="str">
        <f aca="false">IF(BA2868&lt;&gt;"",VLOOKUP(BA2868,Selects!$B$4:$C$100,2,0),"")</f>
        <v/>
      </c>
      <c r="BG2868" s="75" t="str">
        <f aca="false">IF(LEN(BF2868)=11,"PF",IF(LEN(BF2868)=14,"PJ",""))</f>
        <v/>
      </c>
      <c r="BH2868" s="66"/>
    </row>
    <row r="2869" customFormat="false" ht="15" hidden="true" customHeight="false" outlineLevel="0" collapsed="false">
      <c r="AM2869" s="68" t="str">
        <f aca="false">IF(LEFT(AL2869,1)="9","Celular",IF(AL2869="","","Fixo"))</f>
        <v/>
      </c>
      <c r="BB2869" s="72" t="str">
        <f aca="false">IF(BA2869&lt;&gt;"",VLOOKUP(BA2869,Selects!$B$4:$C$100,2,0),"")</f>
        <v/>
      </c>
      <c r="BG2869" s="75" t="str">
        <f aca="false">IF(LEN(BF2869)=11,"PF",IF(LEN(BF2869)=14,"PJ",""))</f>
        <v/>
      </c>
      <c r="BH2869" s="66"/>
    </row>
    <row r="2870" customFormat="false" ht="15" hidden="true" customHeight="false" outlineLevel="0" collapsed="false">
      <c r="AM2870" s="68" t="str">
        <f aca="false">IF(LEFT(AL2870,1)="9","Celular",IF(AL2870="","","Fixo"))</f>
        <v/>
      </c>
      <c r="BB2870" s="72" t="str">
        <f aca="false">IF(BA2870&lt;&gt;"",VLOOKUP(BA2870,Selects!$B$4:$C$100,2,0),"")</f>
        <v/>
      </c>
      <c r="BG2870" s="75" t="str">
        <f aca="false">IF(LEN(BF2870)=11,"PF",IF(LEN(BF2870)=14,"PJ",""))</f>
        <v/>
      </c>
      <c r="BH2870" s="66"/>
    </row>
    <row r="2871" customFormat="false" ht="15" hidden="true" customHeight="false" outlineLevel="0" collapsed="false">
      <c r="AM2871" s="68" t="str">
        <f aca="false">IF(LEFT(AL2871,1)="9","Celular",IF(AL2871="","","Fixo"))</f>
        <v/>
      </c>
      <c r="BB2871" s="72" t="str">
        <f aca="false">IF(BA2871&lt;&gt;"",VLOOKUP(BA2871,Selects!$B$4:$C$100,2,0),"")</f>
        <v/>
      </c>
      <c r="BG2871" s="75" t="str">
        <f aca="false">IF(LEN(BF2871)=11,"PF",IF(LEN(BF2871)=14,"PJ",""))</f>
        <v/>
      </c>
      <c r="BH2871" s="66"/>
    </row>
    <row r="2872" customFormat="false" ht="15" hidden="true" customHeight="false" outlineLevel="0" collapsed="false">
      <c r="AM2872" s="68" t="str">
        <f aca="false">IF(LEFT(AL2872,1)="9","Celular",IF(AL2872="","","Fixo"))</f>
        <v/>
      </c>
      <c r="BB2872" s="72" t="str">
        <f aca="false">IF(BA2872&lt;&gt;"",VLOOKUP(BA2872,Selects!$B$4:$C$100,2,0),"")</f>
        <v/>
      </c>
      <c r="BG2872" s="75" t="str">
        <f aca="false">IF(LEN(BF2872)=11,"PF",IF(LEN(BF2872)=14,"PJ",""))</f>
        <v/>
      </c>
      <c r="BH2872" s="66"/>
    </row>
    <row r="2873" customFormat="false" ht="15" hidden="true" customHeight="false" outlineLevel="0" collapsed="false">
      <c r="AM2873" s="68" t="str">
        <f aca="false">IF(LEFT(AL2873,1)="9","Celular",IF(AL2873="","","Fixo"))</f>
        <v/>
      </c>
      <c r="BB2873" s="72" t="str">
        <f aca="false">IF(BA2873&lt;&gt;"",VLOOKUP(BA2873,Selects!$B$4:$C$100,2,0),"")</f>
        <v/>
      </c>
      <c r="BG2873" s="75" t="str">
        <f aca="false">IF(LEN(BF2873)=11,"PF",IF(LEN(BF2873)=14,"PJ",""))</f>
        <v/>
      </c>
      <c r="BH2873" s="66"/>
    </row>
    <row r="2874" customFormat="false" ht="15" hidden="true" customHeight="false" outlineLevel="0" collapsed="false">
      <c r="AM2874" s="68" t="str">
        <f aca="false">IF(LEFT(AL2874,1)="9","Celular",IF(AL2874="","","Fixo"))</f>
        <v/>
      </c>
      <c r="BB2874" s="72" t="str">
        <f aca="false">IF(BA2874&lt;&gt;"",VLOOKUP(BA2874,Selects!$B$4:$C$100,2,0),"")</f>
        <v/>
      </c>
      <c r="BG2874" s="75" t="str">
        <f aca="false">IF(LEN(BF2874)=11,"PF",IF(LEN(BF2874)=14,"PJ",""))</f>
        <v/>
      </c>
      <c r="BH2874" s="66"/>
    </row>
    <row r="2875" customFormat="false" ht="15" hidden="true" customHeight="false" outlineLevel="0" collapsed="false">
      <c r="AM2875" s="68" t="str">
        <f aca="false">IF(LEFT(AL2875,1)="9","Celular",IF(AL2875="","","Fixo"))</f>
        <v/>
      </c>
      <c r="BB2875" s="72" t="str">
        <f aca="false">IF(BA2875&lt;&gt;"",VLOOKUP(BA2875,Selects!$B$4:$C$100,2,0),"")</f>
        <v/>
      </c>
      <c r="BG2875" s="75" t="str">
        <f aca="false">IF(LEN(BF2875)=11,"PF",IF(LEN(BF2875)=14,"PJ",""))</f>
        <v/>
      </c>
      <c r="BH2875" s="66"/>
    </row>
    <row r="2876" customFormat="false" ht="15" hidden="true" customHeight="false" outlineLevel="0" collapsed="false">
      <c r="AM2876" s="68" t="str">
        <f aca="false">IF(LEFT(AL2876,1)="9","Celular",IF(AL2876="","","Fixo"))</f>
        <v/>
      </c>
      <c r="BB2876" s="72" t="str">
        <f aca="false">IF(BA2876&lt;&gt;"",VLOOKUP(BA2876,Selects!$B$4:$C$100,2,0),"")</f>
        <v/>
      </c>
      <c r="BG2876" s="75" t="str">
        <f aca="false">IF(LEN(BF2876)=11,"PF",IF(LEN(BF2876)=14,"PJ",""))</f>
        <v/>
      </c>
      <c r="BH2876" s="66"/>
    </row>
    <row r="2877" customFormat="false" ht="15" hidden="true" customHeight="false" outlineLevel="0" collapsed="false">
      <c r="AM2877" s="68" t="str">
        <f aca="false">IF(LEFT(AL2877,1)="9","Celular",IF(AL2877="","","Fixo"))</f>
        <v/>
      </c>
      <c r="BB2877" s="72" t="str">
        <f aca="false">IF(BA2877&lt;&gt;"",VLOOKUP(BA2877,Selects!$B$4:$C$100,2,0),"")</f>
        <v/>
      </c>
      <c r="BG2877" s="75" t="str">
        <f aca="false">IF(LEN(BF2877)=11,"PF",IF(LEN(BF2877)=14,"PJ",""))</f>
        <v/>
      </c>
      <c r="BH2877" s="66"/>
    </row>
    <row r="2878" customFormat="false" ht="15" hidden="true" customHeight="false" outlineLevel="0" collapsed="false">
      <c r="AM2878" s="68" t="str">
        <f aca="false">IF(LEFT(AL2878,1)="9","Celular",IF(AL2878="","","Fixo"))</f>
        <v/>
      </c>
      <c r="BB2878" s="72" t="str">
        <f aca="false">IF(BA2878&lt;&gt;"",VLOOKUP(BA2878,Selects!$B$4:$C$100,2,0),"")</f>
        <v/>
      </c>
      <c r="BG2878" s="75" t="str">
        <f aca="false">IF(LEN(BF2878)=11,"PF",IF(LEN(BF2878)=14,"PJ",""))</f>
        <v/>
      </c>
      <c r="BH2878" s="66"/>
    </row>
    <row r="2879" customFormat="false" ht="15" hidden="true" customHeight="false" outlineLevel="0" collapsed="false">
      <c r="AM2879" s="68" t="str">
        <f aca="false">IF(LEFT(AL2879,1)="9","Celular",IF(AL2879="","","Fixo"))</f>
        <v/>
      </c>
      <c r="BB2879" s="72" t="str">
        <f aca="false">IF(BA2879&lt;&gt;"",VLOOKUP(BA2879,Selects!$B$4:$C$100,2,0),"")</f>
        <v/>
      </c>
      <c r="BG2879" s="75" t="str">
        <f aca="false">IF(LEN(BF2879)=11,"PF",IF(LEN(BF2879)=14,"PJ",""))</f>
        <v/>
      </c>
      <c r="BH2879" s="66"/>
    </row>
    <row r="2880" customFormat="false" ht="15" hidden="true" customHeight="false" outlineLevel="0" collapsed="false">
      <c r="AM2880" s="68" t="str">
        <f aca="false">IF(LEFT(AL2880,1)="9","Celular",IF(AL2880="","","Fixo"))</f>
        <v/>
      </c>
      <c r="BB2880" s="72" t="str">
        <f aca="false">IF(BA2880&lt;&gt;"",VLOOKUP(BA2880,Selects!$B$4:$C$100,2,0),"")</f>
        <v/>
      </c>
      <c r="BG2880" s="75" t="str">
        <f aca="false">IF(LEN(BF2880)=11,"PF",IF(LEN(BF2880)=14,"PJ",""))</f>
        <v/>
      </c>
      <c r="BH2880" s="66"/>
    </row>
    <row r="2881" customFormat="false" ht="15" hidden="true" customHeight="false" outlineLevel="0" collapsed="false">
      <c r="AM2881" s="68" t="str">
        <f aca="false">IF(LEFT(AL2881,1)="9","Celular",IF(AL2881="","","Fixo"))</f>
        <v/>
      </c>
      <c r="BB2881" s="72" t="str">
        <f aca="false">IF(BA2881&lt;&gt;"",VLOOKUP(BA2881,Selects!$B$4:$C$100,2,0),"")</f>
        <v/>
      </c>
      <c r="BG2881" s="75" t="str">
        <f aca="false">IF(LEN(BF2881)=11,"PF",IF(LEN(BF2881)=14,"PJ",""))</f>
        <v/>
      </c>
      <c r="BH2881" s="66"/>
    </row>
    <row r="2882" customFormat="false" ht="15" hidden="true" customHeight="false" outlineLevel="0" collapsed="false">
      <c r="AM2882" s="68" t="str">
        <f aca="false">IF(LEFT(AL2882,1)="9","Celular",IF(AL2882="","","Fixo"))</f>
        <v/>
      </c>
      <c r="BB2882" s="72" t="str">
        <f aca="false">IF(BA2882&lt;&gt;"",VLOOKUP(BA2882,Selects!$B$4:$C$100,2,0),"")</f>
        <v/>
      </c>
      <c r="BG2882" s="75" t="str">
        <f aca="false">IF(LEN(BF2882)=11,"PF",IF(LEN(BF2882)=14,"PJ",""))</f>
        <v/>
      </c>
      <c r="BH2882" s="66"/>
    </row>
    <row r="2883" customFormat="false" ht="15" hidden="true" customHeight="false" outlineLevel="0" collapsed="false">
      <c r="AM2883" s="68" t="str">
        <f aca="false">IF(LEFT(AL2883,1)="9","Celular",IF(AL2883="","","Fixo"))</f>
        <v/>
      </c>
      <c r="BB2883" s="72" t="str">
        <f aca="false">IF(BA2883&lt;&gt;"",VLOOKUP(BA2883,Selects!$B$4:$C$100,2,0),"")</f>
        <v/>
      </c>
      <c r="BG2883" s="75" t="str">
        <f aca="false">IF(LEN(BF2883)=11,"PF",IF(LEN(BF2883)=14,"PJ",""))</f>
        <v/>
      </c>
      <c r="BH2883" s="66"/>
    </row>
    <row r="2884" customFormat="false" ht="15" hidden="true" customHeight="false" outlineLevel="0" collapsed="false">
      <c r="AM2884" s="68" t="str">
        <f aca="false">IF(LEFT(AL2884,1)="9","Celular",IF(AL2884="","","Fixo"))</f>
        <v/>
      </c>
      <c r="BB2884" s="72" t="str">
        <f aca="false">IF(BA2884&lt;&gt;"",VLOOKUP(BA2884,Selects!$B$4:$C$100,2,0),"")</f>
        <v/>
      </c>
      <c r="BG2884" s="75" t="str">
        <f aca="false">IF(LEN(BF2884)=11,"PF",IF(LEN(BF2884)=14,"PJ",""))</f>
        <v/>
      </c>
      <c r="BH2884" s="66"/>
    </row>
    <row r="2885" customFormat="false" ht="15" hidden="true" customHeight="false" outlineLevel="0" collapsed="false">
      <c r="AM2885" s="68" t="str">
        <f aca="false">IF(LEFT(AL2885,1)="9","Celular",IF(AL2885="","","Fixo"))</f>
        <v/>
      </c>
      <c r="BB2885" s="72" t="str">
        <f aca="false">IF(BA2885&lt;&gt;"",VLOOKUP(BA2885,Selects!$B$4:$C$100,2,0),"")</f>
        <v/>
      </c>
      <c r="BG2885" s="75" t="str">
        <f aca="false">IF(LEN(BF2885)=11,"PF",IF(LEN(BF2885)=14,"PJ",""))</f>
        <v/>
      </c>
      <c r="BH2885" s="66"/>
    </row>
    <row r="2886" customFormat="false" ht="15" hidden="true" customHeight="false" outlineLevel="0" collapsed="false">
      <c r="AM2886" s="68" t="str">
        <f aca="false">IF(LEFT(AL2886,1)="9","Celular",IF(AL2886="","","Fixo"))</f>
        <v/>
      </c>
      <c r="BB2886" s="72" t="str">
        <f aca="false">IF(BA2886&lt;&gt;"",VLOOKUP(BA2886,Selects!$B$4:$C$100,2,0),"")</f>
        <v/>
      </c>
      <c r="BG2886" s="75" t="str">
        <f aca="false">IF(LEN(BF2886)=11,"PF",IF(LEN(BF2886)=14,"PJ",""))</f>
        <v/>
      </c>
      <c r="BH2886" s="66"/>
    </row>
    <row r="2887" customFormat="false" ht="15" hidden="true" customHeight="false" outlineLevel="0" collapsed="false">
      <c r="AM2887" s="68" t="str">
        <f aca="false">IF(LEFT(AL2887,1)="9","Celular",IF(AL2887="","","Fixo"))</f>
        <v/>
      </c>
      <c r="BB2887" s="72" t="str">
        <f aca="false">IF(BA2887&lt;&gt;"",VLOOKUP(BA2887,Selects!$B$4:$C$100,2,0),"")</f>
        <v/>
      </c>
      <c r="BG2887" s="75" t="str">
        <f aca="false">IF(LEN(BF2887)=11,"PF",IF(LEN(BF2887)=14,"PJ",""))</f>
        <v/>
      </c>
      <c r="BH2887" s="66"/>
    </row>
    <row r="2888" customFormat="false" ht="15" hidden="true" customHeight="false" outlineLevel="0" collapsed="false">
      <c r="AM2888" s="68" t="str">
        <f aca="false">IF(LEFT(AL2888,1)="9","Celular",IF(AL2888="","","Fixo"))</f>
        <v/>
      </c>
      <c r="BB2888" s="72" t="str">
        <f aca="false">IF(BA2888&lt;&gt;"",VLOOKUP(BA2888,Selects!$B$4:$C$100,2,0),"")</f>
        <v/>
      </c>
      <c r="BG2888" s="75" t="str">
        <f aca="false">IF(LEN(BF2888)=11,"PF",IF(LEN(BF2888)=14,"PJ",""))</f>
        <v/>
      </c>
      <c r="BH2888" s="66"/>
    </row>
    <row r="2889" customFormat="false" ht="15" hidden="true" customHeight="false" outlineLevel="0" collapsed="false">
      <c r="AM2889" s="68" t="str">
        <f aca="false">IF(LEFT(AL2889,1)="9","Celular",IF(AL2889="","","Fixo"))</f>
        <v/>
      </c>
      <c r="BB2889" s="72" t="str">
        <f aca="false">IF(BA2889&lt;&gt;"",VLOOKUP(BA2889,Selects!$B$4:$C$100,2,0),"")</f>
        <v/>
      </c>
      <c r="BG2889" s="75" t="str">
        <f aca="false">IF(LEN(BF2889)=11,"PF",IF(LEN(BF2889)=14,"PJ",""))</f>
        <v/>
      </c>
      <c r="BH2889" s="66"/>
    </row>
    <row r="2890" customFormat="false" ht="15" hidden="true" customHeight="false" outlineLevel="0" collapsed="false">
      <c r="AM2890" s="68" t="str">
        <f aca="false">IF(LEFT(AL2890,1)="9","Celular",IF(AL2890="","","Fixo"))</f>
        <v/>
      </c>
      <c r="BB2890" s="72" t="str">
        <f aca="false">IF(BA2890&lt;&gt;"",VLOOKUP(BA2890,Selects!$B$4:$C$100,2,0),"")</f>
        <v/>
      </c>
      <c r="BG2890" s="75" t="str">
        <f aca="false">IF(LEN(BF2890)=11,"PF",IF(LEN(BF2890)=14,"PJ",""))</f>
        <v/>
      </c>
      <c r="BH2890" s="66"/>
    </row>
    <row r="2891" customFormat="false" ht="15" hidden="true" customHeight="false" outlineLevel="0" collapsed="false">
      <c r="AM2891" s="68" t="str">
        <f aca="false">IF(LEFT(AL2891,1)="9","Celular",IF(AL2891="","","Fixo"))</f>
        <v/>
      </c>
      <c r="BB2891" s="72" t="str">
        <f aca="false">IF(BA2891&lt;&gt;"",VLOOKUP(BA2891,Selects!$B$4:$C$100,2,0),"")</f>
        <v/>
      </c>
      <c r="BG2891" s="75" t="str">
        <f aca="false">IF(LEN(BF2891)=11,"PF",IF(LEN(BF2891)=14,"PJ",""))</f>
        <v/>
      </c>
      <c r="BH2891" s="66"/>
    </row>
    <row r="2892" customFormat="false" ht="15" hidden="true" customHeight="false" outlineLevel="0" collapsed="false">
      <c r="AM2892" s="68" t="str">
        <f aca="false">IF(LEFT(AL2892,1)="9","Celular",IF(AL2892="","","Fixo"))</f>
        <v/>
      </c>
      <c r="BB2892" s="72" t="str">
        <f aca="false">IF(BA2892&lt;&gt;"",VLOOKUP(BA2892,Selects!$B$4:$C$100,2,0),"")</f>
        <v/>
      </c>
      <c r="BG2892" s="75" t="str">
        <f aca="false">IF(LEN(BF2892)=11,"PF",IF(LEN(BF2892)=14,"PJ",""))</f>
        <v/>
      </c>
      <c r="BH2892" s="66"/>
    </row>
    <row r="2893" customFormat="false" ht="15" hidden="true" customHeight="false" outlineLevel="0" collapsed="false">
      <c r="AM2893" s="68" t="str">
        <f aca="false">IF(LEFT(AL2893,1)="9","Celular",IF(AL2893="","","Fixo"))</f>
        <v/>
      </c>
      <c r="BB2893" s="72" t="str">
        <f aca="false">IF(BA2893&lt;&gt;"",VLOOKUP(BA2893,Selects!$B$4:$C$100,2,0),"")</f>
        <v/>
      </c>
      <c r="BG2893" s="75" t="str">
        <f aca="false">IF(LEN(BF2893)=11,"PF",IF(LEN(BF2893)=14,"PJ",""))</f>
        <v/>
      </c>
      <c r="BH2893" s="66"/>
    </row>
    <row r="2894" customFormat="false" ht="15" hidden="true" customHeight="false" outlineLevel="0" collapsed="false">
      <c r="AM2894" s="68" t="str">
        <f aca="false">IF(LEFT(AL2894,1)="9","Celular",IF(AL2894="","","Fixo"))</f>
        <v/>
      </c>
      <c r="BB2894" s="72" t="str">
        <f aca="false">IF(BA2894&lt;&gt;"",VLOOKUP(BA2894,Selects!$B$4:$C$100,2,0),"")</f>
        <v/>
      </c>
      <c r="BG2894" s="75" t="str">
        <f aca="false">IF(LEN(BF2894)=11,"PF",IF(LEN(BF2894)=14,"PJ",""))</f>
        <v/>
      </c>
      <c r="BH2894" s="66"/>
    </row>
    <row r="2895" customFormat="false" ht="15" hidden="true" customHeight="false" outlineLevel="0" collapsed="false">
      <c r="AM2895" s="68" t="str">
        <f aca="false">IF(LEFT(AL2895,1)="9","Celular",IF(AL2895="","","Fixo"))</f>
        <v/>
      </c>
      <c r="BB2895" s="72" t="str">
        <f aca="false">IF(BA2895&lt;&gt;"",VLOOKUP(BA2895,Selects!$B$4:$C$100,2,0),"")</f>
        <v/>
      </c>
      <c r="BG2895" s="75" t="str">
        <f aca="false">IF(LEN(BF2895)=11,"PF",IF(LEN(BF2895)=14,"PJ",""))</f>
        <v/>
      </c>
      <c r="BH2895" s="66"/>
    </row>
    <row r="2896" customFormat="false" ht="15" hidden="true" customHeight="false" outlineLevel="0" collapsed="false">
      <c r="AM2896" s="68" t="str">
        <f aca="false">IF(LEFT(AL2896,1)="9","Celular",IF(AL2896="","","Fixo"))</f>
        <v/>
      </c>
      <c r="BB2896" s="72" t="str">
        <f aca="false">IF(BA2896&lt;&gt;"",VLOOKUP(BA2896,Selects!$B$4:$C$100,2,0),"")</f>
        <v/>
      </c>
      <c r="BG2896" s="75" t="str">
        <f aca="false">IF(LEN(BF2896)=11,"PF",IF(LEN(BF2896)=14,"PJ",""))</f>
        <v/>
      </c>
      <c r="BH2896" s="66"/>
    </row>
    <row r="2897" customFormat="false" ht="15" hidden="true" customHeight="false" outlineLevel="0" collapsed="false">
      <c r="AM2897" s="68" t="str">
        <f aca="false">IF(LEFT(AL2897,1)="9","Celular",IF(AL2897="","","Fixo"))</f>
        <v/>
      </c>
      <c r="BB2897" s="72" t="str">
        <f aca="false">IF(BA2897&lt;&gt;"",VLOOKUP(BA2897,Selects!$B$4:$C$100,2,0),"")</f>
        <v/>
      </c>
      <c r="BG2897" s="75" t="str">
        <f aca="false">IF(LEN(BF2897)=11,"PF",IF(LEN(BF2897)=14,"PJ",""))</f>
        <v/>
      </c>
      <c r="BH2897" s="66"/>
    </row>
    <row r="2898" customFormat="false" ht="15" hidden="true" customHeight="false" outlineLevel="0" collapsed="false">
      <c r="AM2898" s="68" t="str">
        <f aca="false">IF(LEFT(AL2898,1)="9","Celular",IF(AL2898="","","Fixo"))</f>
        <v/>
      </c>
      <c r="BB2898" s="72" t="str">
        <f aca="false">IF(BA2898&lt;&gt;"",VLOOKUP(BA2898,Selects!$B$4:$C$100,2,0),"")</f>
        <v/>
      </c>
      <c r="BG2898" s="75" t="str">
        <f aca="false">IF(LEN(BF2898)=11,"PF",IF(LEN(BF2898)=14,"PJ",""))</f>
        <v/>
      </c>
      <c r="BH2898" s="66"/>
    </row>
    <row r="2899" customFormat="false" ht="15" hidden="true" customHeight="false" outlineLevel="0" collapsed="false">
      <c r="AM2899" s="68" t="str">
        <f aca="false">IF(LEFT(AL2899,1)="9","Celular",IF(AL2899="","","Fixo"))</f>
        <v/>
      </c>
      <c r="BB2899" s="72" t="str">
        <f aca="false">IF(BA2899&lt;&gt;"",VLOOKUP(BA2899,Selects!$B$4:$C$100,2,0),"")</f>
        <v/>
      </c>
      <c r="BG2899" s="75" t="str">
        <f aca="false">IF(LEN(BF2899)=11,"PF",IF(LEN(BF2899)=14,"PJ",""))</f>
        <v/>
      </c>
      <c r="BH2899" s="66"/>
    </row>
    <row r="2900" customFormat="false" ht="15" hidden="true" customHeight="false" outlineLevel="0" collapsed="false">
      <c r="AM2900" s="68" t="str">
        <f aca="false">IF(LEFT(AL2900,1)="9","Celular",IF(AL2900="","","Fixo"))</f>
        <v/>
      </c>
      <c r="BB2900" s="72" t="str">
        <f aca="false">IF(BA2900&lt;&gt;"",VLOOKUP(BA2900,Selects!$B$4:$C$100,2,0),"")</f>
        <v/>
      </c>
      <c r="BG2900" s="75" t="str">
        <f aca="false">IF(LEN(BF2900)=11,"PF",IF(LEN(BF2900)=14,"PJ",""))</f>
        <v/>
      </c>
      <c r="BH2900" s="66"/>
    </row>
    <row r="2901" customFormat="false" ht="15" hidden="true" customHeight="false" outlineLevel="0" collapsed="false">
      <c r="AM2901" s="68" t="str">
        <f aca="false">IF(LEFT(AL2901,1)="9","Celular",IF(AL2901="","","Fixo"))</f>
        <v/>
      </c>
      <c r="BB2901" s="72" t="str">
        <f aca="false">IF(BA2901&lt;&gt;"",VLOOKUP(BA2901,Selects!$B$4:$C$100,2,0),"")</f>
        <v/>
      </c>
      <c r="BG2901" s="75" t="str">
        <f aca="false">IF(LEN(BF2901)=11,"PF",IF(LEN(BF2901)=14,"PJ",""))</f>
        <v/>
      </c>
      <c r="BH2901" s="66"/>
    </row>
    <row r="2902" customFormat="false" ht="15" hidden="true" customHeight="false" outlineLevel="0" collapsed="false">
      <c r="AM2902" s="68" t="str">
        <f aca="false">IF(LEFT(AL2902,1)="9","Celular",IF(AL2902="","","Fixo"))</f>
        <v/>
      </c>
      <c r="BB2902" s="72" t="str">
        <f aca="false">IF(BA2902&lt;&gt;"",VLOOKUP(BA2902,Selects!$B$4:$C$100,2,0),"")</f>
        <v/>
      </c>
      <c r="BG2902" s="75" t="str">
        <f aca="false">IF(LEN(BF2902)=11,"PF",IF(LEN(BF2902)=14,"PJ",""))</f>
        <v/>
      </c>
      <c r="BH2902" s="66"/>
    </row>
    <row r="2903" customFormat="false" ht="15" hidden="true" customHeight="false" outlineLevel="0" collapsed="false">
      <c r="AM2903" s="68" t="str">
        <f aca="false">IF(LEFT(AL2903,1)="9","Celular",IF(AL2903="","","Fixo"))</f>
        <v/>
      </c>
      <c r="BB2903" s="72" t="str">
        <f aca="false">IF(BA2903&lt;&gt;"",VLOOKUP(BA2903,Selects!$B$4:$C$100,2,0),"")</f>
        <v/>
      </c>
      <c r="BG2903" s="75" t="str">
        <f aca="false">IF(LEN(BF2903)=11,"PF",IF(LEN(BF2903)=14,"PJ",""))</f>
        <v/>
      </c>
      <c r="BH2903" s="66"/>
    </row>
    <row r="2904" customFormat="false" ht="15" hidden="true" customHeight="false" outlineLevel="0" collapsed="false">
      <c r="AM2904" s="68" t="str">
        <f aca="false">IF(LEFT(AL2904,1)="9","Celular",IF(AL2904="","","Fixo"))</f>
        <v/>
      </c>
      <c r="BB2904" s="72" t="str">
        <f aca="false">IF(BA2904&lt;&gt;"",VLOOKUP(BA2904,Selects!$B$4:$C$100,2,0),"")</f>
        <v/>
      </c>
      <c r="BG2904" s="75" t="str">
        <f aca="false">IF(LEN(BF2904)=11,"PF",IF(LEN(BF2904)=14,"PJ",""))</f>
        <v/>
      </c>
      <c r="BH2904" s="66"/>
    </row>
    <row r="2905" customFormat="false" ht="15" hidden="true" customHeight="false" outlineLevel="0" collapsed="false">
      <c r="AM2905" s="68" t="str">
        <f aca="false">IF(LEFT(AL2905,1)="9","Celular",IF(AL2905="","","Fixo"))</f>
        <v/>
      </c>
      <c r="BB2905" s="72" t="str">
        <f aca="false">IF(BA2905&lt;&gt;"",VLOOKUP(BA2905,Selects!$B$4:$C$100,2,0),"")</f>
        <v/>
      </c>
      <c r="BG2905" s="75" t="str">
        <f aca="false">IF(LEN(BF2905)=11,"PF",IF(LEN(BF2905)=14,"PJ",""))</f>
        <v/>
      </c>
      <c r="BH2905" s="66"/>
    </row>
    <row r="2906" customFormat="false" ht="15" hidden="true" customHeight="false" outlineLevel="0" collapsed="false">
      <c r="AM2906" s="68" t="str">
        <f aca="false">IF(LEFT(AL2906,1)="9","Celular",IF(AL2906="","","Fixo"))</f>
        <v/>
      </c>
      <c r="BB2906" s="72" t="str">
        <f aca="false">IF(BA2906&lt;&gt;"",VLOOKUP(BA2906,Selects!$B$4:$C$100,2,0),"")</f>
        <v/>
      </c>
      <c r="BG2906" s="75" t="str">
        <f aca="false">IF(LEN(BF2906)=11,"PF",IF(LEN(BF2906)=14,"PJ",""))</f>
        <v/>
      </c>
      <c r="BH2906" s="66"/>
    </row>
    <row r="2907" customFormat="false" ht="15" hidden="true" customHeight="false" outlineLevel="0" collapsed="false">
      <c r="AM2907" s="68" t="str">
        <f aca="false">IF(LEFT(AL2907,1)="9","Celular",IF(AL2907="","","Fixo"))</f>
        <v/>
      </c>
      <c r="BB2907" s="72" t="str">
        <f aca="false">IF(BA2907&lt;&gt;"",VLOOKUP(BA2907,Selects!$B$4:$C$100,2,0),"")</f>
        <v/>
      </c>
      <c r="BG2907" s="75" t="str">
        <f aca="false">IF(LEN(BF2907)=11,"PF",IF(LEN(BF2907)=14,"PJ",""))</f>
        <v/>
      </c>
      <c r="BH2907" s="66"/>
    </row>
    <row r="2908" customFormat="false" ht="15" hidden="true" customHeight="false" outlineLevel="0" collapsed="false">
      <c r="AM2908" s="68" t="str">
        <f aca="false">IF(LEFT(AL2908,1)="9","Celular",IF(AL2908="","","Fixo"))</f>
        <v/>
      </c>
      <c r="BB2908" s="72" t="str">
        <f aca="false">IF(BA2908&lt;&gt;"",VLOOKUP(BA2908,Selects!$B$4:$C$100,2,0),"")</f>
        <v/>
      </c>
      <c r="BG2908" s="75" t="str">
        <f aca="false">IF(LEN(BF2908)=11,"PF",IF(LEN(BF2908)=14,"PJ",""))</f>
        <v/>
      </c>
      <c r="BH2908" s="66"/>
    </row>
    <row r="2909" customFormat="false" ht="15" hidden="true" customHeight="false" outlineLevel="0" collapsed="false">
      <c r="AM2909" s="68" t="str">
        <f aca="false">IF(LEFT(AL2909,1)="9","Celular",IF(AL2909="","","Fixo"))</f>
        <v/>
      </c>
      <c r="BB2909" s="72" t="str">
        <f aca="false">IF(BA2909&lt;&gt;"",VLOOKUP(BA2909,Selects!$B$4:$C$100,2,0),"")</f>
        <v/>
      </c>
      <c r="BG2909" s="75" t="str">
        <f aca="false">IF(LEN(BF2909)=11,"PF",IF(LEN(BF2909)=14,"PJ",""))</f>
        <v/>
      </c>
      <c r="BH2909" s="66"/>
    </row>
    <row r="2910" customFormat="false" ht="15" hidden="true" customHeight="false" outlineLevel="0" collapsed="false">
      <c r="AM2910" s="68" t="str">
        <f aca="false">IF(LEFT(AL2910,1)="9","Celular",IF(AL2910="","","Fixo"))</f>
        <v/>
      </c>
      <c r="BB2910" s="72" t="str">
        <f aca="false">IF(BA2910&lt;&gt;"",VLOOKUP(BA2910,Selects!$B$4:$C$100,2,0),"")</f>
        <v/>
      </c>
      <c r="BG2910" s="75" t="str">
        <f aca="false">IF(LEN(BF2910)=11,"PF",IF(LEN(BF2910)=14,"PJ",""))</f>
        <v/>
      </c>
      <c r="BH2910" s="66"/>
    </row>
    <row r="2911" customFormat="false" ht="15" hidden="true" customHeight="false" outlineLevel="0" collapsed="false">
      <c r="AM2911" s="68" t="str">
        <f aca="false">IF(LEFT(AL2911,1)="9","Celular",IF(AL2911="","","Fixo"))</f>
        <v/>
      </c>
      <c r="BB2911" s="72" t="str">
        <f aca="false">IF(BA2911&lt;&gt;"",VLOOKUP(BA2911,Selects!$B$4:$C$100,2,0),"")</f>
        <v/>
      </c>
      <c r="BG2911" s="75" t="str">
        <f aca="false">IF(LEN(BF2911)=11,"PF",IF(LEN(BF2911)=14,"PJ",""))</f>
        <v/>
      </c>
      <c r="BH2911" s="66"/>
    </row>
    <row r="2912" customFormat="false" ht="15" hidden="true" customHeight="false" outlineLevel="0" collapsed="false">
      <c r="AM2912" s="68" t="str">
        <f aca="false">IF(LEFT(AL2912,1)="9","Celular",IF(AL2912="","","Fixo"))</f>
        <v/>
      </c>
      <c r="BB2912" s="72" t="str">
        <f aca="false">IF(BA2912&lt;&gt;"",VLOOKUP(BA2912,Selects!$B$4:$C$100,2,0),"")</f>
        <v/>
      </c>
      <c r="BG2912" s="75" t="str">
        <f aca="false">IF(LEN(BF2912)=11,"PF",IF(LEN(BF2912)=14,"PJ",""))</f>
        <v/>
      </c>
      <c r="BH2912" s="66"/>
    </row>
    <row r="2913" customFormat="false" ht="15" hidden="true" customHeight="false" outlineLevel="0" collapsed="false">
      <c r="AM2913" s="68" t="str">
        <f aca="false">IF(LEFT(AL2913,1)="9","Celular",IF(AL2913="","","Fixo"))</f>
        <v/>
      </c>
      <c r="BB2913" s="72" t="str">
        <f aca="false">IF(BA2913&lt;&gt;"",VLOOKUP(BA2913,Selects!$B$4:$C$100,2,0),"")</f>
        <v/>
      </c>
      <c r="BG2913" s="75" t="str">
        <f aca="false">IF(LEN(BF2913)=11,"PF",IF(LEN(BF2913)=14,"PJ",""))</f>
        <v/>
      </c>
      <c r="BH2913" s="66"/>
    </row>
    <row r="2914" customFormat="false" ht="15" hidden="true" customHeight="false" outlineLevel="0" collapsed="false">
      <c r="AM2914" s="68" t="str">
        <f aca="false">IF(LEFT(AL2914,1)="9","Celular",IF(AL2914="","","Fixo"))</f>
        <v/>
      </c>
      <c r="BB2914" s="72" t="str">
        <f aca="false">IF(BA2914&lt;&gt;"",VLOOKUP(BA2914,Selects!$B$4:$C$100,2,0),"")</f>
        <v/>
      </c>
      <c r="BG2914" s="75" t="str">
        <f aca="false">IF(LEN(BF2914)=11,"PF",IF(LEN(BF2914)=14,"PJ",""))</f>
        <v/>
      </c>
      <c r="BH2914" s="66"/>
    </row>
    <row r="2915" customFormat="false" ht="15" hidden="true" customHeight="false" outlineLevel="0" collapsed="false">
      <c r="AM2915" s="68" t="str">
        <f aca="false">IF(LEFT(AL2915,1)="9","Celular",IF(AL2915="","","Fixo"))</f>
        <v/>
      </c>
      <c r="BB2915" s="72" t="str">
        <f aca="false">IF(BA2915&lt;&gt;"",VLOOKUP(BA2915,Selects!$B$4:$C$100,2,0),"")</f>
        <v/>
      </c>
      <c r="BG2915" s="75" t="str">
        <f aca="false">IF(LEN(BF2915)=11,"PF",IF(LEN(BF2915)=14,"PJ",""))</f>
        <v/>
      </c>
      <c r="BH2915" s="66"/>
    </row>
    <row r="2916" customFormat="false" ht="15" hidden="true" customHeight="false" outlineLevel="0" collapsed="false">
      <c r="AM2916" s="68" t="str">
        <f aca="false">IF(LEFT(AL2916,1)="9","Celular",IF(AL2916="","","Fixo"))</f>
        <v/>
      </c>
      <c r="BB2916" s="72" t="str">
        <f aca="false">IF(BA2916&lt;&gt;"",VLOOKUP(BA2916,Selects!$B$4:$C$100,2,0),"")</f>
        <v/>
      </c>
      <c r="BG2916" s="75" t="str">
        <f aca="false">IF(LEN(BF2916)=11,"PF",IF(LEN(BF2916)=14,"PJ",""))</f>
        <v/>
      </c>
      <c r="BH2916" s="66"/>
    </row>
    <row r="2917" customFormat="false" ht="15" hidden="true" customHeight="false" outlineLevel="0" collapsed="false">
      <c r="AM2917" s="68" t="str">
        <f aca="false">IF(LEFT(AL2917,1)="9","Celular",IF(AL2917="","","Fixo"))</f>
        <v/>
      </c>
      <c r="BB2917" s="72" t="str">
        <f aca="false">IF(BA2917&lt;&gt;"",VLOOKUP(BA2917,Selects!$B$4:$C$100,2,0),"")</f>
        <v/>
      </c>
      <c r="BG2917" s="75" t="str">
        <f aca="false">IF(LEN(BF2917)=11,"PF",IF(LEN(BF2917)=14,"PJ",""))</f>
        <v/>
      </c>
      <c r="BH2917" s="66"/>
    </row>
    <row r="2918" customFormat="false" ht="15" hidden="true" customHeight="false" outlineLevel="0" collapsed="false">
      <c r="AM2918" s="68" t="str">
        <f aca="false">IF(LEFT(AL2918,1)="9","Celular",IF(AL2918="","","Fixo"))</f>
        <v/>
      </c>
      <c r="BB2918" s="72" t="str">
        <f aca="false">IF(BA2918&lt;&gt;"",VLOOKUP(BA2918,Selects!$B$4:$C$100,2,0),"")</f>
        <v/>
      </c>
      <c r="BG2918" s="75" t="str">
        <f aca="false">IF(LEN(BF2918)=11,"PF",IF(LEN(BF2918)=14,"PJ",""))</f>
        <v/>
      </c>
      <c r="BH2918" s="66"/>
    </row>
    <row r="2919" customFormat="false" ht="15" hidden="true" customHeight="false" outlineLevel="0" collapsed="false">
      <c r="AM2919" s="68" t="str">
        <f aca="false">IF(LEFT(AL2919,1)="9","Celular",IF(AL2919="","","Fixo"))</f>
        <v/>
      </c>
      <c r="BB2919" s="72" t="str">
        <f aca="false">IF(BA2919&lt;&gt;"",VLOOKUP(BA2919,Selects!$B$4:$C$100,2,0),"")</f>
        <v/>
      </c>
      <c r="BG2919" s="75" t="str">
        <f aca="false">IF(LEN(BF2919)=11,"PF",IF(LEN(BF2919)=14,"PJ",""))</f>
        <v/>
      </c>
      <c r="BH2919" s="66"/>
    </row>
    <row r="2920" customFormat="false" ht="15" hidden="true" customHeight="false" outlineLevel="0" collapsed="false">
      <c r="AM2920" s="68" t="str">
        <f aca="false">IF(LEFT(AL2920,1)="9","Celular",IF(AL2920="","","Fixo"))</f>
        <v/>
      </c>
      <c r="BB2920" s="72" t="str">
        <f aca="false">IF(BA2920&lt;&gt;"",VLOOKUP(BA2920,Selects!$B$4:$C$100,2,0),"")</f>
        <v/>
      </c>
      <c r="BG2920" s="75" t="str">
        <f aca="false">IF(LEN(BF2920)=11,"PF",IF(LEN(BF2920)=14,"PJ",""))</f>
        <v/>
      </c>
      <c r="BH2920" s="66"/>
    </row>
    <row r="2921" customFormat="false" ht="15" hidden="true" customHeight="false" outlineLevel="0" collapsed="false">
      <c r="AM2921" s="68" t="str">
        <f aca="false">IF(LEFT(AL2921,1)="9","Celular",IF(AL2921="","","Fixo"))</f>
        <v/>
      </c>
      <c r="BB2921" s="72" t="str">
        <f aca="false">IF(BA2921&lt;&gt;"",VLOOKUP(BA2921,Selects!$B$4:$C$100,2,0),"")</f>
        <v/>
      </c>
      <c r="BG2921" s="75" t="str">
        <f aca="false">IF(LEN(BF2921)=11,"PF",IF(LEN(BF2921)=14,"PJ",""))</f>
        <v/>
      </c>
      <c r="BH2921" s="66"/>
    </row>
    <row r="2922" customFormat="false" ht="15" hidden="true" customHeight="false" outlineLevel="0" collapsed="false">
      <c r="AM2922" s="68" t="str">
        <f aca="false">IF(LEFT(AL2922,1)="9","Celular",IF(AL2922="","","Fixo"))</f>
        <v/>
      </c>
      <c r="BB2922" s="72" t="str">
        <f aca="false">IF(BA2922&lt;&gt;"",VLOOKUP(BA2922,Selects!$B$4:$C$100,2,0),"")</f>
        <v/>
      </c>
      <c r="BG2922" s="75" t="str">
        <f aca="false">IF(LEN(BF2922)=11,"PF",IF(LEN(BF2922)=14,"PJ",""))</f>
        <v/>
      </c>
      <c r="BH2922" s="66"/>
    </row>
    <row r="2923" customFormat="false" ht="15" hidden="true" customHeight="false" outlineLevel="0" collapsed="false">
      <c r="AM2923" s="68" t="str">
        <f aca="false">IF(LEFT(AL2923,1)="9","Celular",IF(AL2923="","","Fixo"))</f>
        <v/>
      </c>
      <c r="BB2923" s="72" t="str">
        <f aca="false">IF(BA2923&lt;&gt;"",VLOOKUP(BA2923,Selects!$B$4:$C$100,2,0),"")</f>
        <v/>
      </c>
      <c r="BG2923" s="75" t="str">
        <f aca="false">IF(LEN(BF2923)=11,"PF",IF(LEN(BF2923)=14,"PJ",""))</f>
        <v/>
      </c>
      <c r="BH2923" s="66"/>
    </row>
    <row r="2924" customFormat="false" ht="15" hidden="true" customHeight="false" outlineLevel="0" collapsed="false">
      <c r="AM2924" s="68" t="str">
        <f aca="false">IF(LEFT(AL2924,1)="9","Celular",IF(AL2924="","","Fixo"))</f>
        <v/>
      </c>
      <c r="BB2924" s="72" t="str">
        <f aca="false">IF(BA2924&lt;&gt;"",VLOOKUP(BA2924,Selects!$B$4:$C$100,2,0),"")</f>
        <v/>
      </c>
      <c r="BG2924" s="75" t="str">
        <f aca="false">IF(LEN(BF2924)=11,"PF",IF(LEN(BF2924)=14,"PJ",""))</f>
        <v/>
      </c>
      <c r="BH2924" s="66"/>
    </row>
    <row r="2925" customFormat="false" ht="15" hidden="true" customHeight="false" outlineLevel="0" collapsed="false">
      <c r="AM2925" s="68" t="str">
        <f aca="false">IF(LEFT(AL2925,1)="9","Celular",IF(AL2925="","","Fixo"))</f>
        <v/>
      </c>
      <c r="BB2925" s="72" t="str">
        <f aca="false">IF(BA2925&lt;&gt;"",VLOOKUP(BA2925,Selects!$B$4:$C$100,2,0),"")</f>
        <v/>
      </c>
      <c r="BG2925" s="75" t="str">
        <f aca="false">IF(LEN(BF2925)=11,"PF",IF(LEN(BF2925)=14,"PJ",""))</f>
        <v/>
      </c>
      <c r="BH2925" s="66"/>
    </row>
    <row r="2926" customFormat="false" ht="15" hidden="true" customHeight="false" outlineLevel="0" collapsed="false">
      <c r="AM2926" s="68" t="str">
        <f aca="false">IF(LEFT(AL2926,1)="9","Celular",IF(AL2926="","","Fixo"))</f>
        <v/>
      </c>
      <c r="BB2926" s="72" t="str">
        <f aca="false">IF(BA2926&lt;&gt;"",VLOOKUP(BA2926,Selects!$B$4:$C$100,2,0),"")</f>
        <v/>
      </c>
      <c r="BG2926" s="75" t="str">
        <f aca="false">IF(LEN(BF2926)=11,"PF",IF(LEN(BF2926)=14,"PJ",""))</f>
        <v/>
      </c>
      <c r="BH2926" s="66"/>
    </row>
    <row r="2927" customFormat="false" ht="15" hidden="true" customHeight="false" outlineLevel="0" collapsed="false">
      <c r="AM2927" s="68" t="str">
        <f aca="false">IF(LEFT(AL2927,1)="9","Celular",IF(AL2927="","","Fixo"))</f>
        <v/>
      </c>
      <c r="BB2927" s="72" t="str">
        <f aca="false">IF(BA2927&lt;&gt;"",VLOOKUP(BA2927,Selects!$B$4:$C$100,2,0),"")</f>
        <v/>
      </c>
      <c r="BG2927" s="75" t="str">
        <f aca="false">IF(LEN(BF2927)=11,"PF",IF(LEN(BF2927)=14,"PJ",""))</f>
        <v/>
      </c>
      <c r="BH2927" s="66"/>
    </row>
    <row r="2928" customFormat="false" ht="15" hidden="true" customHeight="false" outlineLevel="0" collapsed="false">
      <c r="AM2928" s="68" t="str">
        <f aca="false">IF(LEFT(AL2928,1)="9","Celular",IF(AL2928="","","Fixo"))</f>
        <v/>
      </c>
      <c r="BB2928" s="72" t="str">
        <f aca="false">IF(BA2928&lt;&gt;"",VLOOKUP(BA2928,Selects!$B$4:$C$100,2,0),"")</f>
        <v/>
      </c>
      <c r="BG2928" s="75" t="str">
        <f aca="false">IF(LEN(BF2928)=11,"PF",IF(LEN(BF2928)=14,"PJ",""))</f>
        <v/>
      </c>
      <c r="BH2928" s="66"/>
    </row>
    <row r="2929" customFormat="false" ht="15" hidden="true" customHeight="false" outlineLevel="0" collapsed="false">
      <c r="AM2929" s="68" t="str">
        <f aca="false">IF(LEFT(AL2929,1)="9","Celular",IF(AL2929="","","Fixo"))</f>
        <v/>
      </c>
      <c r="BB2929" s="72" t="str">
        <f aca="false">IF(BA2929&lt;&gt;"",VLOOKUP(BA2929,Selects!$B$4:$C$100,2,0),"")</f>
        <v/>
      </c>
      <c r="BG2929" s="75" t="str">
        <f aca="false">IF(LEN(BF2929)=11,"PF",IF(LEN(BF2929)=14,"PJ",""))</f>
        <v/>
      </c>
      <c r="BH2929" s="66"/>
    </row>
    <row r="2930" customFormat="false" ht="15" hidden="true" customHeight="false" outlineLevel="0" collapsed="false">
      <c r="AM2930" s="68" t="str">
        <f aca="false">IF(LEFT(AL2930,1)="9","Celular",IF(AL2930="","","Fixo"))</f>
        <v/>
      </c>
      <c r="BB2930" s="72" t="str">
        <f aca="false">IF(BA2930&lt;&gt;"",VLOOKUP(BA2930,Selects!$B$4:$C$100,2,0),"")</f>
        <v/>
      </c>
      <c r="BG2930" s="75" t="str">
        <f aca="false">IF(LEN(BF2930)=11,"PF",IF(LEN(BF2930)=14,"PJ",""))</f>
        <v/>
      </c>
      <c r="BH2930" s="66"/>
    </row>
    <row r="2931" customFormat="false" ht="15" hidden="true" customHeight="false" outlineLevel="0" collapsed="false">
      <c r="AM2931" s="68" t="str">
        <f aca="false">IF(LEFT(AL2931,1)="9","Celular",IF(AL2931="","","Fixo"))</f>
        <v/>
      </c>
      <c r="BB2931" s="72" t="str">
        <f aca="false">IF(BA2931&lt;&gt;"",VLOOKUP(BA2931,Selects!$B$4:$C$100,2,0),"")</f>
        <v/>
      </c>
      <c r="BG2931" s="75" t="str">
        <f aca="false">IF(LEN(BF2931)=11,"PF",IF(LEN(BF2931)=14,"PJ",""))</f>
        <v/>
      </c>
      <c r="BH2931" s="66"/>
    </row>
    <row r="2932" customFormat="false" ht="15" hidden="true" customHeight="false" outlineLevel="0" collapsed="false">
      <c r="AM2932" s="68" t="str">
        <f aca="false">IF(LEFT(AL2932,1)="9","Celular",IF(AL2932="","","Fixo"))</f>
        <v/>
      </c>
      <c r="BB2932" s="72" t="str">
        <f aca="false">IF(BA2932&lt;&gt;"",VLOOKUP(BA2932,Selects!$B$4:$C$100,2,0),"")</f>
        <v/>
      </c>
      <c r="BG2932" s="75" t="str">
        <f aca="false">IF(LEN(BF2932)=11,"PF",IF(LEN(BF2932)=14,"PJ",""))</f>
        <v/>
      </c>
      <c r="BH2932" s="66"/>
    </row>
    <row r="2933" customFormat="false" ht="15" hidden="true" customHeight="false" outlineLevel="0" collapsed="false">
      <c r="AM2933" s="68" t="str">
        <f aca="false">IF(LEFT(AL2933,1)="9","Celular",IF(AL2933="","","Fixo"))</f>
        <v/>
      </c>
      <c r="BB2933" s="72" t="str">
        <f aca="false">IF(BA2933&lt;&gt;"",VLOOKUP(BA2933,Selects!$B$4:$C$100,2,0),"")</f>
        <v/>
      </c>
      <c r="BG2933" s="75" t="str">
        <f aca="false">IF(LEN(BF2933)=11,"PF",IF(LEN(BF2933)=14,"PJ",""))</f>
        <v/>
      </c>
      <c r="BH2933" s="66"/>
    </row>
    <row r="2934" customFormat="false" ht="15" hidden="true" customHeight="false" outlineLevel="0" collapsed="false">
      <c r="AM2934" s="68" t="str">
        <f aca="false">IF(LEFT(AL2934,1)="9","Celular",IF(AL2934="","","Fixo"))</f>
        <v/>
      </c>
      <c r="BB2934" s="72" t="str">
        <f aca="false">IF(BA2934&lt;&gt;"",VLOOKUP(BA2934,Selects!$B$4:$C$100,2,0),"")</f>
        <v/>
      </c>
      <c r="BG2934" s="75" t="str">
        <f aca="false">IF(LEN(BF2934)=11,"PF",IF(LEN(BF2934)=14,"PJ",""))</f>
        <v/>
      </c>
      <c r="BH2934" s="66"/>
    </row>
    <row r="2935" customFormat="false" ht="15" hidden="true" customHeight="false" outlineLevel="0" collapsed="false">
      <c r="AM2935" s="68" t="str">
        <f aca="false">IF(LEFT(AL2935,1)="9","Celular",IF(AL2935="","","Fixo"))</f>
        <v/>
      </c>
      <c r="BB2935" s="72" t="str">
        <f aca="false">IF(BA2935&lt;&gt;"",VLOOKUP(BA2935,Selects!$B$4:$C$100,2,0),"")</f>
        <v/>
      </c>
      <c r="BG2935" s="75" t="str">
        <f aca="false">IF(LEN(BF2935)=11,"PF",IF(LEN(BF2935)=14,"PJ",""))</f>
        <v/>
      </c>
      <c r="BH2935" s="66"/>
    </row>
    <row r="2936" customFormat="false" ht="15" hidden="true" customHeight="false" outlineLevel="0" collapsed="false">
      <c r="AM2936" s="68" t="str">
        <f aca="false">IF(LEFT(AL2936,1)="9","Celular",IF(AL2936="","","Fixo"))</f>
        <v/>
      </c>
      <c r="BB2936" s="72" t="str">
        <f aca="false">IF(BA2936&lt;&gt;"",VLOOKUP(BA2936,Selects!$B$4:$C$100,2,0),"")</f>
        <v/>
      </c>
      <c r="BG2936" s="75" t="str">
        <f aca="false">IF(LEN(BF2936)=11,"PF",IF(LEN(BF2936)=14,"PJ",""))</f>
        <v/>
      </c>
      <c r="BH2936" s="66"/>
    </row>
    <row r="2937" customFormat="false" ht="15" hidden="true" customHeight="false" outlineLevel="0" collapsed="false">
      <c r="AM2937" s="68" t="str">
        <f aca="false">IF(LEFT(AL2937,1)="9","Celular",IF(AL2937="","","Fixo"))</f>
        <v/>
      </c>
      <c r="BB2937" s="72" t="str">
        <f aca="false">IF(BA2937&lt;&gt;"",VLOOKUP(BA2937,Selects!$B$4:$C$100,2,0),"")</f>
        <v/>
      </c>
      <c r="BG2937" s="75" t="str">
        <f aca="false">IF(LEN(BF2937)=11,"PF",IF(LEN(BF2937)=14,"PJ",""))</f>
        <v/>
      </c>
      <c r="BH2937" s="66"/>
    </row>
    <row r="2938" customFormat="false" ht="15" hidden="true" customHeight="false" outlineLevel="0" collapsed="false">
      <c r="AM2938" s="68" t="str">
        <f aca="false">IF(LEFT(AL2938,1)="9","Celular",IF(AL2938="","","Fixo"))</f>
        <v/>
      </c>
      <c r="BB2938" s="72" t="str">
        <f aca="false">IF(BA2938&lt;&gt;"",VLOOKUP(BA2938,Selects!$B$4:$C$100,2,0),"")</f>
        <v/>
      </c>
      <c r="BG2938" s="75" t="str">
        <f aca="false">IF(LEN(BF2938)=11,"PF",IF(LEN(BF2938)=14,"PJ",""))</f>
        <v/>
      </c>
      <c r="BH2938" s="66"/>
    </row>
    <row r="2939" customFormat="false" ht="15" hidden="true" customHeight="false" outlineLevel="0" collapsed="false">
      <c r="AM2939" s="68" t="str">
        <f aca="false">IF(LEFT(AL2939,1)="9","Celular",IF(AL2939="","","Fixo"))</f>
        <v/>
      </c>
      <c r="BB2939" s="72" t="str">
        <f aca="false">IF(BA2939&lt;&gt;"",VLOOKUP(BA2939,Selects!$B$4:$C$100,2,0),"")</f>
        <v/>
      </c>
      <c r="BG2939" s="75" t="str">
        <f aca="false">IF(LEN(BF2939)=11,"PF",IF(LEN(BF2939)=14,"PJ",""))</f>
        <v/>
      </c>
      <c r="BH2939" s="66"/>
    </row>
    <row r="2940" customFormat="false" ht="15" hidden="true" customHeight="false" outlineLevel="0" collapsed="false">
      <c r="AM2940" s="68" t="str">
        <f aca="false">IF(LEFT(AL2940,1)="9","Celular",IF(AL2940="","","Fixo"))</f>
        <v/>
      </c>
      <c r="BB2940" s="72" t="str">
        <f aca="false">IF(BA2940&lt;&gt;"",VLOOKUP(BA2940,Selects!$B$4:$C$100,2,0),"")</f>
        <v/>
      </c>
      <c r="BG2940" s="75" t="str">
        <f aca="false">IF(LEN(BF2940)=11,"PF",IF(LEN(BF2940)=14,"PJ",""))</f>
        <v/>
      </c>
      <c r="BH2940" s="66"/>
    </row>
    <row r="2941" customFormat="false" ht="15" hidden="true" customHeight="false" outlineLevel="0" collapsed="false">
      <c r="AM2941" s="68" t="str">
        <f aca="false">IF(LEFT(AL2941,1)="9","Celular",IF(AL2941="","","Fixo"))</f>
        <v/>
      </c>
      <c r="BB2941" s="72" t="str">
        <f aca="false">IF(BA2941&lt;&gt;"",VLOOKUP(BA2941,Selects!$B$4:$C$100,2,0),"")</f>
        <v/>
      </c>
      <c r="BG2941" s="75" t="str">
        <f aca="false">IF(LEN(BF2941)=11,"PF",IF(LEN(BF2941)=14,"PJ",""))</f>
        <v/>
      </c>
      <c r="BH2941" s="66"/>
    </row>
    <row r="2942" customFormat="false" ht="15" hidden="true" customHeight="false" outlineLevel="0" collapsed="false">
      <c r="AM2942" s="68" t="str">
        <f aca="false">IF(LEFT(AL2942,1)="9","Celular",IF(AL2942="","","Fixo"))</f>
        <v/>
      </c>
      <c r="BB2942" s="72" t="str">
        <f aca="false">IF(BA2942&lt;&gt;"",VLOOKUP(BA2942,Selects!$B$4:$C$100,2,0),"")</f>
        <v/>
      </c>
      <c r="BG2942" s="75" t="str">
        <f aca="false">IF(LEN(BF2942)=11,"PF",IF(LEN(BF2942)=14,"PJ",""))</f>
        <v/>
      </c>
      <c r="BH2942" s="66"/>
    </row>
    <row r="2943" customFormat="false" ht="15" hidden="true" customHeight="false" outlineLevel="0" collapsed="false">
      <c r="AM2943" s="68" t="str">
        <f aca="false">IF(LEFT(AL2943,1)="9","Celular",IF(AL2943="","","Fixo"))</f>
        <v/>
      </c>
      <c r="BB2943" s="72" t="str">
        <f aca="false">IF(BA2943&lt;&gt;"",VLOOKUP(BA2943,Selects!$B$4:$C$100,2,0),"")</f>
        <v/>
      </c>
      <c r="BG2943" s="75" t="str">
        <f aca="false">IF(LEN(BF2943)=11,"PF",IF(LEN(BF2943)=14,"PJ",""))</f>
        <v/>
      </c>
      <c r="BH2943" s="66"/>
    </row>
    <row r="2944" customFormat="false" ht="15" hidden="true" customHeight="false" outlineLevel="0" collapsed="false">
      <c r="AM2944" s="68" t="str">
        <f aca="false">IF(LEFT(AL2944,1)="9","Celular",IF(AL2944="","","Fixo"))</f>
        <v/>
      </c>
      <c r="BB2944" s="72" t="str">
        <f aca="false">IF(BA2944&lt;&gt;"",VLOOKUP(BA2944,Selects!$B$4:$C$100,2,0),"")</f>
        <v/>
      </c>
      <c r="BG2944" s="75" t="str">
        <f aca="false">IF(LEN(BF2944)=11,"PF",IF(LEN(BF2944)=14,"PJ",""))</f>
        <v/>
      </c>
      <c r="BH2944" s="66"/>
    </row>
    <row r="2945" customFormat="false" ht="15" hidden="true" customHeight="false" outlineLevel="0" collapsed="false">
      <c r="AM2945" s="68" t="str">
        <f aca="false">IF(LEFT(AL2945,1)="9","Celular",IF(AL2945="","","Fixo"))</f>
        <v/>
      </c>
      <c r="BB2945" s="72" t="str">
        <f aca="false">IF(BA2945&lt;&gt;"",VLOOKUP(BA2945,Selects!$B$4:$C$100,2,0),"")</f>
        <v/>
      </c>
      <c r="BG2945" s="75" t="str">
        <f aca="false">IF(LEN(BF2945)=11,"PF",IF(LEN(BF2945)=14,"PJ",""))</f>
        <v/>
      </c>
      <c r="BH2945" s="66"/>
    </row>
    <row r="2946" customFormat="false" ht="15" hidden="true" customHeight="false" outlineLevel="0" collapsed="false">
      <c r="AM2946" s="68" t="str">
        <f aca="false">IF(LEFT(AL2946,1)="9","Celular",IF(AL2946="","","Fixo"))</f>
        <v/>
      </c>
      <c r="BB2946" s="72" t="str">
        <f aca="false">IF(BA2946&lt;&gt;"",VLOOKUP(BA2946,Selects!$B$4:$C$100,2,0),"")</f>
        <v/>
      </c>
      <c r="BG2946" s="75" t="str">
        <f aca="false">IF(LEN(BF2946)=11,"PF",IF(LEN(BF2946)=14,"PJ",""))</f>
        <v/>
      </c>
      <c r="BH2946" s="66"/>
    </row>
    <row r="2947" customFormat="false" ht="15" hidden="true" customHeight="false" outlineLevel="0" collapsed="false">
      <c r="AM2947" s="68" t="str">
        <f aca="false">IF(LEFT(AL2947,1)="9","Celular",IF(AL2947="","","Fixo"))</f>
        <v/>
      </c>
      <c r="BB2947" s="72" t="str">
        <f aca="false">IF(BA2947&lt;&gt;"",VLOOKUP(BA2947,Selects!$B$4:$C$100,2,0),"")</f>
        <v/>
      </c>
      <c r="BG2947" s="75" t="str">
        <f aca="false">IF(LEN(BF2947)=11,"PF",IF(LEN(BF2947)=14,"PJ",""))</f>
        <v/>
      </c>
      <c r="BH2947" s="66"/>
    </row>
    <row r="2948" customFormat="false" ht="15" hidden="true" customHeight="false" outlineLevel="0" collapsed="false">
      <c r="AM2948" s="68" t="str">
        <f aca="false">IF(LEFT(AL2948,1)="9","Celular",IF(AL2948="","","Fixo"))</f>
        <v/>
      </c>
      <c r="BB2948" s="72" t="str">
        <f aca="false">IF(BA2948&lt;&gt;"",VLOOKUP(BA2948,Selects!$B$4:$C$100,2,0),"")</f>
        <v/>
      </c>
      <c r="BG2948" s="75" t="str">
        <f aca="false">IF(LEN(BF2948)=11,"PF",IF(LEN(BF2948)=14,"PJ",""))</f>
        <v/>
      </c>
      <c r="BH2948" s="66"/>
    </row>
    <row r="2949" customFormat="false" ht="15" hidden="true" customHeight="false" outlineLevel="0" collapsed="false">
      <c r="AM2949" s="68" t="str">
        <f aca="false">IF(LEFT(AL2949,1)="9","Celular",IF(AL2949="","","Fixo"))</f>
        <v/>
      </c>
      <c r="BB2949" s="72" t="str">
        <f aca="false">IF(BA2949&lt;&gt;"",VLOOKUP(BA2949,Selects!$B$4:$C$100,2,0),"")</f>
        <v/>
      </c>
      <c r="BG2949" s="75" t="str">
        <f aca="false">IF(LEN(BF2949)=11,"PF",IF(LEN(BF2949)=14,"PJ",""))</f>
        <v/>
      </c>
      <c r="BH2949" s="66"/>
    </row>
    <row r="2950" customFormat="false" ht="15" hidden="true" customHeight="false" outlineLevel="0" collapsed="false">
      <c r="AM2950" s="68" t="str">
        <f aca="false">IF(LEFT(AL2950,1)="9","Celular",IF(AL2950="","","Fixo"))</f>
        <v/>
      </c>
      <c r="BB2950" s="72" t="str">
        <f aca="false">IF(BA2950&lt;&gt;"",VLOOKUP(BA2950,Selects!$B$4:$C$100,2,0),"")</f>
        <v/>
      </c>
      <c r="BG2950" s="75" t="str">
        <f aca="false">IF(LEN(BF2950)=11,"PF",IF(LEN(BF2950)=14,"PJ",""))</f>
        <v/>
      </c>
      <c r="BH2950" s="66"/>
    </row>
    <row r="2951" customFormat="false" ht="15" hidden="true" customHeight="false" outlineLevel="0" collapsed="false">
      <c r="AM2951" s="68" t="str">
        <f aca="false">IF(LEFT(AL2951,1)="9","Celular",IF(AL2951="","","Fixo"))</f>
        <v/>
      </c>
      <c r="BB2951" s="72" t="str">
        <f aca="false">IF(BA2951&lt;&gt;"",VLOOKUP(BA2951,Selects!$B$4:$C$100,2,0),"")</f>
        <v/>
      </c>
      <c r="BG2951" s="75" t="str">
        <f aca="false">IF(LEN(BF2951)=11,"PF",IF(LEN(BF2951)=14,"PJ",""))</f>
        <v/>
      </c>
      <c r="BH2951" s="66"/>
    </row>
    <row r="2952" customFormat="false" ht="15" hidden="true" customHeight="false" outlineLevel="0" collapsed="false">
      <c r="AM2952" s="68" t="str">
        <f aca="false">IF(LEFT(AL2952,1)="9","Celular",IF(AL2952="","","Fixo"))</f>
        <v/>
      </c>
      <c r="BB2952" s="72" t="str">
        <f aca="false">IF(BA2952&lt;&gt;"",VLOOKUP(BA2952,Selects!$B$4:$C$100,2,0),"")</f>
        <v/>
      </c>
      <c r="BG2952" s="75" t="str">
        <f aca="false">IF(LEN(BF2952)=11,"PF",IF(LEN(BF2952)=14,"PJ",""))</f>
        <v/>
      </c>
      <c r="BH2952" s="66"/>
    </row>
    <row r="2953" customFormat="false" ht="15" hidden="true" customHeight="false" outlineLevel="0" collapsed="false">
      <c r="AM2953" s="68" t="str">
        <f aca="false">IF(LEFT(AL2953,1)="9","Celular",IF(AL2953="","","Fixo"))</f>
        <v/>
      </c>
      <c r="BB2953" s="72" t="str">
        <f aca="false">IF(BA2953&lt;&gt;"",VLOOKUP(BA2953,Selects!$B$4:$C$100,2,0),"")</f>
        <v/>
      </c>
      <c r="BG2953" s="75" t="str">
        <f aca="false">IF(LEN(BF2953)=11,"PF",IF(LEN(BF2953)=14,"PJ",""))</f>
        <v/>
      </c>
      <c r="BH2953" s="66"/>
    </row>
    <row r="2954" customFormat="false" ht="15" hidden="true" customHeight="false" outlineLevel="0" collapsed="false">
      <c r="AM2954" s="68" t="str">
        <f aca="false">IF(LEFT(AL2954,1)="9","Celular",IF(AL2954="","","Fixo"))</f>
        <v/>
      </c>
      <c r="BB2954" s="72" t="str">
        <f aca="false">IF(BA2954&lt;&gt;"",VLOOKUP(BA2954,Selects!$B$4:$C$100,2,0),"")</f>
        <v/>
      </c>
      <c r="BG2954" s="75" t="str">
        <f aca="false">IF(LEN(BF2954)=11,"PF",IF(LEN(BF2954)=14,"PJ",""))</f>
        <v/>
      </c>
      <c r="BH2954" s="66"/>
    </row>
    <row r="2955" customFormat="false" ht="15" hidden="true" customHeight="false" outlineLevel="0" collapsed="false">
      <c r="AM2955" s="68" t="str">
        <f aca="false">IF(LEFT(AL2955,1)="9","Celular",IF(AL2955="","","Fixo"))</f>
        <v/>
      </c>
      <c r="BB2955" s="72" t="str">
        <f aca="false">IF(BA2955&lt;&gt;"",VLOOKUP(BA2955,Selects!$B$4:$C$100,2,0),"")</f>
        <v/>
      </c>
      <c r="BG2955" s="75" t="str">
        <f aca="false">IF(LEN(BF2955)=11,"PF",IF(LEN(BF2955)=14,"PJ",""))</f>
        <v/>
      </c>
      <c r="BH2955" s="66"/>
    </row>
    <row r="2956" customFormat="false" ht="15" hidden="true" customHeight="false" outlineLevel="0" collapsed="false">
      <c r="AM2956" s="68" t="str">
        <f aca="false">IF(LEFT(AL2956,1)="9","Celular",IF(AL2956="","","Fixo"))</f>
        <v/>
      </c>
      <c r="BB2956" s="72" t="str">
        <f aca="false">IF(BA2956&lt;&gt;"",VLOOKUP(BA2956,Selects!$B$4:$C$100,2,0),"")</f>
        <v/>
      </c>
      <c r="BG2956" s="75" t="str">
        <f aca="false">IF(LEN(BF2956)=11,"PF",IF(LEN(BF2956)=14,"PJ",""))</f>
        <v/>
      </c>
      <c r="BH2956" s="66"/>
    </row>
    <row r="2957" customFormat="false" ht="15" hidden="true" customHeight="false" outlineLevel="0" collapsed="false">
      <c r="AM2957" s="68" t="str">
        <f aca="false">IF(LEFT(AL2957,1)="9","Celular",IF(AL2957="","","Fixo"))</f>
        <v/>
      </c>
      <c r="BB2957" s="72" t="str">
        <f aca="false">IF(BA2957&lt;&gt;"",VLOOKUP(BA2957,Selects!$B$4:$C$100,2,0),"")</f>
        <v/>
      </c>
      <c r="BG2957" s="75" t="str">
        <f aca="false">IF(LEN(BF2957)=11,"PF",IF(LEN(BF2957)=14,"PJ",""))</f>
        <v/>
      </c>
      <c r="BH2957" s="66"/>
    </row>
    <row r="2958" customFormat="false" ht="15" hidden="true" customHeight="false" outlineLevel="0" collapsed="false">
      <c r="AM2958" s="68" t="str">
        <f aca="false">IF(LEFT(AL2958,1)="9","Celular",IF(AL2958="","","Fixo"))</f>
        <v/>
      </c>
      <c r="BB2958" s="72" t="str">
        <f aca="false">IF(BA2958&lt;&gt;"",VLOOKUP(BA2958,Selects!$B$4:$C$100,2,0),"")</f>
        <v/>
      </c>
      <c r="BG2958" s="75" t="str">
        <f aca="false">IF(LEN(BF2958)=11,"PF",IF(LEN(BF2958)=14,"PJ",""))</f>
        <v/>
      </c>
      <c r="BH2958" s="66"/>
    </row>
    <row r="2959" customFormat="false" ht="15" hidden="true" customHeight="false" outlineLevel="0" collapsed="false">
      <c r="AM2959" s="68" t="str">
        <f aca="false">IF(LEFT(AL2959,1)="9","Celular",IF(AL2959="","","Fixo"))</f>
        <v/>
      </c>
      <c r="BB2959" s="72" t="str">
        <f aca="false">IF(BA2959&lt;&gt;"",VLOOKUP(BA2959,Selects!$B$4:$C$100,2,0),"")</f>
        <v/>
      </c>
      <c r="BG2959" s="75" t="str">
        <f aca="false">IF(LEN(BF2959)=11,"PF",IF(LEN(BF2959)=14,"PJ",""))</f>
        <v/>
      </c>
      <c r="BH2959" s="66"/>
    </row>
    <row r="2960" customFormat="false" ht="15" hidden="true" customHeight="false" outlineLevel="0" collapsed="false">
      <c r="AM2960" s="68" t="str">
        <f aca="false">IF(LEFT(AL2960,1)="9","Celular",IF(AL2960="","","Fixo"))</f>
        <v/>
      </c>
      <c r="BB2960" s="72" t="str">
        <f aca="false">IF(BA2960&lt;&gt;"",VLOOKUP(BA2960,Selects!$B$4:$C$100,2,0),"")</f>
        <v/>
      </c>
      <c r="BG2960" s="75" t="str">
        <f aca="false">IF(LEN(BF2960)=11,"PF",IF(LEN(BF2960)=14,"PJ",""))</f>
        <v/>
      </c>
      <c r="BH2960" s="66"/>
    </row>
    <row r="2961" customFormat="false" ht="15" hidden="true" customHeight="false" outlineLevel="0" collapsed="false">
      <c r="AM2961" s="68" t="str">
        <f aca="false">IF(LEFT(AL2961,1)="9","Celular",IF(AL2961="","","Fixo"))</f>
        <v/>
      </c>
      <c r="BB2961" s="72" t="str">
        <f aca="false">IF(BA2961&lt;&gt;"",VLOOKUP(BA2961,Selects!$B$4:$C$100,2,0),"")</f>
        <v/>
      </c>
      <c r="BG2961" s="75" t="str">
        <f aca="false">IF(LEN(BF2961)=11,"PF",IF(LEN(BF2961)=14,"PJ",""))</f>
        <v/>
      </c>
      <c r="BH2961" s="66"/>
    </row>
    <row r="2962" customFormat="false" ht="15" hidden="true" customHeight="false" outlineLevel="0" collapsed="false">
      <c r="AM2962" s="68" t="str">
        <f aca="false">IF(LEFT(AL2962,1)="9","Celular",IF(AL2962="","","Fixo"))</f>
        <v/>
      </c>
      <c r="BB2962" s="72" t="str">
        <f aca="false">IF(BA2962&lt;&gt;"",VLOOKUP(BA2962,Selects!$B$4:$C$100,2,0),"")</f>
        <v/>
      </c>
      <c r="BG2962" s="75" t="str">
        <f aca="false">IF(LEN(BF2962)=11,"PF",IF(LEN(BF2962)=14,"PJ",""))</f>
        <v/>
      </c>
      <c r="BH2962" s="66"/>
    </row>
    <row r="2963" customFormat="false" ht="15" hidden="true" customHeight="false" outlineLevel="0" collapsed="false">
      <c r="AM2963" s="68" t="str">
        <f aca="false">IF(LEFT(AL2963,1)="9","Celular",IF(AL2963="","","Fixo"))</f>
        <v/>
      </c>
      <c r="BB2963" s="72" t="str">
        <f aca="false">IF(BA2963&lt;&gt;"",VLOOKUP(BA2963,Selects!$B$4:$C$100,2,0),"")</f>
        <v/>
      </c>
      <c r="BG2963" s="75" t="str">
        <f aca="false">IF(LEN(BF2963)=11,"PF",IF(LEN(BF2963)=14,"PJ",""))</f>
        <v/>
      </c>
      <c r="BH2963" s="66"/>
    </row>
    <row r="2964" customFormat="false" ht="15" hidden="true" customHeight="false" outlineLevel="0" collapsed="false">
      <c r="AM2964" s="68" t="str">
        <f aca="false">IF(LEFT(AL2964,1)="9","Celular",IF(AL2964="","","Fixo"))</f>
        <v/>
      </c>
      <c r="BB2964" s="72" t="str">
        <f aca="false">IF(BA2964&lt;&gt;"",VLOOKUP(BA2964,Selects!$B$4:$C$100,2,0),"")</f>
        <v/>
      </c>
      <c r="BG2964" s="75" t="str">
        <f aca="false">IF(LEN(BF2964)=11,"PF",IF(LEN(BF2964)=14,"PJ",""))</f>
        <v/>
      </c>
      <c r="BH2964" s="66"/>
    </row>
    <row r="2965" customFormat="false" ht="15" hidden="true" customHeight="false" outlineLevel="0" collapsed="false">
      <c r="AM2965" s="68" t="str">
        <f aca="false">IF(LEFT(AL2965,1)="9","Celular",IF(AL2965="","","Fixo"))</f>
        <v/>
      </c>
      <c r="BB2965" s="72" t="str">
        <f aca="false">IF(BA2965&lt;&gt;"",VLOOKUP(BA2965,Selects!$B$4:$C$100,2,0),"")</f>
        <v/>
      </c>
      <c r="BG2965" s="75" t="str">
        <f aca="false">IF(LEN(BF2965)=11,"PF",IF(LEN(BF2965)=14,"PJ",""))</f>
        <v/>
      </c>
      <c r="BH2965" s="66"/>
    </row>
    <row r="2966" customFormat="false" ht="15" hidden="true" customHeight="false" outlineLevel="0" collapsed="false">
      <c r="AM2966" s="68" t="str">
        <f aca="false">IF(LEFT(AL2966,1)="9","Celular",IF(AL2966="","","Fixo"))</f>
        <v/>
      </c>
      <c r="BB2966" s="72" t="str">
        <f aca="false">IF(BA2966&lt;&gt;"",VLOOKUP(BA2966,Selects!$B$4:$C$100,2,0),"")</f>
        <v/>
      </c>
      <c r="BG2966" s="75" t="str">
        <f aca="false">IF(LEN(BF2966)=11,"PF",IF(LEN(BF2966)=14,"PJ",""))</f>
        <v/>
      </c>
      <c r="BH2966" s="66"/>
    </row>
    <row r="2967" customFormat="false" ht="15" hidden="true" customHeight="false" outlineLevel="0" collapsed="false">
      <c r="AM2967" s="68" t="str">
        <f aca="false">IF(LEFT(AL2967,1)="9","Celular",IF(AL2967="","","Fixo"))</f>
        <v/>
      </c>
      <c r="BB2967" s="72" t="str">
        <f aca="false">IF(BA2967&lt;&gt;"",VLOOKUP(BA2967,Selects!$B$4:$C$100,2,0),"")</f>
        <v/>
      </c>
      <c r="BG2967" s="75" t="str">
        <f aca="false">IF(LEN(BF2967)=11,"PF",IF(LEN(BF2967)=14,"PJ",""))</f>
        <v/>
      </c>
      <c r="BH2967" s="66"/>
    </row>
    <row r="2968" customFormat="false" ht="15" hidden="true" customHeight="false" outlineLevel="0" collapsed="false">
      <c r="AM2968" s="68" t="str">
        <f aca="false">IF(LEFT(AL2968,1)="9","Celular",IF(AL2968="","","Fixo"))</f>
        <v/>
      </c>
      <c r="BB2968" s="72" t="str">
        <f aca="false">IF(BA2968&lt;&gt;"",VLOOKUP(BA2968,Selects!$B$4:$C$100,2,0),"")</f>
        <v/>
      </c>
      <c r="BG2968" s="75" t="str">
        <f aca="false">IF(LEN(BF2968)=11,"PF",IF(LEN(BF2968)=14,"PJ",""))</f>
        <v/>
      </c>
      <c r="BH2968" s="66"/>
    </row>
    <row r="2969" customFormat="false" ht="15" hidden="true" customHeight="false" outlineLevel="0" collapsed="false">
      <c r="AM2969" s="68" t="str">
        <f aca="false">IF(LEFT(AL2969,1)="9","Celular",IF(AL2969="","","Fixo"))</f>
        <v/>
      </c>
      <c r="BB2969" s="72" t="str">
        <f aca="false">IF(BA2969&lt;&gt;"",VLOOKUP(BA2969,Selects!$B$4:$C$100,2,0),"")</f>
        <v/>
      </c>
      <c r="BG2969" s="75" t="str">
        <f aca="false">IF(LEN(BF2969)=11,"PF",IF(LEN(BF2969)=14,"PJ",""))</f>
        <v/>
      </c>
      <c r="BH2969" s="66"/>
    </row>
    <row r="2970" customFormat="false" ht="15" hidden="true" customHeight="false" outlineLevel="0" collapsed="false">
      <c r="AM2970" s="68" t="str">
        <f aca="false">IF(LEFT(AL2970,1)="9","Celular",IF(AL2970="","","Fixo"))</f>
        <v/>
      </c>
      <c r="BB2970" s="72" t="str">
        <f aca="false">IF(BA2970&lt;&gt;"",VLOOKUP(BA2970,Selects!$B$4:$C$100,2,0),"")</f>
        <v/>
      </c>
      <c r="BG2970" s="75" t="str">
        <f aca="false">IF(LEN(BF2970)=11,"PF",IF(LEN(BF2970)=14,"PJ",""))</f>
        <v/>
      </c>
      <c r="BH2970" s="66"/>
    </row>
    <row r="2971" customFormat="false" ht="15" hidden="true" customHeight="false" outlineLevel="0" collapsed="false">
      <c r="AM2971" s="68" t="str">
        <f aca="false">IF(LEFT(AL2971,1)="9","Celular",IF(AL2971="","","Fixo"))</f>
        <v/>
      </c>
      <c r="BB2971" s="72" t="str">
        <f aca="false">IF(BA2971&lt;&gt;"",VLOOKUP(BA2971,Selects!$B$4:$C$100,2,0),"")</f>
        <v/>
      </c>
      <c r="BG2971" s="75" t="str">
        <f aca="false">IF(LEN(BF2971)=11,"PF",IF(LEN(BF2971)=14,"PJ",""))</f>
        <v/>
      </c>
      <c r="BH2971" s="66"/>
    </row>
    <row r="2972" customFormat="false" ht="15" hidden="true" customHeight="false" outlineLevel="0" collapsed="false">
      <c r="AM2972" s="68" t="str">
        <f aca="false">IF(LEFT(AL2972,1)="9","Celular",IF(AL2972="","","Fixo"))</f>
        <v/>
      </c>
      <c r="BB2972" s="72" t="str">
        <f aca="false">IF(BA2972&lt;&gt;"",VLOOKUP(BA2972,Selects!$B$4:$C$100,2,0),"")</f>
        <v/>
      </c>
      <c r="BG2972" s="75" t="str">
        <f aca="false">IF(LEN(BF2972)=11,"PF",IF(LEN(BF2972)=14,"PJ",""))</f>
        <v/>
      </c>
      <c r="BH2972" s="66"/>
    </row>
    <row r="2973" customFormat="false" ht="15" hidden="true" customHeight="false" outlineLevel="0" collapsed="false">
      <c r="AM2973" s="68" t="str">
        <f aca="false">IF(LEFT(AL2973,1)="9","Celular",IF(AL2973="","","Fixo"))</f>
        <v/>
      </c>
      <c r="BB2973" s="72" t="str">
        <f aca="false">IF(BA2973&lt;&gt;"",VLOOKUP(BA2973,Selects!$B$4:$C$100,2,0),"")</f>
        <v/>
      </c>
      <c r="BG2973" s="75" t="str">
        <f aca="false">IF(LEN(BF2973)=11,"PF",IF(LEN(BF2973)=14,"PJ",""))</f>
        <v/>
      </c>
      <c r="BH2973" s="66"/>
    </row>
    <row r="2974" customFormat="false" ht="15" hidden="true" customHeight="false" outlineLevel="0" collapsed="false">
      <c r="AM2974" s="68" t="str">
        <f aca="false">IF(LEFT(AL2974,1)="9","Celular",IF(AL2974="","","Fixo"))</f>
        <v/>
      </c>
      <c r="BB2974" s="72" t="str">
        <f aca="false">IF(BA2974&lt;&gt;"",VLOOKUP(BA2974,Selects!$B$4:$C$100,2,0),"")</f>
        <v/>
      </c>
      <c r="BG2974" s="75" t="str">
        <f aca="false">IF(LEN(BF2974)=11,"PF",IF(LEN(BF2974)=14,"PJ",""))</f>
        <v/>
      </c>
      <c r="BH2974" s="66"/>
    </row>
    <row r="2975" customFormat="false" ht="15" hidden="true" customHeight="false" outlineLevel="0" collapsed="false">
      <c r="AM2975" s="68" t="str">
        <f aca="false">IF(LEFT(AL2975,1)="9","Celular",IF(AL2975="","","Fixo"))</f>
        <v/>
      </c>
      <c r="BB2975" s="72" t="str">
        <f aca="false">IF(BA2975&lt;&gt;"",VLOOKUP(BA2975,Selects!$B$4:$C$100,2,0),"")</f>
        <v/>
      </c>
      <c r="BG2975" s="75" t="str">
        <f aca="false">IF(LEN(BF2975)=11,"PF",IF(LEN(BF2975)=14,"PJ",""))</f>
        <v/>
      </c>
      <c r="BH2975" s="66"/>
    </row>
    <row r="2976" customFormat="false" ht="15" hidden="true" customHeight="false" outlineLevel="0" collapsed="false">
      <c r="AM2976" s="68" t="str">
        <f aca="false">IF(LEFT(AL2976,1)="9","Celular",IF(AL2976="","","Fixo"))</f>
        <v/>
      </c>
      <c r="BB2976" s="72" t="str">
        <f aca="false">IF(BA2976&lt;&gt;"",VLOOKUP(BA2976,Selects!$B$4:$C$100,2,0),"")</f>
        <v/>
      </c>
      <c r="BG2976" s="75" t="str">
        <f aca="false">IF(LEN(BF2976)=11,"PF",IF(LEN(BF2976)=14,"PJ",""))</f>
        <v/>
      </c>
      <c r="BH2976" s="66"/>
    </row>
    <row r="2977" customFormat="false" ht="15" hidden="true" customHeight="false" outlineLevel="0" collapsed="false">
      <c r="AM2977" s="68" t="str">
        <f aca="false">IF(LEFT(AL2977,1)="9","Celular",IF(AL2977="","","Fixo"))</f>
        <v/>
      </c>
      <c r="BB2977" s="72" t="str">
        <f aca="false">IF(BA2977&lt;&gt;"",VLOOKUP(BA2977,Selects!$B$4:$C$100,2,0),"")</f>
        <v/>
      </c>
      <c r="BG2977" s="75" t="str">
        <f aca="false">IF(LEN(BF2977)=11,"PF",IF(LEN(BF2977)=14,"PJ",""))</f>
        <v/>
      </c>
      <c r="BH2977" s="66"/>
    </row>
    <row r="2978" customFormat="false" ht="15" hidden="true" customHeight="false" outlineLevel="0" collapsed="false">
      <c r="AM2978" s="68" t="str">
        <f aca="false">IF(LEFT(AL2978,1)="9","Celular",IF(AL2978="","","Fixo"))</f>
        <v/>
      </c>
      <c r="BB2978" s="72" t="str">
        <f aca="false">IF(BA2978&lt;&gt;"",VLOOKUP(BA2978,Selects!$B$4:$C$100,2,0),"")</f>
        <v/>
      </c>
      <c r="BG2978" s="75" t="str">
        <f aca="false">IF(LEN(BF2978)=11,"PF",IF(LEN(BF2978)=14,"PJ",""))</f>
        <v/>
      </c>
      <c r="BH2978" s="66"/>
    </row>
    <row r="2979" customFormat="false" ht="15" hidden="true" customHeight="false" outlineLevel="0" collapsed="false">
      <c r="AM2979" s="68" t="str">
        <f aca="false">IF(LEFT(AL2979,1)="9","Celular",IF(AL2979="","","Fixo"))</f>
        <v/>
      </c>
      <c r="BB2979" s="72" t="str">
        <f aca="false">IF(BA2979&lt;&gt;"",VLOOKUP(BA2979,Selects!$B$4:$C$100,2,0),"")</f>
        <v/>
      </c>
      <c r="BG2979" s="75" t="str">
        <f aca="false">IF(LEN(BF2979)=11,"PF",IF(LEN(BF2979)=14,"PJ",""))</f>
        <v/>
      </c>
      <c r="BH2979" s="66"/>
    </row>
    <row r="2980" customFormat="false" ht="15" hidden="true" customHeight="false" outlineLevel="0" collapsed="false">
      <c r="AM2980" s="68" t="str">
        <f aca="false">IF(LEFT(AL2980,1)="9","Celular",IF(AL2980="","","Fixo"))</f>
        <v/>
      </c>
      <c r="BB2980" s="72" t="str">
        <f aca="false">IF(BA2980&lt;&gt;"",VLOOKUP(BA2980,Selects!$B$4:$C$100,2,0),"")</f>
        <v/>
      </c>
      <c r="BG2980" s="75" t="str">
        <f aca="false">IF(LEN(BF2980)=11,"PF",IF(LEN(BF2980)=14,"PJ",""))</f>
        <v/>
      </c>
      <c r="BH2980" s="66"/>
    </row>
    <row r="2981" customFormat="false" ht="15" hidden="true" customHeight="false" outlineLevel="0" collapsed="false">
      <c r="AM2981" s="68" t="str">
        <f aca="false">IF(LEFT(AL2981,1)="9","Celular",IF(AL2981="","","Fixo"))</f>
        <v/>
      </c>
      <c r="BB2981" s="72" t="str">
        <f aca="false">IF(BA2981&lt;&gt;"",VLOOKUP(BA2981,Selects!$B$4:$C$100,2,0),"")</f>
        <v/>
      </c>
      <c r="BG2981" s="75" t="str">
        <f aca="false">IF(LEN(BF2981)=11,"PF",IF(LEN(BF2981)=14,"PJ",""))</f>
        <v/>
      </c>
      <c r="BH2981" s="66"/>
    </row>
    <row r="2982" customFormat="false" ht="15" hidden="true" customHeight="false" outlineLevel="0" collapsed="false">
      <c r="AM2982" s="68" t="str">
        <f aca="false">IF(LEFT(AL2982,1)="9","Celular",IF(AL2982="","","Fixo"))</f>
        <v/>
      </c>
      <c r="BB2982" s="72" t="str">
        <f aca="false">IF(BA2982&lt;&gt;"",VLOOKUP(BA2982,Selects!$B$4:$C$100,2,0),"")</f>
        <v/>
      </c>
      <c r="BG2982" s="75" t="str">
        <f aca="false">IF(LEN(BF2982)=11,"PF",IF(LEN(BF2982)=14,"PJ",""))</f>
        <v/>
      </c>
      <c r="BH2982" s="66"/>
    </row>
    <row r="2983" customFormat="false" ht="15" hidden="true" customHeight="false" outlineLevel="0" collapsed="false">
      <c r="AM2983" s="68" t="str">
        <f aca="false">IF(LEFT(AL2983,1)="9","Celular",IF(AL2983="","","Fixo"))</f>
        <v/>
      </c>
      <c r="BB2983" s="72" t="str">
        <f aca="false">IF(BA2983&lt;&gt;"",VLOOKUP(BA2983,Selects!$B$4:$C$100,2,0),"")</f>
        <v/>
      </c>
      <c r="BG2983" s="75" t="str">
        <f aca="false">IF(LEN(BF2983)=11,"PF",IF(LEN(BF2983)=14,"PJ",""))</f>
        <v/>
      </c>
      <c r="BH2983" s="66"/>
    </row>
    <row r="2984" customFormat="false" ht="15" hidden="true" customHeight="false" outlineLevel="0" collapsed="false">
      <c r="AM2984" s="68" t="str">
        <f aca="false">IF(LEFT(AL2984,1)="9","Celular",IF(AL2984="","","Fixo"))</f>
        <v/>
      </c>
      <c r="BB2984" s="72" t="str">
        <f aca="false">IF(BA2984&lt;&gt;"",VLOOKUP(BA2984,Selects!$B$4:$C$100,2,0),"")</f>
        <v/>
      </c>
      <c r="BG2984" s="75" t="str">
        <f aca="false">IF(LEN(BF2984)=11,"PF",IF(LEN(BF2984)=14,"PJ",""))</f>
        <v/>
      </c>
      <c r="BH2984" s="66"/>
    </row>
    <row r="2985" customFormat="false" ht="15" hidden="true" customHeight="false" outlineLevel="0" collapsed="false">
      <c r="AM2985" s="68" t="str">
        <f aca="false">IF(LEFT(AL2985,1)="9","Celular",IF(AL2985="","","Fixo"))</f>
        <v/>
      </c>
      <c r="BB2985" s="72" t="str">
        <f aca="false">IF(BA2985&lt;&gt;"",VLOOKUP(BA2985,Selects!$B$4:$C$100,2,0),"")</f>
        <v/>
      </c>
      <c r="BG2985" s="75" t="str">
        <f aca="false">IF(LEN(BF2985)=11,"PF",IF(LEN(BF2985)=14,"PJ",""))</f>
        <v/>
      </c>
      <c r="BH2985" s="66"/>
    </row>
    <row r="2986" customFormat="false" ht="15" hidden="true" customHeight="false" outlineLevel="0" collapsed="false">
      <c r="AM2986" s="68" t="str">
        <f aca="false">IF(LEFT(AL2986,1)="9","Celular",IF(AL2986="","","Fixo"))</f>
        <v/>
      </c>
      <c r="BB2986" s="72" t="str">
        <f aca="false">IF(BA2986&lt;&gt;"",VLOOKUP(BA2986,Selects!$B$4:$C$100,2,0),"")</f>
        <v/>
      </c>
      <c r="BG2986" s="75" t="str">
        <f aca="false">IF(LEN(BF2986)=11,"PF",IF(LEN(BF2986)=14,"PJ",""))</f>
        <v/>
      </c>
      <c r="BH2986" s="66"/>
    </row>
    <row r="2987" customFormat="false" ht="15" hidden="true" customHeight="false" outlineLevel="0" collapsed="false">
      <c r="AM2987" s="68" t="str">
        <f aca="false">IF(LEFT(AL2987,1)="9","Celular",IF(AL2987="","","Fixo"))</f>
        <v/>
      </c>
      <c r="BB2987" s="72" t="str">
        <f aca="false">IF(BA2987&lt;&gt;"",VLOOKUP(BA2987,Selects!$B$4:$C$100,2,0),"")</f>
        <v/>
      </c>
      <c r="BG2987" s="75" t="str">
        <f aca="false">IF(LEN(BF2987)=11,"PF",IF(LEN(BF2987)=14,"PJ",""))</f>
        <v/>
      </c>
      <c r="BH2987" s="66"/>
    </row>
    <row r="2988" customFormat="false" ht="15" hidden="true" customHeight="false" outlineLevel="0" collapsed="false">
      <c r="AM2988" s="68" t="str">
        <f aca="false">IF(LEFT(AL2988,1)="9","Celular",IF(AL2988="","","Fixo"))</f>
        <v/>
      </c>
      <c r="BB2988" s="72" t="str">
        <f aca="false">IF(BA2988&lt;&gt;"",VLOOKUP(BA2988,Selects!$B$4:$C$100,2,0),"")</f>
        <v/>
      </c>
      <c r="BG2988" s="75" t="str">
        <f aca="false">IF(LEN(BF2988)=11,"PF",IF(LEN(BF2988)=14,"PJ",""))</f>
        <v/>
      </c>
      <c r="BH2988" s="66"/>
    </row>
    <row r="2989" customFormat="false" ht="15" hidden="true" customHeight="false" outlineLevel="0" collapsed="false">
      <c r="AM2989" s="68" t="str">
        <f aca="false">IF(LEFT(AL2989,1)="9","Celular",IF(AL2989="","","Fixo"))</f>
        <v/>
      </c>
      <c r="BB2989" s="72" t="str">
        <f aca="false">IF(BA2989&lt;&gt;"",VLOOKUP(BA2989,Selects!$B$4:$C$100,2,0),"")</f>
        <v/>
      </c>
      <c r="BG2989" s="75" t="str">
        <f aca="false">IF(LEN(BF2989)=11,"PF",IF(LEN(BF2989)=14,"PJ",""))</f>
        <v/>
      </c>
      <c r="BH2989" s="66"/>
    </row>
    <row r="2990" customFormat="false" ht="15" hidden="true" customHeight="false" outlineLevel="0" collapsed="false">
      <c r="AM2990" s="68" t="str">
        <f aca="false">IF(LEFT(AL2990,1)="9","Celular",IF(AL2990="","","Fixo"))</f>
        <v/>
      </c>
      <c r="BB2990" s="72" t="str">
        <f aca="false">IF(BA2990&lt;&gt;"",VLOOKUP(BA2990,Selects!$B$4:$C$100,2,0),"")</f>
        <v/>
      </c>
      <c r="BG2990" s="75" t="str">
        <f aca="false">IF(LEN(BF2990)=11,"PF",IF(LEN(BF2990)=14,"PJ",""))</f>
        <v/>
      </c>
      <c r="BH2990" s="66"/>
    </row>
    <row r="2991" customFormat="false" ht="15" hidden="true" customHeight="false" outlineLevel="0" collapsed="false">
      <c r="AM2991" s="68" t="str">
        <f aca="false">IF(LEFT(AL2991,1)="9","Celular",IF(AL2991="","","Fixo"))</f>
        <v/>
      </c>
      <c r="BB2991" s="72" t="str">
        <f aca="false">IF(BA2991&lt;&gt;"",VLOOKUP(BA2991,Selects!$B$4:$C$100,2,0),"")</f>
        <v/>
      </c>
      <c r="BG2991" s="75" t="str">
        <f aca="false">IF(LEN(BF2991)=11,"PF",IF(LEN(BF2991)=14,"PJ",""))</f>
        <v/>
      </c>
      <c r="BH2991" s="66"/>
    </row>
    <row r="2992" customFormat="false" ht="15" hidden="true" customHeight="false" outlineLevel="0" collapsed="false">
      <c r="AM2992" s="68" t="str">
        <f aca="false">IF(LEFT(AL2992,1)="9","Celular",IF(AL2992="","","Fixo"))</f>
        <v/>
      </c>
      <c r="BB2992" s="72" t="str">
        <f aca="false">IF(BA2992&lt;&gt;"",VLOOKUP(BA2992,Selects!$B$4:$C$100,2,0),"")</f>
        <v/>
      </c>
      <c r="BG2992" s="75" t="str">
        <f aca="false">IF(LEN(BF2992)=11,"PF",IF(LEN(BF2992)=14,"PJ",""))</f>
        <v/>
      </c>
      <c r="BH2992" s="66"/>
    </row>
    <row r="2993" customFormat="false" ht="15" hidden="true" customHeight="false" outlineLevel="0" collapsed="false">
      <c r="AM2993" s="68" t="str">
        <f aca="false">IF(LEFT(AL2993,1)="9","Celular",IF(AL2993="","","Fixo"))</f>
        <v/>
      </c>
      <c r="BB2993" s="72" t="str">
        <f aca="false">IF(BA2993&lt;&gt;"",VLOOKUP(BA2993,Selects!$B$4:$C$100,2,0),"")</f>
        <v/>
      </c>
      <c r="BG2993" s="75" t="str">
        <f aca="false">IF(LEN(BF2993)=11,"PF",IF(LEN(BF2993)=14,"PJ",""))</f>
        <v/>
      </c>
      <c r="BH2993" s="66"/>
    </row>
    <row r="2994" customFormat="false" ht="15" hidden="true" customHeight="false" outlineLevel="0" collapsed="false">
      <c r="AM2994" s="68" t="str">
        <f aca="false">IF(LEFT(AL2994,1)="9","Celular",IF(AL2994="","","Fixo"))</f>
        <v/>
      </c>
      <c r="BB2994" s="72" t="str">
        <f aca="false">IF(BA2994&lt;&gt;"",VLOOKUP(BA2994,Selects!$B$4:$C$100,2,0),"")</f>
        <v/>
      </c>
      <c r="BG2994" s="75" t="str">
        <f aca="false">IF(LEN(BF2994)=11,"PF",IF(LEN(BF2994)=14,"PJ",""))</f>
        <v/>
      </c>
      <c r="BH2994" s="66"/>
    </row>
    <row r="2995" customFormat="false" ht="15" hidden="true" customHeight="false" outlineLevel="0" collapsed="false">
      <c r="AM2995" s="68" t="str">
        <f aca="false">IF(LEFT(AL2995,1)="9","Celular",IF(AL2995="","","Fixo"))</f>
        <v/>
      </c>
      <c r="BB2995" s="72" t="str">
        <f aca="false">IF(BA2995&lt;&gt;"",VLOOKUP(BA2995,Selects!$B$4:$C$100,2,0),"")</f>
        <v/>
      </c>
      <c r="BG2995" s="75" t="str">
        <f aca="false">IF(LEN(BF2995)=11,"PF",IF(LEN(BF2995)=14,"PJ",""))</f>
        <v/>
      </c>
      <c r="BH2995" s="66"/>
    </row>
    <row r="2996" customFormat="false" ht="15" hidden="true" customHeight="false" outlineLevel="0" collapsed="false">
      <c r="AM2996" s="68" t="str">
        <f aca="false">IF(LEFT(AL2996,1)="9","Celular",IF(AL2996="","","Fixo"))</f>
        <v/>
      </c>
      <c r="BB2996" s="72" t="str">
        <f aca="false">IF(BA2996&lt;&gt;"",VLOOKUP(BA2996,Selects!$B$4:$C$100,2,0),"")</f>
        <v/>
      </c>
      <c r="BG2996" s="75" t="str">
        <f aca="false">IF(LEN(BF2996)=11,"PF",IF(LEN(BF2996)=14,"PJ",""))</f>
        <v/>
      </c>
      <c r="BH2996" s="66"/>
    </row>
    <row r="2997" customFormat="false" ht="15" hidden="true" customHeight="false" outlineLevel="0" collapsed="false">
      <c r="AM2997" s="68" t="str">
        <f aca="false">IF(LEFT(AL2997,1)="9","Celular",IF(AL2997="","","Fixo"))</f>
        <v/>
      </c>
      <c r="BB2997" s="72" t="str">
        <f aca="false">IF(BA2997&lt;&gt;"",VLOOKUP(BA2997,Selects!$B$4:$C$100,2,0),"")</f>
        <v/>
      </c>
      <c r="BG2997" s="75" t="str">
        <f aca="false">IF(LEN(BF2997)=11,"PF",IF(LEN(BF2997)=14,"PJ",""))</f>
        <v/>
      </c>
      <c r="BH2997" s="66"/>
    </row>
    <row r="2998" customFormat="false" ht="15" hidden="true" customHeight="false" outlineLevel="0" collapsed="false">
      <c r="AM2998" s="68" t="str">
        <f aca="false">IF(LEFT(AL2998,1)="9","Celular",IF(AL2998="","","Fixo"))</f>
        <v/>
      </c>
      <c r="BB2998" s="72" t="str">
        <f aca="false">IF(BA2998&lt;&gt;"",VLOOKUP(BA2998,Selects!$B$4:$C$100,2,0),"")</f>
        <v/>
      </c>
      <c r="BG2998" s="75" t="str">
        <f aca="false">IF(LEN(BF2998)=11,"PF",IF(LEN(BF2998)=14,"PJ",""))</f>
        <v/>
      </c>
      <c r="BH2998" s="66"/>
    </row>
    <row r="2999" customFormat="false" ht="15" hidden="true" customHeight="false" outlineLevel="0" collapsed="false">
      <c r="AM2999" s="68" t="str">
        <f aca="false">IF(LEFT(AL2999,1)="9","Celular",IF(AL2999="","","Fixo"))</f>
        <v/>
      </c>
      <c r="BB2999" s="72" t="str">
        <f aca="false">IF(BA2999&lt;&gt;"",VLOOKUP(BA2999,Selects!$B$4:$C$100,2,0),"")</f>
        <v/>
      </c>
      <c r="BG2999" s="75" t="str">
        <f aca="false">IF(LEN(BF2999)=11,"PF",IF(LEN(BF2999)=14,"PJ",""))</f>
        <v/>
      </c>
      <c r="BH2999" s="66"/>
    </row>
    <row r="3000" customFormat="false" ht="15" hidden="true" customHeight="false" outlineLevel="0" collapsed="false">
      <c r="AM3000" s="68" t="str">
        <f aca="false">IF(LEFT(AL3000,1)="9","Celular",IF(AL3000="","","Fixo"))</f>
        <v/>
      </c>
      <c r="BB3000" s="72" t="str">
        <f aca="false">IF(BA3000&lt;&gt;"",VLOOKUP(BA3000,Selects!$B$4:$C$100,2,0),"")</f>
        <v/>
      </c>
      <c r="BG3000" s="75" t="str">
        <f aca="false">IF(LEN(BF3000)=11,"PF",IF(LEN(BF3000)=14,"PJ",""))</f>
        <v/>
      </c>
      <c r="BH3000" s="66"/>
    </row>
    <row r="3001" customFormat="false" ht="15" hidden="true" customHeight="false" outlineLevel="0" collapsed="false">
      <c r="AM3001" s="68" t="str">
        <f aca="false">IF(LEFT(AL3001,1)="9","Celular",IF(AL3001="","","Fixo"))</f>
        <v/>
      </c>
      <c r="BB3001" s="72" t="str">
        <f aca="false">IF(BA3001&lt;&gt;"",VLOOKUP(BA3001,Selects!$B$4:$C$100,2,0),"")</f>
        <v/>
      </c>
      <c r="BG3001" s="75" t="str">
        <f aca="false">IF(LEN(BF3001)=11,"PF",IF(LEN(BF3001)=14,"PJ",""))</f>
        <v/>
      </c>
      <c r="BH3001" s="66"/>
    </row>
    <row r="3002" customFormat="false" ht="15" hidden="true" customHeight="false" outlineLevel="0" collapsed="false">
      <c r="AM3002" s="68" t="str">
        <f aca="false">IF(LEFT(AL3002,1)="9","Celular",IF(AL3002="","","Fixo"))</f>
        <v/>
      </c>
      <c r="BB3002" s="72" t="str">
        <f aca="false">IF(BA3002&lt;&gt;"",VLOOKUP(BA3002,Selects!$B$4:$C$100,2,0),"")</f>
        <v/>
      </c>
      <c r="BG3002" s="75" t="str">
        <f aca="false">IF(LEN(BF3002)=11,"PF",IF(LEN(BF3002)=14,"PJ",""))</f>
        <v/>
      </c>
      <c r="BH3002" s="66"/>
    </row>
    <row r="3003" customFormat="false" ht="15" hidden="true" customHeight="false" outlineLevel="0" collapsed="false">
      <c r="AM3003" s="68" t="str">
        <f aca="false">IF(LEFT(AL3003,1)="9","Celular",IF(AL3003="","","Fixo"))</f>
        <v/>
      </c>
      <c r="BB3003" s="72" t="str">
        <f aca="false">IF(BA3003&lt;&gt;"",VLOOKUP(BA3003,Selects!$B$4:$C$100,2,0),"")</f>
        <v/>
      </c>
      <c r="BG3003" s="75" t="str">
        <f aca="false">IF(LEN(BF3003)=11,"PF",IF(LEN(BF3003)=14,"PJ",""))</f>
        <v/>
      </c>
      <c r="BH3003" s="66"/>
    </row>
    <row r="3004" customFormat="false" ht="15" hidden="true" customHeight="false" outlineLevel="0" collapsed="false">
      <c r="AM3004" s="68" t="str">
        <f aca="false">IF(LEFT(AL3004,1)="9","Celular",IF(AL3004="","","Fixo"))</f>
        <v/>
      </c>
      <c r="BB3004" s="72" t="str">
        <f aca="false">IF(BA3004&lt;&gt;"",VLOOKUP(BA3004,Selects!$B$4:$C$100,2,0),"")</f>
        <v/>
      </c>
      <c r="BG3004" s="75" t="str">
        <f aca="false">IF(LEN(BF3004)=11,"PF",IF(LEN(BF3004)=14,"PJ",""))</f>
        <v/>
      </c>
      <c r="BH3004" s="66"/>
    </row>
    <row r="3005" customFormat="false" ht="15" hidden="true" customHeight="false" outlineLevel="0" collapsed="false">
      <c r="AM3005" s="68" t="str">
        <f aca="false">IF(LEFT(AL3005,1)="9","Celular",IF(AL3005="","","Fixo"))</f>
        <v/>
      </c>
      <c r="BB3005" s="72" t="str">
        <f aca="false">IF(BA3005&lt;&gt;"",VLOOKUP(BA3005,Selects!$B$4:$C$100,2,0),"")</f>
        <v/>
      </c>
      <c r="BG3005" s="75" t="str">
        <f aca="false">IF(LEN(BF3005)=11,"PF",IF(LEN(BF3005)=14,"PJ",""))</f>
        <v/>
      </c>
      <c r="BH3005" s="66"/>
    </row>
    <row r="3006" customFormat="false" ht="15" hidden="true" customHeight="false" outlineLevel="0" collapsed="false">
      <c r="AM3006" s="68" t="str">
        <f aca="false">IF(LEFT(AL3006,1)="9","Celular",IF(AL3006="","","Fixo"))</f>
        <v/>
      </c>
      <c r="BB3006" s="72" t="str">
        <f aca="false">IF(BA3006&lt;&gt;"",VLOOKUP(BA3006,Selects!$B$4:$C$100,2,0),"")</f>
        <v/>
      </c>
      <c r="BG3006" s="75" t="str">
        <f aca="false">IF(LEN(BF3006)=11,"PF",IF(LEN(BF3006)=14,"PJ",""))</f>
        <v/>
      </c>
      <c r="BH3006" s="66"/>
    </row>
    <row r="3007" customFormat="false" ht="15" hidden="true" customHeight="false" outlineLevel="0" collapsed="false">
      <c r="AM3007" s="68" t="str">
        <f aca="false">IF(LEFT(AL3007,1)="9","Celular",IF(AL3007="","","Fixo"))</f>
        <v/>
      </c>
      <c r="BB3007" s="72" t="str">
        <f aca="false">IF(BA3007&lt;&gt;"",VLOOKUP(BA3007,Selects!$B$4:$C$100,2,0),"")</f>
        <v/>
      </c>
      <c r="BG3007" s="75" t="str">
        <f aca="false">IF(LEN(BF3007)=11,"PF",IF(LEN(BF3007)=14,"PJ",""))</f>
        <v/>
      </c>
      <c r="BH3007" s="66"/>
    </row>
    <row r="3008" customFormat="false" ht="15" hidden="true" customHeight="false" outlineLevel="0" collapsed="false">
      <c r="AM3008" s="68" t="str">
        <f aca="false">IF(LEFT(AL3008,1)="9","Celular",IF(AL3008="","","Fixo"))</f>
        <v/>
      </c>
      <c r="BB3008" s="72" t="str">
        <f aca="false">IF(BA3008&lt;&gt;"",VLOOKUP(BA3008,Selects!$B$4:$C$100,2,0),"")</f>
        <v/>
      </c>
      <c r="BG3008" s="75" t="str">
        <f aca="false">IF(LEN(BF3008)=11,"PF",IF(LEN(BF3008)=14,"PJ",""))</f>
        <v/>
      </c>
      <c r="BH3008" s="66"/>
    </row>
    <row r="3009" customFormat="false" ht="15" hidden="true" customHeight="false" outlineLevel="0" collapsed="false">
      <c r="AM3009" s="68" t="str">
        <f aca="false">IF(LEFT(AL3009,1)="9","Celular",IF(AL3009="","","Fixo"))</f>
        <v/>
      </c>
      <c r="BB3009" s="72" t="str">
        <f aca="false">IF(BA3009&lt;&gt;"",VLOOKUP(BA3009,Selects!$B$4:$C$100,2,0),"")</f>
        <v/>
      </c>
      <c r="BG3009" s="75" t="str">
        <f aca="false">IF(LEN(BF3009)=11,"PF",IF(LEN(BF3009)=14,"PJ",""))</f>
        <v/>
      </c>
      <c r="BH3009" s="66"/>
    </row>
    <row r="3010" customFormat="false" ht="15" hidden="true" customHeight="false" outlineLevel="0" collapsed="false">
      <c r="AM3010" s="68" t="str">
        <f aca="false">IF(LEFT(AL3010,1)="9","Celular",IF(AL3010="","","Fixo"))</f>
        <v/>
      </c>
      <c r="BB3010" s="72" t="str">
        <f aca="false">IF(BA3010&lt;&gt;"",VLOOKUP(BA3010,Selects!$B$4:$C$100,2,0),"")</f>
        <v/>
      </c>
      <c r="BG3010" s="75" t="str">
        <f aca="false">IF(LEN(BF3010)=11,"PF",IF(LEN(BF3010)=14,"PJ",""))</f>
        <v/>
      </c>
      <c r="BH3010" s="66"/>
    </row>
    <row r="3011" customFormat="false" ht="15" hidden="true" customHeight="false" outlineLevel="0" collapsed="false">
      <c r="AM3011" s="68" t="str">
        <f aca="false">IF(LEFT(AL3011,1)="9","Celular",IF(AL3011="","","Fixo"))</f>
        <v/>
      </c>
      <c r="BB3011" s="72" t="str">
        <f aca="false">IF(BA3011&lt;&gt;"",VLOOKUP(BA3011,Selects!$B$4:$C$100,2,0),"")</f>
        <v/>
      </c>
      <c r="BG3011" s="75" t="str">
        <f aca="false">IF(LEN(BF3011)=11,"PF",IF(LEN(BF3011)=14,"PJ",""))</f>
        <v/>
      </c>
      <c r="BH3011" s="66"/>
    </row>
    <row r="3012" customFormat="false" ht="15" hidden="true" customHeight="false" outlineLevel="0" collapsed="false">
      <c r="AM3012" s="68" t="str">
        <f aca="false">IF(LEFT(AL3012,1)="9","Celular",IF(AL3012="","","Fixo"))</f>
        <v/>
      </c>
      <c r="BB3012" s="72" t="str">
        <f aca="false">IF(BA3012&lt;&gt;"",VLOOKUP(BA3012,Selects!$B$4:$C$100,2,0),"")</f>
        <v/>
      </c>
      <c r="BG3012" s="75" t="str">
        <f aca="false">IF(LEN(BF3012)=11,"PF",IF(LEN(BF3012)=14,"PJ",""))</f>
        <v/>
      </c>
      <c r="BH3012" s="66"/>
    </row>
    <row r="3013" customFormat="false" ht="15" hidden="true" customHeight="false" outlineLevel="0" collapsed="false">
      <c r="AM3013" s="68" t="str">
        <f aca="false">IF(LEFT(AL3013,1)="9","Celular",IF(AL3013="","","Fixo"))</f>
        <v/>
      </c>
      <c r="BB3013" s="72" t="str">
        <f aca="false">IF(BA3013&lt;&gt;"",VLOOKUP(BA3013,Selects!$B$4:$C$100,2,0),"")</f>
        <v/>
      </c>
      <c r="BH3013" s="66"/>
    </row>
    <row r="3014" customFormat="false" ht="15" hidden="true" customHeight="false" outlineLevel="0" collapsed="false">
      <c r="AM3014" s="68" t="str">
        <f aca="false">IF(LEFT(AL3014,1)="9","Celular",IF(AL3014="","","Fixo"))</f>
        <v/>
      </c>
      <c r="BB3014" s="72" t="str">
        <f aca="false">IF(BA3014&lt;&gt;"",VLOOKUP(BA3014,Selects!$B$4:$C$100,2,0),"")</f>
        <v/>
      </c>
      <c r="BH3014" s="66"/>
    </row>
    <row r="3015" customFormat="false" ht="15" hidden="true" customHeight="false" outlineLevel="0" collapsed="false">
      <c r="AM3015" s="68" t="str">
        <f aca="false">IF(LEFT(AL3015,1)="9","Celular",IF(AL3015="","","Fixo"))</f>
        <v/>
      </c>
      <c r="BB3015" s="72" t="str">
        <f aca="false">IF(BA3015&lt;&gt;"",VLOOKUP(BA3015,Selects!$B$4:$C$100,2,0),"")</f>
        <v/>
      </c>
      <c r="BH3015" s="66"/>
    </row>
    <row r="3016" customFormat="false" ht="15" hidden="true" customHeight="false" outlineLevel="0" collapsed="false">
      <c r="AM3016" s="68" t="str">
        <f aca="false">IF(LEFT(AL3016,1)="9","Celular",IF(AL3016="","","Fixo"))</f>
        <v/>
      </c>
      <c r="BB3016" s="72" t="str">
        <f aca="false">IF(BA3016&lt;&gt;"",VLOOKUP(BA3016,Selects!$B$4:$C$100,2,0),"")</f>
        <v/>
      </c>
      <c r="BH3016" s="66"/>
    </row>
    <row r="3017" customFormat="false" ht="15" hidden="true" customHeight="false" outlineLevel="0" collapsed="false">
      <c r="AM3017" s="68" t="str">
        <f aca="false">IF(LEFT(AL3017,1)="9","Celular",IF(AL3017="","","Fixo"))</f>
        <v/>
      </c>
      <c r="BB3017" s="72" t="str">
        <f aca="false">IF(BA3017&lt;&gt;"",VLOOKUP(BA3017,Selects!$B$4:$C$100,2,0),"")</f>
        <v/>
      </c>
      <c r="BH3017" s="66"/>
    </row>
    <row r="3018" customFormat="false" ht="15" hidden="true" customHeight="false" outlineLevel="0" collapsed="false">
      <c r="AM3018" s="68" t="str">
        <f aca="false">IF(LEFT(AL3018,1)="9","Celular",IF(AL3018="","","Fixo"))</f>
        <v/>
      </c>
      <c r="BB3018" s="72" t="str">
        <f aca="false">IF(BA3018&lt;&gt;"",VLOOKUP(BA3018,Selects!$B$4:$C$100,2,0),"")</f>
        <v/>
      </c>
      <c r="BH3018" s="66"/>
    </row>
    <row r="3019" customFormat="false" ht="15" hidden="true" customHeight="false" outlineLevel="0" collapsed="false">
      <c r="AM3019" s="68" t="str">
        <f aca="false">IF(LEFT(AL3019,1)="9","Celular",IF(AL3019="","","Fixo"))</f>
        <v/>
      </c>
      <c r="BB3019" s="72" t="str">
        <f aca="false">IF(BA3019&lt;&gt;"",VLOOKUP(BA3019,Selects!$B$4:$C$100,2,0),"")</f>
        <v/>
      </c>
      <c r="BH3019" s="66"/>
    </row>
    <row r="3020" customFormat="false" ht="15" hidden="true" customHeight="false" outlineLevel="0" collapsed="false">
      <c r="AM3020" s="68" t="str">
        <f aca="false">IF(LEFT(AL3020,1)="9","Celular",IF(AL3020="","","Fixo"))</f>
        <v/>
      </c>
      <c r="BB3020" s="72" t="str">
        <f aca="false">IF(BA3020&lt;&gt;"",VLOOKUP(BA3020,Selects!$B$4:$C$100,2,0),"")</f>
        <v/>
      </c>
      <c r="BH3020" s="66"/>
    </row>
    <row r="3021" customFormat="false" ht="15" hidden="true" customHeight="false" outlineLevel="0" collapsed="false">
      <c r="AM3021" s="68" t="str">
        <f aca="false">IF(LEFT(AL3021,1)="9","Celular",IF(AL3021="","","Fixo"))</f>
        <v/>
      </c>
      <c r="BB3021" s="72" t="str">
        <f aca="false">IF(BA3021&lt;&gt;"",VLOOKUP(BA3021,Selects!$B$4:$C$100,2,0),"")</f>
        <v/>
      </c>
      <c r="BH3021" s="66"/>
    </row>
    <row r="3022" customFormat="false" ht="15" hidden="true" customHeight="false" outlineLevel="0" collapsed="false">
      <c r="AM3022" s="68" t="str">
        <f aca="false">IF(LEFT(AL3022,1)="9","Celular",IF(AL3022="","","Fixo"))</f>
        <v/>
      </c>
      <c r="BB3022" s="72" t="str">
        <f aca="false">IF(BA3022&lt;&gt;"",VLOOKUP(BA3022,Selects!$B$4:$C$100,2,0),"")</f>
        <v/>
      </c>
      <c r="BH3022" s="66"/>
    </row>
    <row r="3023" customFormat="false" ht="15" hidden="true" customHeight="false" outlineLevel="0" collapsed="false">
      <c r="AM3023" s="68" t="str">
        <f aca="false">IF(LEFT(AL3023,1)="9","Celular",IF(AL3023="","","Fixo"))</f>
        <v/>
      </c>
      <c r="BB3023" s="72" t="str">
        <f aca="false">IF(BA3023&lt;&gt;"",VLOOKUP(BA3023,Selects!$B$4:$C$100,2,0),"")</f>
        <v/>
      </c>
      <c r="BH3023" s="66"/>
    </row>
    <row r="3024" customFormat="false" ht="15" hidden="true" customHeight="false" outlineLevel="0" collapsed="false">
      <c r="AM3024" s="68" t="str">
        <f aca="false">IF(LEFT(AL3024,1)="9","Celular",IF(AL3024="","","Fixo"))</f>
        <v/>
      </c>
      <c r="BB3024" s="72" t="str">
        <f aca="false">IF(BA3024&lt;&gt;"",VLOOKUP(BA3024,Selects!$B$4:$C$100,2,0),"")</f>
        <v/>
      </c>
      <c r="BH3024" s="66"/>
    </row>
    <row r="3025" customFormat="false" ht="15" hidden="true" customHeight="false" outlineLevel="0" collapsed="false">
      <c r="AM3025" s="68" t="str">
        <f aca="false">IF(LEFT(AL3025,1)="9","Celular",IF(AL3025="","","Fixo"))</f>
        <v/>
      </c>
      <c r="BB3025" s="72" t="str">
        <f aca="false">IF(BA3025&lt;&gt;"",VLOOKUP(BA3025,Selects!$B$4:$C$100,2,0),"")</f>
        <v/>
      </c>
      <c r="BH3025" s="66"/>
    </row>
    <row r="3026" customFormat="false" ht="15" hidden="true" customHeight="false" outlineLevel="0" collapsed="false">
      <c r="AM3026" s="68" t="str">
        <f aca="false">IF(LEFT(AL3026,1)="9","Celular",IF(AL3026="","","Fixo"))</f>
        <v/>
      </c>
      <c r="BB3026" s="72" t="str">
        <f aca="false">IF(BA3026&lt;&gt;"",VLOOKUP(BA3026,Selects!$B$4:$C$100,2,0),"")</f>
        <v/>
      </c>
      <c r="BH3026" s="66"/>
    </row>
    <row r="3027" customFormat="false" ht="15" hidden="true" customHeight="false" outlineLevel="0" collapsed="false">
      <c r="AM3027" s="68" t="str">
        <f aca="false">IF(LEFT(AL3027,1)="9","Celular",IF(AL3027="","","Fixo"))</f>
        <v/>
      </c>
      <c r="BB3027" s="72" t="str">
        <f aca="false">IF(BA3027&lt;&gt;"",VLOOKUP(BA3027,Selects!$B$4:$C$100,2,0),"")</f>
        <v/>
      </c>
      <c r="BH3027" s="66"/>
    </row>
    <row r="3028" customFormat="false" ht="15" hidden="true" customHeight="false" outlineLevel="0" collapsed="false">
      <c r="AM3028" s="68" t="str">
        <f aca="false">IF(LEFT(AL3028,1)="9","Celular",IF(AL3028="","","Fixo"))</f>
        <v/>
      </c>
      <c r="BB3028" s="72" t="str">
        <f aca="false">IF(BA3028&lt;&gt;"",VLOOKUP(BA3028,Selects!$B$4:$C$100,2,0),"")</f>
        <v/>
      </c>
      <c r="BH3028" s="66"/>
    </row>
    <row r="3029" customFormat="false" ht="15" hidden="true" customHeight="false" outlineLevel="0" collapsed="false">
      <c r="AM3029" s="68" t="str">
        <f aca="false">IF(LEFT(AL3029,1)="9","Celular",IF(AL3029="","","Fixo"))</f>
        <v/>
      </c>
      <c r="BB3029" s="72" t="str">
        <f aca="false">IF(BA3029&lt;&gt;"",VLOOKUP(BA3029,Selects!$B$4:$C$100,2,0),"")</f>
        <v/>
      </c>
      <c r="BH3029" s="66"/>
    </row>
    <row r="3030" customFormat="false" ht="15" hidden="true" customHeight="false" outlineLevel="0" collapsed="false">
      <c r="AM3030" s="68" t="str">
        <f aca="false">IF(LEFT(AL3030,1)="9","Celular",IF(AL3030="","","Fixo"))</f>
        <v/>
      </c>
      <c r="BB3030" s="72" t="str">
        <f aca="false">IF(BA3030&lt;&gt;"",VLOOKUP(BA3030,Selects!$B$4:$C$100,2,0),"")</f>
        <v/>
      </c>
      <c r="BH3030" s="66"/>
    </row>
    <row r="3031" customFormat="false" ht="15" hidden="true" customHeight="false" outlineLevel="0" collapsed="false">
      <c r="AM3031" s="68" t="str">
        <f aca="false">IF(LEFT(AL3031,1)="9","Celular",IF(AL3031="","","Fixo"))</f>
        <v/>
      </c>
      <c r="BB3031" s="72" t="str">
        <f aca="false">IF(BA3031&lt;&gt;"",VLOOKUP(BA3031,Selects!$B$4:$C$100,2,0),"")</f>
        <v/>
      </c>
      <c r="BH3031" s="66"/>
    </row>
    <row r="3032" customFormat="false" ht="15" hidden="true" customHeight="false" outlineLevel="0" collapsed="false">
      <c r="AM3032" s="68" t="str">
        <f aca="false">IF(LEFT(AL3032,1)="9","Celular",IF(AL3032="","","Fixo"))</f>
        <v/>
      </c>
      <c r="BB3032" s="72" t="str">
        <f aca="false">IF(BA3032&lt;&gt;"",VLOOKUP(BA3032,Selects!$B$4:$C$100,2,0),"")</f>
        <v/>
      </c>
      <c r="BH3032" s="66"/>
    </row>
    <row r="3033" customFormat="false" ht="15" hidden="true" customHeight="false" outlineLevel="0" collapsed="false">
      <c r="AM3033" s="68" t="str">
        <f aca="false">IF(LEFT(AL3033,1)="9","Celular",IF(AL3033="","","Fixo"))</f>
        <v/>
      </c>
      <c r="BB3033" s="72" t="str">
        <f aca="false">IF(BA3033&lt;&gt;"",VLOOKUP(BA3033,Selects!$B$4:$C$100,2,0),"")</f>
        <v/>
      </c>
      <c r="BH3033" s="66"/>
    </row>
    <row r="3034" customFormat="false" ht="15" hidden="true" customHeight="false" outlineLevel="0" collapsed="false">
      <c r="AM3034" s="68" t="str">
        <f aca="false">IF(LEFT(AL3034,1)="9","Celular",IF(AL3034="","","Fixo"))</f>
        <v/>
      </c>
      <c r="BB3034" s="72" t="str">
        <f aca="false">IF(BA3034&lt;&gt;"",VLOOKUP(BA3034,Selects!$B$4:$C$100,2,0),"")</f>
        <v/>
      </c>
      <c r="BH3034" s="66"/>
    </row>
    <row r="3035" customFormat="false" ht="15" hidden="true" customHeight="false" outlineLevel="0" collapsed="false">
      <c r="AM3035" s="68" t="str">
        <f aca="false">IF(LEFT(AL3035,1)="9","Celular",IF(AL3035="","","Fixo"))</f>
        <v/>
      </c>
      <c r="BB3035" s="72" t="str">
        <f aca="false">IF(BA3035&lt;&gt;"",VLOOKUP(BA3035,Selects!$B$4:$C$100,2,0),"")</f>
        <v/>
      </c>
      <c r="BH3035" s="66"/>
    </row>
    <row r="3036" customFormat="false" ht="15" hidden="true" customHeight="false" outlineLevel="0" collapsed="false">
      <c r="AM3036" s="68" t="str">
        <f aca="false">IF(LEFT(AL3036,1)="9","Celular",IF(AL3036="","","Fixo"))</f>
        <v/>
      </c>
      <c r="BB3036" s="72" t="str">
        <f aca="false">IF(BA3036&lt;&gt;"",VLOOKUP(BA3036,Selects!$B$4:$C$100,2,0),"")</f>
        <v/>
      </c>
      <c r="BH3036" s="66"/>
    </row>
    <row r="3037" customFormat="false" ht="15" hidden="true" customHeight="false" outlineLevel="0" collapsed="false">
      <c r="AM3037" s="68" t="str">
        <f aca="false">IF(LEFT(AL3037,1)="9","Celular",IF(AL3037="","","Fixo"))</f>
        <v/>
      </c>
      <c r="BB3037" s="72" t="str">
        <f aca="false">IF(BA3037&lt;&gt;"",VLOOKUP(BA3037,Selects!$B$4:$C$100,2,0),"")</f>
        <v/>
      </c>
      <c r="BH3037" s="66"/>
    </row>
    <row r="3038" customFormat="false" ht="15" hidden="true" customHeight="false" outlineLevel="0" collapsed="false">
      <c r="AM3038" s="68" t="str">
        <f aca="false">IF(LEFT(AL3038,1)="9","Celular",IF(AL3038="","","Fixo"))</f>
        <v/>
      </c>
      <c r="BB3038" s="72" t="str">
        <f aca="false">IF(BA3038&lt;&gt;"",VLOOKUP(BA3038,Selects!$B$4:$C$100,2,0),"")</f>
        <v/>
      </c>
      <c r="BH3038" s="66"/>
    </row>
    <row r="3039" customFormat="false" ht="15" hidden="true" customHeight="false" outlineLevel="0" collapsed="false">
      <c r="AM3039" s="68" t="str">
        <f aca="false">IF(LEFT(AL3039,1)="9","Celular",IF(AL3039="","","Fixo"))</f>
        <v/>
      </c>
      <c r="BB3039" s="72" t="str">
        <f aca="false">IF(BA3039&lt;&gt;"",VLOOKUP(BA3039,Selects!$B$4:$C$100,2,0),"")</f>
        <v/>
      </c>
      <c r="BH3039" s="66"/>
    </row>
    <row r="3040" customFormat="false" ht="15" hidden="true" customHeight="false" outlineLevel="0" collapsed="false">
      <c r="AM3040" s="68" t="str">
        <f aca="false">IF(LEFT(AL3040,1)="9","Celular",IF(AL3040="","","Fixo"))</f>
        <v/>
      </c>
      <c r="BB3040" s="72" t="str">
        <f aca="false">IF(BA3040&lt;&gt;"",VLOOKUP(BA3040,Selects!$B$4:$C$100,2,0),"")</f>
        <v/>
      </c>
      <c r="BH3040" s="66"/>
    </row>
    <row r="3041" customFormat="false" ht="15" hidden="true" customHeight="false" outlineLevel="0" collapsed="false">
      <c r="AM3041" s="68" t="str">
        <f aca="false">IF(LEFT(AL3041,1)="9","Celular",IF(AL3041="","","Fixo"))</f>
        <v/>
      </c>
      <c r="BB3041" s="72" t="str">
        <f aca="false">IF(BA3041&lt;&gt;"",VLOOKUP(BA3041,Selects!$B$4:$C$100,2,0),"")</f>
        <v/>
      </c>
      <c r="BH3041" s="66"/>
    </row>
    <row r="3042" customFormat="false" ht="15" hidden="true" customHeight="false" outlineLevel="0" collapsed="false">
      <c r="AM3042" s="68" t="str">
        <f aca="false">IF(LEFT(AL3042,1)="9","Celular",IF(AL3042="","","Fixo"))</f>
        <v/>
      </c>
      <c r="BB3042" s="72" t="str">
        <f aca="false">IF(BA3042&lt;&gt;"",VLOOKUP(BA3042,Selects!$B$4:$C$100,2,0),"")</f>
        <v/>
      </c>
      <c r="BH3042" s="66"/>
    </row>
    <row r="3043" customFormat="false" ht="15" hidden="true" customHeight="false" outlineLevel="0" collapsed="false">
      <c r="AM3043" s="68" t="str">
        <f aca="false">IF(LEFT(AL3043,1)="9","Celular",IF(AL3043="","","Fixo"))</f>
        <v/>
      </c>
      <c r="BB3043" s="72" t="str">
        <f aca="false">IF(BA3043&lt;&gt;"",VLOOKUP(BA3043,Selects!$B$4:$C$100,2,0),"")</f>
        <v/>
      </c>
      <c r="BH3043" s="66"/>
    </row>
    <row r="3044" customFormat="false" ht="15" hidden="true" customHeight="false" outlineLevel="0" collapsed="false">
      <c r="AM3044" s="68" t="str">
        <f aca="false">IF(LEFT(AL3044,1)="9","Celular",IF(AL3044="","","Fixo"))</f>
        <v/>
      </c>
      <c r="BB3044" s="72" t="str">
        <f aca="false">IF(BA3044&lt;&gt;"",VLOOKUP(BA3044,Selects!$B$4:$C$100,2,0),"")</f>
        <v/>
      </c>
      <c r="BH3044" s="66"/>
    </row>
    <row r="3045" customFormat="false" ht="15" hidden="true" customHeight="false" outlineLevel="0" collapsed="false">
      <c r="AM3045" s="68" t="str">
        <f aca="false">IF(LEFT(AL3045,1)="9","Celular",IF(AL3045="","","Fixo"))</f>
        <v/>
      </c>
      <c r="BB3045" s="72" t="str">
        <f aca="false">IF(BA3045&lt;&gt;"",VLOOKUP(BA3045,Selects!$B$4:$C$100,2,0),"")</f>
        <v/>
      </c>
      <c r="BH3045" s="66"/>
    </row>
    <row r="3046" customFormat="false" ht="15" hidden="true" customHeight="false" outlineLevel="0" collapsed="false">
      <c r="AM3046" s="68" t="str">
        <f aca="false">IF(LEFT(AL3046,1)="9","Celular",IF(AL3046="","","Fixo"))</f>
        <v/>
      </c>
      <c r="BB3046" s="72" t="str">
        <f aca="false">IF(BA3046&lt;&gt;"",VLOOKUP(BA3046,Selects!$B$4:$C$100,2,0),"")</f>
        <v/>
      </c>
      <c r="BH3046" s="66"/>
    </row>
    <row r="3047" customFormat="false" ht="15" hidden="true" customHeight="false" outlineLevel="0" collapsed="false">
      <c r="AM3047" s="68" t="str">
        <f aca="false">IF(LEFT(AL3047,1)="9","Celular",IF(AL3047="","","Fixo"))</f>
        <v/>
      </c>
      <c r="BB3047" s="72" t="str">
        <f aca="false">IF(BA3047&lt;&gt;"",VLOOKUP(BA3047,Selects!$B$4:$C$100,2,0),"")</f>
        <v/>
      </c>
      <c r="BH3047" s="66"/>
    </row>
    <row r="3048" customFormat="false" ht="15" hidden="true" customHeight="false" outlineLevel="0" collapsed="false">
      <c r="AM3048" s="68" t="str">
        <f aca="false">IF(LEFT(AL3048,1)="9","Celular",IF(AL3048="","","Fixo"))</f>
        <v/>
      </c>
      <c r="BB3048" s="72" t="str">
        <f aca="false">IF(BA3048&lt;&gt;"",VLOOKUP(BA3048,Selects!$B$4:$C$100,2,0),"")</f>
        <v/>
      </c>
      <c r="BH3048" s="66"/>
    </row>
    <row r="3049" customFormat="false" ht="15" hidden="true" customHeight="false" outlineLevel="0" collapsed="false">
      <c r="AM3049" s="68" t="str">
        <f aca="false">IF(LEFT(AL3049,1)="9","Celular",IF(AL3049="","","Fixo"))</f>
        <v/>
      </c>
      <c r="BB3049" s="72" t="str">
        <f aca="false">IF(BA3049&lt;&gt;"",VLOOKUP(BA3049,Selects!$B$4:$C$100,2,0),"")</f>
        <v/>
      </c>
      <c r="BH3049" s="66"/>
    </row>
    <row r="3050" customFormat="false" ht="15" hidden="true" customHeight="false" outlineLevel="0" collapsed="false">
      <c r="AM3050" s="68" t="str">
        <f aca="false">IF(LEFT(AL3050,1)="9","Celular",IF(AL3050="","","Fixo"))</f>
        <v/>
      </c>
      <c r="BB3050" s="72" t="str">
        <f aca="false">IF(BA3050&lt;&gt;"",VLOOKUP(BA3050,Selects!$B$4:$C$100,2,0),"")</f>
        <v/>
      </c>
      <c r="BH3050" s="66"/>
    </row>
    <row r="3051" customFormat="false" ht="15" hidden="true" customHeight="false" outlineLevel="0" collapsed="false">
      <c r="AM3051" s="68" t="str">
        <f aca="false">IF(LEFT(AL3051,1)="9","Celular",IF(AL3051="","","Fixo"))</f>
        <v/>
      </c>
      <c r="BB3051" s="72" t="str">
        <f aca="false">IF(BA3051&lt;&gt;"",VLOOKUP(BA3051,Selects!$B$4:$C$100,2,0),"")</f>
        <v/>
      </c>
      <c r="BH3051" s="66"/>
    </row>
    <row r="3052" customFormat="false" ht="15" hidden="true" customHeight="false" outlineLevel="0" collapsed="false">
      <c r="AM3052" s="68" t="str">
        <f aca="false">IF(LEFT(AL3052,1)="9","Celular",IF(AL3052="","","Fixo"))</f>
        <v/>
      </c>
      <c r="BB3052" s="72" t="str">
        <f aca="false">IF(BA3052&lt;&gt;"",VLOOKUP(BA3052,Selects!$B$4:$C$100,2,0),"")</f>
        <v/>
      </c>
      <c r="BH3052" s="66"/>
    </row>
    <row r="3053" customFormat="false" ht="15" hidden="true" customHeight="false" outlineLevel="0" collapsed="false">
      <c r="AM3053" s="68" t="str">
        <f aca="false">IF(LEFT(AL3053,1)="9","Celular",IF(AL3053="","","Fixo"))</f>
        <v/>
      </c>
      <c r="BB3053" s="72" t="str">
        <f aca="false">IF(BA3053&lt;&gt;"",VLOOKUP(BA3053,Selects!$B$4:$C$100,2,0),"")</f>
        <v/>
      </c>
      <c r="BH3053" s="66"/>
    </row>
    <row r="3054" customFormat="false" ht="15" hidden="true" customHeight="false" outlineLevel="0" collapsed="false">
      <c r="AM3054" s="68" t="str">
        <f aca="false">IF(LEFT(AL3054,1)="9","Celular",IF(AL3054="","","Fixo"))</f>
        <v/>
      </c>
      <c r="BB3054" s="72" t="str">
        <f aca="false">IF(BA3054&lt;&gt;"",VLOOKUP(BA3054,Selects!$B$4:$C$100,2,0),"")</f>
        <v/>
      </c>
      <c r="BH3054" s="66"/>
    </row>
    <row r="3055" customFormat="false" ht="15" hidden="true" customHeight="false" outlineLevel="0" collapsed="false">
      <c r="AM3055" s="68" t="str">
        <f aca="false">IF(LEFT(AL3055,1)="9","Celular",IF(AL3055="","","Fixo"))</f>
        <v/>
      </c>
      <c r="BB3055" s="72" t="str">
        <f aca="false">IF(BA3055&lt;&gt;"",VLOOKUP(BA3055,Selects!$B$4:$C$100,2,0),"")</f>
        <v/>
      </c>
      <c r="BH3055" s="66"/>
    </row>
    <row r="3056" customFormat="false" ht="15" hidden="true" customHeight="false" outlineLevel="0" collapsed="false">
      <c r="AM3056" s="68" t="str">
        <f aca="false">IF(LEFT(AL3056,1)="9","Celular",IF(AL3056="","","Fixo"))</f>
        <v/>
      </c>
      <c r="BB3056" s="72" t="str">
        <f aca="false">IF(BA3056&lt;&gt;"",VLOOKUP(BA3056,Selects!$B$4:$C$100,2,0),"")</f>
        <v/>
      </c>
      <c r="BH3056" s="66"/>
    </row>
    <row r="3057" customFormat="false" ht="15" hidden="true" customHeight="false" outlineLevel="0" collapsed="false">
      <c r="AM3057" s="68" t="str">
        <f aca="false">IF(LEFT(AL3057,1)="9","Celular",IF(AL3057="","","Fixo"))</f>
        <v/>
      </c>
      <c r="BB3057" s="72" t="str">
        <f aca="false">IF(BA3057&lt;&gt;"",VLOOKUP(BA3057,Selects!$B$4:$C$100,2,0),"")</f>
        <v/>
      </c>
      <c r="BH3057" s="66"/>
    </row>
    <row r="3058" customFormat="false" ht="15" hidden="true" customHeight="false" outlineLevel="0" collapsed="false">
      <c r="AM3058" s="68" t="str">
        <f aca="false">IF(LEFT(AL3058,1)="9","Celular",IF(AL3058="","","Fixo"))</f>
        <v/>
      </c>
      <c r="BB3058" s="72" t="str">
        <f aca="false">IF(BA3058&lt;&gt;"",VLOOKUP(BA3058,Selects!$B$4:$C$100,2,0),"")</f>
        <v/>
      </c>
      <c r="BH3058" s="66"/>
    </row>
    <row r="3059" customFormat="false" ht="15" hidden="true" customHeight="false" outlineLevel="0" collapsed="false">
      <c r="AM3059" s="68" t="str">
        <f aca="false">IF(LEFT(AL3059,1)="9","Celular",IF(AL3059="","","Fixo"))</f>
        <v/>
      </c>
      <c r="BB3059" s="72" t="str">
        <f aca="false">IF(BA3059&lt;&gt;"",VLOOKUP(BA3059,Selects!$B$4:$C$100,2,0),"")</f>
        <v/>
      </c>
      <c r="BH3059" s="66"/>
    </row>
    <row r="3060" customFormat="false" ht="15" hidden="true" customHeight="false" outlineLevel="0" collapsed="false">
      <c r="AM3060" s="68" t="str">
        <f aca="false">IF(LEFT(AL3060,1)="9","Celular",IF(AL3060="","","Fixo"))</f>
        <v/>
      </c>
      <c r="BB3060" s="72" t="str">
        <f aca="false">IF(BA3060&lt;&gt;"",VLOOKUP(BA3060,Selects!$B$4:$C$100,2,0),"")</f>
        <v/>
      </c>
      <c r="BH3060" s="66"/>
    </row>
    <row r="3061" customFormat="false" ht="15" hidden="true" customHeight="false" outlineLevel="0" collapsed="false">
      <c r="AM3061" s="68" t="str">
        <f aca="false">IF(LEFT(AL3061,1)="9","Celular",IF(AL3061="","","Fixo"))</f>
        <v/>
      </c>
      <c r="BB3061" s="72" t="str">
        <f aca="false">IF(BA3061&lt;&gt;"",VLOOKUP(BA3061,Selects!$B$4:$C$100,2,0),"")</f>
        <v/>
      </c>
      <c r="BH3061" s="66"/>
    </row>
    <row r="3062" customFormat="false" ht="15" hidden="true" customHeight="false" outlineLevel="0" collapsed="false">
      <c r="AM3062" s="68" t="str">
        <f aca="false">IF(LEFT(AL3062,1)="9","Celular",IF(AL3062="","","Fixo"))</f>
        <v/>
      </c>
      <c r="BB3062" s="72" t="str">
        <f aca="false">IF(BA3062&lt;&gt;"",VLOOKUP(BA3062,Selects!$B$4:$C$100,2,0),"")</f>
        <v/>
      </c>
      <c r="BH3062" s="66"/>
    </row>
    <row r="3063" customFormat="false" ht="15" hidden="true" customHeight="false" outlineLevel="0" collapsed="false">
      <c r="AM3063" s="68" t="str">
        <f aca="false">IF(LEFT(AL3063,1)="9","Celular",IF(AL3063="","","Fixo"))</f>
        <v/>
      </c>
      <c r="BB3063" s="72" t="str">
        <f aca="false">IF(BA3063&lt;&gt;"",VLOOKUP(BA3063,Selects!$B$4:$C$100,2,0),"")</f>
        <v/>
      </c>
      <c r="BH3063" s="66"/>
    </row>
    <row r="3064" customFormat="false" ht="15" hidden="true" customHeight="false" outlineLevel="0" collapsed="false">
      <c r="AM3064" s="68" t="str">
        <f aca="false">IF(LEFT(AL3064,1)="9","Celular",IF(AL3064="","","Fixo"))</f>
        <v/>
      </c>
      <c r="BB3064" s="72" t="str">
        <f aca="false">IF(BA3064&lt;&gt;"",VLOOKUP(BA3064,Selects!$B$4:$C$100,2,0),"")</f>
        <v/>
      </c>
      <c r="BH3064" s="66"/>
    </row>
    <row r="3065" customFormat="false" ht="15" hidden="true" customHeight="false" outlineLevel="0" collapsed="false">
      <c r="AM3065" s="68" t="str">
        <f aca="false">IF(LEFT(AL3065,1)="9","Celular",IF(AL3065="","","Fixo"))</f>
        <v/>
      </c>
      <c r="BB3065" s="72" t="str">
        <f aca="false">IF(BA3065&lt;&gt;"",VLOOKUP(BA3065,Selects!$B$4:$C$100,2,0),"")</f>
        <v/>
      </c>
      <c r="BH3065" s="66"/>
    </row>
    <row r="3066" customFormat="false" ht="15" hidden="true" customHeight="false" outlineLevel="0" collapsed="false">
      <c r="AM3066" s="68" t="str">
        <f aca="false">IF(LEFT(AL3066,1)="9","Celular",IF(AL3066="","","Fixo"))</f>
        <v/>
      </c>
      <c r="BB3066" s="72" t="str">
        <f aca="false">IF(BA3066&lt;&gt;"",VLOOKUP(BA3066,Selects!$B$4:$C$100,2,0),"")</f>
        <v/>
      </c>
      <c r="BH3066" s="66"/>
    </row>
    <row r="3067" customFormat="false" ht="15" hidden="true" customHeight="false" outlineLevel="0" collapsed="false">
      <c r="AM3067" s="68" t="str">
        <f aca="false">IF(LEFT(AL3067,1)="9","Celular",IF(AL3067="","","Fixo"))</f>
        <v/>
      </c>
      <c r="BB3067" s="72" t="str">
        <f aca="false">IF(BA3067&lt;&gt;"",VLOOKUP(BA3067,Selects!$B$4:$C$100,2,0),"")</f>
        <v/>
      </c>
      <c r="BH3067" s="66"/>
    </row>
    <row r="3068" customFormat="false" ht="15" hidden="true" customHeight="false" outlineLevel="0" collapsed="false">
      <c r="AM3068" s="68" t="str">
        <f aca="false">IF(LEFT(AL3068,1)="9","Celular",IF(AL3068="","","Fixo"))</f>
        <v/>
      </c>
      <c r="BB3068" s="72" t="str">
        <f aca="false">IF(BA3068&lt;&gt;"",VLOOKUP(BA3068,Selects!$B$4:$C$100,2,0),"")</f>
        <v/>
      </c>
      <c r="BH3068" s="66"/>
    </row>
    <row r="3069" customFormat="false" ht="15" hidden="true" customHeight="false" outlineLevel="0" collapsed="false">
      <c r="AM3069" s="68" t="str">
        <f aca="false">IF(LEFT(AL3069,1)="9","Celular",IF(AL3069="","","Fixo"))</f>
        <v/>
      </c>
      <c r="BB3069" s="72" t="str">
        <f aca="false">IF(BA3069&lt;&gt;"",VLOOKUP(BA3069,Selects!$B$4:$C$100,2,0),"")</f>
        <v/>
      </c>
      <c r="BH3069" s="66"/>
    </row>
    <row r="3070" customFormat="false" ht="15" hidden="true" customHeight="false" outlineLevel="0" collapsed="false">
      <c r="AM3070" s="68" t="str">
        <f aca="false">IF(LEFT(AL3070,1)="9","Celular",IF(AL3070="","","Fixo"))</f>
        <v/>
      </c>
      <c r="BB3070" s="72" t="str">
        <f aca="false">IF(BA3070&lt;&gt;"",VLOOKUP(BA3070,Selects!$B$4:$C$100,2,0),"")</f>
        <v/>
      </c>
      <c r="BH3070" s="66"/>
    </row>
    <row r="3071" customFormat="false" ht="15" hidden="true" customHeight="false" outlineLevel="0" collapsed="false">
      <c r="AM3071" s="68" t="str">
        <f aca="false">IF(LEFT(AL3071,1)="9","Celular",IF(AL3071="","","Fixo"))</f>
        <v/>
      </c>
      <c r="BB3071" s="72" t="str">
        <f aca="false">IF(BA3071&lt;&gt;"",VLOOKUP(BA3071,Selects!$B$4:$C$100,2,0),"")</f>
        <v/>
      </c>
      <c r="BH3071" s="66"/>
    </row>
    <row r="3072" customFormat="false" ht="15" hidden="true" customHeight="false" outlineLevel="0" collapsed="false">
      <c r="AM3072" s="68" t="str">
        <f aca="false">IF(LEFT(AL3072,1)="9","Celular",IF(AL3072="","","Fixo"))</f>
        <v/>
      </c>
      <c r="BB3072" s="72" t="str">
        <f aca="false">IF(BA3072&lt;&gt;"",VLOOKUP(BA3072,Selects!$B$4:$C$100,2,0),"")</f>
        <v/>
      </c>
      <c r="BH3072" s="66"/>
    </row>
    <row r="3073" customFormat="false" ht="15" hidden="true" customHeight="false" outlineLevel="0" collapsed="false">
      <c r="AM3073" s="68" t="str">
        <f aca="false">IF(LEFT(AL3073,1)="9","Celular",IF(AL3073="","","Fixo"))</f>
        <v/>
      </c>
      <c r="BB3073" s="72" t="str">
        <f aca="false">IF(BA3073&lt;&gt;"",VLOOKUP(BA3073,Selects!$B$4:$C$100,2,0),"")</f>
        <v/>
      </c>
      <c r="BH3073" s="66"/>
    </row>
    <row r="3074" customFormat="false" ht="15" hidden="true" customHeight="false" outlineLevel="0" collapsed="false">
      <c r="AM3074" s="68" t="str">
        <f aca="false">IF(LEFT(AL3074,1)="9","Celular",IF(AL3074="","","Fixo"))</f>
        <v/>
      </c>
      <c r="BB3074" s="72" t="str">
        <f aca="false">IF(BA3074&lt;&gt;"",VLOOKUP(BA3074,Selects!$B$4:$C$100,2,0),"")</f>
        <v/>
      </c>
      <c r="BH3074" s="66"/>
    </row>
    <row r="3075" customFormat="false" ht="15" hidden="true" customHeight="false" outlineLevel="0" collapsed="false">
      <c r="AM3075" s="68" t="str">
        <f aca="false">IF(LEFT(AL3075,1)="9","Celular",IF(AL3075="","","Fixo"))</f>
        <v/>
      </c>
      <c r="BB3075" s="72" t="str">
        <f aca="false">IF(BA3075&lt;&gt;"",VLOOKUP(BA3075,Selects!$B$4:$C$100,2,0),"")</f>
        <v/>
      </c>
      <c r="BH3075" s="66"/>
    </row>
    <row r="3076" customFormat="false" ht="15" hidden="true" customHeight="false" outlineLevel="0" collapsed="false">
      <c r="AM3076" s="68" t="str">
        <f aca="false">IF(LEFT(AL3076,1)="9","Celular",IF(AL3076="","","Fixo"))</f>
        <v/>
      </c>
      <c r="BB3076" s="72" t="str">
        <f aca="false">IF(BA3076&lt;&gt;"",VLOOKUP(BA3076,Selects!$B$4:$C$100,2,0),"")</f>
        <v/>
      </c>
      <c r="BH3076" s="66"/>
    </row>
    <row r="3077" customFormat="false" ht="15" hidden="true" customHeight="false" outlineLevel="0" collapsed="false">
      <c r="AM3077" s="68" t="str">
        <f aca="false">IF(LEFT(AL3077,1)="9","Celular",IF(AL3077="","","Fixo"))</f>
        <v/>
      </c>
      <c r="BB3077" s="72" t="str">
        <f aca="false">IF(BA3077&lt;&gt;"",VLOOKUP(BA3077,Selects!$B$4:$C$100,2,0),"")</f>
        <v/>
      </c>
      <c r="BH3077" s="66"/>
    </row>
    <row r="3078" customFormat="false" ht="15" hidden="true" customHeight="false" outlineLevel="0" collapsed="false">
      <c r="AM3078" s="68" t="str">
        <f aca="false">IF(LEFT(AL3078,1)="9","Celular",IF(AL3078="","","Fixo"))</f>
        <v/>
      </c>
      <c r="BB3078" s="72" t="str">
        <f aca="false">IF(BA3078&lt;&gt;"",VLOOKUP(BA3078,Selects!$B$4:$C$100,2,0),"")</f>
        <v/>
      </c>
      <c r="BH3078" s="66"/>
    </row>
    <row r="3079" customFormat="false" ht="15" hidden="true" customHeight="false" outlineLevel="0" collapsed="false">
      <c r="AM3079" s="68" t="str">
        <f aca="false">IF(LEFT(AL3079,1)="9","Celular",IF(AL3079="","","Fixo"))</f>
        <v/>
      </c>
      <c r="BB3079" s="72" t="str">
        <f aca="false">IF(BA3079&lt;&gt;"",VLOOKUP(BA3079,Selects!$B$4:$C$100,2,0),"")</f>
        <v/>
      </c>
      <c r="BH3079" s="66"/>
    </row>
    <row r="3080" customFormat="false" ht="15" hidden="true" customHeight="false" outlineLevel="0" collapsed="false">
      <c r="AM3080" s="68" t="str">
        <f aca="false">IF(LEFT(AL3080,1)="9","Celular",IF(AL3080="","","Fixo"))</f>
        <v/>
      </c>
      <c r="BB3080" s="72" t="str">
        <f aca="false">IF(BA3080&lt;&gt;"",VLOOKUP(BA3080,Selects!$B$4:$C$100,2,0),"")</f>
        <v/>
      </c>
      <c r="BH3080" s="66"/>
    </row>
    <row r="3081" customFormat="false" ht="15" hidden="true" customHeight="false" outlineLevel="0" collapsed="false">
      <c r="AM3081" s="68" t="str">
        <f aca="false">IF(LEFT(AL3081,1)="9","Celular",IF(AL3081="","","Fixo"))</f>
        <v/>
      </c>
      <c r="BB3081" s="72" t="str">
        <f aca="false">IF(BA3081&lt;&gt;"",VLOOKUP(BA3081,Selects!$B$4:$C$100,2,0),"")</f>
        <v/>
      </c>
      <c r="BH3081" s="66"/>
    </row>
    <row r="3082" customFormat="false" ht="15" hidden="true" customHeight="false" outlineLevel="0" collapsed="false">
      <c r="AM3082" s="68" t="str">
        <f aca="false">IF(LEFT(AL3082,1)="9","Celular",IF(AL3082="","","Fixo"))</f>
        <v/>
      </c>
      <c r="BB3082" s="72" t="str">
        <f aca="false">IF(BA3082&lt;&gt;"",VLOOKUP(BA3082,Selects!$B$4:$C$100,2,0),"")</f>
        <v/>
      </c>
      <c r="BH3082" s="66"/>
    </row>
    <row r="3083" customFormat="false" ht="15" hidden="true" customHeight="false" outlineLevel="0" collapsed="false">
      <c r="AM3083" s="68" t="str">
        <f aca="false">IF(LEFT(AL3083,1)="9","Celular",IF(AL3083="","","Fixo"))</f>
        <v/>
      </c>
      <c r="BB3083" s="72" t="str">
        <f aca="false">IF(BA3083&lt;&gt;"",VLOOKUP(BA3083,Selects!$B$4:$C$100,2,0),"")</f>
        <v/>
      </c>
      <c r="BH3083" s="66"/>
    </row>
    <row r="3084" customFormat="false" ht="15" hidden="true" customHeight="false" outlineLevel="0" collapsed="false">
      <c r="AM3084" s="68" t="str">
        <f aca="false">IF(LEFT(AL3084,1)="9","Celular",IF(AL3084="","","Fixo"))</f>
        <v/>
      </c>
      <c r="BB3084" s="72" t="str">
        <f aca="false">IF(BA3084&lt;&gt;"",VLOOKUP(BA3084,Selects!$B$4:$C$100,2,0),"")</f>
        <v/>
      </c>
      <c r="BH3084" s="66"/>
    </row>
    <row r="3085" customFormat="false" ht="15" hidden="true" customHeight="false" outlineLevel="0" collapsed="false">
      <c r="AM3085" s="68" t="str">
        <f aca="false">IF(LEFT(AL3085,1)="9","Celular",IF(AL3085="","","Fixo"))</f>
        <v/>
      </c>
      <c r="BB3085" s="72" t="str">
        <f aca="false">IF(BA3085&lt;&gt;"",VLOOKUP(BA3085,Selects!$B$4:$C$100,2,0),"")</f>
        <v/>
      </c>
      <c r="BH3085" s="66"/>
    </row>
    <row r="3086" customFormat="false" ht="15" hidden="true" customHeight="false" outlineLevel="0" collapsed="false">
      <c r="AM3086" s="68" t="str">
        <f aca="false">IF(LEFT(AL3086,1)="9","Celular",IF(AL3086="","","Fixo"))</f>
        <v/>
      </c>
      <c r="BB3086" s="72" t="str">
        <f aca="false">IF(BA3086&lt;&gt;"",VLOOKUP(BA3086,Selects!$B$4:$C$100,2,0),"")</f>
        <v/>
      </c>
      <c r="BH3086" s="66"/>
    </row>
    <row r="3087" customFormat="false" ht="15" hidden="true" customHeight="false" outlineLevel="0" collapsed="false">
      <c r="AM3087" s="68" t="str">
        <f aca="false">IF(LEFT(AL3087,1)="9","Celular",IF(AL3087="","","Fixo"))</f>
        <v/>
      </c>
      <c r="BB3087" s="72" t="str">
        <f aca="false">IF(BA3087&lt;&gt;"",VLOOKUP(BA3087,Selects!$B$4:$C$100,2,0),"")</f>
        <v/>
      </c>
      <c r="BH3087" s="66"/>
    </row>
    <row r="3088" customFormat="false" ht="15" hidden="true" customHeight="false" outlineLevel="0" collapsed="false">
      <c r="AM3088" s="68" t="str">
        <f aca="false">IF(LEFT(AL3088,1)="9","Celular",IF(AL3088="","","Fixo"))</f>
        <v/>
      </c>
      <c r="BB3088" s="72" t="str">
        <f aca="false">IF(BA3088&lt;&gt;"",VLOOKUP(BA3088,Selects!$B$4:$C$100,2,0),"")</f>
        <v/>
      </c>
      <c r="BH3088" s="66"/>
    </row>
    <row r="3089" customFormat="false" ht="15" hidden="true" customHeight="false" outlineLevel="0" collapsed="false">
      <c r="AM3089" s="68" t="str">
        <f aca="false">IF(LEFT(AL3089,1)="9","Celular",IF(AL3089="","","Fixo"))</f>
        <v/>
      </c>
      <c r="BB3089" s="72" t="str">
        <f aca="false">IF(BA3089&lt;&gt;"",VLOOKUP(BA3089,Selects!$B$4:$C$100,2,0),"")</f>
        <v/>
      </c>
      <c r="BH3089" s="66"/>
    </row>
    <row r="3090" customFormat="false" ht="15" hidden="true" customHeight="false" outlineLevel="0" collapsed="false">
      <c r="AM3090" s="68" t="str">
        <f aca="false">IF(LEFT(AL3090,1)="9","Celular",IF(AL3090="","","Fixo"))</f>
        <v/>
      </c>
      <c r="BB3090" s="72" t="str">
        <f aca="false">IF(BA3090&lt;&gt;"",VLOOKUP(BA3090,Selects!$B$4:$C$100,2,0),"")</f>
        <v/>
      </c>
      <c r="BH3090" s="66"/>
    </row>
    <row r="3091" customFormat="false" ht="15" hidden="true" customHeight="false" outlineLevel="0" collapsed="false">
      <c r="AM3091" s="68" t="str">
        <f aca="false">IF(LEFT(AL3091,1)="9","Celular",IF(AL3091="","","Fixo"))</f>
        <v/>
      </c>
      <c r="BB3091" s="72" t="str">
        <f aca="false">IF(BA3091&lt;&gt;"",VLOOKUP(BA3091,Selects!$B$4:$C$100,2,0),"")</f>
        <v/>
      </c>
      <c r="BH3091" s="66"/>
    </row>
    <row r="3092" customFormat="false" ht="15" hidden="true" customHeight="false" outlineLevel="0" collapsed="false">
      <c r="AM3092" s="68" t="str">
        <f aca="false">IF(LEFT(AL3092,1)="9","Celular",IF(AL3092="","","Fixo"))</f>
        <v/>
      </c>
      <c r="BB3092" s="72" t="str">
        <f aca="false">IF(BA3092&lt;&gt;"",VLOOKUP(BA3092,Selects!$B$4:$C$100,2,0),"")</f>
        <v/>
      </c>
      <c r="BH3092" s="66"/>
    </row>
    <row r="3093" customFormat="false" ht="15" hidden="true" customHeight="false" outlineLevel="0" collapsed="false">
      <c r="AM3093" s="68" t="str">
        <f aca="false">IF(LEFT(AL3093,1)="9","Celular",IF(AL3093="","","Fixo"))</f>
        <v/>
      </c>
      <c r="BB3093" s="72" t="str">
        <f aca="false">IF(BA3093&lt;&gt;"",VLOOKUP(BA3093,Selects!$B$4:$C$100,2,0),"")</f>
        <v/>
      </c>
      <c r="BH3093" s="66"/>
    </row>
    <row r="3094" customFormat="false" ht="15" hidden="true" customHeight="false" outlineLevel="0" collapsed="false">
      <c r="AM3094" s="68" t="str">
        <f aca="false">IF(LEFT(AL3094,1)="9","Celular",IF(AL3094="","","Fixo"))</f>
        <v/>
      </c>
      <c r="BB3094" s="72" t="str">
        <f aca="false">IF(BA3094&lt;&gt;"",VLOOKUP(BA3094,Selects!$B$4:$C$100,2,0),"")</f>
        <v/>
      </c>
      <c r="BH3094" s="66"/>
    </row>
    <row r="3095" customFormat="false" ht="15" hidden="true" customHeight="false" outlineLevel="0" collapsed="false">
      <c r="AM3095" s="68" t="str">
        <f aca="false">IF(LEFT(AL3095,1)="9","Celular",IF(AL3095="","","Fixo"))</f>
        <v/>
      </c>
      <c r="BB3095" s="72" t="str">
        <f aca="false">IF(BA3095&lt;&gt;"",VLOOKUP(BA3095,Selects!$B$4:$C$100,2,0),"")</f>
        <v/>
      </c>
      <c r="BH3095" s="66"/>
    </row>
    <row r="3096" customFormat="false" ht="15" hidden="true" customHeight="false" outlineLevel="0" collapsed="false">
      <c r="AM3096" s="68" t="str">
        <f aca="false">IF(LEFT(AL3096,1)="9","Celular",IF(AL3096="","","Fixo"))</f>
        <v/>
      </c>
      <c r="BB3096" s="72" t="str">
        <f aca="false">IF(BA3096&lt;&gt;"",VLOOKUP(BA3096,Selects!$B$4:$C$100,2,0),"")</f>
        <v/>
      </c>
      <c r="BH3096" s="66"/>
    </row>
    <row r="3097" customFormat="false" ht="15" hidden="true" customHeight="false" outlineLevel="0" collapsed="false">
      <c r="AM3097" s="68" t="str">
        <f aca="false">IF(LEFT(AL3097,1)="9","Celular",IF(AL3097="","","Fixo"))</f>
        <v/>
      </c>
      <c r="BB3097" s="72" t="str">
        <f aca="false">IF(BA3097&lt;&gt;"",VLOOKUP(BA3097,Selects!$B$4:$C$100,2,0),"")</f>
        <v/>
      </c>
      <c r="BH3097" s="66"/>
    </row>
    <row r="3098" customFormat="false" ht="15" hidden="true" customHeight="false" outlineLevel="0" collapsed="false">
      <c r="AM3098" s="68" t="str">
        <f aca="false">IF(LEFT(AL3098,1)="9","Celular",IF(AL3098="","","Fixo"))</f>
        <v/>
      </c>
      <c r="BB3098" s="72" t="str">
        <f aca="false">IF(BA3098&lt;&gt;"",VLOOKUP(BA3098,Selects!$B$4:$C$100,2,0),"")</f>
        <v/>
      </c>
      <c r="BH3098" s="66"/>
    </row>
    <row r="3099" customFormat="false" ht="15" hidden="true" customHeight="false" outlineLevel="0" collapsed="false">
      <c r="AM3099" s="68" t="str">
        <f aca="false">IF(LEFT(AL3099,1)="9","Celular",IF(AL3099="","","Fixo"))</f>
        <v/>
      </c>
      <c r="BB3099" s="72" t="str">
        <f aca="false">IF(BA3099&lt;&gt;"",VLOOKUP(BA3099,Selects!$B$4:$C$100,2,0),"")</f>
        <v/>
      </c>
      <c r="BH3099" s="66"/>
    </row>
    <row r="3100" customFormat="false" ht="15" hidden="true" customHeight="false" outlineLevel="0" collapsed="false">
      <c r="AM3100" s="68" t="str">
        <f aca="false">IF(LEFT(AL3100,1)="9","Celular",IF(AL3100="","","Fixo"))</f>
        <v/>
      </c>
      <c r="BB3100" s="72" t="str">
        <f aca="false">IF(BA3100&lt;&gt;"",VLOOKUP(BA3100,Selects!$B$4:$C$100,2,0),"")</f>
        <v/>
      </c>
      <c r="BH3100" s="66"/>
    </row>
    <row r="3101" customFormat="false" ht="15" hidden="true" customHeight="false" outlineLevel="0" collapsed="false">
      <c r="AM3101" s="68" t="str">
        <f aca="false">IF(LEFT(AL3101,1)="9","Celular",IF(AL3101="","","Fixo"))</f>
        <v/>
      </c>
      <c r="BB3101" s="72" t="str">
        <f aca="false">IF(BA3101&lt;&gt;"",VLOOKUP(BA3101,Selects!$B$4:$C$100,2,0),"")</f>
        <v/>
      </c>
      <c r="BH3101" s="66"/>
    </row>
    <row r="3102" customFormat="false" ht="15" hidden="true" customHeight="false" outlineLevel="0" collapsed="false">
      <c r="AM3102" s="68" t="str">
        <f aca="false">IF(LEFT(AL3102,1)="9","Celular",IF(AL3102="","","Fixo"))</f>
        <v/>
      </c>
      <c r="BB3102" s="72" t="str">
        <f aca="false">IF(BA3102&lt;&gt;"",VLOOKUP(BA3102,Selects!$B$4:$C$100,2,0),"")</f>
        <v/>
      </c>
      <c r="BH3102" s="66"/>
    </row>
    <row r="3103" customFormat="false" ht="15" hidden="true" customHeight="false" outlineLevel="0" collapsed="false">
      <c r="AM3103" s="68" t="str">
        <f aca="false">IF(LEFT(AL3103,1)="9","Celular",IF(AL3103="","","Fixo"))</f>
        <v/>
      </c>
      <c r="BB3103" s="72" t="str">
        <f aca="false">IF(BA3103&lt;&gt;"",VLOOKUP(BA3103,Selects!$B$4:$C$100,2,0),"")</f>
        <v/>
      </c>
      <c r="BH3103" s="66"/>
    </row>
    <row r="3104" customFormat="false" ht="15" hidden="true" customHeight="false" outlineLevel="0" collapsed="false">
      <c r="AM3104" s="68" t="str">
        <f aca="false">IF(LEFT(AL3104,1)="9","Celular",IF(AL3104="","","Fixo"))</f>
        <v/>
      </c>
      <c r="BB3104" s="72" t="str">
        <f aca="false">IF(BA3104&lt;&gt;"",VLOOKUP(BA3104,Selects!$B$4:$C$100,2,0),"")</f>
        <v/>
      </c>
      <c r="BH3104" s="66"/>
    </row>
    <row r="3105" customFormat="false" ht="15" hidden="true" customHeight="false" outlineLevel="0" collapsed="false">
      <c r="AM3105" s="68" t="str">
        <f aca="false">IF(LEFT(AL3105,1)="9","Celular",IF(AL3105="","","Fixo"))</f>
        <v/>
      </c>
      <c r="BB3105" s="72" t="str">
        <f aca="false">IF(BA3105&lt;&gt;"",VLOOKUP(BA3105,Selects!$B$4:$C$100,2,0),"")</f>
        <v/>
      </c>
      <c r="BH3105" s="66"/>
    </row>
    <row r="3106" customFormat="false" ht="15" hidden="true" customHeight="false" outlineLevel="0" collapsed="false">
      <c r="AM3106" s="68" t="str">
        <f aca="false">IF(LEFT(AL3106,1)="9","Celular",IF(AL3106="","","Fixo"))</f>
        <v/>
      </c>
      <c r="BB3106" s="72" t="str">
        <f aca="false">IF(BA3106&lt;&gt;"",VLOOKUP(BA3106,Selects!$B$4:$C$100,2,0),"")</f>
        <v/>
      </c>
      <c r="BH3106" s="66"/>
    </row>
    <row r="3107" customFormat="false" ht="15" hidden="true" customHeight="false" outlineLevel="0" collapsed="false">
      <c r="AM3107" s="68" t="str">
        <f aca="false">IF(LEFT(AL3107,1)="9","Celular",IF(AL3107="","","Fixo"))</f>
        <v/>
      </c>
      <c r="BB3107" s="72" t="str">
        <f aca="false">IF(BA3107&lt;&gt;"",VLOOKUP(BA3107,Selects!$B$4:$C$100,2,0),"")</f>
        <v/>
      </c>
      <c r="BH3107" s="66"/>
    </row>
    <row r="3108" customFormat="false" ht="15" hidden="true" customHeight="false" outlineLevel="0" collapsed="false">
      <c r="AM3108" s="68" t="str">
        <f aca="false">IF(LEFT(AL3108,1)="9","Celular",IF(AL3108="","","Fixo"))</f>
        <v/>
      </c>
      <c r="BB3108" s="72" t="str">
        <f aca="false">IF(BA3108&lt;&gt;"",VLOOKUP(BA3108,Selects!$B$4:$C$100,2,0),"")</f>
        <v/>
      </c>
      <c r="BH3108" s="66"/>
    </row>
    <row r="3109" customFormat="false" ht="15" hidden="true" customHeight="false" outlineLevel="0" collapsed="false">
      <c r="AM3109" s="68" t="str">
        <f aca="false">IF(LEFT(AL3109,1)="9","Celular",IF(AL3109="","","Fixo"))</f>
        <v/>
      </c>
      <c r="BB3109" s="72" t="str">
        <f aca="false">IF(BA3109&lt;&gt;"",VLOOKUP(BA3109,Selects!$B$4:$C$100,2,0),"")</f>
        <v/>
      </c>
      <c r="BH3109" s="66"/>
    </row>
    <row r="3110" customFormat="false" ht="15" hidden="true" customHeight="false" outlineLevel="0" collapsed="false">
      <c r="AM3110" s="68" t="str">
        <f aca="false">IF(LEFT(AL3110,1)="9","Celular",IF(AL3110="","","Fixo"))</f>
        <v/>
      </c>
      <c r="BB3110" s="72" t="str">
        <f aca="false">IF(BA3110&lt;&gt;"",VLOOKUP(BA3110,Selects!$B$4:$C$100,2,0),"")</f>
        <v/>
      </c>
      <c r="BH3110" s="66"/>
    </row>
    <row r="3111" customFormat="false" ht="15" hidden="true" customHeight="false" outlineLevel="0" collapsed="false">
      <c r="AM3111" s="68" t="str">
        <f aca="false">IF(LEFT(AL3111,1)="9","Celular",IF(AL3111="","","Fixo"))</f>
        <v/>
      </c>
      <c r="BB3111" s="72" t="str">
        <f aca="false">IF(BA3111&lt;&gt;"",VLOOKUP(BA3111,Selects!$B$4:$C$100,2,0),"")</f>
        <v/>
      </c>
      <c r="BH3111" s="66"/>
    </row>
    <row r="3112" customFormat="false" ht="15" hidden="true" customHeight="false" outlineLevel="0" collapsed="false">
      <c r="AM3112" s="68" t="str">
        <f aca="false">IF(LEFT(AL3112,1)="9","Celular",IF(AL3112="","","Fixo"))</f>
        <v/>
      </c>
      <c r="BB3112" s="72" t="str">
        <f aca="false">IF(BA3112&lt;&gt;"",VLOOKUP(BA3112,Selects!$B$4:$C$100,2,0),"")</f>
        <v/>
      </c>
      <c r="BH3112" s="66"/>
    </row>
    <row r="3113" customFormat="false" ht="15" hidden="true" customHeight="false" outlineLevel="0" collapsed="false">
      <c r="AM3113" s="68" t="str">
        <f aca="false">IF(LEFT(AL3113,1)="9","Celular",IF(AL3113="","","Fixo"))</f>
        <v/>
      </c>
      <c r="BB3113" s="72" t="str">
        <f aca="false">IF(BA3113&lt;&gt;"",VLOOKUP(BA3113,Selects!$B$4:$C$100,2,0),"")</f>
        <v/>
      </c>
      <c r="BH3113" s="66"/>
    </row>
    <row r="3114" customFormat="false" ht="15" hidden="true" customHeight="false" outlineLevel="0" collapsed="false">
      <c r="AM3114" s="68" t="str">
        <f aca="false">IF(LEFT(AL3114,1)="9","Celular",IF(AL3114="","","Fixo"))</f>
        <v/>
      </c>
      <c r="BB3114" s="72" t="str">
        <f aca="false">IF(BA3114&lt;&gt;"",VLOOKUP(BA3114,Selects!$B$4:$C$100,2,0),"")</f>
        <v/>
      </c>
      <c r="BH3114" s="66"/>
    </row>
    <row r="3115" customFormat="false" ht="15" hidden="true" customHeight="false" outlineLevel="0" collapsed="false">
      <c r="AM3115" s="68" t="str">
        <f aca="false">IF(LEFT(AL3115,1)="9","Celular",IF(AL3115="","","Fixo"))</f>
        <v/>
      </c>
      <c r="BB3115" s="72" t="str">
        <f aca="false">IF(BA3115&lt;&gt;"",VLOOKUP(BA3115,Selects!$B$4:$C$100,2,0),"")</f>
        <v/>
      </c>
      <c r="BH3115" s="66"/>
    </row>
    <row r="3116" customFormat="false" ht="15" hidden="true" customHeight="false" outlineLevel="0" collapsed="false">
      <c r="AM3116" s="68" t="str">
        <f aca="false">IF(LEFT(AL3116,1)="9","Celular",IF(AL3116="","","Fixo"))</f>
        <v/>
      </c>
      <c r="BB3116" s="72" t="str">
        <f aca="false">IF(BA3116&lt;&gt;"",VLOOKUP(BA3116,Selects!$B$4:$C$100,2,0),"")</f>
        <v/>
      </c>
      <c r="BH3116" s="66"/>
    </row>
    <row r="3117" customFormat="false" ht="15" hidden="true" customHeight="false" outlineLevel="0" collapsed="false">
      <c r="AM3117" s="68" t="str">
        <f aca="false">IF(LEFT(AL3117,1)="9","Celular",IF(AL3117="","","Fixo"))</f>
        <v/>
      </c>
      <c r="BB3117" s="72" t="str">
        <f aca="false">IF(BA3117&lt;&gt;"",VLOOKUP(BA3117,Selects!$B$4:$C$100,2,0),"")</f>
        <v/>
      </c>
      <c r="BH3117" s="66"/>
    </row>
    <row r="3118" customFormat="false" ht="15" hidden="true" customHeight="false" outlineLevel="0" collapsed="false">
      <c r="AM3118" s="68" t="str">
        <f aca="false">IF(LEFT(AL3118,1)="9","Celular",IF(AL3118="","","Fixo"))</f>
        <v/>
      </c>
      <c r="BB3118" s="72" t="str">
        <f aca="false">IF(BA3118&lt;&gt;"",VLOOKUP(BA3118,Selects!$B$4:$C$100,2,0),"")</f>
        <v/>
      </c>
      <c r="BH3118" s="66"/>
    </row>
    <row r="3119" customFormat="false" ht="15" hidden="true" customHeight="false" outlineLevel="0" collapsed="false">
      <c r="AM3119" s="68" t="str">
        <f aca="false">IF(LEFT(AL3119,1)="9","Celular",IF(AL3119="","","Fixo"))</f>
        <v/>
      </c>
      <c r="BB3119" s="72" t="str">
        <f aca="false">IF(BA3119&lt;&gt;"",VLOOKUP(BA3119,Selects!$B$4:$C$100,2,0),"")</f>
        <v/>
      </c>
      <c r="BH3119" s="66"/>
    </row>
    <row r="3120" customFormat="false" ht="15" hidden="true" customHeight="false" outlineLevel="0" collapsed="false">
      <c r="AM3120" s="68" t="str">
        <f aca="false">IF(LEFT(AL3120,1)="9","Celular",IF(AL3120="","","Fixo"))</f>
        <v/>
      </c>
      <c r="BB3120" s="72" t="str">
        <f aca="false">IF(BA3120&lt;&gt;"",VLOOKUP(BA3120,Selects!$B$4:$C$100,2,0),"")</f>
        <v/>
      </c>
      <c r="BH3120" s="66"/>
    </row>
    <row r="3121" customFormat="false" ht="15" hidden="true" customHeight="false" outlineLevel="0" collapsed="false">
      <c r="AM3121" s="68" t="str">
        <f aca="false">IF(LEFT(AL3121,1)="9","Celular",IF(AL3121="","","Fixo"))</f>
        <v/>
      </c>
      <c r="BB3121" s="72" t="str">
        <f aca="false">IF(BA3121&lt;&gt;"",VLOOKUP(BA3121,Selects!$B$4:$C$100,2,0),"")</f>
        <v/>
      </c>
      <c r="BH3121" s="66"/>
    </row>
    <row r="3122" customFormat="false" ht="15" hidden="true" customHeight="false" outlineLevel="0" collapsed="false">
      <c r="AM3122" s="68" t="str">
        <f aca="false">IF(LEFT(AL3122,1)="9","Celular",IF(AL3122="","","Fixo"))</f>
        <v/>
      </c>
      <c r="BB3122" s="72" t="str">
        <f aca="false">IF(BA3122&lt;&gt;"",VLOOKUP(BA3122,Selects!$B$4:$C$100,2,0),"")</f>
        <v/>
      </c>
      <c r="BH3122" s="66"/>
    </row>
    <row r="3123" customFormat="false" ht="15" hidden="true" customHeight="false" outlineLevel="0" collapsed="false">
      <c r="AM3123" s="68" t="str">
        <f aca="false">IF(LEFT(AL3123,1)="9","Celular",IF(AL3123="","","Fixo"))</f>
        <v/>
      </c>
      <c r="BB3123" s="72" t="str">
        <f aca="false">IF(BA3123&lt;&gt;"",VLOOKUP(BA3123,Selects!$B$4:$C$100,2,0),"")</f>
        <v/>
      </c>
      <c r="BH3123" s="66"/>
    </row>
    <row r="3124" customFormat="false" ht="15" hidden="true" customHeight="false" outlineLevel="0" collapsed="false">
      <c r="AM3124" s="68" t="str">
        <f aca="false">IF(LEFT(AL3124,1)="9","Celular",IF(AL3124="","","Fixo"))</f>
        <v/>
      </c>
      <c r="BB3124" s="72" t="str">
        <f aca="false">IF(BA3124&lt;&gt;"",VLOOKUP(BA3124,Selects!$B$4:$C$100,2,0),"")</f>
        <v/>
      </c>
      <c r="BH3124" s="66"/>
    </row>
    <row r="3125" customFormat="false" ht="15" hidden="true" customHeight="false" outlineLevel="0" collapsed="false">
      <c r="AM3125" s="68" t="str">
        <f aca="false">IF(LEFT(AL3125,1)="9","Celular",IF(AL3125="","","Fixo"))</f>
        <v/>
      </c>
      <c r="BB3125" s="72" t="str">
        <f aca="false">IF(BA3125&lt;&gt;"",VLOOKUP(BA3125,Selects!$B$4:$C$100,2,0),"")</f>
        <v/>
      </c>
      <c r="BH3125" s="66"/>
    </row>
    <row r="3126" customFormat="false" ht="15" hidden="true" customHeight="false" outlineLevel="0" collapsed="false">
      <c r="AM3126" s="68" t="str">
        <f aca="false">IF(LEFT(AL3126,1)="9","Celular",IF(AL3126="","","Fixo"))</f>
        <v/>
      </c>
      <c r="BB3126" s="72" t="str">
        <f aca="false">IF(BA3126&lt;&gt;"",VLOOKUP(BA3126,Selects!$B$4:$C$100,2,0),"")</f>
        <v/>
      </c>
      <c r="BH3126" s="66"/>
    </row>
    <row r="3127" customFormat="false" ht="15" hidden="true" customHeight="false" outlineLevel="0" collapsed="false">
      <c r="AM3127" s="68" t="str">
        <f aca="false">IF(LEFT(AL3127,1)="9","Celular",IF(AL3127="","","Fixo"))</f>
        <v/>
      </c>
      <c r="BB3127" s="72" t="str">
        <f aca="false">IF(BA3127&lt;&gt;"",VLOOKUP(BA3127,Selects!$B$4:$C$100,2,0),"")</f>
        <v/>
      </c>
      <c r="BH3127" s="66"/>
    </row>
    <row r="3128" customFormat="false" ht="15" hidden="true" customHeight="false" outlineLevel="0" collapsed="false">
      <c r="AM3128" s="68" t="str">
        <f aca="false">IF(LEFT(AL3128,1)="9","Celular",IF(AL3128="","","Fixo"))</f>
        <v/>
      </c>
      <c r="BB3128" s="72" t="str">
        <f aca="false">IF(BA3128&lt;&gt;"",VLOOKUP(BA3128,Selects!$B$4:$C$100,2,0),"")</f>
        <v/>
      </c>
      <c r="BH3128" s="66"/>
    </row>
    <row r="3129" customFormat="false" ht="15" hidden="true" customHeight="false" outlineLevel="0" collapsed="false">
      <c r="AM3129" s="68" t="str">
        <f aca="false">IF(LEFT(AL3129,1)="9","Celular",IF(AL3129="","","Fixo"))</f>
        <v/>
      </c>
      <c r="BB3129" s="72" t="str">
        <f aca="false">IF(BA3129&lt;&gt;"",VLOOKUP(BA3129,Selects!$B$4:$C$100,2,0),"")</f>
        <v/>
      </c>
      <c r="BH3129" s="66"/>
    </row>
    <row r="3130" customFormat="false" ht="15" hidden="true" customHeight="false" outlineLevel="0" collapsed="false">
      <c r="AM3130" s="68" t="str">
        <f aca="false">IF(LEFT(AL3130,1)="9","Celular",IF(AL3130="","","Fixo"))</f>
        <v/>
      </c>
      <c r="BB3130" s="72" t="str">
        <f aca="false">IF(BA3130&lt;&gt;"",VLOOKUP(BA3130,Selects!$B$4:$C$100,2,0),"")</f>
        <v/>
      </c>
      <c r="BH3130" s="66"/>
    </row>
    <row r="3131" customFormat="false" ht="15" hidden="true" customHeight="false" outlineLevel="0" collapsed="false">
      <c r="AM3131" s="68" t="str">
        <f aca="false">IF(LEFT(AL3131,1)="9","Celular",IF(AL3131="","","Fixo"))</f>
        <v/>
      </c>
      <c r="BB3131" s="72" t="str">
        <f aca="false">IF(BA3131&lt;&gt;"",VLOOKUP(BA3131,Selects!$B$4:$C$100,2,0),"")</f>
        <v/>
      </c>
      <c r="BH3131" s="66"/>
    </row>
    <row r="3132" customFormat="false" ht="15" hidden="true" customHeight="false" outlineLevel="0" collapsed="false">
      <c r="AM3132" s="68" t="str">
        <f aca="false">IF(LEFT(AL3132,1)="9","Celular",IF(AL3132="","","Fixo"))</f>
        <v/>
      </c>
      <c r="BB3132" s="72" t="str">
        <f aca="false">IF(BA3132&lt;&gt;"",VLOOKUP(BA3132,Selects!$B$4:$C$100,2,0),"")</f>
        <v/>
      </c>
      <c r="BH3132" s="66"/>
    </row>
    <row r="3133" customFormat="false" ht="15" hidden="true" customHeight="false" outlineLevel="0" collapsed="false">
      <c r="AM3133" s="68" t="str">
        <f aca="false">IF(LEFT(AL3133,1)="9","Celular",IF(AL3133="","","Fixo"))</f>
        <v/>
      </c>
      <c r="BB3133" s="72" t="str">
        <f aca="false">IF(BA3133&lt;&gt;"",VLOOKUP(BA3133,Selects!$B$4:$C$100,2,0),"")</f>
        <v/>
      </c>
      <c r="BH3133" s="66"/>
    </row>
    <row r="3134" customFormat="false" ht="15" hidden="true" customHeight="false" outlineLevel="0" collapsed="false">
      <c r="AM3134" s="68" t="str">
        <f aca="false">IF(LEFT(AL3134,1)="9","Celular",IF(AL3134="","","Fixo"))</f>
        <v/>
      </c>
      <c r="BB3134" s="72" t="str">
        <f aca="false">IF(BA3134&lt;&gt;"",VLOOKUP(BA3134,Selects!$B$4:$C$100,2,0),"")</f>
        <v/>
      </c>
      <c r="BH3134" s="66"/>
    </row>
    <row r="3135" customFormat="false" ht="15" hidden="true" customHeight="false" outlineLevel="0" collapsed="false">
      <c r="AM3135" s="68" t="str">
        <f aca="false">IF(LEFT(AL3135,1)="9","Celular",IF(AL3135="","","Fixo"))</f>
        <v/>
      </c>
      <c r="BB3135" s="72" t="str">
        <f aca="false">IF(BA3135&lt;&gt;"",VLOOKUP(BA3135,Selects!$B$4:$C$100,2,0),"")</f>
        <v/>
      </c>
      <c r="BH3135" s="66"/>
    </row>
    <row r="3136" customFormat="false" ht="15" hidden="true" customHeight="false" outlineLevel="0" collapsed="false">
      <c r="AM3136" s="68" t="str">
        <f aca="false">IF(LEFT(AL3136,1)="9","Celular",IF(AL3136="","","Fixo"))</f>
        <v/>
      </c>
      <c r="BB3136" s="72" t="str">
        <f aca="false">IF(BA3136&lt;&gt;"",VLOOKUP(BA3136,Selects!$B$4:$C$100,2,0),"")</f>
        <v/>
      </c>
      <c r="BH3136" s="66"/>
    </row>
    <row r="3137" customFormat="false" ht="15" hidden="true" customHeight="false" outlineLevel="0" collapsed="false">
      <c r="AM3137" s="68" t="str">
        <f aca="false">IF(LEFT(AL3137,1)="9","Celular",IF(AL3137="","","Fixo"))</f>
        <v/>
      </c>
      <c r="BB3137" s="72" t="str">
        <f aca="false">IF(BA3137&lt;&gt;"",VLOOKUP(BA3137,Selects!$B$4:$C$100,2,0),"")</f>
        <v/>
      </c>
      <c r="BH3137" s="66"/>
    </row>
    <row r="3138" customFormat="false" ht="15" hidden="true" customHeight="false" outlineLevel="0" collapsed="false">
      <c r="AM3138" s="68" t="str">
        <f aca="false">IF(LEFT(AL3138,1)="9","Celular",IF(AL3138="","","Fixo"))</f>
        <v/>
      </c>
      <c r="BB3138" s="72" t="str">
        <f aca="false">IF(BA3138&lt;&gt;"",VLOOKUP(BA3138,Selects!$B$4:$C$100,2,0),"")</f>
        <v/>
      </c>
      <c r="BH3138" s="66"/>
    </row>
    <row r="3139" customFormat="false" ht="15" hidden="true" customHeight="false" outlineLevel="0" collapsed="false">
      <c r="AM3139" s="68" t="str">
        <f aca="false">IF(LEFT(AL3139,1)="9","Celular",IF(AL3139="","","Fixo"))</f>
        <v/>
      </c>
      <c r="BB3139" s="72" t="str">
        <f aca="false">IF(BA3139&lt;&gt;"",VLOOKUP(BA3139,Selects!$B$4:$C$100,2,0),"")</f>
        <v/>
      </c>
      <c r="BH3139" s="66"/>
    </row>
    <row r="3140" customFormat="false" ht="15" hidden="true" customHeight="false" outlineLevel="0" collapsed="false">
      <c r="AM3140" s="68" t="str">
        <f aca="false">IF(LEFT(AL3140,1)="9","Celular",IF(AL3140="","","Fixo"))</f>
        <v/>
      </c>
      <c r="BB3140" s="72" t="str">
        <f aca="false">IF(BA3140&lt;&gt;"",VLOOKUP(BA3140,Selects!$B$4:$C$100,2,0),"")</f>
        <v/>
      </c>
      <c r="BH3140" s="66"/>
    </row>
    <row r="3141" customFormat="false" ht="15" hidden="true" customHeight="false" outlineLevel="0" collapsed="false">
      <c r="AM3141" s="68" t="str">
        <f aca="false">IF(LEFT(AL3141,1)="9","Celular",IF(AL3141="","","Fixo"))</f>
        <v/>
      </c>
      <c r="BB3141" s="72" t="str">
        <f aca="false">IF(BA3141&lt;&gt;"",VLOOKUP(BA3141,Selects!$B$4:$C$100,2,0),"")</f>
        <v/>
      </c>
      <c r="BH3141" s="66"/>
    </row>
    <row r="3142" customFormat="false" ht="15" hidden="true" customHeight="false" outlineLevel="0" collapsed="false">
      <c r="AM3142" s="68" t="str">
        <f aca="false">IF(LEFT(AL3142,1)="9","Celular",IF(AL3142="","","Fixo"))</f>
        <v/>
      </c>
      <c r="BB3142" s="72" t="str">
        <f aca="false">IF(BA3142&lt;&gt;"",VLOOKUP(BA3142,Selects!$B$4:$C$100,2,0),"")</f>
        <v/>
      </c>
      <c r="BH3142" s="66"/>
    </row>
    <row r="3143" customFormat="false" ht="15" hidden="true" customHeight="false" outlineLevel="0" collapsed="false">
      <c r="AM3143" s="68" t="str">
        <f aca="false">IF(LEFT(AL3143,1)="9","Celular",IF(AL3143="","","Fixo"))</f>
        <v/>
      </c>
      <c r="BB3143" s="72" t="str">
        <f aca="false">IF(BA3143&lt;&gt;"",VLOOKUP(BA3143,Selects!$B$4:$C$100,2,0),"")</f>
        <v/>
      </c>
      <c r="BH3143" s="66"/>
    </row>
    <row r="3144" customFormat="false" ht="15" hidden="true" customHeight="false" outlineLevel="0" collapsed="false">
      <c r="AM3144" s="68" t="str">
        <f aca="false">IF(LEFT(AL3144,1)="9","Celular",IF(AL3144="","","Fixo"))</f>
        <v/>
      </c>
      <c r="BB3144" s="72" t="str">
        <f aca="false">IF(BA3144&lt;&gt;"",VLOOKUP(BA3144,Selects!$B$4:$C$100,2,0),"")</f>
        <v/>
      </c>
      <c r="BH3144" s="66"/>
    </row>
    <row r="3145" customFormat="false" ht="15" hidden="true" customHeight="false" outlineLevel="0" collapsed="false">
      <c r="AM3145" s="68" t="str">
        <f aca="false">IF(LEFT(AL3145,1)="9","Celular",IF(AL3145="","","Fixo"))</f>
        <v/>
      </c>
      <c r="BB3145" s="72" t="str">
        <f aca="false">IF(BA3145&lt;&gt;"",VLOOKUP(BA3145,Selects!$B$4:$C$100,2,0),"")</f>
        <v/>
      </c>
      <c r="BH3145" s="66"/>
    </row>
    <row r="3146" customFormat="false" ht="15" hidden="true" customHeight="false" outlineLevel="0" collapsed="false">
      <c r="AM3146" s="68" t="str">
        <f aca="false">IF(LEFT(AL3146,1)="9","Celular",IF(AL3146="","","Fixo"))</f>
        <v/>
      </c>
      <c r="BB3146" s="72" t="str">
        <f aca="false">IF(BA3146&lt;&gt;"",VLOOKUP(BA3146,Selects!$B$4:$C$100,2,0),"")</f>
        <v/>
      </c>
      <c r="BH3146" s="66"/>
    </row>
    <row r="3147" customFormat="false" ht="15" hidden="true" customHeight="false" outlineLevel="0" collapsed="false">
      <c r="AM3147" s="68" t="str">
        <f aca="false">IF(LEFT(AL3147,1)="9","Celular",IF(AL3147="","","Fixo"))</f>
        <v/>
      </c>
      <c r="BB3147" s="72" t="str">
        <f aca="false">IF(BA3147&lt;&gt;"",VLOOKUP(BA3147,Selects!$B$4:$C$100,2,0),"")</f>
        <v/>
      </c>
      <c r="BH3147" s="66"/>
    </row>
    <row r="3148" customFormat="false" ht="15" hidden="true" customHeight="false" outlineLevel="0" collapsed="false">
      <c r="AM3148" s="68" t="str">
        <f aca="false">IF(LEFT(AL3148,1)="9","Celular",IF(AL3148="","","Fixo"))</f>
        <v/>
      </c>
      <c r="BB3148" s="72" t="str">
        <f aca="false">IF(BA3148&lt;&gt;"",VLOOKUP(BA3148,Selects!$B$4:$C$100,2,0),"")</f>
        <v/>
      </c>
      <c r="BH3148" s="66"/>
    </row>
    <row r="3149" customFormat="false" ht="15" hidden="true" customHeight="false" outlineLevel="0" collapsed="false">
      <c r="AM3149" s="68" t="str">
        <f aca="false">IF(LEFT(AL3149,1)="9","Celular",IF(AL3149="","","Fixo"))</f>
        <v/>
      </c>
      <c r="BB3149" s="72" t="str">
        <f aca="false">IF(BA3149&lt;&gt;"",VLOOKUP(BA3149,Selects!$B$4:$C$100,2,0),"")</f>
        <v/>
      </c>
      <c r="BH3149" s="66"/>
    </row>
    <row r="3150" customFormat="false" ht="15" hidden="true" customHeight="false" outlineLevel="0" collapsed="false">
      <c r="AM3150" s="68" t="str">
        <f aca="false">IF(LEFT(AL3150,1)="9","Celular",IF(AL3150="","","Fixo"))</f>
        <v/>
      </c>
      <c r="BB3150" s="72" t="str">
        <f aca="false">IF(BA3150&lt;&gt;"",VLOOKUP(BA3150,Selects!$B$4:$C$100,2,0),"")</f>
        <v/>
      </c>
      <c r="BH3150" s="66"/>
    </row>
    <row r="3151" customFormat="false" ht="15" hidden="true" customHeight="false" outlineLevel="0" collapsed="false">
      <c r="AM3151" s="68" t="str">
        <f aca="false">IF(LEFT(AL3151,1)="9","Celular",IF(AL3151="","","Fixo"))</f>
        <v/>
      </c>
      <c r="BB3151" s="72" t="str">
        <f aca="false">IF(BA3151&lt;&gt;"",VLOOKUP(BA3151,Selects!$B$4:$C$100,2,0),"")</f>
        <v/>
      </c>
      <c r="BH3151" s="66"/>
    </row>
    <row r="3152" customFormat="false" ht="15" hidden="true" customHeight="false" outlineLevel="0" collapsed="false">
      <c r="AM3152" s="68" t="str">
        <f aca="false">IF(LEFT(AL3152,1)="9","Celular",IF(AL3152="","","Fixo"))</f>
        <v/>
      </c>
      <c r="BB3152" s="72" t="str">
        <f aca="false">IF(BA3152&lt;&gt;"",VLOOKUP(BA3152,Selects!$B$4:$C$100,2,0),"")</f>
        <v/>
      </c>
      <c r="BH3152" s="66"/>
    </row>
    <row r="3153" customFormat="false" ht="15" hidden="true" customHeight="false" outlineLevel="0" collapsed="false">
      <c r="AM3153" s="68" t="str">
        <f aca="false">IF(LEFT(AL3153,1)="9","Celular",IF(AL3153="","","Fixo"))</f>
        <v/>
      </c>
      <c r="BB3153" s="72" t="str">
        <f aca="false">IF(BA3153&lt;&gt;"",VLOOKUP(BA3153,Selects!$B$4:$C$100,2,0),"")</f>
        <v/>
      </c>
      <c r="BH3153" s="66"/>
    </row>
    <row r="3154" customFormat="false" ht="15" hidden="true" customHeight="false" outlineLevel="0" collapsed="false">
      <c r="AM3154" s="68" t="str">
        <f aca="false">IF(LEFT(AL3154,1)="9","Celular",IF(AL3154="","","Fixo"))</f>
        <v/>
      </c>
      <c r="BB3154" s="72" t="str">
        <f aca="false">IF(BA3154&lt;&gt;"",VLOOKUP(BA3154,Selects!$B$4:$C$100,2,0),"")</f>
        <v/>
      </c>
      <c r="BH3154" s="66"/>
    </row>
    <row r="3155" customFormat="false" ht="15" hidden="true" customHeight="false" outlineLevel="0" collapsed="false">
      <c r="AM3155" s="68" t="str">
        <f aca="false">IF(LEFT(AL3155,1)="9","Celular",IF(AL3155="","","Fixo"))</f>
        <v/>
      </c>
      <c r="BB3155" s="72" t="str">
        <f aca="false">IF(BA3155&lt;&gt;"",VLOOKUP(BA3155,Selects!$B$4:$C$100,2,0),"")</f>
        <v/>
      </c>
      <c r="BH3155" s="66"/>
    </row>
    <row r="3156" customFormat="false" ht="15" hidden="true" customHeight="false" outlineLevel="0" collapsed="false">
      <c r="AM3156" s="68" t="str">
        <f aca="false">IF(LEFT(AL3156,1)="9","Celular",IF(AL3156="","","Fixo"))</f>
        <v/>
      </c>
      <c r="BB3156" s="72" t="str">
        <f aca="false">IF(BA3156&lt;&gt;"",VLOOKUP(BA3156,Selects!$B$4:$C$100,2,0),"")</f>
        <v/>
      </c>
      <c r="BH3156" s="66"/>
    </row>
    <row r="3157" customFormat="false" ht="15" hidden="true" customHeight="false" outlineLevel="0" collapsed="false">
      <c r="AM3157" s="68" t="str">
        <f aca="false">IF(LEFT(AL3157,1)="9","Celular",IF(AL3157="","","Fixo"))</f>
        <v/>
      </c>
      <c r="BB3157" s="72" t="str">
        <f aca="false">IF(BA3157&lt;&gt;"",VLOOKUP(BA3157,Selects!$B$4:$C$100,2,0),"")</f>
        <v/>
      </c>
      <c r="BH3157" s="66"/>
    </row>
    <row r="3158" customFormat="false" ht="15" hidden="true" customHeight="false" outlineLevel="0" collapsed="false">
      <c r="AM3158" s="68" t="str">
        <f aca="false">IF(LEFT(AL3158,1)="9","Celular",IF(AL3158="","","Fixo"))</f>
        <v/>
      </c>
      <c r="BB3158" s="72" t="str">
        <f aca="false">IF(BA3158&lt;&gt;"",VLOOKUP(BA3158,Selects!$B$4:$C$100,2,0),"")</f>
        <v/>
      </c>
      <c r="BH3158" s="66"/>
    </row>
    <row r="3159" customFormat="false" ht="15" hidden="true" customHeight="false" outlineLevel="0" collapsed="false">
      <c r="AM3159" s="68" t="str">
        <f aca="false">IF(LEFT(AL3159,1)="9","Celular",IF(AL3159="","","Fixo"))</f>
        <v/>
      </c>
      <c r="BB3159" s="72" t="str">
        <f aca="false">IF(BA3159&lt;&gt;"",VLOOKUP(BA3159,Selects!$B$4:$C$100,2,0),"")</f>
        <v/>
      </c>
      <c r="BH3159" s="66"/>
    </row>
    <row r="3160" customFormat="false" ht="15" hidden="true" customHeight="false" outlineLevel="0" collapsed="false">
      <c r="AM3160" s="68" t="str">
        <f aca="false">IF(LEFT(AL3160,1)="9","Celular",IF(AL3160="","","Fixo"))</f>
        <v/>
      </c>
      <c r="BB3160" s="72" t="str">
        <f aca="false">IF(BA3160&lt;&gt;"",VLOOKUP(BA3160,Selects!$B$4:$C$100,2,0),"")</f>
        <v/>
      </c>
      <c r="BH3160" s="66"/>
    </row>
    <row r="3161" customFormat="false" ht="15" hidden="true" customHeight="false" outlineLevel="0" collapsed="false">
      <c r="AM3161" s="68" t="str">
        <f aca="false">IF(LEFT(AL3161,1)="9","Celular",IF(AL3161="","","Fixo"))</f>
        <v/>
      </c>
      <c r="BB3161" s="72" t="str">
        <f aca="false">IF(BA3161&lt;&gt;"",VLOOKUP(BA3161,Selects!$B$4:$C$100,2,0),"")</f>
        <v/>
      </c>
      <c r="BH3161" s="66"/>
    </row>
    <row r="3162" customFormat="false" ht="15" hidden="true" customHeight="false" outlineLevel="0" collapsed="false">
      <c r="AM3162" s="68" t="str">
        <f aca="false">IF(LEFT(AL3162,1)="9","Celular",IF(AL3162="","","Fixo"))</f>
        <v/>
      </c>
      <c r="BB3162" s="72" t="str">
        <f aca="false">IF(BA3162&lt;&gt;"",VLOOKUP(BA3162,Selects!$B$4:$C$100,2,0),"")</f>
        <v/>
      </c>
      <c r="BH3162" s="66"/>
    </row>
    <row r="3163" customFormat="false" ht="15" hidden="true" customHeight="false" outlineLevel="0" collapsed="false">
      <c r="AM3163" s="68" t="str">
        <f aca="false">IF(LEFT(AL3163,1)="9","Celular",IF(AL3163="","","Fixo"))</f>
        <v/>
      </c>
      <c r="BB3163" s="72" t="str">
        <f aca="false">IF(BA3163&lt;&gt;"",VLOOKUP(BA3163,Selects!$B$4:$C$100,2,0),"")</f>
        <v/>
      </c>
      <c r="BH3163" s="66"/>
    </row>
    <row r="3164" customFormat="false" ht="15" hidden="true" customHeight="false" outlineLevel="0" collapsed="false">
      <c r="AM3164" s="68" t="str">
        <f aca="false">IF(LEFT(AL3164,1)="9","Celular",IF(AL3164="","","Fixo"))</f>
        <v/>
      </c>
      <c r="BB3164" s="72" t="str">
        <f aca="false">IF(BA3164&lt;&gt;"",VLOOKUP(BA3164,Selects!$B$4:$C$100,2,0),"")</f>
        <v/>
      </c>
      <c r="BH3164" s="66"/>
    </row>
    <row r="3165" customFormat="false" ht="15" hidden="true" customHeight="false" outlineLevel="0" collapsed="false">
      <c r="AM3165" s="68" t="str">
        <f aca="false">IF(LEFT(AL3165,1)="9","Celular",IF(AL3165="","","Fixo"))</f>
        <v/>
      </c>
      <c r="BB3165" s="72" t="str">
        <f aca="false">IF(BA3165&lt;&gt;"",VLOOKUP(BA3165,Selects!$B$4:$C$100,2,0),"")</f>
        <v/>
      </c>
      <c r="BH3165" s="66"/>
    </row>
    <row r="3166" customFormat="false" ht="15" hidden="true" customHeight="false" outlineLevel="0" collapsed="false">
      <c r="AM3166" s="68" t="str">
        <f aca="false">IF(LEFT(AL3166,1)="9","Celular",IF(AL3166="","","Fixo"))</f>
        <v/>
      </c>
      <c r="BB3166" s="72" t="str">
        <f aca="false">IF(BA3166&lt;&gt;"",VLOOKUP(BA3166,Selects!$B$4:$C$100,2,0),"")</f>
        <v/>
      </c>
      <c r="BH3166" s="66"/>
    </row>
    <row r="3167" customFormat="false" ht="15" hidden="true" customHeight="false" outlineLevel="0" collapsed="false">
      <c r="AM3167" s="68" t="str">
        <f aca="false">IF(LEFT(AL3167,1)="9","Celular",IF(AL3167="","","Fixo"))</f>
        <v/>
      </c>
      <c r="BB3167" s="72" t="str">
        <f aca="false">IF(BA3167&lt;&gt;"",VLOOKUP(BA3167,Selects!$B$4:$C$100,2,0),"")</f>
        <v/>
      </c>
      <c r="BH3167" s="66"/>
    </row>
    <row r="3168" customFormat="false" ht="15" hidden="true" customHeight="false" outlineLevel="0" collapsed="false">
      <c r="AM3168" s="68" t="str">
        <f aca="false">IF(LEFT(AL3168,1)="9","Celular",IF(AL3168="","","Fixo"))</f>
        <v/>
      </c>
      <c r="BB3168" s="72" t="str">
        <f aca="false">IF(BA3168&lt;&gt;"",VLOOKUP(BA3168,Selects!$B$4:$C$100,2,0),"")</f>
        <v/>
      </c>
      <c r="BH3168" s="66"/>
    </row>
    <row r="3169" customFormat="false" ht="15" hidden="true" customHeight="false" outlineLevel="0" collapsed="false">
      <c r="AM3169" s="68" t="str">
        <f aca="false">IF(LEFT(AL3169,1)="9","Celular",IF(AL3169="","","Fixo"))</f>
        <v/>
      </c>
      <c r="BB3169" s="72" t="str">
        <f aca="false">IF(BA3169&lt;&gt;"",VLOOKUP(BA3169,Selects!$B$4:$C$100,2,0),"")</f>
        <v/>
      </c>
      <c r="BH3169" s="66"/>
    </row>
    <row r="3170" customFormat="false" ht="15" hidden="true" customHeight="false" outlineLevel="0" collapsed="false">
      <c r="AM3170" s="68" t="str">
        <f aca="false">IF(LEFT(AL3170,1)="9","Celular",IF(AL3170="","","Fixo"))</f>
        <v/>
      </c>
      <c r="BB3170" s="72" t="str">
        <f aca="false">IF(BA3170&lt;&gt;"",VLOOKUP(BA3170,Selects!$B$4:$C$100,2,0),"")</f>
        <v/>
      </c>
      <c r="BH3170" s="66"/>
    </row>
    <row r="3171" customFormat="false" ht="15" hidden="true" customHeight="false" outlineLevel="0" collapsed="false">
      <c r="AM3171" s="68" t="str">
        <f aca="false">IF(LEFT(AL3171,1)="9","Celular",IF(AL3171="","","Fixo"))</f>
        <v/>
      </c>
      <c r="BB3171" s="72" t="str">
        <f aca="false">IF(BA3171&lt;&gt;"",VLOOKUP(BA3171,Selects!$B$4:$C$100,2,0),"")</f>
        <v/>
      </c>
      <c r="BH3171" s="66"/>
    </row>
    <row r="3172" customFormat="false" ht="15" hidden="true" customHeight="false" outlineLevel="0" collapsed="false">
      <c r="AM3172" s="68" t="str">
        <f aca="false">IF(LEFT(AL3172,1)="9","Celular",IF(AL3172="","","Fixo"))</f>
        <v/>
      </c>
      <c r="BB3172" s="72" t="str">
        <f aca="false">IF(BA3172&lt;&gt;"",VLOOKUP(BA3172,Selects!$B$4:$C$100,2,0),"")</f>
        <v/>
      </c>
      <c r="BH3172" s="66"/>
    </row>
    <row r="3173" customFormat="false" ht="15" hidden="true" customHeight="false" outlineLevel="0" collapsed="false">
      <c r="AM3173" s="68" t="str">
        <f aca="false">IF(LEFT(AL3173,1)="9","Celular",IF(AL3173="","","Fixo"))</f>
        <v/>
      </c>
      <c r="BB3173" s="72" t="str">
        <f aca="false">IF(BA3173&lt;&gt;"",VLOOKUP(BA3173,Selects!$B$4:$C$100,2,0),"")</f>
        <v/>
      </c>
      <c r="BH3173" s="66"/>
    </row>
    <row r="3174" customFormat="false" ht="15" hidden="true" customHeight="false" outlineLevel="0" collapsed="false">
      <c r="AM3174" s="68" t="str">
        <f aca="false">IF(LEFT(AL3174,1)="9","Celular",IF(AL3174="","","Fixo"))</f>
        <v/>
      </c>
      <c r="BB3174" s="72" t="str">
        <f aca="false">IF(BA3174&lt;&gt;"",VLOOKUP(BA3174,Selects!$B$4:$C$100,2,0),"")</f>
        <v/>
      </c>
      <c r="BH3174" s="66"/>
    </row>
    <row r="3175" customFormat="false" ht="15" hidden="true" customHeight="false" outlineLevel="0" collapsed="false">
      <c r="AM3175" s="68" t="str">
        <f aca="false">IF(LEFT(AL3175,1)="9","Celular",IF(AL3175="","","Fixo"))</f>
        <v/>
      </c>
      <c r="BB3175" s="72" t="str">
        <f aca="false">IF(BA3175&lt;&gt;"",VLOOKUP(BA3175,Selects!$B$4:$C$100,2,0),"")</f>
        <v/>
      </c>
      <c r="BH3175" s="66"/>
    </row>
    <row r="3176" customFormat="false" ht="15" hidden="true" customHeight="false" outlineLevel="0" collapsed="false">
      <c r="AM3176" s="68" t="str">
        <f aca="false">IF(LEFT(AL3176,1)="9","Celular",IF(AL3176="","","Fixo"))</f>
        <v/>
      </c>
      <c r="BB3176" s="72" t="str">
        <f aca="false">IF(BA3176&lt;&gt;"",VLOOKUP(BA3176,Selects!$B$4:$C$100,2,0),"")</f>
        <v/>
      </c>
      <c r="BH3176" s="66"/>
    </row>
    <row r="3177" customFormat="false" ht="15" hidden="true" customHeight="false" outlineLevel="0" collapsed="false">
      <c r="AM3177" s="68" t="str">
        <f aca="false">IF(LEFT(AL3177,1)="9","Celular",IF(AL3177="","","Fixo"))</f>
        <v/>
      </c>
      <c r="BB3177" s="72" t="str">
        <f aca="false">IF(BA3177&lt;&gt;"",VLOOKUP(BA3177,Selects!$B$4:$C$100,2,0),"")</f>
        <v/>
      </c>
      <c r="BH3177" s="66"/>
    </row>
    <row r="3178" customFormat="false" ht="15" hidden="true" customHeight="false" outlineLevel="0" collapsed="false">
      <c r="AM3178" s="68" t="str">
        <f aca="false">IF(LEFT(AL3178,1)="9","Celular",IF(AL3178="","","Fixo"))</f>
        <v/>
      </c>
      <c r="BB3178" s="72" t="str">
        <f aca="false">IF(BA3178&lt;&gt;"",VLOOKUP(BA3178,Selects!$B$4:$C$100,2,0),"")</f>
        <v/>
      </c>
      <c r="BH3178" s="66"/>
    </row>
    <row r="3179" customFormat="false" ht="15" hidden="true" customHeight="false" outlineLevel="0" collapsed="false">
      <c r="AM3179" s="68" t="str">
        <f aca="false">IF(LEFT(AL3179,1)="9","Celular",IF(AL3179="","","Fixo"))</f>
        <v/>
      </c>
      <c r="BB3179" s="72" t="str">
        <f aca="false">IF(BA3179&lt;&gt;"",VLOOKUP(BA3179,Selects!$B$4:$C$100,2,0),"")</f>
        <v/>
      </c>
      <c r="BH3179" s="66"/>
    </row>
    <row r="3180" customFormat="false" ht="15" hidden="true" customHeight="false" outlineLevel="0" collapsed="false">
      <c r="AM3180" s="68" t="str">
        <f aca="false">IF(LEFT(AL3180,1)="9","Celular",IF(AL3180="","","Fixo"))</f>
        <v/>
      </c>
      <c r="BB3180" s="72" t="str">
        <f aca="false">IF(BA3180&lt;&gt;"",VLOOKUP(BA3180,Selects!$B$4:$C$100,2,0),"")</f>
        <v/>
      </c>
      <c r="BH3180" s="66"/>
    </row>
    <row r="3181" customFormat="false" ht="15" hidden="true" customHeight="false" outlineLevel="0" collapsed="false">
      <c r="AM3181" s="68" t="str">
        <f aca="false">IF(LEFT(AL3181,1)="9","Celular",IF(AL3181="","","Fixo"))</f>
        <v/>
      </c>
      <c r="BB3181" s="72" t="str">
        <f aca="false">IF(BA3181&lt;&gt;"",VLOOKUP(BA3181,Selects!$B$4:$C$100,2,0),"")</f>
        <v/>
      </c>
      <c r="BH3181" s="66"/>
    </row>
    <row r="3182" customFormat="false" ht="15" hidden="true" customHeight="false" outlineLevel="0" collapsed="false">
      <c r="AM3182" s="68" t="str">
        <f aca="false">IF(LEFT(AL3182,1)="9","Celular",IF(AL3182="","","Fixo"))</f>
        <v/>
      </c>
      <c r="BB3182" s="72" t="str">
        <f aca="false">IF(BA3182&lt;&gt;"",VLOOKUP(BA3182,Selects!$B$4:$C$100,2,0),"")</f>
        <v/>
      </c>
      <c r="BH3182" s="66"/>
    </row>
    <row r="3183" customFormat="false" ht="15" hidden="true" customHeight="false" outlineLevel="0" collapsed="false">
      <c r="AM3183" s="68" t="str">
        <f aca="false">IF(LEFT(AL3183,1)="9","Celular",IF(AL3183="","","Fixo"))</f>
        <v/>
      </c>
      <c r="BB3183" s="72" t="str">
        <f aca="false">IF(BA3183&lt;&gt;"",VLOOKUP(BA3183,Selects!$B$4:$C$100,2,0),"")</f>
        <v/>
      </c>
      <c r="BH3183" s="66"/>
    </row>
    <row r="3184" customFormat="false" ht="15" hidden="true" customHeight="false" outlineLevel="0" collapsed="false">
      <c r="AM3184" s="68" t="str">
        <f aca="false">IF(LEFT(AL3184,1)="9","Celular",IF(AL3184="","","Fixo"))</f>
        <v/>
      </c>
      <c r="BB3184" s="72" t="str">
        <f aca="false">IF(BA3184&lt;&gt;"",VLOOKUP(BA3184,Selects!$B$4:$C$100,2,0),"")</f>
        <v/>
      </c>
      <c r="BH3184" s="66"/>
    </row>
    <row r="3185" customFormat="false" ht="15" hidden="true" customHeight="false" outlineLevel="0" collapsed="false">
      <c r="AM3185" s="68" t="str">
        <f aca="false">IF(LEFT(AL3185,1)="9","Celular",IF(AL3185="","","Fixo"))</f>
        <v/>
      </c>
      <c r="BB3185" s="72" t="str">
        <f aca="false">IF(BA3185&lt;&gt;"",VLOOKUP(BA3185,Selects!$B$4:$C$100,2,0),"")</f>
        <v/>
      </c>
      <c r="BH3185" s="66"/>
    </row>
    <row r="3186" customFormat="false" ht="15" hidden="true" customHeight="false" outlineLevel="0" collapsed="false">
      <c r="AM3186" s="68" t="str">
        <f aca="false">IF(LEFT(AL3186,1)="9","Celular",IF(AL3186="","","Fixo"))</f>
        <v/>
      </c>
      <c r="BB3186" s="72" t="str">
        <f aca="false">IF(BA3186&lt;&gt;"",VLOOKUP(BA3186,Selects!$B$4:$C$100,2,0),"")</f>
        <v/>
      </c>
      <c r="BH3186" s="66"/>
    </row>
    <row r="3187" customFormat="false" ht="15" hidden="true" customHeight="false" outlineLevel="0" collapsed="false">
      <c r="AM3187" s="68" t="str">
        <f aca="false">IF(LEFT(AL3187,1)="9","Celular",IF(AL3187="","","Fixo"))</f>
        <v/>
      </c>
      <c r="BB3187" s="72" t="str">
        <f aca="false">IF(BA3187&lt;&gt;"",VLOOKUP(BA3187,Selects!$B$4:$C$100,2,0),"")</f>
        <v/>
      </c>
      <c r="BH3187" s="66"/>
    </row>
    <row r="3188" customFormat="false" ht="15" hidden="true" customHeight="false" outlineLevel="0" collapsed="false">
      <c r="AM3188" s="68" t="str">
        <f aca="false">IF(LEFT(AL3188,1)="9","Celular",IF(AL3188="","","Fixo"))</f>
        <v/>
      </c>
      <c r="BB3188" s="72" t="str">
        <f aca="false">IF(BA3188&lt;&gt;"",VLOOKUP(BA3188,Selects!$B$4:$C$100,2,0),"")</f>
        <v/>
      </c>
      <c r="BH3188" s="66"/>
    </row>
    <row r="3189" customFormat="false" ht="15" hidden="true" customHeight="false" outlineLevel="0" collapsed="false">
      <c r="AM3189" s="68" t="str">
        <f aca="false">IF(LEFT(AL3189,1)="9","Celular",IF(AL3189="","","Fixo"))</f>
        <v/>
      </c>
      <c r="BB3189" s="72" t="str">
        <f aca="false">IF(BA3189&lt;&gt;"",VLOOKUP(BA3189,Selects!$B$4:$C$100,2,0),"")</f>
        <v/>
      </c>
      <c r="BH3189" s="66"/>
    </row>
    <row r="3190" customFormat="false" ht="15" hidden="true" customHeight="false" outlineLevel="0" collapsed="false">
      <c r="AM3190" s="68" t="str">
        <f aca="false">IF(LEFT(AL3190,1)="9","Celular",IF(AL3190="","","Fixo"))</f>
        <v/>
      </c>
      <c r="BB3190" s="72" t="str">
        <f aca="false">IF(BA3190&lt;&gt;"",VLOOKUP(BA3190,Selects!$B$4:$C$100,2,0),"")</f>
        <v/>
      </c>
      <c r="BH3190" s="66"/>
    </row>
    <row r="3191" customFormat="false" ht="15" hidden="true" customHeight="false" outlineLevel="0" collapsed="false">
      <c r="AM3191" s="68" t="str">
        <f aca="false">IF(LEFT(AL3191,1)="9","Celular",IF(AL3191="","","Fixo"))</f>
        <v/>
      </c>
      <c r="BB3191" s="72" t="str">
        <f aca="false">IF(BA3191&lt;&gt;"",VLOOKUP(BA3191,Selects!$B$4:$C$100,2,0),"")</f>
        <v/>
      </c>
      <c r="BH3191" s="66"/>
    </row>
    <row r="3192" customFormat="false" ht="15" hidden="true" customHeight="false" outlineLevel="0" collapsed="false">
      <c r="AM3192" s="68" t="str">
        <f aca="false">IF(LEFT(AL3192,1)="9","Celular",IF(AL3192="","","Fixo"))</f>
        <v/>
      </c>
      <c r="BB3192" s="72" t="str">
        <f aca="false">IF(BA3192&lt;&gt;"",VLOOKUP(BA3192,Selects!$B$4:$C$100,2,0),"")</f>
        <v/>
      </c>
      <c r="BH3192" s="66"/>
    </row>
    <row r="3193" customFormat="false" ht="15" hidden="true" customHeight="false" outlineLevel="0" collapsed="false">
      <c r="AM3193" s="68" t="str">
        <f aca="false">IF(LEFT(AL3193,1)="9","Celular",IF(AL3193="","","Fixo"))</f>
        <v/>
      </c>
      <c r="BB3193" s="72" t="str">
        <f aca="false">IF(BA3193&lt;&gt;"",VLOOKUP(BA3193,Selects!$B$4:$C$100,2,0),"")</f>
        <v/>
      </c>
      <c r="BH3193" s="66"/>
    </row>
    <row r="3194" customFormat="false" ht="15" hidden="true" customHeight="false" outlineLevel="0" collapsed="false">
      <c r="AM3194" s="68" t="str">
        <f aca="false">IF(LEFT(AL3194,1)="9","Celular",IF(AL3194="","","Fixo"))</f>
        <v/>
      </c>
      <c r="BB3194" s="72" t="str">
        <f aca="false">IF(BA3194&lt;&gt;"",VLOOKUP(BA3194,Selects!$B$4:$C$100,2,0),"")</f>
        <v/>
      </c>
      <c r="BH3194" s="66"/>
    </row>
    <row r="3195" customFormat="false" ht="15" hidden="true" customHeight="false" outlineLevel="0" collapsed="false">
      <c r="AM3195" s="68" t="str">
        <f aca="false">IF(LEFT(AL3195,1)="9","Celular",IF(AL3195="","","Fixo"))</f>
        <v/>
      </c>
      <c r="BB3195" s="72" t="str">
        <f aca="false">IF(BA3195&lt;&gt;"",VLOOKUP(BA3195,Selects!$B$4:$C$100,2,0),"")</f>
        <v/>
      </c>
      <c r="BH3195" s="66"/>
    </row>
    <row r="3196" customFormat="false" ht="15" hidden="true" customHeight="false" outlineLevel="0" collapsed="false">
      <c r="AM3196" s="68" t="str">
        <f aca="false">IF(LEFT(AL3196,1)="9","Celular",IF(AL3196="","","Fixo"))</f>
        <v/>
      </c>
      <c r="BB3196" s="72" t="str">
        <f aca="false">IF(BA3196&lt;&gt;"",VLOOKUP(BA3196,Selects!$B$4:$C$100,2,0),"")</f>
        <v/>
      </c>
      <c r="BH3196" s="66"/>
    </row>
    <row r="3197" customFormat="false" ht="15" hidden="true" customHeight="false" outlineLevel="0" collapsed="false">
      <c r="AM3197" s="68" t="str">
        <f aca="false">IF(LEFT(AL3197,1)="9","Celular",IF(AL3197="","","Fixo"))</f>
        <v/>
      </c>
      <c r="BB3197" s="72" t="str">
        <f aca="false">IF(BA3197&lt;&gt;"",VLOOKUP(BA3197,Selects!$B$4:$C$100,2,0),"")</f>
        <v/>
      </c>
      <c r="BH3197" s="66"/>
    </row>
    <row r="3198" customFormat="false" ht="15" hidden="true" customHeight="false" outlineLevel="0" collapsed="false">
      <c r="AM3198" s="68" t="str">
        <f aca="false">IF(LEFT(AL3198,1)="9","Celular",IF(AL3198="","","Fixo"))</f>
        <v/>
      </c>
      <c r="BB3198" s="72" t="str">
        <f aca="false">IF(BA3198&lt;&gt;"",VLOOKUP(BA3198,Selects!$B$4:$C$100,2,0),"")</f>
        <v/>
      </c>
      <c r="BH3198" s="66"/>
    </row>
    <row r="3199" customFormat="false" ht="15" hidden="true" customHeight="false" outlineLevel="0" collapsed="false">
      <c r="AM3199" s="68" t="str">
        <f aca="false">IF(LEFT(AL3199,1)="9","Celular",IF(AL3199="","","Fixo"))</f>
        <v/>
      </c>
      <c r="BB3199" s="72" t="str">
        <f aca="false">IF(BA3199&lt;&gt;"",VLOOKUP(BA3199,Selects!$B$4:$C$100,2,0),"")</f>
        <v/>
      </c>
      <c r="BH3199" s="66"/>
    </row>
    <row r="3200" customFormat="false" ht="15" hidden="true" customHeight="false" outlineLevel="0" collapsed="false">
      <c r="AM3200" s="68" t="str">
        <f aca="false">IF(LEFT(AL3200,1)="9","Celular",IF(AL3200="","","Fixo"))</f>
        <v/>
      </c>
      <c r="BB3200" s="72" t="str">
        <f aca="false">IF(BA3200&lt;&gt;"",VLOOKUP(BA3200,Selects!$B$4:$C$100,2,0),"")</f>
        <v/>
      </c>
      <c r="BH3200" s="66"/>
    </row>
    <row r="3201" customFormat="false" ht="15" hidden="true" customHeight="false" outlineLevel="0" collapsed="false">
      <c r="AM3201" s="68" t="str">
        <f aca="false">IF(LEFT(AL3201,1)="9","Celular",IF(AL3201="","","Fixo"))</f>
        <v/>
      </c>
      <c r="BB3201" s="72" t="str">
        <f aca="false">IF(BA3201&lt;&gt;"",VLOOKUP(BA3201,Selects!$B$4:$C$100,2,0),"")</f>
        <v/>
      </c>
      <c r="BH3201" s="66"/>
    </row>
    <row r="3202" customFormat="false" ht="15" hidden="true" customHeight="false" outlineLevel="0" collapsed="false">
      <c r="AM3202" s="68" t="str">
        <f aca="false">IF(LEFT(AL3202,1)="9","Celular",IF(AL3202="","","Fixo"))</f>
        <v/>
      </c>
      <c r="BB3202" s="72" t="str">
        <f aca="false">IF(BA3202&lt;&gt;"",VLOOKUP(BA3202,Selects!$B$4:$C$100,2,0),"")</f>
        <v/>
      </c>
      <c r="BH3202" s="66"/>
    </row>
    <row r="3203" customFormat="false" ht="15" hidden="true" customHeight="false" outlineLevel="0" collapsed="false">
      <c r="AM3203" s="68" t="str">
        <f aca="false">IF(LEFT(AL3203,1)="9","Celular",IF(AL3203="","","Fixo"))</f>
        <v/>
      </c>
      <c r="BB3203" s="72" t="str">
        <f aca="false">IF(BA3203&lt;&gt;"",VLOOKUP(BA3203,Selects!$B$4:$C$100,2,0),"")</f>
        <v/>
      </c>
      <c r="BH3203" s="66"/>
    </row>
    <row r="3204" customFormat="false" ht="15" hidden="true" customHeight="false" outlineLevel="0" collapsed="false">
      <c r="AM3204" s="68" t="str">
        <f aca="false">IF(LEFT(AL3204,1)="9","Celular",IF(AL3204="","","Fixo"))</f>
        <v/>
      </c>
      <c r="BB3204" s="72" t="str">
        <f aca="false">IF(BA3204&lt;&gt;"",VLOOKUP(BA3204,Selects!$B$4:$C$100,2,0),"")</f>
        <v/>
      </c>
      <c r="BH3204" s="66"/>
    </row>
    <row r="3205" customFormat="false" ht="15" hidden="true" customHeight="false" outlineLevel="0" collapsed="false">
      <c r="AM3205" s="68" t="str">
        <f aca="false">IF(LEFT(AL3205,1)="9","Celular",IF(AL3205="","","Fixo"))</f>
        <v/>
      </c>
      <c r="BB3205" s="72" t="str">
        <f aca="false">IF(BA3205&lt;&gt;"",VLOOKUP(BA3205,Selects!$B$4:$C$100,2,0),"")</f>
        <v/>
      </c>
      <c r="BH3205" s="66"/>
    </row>
    <row r="3206" customFormat="false" ht="15" hidden="true" customHeight="false" outlineLevel="0" collapsed="false">
      <c r="AM3206" s="68" t="str">
        <f aca="false">IF(LEFT(AL3206,1)="9","Celular",IF(AL3206="","","Fixo"))</f>
        <v/>
      </c>
      <c r="BB3206" s="72" t="str">
        <f aca="false">IF(BA3206&lt;&gt;"",VLOOKUP(BA3206,Selects!$B$4:$C$100,2,0),"")</f>
        <v/>
      </c>
      <c r="BH3206" s="66"/>
    </row>
    <row r="3207" customFormat="false" ht="15" hidden="true" customHeight="false" outlineLevel="0" collapsed="false">
      <c r="AM3207" s="68" t="str">
        <f aca="false">IF(LEFT(AL3207,1)="9","Celular",IF(AL3207="","","Fixo"))</f>
        <v/>
      </c>
      <c r="BB3207" s="72" t="str">
        <f aca="false">IF(BA3207&lt;&gt;"",VLOOKUP(BA3207,Selects!$B$4:$C$100,2,0),"")</f>
        <v/>
      </c>
      <c r="BH3207" s="66"/>
    </row>
    <row r="3208" customFormat="false" ht="15" hidden="true" customHeight="false" outlineLevel="0" collapsed="false">
      <c r="AM3208" s="68" t="str">
        <f aca="false">IF(LEFT(AL3208,1)="9","Celular",IF(AL3208="","","Fixo"))</f>
        <v/>
      </c>
      <c r="BB3208" s="72" t="str">
        <f aca="false">IF(BA3208&lt;&gt;"",VLOOKUP(BA3208,Selects!$B$4:$C$100,2,0),"")</f>
        <v/>
      </c>
      <c r="BH3208" s="66"/>
    </row>
    <row r="3209" customFormat="false" ht="15" hidden="true" customHeight="false" outlineLevel="0" collapsed="false">
      <c r="AM3209" s="68" t="str">
        <f aca="false">IF(LEFT(AL3209,1)="9","Celular",IF(AL3209="","","Fixo"))</f>
        <v/>
      </c>
      <c r="BB3209" s="72" t="str">
        <f aca="false">IF(BA3209&lt;&gt;"",VLOOKUP(BA3209,Selects!$B$4:$C$100,2,0),"")</f>
        <v/>
      </c>
      <c r="BH3209" s="66"/>
    </row>
    <row r="3210" customFormat="false" ht="15" hidden="true" customHeight="false" outlineLevel="0" collapsed="false">
      <c r="AM3210" s="68" t="str">
        <f aca="false">IF(LEFT(AL3210,1)="9","Celular",IF(AL3210="","","Fixo"))</f>
        <v/>
      </c>
      <c r="BB3210" s="72" t="str">
        <f aca="false">IF(BA3210&lt;&gt;"",VLOOKUP(BA3210,Selects!$B$4:$C$100,2,0),"")</f>
        <v/>
      </c>
      <c r="BH3210" s="66"/>
    </row>
    <row r="3211" customFormat="false" ht="15" hidden="true" customHeight="false" outlineLevel="0" collapsed="false">
      <c r="AM3211" s="68" t="str">
        <f aca="false">IF(LEFT(AL3211,1)="9","Celular",IF(AL3211="","","Fixo"))</f>
        <v/>
      </c>
      <c r="BB3211" s="72" t="str">
        <f aca="false">IF(BA3211&lt;&gt;"",VLOOKUP(BA3211,Selects!$B$4:$C$100,2,0),"")</f>
        <v/>
      </c>
      <c r="BH3211" s="66"/>
    </row>
    <row r="3212" customFormat="false" ht="15" hidden="true" customHeight="false" outlineLevel="0" collapsed="false">
      <c r="AM3212" s="68" t="str">
        <f aca="false">IF(LEFT(AL3212,1)="9","Celular",IF(AL3212="","","Fixo"))</f>
        <v/>
      </c>
      <c r="BB3212" s="72" t="str">
        <f aca="false">IF(BA3212&lt;&gt;"",VLOOKUP(BA3212,Selects!$B$4:$C$100,2,0),"")</f>
        <v/>
      </c>
      <c r="BH3212" s="66"/>
    </row>
    <row r="3213" customFormat="false" ht="15" hidden="true" customHeight="false" outlineLevel="0" collapsed="false">
      <c r="AM3213" s="68" t="str">
        <f aca="false">IF(LEFT(AL3213,1)="9","Celular",IF(AL3213="","","Fixo"))</f>
        <v/>
      </c>
      <c r="BB3213" s="72" t="str">
        <f aca="false">IF(BA3213&lt;&gt;"",VLOOKUP(BA3213,Selects!$B$4:$C$100,2,0),"")</f>
        <v/>
      </c>
      <c r="BH3213" s="66"/>
    </row>
    <row r="3214" customFormat="false" ht="15" hidden="true" customHeight="false" outlineLevel="0" collapsed="false">
      <c r="AM3214" s="68" t="str">
        <f aca="false">IF(LEFT(AL3214,1)="9","Celular",IF(AL3214="","","Fixo"))</f>
        <v/>
      </c>
      <c r="BB3214" s="72" t="str">
        <f aca="false">IF(BA3214&lt;&gt;"",VLOOKUP(BA3214,Selects!$B$4:$C$100,2,0),"")</f>
        <v/>
      </c>
      <c r="BH3214" s="66"/>
    </row>
    <row r="3215" customFormat="false" ht="15" hidden="true" customHeight="false" outlineLevel="0" collapsed="false">
      <c r="AM3215" s="68" t="str">
        <f aca="false">IF(LEFT(AL3215,1)="9","Celular",IF(AL3215="","","Fixo"))</f>
        <v/>
      </c>
      <c r="BB3215" s="72" t="str">
        <f aca="false">IF(BA3215&lt;&gt;"",VLOOKUP(BA3215,Selects!$B$4:$C$100,2,0),"")</f>
        <v/>
      </c>
      <c r="BH3215" s="66"/>
    </row>
    <row r="3216" customFormat="false" ht="15" hidden="true" customHeight="false" outlineLevel="0" collapsed="false">
      <c r="AM3216" s="68" t="str">
        <f aca="false">IF(LEFT(AL3216,1)="9","Celular",IF(AL3216="","","Fixo"))</f>
        <v/>
      </c>
      <c r="BB3216" s="72" t="str">
        <f aca="false">IF(BA3216&lt;&gt;"",VLOOKUP(BA3216,Selects!$B$4:$C$100,2,0),"")</f>
        <v/>
      </c>
      <c r="BH3216" s="66"/>
    </row>
    <row r="3217" customFormat="false" ht="15" hidden="true" customHeight="false" outlineLevel="0" collapsed="false">
      <c r="AM3217" s="68" t="str">
        <f aca="false">IF(LEFT(AL3217,1)="9","Celular",IF(AL3217="","","Fixo"))</f>
        <v/>
      </c>
      <c r="BB3217" s="72" t="str">
        <f aca="false">IF(BA3217&lt;&gt;"",VLOOKUP(BA3217,Selects!$B$4:$C$100,2,0),"")</f>
        <v/>
      </c>
      <c r="BH3217" s="66"/>
    </row>
    <row r="3218" customFormat="false" ht="15" hidden="true" customHeight="false" outlineLevel="0" collapsed="false">
      <c r="AM3218" s="68" t="str">
        <f aca="false">IF(LEFT(AL3218,1)="9","Celular",IF(AL3218="","","Fixo"))</f>
        <v/>
      </c>
      <c r="BB3218" s="72" t="str">
        <f aca="false">IF(BA3218&lt;&gt;"",VLOOKUP(BA3218,Selects!$B$4:$C$100,2,0),"")</f>
        <v/>
      </c>
      <c r="BH3218" s="66"/>
    </row>
    <row r="3219" customFormat="false" ht="15" hidden="true" customHeight="false" outlineLevel="0" collapsed="false">
      <c r="AM3219" s="68" t="str">
        <f aca="false">IF(LEFT(AL3219,1)="9","Celular",IF(AL3219="","","Fixo"))</f>
        <v/>
      </c>
      <c r="BB3219" s="72" t="str">
        <f aca="false">IF(BA3219&lt;&gt;"",VLOOKUP(BA3219,Selects!$B$4:$C$100,2,0),"")</f>
        <v/>
      </c>
      <c r="BH3219" s="66"/>
    </row>
    <row r="3220" customFormat="false" ht="15" hidden="true" customHeight="false" outlineLevel="0" collapsed="false">
      <c r="AM3220" s="68" t="str">
        <f aca="false">IF(LEFT(AL3220,1)="9","Celular",IF(AL3220="","","Fixo"))</f>
        <v/>
      </c>
      <c r="BB3220" s="72" t="str">
        <f aca="false">IF(BA3220&lt;&gt;"",VLOOKUP(BA3220,Selects!$B$4:$C$100,2,0),"")</f>
        <v/>
      </c>
      <c r="BH3220" s="66"/>
    </row>
    <row r="3221" customFormat="false" ht="15" hidden="true" customHeight="false" outlineLevel="0" collapsed="false">
      <c r="AM3221" s="68" t="str">
        <f aca="false">IF(LEFT(AL3221,1)="9","Celular",IF(AL3221="","","Fixo"))</f>
        <v/>
      </c>
      <c r="BB3221" s="72" t="str">
        <f aca="false">IF(BA3221&lt;&gt;"",VLOOKUP(BA3221,Selects!$B$4:$C$100,2,0),"")</f>
        <v/>
      </c>
      <c r="BH3221" s="66"/>
    </row>
    <row r="3222" customFormat="false" ht="15" hidden="true" customHeight="false" outlineLevel="0" collapsed="false">
      <c r="AM3222" s="68" t="str">
        <f aca="false">IF(LEFT(AL3222,1)="9","Celular",IF(AL3222="","","Fixo"))</f>
        <v/>
      </c>
      <c r="BB3222" s="72" t="str">
        <f aca="false">IF(BA3222&lt;&gt;"",VLOOKUP(BA3222,Selects!$B$4:$C$100,2,0),"")</f>
        <v/>
      </c>
      <c r="BH3222" s="66"/>
    </row>
    <row r="3223" customFormat="false" ht="15" hidden="true" customHeight="false" outlineLevel="0" collapsed="false">
      <c r="AM3223" s="68" t="str">
        <f aca="false">IF(LEFT(AL3223,1)="9","Celular",IF(AL3223="","","Fixo"))</f>
        <v/>
      </c>
      <c r="BB3223" s="72" t="str">
        <f aca="false">IF(BA3223&lt;&gt;"",VLOOKUP(BA3223,Selects!$B$4:$C$100,2,0),"")</f>
        <v/>
      </c>
      <c r="BH3223" s="66"/>
    </row>
    <row r="3224" customFormat="false" ht="15" hidden="true" customHeight="false" outlineLevel="0" collapsed="false">
      <c r="AM3224" s="68" t="str">
        <f aca="false">IF(LEFT(AL3224,1)="9","Celular",IF(AL3224="","","Fixo"))</f>
        <v/>
      </c>
      <c r="BB3224" s="72" t="str">
        <f aca="false">IF(BA3224&lt;&gt;"",VLOOKUP(BA3224,Selects!$B$4:$C$100,2,0),"")</f>
        <v/>
      </c>
      <c r="BH3224" s="66"/>
    </row>
    <row r="3225" customFormat="false" ht="15" hidden="true" customHeight="false" outlineLevel="0" collapsed="false">
      <c r="AM3225" s="68" t="str">
        <f aca="false">IF(LEFT(AL3225,1)="9","Celular",IF(AL3225="","","Fixo"))</f>
        <v/>
      </c>
      <c r="BB3225" s="72" t="str">
        <f aca="false">IF(BA3225&lt;&gt;"",VLOOKUP(BA3225,Selects!$B$4:$C$100,2,0),"")</f>
        <v/>
      </c>
      <c r="BH3225" s="66"/>
    </row>
    <row r="3226" customFormat="false" ht="15" hidden="true" customHeight="false" outlineLevel="0" collapsed="false">
      <c r="AM3226" s="68" t="str">
        <f aca="false">IF(LEFT(AL3226,1)="9","Celular",IF(AL3226="","","Fixo"))</f>
        <v/>
      </c>
      <c r="BB3226" s="72" t="str">
        <f aca="false">IF(BA3226&lt;&gt;"",VLOOKUP(BA3226,Selects!$B$4:$C$100,2,0),"")</f>
        <v/>
      </c>
      <c r="BH3226" s="66"/>
    </row>
    <row r="3227" customFormat="false" ht="15" hidden="true" customHeight="false" outlineLevel="0" collapsed="false">
      <c r="AM3227" s="68" t="str">
        <f aca="false">IF(LEFT(AL3227,1)="9","Celular",IF(AL3227="","","Fixo"))</f>
        <v/>
      </c>
      <c r="BB3227" s="72" t="str">
        <f aca="false">IF(BA3227&lt;&gt;"",VLOOKUP(BA3227,Selects!$B$4:$C$100,2,0),"")</f>
        <v/>
      </c>
      <c r="BH3227" s="66"/>
    </row>
    <row r="3228" customFormat="false" ht="15" hidden="true" customHeight="false" outlineLevel="0" collapsed="false">
      <c r="AM3228" s="68" t="str">
        <f aca="false">IF(LEFT(AL3228,1)="9","Celular",IF(AL3228="","","Fixo"))</f>
        <v/>
      </c>
      <c r="BB3228" s="72" t="str">
        <f aca="false">IF(BA3228&lt;&gt;"",VLOOKUP(BA3228,Selects!$B$4:$C$100,2,0),"")</f>
        <v/>
      </c>
      <c r="BH3228" s="66"/>
    </row>
    <row r="3229" customFormat="false" ht="15" hidden="true" customHeight="false" outlineLevel="0" collapsed="false">
      <c r="AM3229" s="68" t="str">
        <f aca="false">IF(LEFT(AL3229,1)="9","Celular",IF(AL3229="","","Fixo"))</f>
        <v/>
      </c>
      <c r="BB3229" s="72" t="str">
        <f aca="false">IF(BA3229&lt;&gt;"",VLOOKUP(BA3229,Selects!$B$4:$C$100,2,0),"")</f>
        <v/>
      </c>
      <c r="BH3229" s="66"/>
    </row>
    <row r="3230" customFormat="false" ht="15" hidden="true" customHeight="false" outlineLevel="0" collapsed="false">
      <c r="AM3230" s="68" t="str">
        <f aca="false">IF(LEFT(AL3230,1)="9","Celular",IF(AL3230="","","Fixo"))</f>
        <v/>
      </c>
      <c r="BB3230" s="72" t="str">
        <f aca="false">IF(BA3230&lt;&gt;"",VLOOKUP(BA3230,Selects!$B$4:$C$100,2,0),"")</f>
        <v/>
      </c>
      <c r="BH3230" s="66"/>
    </row>
    <row r="3231" customFormat="false" ht="15" hidden="true" customHeight="false" outlineLevel="0" collapsed="false">
      <c r="AM3231" s="68" t="str">
        <f aca="false">IF(LEFT(AL3231,1)="9","Celular",IF(AL3231="","","Fixo"))</f>
        <v/>
      </c>
      <c r="BB3231" s="72" t="str">
        <f aca="false">IF(BA3231&lt;&gt;"",VLOOKUP(BA3231,Selects!$B$4:$C$100,2,0),"")</f>
        <v/>
      </c>
      <c r="BH3231" s="66"/>
    </row>
    <row r="3232" customFormat="false" ht="15" hidden="true" customHeight="false" outlineLevel="0" collapsed="false">
      <c r="AM3232" s="68" t="str">
        <f aca="false">IF(LEFT(AL3232,1)="9","Celular",IF(AL3232="","","Fixo"))</f>
        <v/>
      </c>
      <c r="BB3232" s="72" t="str">
        <f aca="false">IF(BA3232&lt;&gt;"",VLOOKUP(BA3232,Selects!$B$4:$C$100,2,0),"")</f>
        <v/>
      </c>
      <c r="BH3232" s="66"/>
    </row>
    <row r="3233" customFormat="false" ht="15" hidden="true" customHeight="false" outlineLevel="0" collapsed="false">
      <c r="AM3233" s="68" t="str">
        <f aca="false">IF(LEFT(AL3233,1)="9","Celular",IF(AL3233="","","Fixo"))</f>
        <v/>
      </c>
      <c r="BB3233" s="72" t="str">
        <f aca="false">IF(BA3233&lt;&gt;"",VLOOKUP(BA3233,Selects!$B$4:$C$100,2,0),"")</f>
        <v/>
      </c>
      <c r="BH3233" s="66"/>
    </row>
    <row r="3234" customFormat="false" ht="15" hidden="true" customHeight="false" outlineLevel="0" collapsed="false">
      <c r="AM3234" s="68" t="str">
        <f aca="false">IF(LEFT(AL3234,1)="9","Celular",IF(AL3234="","","Fixo"))</f>
        <v/>
      </c>
      <c r="BB3234" s="72" t="str">
        <f aca="false">IF(BA3234&lt;&gt;"",VLOOKUP(BA3234,Selects!$B$4:$C$100,2,0),"")</f>
        <v/>
      </c>
      <c r="BH3234" s="66"/>
    </row>
    <row r="3235" customFormat="false" ht="15" hidden="true" customHeight="false" outlineLevel="0" collapsed="false">
      <c r="AM3235" s="68" t="str">
        <f aca="false">IF(LEFT(AL3235,1)="9","Celular",IF(AL3235="","","Fixo"))</f>
        <v/>
      </c>
      <c r="BB3235" s="72" t="str">
        <f aca="false">IF(BA3235&lt;&gt;"",VLOOKUP(BA3235,Selects!$B$4:$C$100,2,0),"")</f>
        <v/>
      </c>
      <c r="BH3235" s="66"/>
    </row>
    <row r="3236" customFormat="false" ht="15" hidden="true" customHeight="false" outlineLevel="0" collapsed="false">
      <c r="AM3236" s="68" t="str">
        <f aca="false">IF(LEFT(AL3236,1)="9","Celular",IF(AL3236="","","Fixo"))</f>
        <v/>
      </c>
      <c r="BB3236" s="72" t="str">
        <f aca="false">IF(BA3236&lt;&gt;"",VLOOKUP(BA3236,Selects!$B$4:$C$100,2,0),"")</f>
        <v/>
      </c>
      <c r="BH3236" s="66"/>
    </row>
    <row r="3237" customFormat="false" ht="15" hidden="true" customHeight="false" outlineLevel="0" collapsed="false">
      <c r="AM3237" s="68" t="str">
        <f aca="false">IF(LEFT(AL3237,1)="9","Celular",IF(AL3237="","","Fixo"))</f>
        <v/>
      </c>
      <c r="BB3237" s="72" t="str">
        <f aca="false">IF(BA3237&lt;&gt;"",VLOOKUP(BA3237,Selects!$B$4:$C$100,2,0),"")</f>
        <v/>
      </c>
      <c r="BH3237" s="66"/>
    </row>
    <row r="3238" customFormat="false" ht="15" hidden="true" customHeight="false" outlineLevel="0" collapsed="false">
      <c r="AM3238" s="68" t="str">
        <f aca="false">IF(LEFT(AL3238,1)="9","Celular",IF(AL3238="","","Fixo"))</f>
        <v/>
      </c>
      <c r="BB3238" s="72" t="str">
        <f aca="false">IF(BA3238&lt;&gt;"",VLOOKUP(BA3238,Selects!$B$4:$C$100,2,0),"")</f>
        <v/>
      </c>
      <c r="BH3238" s="66"/>
    </row>
    <row r="3239" customFormat="false" ht="15" hidden="true" customHeight="false" outlineLevel="0" collapsed="false">
      <c r="AM3239" s="68" t="str">
        <f aca="false">IF(LEFT(AL3239,1)="9","Celular",IF(AL3239="","","Fixo"))</f>
        <v/>
      </c>
      <c r="BB3239" s="72" t="str">
        <f aca="false">IF(BA3239&lt;&gt;"",VLOOKUP(BA3239,Selects!$B$4:$C$100,2,0),"")</f>
        <v/>
      </c>
      <c r="BH3239" s="66"/>
    </row>
    <row r="3240" customFormat="false" ht="15" hidden="true" customHeight="false" outlineLevel="0" collapsed="false">
      <c r="AM3240" s="68" t="str">
        <f aca="false">IF(LEFT(AL3240,1)="9","Celular",IF(AL3240="","","Fixo"))</f>
        <v/>
      </c>
      <c r="BB3240" s="72" t="str">
        <f aca="false">IF(BA3240&lt;&gt;"",VLOOKUP(BA3240,Selects!$B$4:$C$100,2,0),"")</f>
        <v/>
      </c>
      <c r="BH3240" s="66"/>
    </row>
    <row r="3241" customFormat="false" ht="15" hidden="true" customHeight="false" outlineLevel="0" collapsed="false">
      <c r="AM3241" s="68" t="str">
        <f aca="false">IF(LEFT(AL3241,1)="9","Celular",IF(AL3241="","","Fixo"))</f>
        <v/>
      </c>
      <c r="BB3241" s="72" t="str">
        <f aca="false">IF(BA3241&lt;&gt;"",VLOOKUP(BA3241,Selects!$B$4:$C$100,2,0),"")</f>
        <v/>
      </c>
      <c r="BH3241" s="66"/>
    </row>
    <row r="3242" customFormat="false" ht="15" hidden="true" customHeight="false" outlineLevel="0" collapsed="false">
      <c r="AM3242" s="68" t="str">
        <f aca="false">IF(LEFT(AL3242,1)="9","Celular",IF(AL3242="","","Fixo"))</f>
        <v/>
      </c>
      <c r="BB3242" s="72" t="str">
        <f aca="false">IF(BA3242&lt;&gt;"",VLOOKUP(BA3242,Selects!$B$4:$C$100,2,0),"")</f>
        <v/>
      </c>
      <c r="BH3242" s="66"/>
    </row>
    <row r="3243" customFormat="false" ht="15" hidden="true" customHeight="false" outlineLevel="0" collapsed="false">
      <c r="AM3243" s="68" t="str">
        <f aca="false">IF(LEFT(AL3243,1)="9","Celular",IF(AL3243="","","Fixo"))</f>
        <v/>
      </c>
      <c r="BB3243" s="72" t="str">
        <f aca="false">IF(BA3243&lt;&gt;"",VLOOKUP(BA3243,Selects!$B$4:$C$100,2,0),"")</f>
        <v/>
      </c>
      <c r="BH3243" s="66"/>
    </row>
    <row r="3244" customFormat="false" ht="15" hidden="true" customHeight="false" outlineLevel="0" collapsed="false">
      <c r="AM3244" s="68" t="str">
        <f aca="false">IF(LEFT(AL3244,1)="9","Celular",IF(AL3244="","","Fixo"))</f>
        <v/>
      </c>
      <c r="BB3244" s="72" t="str">
        <f aca="false">IF(BA3244&lt;&gt;"",VLOOKUP(BA3244,Selects!$B$4:$C$100,2,0),"")</f>
        <v/>
      </c>
      <c r="BH3244" s="66"/>
    </row>
    <row r="3245" customFormat="false" ht="15" hidden="true" customHeight="false" outlineLevel="0" collapsed="false">
      <c r="AM3245" s="68" t="str">
        <f aca="false">IF(LEFT(AL3245,1)="9","Celular",IF(AL3245="","","Fixo"))</f>
        <v/>
      </c>
      <c r="BB3245" s="72" t="str">
        <f aca="false">IF(BA3245&lt;&gt;"",VLOOKUP(BA3245,Selects!$B$4:$C$100,2,0),"")</f>
        <v/>
      </c>
      <c r="BH3245" s="66"/>
    </row>
    <row r="3246" customFormat="false" ht="15" hidden="true" customHeight="false" outlineLevel="0" collapsed="false">
      <c r="AM3246" s="68" t="str">
        <f aca="false">IF(LEFT(AL3246,1)="9","Celular",IF(AL3246="","","Fixo"))</f>
        <v/>
      </c>
      <c r="BB3246" s="72" t="str">
        <f aca="false">IF(BA3246&lt;&gt;"",VLOOKUP(BA3246,Selects!$B$4:$C$100,2,0),"")</f>
        <v/>
      </c>
      <c r="BH3246" s="66"/>
    </row>
    <row r="3247" customFormat="false" ht="15" hidden="true" customHeight="false" outlineLevel="0" collapsed="false">
      <c r="AM3247" s="68" t="str">
        <f aca="false">IF(LEFT(AL3247,1)="9","Celular",IF(AL3247="","","Fixo"))</f>
        <v/>
      </c>
      <c r="BB3247" s="72" t="str">
        <f aca="false">IF(BA3247&lt;&gt;"",VLOOKUP(BA3247,Selects!$B$4:$C$100,2,0),"")</f>
        <v/>
      </c>
      <c r="BH3247" s="66"/>
    </row>
    <row r="3248" customFormat="false" ht="15" hidden="true" customHeight="false" outlineLevel="0" collapsed="false">
      <c r="AM3248" s="68" t="str">
        <f aca="false">IF(LEFT(AL3248,1)="9","Celular",IF(AL3248="","","Fixo"))</f>
        <v/>
      </c>
      <c r="BB3248" s="72" t="str">
        <f aca="false">IF(BA3248&lt;&gt;"",VLOOKUP(BA3248,Selects!$B$4:$C$100,2,0),"")</f>
        <v/>
      </c>
      <c r="BH3248" s="66"/>
    </row>
    <row r="3249" customFormat="false" ht="15" hidden="true" customHeight="false" outlineLevel="0" collapsed="false">
      <c r="AM3249" s="68" t="str">
        <f aca="false">IF(LEFT(AL3249,1)="9","Celular",IF(AL3249="","","Fixo"))</f>
        <v/>
      </c>
      <c r="BB3249" s="72" t="str">
        <f aca="false">IF(BA3249&lt;&gt;"",VLOOKUP(BA3249,Selects!$B$4:$C$100,2,0),"")</f>
        <v/>
      </c>
      <c r="BH3249" s="66"/>
    </row>
    <row r="3250" customFormat="false" ht="15" hidden="true" customHeight="false" outlineLevel="0" collapsed="false">
      <c r="AM3250" s="68" t="str">
        <f aca="false">IF(LEFT(AL3250,1)="9","Celular",IF(AL3250="","","Fixo"))</f>
        <v/>
      </c>
      <c r="BB3250" s="72" t="str">
        <f aca="false">IF(BA3250&lt;&gt;"",VLOOKUP(BA3250,Selects!$B$4:$C$100,2,0),"")</f>
        <v/>
      </c>
      <c r="BH3250" s="66"/>
    </row>
    <row r="3251" customFormat="false" ht="15" hidden="true" customHeight="false" outlineLevel="0" collapsed="false">
      <c r="AM3251" s="68" t="str">
        <f aca="false">IF(LEFT(AL3251,1)="9","Celular",IF(AL3251="","","Fixo"))</f>
        <v/>
      </c>
      <c r="BB3251" s="72" t="str">
        <f aca="false">IF(BA3251&lt;&gt;"",VLOOKUP(BA3251,Selects!$B$4:$C$100,2,0),"")</f>
        <v/>
      </c>
      <c r="BH3251" s="66"/>
    </row>
    <row r="3252" customFormat="false" ht="15" hidden="true" customHeight="false" outlineLevel="0" collapsed="false">
      <c r="AM3252" s="68" t="str">
        <f aca="false">IF(LEFT(AL3252,1)="9","Celular",IF(AL3252="","","Fixo"))</f>
        <v/>
      </c>
      <c r="BB3252" s="72" t="str">
        <f aca="false">IF(BA3252&lt;&gt;"",VLOOKUP(BA3252,Selects!$B$4:$C$100,2,0),"")</f>
        <v/>
      </c>
      <c r="BH3252" s="66"/>
    </row>
    <row r="3253" customFormat="false" ht="15" hidden="true" customHeight="false" outlineLevel="0" collapsed="false">
      <c r="AM3253" s="68" t="str">
        <f aca="false">IF(LEFT(AL3253,1)="9","Celular",IF(AL3253="","","Fixo"))</f>
        <v/>
      </c>
      <c r="BB3253" s="72" t="str">
        <f aca="false">IF(BA3253&lt;&gt;"",VLOOKUP(BA3253,Selects!$B$4:$C$100,2,0),"")</f>
        <v/>
      </c>
      <c r="BH3253" s="66"/>
    </row>
    <row r="3254" customFormat="false" ht="15" hidden="true" customHeight="false" outlineLevel="0" collapsed="false">
      <c r="AM3254" s="68" t="str">
        <f aca="false">IF(LEFT(AL3254,1)="9","Celular",IF(AL3254="","","Fixo"))</f>
        <v/>
      </c>
      <c r="BB3254" s="72" t="str">
        <f aca="false">IF(BA3254&lt;&gt;"",VLOOKUP(BA3254,Selects!$B$4:$C$100,2,0),"")</f>
        <v/>
      </c>
      <c r="BH3254" s="66"/>
    </row>
    <row r="3255" customFormat="false" ht="15" hidden="true" customHeight="false" outlineLevel="0" collapsed="false">
      <c r="AM3255" s="68" t="str">
        <f aca="false">IF(LEFT(AL3255,1)="9","Celular",IF(AL3255="","","Fixo"))</f>
        <v/>
      </c>
      <c r="BB3255" s="72" t="str">
        <f aca="false">IF(BA3255&lt;&gt;"",VLOOKUP(BA3255,Selects!$B$4:$C$100,2,0),"")</f>
        <v/>
      </c>
      <c r="BH3255" s="66"/>
    </row>
    <row r="3256" customFormat="false" ht="15" hidden="true" customHeight="false" outlineLevel="0" collapsed="false">
      <c r="AM3256" s="68" t="str">
        <f aca="false">IF(LEFT(AL3256,1)="9","Celular",IF(AL3256="","","Fixo"))</f>
        <v/>
      </c>
      <c r="BB3256" s="72" t="str">
        <f aca="false">IF(BA3256&lt;&gt;"",VLOOKUP(BA3256,Selects!$B$4:$C$100,2,0),"")</f>
        <v/>
      </c>
      <c r="BH3256" s="66"/>
    </row>
    <row r="3257" customFormat="false" ht="15" hidden="true" customHeight="false" outlineLevel="0" collapsed="false">
      <c r="AM3257" s="68" t="str">
        <f aca="false">IF(LEFT(AL3257,1)="9","Celular",IF(AL3257="","","Fixo"))</f>
        <v/>
      </c>
      <c r="BB3257" s="72" t="str">
        <f aca="false">IF(BA3257&lt;&gt;"",VLOOKUP(BA3257,Selects!$B$4:$C$100,2,0),"")</f>
        <v/>
      </c>
      <c r="BH3257" s="66"/>
    </row>
    <row r="3258" customFormat="false" ht="15" hidden="true" customHeight="false" outlineLevel="0" collapsed="false">
      <c r="AM3258" s="68" t="str">
        <f aca="false">IF(LEFT(AL3258,1)="9","Celular",IF(AL3258="","","Fixo"))</f>
        <v/>
      </c>
      <c r="BB3258" s="72" t="str">
        <f aca="false">IF(BA3258&lt;&gt;"",VLOOKUP(BA3258,Selects!$B$4:$C$100,2,0),"")</f>
        <v/>
      </c>
      <c r="BH3258" s="66"/>
    </row>
    <row r="3259" customFormat="false" ht="15" hidden="true" customHeight="false" outlineLevel="0" collapsed="false">
      <c r="AM3259" s="68" t="str">
        <f aca="false">IF(LEFT(AL3259,1)="9","Celular",IF(AL3259="","","Fixo"))</f>
        <v/>
      </c>
      <c r="BB3259" s="72" t="str">
        <f aca="false">IF(BA3259&lt;&gt;"",VLOOKUP(BA3259,Selects!$B$4:$C$100,2,0),"")</f>
        <v/>
      </c>
      <c r="BH3259" s="66"/>
    </row>
    <row r="3260" customFormat="false" ht="15" hidden="true" customHeight="false" outlineLevel="0" collapsed="false">
      <c r="AM3260" s="68" t="str">
        <f aca="false">IF(LEFT(AL3260,1)="9","Celular",IF(AL3260="","","Fixo"))</f>
        <v/>
      </c>
      <c r="BB3260" s="72" t="str">
        <f aca="false">IF(BA3260&lt;&gt;"",VLOOKUP(BA3260,Selects!$B$4:$C$100,2,0),"")</f>
        <v/>
      </c>
      <c r="BH3260" s="66"/>
    </row>
    <row r="3261" customFormat="false" ht="15" hidden="true" customHeight="false" outlineLevel="0" collapsed="false">
      <c r="AM3261" s="68" t="str">
        <f aca="false">IF(LEFT(AL3261,1)="9","Celular",IF(AL3261="","","Fixo"))</f>
        <v/>
      </c>
      <c r="BB3261" s="72" t="str">
        <f aca="false">IF(BA3261&lt;&gt;"",VLOOKUP(BA3261,Selects!$B$4:$C$100,2,0),"")</f>
        <v/>
      </c>
      <c r="BH3261" s="66"/>
    </row>
    <row r="3262" customFormat="false" ht="15" hidden="true" customHeight="false" outlineLevel="0" collapsed="false">
      <c r="AM3262" s="68" t="str">
        <f aca="false">IF(LEFT(AL3262,1)="9","Celular",IF(AL3262="","","Fixo"))</f>
        <v/>
      </c>
      <c r="BB3262" s="72" t="str">
        <f aca="false">IF(BA3262&lt;&gt;"",VLOOKUP(BA3262,Selects!$B$4:$C$100,2,0),"")</f>
        <v/>
      </c>
      <c r="BH3262" s="66"/>
    </row>
    <row r="3263" customFormat="false" ht="15" hidden="true" customHeight="false" outlineLevel="0" collapsed="false">
      <c r="AM3263" s="68" t="str">
        <f aca="false">IF(LEFT(AL3263,1)="9","Celular",IF(AL3263="","","Fixo"))</f>
        <v/>
      </c>
      <c r="BB3263" s="72" t="str">
        <f aca="false">IF(BA3263&lt;&gt;"",VLOOKUP(BA3263,Selects!$B$4:$C$100,2,0),"")</f>
        <v/>
      </c>
      <c r="BH3263" s="66"/>
    </row>
    <row r="3264" customFormat="false" ht="15" hidden="true" customHeight="false" outlineLevel="0" collapsed="false">
      <c r="AM3264" s="68" t="str">
        <f aca="false">IF(LEFT(AL3264,1)="9","Celular",IF(AL3264="","","Fixo"))</f>
        <v/>
      </c>
      <c r="BB3264" s="72" t="str">
        <f aca="false">IF(BA3264&lt;&gt;"",VLOOKUP(BA3264,Selects!$B$4:$C$100,2,0),"")</f>
        <v/>
      </c>
      <c r="BH3264" s="66"/>
    </row>
    <row r="3265" customFormat="false" ht="15" hidden="true" customHeight="false" outlineLevel="0" collapsed="false">
      <c r="AM3265" s="68" t="str">
        <f aca="false">IF(LEFT(AL3265,1)="9","Celular",IF(AL3265="","","Fixo"))</f>
        <v/>
      </c>
      <c r="BB3265" s="72" t="str">
        <f aca="false">IF(BA3265&lt;&gt;"",VLOOKUP(BA3265,Selects!$B$4:$C$100,2,0),"")</f>
        <v/>
      </c>
      <c r="BH3265" s="66"/>
    </row>
    <row r="3266" customFormat="false" ht="15" hidden="true" customHeight="false" outlineLevel="0" collapsed="false">
      <c r="AM3266" s="68" t="str">
        <f aca="false">IF(LEFT(AL3266,1)="9","Celular",IF(AL3266="","","Fixo"))</f>
        <v/>
      </c>
      <c r="BB3266" s="72" t="str">
        <f aca="false">IF(BA3266&lt;&gt;"",VLOOKUP(BA3266,Selects!$B$4:$C$100,2,0),"")</f>
        <v/>
      </c>
      <c r="BH3266" s="66"/>
    </row>
    <row r="3267" customFormat="false" ht="15" hidden="true" customHeight="false" outlineLevel="0" collapsed="false">
      <c r="AM3267" s="68" t="str">
        <f aca="false">IF(LEFT(AL3267,1)="9","Celular",IF(AL3267="","","Fixo"))</f>
        <v/>
      </c>
      <c r="BB3267" s="72" t="str">
        <f aca="false">IF(BA3267&lt;&gt;"",VLOOKUP(BA3267,Selects!$B$4:$C$100,2,0),"")</f>
        <v/>
      </c>
      <c r="BH3267" s="66"/>
    </row>
    <row r="3268" customFormat="false" ht="15" hidden="true" customHeight="false" outlineLevel="0" collapsed="false">
      <c r="AM3268" s="68" t="str">
        <f aca="false">IF(LEFT(AL3268,1)="9","Celular",IF(AL3268="","","Fixo"))</f>
        <v/>
      </c>
      <c r="BB3268" s="72" t="str">
        <f aca="false">IF(BA3268&lt;&gt;"",VLOOKUP(BA3268,Selects!$B$4:$C$100,2,0),"")</f>
        <v/>
      </c>
      <c r="BH3268" s="66"/>
    </row>
    <row r="3269" customFormat="false" ht="15" hidden="true" customHeight="false" outlineLevel="0" collapsed="false">
      <c r="AM3269" s="68" t="str">
        <f aca="false">IF(LEFT(AL3269,1)="9","Celular",IF(AL3269="","","Fixo"))</f>
        <v/>
      </c>
      <c r="BB3269" s="72" t="str">
        <f aca="false">IF(BA3269&lt;&gt;"",VLOOKUP(BA3269,Selects!$B$4:$C$100,2,0),"")</f>
        <v/>
      </c>
      <c r="BH3269" s="66"/>
    </row>
    <row r="3270" customFormat="false" ht="15" hidden="true" customHeight="false" outlineLevel="0" collapsed="false">
      <c r="AM3270" s="68" t="str">
        <f aca="false">IF(LEFT(AL3270,1)="9","Celular",IF(AL3270="","","Fixo"))</f>
        <v/>
      </c>
      <c r="BB3270" s="72" t="str">
        <f aca="false">IF(BA3270&lt;&gt;"",VLOOKUP(BA3270,Selects!$B$4:$C$100,2,0),"")</f>
        <v/>
      </c>
      <c r="BH3270" s="66"/>
    </row>
    <row r="3271" customFormat="false" ht="15" hidden="true" customHeight="false" outlineLevel="0" collapsed="false">
      <c r="AM3271" s="68" t="str">
        <f aca="false">IF(LEFT(AL3271,1)="9","Celular",IF(AL3271="","","Fixo"))</f>
        <v/>
      </c>
      <c r="BB3271" s="72" t="str">
        <f aca="false">IF(BA3271&lt;&gt;"",VLOOKUP(BA3271,Selects!$B$4:$C$100,2,0),"")</f>
        <v/>
      </c>
      <c r="BH3271" s="66"/>
    </row>
    <row r="3272" customFormat="false" ht="15" hidden="true" customHeight="false" outlineLevel="0" collapsed="false">
      <c r="AM3272" s="68" t="str">
        <f aca="false">IF(LEFT(AL3272,1)="9","Celular",IF(AL3272="","","Fixo"))</f>
        <v/>
      </c>
      <c r="BB3272" s="72" t="str">
        <f aca="false">IF(BA3272&lt;&gt;"",VLOOKUP(BA3272,Selects!$B$4:$C$100,2,0),"")</f>
        <v/>
      </c>
      <c r="BH3272" s="66"/>
    </row>
    <row r="3273" customFormat="false" ht="15" hidden="true" customHeight="false" outlineLevel="0" collapsed="false">
      <c r="AM3273" s="68" t="str">
        <f aca="false">IF(LEFT(AL3273,1)="9","Celular",IF(AL3273="","","Fixo"))</f>
        <v/>
      </c>
      <c r="BB3273" s="72" t="str">
        <f aca="false">IF(BA3273&lt;&gt;"",VLOOKUP(BA3273,Selects!$B$4:$C$100,2,0),"")</f>
        <v/>
      </c>
      <c r="BH3273" s="66"/>
    </row>
    <row r="3274" customFormat="false" ht="15" hidden="true" customHeight="false" outlineLevel="0" collapsed="false">
      <c r="AM3274" s="68" t="str">
        <f aca="false">IF(LEFT(AL3274,1)="9","Celular",IF(AL3274="","","Fixo"))</f>
        <v/>
      </c>
      <c r="BB3274" s="72" t="str">
        <f aca="false">IF(BA3274&lt;&gt;"",VLOOKUP(BA3274,Selects!$B$4:$C$100,2,0),"")</f>
        <v/>
      </c>
      <c r="BH3274" s="66"/>
    </row>
    <row r="3275" customFormat="false" ht="15" hidden="true" customHeight="false" outlineLevel="0" collapsed="false">
      <c r="AM3275" s="68" t="str">
        <f aca="false">IF(LEFT(AL3275,1)="9","Celular",IF(AL3275="","","Fixo"))</f>
        <v/>
      </c>
      <c r="BB3275" s="72" t="str">
        <f aca="false">IF(BA3275&lt;&gt;"",VLOOKUP(BA3275,Selects!$B$4:$C$100,2,0),"")</f>
        <v/>
      </c>
      <c r="BH3275" s="66"/>
    </row>
    <row r="3276" customFormat="false" ht="15" hidden="true" customHeight="false" outlineLevel="0" collapsed="false">
      <c r="AM3276" s="68" t="str">
        <f aca="false">IF(LEFT(AL3276,1)="9","Celular",IF(AL3276="","","Fixo"))</f>
        <v/>
      </c>
      <c r="BB3276" s="72" t="str">
        <f aca="false">IF(BA3276&lt;&gt;"",VLOOKUP(BA3276,Selects!$B$4:$C$100,2,0),"")</f>
        <v/>
      </c>
      <c r="BH3276" s="66"/>
    </row>
    <row r="3277" customFormat="false" ht="15" hidden="true" customHeight="false" outlineLevel="0" collapsed="false">
      <c r="AM3277" s="68" t="str">
        <f aca="false">IF(LEFT(AL3277,1)="9","Celular",IF(AL3277="","","Fixo"))</f>
        <v/>
      </c>
      <c r="BB3277" s="72" t="str">
        <f aca="false">IF(BA3277&lt;&gt;"",VLOOKUP(BA3277,Selects!$B$4:$C$100,2,0),"")</f>
        <v/>
      </c>
      <c r="BH3277" s="66"/>
    </row>
    <row r="3278" customFormat="false" ht="15" hidden="true" customHeight="false" outlineLevel="0" collapsed="false">
      <c r="AM3278" s="68" t="str">
        <f aca="false">IF(LEFT(AL3278,1)="9","Celular",IF(AL3278="","","Fixo"))</f>
        <v/>
      </c>
      <c r="BB3278" s="72" t="str">
        <f aca="false">IF(BA3278&lt;&gt;"",VLOOKUP(BA3278,Selects!$B$4:$C$100,2,0),"")</f>
        <v/>
      </c>
      <c r="BH3278" s="66"/>
    </row>
    <row r="3279" customFormat="false" ht="15" hidden="true" customHeight="false" outlineLevel="0" collapsed="false">
      <c r="AM3279" s="68" t="str">
        <f aca="false">IF(LEFT(AL3279,1)="9","Celular",IF(AL3279="","","Fixo"))</f>
        <v/>
      </c>
      <c r="BB3279" s="72" t="str">
        <f aca="false">IF(BA3279&lt;&gt;"",VLOOKUP(BA3279,Selects!$B$4:$C$100,2,0),"")</f>
        <v/>
      </c>
      <c r="BH3279" s="66"/>
    </row>
    <row r="3280" customFormat="false" ht="15" hidden="true" customHeight="false" outlineLevel="0" collapsed="false">
      <c r="AM3280" s="68" t="str">
        <f aca="false">IF(LEFT(AL3280,1)="9","Celular",IF(AL3280="","","Fixo"))</f>
        <v/>
      </c>
      <c r="BB3280" s="72" t="str">
        <f aca="false">IF(BA3280&lt;&gt;"",VLOOKUP(BA3280,Selects!$B$4:$C$100,2,0),"")</f>
        <v/>
      </c>
      <c r="BH3280" s="66"/>
    </row>
    <row r="3281" customFormat="false" ht="15" hidden="true" customHeight="false" outlineLevel="0" collapsed="false">
      <c r="AM3281" s="68" t="str">
        <f aca="false">IF(LEFT(AL3281,1)="9","Celular",IF(AL3281="","","Fixo"))</f>
        <v/>
      </c>
      <c r="BB3281" s="72" t="str">
        <f aca="false">IF(BA3281&lt;&gt;"",VLOOKUP(BA3281,Selects!$B$4:$C$100,2,0),"")</f>
        <v/>
      </c>
      <c r="BH3281" s="66"/>
    </row>
    <row r="3282" customFormat="false" ht="15" hidden="true" customHeight="false" outlineLevel="0" collapsed="false">
      <c r="AM3282" s="68" t="str">
        <f aca="false">IF(LEFT(AL3282,1)="9","Celular",IF(AL3282="","","Fixo"))</f>
        <v/>
      </c>
      <c r="BB3282" s="72" t="str">
        <f aca="false">IF(BA3282&lt;&gt;"",VLOOKUP(BA3282,Selects!$B$4:$C$100,2,0),"")</f>
        <v/>
      </c>
      <c r="BH3282" s="66"/>
    </row>
    <row r="3283" customFormat="false" ht="15" hidden="true" customHeight="false" outlineLevel="0" collapsed="false">
      <c r="AM3283" s="68" t="str">
        <f aca="false">IF(LEFT(AL3283,1)="9","Celular",IF(AL3283="","","Fixo"))</f>
        <v/>
      </c>
      <c r="BB3283" s="72" t="str">
        <f aca="false">IF(BA3283&lt;&gt;"",VLOOKUP(BA3283,Selects!$B$4:$C$100,2,0),"")</f>
        <v/>
      </c>
      <c r="BH3283" s="66"/>
    </row>
    <row r="3284" customFormat="false" ht="15" hidden="true" customHeight="false" outlineLevel="0" collapsed="false">
      <c r="AM3284" s="68" t="str">
        <f aca="false">IF(LEFT(AL3284,1)="9","Celular",IF(AL3284="","","Fixo"))</f>
        <v/>
      </c>
      <c r="BB3284" s="72" t="str">
        <f aca="false">IF(BA3284&lt;&gt;"",VLOOKUP(BA3284,Selects!$B$4:$C$100,2,0),"")</f>
        <v/>
      </c>
      <c r="BH3284" s="66"/>
    </row>
    <row r="3285" customFormat="false" ht="15" hidden="true" customHeight="false" outlineLevel="0" collapsed="false">
      <c r="AM3285" s="68" t="str">
        <f aca="false">IF(LEFT(AL3285,1)="9","Celular",IF(AL3285="","","Fixo"))</f>
        <v/>
      </c>
      <c r="BB3285" s="72" t="str">
        <f aca="false">IF(BA3285&lt;&gt;"",VLOOKUP(BA3285,Selects!$B$4:$C$100,2,0),"")</f>
        <v/>
      </c>
      <c r="BH3285" s="66"/>
    </row>
    <row r="3286" customFormat="false" ht="15" hidden="true" customHeight="false" outlineLevel="0" collapsed="false">
      <c r="AM3286" s="68" t="str">
        <f aca="false">IF(LEFT(AL3286,1)="9","Celular",IF(AL3286="","","Fixo"))</f>
        <v/>
      </c>
      <c r="BB3286" s="72" t="str">
        <f aca="false">IF(BA3286&lt;&gt;"",VLOOKUP(BA3286,Selects!$B$4:$C$100,2,0),"")</f>
        <v/>
      </c>
      <c r="BH3286" s="66"/>
    </row>
    <row r="3287" customFormat="false" ht="15" hidden="true" customHeight="false" outlineLevel="0" collapsed="false">
      <c r="AM3287" s="68" t="str">
        <f aca="false">IF(LEFT(AL3287,1)="9","Celular",IF(AL3287="","","Fixo"))</f>
        <v/>
      </c>
      <c r="BB3287" s="72" t="str">
        <f aca="false">IF(BA3287&lt;&gt;"",VLOOKUP(BA3287,Selects!$B$4:$C$100,2,0),"")</f>
        <v/>
      </c>
      <c r="BH3287" s="66"/>
    </row>
    <row r="3288" customFormat="false" ht="15" hidden="true" customHeight="false" outlineLevel="0" collapsed="false">
      <c r="AM3288" s="68" t="str">
        <f aca="false">IF(LEFT(AL3288,1)="9","Celular",IF(AL3288="","","Fixo"))</f>
        <v/>
      </c>
      <c r="BB3288" s="72" t="str">
        <f aca="false">IF(BA3288&lt;&gt;"",VLOOKUP(BA3288,Selects!$B$4:$C$100,2,0),"")</f>
        <v/>
      </c>
      <c r="BH3288" s="66"/>
    </row>
    <row r="3289" customFormat="false" ht="15" hidden="true" customHeight="false" outlineLevel="0" collapsed="false">
      <c r="AM3289" s="68" t="str">
        <f aca="false">IF(LEFT(AL3289,1)="9","Celular",IF(AL3289="","","Fixo"))</f>
        <v/>
      </c>
      <c r="BB3289" s="72" t="str">
        <f aca="false">IF(BA3289&lt;&gt;"",VLOOKUP(BA3289,Selects!$B$4:$C$100,2,0),"")</f>
        <v/>
      </c>
      <c r="BH3289" s="66"/>
    </row>
    <row r="3290" customFormat="false" ht="15" hidden="true" customHeight="false" outlineLevel="0" collapsed="false">
      <c r="AM3290" s="68" t="str">
        <f aca="false">IF(LEFT(AL3290,1)="9","Celular",IF(AL3290="","","Fixo"))</f>
        <v/>
      </c>
      <c r="BB3290" s="72" t="str">
        <f aca="false">IF(BA3290&lt;&gt;"",VLOOKUP(BA3290,Selects!$B$4:$C$100,2,0),"")</f>
        <v/>
      </c>
      <c r="BH3290" s="66"/>
    </row>
    <row r="3291" customFormat="false" ht="15" hidden="true" customHeight="false" outlineLevel="0" collapsed="false">
      <c r="AM3291" s="68" t="str">
        <f aca="false">IF(LEFT(AL3291,1)="9","Celular",IF(AL3291="","","Fixo"))</f>
        <v/>
      </c>
      <c r="BB3291" s="72" t="str">
        <f aca="false">IF(BA3291&lt;&gt;"",VLOOKUP(BA3291,Selects!$B$4:$C$100,2,0),"")</f>
        <v/>
      </c>
      <c r="BH3291" s="66"/>
    </row>
    <row r="3292" customFormat="false" ht="15" hidden="true" customHeight="false" outlineLevel="0" collapsed="false">
      <c r="AM3292" s="68" t="str">
        <f aca="false">IF(LEFT(AL3292,1)="9","Celular",IF(AL3292="","","Fixo"))</f>
        <v/>
      </c>
      <c r="BB3292" s="72" t="str">
        <f aca="false">IF(BA3292&lt;&gt;"",VLOOKUP(BA3292,Selects!$B$4:$C$100,2,0),"")</f>
        <v/>
      </c>
      <c r="BH3292" s="66"/>
    </row>
    <row r="3293" customFormat="false" ht="15" hidden="true" customHeight="false" outlineLevel="0" collapsed="false">
      <c r="AM3293" s="68" t="str">
        <f aca="false">IF(LEFT(AL3293,1)="9","Celular",IF(AL3293="","","Fixo"))</f>
        <v/>
      </c>
      <c r="BB3293" s="72" t="str">
        <f aca="false">IF(BA3293&lt;&gt;"",VLOOKUP(BA3293,Selects!$B$4:$C$100,2,0),"")</f>
        <v/>
      </c>
      <c r="BH3293" s="66"/>
    </row>
    <row r="3294" customFormat="false" ht="15" hidden="true" customHeight="false" outlineLevel="0" collapsed="false">
      <c r="AM3294" s="68" t="str">
        <f aca="false">IF(LEFT(AL3294,1)="9","Celular",IF(AL3294="","","Fixo"))</f>
        <v/>
      </c>
      <c r="BB3294" s="72" t="str">
        <f aca="false">IF(BA3294&lt;&gt;"",VLOOKUP(BA3294,Selects!$B$4:$C$100,2,0),"")</f>
        <v/>
      </c>
      <c r="BH3294" s="66"/>
    </row>
    <row r="3295" customFormat="false" ht="15" hidden="true" customHeight="false" outlineLevel="0" collapsed="false">
      <c r="AM3295" s="68" t="str">
        <f aca="false">IF(LEFT(AL3295,1)="9","Celular",IF(AL3295="","","Fixo"))</f>
        <v/>
      </c>
      <c r="BB3295" s="72" t="str">
        <f aca="false">IF(BA3295&lt;&gt;"",VLOOKUP(BA3295,Selects!$B$4:$C$100,2,0),"")</f>
        <v/>
      </c>
      <c r="BH3295" s="66"/>
    </row>
    <row r="3296" customFormat="false" ht="15" hidden="true" customHeight="false" outlineLevel="0" collapsed="false">
      <c r="AM3296" s="68" t="str">
        <f aca="false">IF(LEFT(AL3296,1)="9","Celular",IF(AL3296="","","Fixo"))</f>
        <v/>
      </c>
      <c r="BB3296" s="72" t="str">
        <f aca="false">IF(BA3296&lt;&gt;"",VLOOKUP(BA3296,Selects!$B$4:$C$100,2,0),"")</f>
        <v/>
      </c>
      <c r="BH3296" s="66"/>
    </row>
    <row r="3297" customFormat="false" ht="15" hidden="true" customHeight="false" outlineLevel="0" collapsed="false">
      <c r="AM3297" s="68" t="str">
        <f aca="false">IF(LEFT(AL3297,1)="9","Celular",IF(AL3297="","","Fixo"))</f>
        <v/>
      </c>
      <c r="BB3297" s="72" t="str">
        <f aca="false">IF(BA3297&lt;&gt;"",VLOOKUP(BA3297,Selects!$B$4:$C$100,2,0),"")</f>
        <v/>
      </c>
      <c r="BH3297" s="66"/>
    </row>
    <row r="3298" customFormat="false" ht="15" hidden="true" customHeight="false" outlineLevel="0" collapsed="false">
      <c r="AM3298" s="68" t="str">
        <f aca="false">IF(LEFT(AL3298,1)="9","Celular",IF(AL3298="","","Fixo"))</f>
        <v/>
      </c>
      <c r="BB3298" s="72" t="str">
        <f aca="false">IF(BA3298&lt;&gt;"",VLOOKUP(BA3298,Selects!$B$4:$C$100,2,0),"")</f>
        <v/>
      </c>
      <c r="BH3298" s="66"/>
    </row>
    <row r="3299" customFormat="false" ht="15" hidden="true" customHeight="false" outlineLevel="0" collapsed="false">
      <c r="AM3299" s="68" t="str">
        <f aca="false">IF(LEFT(AL3299,1)="9","Celular",IF(AL3299="","","Fixo"))</f>
        <v/>
      </c>
      <c r="BB3299" s="72" t="str">
        <f aca="false">IF(BA3299&lt;&gt;"",VLOOKUP(BA3299,Selects!$B$4:$C$100,2,0),"")</f>
        <v/>
      </c>
      <c r="BH3299" s="66"/>
    </row>
    <row r="3300" customFormat="false" ht="15" hidden="true" customHeight="false" outlineLevel="0" collapsed="false">
      <c r="AM3300" s="68" t="str">
        <f aca="false">IF(LEFT(AL3300,1)="9","Celular",IF(AL3300="","","Fixo"))</f>
        <v/>
      </c>
      <c r="BB3300" s="72" t="str">
        <f aca="false">IF(BA3300&lt;&gt;"",VLOOKUP(BA3300,Selects!$B$4:$C$100,2,0),"")</f>
        <v/>
      </c>
      <c r="BH3300" s="66"/>
    </row>
    <row r="3301" customFormat="false" ht="15" hidden="true" customHeight="false" outlineLevel="0" collapsed="false">
      <c r="AM3301" s="68" t="str">
        <f aca="false">IF(LEFT(AL3301,1)="9","Celular",IF(AL3301="","","Fixo"))</f>
        <v/>
      </c>
      <c r="BB3301" s="72" t="str">
        <f aca="false">IF(BA3301&lt;&gt;"",VLOOKUP(BA3301,Selects!$B$4:$C$100,2,0),"")</f>
        <v/>
      </c>
      <c r="BH3301" s="66"/>
    </row>
    <row r="3302" customFormat="false" ht="15" hidden="true" customHeight="false" outlineLevel="0" collapsed="false">
      <c r="AM3302" s="68" t="str">
        <f aca="false">IF(LEFT(AL3302,1)="9","Celular",IF(AL3302="","","Fixo"))</f>
        <v/>
      </c>
      <c r="BB3302" s="72" t="str">
        <f aca="false">IF(BA3302&lt;&gt;"",VLOOKUP(BA3302,Selects!$B$4:$C$100,2,0),"")</f>
        <v/>
      </c>
      <c r="BH3302" s="66"/>
    </row>
    <row r="3303" customFormat="false" ht="15" hidden="true" customHeight="false" outlineLevel="0" collapsed="false">
      <c r="AM3303" s="68" t="str">
        <f aca="false">IF(LEFT(AL3303,1)="9","Celular",IF(AL3303="","","Fixo"))</f>
        <v/>
      </c>
      <c r="BB3303" s="72" t="str">
        <f aca="false">IF(BA3303&lt;&gt;"",VLOOKUP(BA3303,Selects!$B$4:$C$100,2,0),"")</f>
        <v/>
      </c>
      <c r="BH3303" s="66"/>
    </row>
    <row r="3304" customFormat="false" ht="15" hidden="true" customHeight="false" outlineLevel="0" collapsed="false">
      <c r="AM3304" s="68" t="str">
        <f aca="false">IF(LEFT(AL3304,1)="9","Celular",IF(AL3304="","","Fixo"))</f>
        <v/>
      </c>
      <c r="BB3304" s="72" t="str">
        <f aca="false">IF(BA3304&lt;&gt;"",VLOOKUP(BA3304,Selects!$B$4:$C$100,2,0),"")</f>
        <v/>
      </c>
      <c r="BH3304" s="66"/>
    </row>
    <row r="3305" customFormat="false" ht="15" hidden="true" customHeight="false" outlineLevel="0" collapsed="false">
      <c r="AM3305" s="68" t="str">
        <f aca="false">IF(LEFT(AL3305,1)="9","Celular",IF(AL3305="","","Fixo"))</f>
        <v/>
      </c>
      <c r="BB3305" s="72" t="str">
        <f aca="false">IF(BA3305&lt;&gt;"",VLOOKUP(BA3305,Selects!$B$4:$C$100,2,0),"")</f>
        <v/>
      </c>
      <c r="BH3305" s="66"/>
    </row>
    <row r="3306" customFormat="false" ht="15" hidden="true" customHeight="false" outlineLevel="0" collapsed="false">
      <c r="AM3306" s="68" t="str">
        <f aca="false">IF(LEFT(AL3306,1)="9","Celular",IF(AL3306="","","Fixo"))</f>
        <v/>
      </c>
      <c r="BB3306" s="72" t="str">
        <f aca="false">IF(BA3306&lt;&gt;"",VLOOKUP(BA3306,Selects!$B$4:$C$100,2,0),"")</f>
        <v/>
      </c>
      <c r="BH3306" s="66"/>
    </row>
    <row r="3307" customFormat="false" ht="15" hidden="true" customHeight="false" outlineLevel="0" collapsed="false">
      <c r="AM3307" s="68" t="str">
        <f aca="false">IF(LEFT(AL3307,1)="9","Celular",IF(AL3307="","","Fixo"))</f>
        <v/>
      </c>
      <c r="BB3307" s="72" t="str">
        <f aca="false">IF(BA3307&lt;&gt;"",VLOOKUP(BA3307,Selects!$B$4:$C$100,2,0),"")</f>
        <v/>
      </c>
      <c r="BH3307" s="66"/>
    </row>
    <row r="3308" customFormat="false" ht="15" hidden="true" customHeight="false" outlineLevel="0" collapsed="false">
      <c r="AM3308" s="68" t="str">
        <f aca="false">IF(LEFT(AL3308,1)="9","Celular",IF(AL3308="","","Fixo"))</f>
        <v/>
      </c>
      <c r="BB3308" s="72" t="str">
        <f aca="false">IF(BA3308&lt;&gt;"",VLOOKUP(BA3308,Selects!$B$4:$C$100,2,0),"")</f>
        <v/>
      </c>
      <c r="BH3308" s="66"/>
    </row>
    <row r="3309" customFormat="false" ht="15" hidden="true" customHeight="false" outlineLevel="0" collapsed="false">
      <c r="AM3309" s="68" t="str">
        <f aca="false">IF(LEFT(AL3309,1)="9","Celular",IF(AL3309="","","Fixo"))</f>
        <v/>
      </c>
      <c r="BB3309" s="72" t="str">
        <f aca="false">IF(BA3309&lt;&gt;"",VLOOKUP(BA3309,Selects!$B$4:$C$100,2,0),"")</f>
        <v/>
      </c>
      <c r="BH3309" s="66"/>
    </row>
    <row r="3310" customFormat="false" ht="15" hidden="true" customHeight="false" outlineLevel="0" collapsed="false">
      <c r="AM3310" s="68" t="str">
        <f aca="false">IF(LEFT(AL3310,1)="9","Celular",IF(AL3310="","","Fixo"))</f>
        <v/>
      </c>
      <c r="BB3310" s="72" t="str">
        <f aca="false">IF(BA3310&lt;&gt;"",VLOOKUP(BA3310,Selects!$B$4:$C$100,2,0),"")</f>
        <v/>
      </c>
      <c r="BH3310" s="66"/>
    </row>
    <row r="3311" customFormat="false" ht="15" hidden="true" customHeight="false" outlineLevel="0" collapsed="false">
      <c r="AM3311" s="68" t="str">
        <f aca="false">IF(LEFT(AL3311,1)="9","Celular",IF(AL3311="","","Fixo"))</f>
        <v/>
      </c>
      <c r="BB3311" s="72" t="str">
        <f aca="false">IF(BA3311&lt;&gt;"",VLOOKUP(BA3311,Selects!$B$4:$C$100,2,0),"")</f>
        <v/>
      </c>
      <c r="BH3311" s="66"/>
    </row>
    <row r="3312" customFormat="false" ht="15" hidden="true" customHeight="false" outlineLevel="0" collapsed="false">
      <c r="AM3312" s="68" t="str">
        <f aca="false">IF(LEFT(AL3312,1)="9","Celular",IF(AL3312="","","Fixo"))</f>
        <v/>
      </c>
      <c r="BB3312" s="72" t="str">
        <f aca="false">IF(BA3312&lt;&gt;"",VLOOKUP(BA3312,Selects!$B$4:$C$100,2,0),"")</f>
        <v/>
      </c>
      <c r="BH3312" s="66"/>
    </row>
    <row r="3313" customFormat="false" ht="15" hidden="true" customHeight="false" outlineLevel="0" collapsed="false">
      <c r="AM3313" s="68" t="str">
        <f aca="false">IF(LEFT(AL3313,1)="9","Celular",IF(AL3313="","","Fixo"))</f>
        <v/>
      </c>
      <c r="BB3313" s="72" t="str">
        <f aca="false">IF(BA3313&lt;&gt;"",VLOOKUP(BA3313,Selects!$B$4:$C$100,2,0),"")</f>
        <v/>
      </c>
      <c r="BH3313" s="66"/>
    </row>
    <row r="3314" customFormat="false" ht="15" hidden="true" customHeight="false" outlineLevel="0" collapsed="false">
      <c r="AM3314" s="68" t="str">
        <f aca="false">IF(LEFT(AL3314,1)="9","Celular",IF(AL3314="","","Fixo"))</f>
        <v/>
      </c>
      <c r="BB3314" s="72" t="str">
        <f aca="false">IF(BA3314&lt;&gt;"",VLOOKUP(BA3314,Selects!$B$4:$C$100,2,0),"")</f>
        <v/>
      </c>
      <c r="BH3314" s="66"/>
    </row>
    <row r="3315" customFormat="false" ht="15" hidden="true" customHeight="false" outlineLevel="0" collapsed="false">
      <c r="AM3315" s="68" t="str">
        <f aca="false">IF(LEFT(AL3315,1)="9","Celular",IF(AL3315="","","Fixo"))</f>
        <v/>
      </c>
      <c r="BB3315" s="72" t="str">
        <f aca="false">IF(BA3315&lt;&gt;"",VLOOKUP(BA3315,Selects!$B$4:$C$100,2,0),"")</f>
        <v/>
      </c>
      <c r="BH3315" s="66"/>
    </row>
    <row r="3316" customFormat="false" ht="15" hidden="true" customHeight="false" outlineLevel="0" collapsed="false">
      <c r="AM3316" s="68" t="str">
        <f aca="false">IF(LEFT(AL3316,1)="9","Celular",IF(AL3316="","","Fixo"))</f>
        <v/>
      </c>
      <c r="BB3316" s="72" t="str">
        <f aca="false">IF(BA3316&lt;&gt;"",VLOOKUP(BA3316,Selects!$B$4:$C$100,2,0),"")</f>
        <v/>
      </c>
      <c r="BH3316" s="66"/>
    </row>
    <row r="3317" customFormat="false" ht="15" hidden="true" customHeight="false" outlineLevel="0" collapsed="false">
      <c r="AM3317" s="68" t="str">
        <f aca="false">IF(LEFT(AL3317,1)="9","Celular",IF(AL3317="","","Fixo"))</f>
        <v/>
      </c>
      <c r="BB3317" s="72" t="str">
        <f aca="false">IF(BA3317&lt;&gt;"",VLOOKUP(BA3317,Selects!$B$4:$C$100,2,0),"")</f>
        <v/>
      </c>
      <c r="BH3317" s="66"/>
    </row>
    <row r="3318" customFormat="false" ht="15" hidden="true" customHeight="false" outlineLevel="0" collapsed="false">
      <c r="AM3318" s="68" t="str">
        <f aca="false">IF(LEFT(AL3318,1)="9","Celular",IF(AL3318="","","Fixo"))</f>
        <v/>
      </c>
      <c r="BB3318" s="72" t="str">
        <f aca="false">IF(BA3318&lt;&gt;"",VLOOKUP(BA3318,Selects!$B$4:$C$100,2,0),"")</f>
        <v/>
      </c>
      <c r="BH3318" s="66"/>
    </row>
    <row r="3319" customFormat="false" ht="15" hidden="true" customHeight="false" outlineLevel="0" collapsed="false">
      <c r="AM3319" s="68" t="str">
        <f aca="false">IF(LEFT(AL3319,1)="9","Celular",IF(AL3319="","","Fixo"))</f>
        <v/>
      </c>
      <c r="BB3319" s="72" t="str">
        <f aca="false">IF(BA3319&lt;&gt;"",VLOOKUP(BA3319,Selects!$B$4:$C$100,2,0),"")</f>
        <v/>
      </c>
      <c r="BH3319" s="66"/>
    </row>
    <row r="3320" customFormat="false" ht="15" hidden="true" customHeight="false" outlineLevel="0" collapsed="false">
      <c r="AM3320" s="68" t="str">
        <f aca="false">IF(LEFT(AL3320,1)="9","Celular",IF(AL3320="","","Fixo"))</f>
        <v/>
      </c>
      <c r="BB3320" s="72" t="str">
        <f aca="false">IF(BA3320&lt;&gt;"",VLOOKUP(BA3320,Selects!$B$4:$C$100,2,0),"")</f>
        <v/>
      </c>
      <c r="BH3320" s="66"/>
    </row>
    <row r="3321" customFormat="false" ht="15" hidden="true" customHeight="false" outlineLevel="0" collapsed="false">
      <c r="AM3321" s="68" t="str">
        <f aca="false">IF(LEFT(AL3321,1)="9","Celular",IF(AL3321="","","Fixo"))</f>
        <v/>
      </c>
      <c r="BB3321" s="72" t="str">
        <f aca="false">IF(BA3321&lt;&gt;"",VLOOKUP(BA3321,Selects!$B$4:$C$100,2,0),"")</f>
        <v/>
      </c>
      <c r="BH3321" s="66"/>
    </row>
    <row r="3322" customFormat="false" ht="15" hidden="true" customHeight="false" outlineLevel="0" collapsed="false">
      <c r="AM3322" s="68" t="str">
        <f aca="false">IF(LEFT(AL3322,1)="9","Celular",IF(AL3322="","","Fixo"))</f>
        <v/>
      </c>
      <c r="BB3322" s="72" t="str">
        <f aca="false">IF(BA3322&lt;&gt;"",VLOOKUP(BA3322,Selects!$B$4:$C$100,2,0),"")</f>
        <v/>
      </c>
      <c r="BH3322" s="66"/>
    </row>
    <row r="3323" customFormat="false" ht="15" hidden="true" customHeight="false" outlineLevel="0" collapsed="false">
      <c r="AM3323" s="68" t="str">
        <f aca="false">IF(LEFT(AL3323,1)="9","Celular",IF(AL3323="","","Fixo"))</f>
        <v/>
      </c>
      <c r="BB3323" s="72" t="str">
        <f aca="false">IF(BA3323&lt;&gt;"",VLOOKUP(BA3323,Selects!$B$4:$C$100,2,0),"")</f>
        <v/>
      </c>
      <c r="BH3323" s="66"/>
    </row>
    <row r="3324" customFormat="false" ht="15" hidden="true" customHeight="false" outlineLevel="0" collapsed="false">
      <c r="AM3324" s="68" t="str">
        <f aca="false">IF(LEFT(AL3324,1)="9","Celular",IF(AL3324="","","Fixo"))</f>
        <v/>
      </c>
      <c r="BB3324" s="72" t="str">
        <f aca="false">IF(BA3324&lt;&gt;"",VLOOKUP(BA3324,Selects!$B$4:$C$100,2,0),"")</f>
        <v/>
      </c>
      <c r="BH3324" s="66"/>
    </row>
    <row r="3325" customFormat="false" ht="15" hidden="true" customHeight="false" outlineLevel="0" collapsed="false">
      <c r="AM3325" s="68" t="str">
        <f aca="false">IF(LEFT(AL3325,1)="9","Celular",IF(AL3325="","","Fixo"))</f>
        <v/>
      </c>
      <c r="BB3325" s="72" t="str">
        <f aca="false">IF(BA3325&lt;&gt;"",VLOOKUP(BA3325,Selects!$B$4:$C$100,2,0),"")</f>
        <v/>
      </c>
      <c r="BH3325" s="66"/>
    </row>
    <row r="3326" customFormat="false" ht="15" hidden="true" customHeight="false" outlineLevel="0" collapsed="false">
      <c r="AM3326" s="68" t="str">
        <f aca="false">IF(LEFT(AL3326,1)="9","Celular",IF(AL3326="","","Fixo"))</f>
        <v/>
      </c>
      <c r="BB3326" s="72" t="str">
        <f aca="false">IF(BA3326&lt;&gt;"",VLOOKUP(BA3326,Selects!$B$4:$C$100,2,0),"")</f>
        <v/>
      </c>
      <c r="BH3326" s="66"/>
    </row>
    <row r="3327" customFormat="false" ht="15" hidden="true" customHeight="false" outlineLevel="0" collapsed="false">
      <c r="AM3327" s="68" t="str">
        <f aca="false">IF(LEFT(AL3327,1)="9","Celular",IF(AL3327="","","Fixo"))</f>
        <v/>
      </c>
      <c r="BB3327" s="72" t="str">
        <f aca="false">IF(BA3327&lt;&gt;"",VLOOKUP(BA3327,Selects!$B$4:$C$100,2,0),"")</f>
        <v/>
      </c>
      <c r="BH3327" s="66"/>
    </row>
    <row r="3328" customFormat="false" ht="15" hidden="true" customHeight="false" outlineLevel="0" collapsed="false">
      <c r="AM3328" s="68" t="str">
        <f aca="false">IF(LEFT(AL3328,1)="9","Celular",IF(AL3328="","","Fixo"))</f>
        <v/>
      </c>
      <c r="BB3328" s="72" t="str">
        <f aca="false">IF(BA3328&lt;&gt;"",VLOOKUP(BA3328,Selects!$B$4:$C$100,2,0),"")</f>
        <v/>
      </c>
      <c r="BH3328" s="66"/>
    </row>
    <row r="3329" customFormat="false" ht="15" hidden="true" customHeight="false" outlineLevel="0" collapsed="false">
      <c r="AM3329" s="68" t="str">
        <f aca="false">IF(LEFT(AL3329,1)="9","Celular",IF(AL3329="","","Fixo"))</f>
        <v/>
      </c>
      <c r="BB3329" s="72" t="str">
        <f aca="false">IF(BA3329&lt;&gt;"",VLOOKUP(BA3329,Selects!$B$4:$C$100,2,0),"")</f>
        <v/>
      </c>
      <c r="BH3329" s="66"/>
    </row>
    <row r="3330" customFormat="false" ht="15" hidden="true" customHeight="false" outlineLevel="0" collapsed="false">
      <c r="AM3330" s="68" t="str">
        <f aca="false">IF(LEFT(AL3330,1)="9","Celular",IF(AL3330="","","Fixo"))</f>
        <v/>
      </c>
      <c r="BB3330" s="72" t="str">
        <f aca="false">IF(BA3330&lt;&gt;"",VLOOKUP(BA3330,Selects!$B$4:$C$100,2,0),"")</f>
        <v/>
      </c>
      <c r="BH3330" s="66"/>
    </row>
    <row r="3331" customFormat="false" ht="15" hidden="true" customHeight="false" outlineLevel="0" collapsed="false">
      <c r="AM3331" s="68" t="str">
        <f aca="false">IF(LEFT(AL3331,1)="9","Celular",IF(AL3331="","","Fixo"))</f>
        <v/>
      </c>
      <c r="BB3331" s="72" t="str">
        <f aca="false">IF(BA3331&lt;&gt;"",VLOOKUP(BA3331,Selects!$B$4:$C$100,2,0),"")</f>
        <v/>
      </c>
      <c r="BH3331" s="66"/>
    </row>
    <row r="3332" customFormat="false" ht="15" hidden="true" customHeight="false" outlineLevel="0" collapsed="false">
      <c r="AM3332" s="68" t="str">
        <f aca="false">IF(LEFT(AL3332,1)="9","Celular",IF(AL3332="","","Fixo"))</f>
        <v/>
      </c>
      <c r="BB3332" s="72" t="str">
        <f aca="false">IF(BA3332&lt;&gt;"",VLOOKUP(BA3332,Selects!$B$4:$C$100,2,0),"")</f>
        <v/>
      </c>
      <c r="BH3332" s="66"/>
    </row>
    <row r="3333" customFormat="false" ht="15" hidden="true" customHeight="false" outlineLevel="0" collapsed="false">
      <c r="AM3333" s="68" t="str">
        <f aca="false">IF(LEFT(AL3333,1)="9","Celular",IF(AL3333="","","Fixo"))</f>
        <v/>
      </c>
      <c r="BB3333" s="72" t="str">
        <f aca="false">IF(BA3333&lt;&gt;"",VLOOKUP(BA3333,Selects!$B$4:$C$100,2,0),"")</f>
        <v/>
      </c>
      <c r="BH3333" s="66"/>
    </row>
    <row r="3334" customFormat="false" ht="15" hidden="true" customHeight="false" outlineLevel="0" collapsed="false">
      <c r="AM3334" s="68" t="str">
        <f aca="false">IF(LEFT(AL3334,1)="9","Celular",IF(AL3334="","","Fixo"))</f>
        <v/>
      </c>
      <c r="BB3334" s="72" t="str">
        <f aca="false">IF(BA3334&lt;&gt;"",VLOOKUP(BA3334,Selects!$B$4:$C$100,2,0),"")</f>
        <v/>
      </c>
      <c r="BH3334" s="66"/>
    </row>
    <row r="3335" customFormat="false" ht="15" hidden="true" customHeight="false" outlineLevel="0" collapsed="false">
      <c r="AM3335" s="68" t="str">
        <f aca="false">IF(LEFT(AL3335,1)="9","Celular",IF(AL3335="","","Fixo"))</f>
        <v/>
      </c>
      <c r="BB3335" s="72" t="str">
        <f aca="false">IF(BA3335&lt;&gt;"",VLOOKUP(BA3335,Selects!$B$4:$C$100,2,0),"")</f>
        <v/>
      </c>
      <c r="BH3335" s="66"/>
    </row>
    <row r="3336" customFormat="false" ht="15" hidden="true" customHeight="false" outlineLevel="0" collapsed="false">
      <c r="AM3336" s="68" t="str">
        <f aca="false">IF(LEFT(AL3336,1)="9","Celular",IF(AL3336="","","Fixo"))</f>
        <v/>
      </c>
      <c r="BB3336" s="72" t="str">
        <f aca="false">IF(BA3336&lt;&gt;"",VLOOKUP(BA3336,Selects!$B$4:$C$100,2,0),"")</f>
        <v/>
      </c>
      <c r="BH3336" s="66"/>
    </row>
    <row r="3337" customFormat="false" ht="15" hidden="true" customHeight="false" outlineLevel="0" collapsed="false">
      <c r="AM3337" s="68" t="str">
        <f aca="false">IF(LEFT(AL3337,1)="9","Celular",IF(AL3337="","","Fixo"))</f>
        <v/>
      </c>
      <c r="BB3337" s="72" t="str">
        <f aca="false">IF(BA3337&lt;&gt;"",VLOOKUP(BA3337,Selects!$B$4:$C$100,2,0),"")</f>
        <v/>
      </c>
      <c r="BH3337" s="66"/>
    </row>
    <row r="3338" customFormat="false" ht="15" hidden="true" customHeight="false" outlineLevel="0" collapsed="false">
      <c r="AM3338" s="68" t="str">
        <f aca="false">IF(LEFT(AL3338,1)="9","Celular",IF(AL3338="","","Fixo"))</f>
        <v/>
      </c>
      <c r="BB3338" s="72" t="str">
        <f aca="false">IF(BA3338&lt;&gt;"",VLOOKUP(BA3338,Selects!$B$4:$C$100,2,0),"")</f>
        <v/>
      </c>
      <c r="BH3338" s="66"/>
    </row>
    <row r="3339" customFormat="false" ht="15" hidden="true" customHeight="false" outlineLevel="0" collapsed="false">
      <c r="AM3339" s="68" t="str">
        <f aca="false">IF(LEFT(AL3339,1)="9","Celular",IF(AL3339="","","Fixo"))</f>
        <v/>
      </c>
      <c r="BB3339" s="72" t="str">
        <f aca="false">IF(BA3339&lt;&gt;"",VLOOKUP(BA3339,Selects!$B$4:$C$100,2,0),"")</f>
        <v/>
      </c>
      <c r="BH3339" s="66"/>
    </row>
    <row r="3340" customFormat="false" ht="15" hidden="true" customHeight="false" outlineLevel="0" collapsed="false">
      <c r="AM3340" s="68" t="str">
        <f aca="false">IF(LEFT(AL3340,1)="9","Celular",IF(AL3340="","","Fixo"))</f>
        <v/>
      </c>
      <c r="BB3340" s="72" t="str">
        <f aca="false">IF(BA3340&lt;&gt;"",VLOOKUP(BA3340,Selects!$B$4:$C$100,2,0),"")</f>
        <v/>
      </c>
      <c r="BH3340" s="66"/>
    </row>
    <row r="3341" customFormat="false" ht="15" hidden="true" customHeight="false" outlineLevel="0" collapsed="false">
      <c r="AM3341" s="68" t="str">
        <f aca="false">IF(LEFT(AL3341,1)="9","Celular",IF(AL3341="","","Fixo"))</f>
        <v/>
      </c>
      <c r="BB3341" s="72" t="str">
        <f aca="false">IF(BA3341&lt;&gt;"",VLOOKUP(BA3341,Selects!$B$4:$C$100,2,0),"")</f>
        <v/>
      </c>
      <c r="BH3341" s="66"/>
    </row>
    <row r="3342" customFormat="false" ht="15" hidden="true" customHeight="false" outlineLevel="0" collapsed="false">
      <c r="AM3342" s="68" t="str">
        <f aca="false">IF(LEFT(AL3342,1)="9","Celular",IF(AL3342="","","Fixo"))</f>
        <v/>
      </c>
      <c r="BB3342" s="72" t="str">
        <f aca="false">IF(BA3342&lt;&gt;"",VLOOKUP(BA3342,Selects!$B$4:$C$100,2,0),"")</f>
        <v/>
      </c>
      <c r="BH3342" s="66"/>
    </row>
    <row r="3343" customFormat="false" ht="15" hidden="true" customHeight="false" outlineLevel="0" collapsed="false">
      <c r="AM3343" s="68" t="str">
        <f aca="false">IF(LEFT(AL3343,1)="9","Celular",IF(AL3343="","","Fixo"))</f>
        <v/>
      </c>
      <c r="BB3343" s="72" t="str">
        <f aca="false">IF(BA3343&lt;&gt;"",VLOOKUP(BA3343,Selects!$B$4:$C$100,2,0),"")</f>
        <v/>
      </c>
      <c r="BH3343" s="66"/>
    </row>
    <row r="3344" customFormat="false" ht="15" hidden="true" customHeight="false" outlineLevel="0" collapsed="false">
      <c r="AM3344" s="68" t="str">
        <f aca="false">IF(LEFT(AL3344,1)="9","Celular",IF(AL3344="","","Fixo"))</f>
        <v/>
      </c>
      <c r="BB3344" s="72" t="str">
        <f aca="false">IF(BA3344&lt;&gt;"",VLOOKUP(BA3344,Selects!$B$4:$C$100,2,0),"")</f>
        <v/>
      </c>
      <c r="BH3344" s="66"/>
    </row>
    <row r="3345" customFormat="false" ht="15" hidden="true" customHeight="false" outlineLevel="0" collapsed="false">
      <c r="AM3345" s="68" t="str">
        <f aca="false">IF(LEFT(AL3345,1)="9","Celular",IF(AL3345="","","Fixo"))</f>
        <v/>
      </c>
      <c r="BB3345" s="72" t="str">
        <f aca="false">IF(BA3345&lt;&gt;"",VLOOKUP(BA3345,Selects!$B$4:$C$100,2,0),"")</f>
        <v/>
      </c>
      <c r="BH3345" s="66"/>
    </row>
    <row r="3346" customFormat="false" ht="15" hidden="true" customHeight="false" outlineLevel="0" collapsed="false">
      <c r="AM3346" s="68" t="str">
        <f aca="false">IF(LEFT(AL3346,1)="9","Celular",IF(AL3346="","","Fixo"))</f>
        <v/>
      </c>
      <c r="BB3346" s="72" t="str">
        <f aca="false">IF(BA3346&lt;&gt;"",VLOOKUP(BA3346,Selects!$B$4:$C$100,2,0),"")</f>
        <v/>
      </c>
      <c r="BH3346" s="66"/>
    </row>
    <row r="3347" customFormat="false" ht="15" hidden="true" customHeight="false" outlineLevel="0" collapsed="false">
      <c r="AM3347" s="68" t="str">
        <f aca="false">IF(LEFT(AL3347,1)="9","Celular",IF(AL3347="","","Fixo"))</f>
        <v/>
      </c>
      <c r="BB3347" s="72" t="str">
        <f aca="false">IF(BA3347&lt;&gt;"",VLOOKUP(BA3347,Selects!$B$4:$C$100,2,0),"")</f>
        <v/>
      </c>
      <c r="BH3347" s="66"/>
    </row>
    <row r="3348" customFormat="false" ht="15" hidden="true" customHeight="false" outlineLevel="0" collapsed="false">
      <c r="AM3348" s="68" t="str">
        <f aca="false">IF(LEFT(AL3348,1)="9","Celular",IF(AL3348="","","Fixo"))</f>
        <v/>
      </c>
      <c r="BB3348" s="72" t="str">
        <f aca="false">IF(BA3348&lt;&gt;"",VLOOKUP(BA3348,Selects!$B$4:$C$100,2,0),"")</f>
        <v/>
      </c>
      <c r="BH3348" s="66"/>
    </row>
    <row r="3349" customFormat="false" ht="15" hidden="true" customHeight="false" outlineLevel="0" collapsed="false">
      <c r="AM3349" s="68" t="str">
        <f aca="false">IF(LEFT(AL3349,1)="9","Celular",IF(AL3349="","","Fixo"))</f>
        <v/>
      </c>
      <c r="BB3349" s="72" t="str">
        <f aca="false">IF(BA3349&lt;&gt;"",VLOOKUP(BA3349,Selects!$B$4:$C$100,2,0),"")</f>
        <v/>
      </c>
      <c r="BH3349" s="66"/>
    </row>
    <row r="3350" customFormat="false" ht="15" hidden="true" customHeight="false" outlineLevel="0" collapsed="false">
      <c r="AM3350" s="68" t="str">
        <f aca="false">IF(LEFT(AL3350,1)="9","Celular",IF(AL3350="","","Fixo"))</f>
        <v/>
      </c>
      <c r="BB3350" s="72" t="str">
        <f aca="false">IF(BA3350&lt;&gt;"",VLOOKUP(BA3350,Selects!$B$4:$C$100,2,0),"")</f>
        <v/>
      </c>
      <c r="BH3350" s="66"/>
    </row>
    <row r="3351" customFormat="false" ht="15" hidden="true" customHeight="false" outlineLevel="0" collapsed="false">
      <c r="AM3351" s="68" t="str">
        <f aca="false">IF(LEFT(AL3351,1)="9","Celular",IF(AL3351="","","Fixo"))</f>
        <v/>
      </c>
      <c r="BB3351" s="72" t="str">
        <f aca="false">IF(BA3351&lt;&gt;"",VLOOKUP(BA3351,Selects!$B$4:$C$100,2,0),"")</f>
        <v/>
      </c>
      <c r="BH3351" s="66"/>
    </row>
    <row r="3352" customFormat="false" ht="15" hidden="true" customHeight="false" outlineLevel="0" collapsed="false">
      <c r="AM3352" s="68" t="str">
        <f aca="false">IF(LEFT(AL3352,1)="9","Celular",IF(AL3352="","","Fixo"))</f>
        <v/>
      </c>
      <c r="BB3352" s="72" t="str">
        <f aca="false">IF(BA3352&lt;&gt;"",VLOOKUP(BA3352,Selects!$B$4:$C$100,2,0),"")</f>
        <v/>
      </c>
      <c r="BH3352" s="66"/>
    </row>
    <row r="3353" customFormat="false" ht="15" hidden="true" customHeight="false" outlineLevel="0" collapsed="false">
      <c r="AM3353" s="68" t="str">
        <f aca="false">IF(LEFT(AL3353,1)="9","Celular",IF(AL3353="","","Fixo"))</f>
        <v/>
      </c>
      <c r="BB3353" s="72" t="str">
        <f aca="false">IF(BA3353&lt;&gt;"",VLOOKUP(BA3353,Selects!$B$4:$C$100,2,0),"")</f>
        <v/>
      </c>
      <c r="BH3353" s="66"/>
    </row>
    <row r="3354" customFormat="false" ht="15" hidden="true" customHeight="false" outlineLevel="0" collapsed="false">
      <c r="AM3354" s="68" t="str">
        <f aca="false">IF(LEFT(AL3354,1)="9","Celular",IF(AL3354="","","Fixo"))</f>
        <v/>
      </c>
      <c r="BB3354" s="72" t="str">
        <f aca="false">IF(BA3354&lt;&gt;"",VLOOKUP(BA3354,Selects!$B$4:$C$100,2,0),"")</f>
        <v/>
      </c>
      <c r="BH3354" s="66"/>
    </row>
    <row r="3355" customFormat="false" ht="15" hidden="true" customHeight="false" outlineLevel="0" collapsed="false">
      <c r="AM3355" s="68" t="str">
        <f aca="false">IF(LEFT(AL3355,1)="9","Celular",IF(AL3355="","","Fixo"))</f>
        <v/>
      </c>
      <c r="BB3355" s="72" t="str">
        <f aca="false">IF(BA3355&lt;&gt;"",VLOOKUP(BA3355,Selects!$B$4:$C$100,2,0),"")</f>
        <v/>
      </c>
      <c r="BH3355" s="66"/>
    </row>
    <row r="3356" customFormat="false" ht="15" hidden="true" customHeight="false" outlineLevel="0" collapsed="false">
      <c r="AM3356" s="68" t="str">
        <f aca="false">IF(LEFT(AL3356,1)="9","Celular",IF(AL3356="","","Fixo"))</f>
        <v/>
      </c>
      <c r="BB3356" s="72" t="str">
        <f aca="false">IF(BA3356&lt;&gt;"",VLOOKUP(BA3356,Selects!$B$4:$C$100,2,0),"")</f>
        <v/>
      </c>
      <c r="BH3356" s="66"/>
    </row>
    <row r="3357" customFormat="false" ht="15" hidden="true" customHeight="false" outlineLevel="0" collapsed="false">
      <c r="AM3357" s="68" t="str">
        <f aca="false">IF(LEFT(AL3357,1)="9","Celular",IF(AL3357="","","Fixo"))</f>
        <v/>
      </c>
      <c r="BB3357" s="72" t="str">
        <f aca="false">IF(BA3357&lt;&gt;"",VLOOKUP(BA3357,Selects!$B$4:$C$100,2,0),"")</f>
        <v/>
      </c>
      <c r="BH3357" s="66"/>
    </row>
    <row r="3358" customFormat="false" ht="15" hidden="true" customHeight="false" outlineLevel="0" collapsed="false">
      <c r="AM3358" s="68" t="str">
        <f aca="false">IF(LEFT(AL3358,1)="9","Celular",IF(AL3358="","","Fixo"))</f>
        <v/>
      </c>
      <c r="BB3358" s="72" t="str">
        <f aca="false">IF(BA3358&lt;&gt;"",VLOOKUP(BA3358,Selects!$B$4:$C$100,2,0),"")</f>
        <v/>
      </c>
      <c r="BH3358" s="66"/>
    </row>
    <row r="3359" customFormat="false" ht="15" hidden="true" customHeight="false" outlineLevel="0" collapsed="false">
      <c r="AM3359" s="68" t="str">
        <f aca="false">IF(LEFT(AL3359,1)="9","Celular",IF(AL3359="","","Fixo"))</f>
        <v/>
      </c>
      <c r="BB3359" s="72" t="str">
        <f aca="false">IF(BA3359&lt;&gt;"",VLOOKUP(BA3359,Selects!$B$4:$C$100,2,0),"")</f>
        <v/>
      </c>
      <c r="BH3359" s="66"/>
    </row>
    <row r="3360" customFormat="false" ht="15" hidden="true" customHeight="false" outlineLevel="0" collapsed="false">
      <c r="AM3360" s="68" t="str">
        <f aca="false">IF(LEFT(AL3360,1)="9","Celular",IF(AL3360="","","Fixo"))</f>
        <v/>
      </c>
      <c r="BB3360" s="72" t="str">
        <f aca="false">IF(BA3360&lt;&gt;"",VLOOKUP(BA3360,Selects!$B$4:$C$100,2,0),"")</f>
        <v/>
      </c>
      <c r="BH3360" s="66"/>
    </row>
    <row r="3361" customFormat="false" ht="15" hidden="true" customHeight="false" outlineLevel="0" collapsed="false">
      <c r="AM3361" s="68" t="str">
        <f aca="false">IF(LEFT(AL3361,1)="9","Celular",IF(AL3361="","","Fixo"))</f>
        <v/>
      </c>
      <c r="BB3361" s="72" t="str">
        <f aca="false">IF(BA3361&lt;&gt;"",VLOOKUP(BA3361,Selects!$B$4:$C$100,2,0),"")</f>
        <v/>
      </c>
      <c r="BH3361" s="66"/>
    </row>
    <row r="3362" customFormat="false" ht="15" hidden="true" customHeight="false" outlineLevel="0" collapsed="false">
      <c r="AM3362" s="68" t="str">
        <f aca="false">IF(LEFT(AL3362,1)="9","Celular",IF(AL3362="","","Fixo"))</f>
        <v/>
      </c>
      <c r="BB3362" s="72" t="str">
        <f aca="false">IF(BA3362&lt;&gt;"",VLOOKUP(BA3362,Selects!$B$4:$C$100,2,0),"")</f>
        <v/>
      </c>
      <c r="BH3362" s="66"/>
    </row>
    <row r="3363" customFormat="false" ht="15" hidden="true" customHeight="false" outlineLevel="0" collapsed="false">
      <c r="AM3363" s="68" t="str">
        <f aca="false">IF(LEFT(AL3363,1)="9","Celular",IF(AL3363="","","Fixo"))</f>
        <v/>
      </c>
      <c r="BB3363" s="72" t="str">
        <f aca="false">IF(BA3363&lt;&gt;"",VLOOKUP(BA3363,Selects!$B$4:$C$100,2,0),"")</f>
        <v/>
      </c>
      <c r="BH3363" s="66"/>
    </row>
    <row r="3364" customFormat="false" ht="15" hidden="true" customHeight="false" outlineLevel="0" collapsed="false">
      <c r="AM3364" s="68" t="str">
        <f aca="false">IF(LEFT(AL3364,1)="9","Celular",IF(AL3364="","","Fixo"))</f>
        <v/>
      </c>
      <c r="BB3364" s="72" t="str">
        <f aca="false">IF(BA3364&lt;&gt;"",VLOOKUP(BA3364,Selects!$B$4:$C$100,2,0),"")</f>
        <v/>
      </c>
      <c r="BH3364" s="66"/>
    </row>
    <row r="3365" customFormat="false" ht="15" hidden="true" customHeight="false" outlineLevel="0" collapsed="false">
      <c r="AM3365" s="68" t="str">
        <f aca="false">IF(LEFT(AL3365,1)="9","Celular",IF(AL3365="","","Fixo"))</f>
        <v/>
      </c>
      <c r="BB3365" s="72" t="str">
        <f aca="false">IF(BA3365&lt;&gt;"",VLOOKUP(BA3365,Selects!$B$4:$C$100,2,0),"")</f>
        <v/>
      </c>
      <c r="BH3365" s="66"/>
    </row>
    <row r="3366" customFormat="false" ht="15" hidden="true" customHeight="false" outlineLevel="0" collapsed="false">
      <c r="AM3366" s="68" t="str">
        <f aca="false">IF(LEFT(AL3366,1)="9","Celular",IF(AL3366="","","Fixo"))</f>
        <v/>
      </c>
      <c r="BB3366" s="72" t="str">
        <f aca="false">IF(BA3366&lt;&gt;"",VLOOKUP(BA3366,Selects!$B$4:$C$100,2,0),"")</f>
        <v/>
      </c>
      <c r="BH3366" s="66"/>
    </row>
    <row r="3367" customFormat="false" ht="15" hidden="true" customHeight="false" outlineLevel="0" collapsed="false">
      <c r="AM3367" s="68" t="str">
        <f aca="false">IF(LEFT(AL3367,1)="9","Celular",IF(AL3367="","","Fixo"))</f>
        <v/>
      </c>
      <c r="BB3367" s="72" t="str">
        <f aca="false">IF(BA3367&lt;&gt;"",VLOOKUP(BA3367,Selects!$B$4:$C$100,2,0),"")</f>
        <v/>
      </c>
      <c r="BH3367" s="66"/>
    </row>
    <row r="3368" customFormat="false" ht="15" hidden="true" customHeight="false" outlineLevel="0" collapsed="false">
      <c r="AM3368" s="68" t="str">
        <f aca="false">IF(LEFT(AL3368,1)="9","Celular",IF(AL3368="","","Fixo"))</f>
        <v/>
      </c>
      <c r="BB3368" s="72" t="str">
        <f aca="false">IF(BA3368&lt;&gt;"",VLOOKUP(BA3368,Selects!$B$4:$C$100,2,0),"")</f>
        <v/>
      </c>
      <c r="BH3368" s="66"/>
    </row>
    <row r="3369" customFormat="false" ht="15" hidden="true" customHeight="false" outlineLevel="0" collapsed="false">
      <c r="AM3369" s="68" t="str">
        <f aca="false">IF(LEFT(AL3369,1)="9","Celular",IF(AL3369="","","Fixo"))</f>
        <v/>
      </c>
      <c r="BB3369" s="72" t="str">
        <f aca="false">IF(BA3369&lt;&gt;"",VLOOKUP(BA3369,Selects!$B$4:$C$100,2,0),"")</f>
        <v/>
      </c>
      <c r="BH3369" s="66"/>
    </row>
    <row r="3370" customFormat="false" ht="15" hidden="true" customHeight="false" outlineLevel="0" collapsed="false">
      <c r="AM3370" s="68" t="str">
        <f aca="false">IF(LEFT(AL3370,1)="9","Celular",IF(AL3370="","","Fixo"))</f>
        <v/>
      </c>
      <c r="BB3370" s="72" t="str">
        <f aca="false">IF(BA3370&lt;&gt;"",VLOOKUP(BA3370,Selects!$B$4:$C$100,2,0),"")</f>
        <v/>
      </c>
      <c r="BH3370" s="66"/>
    </row>
    <row r="3371" customFormat="false" ht="15" hidden="true" customHeight="false" outlineLevel="0" collapsed="false">
      <c r="AM3371" s="68" t="str">
        <f aca="false">IF(LEFT(AL3371,1)="9","Celular",IF(AL3371="","","Fixo"))</f>
        <v/>
      </c>
      <c r="BB3371" s="72" t="str">
        <f aca="false">IF(BA3371&lt;&gt;"",VLOOKUP(BA3371,Selects!$B$4:$C$100,2,0),"")</f>
        <v/>
      </c>
      <c r="BH3371" s="66"/>
    </row>
    <row r="3372" customFormat="false" ht="15" hidden="true" customHeight="false" outlineLevel="0" collapsed="false">
      <c r="AM3372" s="68" t="str">
        <f aca="false">IF(LEFT(AL3372,1)="9","Celular",IF(AL3372="","","Fixo"))</f>
        <v/>
      </c>
      <c r="BB3372" s="72" t="str">
        <f aca="false">IF(BA3372&lt;&gt;"",VLOOKUP(BA3372,Selects!$B$4:$C$100,2,0),"")</f>
        <v/>
      </c>
      <c r="BH3372" s="66"/>
    </row>
    <row r="3373" customFormat="false" ht="15" hidden="true" customHeight="false" outlineLevel="0" collapsed="false">
      <c r="AM3373" s="68" t="str">
        <f aca="false">IF(LEFT(AL3373,1)="9","Celular",IF(AL3373="","","Fixo"))</f>
        <v/>
      </c>
      <c r="BB3373" s="72" t="str">
        <f aca="false">IF(BA3373&lt;&gt;"",VLOOKUP(BA3373,Selects!$B$4:$C$100,2,0),"")</f>
        <v/>
      </c>
      <c r="BH3373" s="66"/>
    </row>
    <row r="3374" customFormat="false" ht="15" hidden="true" customHeight="false" outlineLevel="0" collapsed="false">
      <c r="AM3374" s="68" t="str">
        <f aca="false">IF(LEFT(AL3374,1)="9","Celular",IF(AL3374="","","Fixo"))</f>
        <v/>
      </c>
      <c r="BB3374" s="72" t="str">
        <f aca="false">IF(BA3374&lt;&gt;"",VLOOKUP(BA3374,Selects!$B$4:$C$100,2,0),"")</f>
        <v/>
      </c>
      <c r="BH3374" s="66"/>
    </row>
    <row r="3375" customFormat="false" ht="15" hidden="true" customHeight="false" outlineLevel="0" collapsed="false">
      <c r="AM3375" s="68" t="str">
        <f aca="false">IF(LEFT(AL3375,1)="9","Celular",IF(AL3375="","","Fixo"))</f>
        <v/>
      </c>
      <c r="BB3375" s="72" t="str">
        <f aca="false">IF(BA3375&lt;&gt;"",VLOOKUP(BA3375,Selects!$B$4:$C$100,2,0),"")</f>
        <v/>
      </c>
      <c r="BH3375" s="66"/>
    </row>
    <row r="3376" customFormat="false" ht="15" hidden="true" customHeight="false" outlineLevel="0" collapsed="false">
      <c r="AM3376" s="68" t="str">
        <f aca="false">IF(LEFT(AL3376,1)="9","Celular",IF(AL3376="","","Fixo"))</f>
        <v/>
      </c>
      <c r="BB3376" s="72" t="str">
        <f aca="false">IF(BA3376&lt;&gt;"",VLOOKUP(BA3376,Selects!$B$4:$C$100,2,0),"")</f>
        <v/>
      </c>
      <c r="BH3376" s="66"/>
    </row>
    <row r="3377" customFormat="false" ht="15" hidden="true" customHeight="false" outlineLevel="0" collapsed="false">
      <c r="AM3377" s="68" t="str">
        <f aca="false">IF(LEFT(AL3377,1)="9","Celular",IF(AL3377="","","Fixo"))</f>
        <v/>
      </c>
      <c r="BB3377" s="72" t="str">
        <f aca="false">IF(BA3377&lt;&gt;"",VLOOKUP(BA3377,Selects!$B$4:$C$100,2,0),"")</f>
        <v/>
      </c>
      <c r="BH3377" s="66"/>
    </row>
    <row r="3378" customFormat="false" ht="15" hidden="true" customHeight="false" outlineLevel="0" collapsed="false">
      <c r="AM3378" s="68" t="str">
        <f aca="false">IF(LEFT(AL3378,1)="9","Celular",IF(AL3378="","","Fixo"))</f>
        <v/>
      </c>
      <c r="BB3378" s="72" t="str">
        <f aca="false">IF(BA3378&lt;&gt;"",VLOOKUP(BA3378,Selects!$B$4:$C$100,2,0),"")</f>
        <v/>
      </c>
      <c r="BH3378" s="66"/>
    </row>
    <row r="3379" customFormat="false" ht="15" hidden="true" customHeight="false" outlineLevel="0" collapsed="false">
      <c r="AM3379" s="68" t="str">
        <f aca="false">IF(LEFT(AL3379,1)="9","Celular",IF(AL3379="","","Fixo"))</f>
        <v/>
      </c>
      <c r="BB3379" s="72" t="str">
        <f aca="false">IF(BA3379&lt;&gt;"",VLOOKUP(BA3379,Selects!$B$4:$C$100,2,0),"")</f>
        <v/>
      </c>
      <c r="BH3379" s="66"/>
    </row>
    <row r="3380" customFormat="false" ht="15" hidden="true" customHeight="false" outlineLevel="0" collapsed="false">
      <c r="AM3380" s="68" t="str">
        <f aca="false">IF(LEFT(AL3380,1)="9","Celular",IF(AL3380="","","Fixo"))</f>
        <v/>
      </c>
      <c r="BB3380" s="72" t="str">
        <f aca="false">IF(BA3380&lt;&gt;"",VLOOKUP(BA3380,Selects!$B$4:$C$100,2,0),"")</f>
        <v/>
      </c>
      <c r="BH3380" s="66"/>
    </row>
    <row r="3381" customFormat="false" ht="15" hidden="true" customHeight="false" outlineLevel="0" collapsed="false">
      <c r="AM3381" s="68" t="str">
        <f aca="false">IF(LEFT(AL3381,1)="9","Celular",IF(AL3381="","","Fixo"))</f>
        <v/>
      </c>
      <c r="BB3381" s="72" t="str">
        <f aca="false">IF(BA3381&lt;&gt;"",VLOOKUP(BA3381,Selects!$B$4:$C$100,2,0),"")</f>
        <v/>
      </c>
      <c r="BH3381" s="66"/>
    </row>
    <row r="3382" customFormat="false" ht="15" hidden="true" customHeight="false" outlineLevel="0" collapsed="false">
      <c r="AM3382" s="68" t="str">
        <f aca="false">IF(LEFT(AL3382,1)="9","Celular",IF(AL3382="","","Fixo"))</f>
        <v/>
      </c>
      <c r="BB3382" s="72" t="str">
        <f aca="false">IF(BA3382&lt;&gt;"",VLOOKUP(BA3382,Selects!$B$4:$C$100,2,0),"")</f>
        <v/>
      </c>
      <c r="BH3382" s="66"/>
    </row>
    <row r="3383" customFormat="false" ht="15" hidden="true" customHeight="false" outlineLevel="0" collapsed="false">
      <c r="AM3383" s="68" t="str">
        <f aca="false">IF(LEFT(AL3383,1)="9","Celular",IF(AL3383="","","Fixo"))</f>
        <v/>
      </c>
      <c r="BB3383" s="72" t="str">
        <f aca="false">IF(BA3383&lt;&gt;"",VLOOKUP(BA3383,Selects!$B$4:$C$100,2,0),"")</f>
        <v/>
      </c>
      <c r="BH3383" s="66"/>
    </row>
    <row r="3384" customFormat="false" ht="15" hidden="true" customHeight="false" outlineLevel="0" collapsed="false">
      <c r="AM3384" s="68" t="str">
        <f aca="false">IF(LEFT(AL3384,1)="9","Celular",IF(AL3384="","","Fixo"))</f>
        <v/>
      </c>
      <c r="BB3384" s="72" t="str">
        <f aca="false">IF(BA3384&lt;&gt;"",VLOOKUP(BA3384,Selects!$B$4:$C$100,2,0),"")</f>
        <v/>
      </c>
      <c r="BH3384" s="66"/>
    </row>
    <row r="3385" customFormat="false" ht="15" hidden="true" customHeight="false" outlineLevel="0" collapsed="false">
      <c r="AM3385" s="68" t="str">
        <f aca="false">IF(LEFT(AL3385,1)="9","Celular",IF(AL3385="","","Fixo"))</f>
        <v/>
      </c>
      <c r="BB3385" s="72" t="str">
        <f aca="false">IF(BA3385&lt;&gt;"",VLOOKUP(BA3385,Selects!$B$4:$C$100,2,0),"")</f>
        <v/>
      </c>
      <c r="BH3385" s="66"/>
    </row>
    <row r="3386" customFormat="false" ht="15" hidden="true" customHeight="false" outlineLevel="0" collapsed="false">
      <c r="AM3386" s="68" t="str">
        <f aca="false">IF(LEFT(AL3386,1)="9","Celular",IF(AL3386="","","Fixo"))</f>
        <v/>
      </c>
      <c r="BB3386" s="72" t="str">
        <f aca="false">IF(BA3386&lt;&gt;"",VLOOKUP(BA3386,Selects!$B$4:$C$100,2,0),"")</f>
        <v/>
      </c>
      <c r="BH3386" s="66"/>
    </row>
    <row r="3387" customFormat="false" ht="15" hidden="true" customHeight="false" outlineLevel="0" collapsed="false">
      <c r="AM3387" s="68" t="str">
        <f aca="false">IF(LEFT(AL3387,1)="9","Celular",IF(AL3387="","","Fixo"))</f>
        <v/>
      </c>
      <c r="BB3387" s="72" t="str">
        <f aca="false">IF(BA3387&lt;&gt;"",VLOOKUP(BA3387,Selects!$B$4:$C$100,2,0),"")</f>
        <v/>
      </c>
      <c r="BH3387" s="66"/>
    </row>
    <row r="3388" customFormat="false" ht="15" hidden="true" customHeight="false" outlineLevel="0" collapsed="false">
      <c r="AM3388" s="68" t="str">
        <f aca="false">IF(LEFT(AL3388,1)="9","Celular",IF(AL3388="","","Fixo"))</f>
        <v/>
      </c>
      <c r="BB3388" s="72" t="str">
        <f aca="false">IF(BA3388&lt;&gt;"",VLOOKUP(BA3388,Selects!$B$4:$C$100,2,0),"")</f>
        <v/>
      </c>
      <c r="BH3388" s="66"/>
    </row>
    <row r="3389" customFormat="false" ht="15" hidden="true" customHeight="false" outlineLevel="0" collapsed="false">
      <c r="AM3389" s="68" t="str">
        <f aca="false">IF(LEFT(AL3389,1)="9","Celular",IF(AL3389="","","Fixo"))</f>
        <v/>
      </c>
      <c r="BB3389" s="72" t="str">
        <f aca="false">IF(BA3389&lt;&gt;"",VLOOKUP(BA3389,Selects!$B$4:$C$100,2,0),"")</f>
        <v/>
      </c>
      <c r="BH3389" s="66"/>
    </row>
    <row r="3390" customFormat="false" ht="15" hidden="true" customHeight="false" outlineLevel="0" collapsed="false">
      <c r="AM3390" s="68" t="str">
        <f aca="false">IF(LEFT(AL3390,1)="9","Celular",IF(AL3390="","","Fixo"))</f>
        <v/>
      </c>
      <c r="BB3390" s="72" t="str">
        <f aca="false">IF(BA3390&lt;&gt;"",VLOOKUP(BA3390,Selects!$B$4:$C$100,2,0),"")</f>
        <v/>
      </c>
      <c r="BH3390" s="66"/>
    </row>
    <row r="3391" customFormat="false" ht="15" hidden="true" customHeight="false" outlineLevel="0" collapsed="false">
      <c r="AM3391" s="68" t="str">
        <f aca="false">IF(LEFT(AL3391,1)="9","Celular",IF(AL3391="","","Fixo"))</f>
        <v/>
      </c>
      <c r="BB3391" s="72" t="str">
        <f aca="false">IF(BA3391&lt;&gt;"",VLOOKUP(BA3391,Selects!$B$4:$C$100,2,0),"")</f>
        <v/>
      </c>
      <c r="BH3391" s="66"/>
    </row>
    <row r="3392" customFormat="false" ht="15" hidden="true" customHeight="false" outlineLevel="0" collapsed="false">
      <c r="AM3392" s="68" t="str">
        <f aca="false">IF(LEFT(AL3392,1)="9","Celular",IF(AL3392="","","Fixo"))</f>
        <v/>
      </c>
      <c r="BB3392" s="72" t="str">
        <f aca="false">IF(BA3392&lt;&gt;"",VLOOKUP(BA3392,Selects!$B$4:$C$100,2,0),"")</f>
        <v/>
      </c>
      <c r="BH3392" s="66"/>
    </row>
    <row r="3393" customFormat="false" ht="15" hidden="true" customHeight="false" outlineLevel="0" collapsed="false">
      <c r="AM3393" s="68" t="str">
        <f aca="false">IF(LEFT(AL3393,1)="9","Celular",IF(AL3393="","","Fixo"))</f>
        <v/>
      </c>
      <c r="BB3393" s="72" t="str">
        <f aca="false">IF(BA3393&lt;&gt;"",VLOOKUP(BA3393,Selects!$B$4:$C$100,2,0),"")</f>
        <v/>
      </c>
      <c r="BH3393" s="66"/>
    </row>
    <row r="3394" customFormat="false" ht="15" hidden="true" customHeight="false" outlineLevel="0" collapsed="false">
      <c r="AM3394" s="68" t="str">
        <f aca="false">IF(LEFT(AL3394,1)="9","Celular",IF(AL3394="","","Fixo"))</f>
        <v/>
      </c>
      <c r="BB3394" s="72" t="str">
        <f aca="false">IF(BA3394&lt;&gt;"",VLOOKUP(BA3394,Selects!$B$4:$C$100,2,0),"")</f>
        <v/>
      </c>
      <c r="BH3394" s="66"/>
    </row>
    <row r="3395" customFormat="false" ht="15" hidden="true" customHeight="false" outlineLevel="0" collapsed="false">
      <c r="AM3395" s="68" t="str">
        <f aca="false">IF(LEFT(AL3395,1)="9","Celular",IF(AL3395="","","Fixo"))</f>
        <v/>
      </c>
      <c r="BB3395" s="72" t="str">
        <f aca="false">IF(BA3395&lt;&gt;"",VLOOKUP(BA3395,Selects!$B$4:$C$100,2,0),"")</f>
        <v/>
      </c>
      <c r="BH3395" s="66"/>
    </row>
    <row r="3396" customFormat="false" ht="15" hidden="true" customHeight="false" outlineLevel="0" collapsed="false">
      <c r="AM3396" s="68" t="str">
        <f aca="false">IF(LEFT(AL3396,1)="9","Celular",IF(AL3396="","","Fixo"))</f>
        <v/>
      </c>
      <c r="BB3396" s="72" t="str">
        <f aca="false">IF(BA3396&lt;&gt;"",VLOOKUP(BA3396,Selects!$B$4:$C$100,2,0),"")</f>
        <v/>
      </c>
      <c r="BH3396" s="66"/>
    </row>
    <row r="3397" customFormat="false" ht="15" hidden="true" customHeight="false" outlineLevel="0" collapsed="false">
      <c r="AM3397" s="68" t="str">
        <f aca="false">IF(LEFT(AL3397,1)="9","Celular",IF(AL3397="","","Fixo"))</f>
        <v/>
      </c>
      <c r="BB3397" s="72" t="str">
        <f aca="false">IF(BA3397&lt;&gt;"",VLOOKUP(BA3397,Selects!$B$4:$C$100,2,0),"")</f>
        <v/>
      </c>
      <c r="BH3397" s="66"/>
    </row>
    <row r="3398" customFormat="false" ht="15" hidden="true" customHeight="false" outlineLevel="0" collapsed="false">
      <c r="AM3398" s="68" t="str">
        <f aca="false">IF(LEFT(AL3398,1)="9","Celular",IF(AL3398="","","Fixo"))</f>
        <v/>
      </c>
      <c r="BB3398" s="72" t="str">
        <f aca="false">IF(BA3398&lt;&gt;"",VLOOKUP(BA3398,Selects!$B$4:$C$100,2,0),"")</f>
        <v/>
      </c>
      <c r="BH3398" s="66"/>
    </row>
    <row r="3399" customFormat="false" ht="15" hidden="true" customHeight="false" outlineLevel="0" collapsed="false">
      <c r="AM3399" s="68" t="str">
        <f aca="false">IF(LEFT(AL3399,1)="9","Celular",IF(AL3399="","","Fixo"))</f>
        <v/>
      </c>
      <c r="BB3399" s="72" t="str">
        <f aca="false">IF(BA3399&lt;&gt;"",VLOOKUP(BA3399,Selects!$B$4:$C$100,2,0),"")</f>
        <v/>
      </c>
      <c r="BH3399" s="66"/>
    </row>
    <row r="3400" customFormat="false" ht="15" hidden="true" customHeight="false" outlineLevel="0" collapsed="false">
      <c r="AM3400" s="68" t="str">
        <f aca="false">IF(LEFT(AL3400,1)="9","Celular",IF(AL3400="","","Fixo"))</f>
        <v/>
      </c>
      <c r="BB3400" s="72" t="str">
        <f aca="false">IF(BA3400&lt;&gt;"",VLOOKUP(BA3400,Selects!$B$4:$C$100,2,0),"")</f>
        <v/>
      </c>
      <c r="BH3400" s="66"/>
    </row>
    <row r="3401" customFormat="false" ht="15" hidden="true" customHeight="false" outlineLevel="0" collapsed="false">
      <c r="AM3401" s="68" t="str">
        <f aca="false">IF(LEFT(AL3401,1)="9","Celular",IF(AL3401="","","Fixo"))</f>
        <v/>
      </c>
      <c r="BB3401" s="72" t="str">
        <f aca="false">IF(BA3401&lt;&gt;"",VLOOKUP(BA3401,Selects!$B$4:$C$100,2,0),"")</f>
        <v/>
      </c>
      <c r="BH3401" s="66"/>
    </row>
    <row r="3402" customFormat="false" ht="15" hidden="true" customHeight="false" outlineLevel="0" collapsed="false">
      <c r="AM3402" s="68" t="str">
        <f aca="false">IF(LEFT(AL3402,1)="9","Celular",IF(AL3402="","","Fixo"))</f>
        <v/>
      </c>
      <c r="BB3402" s="72" t="str">
        <f aca="false">IF(BA3402&lt;&gt;"",VLOOKUP(BA3402,Selects!$B$4:$C$100,2,0),"")</f>
        <v/>
      </c>
      <c r="BH3402" s="66"/>
    </row>
    <row r="3403" customFormat="false" ht="15" hidden="true" customHeight="false" outlineLevel="0" collapsed="false">
      <c r="AM3403" s="68" t="str">
        <f aca="false">IF(LEFT(AL3403,1)="9","Celular",IF(AL3403="","","Fixo"))</f>
        <v/>
      </c>
      <c r="BB3403" s="72" t="str">
        <f aca="false">IF(BA3403&lt;&gt;"",VLOOKUP(BA3403,Selects!$B$4:$C$100,2,0),"")</f>
        <v/>
      </c>
      <c r="BH3403" s="66"/>
    </row>
    <row r="3404" customFormat="false" ht="15" hidden="true" customHeight="false" outlineLevel="0" collapsed="false">
      <c r="AM3404" s="68" t="str">
        <f aca="false">IF(LEFT(AL3404,1)="9","Celular",IF(AL3404="","","Fixo"))</f>
        <v/>
      </c>
      <c r="BB3404" s="72" t="str">
        <f aca="false">IF(BA3404&lt;&gt;"",VLOOKUP(BA3404,Selects!$B$4:$C$100,2,0),"")</f>
        <v/>
      </c>
      <c r="BH3404" s="66"/>
    </row>
    <row r="3405" customFormat="false" ht="15" hidden="true" customHeight="false" outlineLevel="0" collapsed="false">
      <c r="AM3405" s="68" t="str">
        <f aca="false">IF(LEFT(AL3405,1)="9","Celular",IF(AL3405="","","Fixo"))</f>
        <v/>
      </c>
      <c r="BB3405" s="72" t="str">
        <f aca="false">IF(BA3405&lt;&gt;"",VLOOKUP(BA3405,Selects!$B$4:$C$100,2,0),"")</f>
        <v/>
      </c>
      <c r="BH3405" s="66"/>
    </row>
    <row r="3406" customFormat="false" ht="15" hidden="true" customHeight="false" outlineLevel="0" collapsed="false">
      <c r="AM3406" s="68" t="str">
        <f aca="false">IF(LEFT(AL3406,1)="9","Celular",IF(AL3406="","","Fixo"))</f>
        <v/>
      </c>
      <c r="BB3406" s="72" t="str">
        <f aca="false">IF(BA3406&lt;&gt;"",VLOOKUP(BA3406,Selects!$B$4:$C$100,2,0),"")</f>
        <v/>
      </c>
      <c r="BH3406" s="66"/>
    </row>
    <row r="3407" customFormat="false" ht="15" hidden="true" customHeight="false" outlineLevel="0" collapsed="false">
      <c r="AM3407" s="68" t="str">
        <f aca="false">IF(LEFT(AL3407,1)="9","Celular",IF(AL3407="","","Fixo"))</f>
        <v/>
      </c>
      <c r="BB3407" s="72" t="str">
        <f aca="false">IF(BA3407&lt;&gt;"",VLOOKUP(BA3407,Selects!$B$4:$C$100,2,0),"")</f>
        <v/>
      </c>
      <c r="BH3407" s="66"/>
    </row>
    <row r="3408" customFormat="false" ht="15" hidden="true" customHeight="false" outlineLevel="0" collapsed="false">
      <c r="AM3408" s="68" t="str">
        <f aca="false">IF(LEFT(AL3408,1)="9","Celular",IF(AL3408="","","Fixo"))</f>
        <v/>
      </c>
      <c r="BB3408" s="72" t="str">
        <f aca="false">IF(BA3408&lt;&gt;"",VLOOKUP(BA3408,Selects!$B$4:$C$100,2,0),"")</f>
        <v/>
      </c>
      <c r="BH3408" s="66"/>
    </row>
    <row r="3409" customFormat="false" ht="15" hidden="true" customHeight="false" outlineLevel="0" collapsed="false">
      <c r="AM3409" s="68" t="str">
        <f aca="false">IF(LEFT(AL3409,1)="9","Celular",IF(AL3409="","","Fixo"))</f>
        <v/>
      </c>
      <c r="BB3409" s="72" t="str">
        <f aca="false">IF(BA3409&lt;&gt;"",VLOOKUP(BA3409,Selects!$B$4:$C$100,2,0),"")</f>
        <v/>
      </c>
      <c r="BH3409" s="66"/>
    </row>
    <row r="3410" customFormat="false" ht="15" hidden="true" customHeight="false" outlineLevel="0" collapsed="false">
      <c r="AM3410" s="68" t="str">
        <f aca="false">IF(LEFT(AL3410,1)="9","Celular",IF(AL3410="","","Fixo"))</f>
        <v/>
      </c>
      <c r="BB3410" s="72" t="str">
        <f aca="false">IF(BA3410&lt;&gt;"",VLOOKUP(BA3410,Selects!$B$4:$C$100,2,0),"")</f>
        <v/>
      </c>
      <c r="BH3410" s="66"/>
    </row>
    <row r="3411" customFormat="false" ht="15" hidden="true" customHeight="false" outlineLevel="0" collapsed="false">
      <c r="AM3411" s="68" t="str">
        <f aca="false">IF(LEFT(AL3411,1)="9","Celular",IF(AL3411="","","Fixo"))</f>
        <v/>
      </c>
      <c r="BB3411" s="72" t="str">
        <f aca="false">IF(BA3411&lt;&gt;"",VLOOKUP(BA3411,Selects!$B$4:$C$100,2,0),"")</f>
        <v/>
      </c>
      <c r="BH3411" s="66"/>
    </row>
    <row r="3412" customFormat="false" ht="15" hidden="true" customHeight="false" outlineLevel="0" collapsed="false">
      <c r="AM3412" s="68" t="str">
        <f aca="false">IF(LEFT(AL3412,1)="9","Celular",IF(AL3412="","","Fixo"))</f>
        <v/>
      </c>
      <c r="BB3412" s="72" t="str">
        <f aca="false">IF(BA3412&lt;&gt;"",VLOOKUP(BA3412,Selects!$B$4:$C$100,2,0),"")</f>
        <v/>
      </c>
      <c r="BH3412" s="66"/>
    </row>
    <row r="3413" customFormat="false" ht="15" hidden="true" customHeight="false" outlineLevel="0" collapsed="false">
      <c r="AM3413" s="68" t="str">
        <f aca="false">IF(LEFT(AL3413,1)="9","Celular",IF(AL3413="","","Fixo"))</f>
        <v/>
      </c>
      <c r="BB3413" s="72" t="str">
        <f aca="false">IF(BA3413&lt;&gt;"",VLOOKUP(BA3413,Selects!$B$4:$C$100,2,0),"")</f>
        <v/>
      </c>
      <c r="BH3413" s="66"/>
    </row>
    <row r="3414" customFormat="false" ht="15" hidden="true" customHeight="false" outlineLevel="0" collapsed="false">
      <c r="AM3414" s="68" t="str">
        <f aca="false">IF(LEFT(AL3414,1)="9","Celular",IF(AL3414="","","Fixo"))</f>
        <v/>
      </c>
      <c r="BB3414" s="72" t="str">
        <f aca="false">IF(BA3414&lt;&gt;"",VLOOKUP(BA3414,Selects!$B$4:$C$100,2,0),"")</f>
        <v/>
      </c>
      <c r="BH3414" s="66"/>
    </row>
    <row r="3415" customFormat="false" ht="15" hidden="true" customHeight="false" outlineLevel="0" collapsed="false">
      <c r="AM3415" s="68" t="str">
        <f aca="false">IF(LEFT(AL3415,1)="9","Celular",IF(AL3415="","","Fixo"))</f>
        <v/>
      </c>
      <c r="BB3415" s="72" t="str">
        <f aca="false">IF(BA3415&lt;&gt;"",VLOOKUP(BA3415,Selects!$B$4:$C$100,2,0),"")</f>
        <v/>
      </c>
      <c r="BH3415" s="66"/>
    </row>
    <row r="3416" customFormat="false" ht="15" hidden="true" customHeight="false" outlineLevel="0" collapsed="false">
      <c r="AM3416" s="68" t="str">
        <f aca="false">IF(LEFT(AL3416,1)="9","Celular",IF(AL3416="","","Fixo"))</f>
        <v/>
      </c>
      <c r="BB3416" s="72" t="str">
        <f aca="false">IF(BA3416&lt;&gt;"",VLOOKUP(BA3416,Selects!$B$4:$C$100,2,0),"")</f>
        <v/>
      </c>
      <c r="BH3416" s="66"/>
    </row>
    <row r="3417" customFormat="false" ht="15" hidden="true" customHeight="false" outlineLevel="0" collapsed="false">
      <c r="AM3417" s="68" t="str">
        <f aca="false">IF(LEFT(AL3417,1)="9","Celular",IF(AL3417="","","Fixo"))</f>
        <v/>
      </c>
      <c r="BB3417" s="72" t="str">
        <f aca="false">IF(BA3417&lt;&gt;"",VLOOKUP(BA3417,Selects!$B$4:$C$100,2,0),"")</f>
        <v/>
      </c>
      <c r="BH3417" s="66"/>
    </row>
    <row r="3418" customFormat="false" ht="15" hidden="true" customHeight="false" outlineLevel="0" collapsed="false">
      <c r="AM3418" s="68" t="str">
        <f aca="false">IF(LEFT(AL3418,1)="9","Celular",IF(AL3418="","","Fixo"))</f>
        <v/>
      </c>
      <c r="BB3418" s="72" t="str">
        <f aca="false">IF(BA3418&lt;&gt;"",VLOOKUP(BA3418,Selects!$B$4:$C$100,2,0),"")</f>
        <v/>
      </c>
      <c r="BH3418" s="66"/>
    </row>
    <row r="3419" customFormat="false" ht="15" hidden="true" customHeight="false" outlineLevel="0" collapsed="false">
      <c r="AM3419" s="68" t="str">
        <f aca="false">IF(LEFT(AL3419,1)="9","Celular",IF(AL3419="","","Fixo"))</f>
        <v/>
      </c>
      <c r="BB3419" s="72" t="str">
        <f aca="false">IF(BA3419&lt;&gt;"",VLOOKUP(BA3419,Selects!$B$4:$C$100,2,0),"")</f>
        <v/>
      </c>
      <c r="BH3419" s="66"/>
    </row>
    <row r="3420" customFormat="false" ht="15" hidden="true" customHeight="false" outlineLevel="0" collapsed="false">
      <c r="AM3420" s="68" t="str">
        <f aca="false">IF(LEFT(AL3420,1)="9","Celular",IF(AL3420="","","Fixo"))</f>
        <v/>
      </c>
      <c r="BB3420" s="72" t="str">
        <f aca="false">IF(BA3420&lt;&gt;"",VLOOKUP(BA3420,Selects!$B$4:$C$100,2,0),"")</f>
        <v/>
      </c>
      <c r="BH3420" s="66"/>
    </row>
    <row r="3421" customFormat="false" ht="15" hidden="true" customHeight="false" outlineLevel="0" collapsed="false">
      <c r="AM3421" s="68" t="str">
        <f aca="false">IF(LEFT(AL3421,1)="9","Celular",IF(AL3421="","","Fixo"))</f>
        <v/>
      </c>
      <c r="BB3421" s="72" t="str">
        <f aca="false">IF(BA3421&lt;&gt;"",VLOOKUP(BA3421,Selects!$B$4:$C$100,2,0),"")</f>
        <v/>
      </c>
      <c r="BH3421" s="66"/>
    </row>
    <row r="3422" customFormat="false" ht="15" hidden="true" customHeight="false" outlineLevel="0" collapsed="false">
      <c r="AM3422" s="68" t="str">
        <f aca="false">IF(LEFT(AL3422,1)="9","Celular",IF(AL3422="","","Fixo"))</f>
        <v/>
      </c>
      <c r="BB3422" s="72" t="str">
        <f aca="false">IF(BA3422&lt;&gt;"",VLOOKUP(BA3422,Selects!$B$4:$C$100,2,0),"")</f>
        <v/>
      </c>
      <c r="BH3422" s="66"/>
    </row>
    <row r="3423" customFormat="false" ht="15" hidden="true" customHeight="false" outlineLevel="0" collapsed="false">
      <c r="AM3423" s="68" t="str">
        <f aca="false">IF(LEFT(AL3423,1)="9","Celular",IF(AL3423="","","Fixo"))</f>
        <v/>
      </c>
      <c r="BB3423" s="72" t="str">
        <f aca="false">IF(BA3423&lt;&gt;"",VLOOKUP(BA3423,Selects!$B$4:$C$100,2,0),"")</f>
        <v/>
      </c>
      <c r="BH3423" s="66"/>
    </row>
    <row r="3424" customFormat="false" ht="15" hidden="true" customHeight="false" outlineLevel="0" collapsed="false">
      <c r="AM3424" s="68" t="str">
        <f aca="false">IF(LEFT(AL3424,1)="9","Celular",IF(AL3424="","","Fixo"))</f>
        <v/>
      </c>
      <c r="BB3424" s="72" t="str">
        <f aca="false">IF(BA3424&lt;&gt;"",VLOOKUP(BA3424,Selects!$B$4:$C$100,2,0),"")</f>
        <v/>
      </c>
      <c r="BH3424" s="66"/>
    </row>
    <row r="3425" customFormat="false" ht="15" hidden="true" customHeight="false" outlineLevel="0" collapsed="false">
      <c r="AM3425" s="68" t="str">
        <f aca="false">IF(LEFT(AL3425,1)="9","Celular",IF(AL3425="","","Fixo"))</f>
        <v/>
      </c>
      <c r="BB3425" s="72" t="str">
        <f aca="false">IF(BA3425&lt;&gt;"",VLOOKUP(BA3425,Selects!$B$4:$C$100,2,0),"")</f>
        <v/>
      </c>
      <c r="BH3425" s="66"/>
    </row>
    <row r="3426" customFormat="false" ht="15" hidden="true" customHeight="false" outlineLevel="0" collapsed="false">
      <c r="AM3426" s="68" t="str">
        <f aca="false">IF(LEFT(AL3426,1)="9","Celular",IF(AL3426="","","Fixo"))</f>
        <v/>
      </c>
      <c r="BB3426" s="72" t="str">
        <f aca="false">IF(BA3426&lt;&gt;"",VLOOKUP(BA3426,Selects!$B$4:$C$100,2,0),"")</f>
        <v/>
      </c>
      <c r="BH3426" s="66"/>
    </row>
    <row r="3427" customFormat="false" ht="15" hidden="true" customHeight="false" outlineLevel="0" collapsed="false">
      <c r="AM3427" s="68" t="str">
        <f aca="false">IF(LEFT(AL3427,1)="9","Celular",IF(AL3427="","","Fixo"))</f>
        <v/>
      </c>
      <c r="BB3427" s="72" t="str">
        <f aca="false">IF(BA3427&lt;&gt;"",VLOOKUP(BA3427,Selects!$B$4:$C$100,2,0),"")</f>
        <v/>
      </c>
      <c r="BH3427" s="66"/>
    </row>
    <row r="3428" customFormat="false" ht="15" hidden="true" customHeight="false" outlineLevel="0" collapsed="false">
      <c r="AM3428" s="68" t="str">
        <f aca="false">IF(LEFT(AL3428,1)="9","Celular",IF(AL3428="","","Fixo"))</f>
        <v/>
      </c>
      <c r="BB3428" s="72" t="str">
        <f aca="false">IF(BA3428&lt;&gt;"",VLOOKUP(BA3428,Selects!$B$4:$C$100,2,0),"")</f>
        <v/>
      </c>
      <c r="BH3428" s="66"/>
    </row>
    <row r="3429" customFormat="false" ht="15" hidden="true" customHeight="false" outlineLevel="0" collapsed="false">
      <c r="AM3429" s="68" t="str">
        <f aca="false">IF(LEFT(AL3429,1)="9","Celular",IF(AL3429="","","Fixo"))</f>
        <v/>
      </c>
      <c r="BB3429" s="72" t="str">
        <f aca="false">IF(BA3429&lt;&gt;"",VLOOKUP(BA3429,Selects!$B$4:$C$100,2,0),"")</f>
        <v/>
      </c>
      <c r="BH3429" s="66"/>
    </row>
    <row r="3430" customFormat="false" ht="15" hidden="true" customHeight="false" outlineLevel="0" collapsed="false">
      <c r="AM3430" s="68" t="str">
        <f aca="false">IF(LEFT(AL3430,1)="9","Celular",IF(AL3430="","","Fixo"))</f>
        <v/>
      </c>
      <c r="BB3430" s="72" t="str">
        <f aca="false">IF(BA3430&lt;&gt;"",VLOOKUP(BA3430,Selects!$B$4:$C$100,2,0),"")</f>
        <v/>
      </c>
      <c r="BH3430" s="66"/>
    </row>
    <row r="3431" customFormat="false" ht="15" hidden="true" customHeight="false" outlineLevel="0" collapsed="false">
      <c r="AM3431" s="68" t="str">
        <f aca="false">IF(LEFT(AL3431,1)="9","Celular",IF(AL3431="","","Fixo"))</f>
        <v/>
      </c>
      <c r="BB3431" s="72" t="str">
        <f aca="false">IF(BA3431&lt;&gt;"",VLOOKUP(BA3431,Selects!$B$4:$C$100,2,0),"")</f>
        <v/>
      </c>
      <c r="BH3431" s="66"/>
    </row>
    <row r="3432" customFormat="false" ht="15" hidden="true" customHeight="false" outlineLevel="0" collapsed="false">
      <c r="AM3432" s="68" t="str">
        <f aca="false">IF(LEFT(AL3432,1)="9","Celular",IF(AL3432="","","Fixo"))</f>
        <v/>
      </c>
      <c r="BB3432" s="72" t="str">
        <f aca="false">IF(BA3432&lt;&gt;"",VLOOKUP(BA3432,Selects!$B$4:$C$100,2,0),"")</f>
        <v/>
      </c>
      <c r="BH3432" s="66"/>
    </row>
    <row r="3433" customFormat="false" ht="15" hidden="true" customHeight="false" outlineLevel="0" collapsed="false">
      <c r="AM3433" s="68" t="str">
        <f aca="false">IF(LEFT(AL3433,1)="9","Celular",IF(AL3433="","","Fixo"))</f>
        <v/>
      </c>
      <c r="BB3433" s="72" t="str">
        <f aca="false">IF(BA3433&lt;&gt;"",VLOOKUP(BA3433,Selects!$B$4:$C$100,2,0),"")</f>
        <v/>
      </c>
      <c r="BH3433" s="66"/>
    </row>
    <row r="3434" customFormat="false" ht="15" hidden="true" customHeight="false" outlineLevel="0" collapsed="false">
      <c r="AM3434" s="68" t="str">
        <f aca="false">IF(LEFT(AL3434,1)="9","Celular",IF(AL3434="","","Fixo"))</f>
        <v/>
      </c>
      <c r="BB3434" s="72" t="str">
        <f aca="false">IF(BA3434&lt;&gt;"",VLOOKUP(BA3434,Selects!$B$4:$C$100,2,0),"")</f>
        <v/>
      </c>
      <c r="BH3434" s="66"/>
    </row>
    <row r="3435" customFormat="false" ht="15" hidden="true" customHeight="false" outlineLevel="0" collapsed="false">
      <c r="AM3435" s="68" t="str">
        <f aca="false">IF(LEFT(AL3435,1)="9","Celular",IF(AL3435="","","Fixo"))</f>
        <v/>
      </c>
      <c r="BB3435" s="72" t="str">
        <f aca="false">IF(BA3435&lt;&gt;"",VLOOKUP(BA3435,Selects!$B$4:$C$100,2,0),"")</f>
        <v/>
      </c>
      <c r="BH3435" s="66"/>
    </row>
    <row r="3436" customFormat="false" ht="15" hidden="true" customHeight="false" outlineLevel="0" collapsed="false">
      <c r="AM3436" s="68" t="str">
        <f aca="false">IF(LEFT(AL3436,1)="9","Celular",IF(AL3436="","","Fixo"))</f>
        <v/>
      </c>
      <c r="BB3436" s="72" t="str">
        <f aca="false">IF(BA3436&lt;&gt;"",VLOOKUP(BA3436,Selects!$B$4:$C$100,2,0),"")</f>
        <v/>
      </c>
      <c r="BH3436" s="66"/>
    </row>
    <row r="3437" customFormat="false" ht="15" hidden="true" customHeight="false" outlineLevel="0" collapsed="false">
      <c r="AM3437" s="68" t="str">
        <f aca="false">IF(LEFT(AL3437,1)="9","Celular",IF(AL3437="","","Fixo"))</f>
        <v/>
      </c>
      <c r="BB3437" s="72" t="str">
        <f aca="false">IF(BA3437&lt;&gt;"",VLOOKUP(BA3437,Selects!$B$4:$C$100,2,0),"")</f>
        <v/>
      </c>
      <c r="BH3437" s="66"/>
    </row>
    <row r="3438" customFormat="false" ht="15" hidden="true" customHeight="false" outlineLevel="0" collapsed="false">
      <c r="AM3438" s="68" t="str">
        <f aca="false">IF(LEFT(AL3438,1)="9","Celular",IF(AL3438="","","Fixo"))</f>
        <v/>
      </c>
      <c r="BB3438" s="72" t="str">
        <f aca="false">IF(BA3438&lt;&gt;"",VLOOKUP(BA3438,Selects!$B$4:$C$100,2,0),"")</f>
        <v/>
      </c>
      <c r="BH3438" s="66"/>
    </row>
    <row r="3439" customFormat="false" ht="15" hidden="true" customHeight="false" outlineLevel="0" collapsed="false">
      <c r="AM3439" s="68" t="str">
        <f aca="false">IF(LEFT(AL3439,1)="9","Celular",IF(AL3439="","","Fixo"))</f>
        <v/>
      </c>
      <c r="BB3439" s="72" t="str">
        <f aca="false">IF(BA3439&lt;&gt;"",VLOOKUP(BA3439,Selects!$B$4:$C$100,2,0),"")</f>
        <v/>
      </c>
      <c r="BH3439" s="66"/>
    </row>
    <row r="3440" customFormat="false" ht="15" hidden="true" customHeight="false" outlineLevel="0" collapsed="false">
      <c r="AM3440" s="68" t="str">
        <f aca="false">IF(LEFT(AL3440,1)="9","Celular",IF(AL3440="","","Fixo"))</f>
        <v/>
      </c>
      <c r="BB3440" s="72" t="str">
        <f aca="false">IF(BA3440&lt;&gt;"",VLOOKUP(BA3440,Selects!$B$4:$C$100,2,0),"")</f>
        <v/>
      </c>
      <c r="BH3440" s="66"/>
    </row>
    <row r="3441" customFormat="false" ht="15" hidden="true" customHeight="false" outlineLevel="0" collapsed="false">
      <c r="AM3441" s="68" t="str">
        <f aca="false">IF(LEFT(AL3441,1)="9","Celular",IF(AL3441="","","Fixo"))</f>
        <v/>
      </c>
      <c r="BB3441" s="72" t="str">
        <f aca="false">IF(BA3441&lt;&gt;"",VLOOKUP(BA3441,Selects!$B$4:$C$100,2,0),"")</f>
        <v/>
      </c>
      <c r="BH3441" s="66"/>
    </row>
    <row r="3442" customFormat="false" ht="15" hidden="true" customHeight="false" outlineLevel="0" collapsed="false">
      <c r="AM3442" s="68" t="str">
        <f aca="false">IF(LEFT(AL3442,1)="9","Celular",IF(AL3442="","","Fixo"))</f>
        <v/>
      </c>
      <c r="BB3442" s="72" t="str">
        <f aca="false">IF(BA3442&lt;&gt;"",VLOOKUP(BA3442,Selects!$B$4:$C$100,2,0),"")</f>
        <v/>
      </c>
      <c r="BH3442" s="66"/>
    </row>
    <row r="3443" customFormat="false" ht="15" hidden="true" customHeight="false" outlineLevel="0" collapsed="false">
      <c r="AM3443" s="68" t="str">
        <f aca="false">IF(LEFT(AL3443,1)="9","Celular",IF(AL3443="","","Fixo"))</f>
        <v/>
      </c>
      <c r="BB3443" s="72" t="str">
        <f aca="false">IF(BA3443&lt;&gt;"",VLOOKUP(BA3443,Selects!$B$4:$C$100,2,0),"")</f>
        <v/>
      </c>
      <c r="BH3443" s="66"/>
    </row>
    <row r="3444" customFormat="false" ht="15" hidden="true" customHeight="false" outlineLevel="0" collapsed="false">
      <c r="AM3444" s="68" t="str">
        <f aca="false">IF(LEFT(AL3444,1)="9","Celular",IF(AL3444="","","Fixo"))</f>
        <v/>
      </c>
      <c r="BB3444" s="72" t="str">
        <f aca="false">IF(BA3444&lt;&gt;"",VLOOKUP(BA3444,Selects!$B$4:$C$100,2,0),"")</f>
        <v/>
      </c>
      <c r="BH3444" s="66"/>
    </row>
    <row r="3445" customFormat="false" ht="15" hidden="true" customHeight="false" outlineLevel="0" collapsed="false">
      <c r="AM3445" s="68" t="str">
        <f aca="false">IF(LEFT(AL3445,1)="9","Celular",IF(AL3445="","","Fixo"))</f>
        <v/>
      </c>
      <c r="BB3445" s="72" t="str">
        <f aca="false">IF(BA3445&lt;&gt;"",VLOOKUP(BA3445,Selects!$B$4:$C$100,2,0),"")</f>
        <v/>
      </c>
      <c r="BH3445" s="66"/>
    </row>
    <row r="3446" customFormat="false" ht="15" hidden="true" customHeight="false" outlineLevel="0" collapsed="false">
      <c r="BB3446" s="72" t="str">
        <f aca="false">IF(BA3446&lt;&gt;"",VLOOKUP(BA3446,Selects!$B$4:$C$100,2,0),"")</f>
        <v/>
      </c>
      <c r="BH3446" s="66"/>
    </row>
    <row r="3447" customFormat="false" ht="15" hidden="true" customHeight="false" outlineLevel="0" collapsed="false">
      <c r="BB3447" s="72" t="str">
        <f aca="false">IF(BA3447&lt;&gt;"",VLOOKUP(BA3447,Selects!$B$4:$C$100,2,0),"")</f>
        <v/>
      </c>
      <c r="BH3447" s="66"/>
    </row>
    <row r="3448" customFormat="false" ht="15" hidden="true" customHeight="false" outlineLevel="0" collapsed="false">
      <c r="BB3448" s="72" t="str">
        <f aca="false">IF(BA3448&lt;&gt;"",VLOOKUP(BA3448,Selects!$B$4:$C$100,2,0),"")</f>
        <v/>
      </c>
      <c r="BH3448" s="66"/>
    </row>
    <row r="3449" customFormat="false" ht="15" hidden="true" customHeight="false" outlineLevel="0" collapsed="false">
      <c r="BB3449" s="72" t="str">
        <f aca="false">IF(BA3449&lt;&gt;"",VLOOKUP(BA3449,Selects!$B$4:$C$100,2,0),"")</f>
        <v/>
      </c>
      <c r="BH3449" s="66"/>
    </row>
    <row r="3450" customFormat="false" ht="15" hidden="true" customHeight="false" outlineLevel="0" collapsed="false">
      <c r="BB3450" s="72" t="str">
        <f aca="false">IF(BA3450&lt;&gt;"",VLOOKUP(BA3450,Selects!$B$4:$C$100,2,0),"")</f>
        <v/>
      </c>
      <c r="BH3450" s="66"/>
    </row>
    <row r="3451" customFormat="false" ht="15" hidden="true" customHeight="false" outlineLevel="0" collapsed="false">
      <c r="BB3451" s="72" t="str">
        <f aca="false">IF(BA3451&lt;&gt;"",VLOOKUP(BA3451,Selects!$B$4:$C$100,2,0),"")</f>
        <v/>
      </c>
      <c r="BH3451" s="66"/>
    </row>
    <row r="3452" customFormat="false" ht="15" hidden="true" customHeight="false" outlineLevel="0" collapsed="false">
      <c r="BB3452" s="72" t="str">
        <f aca="false">IF(BA3452&lt;&gt;"",VLOOKUP(BA3452,Selects!$B$4:$C$100,2,0),"")</f>
        <v/>
      </c>
      <c r="BH3452" s="66"/>
    </row>
    <row r="3453" customFormat="false" ht="15" hidden="true" customHeight="false" outlineLevel="0" collapsed="false">
      <c r="BB3453" s="72" t="str">
        <f aca="false">IF(BA3453&lt;&gt;"",VLOOKUP(BA3453,Selects!$B$4:$C$100,2,0),"")</f>
        <v/>
      </c>
      <c r="BH3453" s="66"/>
    </row>
    <row r="3454" customFormat="false" ht="15" hidden="true" customHeight="false" outlineLevel="0" collapsed="false">
      <c r="BB3454" s="72" t="str">
        <f aca="false">IF(BA3454&lt;&gt;"",VLOOKUP(BA3454,Selects!$B$4:$C$100,2,0),"")</f>
        <v/>
      </c>
      <c r="BH3454" s="66"/>
    </row>
    <row r="3455" customFormat="false" ht="15" hidden="true" customHeight="false" outlineLevel="0" collapsed="false">
      <c r="BB3455" s="72" t="str">
        <f aca="false">IF(BA3455&lt;&gt;"",VLOOKUP(BA3455,Selects!$B$4:$C$100,2,0),"")</f>
        <v/>
      </c>
      <c r="BH3455" s="66"/>
    </row>
    <row r="3456" customFormat="false" ht="15" hidden="true" customHeight="false" outlineLevel="0" collapsed="false">
      <c r="BB3456" s="72" t="str">
        <f aca="false">IF(BA3456&lt;&gt;"",VLOOKUP(BA3456,Selects!$B$4:$C$100,2,0),"")</f>
        <v/>
      </c>
      <c r="BH3456" s="66"/>
    </row>
    <row r="3457" customFormat="false" ht="15" hidden="true" customHeight="false" outlineLevel="0" collapsed="false">
      <c r="BB3457" s="72" t="str">
        <f aca="false">IF(BA3457&lt;&gt;"",VLOOKUP(BA3457,Selects!$B$4:$C$100,2,0),"")</f>
        <v/>
      </c>
      <c r="BH3457" s="66"/>
    </row>
    <row r="3458" customFormat="false" ht="15" hidden="true" customHeight="false" outlineLevel="0" collapsed="false">
      <c r="BB3458" s="72" t="str">
        <f aca="false">IF(BA3458&lt;&gt;"",VLOOKUP(BA3458,Selects!$B$4:$C$100,2,0),"")</f>
        <v/>
      </c>
      <c r="BH3458" s="66"/>
    </row>
    <row r="3459" customFormat="false" ht="15" hidden="true" customHeight="false" outlineLevel="0" collapsed="false">
      <c r="BB3459" s="72" t="str">
        <f aca="false">IF(BA3459&lt;&gt;"",VLOOKUP(BA3459,Selects!$B$4:$C$100,2,0),"")</f>
        <v/>
      </c>
      <c r="BH3459" s="66"/>
    </row>
    <row r="3460" customFormat="false" ht="15" hidden="true" customHeight="false" outlineLevel="0" collapsed="false">
      <c r="BB3460" s="72" t="str">
        <f aca="false">IF(BA3460&lt;&gt;"",VLOOKUP(BA3460,Selects!$B$4:$C$100,2,0),"")</f>
        <v/>
      </c>
      <c r="BH3460" s="66"/>
    </row>
    <row r="3461" customFormat="false" ht="15" hidden="true" customHeight="false" outlineLevel="0" collapsed="false">
      <c r="BB3461" s="72" t="str">
        <f aca="false">IF(BA3461&lt;&gt;"",VLOOKUP(BA3461,Selects!$B$4:$C$100,2,0),"")</f>
        <v/>
      </c>
      <c r="BH3461" s="66"/>
    </row>
    <row r="3462" customFormat="false" ht="15" hidden="true" customHeight="false" outlineLevel="0" collapsed="false">
      <c r="BB3462" s="72" t="str">
        <f aca="false">IF(BA3462&lt;&gt;"",VLOOKUP(BA3462,Selects!$B$4:$C$100,2,0),"")</f>
        <v/>
      </c>
      <c r="BH3462" s="66"/>
    </row>
    <row r="3463" customFormat="false" ht="15" hidden="true" customHeight="false" outlineLevel="0" collapsed="false">
      <c r="BB3463" s="72" t="str">
        <f aca="false">IF(BA3463&lt;&gt;"",VLOOKUP(BA3463,Selects!$B$4:$C$100,2,0),"")</f>
        <v/>
      </c>
      <c r="BH3463" s="66"/>
    </row>
    <row r="3464" customFormat="false" ht="15" hidden="true" customHeight="false" outlineLevel="0" collapsed="false">
      <c r="BB3464" s="72" t="str">
        <f aca="false">IF(BA3464&lt;&gt;"",VLOOKUP(BA3464,Selects!$B$4:$C$100,2,0),"")</f>
        <v/>
      </c>
      <c r="BH3464" s="66"/>
    </row>
    <row r="3465" customFormat="false" ht="15" hidden="true" customHeight="false" outlineLevel="0" collapsed="false">
      <c r="BB3465" s="72" t="str">
        <f aca="false">IF(BA3465&lt;&gt;"",VLOOKUP(BA3465,Selects!$B$4:$C$100,2,0),"")</f>
        <v/>
      </c>
      <c r="BH3465" s="66"/>
    </row>
    <row r="3466" customFormat="false" ht="15" hidden="true" customHeight="false" outlineLevel="0" collapsed="false">
      <c r="BB3466" s="72" t="str">
        <f aca="false">IF(BA3466&lt;&gt;"",VLOOKUP(BA3466,Selects!$B$4:$C$100,2,0),"")</f>
        <v/>
      </c>
      <c r="BH3466" s="66"/>
    </row>
    <row r="3467" customFormat="false" ht="15" hidden="true" customHeight="false" outlineLevel="0" collapsed="false">
      <c r="BB3467" s="72" t="str">
        <f aca="false">IF(BA3467&lt;&gt;"",VLOOKUP(BA3467,Selects!$B$4:$C$100,2,0),"")</f>
        <v/>
      </c>
      <c r="BH3467" s="66"/>
    </row>
    <row r="3468" customFormat="false" ht="15" hidden="true" customHeight="false" outlineLevel="0" collapsed="false">
      <c r="BB3468" s="72" t="str">
        <f aca="false">IF(BA3468&lt;&gt;"",VLOOKUP(BA3468,Selects!$B$4:$C$100,2,0),"")</f>
        <v/>
      </c>
      <c r="BH3468" s="66"/>
    </row>
    <row r="3469" customFormat="false" ht="15" hidden="true" customHeight="false" outlineLevel="0" collapsed="false">
      <c r="BB3469" s="72" t="str">
        <f aca="false">IF(BA3469&lt;&gt;"",VLOOKUP(BA3469,Selects!$B$4:$C$100,2,0),"")</f>
        <v/>
      </c>
      <c r="BH3469" s="66"/>
    </row>
    <row r="3470" customFormat="false" ht="15" hidden="true" customHeight="false" outlineLevel="0" collapsed="false">
      <c r="BB3470" s="72" t="str">
        <f aca="false">IF(BA3470&lt;&gt;"",VLOOKUP(BA3470,Selects!$B$4:$C$100,2,0),"")</f>
        <v/>
      </c>
      <c r="BH3470" s="66"/>
    </row>
    <row r="3471" customFormat="false" ht="15" hidden="true" customHeight="false" outlineLevel="0" collapsed="false">
      <c r="BB3471" s="72" t="str">
        <f aca="false">IF(BA3471&lt;&gt;"",VLOOKUP(BA3471,Selects!$B$4:$C$100,2,0),"")</f>
        <v/>
      </c>
      <c r="BH3471" s="66"/>
    </row>
    <row r="3472" customFormat="false" ht="15" hidden="true" customHeight="false" outlineLevel="0" collapsed="false">
      <c r="BB3472" s="72" t="str">
        <f aca="false">IF(BA3472&lt;&gt;"",VLOOKUP(BA3472,Selects!$B$4:$C$100,2,0),"")</f>
        <v/>
      </c>
      <c r="BH3472" s="66"/>
    </row>
    <row r="3473" customFormat="false" ht="15" hidden="true" customHeight="false" outlineLevel="0" collapsed="false">
      <c r="BB3473" s="72" t="str">
        <f aca="false">IF(BA3473&lt;&gt;"",VLOOKUP(BA3473,Selects!$B$4:$C$100,2,0),"")</f>
        <v/>
      </c>
      <c r="BH3473" s="66"/>
    </row>
    <row r="3474" customFormat="false" ht="15" hidden="true" customHeight="false" outlineLevel="0" collapsed="false">
      <c r="BB3474" s="72" t="str">
        <f aca="false">IF(BA3474&lt;&gt;"",VLOOKUP(BA3474,Selects!$B$4:$C$100,2,0),"")</f>
        <v/>
      </c>
      <c r="BH3474" s="66"/>
    </row>
    <row r="3475" customFormat="false" ht="15" hidden="true" customHeight="false" outlineLevel="0" collapsed="false">
      <c r="BB3475" s="72" t="str">
        <f aca="false">IF(BA3475&lt;&gt;"",VLOOKUP(BA3475,Selects!$B$4:$C$100,2,0),"")</f>
        <v/>
      </c>
      <c r="BH3475" s="66"/>
    </row>
    <row r="3476" customFormat="false" ht="15" hidden="true" customHeight="false" outlineLevel="0" collapsed="false">
      <c r="BB3476" s="72" t="str">
        <f aca="false">IF(BA3476&lt;&gt;"",VLOOKUP(BA3476,Selects!$B$4:$C$100,2,0),"")</f>
        <v/>
      </c>
      <c r="BH3476" s="66"/>
    </row>
    <row r="3477" customFormat="false" ht="15" hidden="true" customHeight="false" outlineLevel="0" collapsed="false">
      <c r="BB3477" s="72" t="str">
        <f aca="false">IF(BA3477&lt;&gt;"",VLOOKUP(BA3477,Selects!$B$4:$C$100,2,0),"")</f>
        <v/>
      </c>
      <c r="BH3477" s="66"/>
    </row>
    <row r="3478" customFormat="false" ht="15" hidden="true" customHeight="false" outlineLevel="0" collapsed="false">
      <c r="BB3478" s="72" t="str">
        <f aca="false">IF(BA3478&lt;&gt;"",VLOOKUP(BA3478,Selects!$B$4:$C$100,2,0),"")</f>
        <v/>
      </c>
      <c r="BH3478" s="66"/>
    </row>
    <row r="3479" customFormat="false" ht="15" hidden="true" customHeight="false" outlineLevel="0" collapsed="false">
      <c r="BB3479" s="72" t="str">
        <f aca="false">IF(BA3479&lt;&gt;"",VLOOKUP(BA3479,Selects!$B$4:$C$100,2,0),"")</f>
        <v/>
      </c>
      <c r="BH3479" s="66"/>
    </row>
    <row r="3480" customFormat="false" ht="15" hidden="true" customHeight="false" outlineLevel="0" collapsed="false">
      <c r="BB3480" s="72" t="str">
        <f aca="false">IF(BA3480&lt;&gt;"",VLOOKUP(BA3480,Selects!$B$4:$C$100,2,0),"")</f>
        <v/>
      </c>
      <c r="BH3480" s="66"/>
    </row>
    <row r="3481" customFormat="false" ht="15" hidden="true" customHeight="false" outlineLevel="0" collapsed="false">
      <c r="BB3481" s="72" t="str">
        <f aca="false">IF(BA3481&lt;&gt;"",VLOOKUP(BA3481,Selects!$B$4:$C$100,2,0),"")</f>
        <v/>
      </c>
      <c r="BH3481" s="66"/>
    </row>
    <row r="3482" customFormat="false" ht="15" hidden="true" customHeight="false" outlineLevel="0" collapsed="false">
      <c r="BB3482" s="72" t="str">
        <f aca="false">IF(BA3482&lt;&gt;"",VLOOKUP(BA3482,Selects!$B$4:$C$100,2,0),"")</f>
        <v/>
      </c>
      <c r="BH3482" s="66"/>
    </row>
    <row r="3483" customFormat="false" ht="15" hidden="true" customHeight="false" outlineLevel="0" collapsed="false">
      <c r="BB3483" s="72" t="str">
        <f aca="false">IF(BA3483&lt;&gt;"",VLOOKUP(BA3483,Selects!$B$4:$C$100,2,0),"")</f>
        <v/>
      </c>
      <c r="BH3483" s="66"/>
    </row>
    <row r="3484" customFormat="false" ht="15" hidden="true" customHeight="false" outlineLevel="0" collapsed="false">
      <c r="BB3484" s="72" t="str">
        <f aca="false">IF(BA3484&lt;&gt;"",VLOOKUP(BA3484,Selects!$B$4:$C$100,2,0),"")</f>
        <v/>
      </c>
      <c r="BH3484" s="66"/>
    </row>
    <row r="3485" customFormat="false" ht="15" hidden="true" customHeight="false" outlineLevel="0" collapsed="false">
      <c r="BB3485" s="72" t="str">
        <f aca="false">IF(BA3485&lt;&gt;"",VLOOKUP(BA3485,Selects!$B$4:$C$100,2,0),"")</f>
        <v/>
      </c>
      <c r="BH3485" s="66"/>
    </row>
    <row r="3486" customFormat="false" ht="15" hidden="true" customHeight="false" outlineLevel="0" collapsed="false">
      <c r="BB3486" s="72" t="str">
        <f aca="false">IF(BA3486&lt;&gt;"",VLOOKUP(BA3486,Selects!$B$4:$C$100,2,0),"")</f>
        <v/>
      </c>
      <c r="BH3486" s="66"/>
    </row>
    <row r="3487" customFormat="false" ht="15" hidden="true" customHeight="false" outlineLevel="0" collapsed="false">
      <c r="BB3487" s="72" t="str">
        <f aca="false">IF(BA3487&lt;&gt;"",VLOOKUP(BA3487,Selects!$B$4:$C$100,2,0),"")</f>
        <v/>
      </c>
      <c r="BH3487" s="66"/>
    </row>
    <row r="3488" customFormat="false" ht="15" hidden="true" customHeight="false" outlineLevel="0" collapsed="false">
      <c r="BB3488" s="72" t="str">
        <f aca="false">IF(BA3488&lt;&gt;"",VLOOKUP(BA3488,Selects!$B$4:$C$100,2,0),"")</f>
        <v/>
      </c>
      <c r="BH3488" s="66"/>
    </row>
    <row r="3489" customFormat="false" ht="15" hidden="true" customHeight="false" outlineLevel="0" collapsed="false">
      <c r="BB3489" s="72" t="str">
        <f aca="false">IF(BA3489&lt;&gt;"",VLOOKUP(BA3489,Selects!$B$4:$C$100,2,0),"")</f>
        <v/>
      </c>
      <c r="BH3489" s="66"/>
    </row>
    <row r="3490" customFormat="false" ht="15" hidden="true" customHeight="false" outlineLevel="0" collapsed="false">
      <c r="BB3490" s="72" t="str">
        <f aca="false">IF(BA3490&lt;&gt;"",VLOOKUP(BA3490,Selects!$B$4:$C$100,2,0),"")</f>
        <v/>
      </c>
      <c r="BH3490" s="66"/>
    </row>
    <row r="3491" customFormat="false" ht="15" hidden="true" customHeight="false" outlineLevel="0" collapsed="false">
      <c r="BB3491" s="72" t="str">
        <f aca="false">IF(BA3491&lt;&gt;"",VLOOKUP(BA3491,Selects!$B$4:$C$100,2,0),"")</f>
        <v/>
      </c>
      <c r="BH3491" s="66"/>
    </row>
    <row r="3492" customFormat="false" ht="15" hidden="true" customHeight="false" outlineLevel="0" collapsed="false">
      <c r="BB3492" s="72" t="str">
        <f aca="false">IF(BA3492&lt;&gt;"",VLOOKUP(BA3492,Selects!$B$4:$C$100,2,0),"")</f>
        <v/>
      </c>
      <c r="BH3492" s="66"/>
    </row>
    <row r="3493" customFormat="false" ht="15" hidden="true" customHeight="false" outlineLevel="0" collapsed="false">
      <c r="BB3493" s="72" t="str">
        <f aca="false">IF(BA3493&lt;&gt;"",VLOOKUP(BA3493,Selects!$B$4:$C$100,2,0),"")</f>
        <v/>
      </c>
      <c r="BH3493" s="66"/>
    </row>
    <row r="3494" customFormat="false" ht="15" hidden="true" customHeight="false" outlineLevel="0" collapsed="false">
      <c r="BB3494" s="72" t="str">
        <f aca="false">IF(BA3494&lt;&gt;"",VLOOKUP(BA3494,Selects!$B$4:$C$100,2,0),"")</f>
        <v/>
      </c>
      <c r="BH3494" s="66"/>
    </row>
    <row r="3495" customFormat="false" ht="15" hidden="true" customHeight="false" outlineLevel="0" collapsed="false">
      <c r="BB3495" s="72" t="str">
        <f aca="false">IF(BA3495&lt;&gt;"",VLOOKUP(BA3495,Selects!$B$4:$C$100,2,0),"")</f>
        <v/>
      </c>
      <c r="BH3495" s="66"/>
    </row>
    <row r="3496" customFormat="false" ht="15" hidden="true" customHeight="false" outlineLevel="0" collapsed="false">
      <c r="BB3496" s="72" t="str">
        <f aca="false">IF(BA3496&lt;&gt;"",VLOOKUP(BA3496,Selects!$B$4:$C$100,2,0),"")</f>
        <v/>
      </c>
      <c r="BH3496" s="66"/>
    </row>
    <row r="3497" customFormat="false" ht="15" hidden="true" customHeight="false" outlineLevel="0" collapsed="false">
      <c r="BB3497" s="72" t="str">
        <f aca="false">IF(BA3497&lt;&gt;"",VLOOKUP(BA3497,Selects!$B$4:$C$100,2,0),"")</f>
        <v/>
      </c>
      <c r="BH3497" s="66"/>
    </row>
    <row r="3498" customFormat="false" ht="15" hidden="true" customHeight="false" outlineLevel="0" collapsed="false">
      <c r="BB3498" s="72" t="str">
        <f aca="false">IF(BA3498&lt;&gt;"",VLOOKUP(BA3498,Selects!$B$4:$C$100,2,0),"")</f>
        <v/>
      </c>
      <c r="BH3498" s="66"/>
    </row>
    <row r="3499" customFormat="false" ht="15" hidden="true" customHeight="false" outlineLevel="0" collapsed="false">
      <c r="BB3499" s="72" t="str">
        <f aca="false">IF(BA3499&lt;&gt;"",VLOOKUP(BA3499,Selects!$B$4:$C$100,2,0),"")</f>
        <v/>
      </c>
      <c r="BH3499" s="66"/>
    </row>
    <row r="3500" customFormat="false" ht="15" hidden="true" customHeight="false" outlineLevel="0" collapsed="false">
      <c r="BB3500" s="72" t="str">
        <f aca="false">IF(BA3500&lt;&gt;"",VLOOKUP(BA3500,Selects!$B$4:$C$100,2,0),"")</f>
        <v/>
      </c>
      <c r="BH3500" s="66"/>
    </row>
    <row r="3501" customFormat="false" ht="15" hidden="true" customHeight="false" outlineLevel="0" collapsed="false">
      <c r="BB3501" s="72" t="str">
        <f aca="false">IF(BA3501&lt;&gt;"",VLOOKUP(BA3501,Selects!$B$4:$C$100,2,0),"")</f>
        <v/>
      </c>
      <c r="BH3501" s="66"/>
    </row>
    <row r="3502" customFormat="false" ht="15" hidden="true" customHeight="false" outlineLevel="0" collapsed="false">
      <c r="BB3502" s="72" t="str">
        <f aca="false">IF(BA3502&lt;&gt;"",VLOOKUP(BA3502,Selects!$B$4:$C$100,2,0),"")</f>
        <v/>
      </c>
      <c r="BH3502" s="66"/>
    </row>
    <row r="3503" customFormat="false" ht="15" hidden="true" customHeight="false" outlineLevel="0" collapsed="false">
      <c r="BB3503" s="72" t="str">
        <f aca="false">IF(BA3503&lt;&gt;"",VLOOKUP(BA3503,Selects!$B$4:$C$100,2,0),"")</f>
        <v/>
      </c>
      <c r="BH3503" s="66"/>
    </row>
    <row r="3504" customFormat="false" ht="15" hidden="true" customHeight="false" outlineLevel="0" collapsed="false">
      <c r="BB3504" s="72" t="str">
        <f aca="false">IF(BA3504&lt;&gt;"",VLOOKUP(BA3504,Selects!$B$4:$C$100,2,0),"")</f>
        <v/>
      </c>
      <c r="BH3504" s="66"/>
    </row>
    <row r="3505" customFormat="false" ht="15" hidden="true" customHeight="false" outlineLevel="0" collapsed="false">
      <c r="BB3505" s="72" t="str">
        <f aca="false">IF(BA3505&lt;&gt;"",VLOOKUP(BA3505,Selects!$B$4:$C$100,2,0),"")</f>
        <v/>
      </c>
      <c r="BH3505" s="66"/>
    </row>
    <row r="3506" customFormat="false" ht="15" hidden="true" customHeight="false" outlineLevel="0" collapsed="false">
      <c r="BB3506" s="72" t="str">
        <f aca="false">IF(BA3506&lt;&gt;"",VLOOKUP(BA3506,Selects!$B$4:$C$100,2,0),"")</f>
        <v/>
      </c>
      <c r="BH3506" s="66"/>
    </row>
    <row r="3507" customFormat="false" ht="15" hidden="true" customHeight="false" outlineLevel="0" collapsed="false">
      <c r="BB3507" s="72" t="str">
        <f aca="false">IF(BA3507&lt;&gt;"",VLOOKUP(BA3507,Selects!$B$4:$C$100,2,0),"")</f>
        <v/>
      </c>
      <c r="BH3507" s="66"/>
    </row>
    <row r="3508" customFormat="false" ht="15" hidden="true" customHeight="false" outlineLevel="0" collapsed="false">
      <c r="BB3508" s="72" t="str">
        <f aca="false">IF(BA3508&lt;&gt;"",VLOOKUP(BA3508,Selects!$B$4:$C$100,2,0),"")</f>
        <v/>
      </c>
      <c r="BH3508" s="66"/>
    </row>
    <row r="3509" customFormat="false" ht="15" hidden="true" customHeight="false" outlineLevel="0" collapsed="false">
      <c r="BB3509" s="72" t="str">
        <f aca="false">IF(BA3509&lt;&gt;"",VLOOKUP(BA3509,Selects!$B$4:$C$100,2,0),"")</f>
        <v/>
      </c>
      <c r="BH3509" s="66"/>
    </row>
    <row r="3510" customFormat="false" ht="15" hidden="true" customHeight="false" outlineLevel="0" collapsed="false">
      <c r="BB3510" s="72" t="str">
        <f aca="false">IF(BA3510&lt;&gt;"",VLOOKUP(BA3510,Selects!$B$4:$C$100,2,0),"")</f>
        <v/>
      </c>
      <c r="BH3510" s="66"/>
    </row>
    <row r="3511" customFormat="false" ht="15" hidden="true" customHeight="false" outlineLevel="0" collapsed="false">
      <c r="BB3511" s="72" t="str">
        <f aca="false">IF(BA3511&lt;&gt;"",VLOOKUP(BA3511,Selects!$B$4:$C$100,2,0),"")</f>
        <v/>
      </c>
      <c r="BH3511" s="66"/>
    </row>
    <row r="3512" customFormat="false" ht="15" hidden="true" customHeight="false" outlineLevel="0" collapsed="false">
      <c r="BB3512" s="72" t="str">
        <f aca="false">IF(BA3512&lt;&gt;"",VLOOKUP(BA3512,Selects!$B$4:$C$100,2,0),"")</f>
        <v/>
      </c>
      <c r="BH3512" s="66"/>
    </row>
    <row r="3513" customFormat="false" ht="15" hidden="true" customHeight="false" outlineLevel="0" collapsed="false">
      <c r="BB3513" s="72" t="str">
        <f aca="false">IF(BA3513&lt;&gt;"",VLOOKUP(BA3513,Selects!$B$4:$C$100,2,0),"")</f>
        <v/>
      </c>
      <c r="BH3513" s="66"/>
    </row>
    <row r="3514" customFormat="false" ht="15" hidden="true" customHeight="false" outlineLevel="0" collapsed="false">
      <c r="BB3514" s="72" t="str">
        <f aca="false">IF(BA3514&lt;&gt;"",VLOOKUP(BA3514,Selects!$B$4:$C$100,2,0),"")</f>
        <v/>
      </c>
      <c r="BH3514" s="66"/>
    </row>
    <row r="3515" customFormat="false" ht="15" hidden="true" customHeight="false" outlineLevel="0" collapsed="false">
      <c r="BB3515" s="72" t="str">
        <f aca="false">IF(BA3515&lt;&gt;"",VLOOKUP(BA3515,Selects!$B$4:$C$100,2,0),"")</f>
        <v/>
      </c>
      <c r="BH3515" s="66"/>
    </row>
    <row r="3516" customFormat="false" ht="15" hidden="true" customHeight="false" outlineLevel="0" collapsed="false">
      <c r="BB3516" s="72" t="str">
        <f aca="false">IF(BA3516&lt;&gt;"",VLOOKUP(BA3516,Selects!$B$4:$C$100,2,0),"")</f>
        <v/>
      </c>
      <c r="BH3516" s="66"/>
    </row>
    <row r="3517" customFormat="false" ht="15" hidden="true" customHeight="false" outlineLevel="0" collapsed="false">
      <c r="BB3517" s="72" t="str">
        <f aca="false">IF(BA3517&lt;&gt;"",VLOOKUP(BA3517,Selects!$B$4:$C$100,2,0),"")</f>
        <v/>
      </c>
      <c r="BH3517" s="66"/>
    </row>
    <row r="3518" customFormat="false" ht="15" hidden="true" customHeight="false" outlineLevel="0" collapsed="false">
      <c r="BB3518" s="72" t="str">
        <f aca="false">IF(BA3518&lt;&gt;"",VLOOKUP(BA3518,Selects!$B$4:$C$100,2,0),"")</f>
        <v/>
      </c>
      <c r="BH3518" s="66"/>
    </row>
    <row r="3519" customFormat="false" ht="15" hidden="true" customHeight="false" outlineLevel="0" collapsed="false">
      <c r="BB3519" s="72" t="str">
        <f aca="false">IF(BA3519&lt;&gt;"",VLOOKUP(BA3519,Selects!$B$4:$C$100,2,0),"")</f>
        <v/>
      </c>
      <c r="BH3519" s="66"/>
    </row>
    <row r="3520" customFormat="false" ht="15" hidden="true" customHeight="false" outlineLevel="0" collapsed="false">
      <c r="BB3520" s="72" t="str">
        <f aca="false">IF(BA3520&lt;&gt;"",VLOOKUP(BA3520,Selects!$B$4:$C$100,2,0),"")</f>
        <v/>
      </c>
      <c r="BH3520" s="66"/>
    </row>
    <row r="3521" customFormat="false" ht="15" hidden="true" customHeight="false" outlineLevel="0" collapsed="false">
      <c r="BB3521" s="72" t="str">
        <f aca="false">IF(BA3521&lt;&gt;"",VLOOKUP(BA3521,Selects!$B$4:$C$100,2,0),"")</f>
        <v/>
      </c>
      <c r="BH3521" s="66"/>
    </row>
    <row r="3522" customFormat="false" ht="15" hidden="true" customHeight="false" outlineLevel="0" collapsed="false">
      <c r="BB3522" s="72" t="str">
        <f aca="false">IF(BA3522&lt;&gt;"",VLOOKUP(BA3522,Selects!$B$4:$C$100,2,0),"")</f>
        <v/>
      </c>
      <c r="BH3522" s="66"/>
    </row>
    <row r="3523" customFormat="false" ht="15" hidden="true" customHeight="false" outlineLevel="0" collapsed="false">
      <c r="BB3523" s="72" t="str">
        <f aca="false">IF(BA3523&lt;&gt;"",VLOOKUP(BA3523,Selects!$B$4:$C$100,2,0),"")</f>
        <v/>
      </c>
      <c r="BH3523" s="66"/>
    </row>
    <row r="3524" customFormat="false" ht="15" hidden="true" customHeight="false" outlineLevel="0" collapsed="false">
      <c r="BB3524" s="72" t="str">
        <f aca="false">IF(BA3524&lt;&gt;"",VLOOKUP(BA3524,Selects!$B$4:$C$100,2,0),"")</f>
        <v/>
      </c>
      <c r="BH3524" s="66"/>
    </row>
    <row r="3525" customFormat="false" ht="15" hidden="true" customHeight="false" outlineLevel="0" collapsed="false">
      <c r="BB3525" s="72" t="str">
        <f aca="false">IF(BA3525&lt;&gt;"",VLOOKUP(BA3525,Selects!$B$4:$C$100,2,0),"")</f>
        <v/>
      </c>
      <c r="BH3525" s="66"/>
    </row>
    <row r="3526" customFormat="false" ht="15" hidden="true" customHeight="false" outlineLevel="0" collapsed="false">
      <c r="BB3526" s="72" t="str">
        <f aca="false">IF(BA3526&lt;&gt;"",VLOOKUP(BA3526,Selects!$B$4:$C$100,2,0),"")</f>
        <v/>
      </c>
      <c r="BH3526" s="66"/>
    </row>
    <row r="3527" customFormat="false" ht="15" hidden="true" customHeight="false" outlineLevel="0" collapsed="false">
      <c r="BB3527" s="72" t="str">
        <f aca="false">IF(BA3527&lt;&gt;"",VLOOKUP(BA3527,Selects!$B$4:$C$100,2,0),"")</f>
        <v/>
      </c>
      <c r="BH3527" s="66"/>
    </row>
    <row r="3528" customFormat="false" ht="15" hidden="true" customHeight="false" outlineLevel="0" collapsed="false">
      <c r="BB3528" s="72" t="str">
        <f aca="false">IF(BA3528&lt;&gt;"",VLOOKUP(BA3528,Selects!$B$4:$C$100,2,0),"")</f>
        <v/>
      </c>
      <c r="BH3528" s="66"/>
    </row>
    <row r="3529" customFormat="false" ht="15" hidden="true" customHeight="false" outlineLevel="0" collapsed="false">
      <c r="BB3529" s="72" t="str">
        <f aca="false">IF(BA3529&lt;&gt;"",VLOOKUP(BA3529,Selects!$B$4:$C$100,2,0),"")</f>
        <v/>
      </c>
      <c r="BH3529" s="66"/>
    </row>
    <row r="3530" customFormat="false" ht="15" hidden="true" customHeight="false" outlineLevel="0" collapsed="false">
      <c r="BB3530" s="72" t="str">
        <f aca="false">IF(BA3530&lt;&gt;"",VLOOKUP(BA3530,Selects!$B$4:$C$100,2,0),"")</f>
        <v/>
      </c>
      <c r="BH3530" s="66"/>
    </row>
    <row r="3531" customFormat="false" ht="15" hidden="true" customHeight="false" outlineLevel="0" collapsed="false">
      <c r="BB3531" s="72" t="str">
        <f aca="false">IF(BA3531&lt;&gt;"",VLOOKUP(BA3531,Selects!$B$4:$C$100,2,0),"")</f>
        <v/>
      </c>
      <c r="BH3531" s="66"/>
    </row>
    <row r="3532" customFormat="false" ht="15" hidden="true" customHeight="false" outlineLevel="0" collapsed="false">
      <c r="BB3532" s="72" t="str">
        <f aca="false">IF(BA3532&lt;&gt;"",VLOOKUP(BA3532,Selects!$B$4:$C$100,2,0),"")</f>
        <v/>
      </c>
      <c r="BH3532" s="66"/>
    </row>
    <row r="3533" customFormat="false" ht="15" hidden="true" customHeight="false" outlineLevel="0" collapsed="false">
      <c r="BB3533" s="72" t="str">
        <f aca="false">IF(BA3533&lt;&gt;"",VLOOKUP(BA3533,Selects!$B$4:$C$100,2,0),"")</f>
        <v/>
      </c>
      <c r="BH3533" s="66"/>
    </row>
    <row r="3534" customFormat="false" ht="15" hidden="true" customHeight="false" outlineLevel="0" collapsed="false">
      <c r="BB3534" s="72" t="str">
        <f aca="false">IF(BA3534&lt;&gt;"",VLOOKUP(BA3534,Selects!$B$4:$C$100,2,0),"")</f>
        <v/>
      </c>
      <c r="BH3534" s="66"/>
    </row>
    <row r="3535" customFormat="false" ht="15" hidden="true" customHeight="false" outlineLevel="0" collapsed="false">
      <c r="BB3535" s="72" t="str">
        <f aca="false">IF(BA3535&lt;&gt;"",VLOOKUP(BA3535,Selects!$B$4:$C$100,2,0),"")</f>
        <v/>
      </c>
      <c r="BH3535" s="66"/>
    </row>
    <row r="3536" customFormat="false" ht="15" hidden="true" customHeight="false" outlineLevel="0" collapsed="false">
      <c r="BB3536" s="72" t="str">
        <f aca="false">IF(BA3536&lt;&gt;"",VLOOKUP(BA3536,Selects!$B$4:$C$100,2,0),"")</f>
        <v/>
      </c>
      <c r="BH3536" s="66"/>
    </row>
    <row r="3537" customFormat="false" ht="15" hidden="true" customHeight="false" outlineLevel="0" collapsed="false">
      <c r="BB3537" s="72" t="str">
        <f aca="false">IF(BA3537&lt;&gt;"",VLOOKUP(BA3537,Selects!$B$4:$C$100,2,0),"")</f>
        <v/>
      </c>
      <c r="BH3537" s="66"/>
    </row>
    <row r="3538" customFormat="false" ht="15" hidden="true" customHeight="false" outlineLevel="0" collapsed="false">
      <c r="BB3538" s="72" t="str">
        <f aca="false">IF(BA3538&lt;&gt;"",VLOOKUP(BA3538,Selects!$B$4:$C$100,2,0),"")</f>
        <v/>
      </c>
      <c r="BH3538" s="66"/>
    </row>
    <row r="3539" customFormat="false" ht="15" hidden="true" customHeight="false" outlineLevel="0" collapsed="false">
      <c r="BB3539" s="72" t="str">
        <f aca="false">IF(BA3539&lt;&gt;"",VLOOKUP(BA3539,Selects!$B$4:$C$100,2,0),"")</f>
        <v/>
      </c>
      <c r="BH3539" s="66"/>
    </row>
    <row r="3540" customFormat="false" ht="15" hidden="true" customHeight="false" outlineLevel="0" collapsed="false">
      <c r="BB3540" s="72" t="str">
        <f aca="false">IF(BA3540&lt;&gt;"",VLOOKUP(BA3540,Selects!$B$4:$C$100,2,0),"")</f>
        <v/>
      </c>
      <c r="BH3540" s="66"/>
    </row>
    <row r="3541" customFormat="false" ht="15" hidden="true" customHeight="false" outlineLevel="0" collapsed="false">
      <c r="BB3541" s="72" t="str">
        <f aca="false">IF(BA3541&lt;&gt;"",VLOOKUP(BA3541,Selects!$B$4:$C$100,2,0),"")</f>
        <v/>
      </c>
      <c r="BH3541" s="66"/>
    </row>
    <row r="3542" customFormat="false" ht="15" hidden="true" customHeight="false" outlineLevel="0" collapsed="false">
      <c r="BB3542" s="72" t="str">
        <f aca="false">IF(BA3542&lt;&gt;"",VLOOKUP(BA3542,Selects!$B$4:$C$100,2,0),"")</f>
        <v/>
      </c>
      <c r="BH3542" s="66"/>
    </row>
    <row r="3543" customFormat="false" ht="15" hidden="true" customHeight="false" outlineLevel="0" collapsed="false">
      <c r="BB3543" s="72" t="str">
        <f aca="false">IF(BA3543&lt;&gt;"",VLOOKUP(BA3543,Selects!$B$4:$C$100,2,0),"")</f>
        <v/>
      </c>
      <c r="BH3543" s="66"/>
    </row>
    <row r="3544" customFormat="false" ht="15" hidden="true" customHeight="false" outlineLevel="0" collapsed="false">
      <c r="BB3544" s="72" t="str">
        <f aca="false">IF(BA3544&lt;&gt;"",VLOOKUP(BA3544,Selects!$B$4:$C$100,2,0),"")</f>
        <v/>
      </c>
      <c r="BH3544" s="66"/>
    </row>
    <row r="3545" customFormat="false" ht="15" hidden="true" customHeight="false" outlineLevel="0" collapsed="false">
      <c r="BB3545" s="72" t="str">
        <f aca="false">IF(BA3545&lt;&gt;"",VLOOKUP(BA3545,Selects!$B$4:$C$100,2,0),"")</f>
        <v/>
      </c>
      <c r="BH3545" s="66"/>
    </row>
    <row r="3546" customFormat="false" ht="15" hidden="true" customHeight="false" outlineLevel="0" collapsed="false">
      <c r="BB3546" s="72" t="str">
        <f aca="false">IF(BA3546&lt;&gt;"",VLOOKUP(BA3546,Selects!$B$4:$C$100,2,0),"")</f>
        <v/>
      </c>
      <c r="BH3546" s="66"/>
    </row>
    <row r="3547" customFormat="false" ht="15" hidden="true" customHeight="false" outlineLevel="0" collapsed="false">
      <c r="BB3547" s="72" t="str">
        <f aca="false">IF(BA3547&lt;&gt;"",VLOOKUP(BA3547,Selects!$B$4:$C$100,2,0),"")</f>
        <v/>
      </c>
      <c r="BH3547" s="66"/>
    </row>
    <row r="3548" customFormat="false" ht="15" hidden="true" customHeight="false" outlineLevel="0" collapsed="false">
      <c r="BB3548" s="72" t="str">
        <f aca="false">IF(BA3548&lt;&gt;"",VLOOKUP(BA3548,Selects!$B$4:$C$100,2,0),"")</f>
        <v/>
      </c>
      <c r="BH3548" s="66"/>
    </row>
    <row r="3549" customFormat="false" ht="15" hidden="true" customHeight="false" outlineLevel="0" collapsed="false">
      <c r="BB3549" s="72" t="str">
        <f aca="false">IF(BA3549&lt;&gt;"",VLOOKUP(BA3549,Selects!$B$4:$C$100,2,0),"")</f>
        <v/>
      </c>
      <c r="BH3549" s="66"/>
    </row>
    <row r="3550" customFormat="false" ht="15" hidden="true" customHeight="false" outlineLevel="0" collapsed="false">
      <c r="BB3550" s="72" t="str">
        <f aca="false">IF(BA3550&lt;&gt;"",VLOOKUP(BA3550,Selects!$B$4:$C$100,2,0),"")</f>
        <v/>
      </c>
      <c r="BH3550" s="66"/>
    </row>
    <row r="3551" customFormat="false" ht="15" hidden="true" customHeight="false" outlineLevel="0" collapsed="false">
      <c r="BB3551" s="72" t="str">
        <f aca="false">IF(BA3551&lt;&gt;"",VLOOKUP(BA3551,Selects!$B$4:$C$100,2,0),"")</f>
        <v/>
      </c>
      <c r="BH3551" s="66"/>
    </row>
    <row r="3552" customFormat="false" ht="15" hidden="true" customHeight="false" outlineLevel="0" collapsed="false">
      <c r="BB3552" s="72" t="str">
        <f aca="false">IF(BA3552&lt;&gt;"",VLOOKUP(BA3552,Selects!$B$4:$C$100,2,0),"")</f>
        <v/>
      </c>
      <c r="BH3552" s="66"/>
    </row>
    <row r="3553" customFormat="false" ht="15" hidden="true" customHeight="false" outlineLevel="0" collapsed="false">
      <c r="BB3553" s="72" t="str">
        <f aca="false">IF(BA3553&lt;&gt;"",VLOOKUP(BA3553,Selects!$B$4:$C$100,2,0),"")</f>
        <v/>
      </c>
      <c r="BH3553" s="66"/>
    </row>
    <row r="3554" customFormat="false" ht="15" hidden="true" customHeight="false" outlineLevel="0" collapsed="false">
      <c r="BB3554" s="72" t="str">
        <f aca="false">IF(BA3554&lt;&gt;"",VLOOKUP(BA3554,Selects!$B$4:$C$100,2,0),"")</f>
        <v/>
      </c>
      <c r="BH3554" s="66"/>
    </row>
    <row r="3555" customFormat="false" ht="15" hidden="true" customHeight="false" outlineLevel="0" collapsed="false">
      <c r="BB3555" s="72" t="str">
        <f aca="false">IF(BA3555&lt;&gt;"",VLOOKUP(BA3555,Selects!$B$4:$C$100,2,0),"")</f>
        <v/>
      </c>
      <c r="BH3555" s="66"/>
    </row>
    <row r="3556" customFormat="false" ht="15" hidden="true" customHeight="false" outlineLevel="0" collapsed="false">
      <c r="BB3556" s="72" t="str">
        <f aca="false">IF(BA3556&lt;&gt;"",VLOOKUP(BA3556,Selects!$B$4:$C$100,2,0),"")</f>
        <v/>
      </c>
      <c r="BH3556" s="66"/>
    </row>
    <row r="3557" customFormat="false" ht="15" hidden="true" customHeight="false" outlineLevel="0" collapsed="false">
      <c r="BB3557" s="72" t="str">
        <f aca="false">IF(BA3557&lt;&gt;"",VLOOKUP(BA3557,Selects!$B$4:$C$100,2,0),"")</f>
        <v/>
      </c>
      <c r="BH3557" s="66"/>
    </row>
    <row r="3558" customFormat="false" ht="15" hidden="true" customHeight="false" outlineLevel="0" collapsed="false">
      <c r="BB3558" s="72" t="str">
        <f aca="false">IF(BA3558&lt;&gt;"",VLOOKUP(BA3558,Selects!$B$4:$C$100,2,0),"")</f>
        <v/>
      </c>
      <c r="BH3558" s="66"/>
    </row>
    <row r="3559" customFormat="false" ht="15" hidden="true" customHeight="false" outlineLevel="0" collapsed="false">
      <c r="BB3559" s="72" t="str">
        <f aca="false">IF(BA3559&lt;&gt;"",VLOOKUP(BA3559,Selects!$B$4:$C$100,2,0),"")</f>
        <v/>
      </c>
      <c r="BH3559" s="66"/>
    </row>
    <row r="3560" customFormat="false" ht="15" hidden="true" customHeight="false" outlineLevel="0" collapsed="false">
      <c r="BB3560" s="72" t="str">
        <f aca="false">IF(BA3560&lt;&gt;"",VLOOKUP(BA3560,Selects!$B$4:$C$100,2,0),"")</f>
        <v/>
      </c>
      <c r="BH3560" s="66"/>
    </row>
    <row r="3561" customFormat="false" ht="15" hidden="true" customHeight="false" outlineLevel="0" collapsed="false">
      <c r="BB3561" s="72" t="str">
        <f aca="false">IF(BA3561&lt;&gt;"",VLOOKUP(BA3561,Selects!$B$4:$C$100,2,0),"")</f>
        <v/>
      </c>
      <c r="BH3561" s="66"/>
    </row>
    <row r="3562" customFormat="false" ht="15" hidden="true" customHeight="false" outlineLevel="0" collapsed="false">
      <c r="BB3562" s="72" t="str">
        <f aca="false">IF(BA3562&lt;&gt;"",VLOOKUP(BA3562,Selects!$B$4:$C$100,2,0),"")</f>
        <v/>
      </c>
      <c r="BH3562" s="66"/>
    </row>
    <row r="3563" customFormat="false" ht="15" hidden="true" customHeight="false" outlineLevel="0" collapsed="false">
      <c r="BB3563" s="72" t="str">
        <f aca="false">IF(BA3563&lt;&gt;"",VLOOKUP(BA3563,Selects!$B$4:$C$100,2,0),"")</f>
        <v/>
      </c>
      <c r="BH3563" s="66"/>
    </row>
    <row r="3564" customFormat="false" ht="15" hidden="true" customHeight="false" outlineLevel="0" collapsed="false">
      <c r="BB3564" s="72" t="str">
        <f aca="false">IF(BA3564&lt;&gt;"",VLOOKUP(BA3564,Selects!$B$4:$C$100,2,0),"")</f>
        <v/>
      </c>
      <c r="BH3564" s="66"/>
    </row>
    <row r="3565" customFormat="false" ht="15" hidden="true" customHeight="false" outlineLevel="0" collapsed="false">
      <c r="BB3565" s="72" t="str">
        <f aca="false">IF(BA3565&lt;&gt;"",VLOOKUP(BA3565,Selects!$B$4:$C$100,2,0),"")</f>
        <v/>
      </c>
      <c r="BH3565" s="66"/>
    </row>
    <row r="3566" customFormat="false" ht="15" hidden="true" customHeight="false" outlineLevel="0" collapsed="false">
      <c r="BB3566" s="72" t="str">
        <f aca="false">IF(BA3566&lt;&gt;"",VLOOKUP(BA3566,Selects!$B$4:$C$100,2,0),"")</f>
        <v/>
      </c>
      <c r="BH3566" s="66"/>
    </row>
    <row r="3567" customFormat="false" ht="15" hidden="true" customHeight="false" outlineLevel="0" collapsed="false">
      <c r="BB3567" s="72" t="str">
        <f aca="false">IF(BA3567&lt;&gt;"",VLOOKUP(BA3567,Selects!$B$4:$C$100,2,0),"")</f>
        <v/>
      </c>
      <c r="BH3567" s="66"/>
    </row>
    <row r="3568" customFormat="false" ht="15" hidden="true" customHeight="false" outlineLevel="0" collapsed="false">
      <c r="BB3568" s="72" t="str">
        <f aca="false">IF(BA3568&lt;&gt;"",VLOOKUP(BA3568,Selects!$B$4:$C$100,2,0),"")</f>
        <v/>
      </c>
      <c r="BH3568" s="66"/>
    </row>
    <row r="3569" customFormat="false" ht="15" hidden="true" customHeight="false" outlineLevel="0" collapsed="false">
      <c r="BB3569" s="72" t="str">
        <f aca="false">IF(BA3569&lt;&gt;"",VLOOKUP(BA3569,Selects!$B$4:$C$100,2,0),"")</f>
        <v/>
      </c>
      <c r="BH3569" s="66"/>
    </row>
    <row r="3570" customFormat="false" ht="15" hidden="true" customHeight="false" outlineLevel="0" collapsed="false">
      <c r="BB3570" s="72" t="str">
        <f aca="false">IF(BA3570&lt;&gt;"",VLOOKUP(BA3570,Selects!$B$4:$C$100,2,0),"")</f>
        <v/>
      </c>
      <c r="BH3570" s="66"/>
    </row>
    <row r="3571" customFormat="false" ht="15" hidden="true" customHeight="false" outlineLevel="0" collapsed="false">
      <c r="BB3571" s="72" t="str">
        <f aca="false">IF(BA3571&lt;&gt;"",VLOOKUP(BA3571,Selects!$B$4:$C$100,2,0),"")</f>
        <v/>
      </c>
      <c r="BH3571" s="66"/>
    </row>
    <row r="3572" customFormat="false" ht="15" hidden="true" customHeight="false" outlineLevel="0" collapsed="false">
      <c r="BB3572" s="72" t="str">
        <f aca="false">IF(BA3572&lt;&gt;"",VLOOKUP(BA3572,Selects!$B$4:$C$100,2,0),"")</f>
        <v/>
      </c>
      <c r="BH3572" s="66"/>
    </row>
    <row r="3573" customFormat="false" ht="15" hidden="true" customHeight="false" outlineLevel="0" collapsed="false">
      <c r="BB3573" s="72" t="str">
        <f aca="false">IF(BA3573&lt;&gt;"",VLOOKUP(BA3573,Selects!$B$4:$C$100,2,0),"")</f>
        <v/>
      </c>
      <c r="BH3573" s="66"/>
    </row>
    <row r="3574" customFormat="false" ht="15" hidden="true" customHeight="false" outlineLevel="0" collapsed="false">
      <c r="BB3574" s="72" t="str">
        <f aca="false">IF(BA3574&lt;&gt;"",VLOOKUP(BA3574,Selects!$B$4:$C$100,2,0),"")</f>
        <v/>
      </c>
      <c r="BH3574" s="66"/>
    </row>
    <row r="3575" customFormat="false" ht="15" hidden="true" customHeight="false" outlineLevel="0" collapsed="false">
      <c r="BB3575" s="72" t="str">
        <f aca="false">IF(BA3575&lt;&gt;"",VLOOKUP(BA3575,Selects!$B$4:$C$100,2,0),"")</f>
        <v/>
      </c>
      <c r="BH3575" s="66"/>
    </row>
    <row r="3576" customFormat="false" ht="15" hidden="true" customHeight="false" outlineLevel="0" collapsed="false">
      <c r="BB3576" s="72" t="str">
        <f aca="false">IF(BA3576&lt;&gt;"",VLOOKUP(BA3576,Selects!$B$4:$C$100,2,0),"")</f>
        <v/>
      </c>
      <c r="BH3576" s="66"/>
    </row>
    <row r="3577" customFormat="false" ht="15" hidden="true" customHeight="false" outlineLevel="0" collapsed="false">
      <c r="BB3577" s="72" t="str">
        <f aca="false">IF(BA3577&lt;&gt;"",VLOOKUP(BA3577,Selects!$B$4:$C$100,2,0),"")</f>
        <v/>
      </c>
      <c r="BH3577" s="66"/>
    </row>
    <row r="3578" customFormat="false" ht="15" hidden="true" customHeight="false" outlineLevel="0" collapsed="false">
      <c r="BB3578" s="72" t="str">
        <f aca="false">IF(BA3578&lt;&gt;"",VLOOKUP(BA3578,Selects!$B$4:$C$100,2,0),"")</f>
        <v/>
      </c>
      <c r="BH3578" s="66"/>
    </row>
    <row r="3579" customFormat="false" ht="15" hidden="true" customHeight="false" outlineLevel="0" collapsed="false">
      <c r="BB3579" s="72" t="str">
        <f aca="false">IF(BA3579&lt;&gt;"",VLOOKUP(BA3579,Selects!$B$4:$C$100,2,0),"")</f>
        <v/>
      </c>
      <c r="BH3579" s="66"/>
    </row>
    <row r="3580" customFormat="false" ht="15" hidden="true" customHeight="false" outlineLevel="0" collapsed="false">
      <c r="BB3580" s="72" t="str">
        <f aca="false">IF(BA3580&lt;&gt;"",VLOOKUP(BA3580,Selects!$B$4:$C$100,2,0),"")</f>
        <v/>
      </c>
      <c r="BH3580" s="66"/>
    </row>
    <row r="3581" customFormat="false" ht="15" hidden="true" customHeight="false" outlineLevel="0" collapsed="false">
      <c r="BB3581" s="72" t="str">
        <f aca="false">IF(BA3581&lt;&gt;"",VLOOKUP(BA3581,Selects!$B$4:$C$100,2,0),"")</f>
        <v/>
      </c>
      <c r="BH3581" s="66"/>
    </row>
    <row r="3582" customFormat="false" ht="15" hidden="true" customHeight="false" outlineLevel="0" collapsed="false">
      <c r="BB3582" s="72" t="str">
        <f aca="false">IF(BA3582&lt;&gt;"",VLOOKUP(BA3582,Selects!$B$4:$C$100,2,0),"")</f>
        <v/>
      </c>
      <c r="BH3582" s="66"/>
    </row>
    <row r="3583" customFormat="false" ht="15" hidden="true" customHeight="false" outlineLevel="0" collapsed="false">
      <c r="BB3583" s="72" t="str">
        <f aca="false">IF(BA3583&lt;&gt;"",VLOOKUP(BA3583,Selects!$B$4:$C$100,2,0),"")</f>
        <v/>
      </c>
      <c r="BH3583" s="66"/>
    </row>
    <row r="3584" customFormat="false" ht="15" hidden="true" customHeight="false" outlineLevel="0" collapsed="false">
      <c r="BB3584" s="72" t="str">
        <f aca="false">IF(BA3584&lt;&gt;"",VLOOKUP(BA3584,Selects!$B$4:$C$100,2,0),"")</f>
        <v/>
      </c>
      <c r="BH3584" s="66"/>
    </row>
    <row r="3585" customFormat="false" ht="15" hidden="true" customHeight="false" outlineLevel="0" collapsed="false">
      <c r="BB3585" s="72" t="str">
        <f aca="false">IF(BA3585&lt;&gt;"",VLOOKUP(BA3585,Selects!$B$4:$C$100,2,0),"")</f>
        <v/>
      </c>
      <c r="BH3585" s="66"/>
    </row>
    <row r="3586" customFormat="false" ht="15" hidden="true" customHeight="false" outlineLevel="0" collapsed="false">
      <c r="BB3586" s="72" t="str">
        <f aca="false">IF(BA3586&lt;&gt;"",VLOOKUP(BA3586,Selects!$B$4:$C$100,2,0),"")</f>
        <v/>
      </c>
      <c r="BH3586" s="66"/>
    </row>
    <row r="3587" customFormat="false" ht="15" hidden="true" customHeight="false" outlineLevel="0" collapsed="false">
      <c r="BB3587" s="72" t="str">
        <f aca="false">IF(BA3587&lt;&gt;"",VLOOKUP(BA3587,Selects!$B$4:$C$100,2,0),"")</f>
        <v/>
      </c>
      <c r="BH3587" s="66"/>
    </row>
    <row r="3588" customFormat="false" ht="15" hidden="true" customHeight="false" outlineLevel="0" collapsed="false">
      <c r="BB3588" s="72" t="str">
        <f aca="false">IF(BA3588&lt;&gt;"",VLOOKUP(BA3588,Selects!$B$4:$C$100,2,0),"")</f>
        <v/>
      </c>
      <c r="BH3588" s="66"/>
    </row>
    <row r="3589" customFormat="false" ht="15" hidden="true" customHeight="false" outlineLevel="0" collapsed="false">
      <c r="BB3589" s="72" t="str">
        <f aca="false">IF(BA3589&lt;&gt;"",VLOOKUP(BA3589,Selects!$B$4:$C$100,2,0),"")</f>
        <v/>
      </c>
      <c r="BH3589" s="66"/>
    </row>
    <row r="3590" customFormat="false" ht="15" hidden="true" customHeight="false" outlineLevel="0" collapsed="false">
      <c r="BB3590" s="72" t="str">
        <f aca="false">IF(BA3590&lt;&gt;"",VLOOKUP(BA3590,Selects!$B$4:$C$100,2,0),"")</f>
        <v/>
      </c>
      <c r="BH3590" s="66"/>
    </row>
    <row r="3591" customFormat="false" ht="15" hidden="true" customHeight="false" outlineLevel="0" collapsed="false">
      <c r="BB3591" s="72" t="str">
        <f aca="false">IF(BA3591&lt;&gt;"",VLOOKUP(BA3591,Selects!$B$4:$C$100,2,0),"")</f>
        <v/>
      </c>
      <c r="BH3591" s="66"/>
    </row>
    <row r="3592" customFormat="false" ht="15" hidden="true" customHeight="false" outlineLevel="0" collapsed="false">
      <c r="BB3592" s="72" t="str">
        <f aca="false">IF(BA3592&lt;&gt;"",VLOOKUP(BA3592,Selects!$B$4:$C$100,2,0),"")</f>
        <v/>
      </c>
      <c r="BH3592" s="66"/>
    </row>
    <row r="3593" customFormat="false" ht="15" hidden="true" customHeight="false" outlineLevel="0" collapsed="false">
      <c r="BB3593" s="72" t="str">
        <f aca="false">IF(BA3593&lt;&gt;"",VLOOKUP(BA3593,Selects!$B$4:$C$100,2,0),"")</f>
        <v/>
      </c>
      <c r="BH3593" s="66"/>
    </row>
    <row r="3594" customFormat="false" ht="15" hidden="true" customHeight="false" outlineLevel="0" collapsed="false">
      <c r="BB3594" s="72" t="str">
        <f aca="false">IF(BA3594&lt;&gt;"",VLOOKUP(BA3594,Selects!$B$4:$C$100,2,0),"")</f>
        <v/>
      </c>
      <c r="BH3594" s="66"/>
    </row>
    <row r="3595" customFormat="false" ht="15" hidden="true" customHeight="false" outlineLevel="0" collapsed="false">
      <c r="BB3595" s="72" t="str">
        <f aca="false">IF(BA3595&lt;&gt;"",VLOOKUP(BA3595,Selects!$B$4:$C$100,2,0),"")</f>
        <v/>
      </c>
      <c r="BH3595" s="66"/>
    </row>
    <row r="3596" customFormat="false" ht="15" hidden="true" customHeight="false" outlineLevel="0" collapsed="false">
      <c r="BB3596" s="72" t="str">
        <f aca="false">IF(BA3596&lt;&gt;"",VLOOKUP(BA3596,Selects!$B$4:$C$100,2,0),"")</f>
        <v/>
      </c>
      <c r="BH3596" s="66"/>
    </row>
    <row r="3597" customFormat="false" ht="15" hidden="true" customHeight="false" outlineLevel="0" collapsed="false">
      <c r="BB3597" s="72" t="str">
        <f aca="false">IF(BA3597&lt;&gt;"",VLOOKUP(BA3597,Selects!$B$4:$C$100,2,0),"")</f>
        <v/>
      </c>
      <c r="BH3597" s="66"/>
    </row>
    <row r="3598" customFormat="false" ht="15" hidden="true" customHeight="false" outlineLevel="0" collapsed="false">
      <c r="BB3598" s="72" t="str">
        <f aca="false">IF(BA3598&lt;&gt;"",VLOOKUP(BA3598,Selects!$B$4:$C$100,2,0),"")</f>
        <v/>
      </c>
      <c r="BH3598" s="66"/>
    </row>
    <row r="3599" customFormat="false" ht="15" hidden="true" customHeight="false" outlineLevel="0" collapsed="false">
      <c r="BB3599" s="72" t="str">
        <f aca="false">IF(BA3599&lt;&gt;"",VLOOKUP(BA3599,Selects!$B$4:$C$100,2,0),"")</f>
        <v/>
      </c>
      <c r="BH3599" s="66"/>
    </row>
    <row r="3600" customFormat="false" ht="15" hidden="true" customHeight="false" outlineLevel="0" collapsed="false">
      <c r="BB3600" s="72" t="str">
        <f aca="false">IF(BA3600&lt;&gt;"",VLOOKUP(BA3600,Selects!$B$4:$C$100,2,0),"")</f>
        <v/>
      </c>
      <c r="BH3600" s="66"/>
    </row>
    <row r="3601" customFormat="false" ht="15" hidden="true" customHeight="false" outlineLevel="0" collapsed="false">
      <c r="BB3601" s="72" t="str">
        <f aca="false">IF(BA3601&lt;&gt;"",VLOOKUP(BA3601,Selects!$B$4:$C$100,2,0),"")</f>
        <v/>
      </c>
      <c r="BH3601" s="66"/>
    </row>
    <row r="3602" customFormat="false" ht="15" hidden="true" customHeight="false" outlineLevel="0" collapsed="false">
      <c r="BB3602" s="72" t="str">
        <f aca="false">IF(BA3602&lt;&gt;"",VLOOKUP(BA3602,Selects!$B$4:$C$100,2,0),"")</f>
        <v/>
      </c>
      <c r="BH3602" s="66"/>
    </row>
    <row r="3603" customFormat="false" ht="15" hidden="true" customHeight="false" outlineLevel="0" collapsed="false">
      <c r="BB3603" s="72" t="str">
        <f aca="false">IF(BA3603&lt;&gt;"",VLOOKUP(BA3603,Selects!$B$4:$C$100,2,0),"")</f>
        <v/>
      </c>
      <c r="BH3603" s="66"/>
    </row>
    <row r="3604" customFormat="false" ht="15" hidden="true" customHeight="false" outlineLevel="0" collapsed="false">
      <c r="BB3604" s="72" t="str">
        <f aca="false">IF(BA3604&lt;&gt;"",VLOOKUP(BA3604,Selects!$B$4:$C$100,2,0),"")</f>
        <v/>
      </c>
      <c r="BH3604" s="66"/>
    </row>
    <row r="3605" customFormat="false" ht="15" hidden="true" customHeight="false" outlineLevel="0" collapsed="false">
      <c r="BB3605" s="72" t="str">
        <f aca="false">IF(BA3605&lt;&gt;"",VLOOKUP(BA3605,Selects!$B$4:$C$100,2,0),"")</f>
        <v/>
      </c>
      <c r="BH3605" s="66"/>
    </row>
    <row r="3606" customFormat="false" ht="15" hidden="true" customHeight="false" outlineLevel="0" collapsed="false">
      <c r="BB3606" s="72" t="str">
        <f aca="false">IF(BA3606&lt;&gt;"",VLOOKUP(BA3606,Selects!$B$4:$C$100,2,0),"")</f>
        <v/>
      </c>
      <c r="BH3606" s="66"/>
    </row>
    <row r="3607" customFormat="false" ht="15" hidden="true" customHeight="false" outlineLevel="0" collapsed="false">
      <c r="BB3607" s="72" t="str">
        <f aca="false">IF(BA3607&lt;&gt;"",VLOOKUP(BA3607,Selects!$B$4:$C$100,2,0),"")</f>
        <v/>
      </c>
      <c r="BH3607" s="66"/>
    </row>
    <row r="3608" customFormat="false" ht="15" hidden="true" customHeight="false" outlineLevel="0" collapsed="false">
      <c r="BB3608" s="72" t="str">
        <f aca="false">IF(BA3608&lt;&gt;"",VLOOKUP(BA3608,Selects!$B$4:$C$100,2,0),"")</f>
        <v/>
      </c>
      <c r="BH3608" s="66"/>
    </row>
    <row r="3609" customFormat="false" ht="15" hidden="true" customHeight="false" outlineLevel="0" collapsed="false">
      <c r="BB3609" s="72" t="str">
        <f aca="false">IF(BA3609&lt;&gt;"",VLOOKUP(BA3609,Selects!$B$4:$C$100,2,0),"")</f>
        <v/>
      </c>
      <c r="BH3609" s="66"/>
    </row>
    <row r="3610" customFormat="false" ht="15" hidden="true" customHeight="false" outlineLevel="0" collapsed="false">
      <c r="BB3610" s="72" t="str">
        <f aca="false">IF(BA3610&lt;&gt;"",VLOOKUP(BA3610,Selects!$B$4:$C$100,2,0),"")</f>
        <v/>
      </c>
      <c r="BH3610" s="66"/>
    </row>
    <row r="3611" customFormat="false" ht="15" hidden="true" customHeight="false" outlineLevel="0" collapsed="false">
      <c r="BB3611" s="72" t="str">
        <f aca="false">IF(BA3611&lt;&gt;"",VLOOKUP(BA3611,Selects!$B$4:$C$100,2,0),"")</f>
        <v/>
      </c>
      <c r="BH3611" s="66"/>
    </row>
    <row r="3612" customFormat="false" ht="15" hidden="true" customHeight="false" outlineLevel="0" collapsed="false">
      <c r="BB3612" s="72" t="str">
        <f aca="false">IF(BA3612&lt;&gt;"",VLOOKUP(BA3612,Selects!$B$4:$C$100,2,0),"")</f>
        <v/>
      </c>
      <c r="BH3612" s="66"/>
    </row>
    <row r="3613" customFormat="false" ht="15" hidden="true" customHeight="false" outlineLevel="0" collapsed="false">
      <c r="BB3613" s="72" t="str">
        <f aca="false">IF(BA3613&lt;&gt;"",VLOOKUP(BA3613,Selects!$B$4:$C$100,2,0),"")</f>
        <v/>
      </c>
      <c r="BH3613" s="66"/>
    </row>
    <row r="3614" customFormat="false" ht="15" hidden="true" customHeight="false" outlineLevel="0" collapsed="false">
      <c r="BB3614" s="72" t="str">
        <f aca="false">IF(BA3614&lt;&gt;"",VLOOKUP(BA3614,Selects!$B$4:$C$100,2,0),"")</f>
        <v/>
      </c>
      <c r="BH3614" s="66"/>
    </row>
    <row r="3615" customFormat="false" ht="15" hidden="true" customHeight="false" outlineLevel="0" collapsed="false">
      <c r="BB3615" s="72" t="str">
        <f aca="false">IF(BA3615&lt;&gt;"",VLOOKUP(BA3615,Selects!$B$4:$C$100,2,0),"")</f>
        <v/>
      </c>
      <c r="BH3615" s="66"/>
    </row>
    <row r="3616" customFormat="false" ht="15" hidden="true" customHeight="false" outlineLevel="0" collapsed="false">
      <c r="BB3616" s="72" t="str">
        <f aca="false">IF(BA3616&lt;&gt;"",VLOOKUP(BA3616,Selects!$B$4:$C$100,2,0),"")</f>
        <v/>
      </c>
      <c r="BH3616" s="66"/>
    </row>
    <row r="3617" customFormat="false" ht="15" hidden="true" customHeight="false" outlineLevel="0" collapsed="false">
      <c r="BB3617" s="72" t="str">
        <f aca="false">IF(BA3617&lt;&gt;"",VLOOKUP(BA3617,Selects!$B$4:$C$100,2,0),"")</f>
        <v/>
      </c>
      <c r="BH3617" s="66"/>
    </row>
    <row r="3618" customFormat="false" ht="15" hidden="true" customHeight="false" outlineLevel="0" collapsed="false">
      <c r="BB3618" s="72" t="str">
        <f aca="false">IF(BA3618&lt;&gt;"",VLOOKUP(BA3618,Selects!$B$4:$C$100,2,0),"")</f>
        <v/>
      </c>
      <c r="BH3618" s="66"/>
    </row>
    <row r="3619" customFormat="false" ht="15" hidden="true" customHeight="false" outlineLevel="0" collapsed="false">
      <c r="BB3619" s="72" t="str">
        <f aca="false">IF(BA3619&lt;&gt;"",VLOOKUP(BA3619,Selects!$B$4:$C$100,2,0),"")</f>
        <v/>
      </c>
      <c r="BH3619" s="66"/>
    </row>
    <row r="3620" customFormat="false" ht="15" hidden="true" customHeight="false" outlineLevel="0" collapsed="false">
      <c r="BB3620" s="72" t="str">
        <f aca="false">IF(BA3620&lt;&gt;"",VLOOKUP(BA3620,Selects!$B$4:$C$100,2,0),"")</f>
        <v/>
      </c>
      <c r="BH3620" s="66"/>
    </row>
    <row r="3621" customFormat="false" ht="15" hidden="true" customHeight="false" outlineLevel="0" collapsed="false">
      <c r="BB3621" s="72" t="str">
        <f aca="false">IF(BA3621&lt;&gt;"",VLOOKUP(BA3621,Selects!$B$4:$C$100,2,0),"")</f>
        <v/>
      </c>
      <c r="BH3621" s="66"/>
    </row>
    <row r="3622" customFormat="false" ht="15" hidden="true" customHeight="false" outlineLevel="0" collapsed="false">
      <c r="BB3622" s="72" t="str">
        <f aca="false">IF(BA3622&lt;&gt;"",VLOOKUP(BA3622,Selects!$B$4:$C$100,2,0),"")</f>
        <v/>
      </c>
      <c r="BH3622" s="66"/>
    </row>
    <row r="3623" customFormat="false" ht="15" hidden="true" customHeight="false" outlineLevel="0" collapsed="false">
      <c r="BB3623" s="72" t="str">
        <f aca="false">IF(BA3623&lt;&gt;"",VLOOKUP(BA3623,Selects!$B$4:$C$100,2,0),"")</f>
        <v/>
      </c>
      <c r="BH3623" s="66"/>
    </row>
    <row r="3624" customFormat="false" ht="15" hidden="true" customHeight="false" outlineLevel="0" collapsed="false">
      <c r="BB3624" s="72" t="str">
        <f aca="false">IF(BA3624&lt;&gt;"",VLOOKUP(BA3624,Selects!$B$4:$C$100,2,0),"")</f>
        <v/>
      </c>
      <c r="BH3624" s="66"/>
    </row>
    <row r="3625" customFormat="false" ht="15" hidden="true" customHeight="false" outlineLevel="0" collapsed="false">
      <c r="BB3625" s="72" t="str">
        <f aca="false">IF(BA3625&lt;&gt;"",VLOOKUP(BA3625,Selects!$B$4:$C$100,2,0),"")</f>
        <v/>
      </c>
      <c r="BH3625" s="66"/>
    </row>
    <row r="3626" customFormat="false" ht="15" hidden="true" customHeight="false" outlineLevel="0" collapsed="false">
      <c r="BB3626" s="72" t="str">
        <f aca="false">IF(BA3626&lt;&gt;"",VLOOKUP(BA3626,Selects!$B$4:$C$100,2,0),"")</f>
        <v/>
      </c>
      <c r="BH3626" s="66"/>
    </row>
    <row r="3627" customFormat="false" ht="15" hidden="true" customHeight="false" outlineLevel="0" collapsed="false">
      <c r="BB3627" s="72" t="str">
        <f aca="false">IF(BA3627&lt;&gt;"",VLOOKUP(BA3627,Selects!$B$4:$C$100,2,0),"")</f>
        <v/>
      </c>
      <c r="BH3627" s="66"/>
    </row>
    <row r="3628" customFormat="false" ht="15" hidden="true" customHeight="false" outlineLevel="0" collapsed="false">
      <c r="BB3628" s="72" t="str">
        <f aca="false">IF(BA3628&lt;&gt;"",VLOOKUP(BA3628,Selects!$B$4:$C$100,2,0),"")</f>
        <v/>
      </c>
      <c r="BH3628" s="66"/>
    </row>
    <row r="3629" customFormat="false" ht="15" hidden="true" customHeight="false" outlineLevel="0" collapsed="false">
      <c r="BB3629" s="72" t="str">
        <f aca="false">IF(BA3629&lt;&gt;"",VLOOKUP(BA3629,Selects!$B$4:$C$100,2,0),"")</f>
        <v/>
      </c>
      <c r="BH3629" s="66"/>
    </row>
    <row r="3630" customFormat="false" ht="15" hidden="true" customHeight="false" outlineLevel="0" collapsed="false">
      <c r="BB3630" s="72" t="str">
        <f aca="false">IF(BA3630&lt;&gt;"",VLOOKUP(BA3630,Selects!$B$4:$C$100,2,0),"")</f>
        <v/>
      </c>
      <c r="BH3630" s="66"/>
    </row>
    <row r="3631" customFormat="false" ht="15" hidden="true" customHeight="false" outlineLevel="0" collapsed="false">
      <c r="BB3631" s="72" t="str">
        <f aca="false">IF(BA3631&lt;&gt;"",VLOOKUP(BA3631,Selects!$B$4:$C$100,2,0),"")</f>
        <v/>
      </c>
      <c r="BH3631" s="66"/>
    </row>
    <row r="3632" customFormat="false" ht="15" hidden="true" customHeight="false" outlineLevel="0" collapsed="false">
      <c r="BB3632" s="72" t="str">
        <f aca="false">IF(BA3632&lt;&gt;"",VLOOKUP(BA3632,Selects!$B$4:$C$100,2,0),"")</f>
        <v/>
      </c>
      <c r="BH3632" s="66"/>
    </row>
    <row r="3633" customFormat="false" ht="15" hidden="true" customHeight="false" outlineLevel="0" collapsed="false">
      <c r="BB3633" s="72" t="str">
        <f aca="false">IF(BA3633&lt;&gt;"",VLOOKUP(BA3633,Selects!$B$4:$C$100,2,0),"")</f>
        <v/>
      </c>
      <c r="BH3633" s="66"/>
    </row>
    <row r="3634" customFormat="false" ht="15" hidden="true" customHeight="false" outlineLevel="0" collapsed="false">
      <c r="BB3634" s="72" t="str">
        <f aca="false">IF(BA3634&lt;&gt;"",VLOOKUP(BA3634,Selects!$B$4:$C$100,2,0),"")</f>
        <v/>
      </c>
      <c r="BH3634" s="66"/>
    </row>
    <row r="3635" customFormat="false" ht="15" hidden="true" customHeight="false" outlineLevel="0" collapsed="false">
      <c r="BB3635" s="72" t="str">
        <f aca="false">IF(BA3635&lt;&gt;"",VLOOKUP(BA3635,Selects!$B$4:$C$100,2,0),"")</f>
        <v/>
      </c>
      <c r="BH3635" s="66"/>
    </row>
    <row r="3636" customFormat="false" ht="15" hidden="true" customHeight="false" outlineLevel="0" collapsed="false">
      <c r="BB3636" s="72" t="str">
        <f aca="false">IF(BA3636&lt;&gt;"",VLOOKUP(BA3636,Selects!$B$4:$C$100,2,0),"")</f>
        <v/>
      </c>
      <c r="BH3636" s="66"/>
    </row>
    <row r="3637" customFormat="false" ht="15" hidden="true" customHeight="false" outlineLevel="0" collapsed="false">
      <c r="BB3637" s="72" t="str">
        <f aca="false">IF(BA3637&lt;&gt;"",VLOOKUP(BA3637,Selects!$B$4:$C$100,2,0),"")</f>
        <v/>
      </c>
      <c r="BH3637" s="66"/>
    </row>
    <row r="3638" customFormat="false" ht="15" hidden="true" customHeight="false" outlineLevel="0" collapsed="false">
      <c r="BB3638" s="72" t="str">
        <f aca="false">IF(BA3638&lt;&gt;"",VLOOKUP(BA3638,Selects!$B$4:$C$100,2,0),"")</f>
        <v/>
      </c>
      <c r="BH3638" s="66"/>
    </row>
    <row r="3639" customFormat="false" ht="15" hidden="true" customHeight="false" outlineLevel="0" collapsed="false">
      <c r="BB3639" s="72" t="str">
        <f aca="false">IF(BA3639&lt;&gt;"",VLOOKUP(BA3639,Selects!$B$4:$C$100,2,0),"")</f>
        <v/>
      </c>
      <c r="BH3639" s="66"/>
    </row>
    <row r="3640" customFormat="false" ht="15" hidden="true" customHeight="false" outlineLevel="0" collapsed="false">
      <c r="BB3640" s="72" t="str">
        <f aca="false">IF(BA3640&lt;&gt;"",VLOOKUP(BA3640,Selects!$B$4:$C$100,2,0),"")</f>
        <v/>
      </c>
      <c r="BH3640" s="66"/>
    </row>
    <row r="3641" customFormat="false" ht="15" hidden="true" customHeight="false" outlineLevel="0" collapsed="false">
      <c r="BB3641" s="72" t="str">
        <f aca="false">IF(BA3641&lt;&gt;"",VLOOKUP(BA3641,Selects!$B$4:$C$100,2,0),"")</f>
        <v/>
      </c>
      <c r="BH3641" s="66"/>
    </row>
    <row r="3642" customFormat="false" ht="15" hidden="true" customHeight="false" outlineLevel="0" collapsed="false">
      <c r="BB3642" s="72" t="str">
        <f aca="false">IF(BA3642&lt;&gt;"",VLOOKUP(BA3642,Selects!$B$4:$C$100,2,0),"")</f>
        <v/>
      </c>
      <c r="BH3642" s="66"/>
    </row>
    <row r="3643" customFormat="false" ht="15" hidden="true" customHeight="false" outlineLevel="0" collapsed="false">
      <c r="BB3643" s="72" t="str">
        <f aca="false">IF(BA3643&lt;&gt;"",VLOOKUP(BA3643,Selects!$B$4:$C$100,2,0),"")</f>
        <v/>
      </c>
      <c r="BH3643" s="66"/>
    </row>
    <row r="3644" customFormat="false" ht="15" hidden="true" customHeight="false" outlineLevel="0" collapsed="false">
      <c r="BB3644" s="72" t="str">
        <f aca="false">IF(BA3644&lt;&gt;"",VLOOKUP(BA3644,Selects!$B$4:$C$100,2,0),"")</f>
        <v/>
      </c>
      <c r="BH3644" s="66"/>
    </row>
    <row r="3645" customFormat="false" ht="15" hidden="true" customHeight="false" outlineLevel="0" collapsed="false">
      <c r="BB3645" s="72" t="str">
        <f aca="false">IF(BA3645&lt;&gt;"",VLOOKUP(BA3645,Selects!$B$4:$C$100,2,0),"")</f>
        <v/>
      </c>
      <c r="BH3645" s="66"/>
    </row>
    <row r="3646" customFormat="false" ht="15" hidden="true" customHeight="false" outlineLevel="0" collapsed="false">
      <c r="BB3646" s="72" t="str">
        <f aca="false">IF(BA3646&lt;&gt;"",VLOOKUP(BA3646,Selects!$B$4:$C$100,2,0),"")</f>
        <v/>
      </c>
      <c r="BH3646" s="66"/>
    </row>
    <row r="3647" customFormat="false" ht="15" hidden="true" customHeight="false" outlineLevel="0" collapsed="false">
      <c r="BB3647" s="72" t="str">
        <f aca="false">IF(BA3647&lt;&gt;"",VLOOKUP(BA3647,Selects!$B$4:$C$100,2,0),"")</f>
        <v/>
      </c>
      <c r="BH3647" s="66"/>
    </row>
    <row r="3648" customFormat="false" ht="15" hidden="true" customHeight="false" outlineLevel="0" collapsed="false">
      <c r="BB3648" s="72" t="str">
        <f aca="false">IF(BA3648&lt;&gt;"",VLOOKUP(BA3648,Selects!$B$4:$C$100,2,0),"")</f>
        <v/>
      </c>
      <c r="BH3648" s="66"/>
    </row>
    <row r="3649" customFormat="false" ht="15" hidden="true" customHeight="false" outlineLevel="0" collapsed="false">
      <c r="BB3649" s="72" t="str">
        <f aca="false">IF(BA3649&lt;&gt;"",VLOOKUP(BA3649,Selects!$B$4:$C$100,2,0),"")</f>
        <v/>
      </c>
      <c r="BH3649" s="66"/>
    </row>
    <row r="3650" customFormat="false" ht="15" hidden="true" customHeight="false" outlineLevel="0" collapsed="false">
      <c r="BB3650" s="72" t="str">
        <f aca="false">IF(BA3650&lt;&gt;"",VLOOKUP(BA3650,Selects!$B$4:$C$100,2,0),"")</f>
        <v/>
      </c>
      <c r="BH3650" s="66"/>
    </row>
    <row r="3651" customFormat="false" ht="15" hidden="true" customHeight="false" outlineLevel="0" collapsed="false">
      <c r="BB3651" s="72" t="str">
        <f aca="false">IF(BA3651&lt;&gt;"",VLOOKUP(BA3651,Selects!$B$4:$C$100,2,0),"")</f>
        <v/>
      </c>
      <c r="BH3651" s="66"/>
    </row>
    <row r="3652" customFormat="false" ht="15" hidden="true" customHeight="false" outlineLevel="0" collapsed="false">
      <c r="BB3652" s="72" t="str">
        <f aca="false">IF(BA3652&lt;&gt;"",VLOOKUP(BA3652,Selects!$B$4:$C$100,2,0),"")</f>
        <v/>
      </c>
      <c r="BH3652" s="66"/>
    </row>
    <row r="3653" customFormat="false" ht="15" hidden="true" customHeight="false" outlineLevel="0" collapsed="false">
      <c r="BB3653" s="72" t="str">
        <f aca="false">IF(BA3653&lt;&gt;"",VLOOKUP(BA3653,Selects!$B$4:$C$100,2,0),"")</f>
        <v/>
      </c>
      <c r="BH3653" s="66"/>
    </row>
    <row r="3654" customFormat="false" ht="15" hidden="true" customHeight="false" outlineLevel="0" collapsed="false">
      <c r="BB3654" s="72" t="str">
        <f aca="false">IF(BA3654&lt;&gt;"",VLOOKUP(BA3654,Selects!$B$4:$C$100,2,0),"")</f>
        <v/>
      </c>
      <c r="BH3654" s="66"/>
    </row>
    <row r="3655" customFormat="false" ht="15" hidden="true" customHeight="false" outlineLevel="0" collapsed="false">
      <c r="BB3655" s="72" t="str">
        <f aca="false">IF(BA3655&lt;&gt;"",VLOOKUP(BA3655,Selects!$B$4:$C$100,2,0),"")</f>
        <v/>
      </c>
      <c r="BH3655" s="66"/>
    </row>
    <row r="3656" customFormat="false" ht="15" hidden="true" customHeight="false" outlineLevel="0" collapsed="false">
      <c r="BB3656" s="72" t="str">
        <f aca="false">IF(BA3656&lt;&gt;"",VLOOKUP(BA3656,Selects!$B$4:$C$100,2,0),"")</f>
        <v/>
      </c>
      <c r="BH3656" s="66"/>
    </row>
    <row r="3657" customFormat="false" ht="15" hidden="true" customHeight="false" outlineLevel="0" collapsed="false">
      <c r="BB3657" s="72" t="str">
        <f aca="false">IF(BA3657&lt;&gt;"",VLOOKUP(BA3657,Selects!$B$4:$C$100,2,0),"")</f>
        <v/>
      </c>
      <c r="BH3657" s="66"/>
    </row>
    <row r="3658" customFormat="false" ht="15" hidden="true" customHeight="false" outlineLevel="0" collapsed="false">
      <c r="BB3658" s="72" t="str">
        <f aca="false">IF(BA3658&lt;&gt;"",VLOOKUP(BA3658,Selects!$B$4:$C$100,2,0),"")</f>
        <v/>
      </c>
      <c r="BH3658" s="66"/>
    </row>
    <row r="3659" customFormat="false" ht="15" hidden="true" customHeight="false" outlineLevel="0" collapsed="false">
      <c r="BB3659" s="72" t="str">
        <f aca="false">IF(BA3659&lt;&gt;"",VLOOKUP(BA3659,Selects!$B$4:$C$100,2,0),"")</f>
        <v/>
      </c>
      <c r="BH3659" s="66"/>
    </row>
    <row r="3660" customFormat="false" ht="15" hidden="true" customHeight="false" outlineLevel="0" collapsed="false">
      <c r="BB3660" s="72" t="str">
        <f aca="false">IF(BA3660&lt;&gt;"",VLOOKUP(BA3660,Selects!$B$4:$C$100,2,0),"")</f>
        <v/>
      </c>
      <c r="BH3660" s="66"/>
    </row>
    <row r="3661" customFormat="false" ht="15" hidden="true" customHeight="false" outlineLevel="0" collapsed="false">
      <c r="BB3661" s="72" t="str">
        <f aca="false">IF(BA3661&lt;&gt;"",VLOOKUP(BA3661,Selects!$B$4:$C$100,2,0),"")</f>
        <v/>
      </c>
      <c r="BH3661" s="66"/>
    </row>
    <row r="3662" customFormat="false" ht="15" hidden="true" customHeight="false" outlineLevel="0" collapsed="false">
      <c r="BB3662" s="72" t="str">
        <f aca="false">IF(BA3662&lt;&gt;"",VLOOKUP(BA3662,Selects!$B$4:$C$100,2,0),"")</f>
        <v/>
      </c>
      <c r="BH3662" s="66"/>
    </row>
    <row r="3663" customFormat="false" ht="15" hidden="true" customHeight="false" outlineLevel="0" collapsed="false">
      <c r="BB3663" s="72" t="str">
        <f aca="false">IF(BA3663&lt;&gt;"",VLOOKUP(BA3663,Selects!$B$4:$C$100,2,0),"")</f>
        <v/>
      </c>
      <c r="BH3663" s="66"/>
    </row>
    <row r="3664" customFormat="false" ht="15" hidden="true" customHeight="false" outlineLevel="0" collapsed="false">
      <c r="BB3664" s="72" t="str">
        <f aca="false">IF(BA3664&lt;&gt;"",VLOOKUP(BA3664,Selects!$B$4:$C$100,2,0),"")</f>
        <v/>
      </c>
      <c r="BH3664" s="66"/>
    </row>
    <row r="3665" customFormat="false" ht="15" hidden="true" customHeight="false" outlineLevel="0" collapsed="false">
      <c r="BB3665" s="72" t="str">
        <f aca="false">IF(BA3665&lt;&gt;"",VLOOKUP(BA3665,Selects!$B$4:$C$100,2,0),"")</f>
        <v/>
      </c>
      <c r="BH3665" s="66"/>
    </row>
    <row r="3666" customFormat="false" ht="15" hidden="true" customHeight="false" outlineLevel="0" collapsed="false">
      <c r="BB3666" s="72" t="str">
        <f aca="false">IF(BA3666&lt;&gt;"",VLOOKUP(BA3666,Selects!$B$4:$C$100,2,0),"")</f>
        <v/>
      </c>
      <c r="BH3666" s="66"/>
    </row>
    <row r="3667" customFormat="false" ht="15" hidden="true" customHeight="false" outlineLevel="0" collapsed="false">
      <c r="BB3667" s="72" t="str">
        <f aca="false">IF(BA3667&lt;&gt;"",VLOOKUP(BA3667,Selects!$B$4:$C$100,2,0),"")</f>
        <v/>
      </c>
      <c r="BH3667" s="66"/>
    </row>
    <row r="3668" customFormat="false" ht="15" hidden="true" customHeight="false" outlineLevel="0" collapsed="false">
      <c r="BB3668" s="72" t="str">
        <f aca="false">IF(BA3668&lt;&gt;"",VLOOKUP(BA3668,Selects!$B$4:$C$100,2,0),"")</f>
        <v/>
      </c>
      <c r="BH3668" s="66"/>
    </row>
    <row r="3669" customFormat="false" ht="15" hidden="true" customHeight="false" outlineLevel="0" collapsed="false">
      <c r="BB3669" s="72" t="str">
        <f aca="false">IF(BA3669&lt;&gt;"",VLOOKUP(BA3669,Selects!$B$4:$C$100,2,0),"")</f>
        <v/>
      </c>
      <c r="BH3669" s="66"/>
    </row>
    <row r="3670" customFormat="false" ht="15" hidden="true" customHeight="false" outlineLevel="0" collapsed="false">
      <c r="BB3670" s="72" t="str">
        <f aca="false">IF(BA3670&lt;&gt;"",VLOOKUP(BA3670,Selects!$B$4:$C$100,2,0),"")</f>
        <v/>
      </c>
      <c r="BH3670" s="66"/>
    </row>
    <row r="3671" customFormat="false" ht="15" hidden="true" customHeight="false" outlineLevel="0" collapsed="false">
      <c r="BB3671" s="72" t="str">
        <f aca="false">IF(BA3671&lt;&gt;"",VLOOKUP(BA3671,Selects!$B$4:$C$100,2,0),"")</f>
        <v/>
      </c>
      <c r="BH3671" s="66"/>
    </row>
    <row r="3672" customFormat="false" ht="15" hidden="true" customHeight="false" outlineLevel="0" collapsed="false">
      <c r="BB3672" s="72" t="str">
        <f aca="false">IF(BA3672&lt;&gt;"",VLOOKUP(BA3672,Selects!$B$4:$C$100,2,0),"")</f>
        <v/>
      </c>
      <c r="BH3672" s="66"/>
    </row>
    <row r="3673" customFormat="false" ht="15" hidden="true" customHeight="false" outlineLevel="0" collapsed="false">
      <c r="BB3673" s="72" t="str">
        <f aca="false">IF(BA3673&lt;&gt;"",VLOOKUP(BA3673,Selects!$B$4:$C$100,2,0),"")</f>
        <v/>
      </c>
      <c r="BH3673" s="66"/>
    </row>
    <row r="3674" customFormat="false" ht="15" hidden="true" customHeight="false" outlineLevel="0" collapsed="false">
      <c r="BB3674" s="72" t="str">
        <f aca="false">IF(BA3674&lt;&gt;"",VLOOKUP(BA3674,Selects!$B$4:$C$100,2,0),"")</f>
        <v/>
      </c>
      <c r="BH3674" s="66"/>
    </row>
    <row r="3675" customFormat="false" ht="15" hidden="true" customHeight="false" outlineLevel="0" collapsed="false">
      <c r="BB3675" s="72" t="str">
        <f aca="false">IF(BA3675&lt;&gt;"",VLOOKUP(BA3675,Selects!$B$4:$C$100,2,0),"")</f>
        <v/>
      </c>
      <c r="BH3675" s="66"/>
    </row>
    <row r="3676" customFormat="false" ht="15" hidden="true" customHeight="false" outlineLevel="0" collapsed="false">
      <c r="BB3676" s="72" t="str">
        <f aca="false">IF(BA3676&lt;&gt;"",VLOOKUP(BA3676,Selects!$B$4:$C$100,2,0),"")</f>
        <v/>
      </c>
      <c r="BH3676" s="66"/>
    </row>
    <row r="3677" customFormat="false" ht="15" hidden="true" customHeight="false" outlineLevel="0" collapsed="false">
      <c r="BB3677" s="72" t="str">
        <f aca="false">IF(BA3677&lt;&gt;"",VLOOKUP(BA3677,Selects!$B$4:$C$100,2,0),"")</f>
        <v/>
      </c>
      <c r="BH3677" s="66"/>
    </row>
    <row r="3678" customFormat="false" ht="15" hidden="true" customHeight="false" outlineLevel="0" collapsed="false">
      <c r="BB3678" s="72" t="str">
        <f aca="false">IF(BA3678&lt;&gt;"",VLOOKUP(BA3678,Selects!$B$4:$C$100,2,0),"")</f>
        <v/>
      </c>
      <c r="BH3678" s="66"/>
    </row>
    <row r="3679" customFormat="false" ht="15" hidden="true" customHeight="false" outlineLevel="0" collapsed="false">
      <c r="BB3679" s="72" t="str">
        <f aca="false">IF(BA3679&lt;&gt;"",VLOOKUP(BA3679,Selects!$B$4:$C$100,2,0),"")</f>
        <v/>
      </c>
      <c r="BH3679" s="66"/>
    </row>
    <row r="3680" customFormat="false" ht="15" hidden="true" customHeight="false" outlineLevel="0" collapsed="false">
      <c r="BB3680" s="72" t="str">
        <f aca="false">IF(BA3680&lt;&gt;"",VLOOKUP(BA3680,Selects!$B$4:$C$100,2,0),"")</f>
        <v/>
      </c>
      <c r="BH3680" s="66"/>
    </row>
    <row r="3681" customFormat="false" ht="15" hidden="true" customHeight="false" outlineLevel="0" collapsed="false">
      <c r="BB3681" s="72" t="str">
        <f aca="false">IF(BA3681&lt;&gt;"",VLOOKUP(BA3681,Selects!$B$4:$C$100,2,0),"")</f>
        <v/>
      </c>
      <c r="BH3681" s="66"/>
    </row>
    <row r="3682" customFormat="false" ht="15" hidden="true" customHeight="false" outlineLevel="0" collapsed="false">
      <c r="BB3682" s="72" t="str">
        <f aca="false">IF(BA3682&lt;&gt;"",VLOOKUP(BA3682,Selects!$B$4:$C$100,2,0),"")</f>
        <v/>
      </c>
      <c r="BH3682" s="66"/>
    </row>
    <row r="3683" customFormat="false" ht="15" hidden="true" customHeight="false" outlineLevel="0" collapsed="false">
      <c r="BB3683" s="72" t="str">
        <f aca="false">IF(BA3683&lt;&gt;"",VLOOKUP(BA3683,Selects!$B$4:$C$100,2,0),"")</f>
        <v/>
      </c>
      <c r="BH3683" s="66"/>
    </row>
    <row r="3684" customFormat="false" ht="15" hidden="true" customHeight="false" outlineLevel="0" collapsed="false">
      <c r="BB3684" s="72" t="str">
        <f aca="false">IF(BA3684&lt;&gt;"",VLOOKUP(BA3684,Selects!$B$4:$C$100,2,0),"")</f>
        <v/>
      </c>
      <c r="BH3684" s="66"/>
    </row>
    <row r="3685" customFormat="false" ht="15" hidden="true" customHeight="false" outlineLevel="0" collapsed="false">
      <c r="BB3685" s="72" t="str">
        <f aca="false">IF(BA3685&lt;&gt;"",VLOOKUP(BA3685,Selects!$B$4:$C$100,2,0),"")</f>
        <v/>
      </c>
      <c r="BH3685" s="66"/>
    </row>
    <row r="3686" customFormat="false" ht="15" hidden="true" customHeight="false" outlineLevel="0" collapsed="false">
      <c r="BB3686" s="72" t="str">
        <f aca="false">IF(BA3686&lt;&gt;"",VLOOKUP(BA3686,Selects!$B$4:$C$100,2,0),"")</f>
        <v/>
      </c>
      <c r="BH3686" s="66"/>
    </row>
    <row r="3687" customFormat="false" ht="15" hidden="true" customHeight="false" outlineLevel="0" collapsed="false">
      <c r="BB3687" s="72" t="str">
        <f aca="false">IF(BA3687&lt;&gt;"",VLOOKUP(BA3687,Selects!$B$4:$C$100,2,0),"")</f>
        <v/>
      </c>
      <c r="BH3687" s="66"/>
    </row>
    <row r="3688" customFormat="false" ht="15" hidden="true" customHeight="false" outlineLevel="0" collapsed="false">
      <c r="BB3688" s="72" t="str">
        <f aca="false">IF(BA3688&lt;&gt;"",VLOOKUP(BA3688,Selects!$B$4:$C$100,2,0),"")</f>
        <v/>
      </c>
      <c r="BH3688" s="66"/>
    </row>
    <row r="3689" customFormat="false" ht="15" hidden="true" customHeight="false" outlineLevel="0" collapsed="false">
      <c r="BB3689" s="72" t="str">
        <f aca="false">IF(BA3689&lt;&gt;"",VLOOKUP(BA3689,Selects!$B$4:$C$100,2,0),"")</f>
        <v/>
      </c>
      <c r="BH3689" s="66"/>
    </row>
    <row r="3690" customFormat="false" ht="15" hidden="true" customHeight="false" outlineLevel="0" collapsed="false">
      <c r="BB3690" s="72" t="str">
        <f aca="false">IF(BA3690&lt;&gt;"",VLOOKUP(BA3690,Selects!$B$4:$C$100,2,0),"")</f>
        <v/>
      </c>
      <c r="BH3690" s="66"/>
    </row>
    <row r="3691" customFormat="false" ht="15" hidden="true" customHeight="false" outlineLevel="0" collapsed="false">
      <c r="BB3691" s="72" t="str">
        <f aca="false">IF(BA3691&lt;&gt;"",VLOOKUP(BA3691,Selects!$B$4:$C$100,2,0),"")</f>
        <v/>
      </c>
      <c r="BH3691" s="66"/>
    </row>
    <row r="3692" customFormat="false" ht="15" hidden="true" customHeight="false" outlineLevel="0" collapsed="false">
      <c r="BB3692" s="72" t="str">
        <f aca="false">IF(BA3692&lt;&gt;"",VLOOKUP(BA3692,Selects!$B$4:$C$100,2,0),"")</f>
        <v/>
      </c>
      <c r="BH3692" s="66"/>
    </row>
    <row r="3693" customFormat="false" ht="15" hidden="true" customHeight="false" outlineLevel="0" collapsed="false">
      <c r="BB3693" s="72" t="str">
        <f aca="false">IF(BA3693&lt;&gt;"",VLOOKUP(BA3693,Selects!$B$4:$C$100,2,0),"")</f>
        <v/>
      </c>
      <c r="BH3693" s="66"/>
    </row>
    <row r="3694" customFormat="false" ht="15" hidden="true" customHeight="false" outlineLevel="0" collapsed="false">
      <c r="BB3694" s="72" t="str">
        <f aca="false">IF(BA3694&lt;&gt;"",VLOOKUP(BA3694,Selects!$B$4:$C$100,2,0),"")</f>
        <v/>
      </c>
      <c r="BH3694" s="66"/>
    </row>
    <row r="3695" customFormat="false" ht="15" hidden="true" customHeight="false" outlineLevel="0" collapsed="false">
      <c r="BB3695" s="72" t="str">
        <f aca="false">IF(BA3695&lt;&gt;"",VLOOKUP(BA3695,Selects!$B$4:$C$100,2,0),"")</f>
        <v/>
      </c>
      <c r="BH3695" s="66"/>
    </row>
    <row r="3696" customFormat="false" ht="15" hidden="true" customHeight="false" outlineLevel="0" collapsed="false">
      <c r="BB3696" s="72" t="str">
        <f aca="false">IF(BA3696&lt;&gt;"",VLOOKUP(BA3696,Selects!$B$4:$C$100,2,0),"")</f>
        <v/>
      </c>
      <c r="BH3696" s="66"/>
    </row>
    <row r="3697" customFormat="false" ht="15" hidden="true" customHeight="false" outlineLevel="0" collapsed="false">
      <c r="BB3697" s="72" t="str">
        <f aca="false">IF(BA3697&lt;&gt;"",VLOOKUP(BA3697,Selects!$B$4:$C$100,2,0),"")</f>
        <v/>
      </c>
      <c r="BH3697" s="66"/>
    </row>
    <row r="3698" customFormat="false" ht="15" hidden="true" customHeight="false" outlineLevel="0" collapsed="false">
      <c r="BB3698" s="72" t="str">
        <f aca="false">IF(BA3698&lt;&gt;"",VLOOKUP(BA3698,Selects!$B$4:$C$100,2,0),"")</f>
        <v/>
      </c>
      <c r="BH3698" s="66"/>
    </row>
    <row r="3699" customFormat="false" ht="15" hidden="true" customHeight="false" outlineLevel="0" collapsed="false">
      <c r="BB3699" s="72" t="str">
        <f aca="false">IF(BA3699&lt;&gt;"",VLOOKUP(BA3699,Selects!$B$4:$C$100,2,0),"")</f>
        <v/>
      </c>
      <c r="BH3699" s="66"/>
    </row>
    <row r="3700" customFormat="false" ht="15" hidden="true" customHeight="false" outlineLevel="0" collapsed="false">
      <c r="BB3700" s="72" t="str">
        <f aca="false">IF(BA3700&lt;&gt;"",VLOOKUP(BA3700,Selects!$B$4:$C$100,2,0),"")</f>
        <v/>
      </c>
      <c r="BH3700" s="66"/>
    </row>
    <row r="3701" customFormat="false" ht="15" hidden="true" customHeight="false" outlineLevel="0" collapsed="false">
      <c r="BB3701" s="72" t="str">
        <f aca="false">IF(BA3701&lt;&gt;"",VLOOKUP(BA3701,Selects!$B$4:$C$100,2,0),"")</f>
        <v/>
      </c>
      <c r="BH3701" s="66"/>
    </row>
    <row r="3702" customFormat="false" ht="15" hidden="true" customHeight="false" outlineLevel="0" collapsed="false">
      <c r="BB3702" s="72" t="str">
        <f aca="false">IF(BA3702&lt;&gt;"",VLOOKUP(BA3702,Selects!$B$4:$C$100,2,0),"")</f>
        <v/>
      </c>
      <c r="BH3702" s="66"/>
    </row>
    <row r="3703" customFormat="false" ht="15" hidden="true" customHeight="false" outlineLevel="0" collapsed="false">
      <c r="BB3703" s="72" t="str">
        <f aca="false">IF(BA3703&lt;&gt;"",VLOOKUP(BA3703,Selects!$B$4:$C$100,2,0),"")</f>
        <v/>
      </c>
      <c r="BH3703" s="66"/>
    </row>
    <row r="3704" customFormat="false" ht="15" hidden="true" customHeight="false" outlineLevel="0" collapsed="false">
      <c r="BB3704" s="72" t="str">
        <f aca="false">IF(BA3704&lt;&gt;"",VLOOKUP(BA3704,Selects!$B$4:$C$100,2,0),"")</f>
        <v/>
      </c>
      <c r="BH3704" s="66"/>
    </row>
    <row r="3705" customFormat="false" ht="15" hidden="true" customHeight="false" outlineLevel="0" collapsed="false">
      <c r="BB3705" s="72" t="str">
        <f aca="false">IF(BA3705&lt;&gt;"",VLOOKUP(BA3705,Selects!$B$4:$C$100,2,0),"")</f>
        <v/>
      </c>
      <c r="BH3705" s="66"/>
    </row>
    <row r="3706" customFormat="false" ht="15" hidden="true" customHeight="false" outlineLevel="0" collapsed="false">
      <c r="BB3706" s="72" t="str">
        <f aca="false">IF(BA3706&lt;&gt;"",VLOOKUP(BA3706,Selects!$B$4:$C$100,2,0),"")</f>
        <v/>
      </c>
      <c r="BH3706" s="66"/>
    </row>
    <row r="3707" customFormat="false" ht="15" hidden="true" customHeight="false" outlineLevel="0" collapsed="false">
      <c r="BB3707" s="72" t="str">
        <f aca="false">IF(BA3707&lt;&gt;"",VLOOKUP(BA3707,Selects!$B$4:$C$100,2,0),"")</f>
        <v/>
      </c>
      <c r="BH3707" s="66"/>
    </row>
    <row r="3708" customFormat="false" ht="15" hidden="true" customHeight="false" outlineLevel="0" collapsed="false">
      <c r="BB3708" s="72" t="str">
        <f aca="false">IF(BA3708&lt;&gt;"",VLOOKUP(BA3708,Selects!$B$4:$C$100,2,0),"")</f>
        <v/>
      </c>
      <c r="BH3708" s="66"/>
    </row>
    <row r="3709" customFormat="false" ht="15" hidden="true" customHeight="false" outlineLevel="0" collapsed="false">
      <c r="BB3709" s="72" t="str">
        <f aca="false">IF(BA3709&lt;&gt;"",VLOOKUP(BA3709,Selects!$B$4:$C$100,2,0),"")</f>
        <v/>
      </c>
      <c r="BH3709" s="66"/>
    </row>
    <row r="3710" customFormat="false" ht="15" hidden="true" customHeight="false" outlineLevel="0" collapsed="false">
      <c r="BB3710" s="72" t="str">
        <f aca="false">IF(BA3710&lt;&gt;"",VLOOKUP(BA3710,Selects!$B$4:$C$100,2,0),"")</f>
        <v/>
      </c>
      <c r="BH3710" s="66"/>
    </row>
    <row r="3711" customFormat="false" ht="15" hidden="true" customHeight="false" outlineLevel="0" collapsed="false">
      <c r="BB3711" s="72" t="str">
        <f aca="false">IF(BA3711&lt;&gt;"",VLOOKUP(BA3711,Selects!$B$4:$C$100,2,0),"")</f>
        <v/>
      </c>
      <c r="BH3711" s="66"/>
    </row>
    <row r="3712" customFormat="false" ht="15" hidden="true" customHeight="false" outlineLevel="0" collapsed="false">
      <c r="BB3712" s="72" t="str">
        <f aca="false">IF(BA3712&lt;&gt;"",VLOOKUP(BA3712,Selects!$B$4:$C$100,2,0),"")</f>
        <v/>
      </c>
      <c r="BH3712" s="66"/>
    </row>
    <row r="3713" customFormat="false" ht="15" hidden="true" customHeight="false" outlineLevel="0" collapsed="false">
      <c r="BB3713" s="72" t="str">
        <f aca="false">IF(BA3713&lt;&gt;"",VLOOKUP(BA3713,Selects!$B$4:$C$100,2,0),"")</f>
        <v/>
      </c>
      <c r="BH3713" s="66"/>
    </row>
    <row r="3714" customFormat="false" ht="15" hidden="true" customHeight="false" outlineLevel="0" collapsed="false">
      <c r="BB3714" s="72" t="str">
        <f aca="false">IF(BA3714&lt;&gt;"",VLOOKUP(BA3714,Selects!$B$4:$C$100,2,0),"")</f>
        <v/>
      </c>
      <c r="BH3714" s="66"/>
    </row>
    <row r="3715" customFormat="false" ht="15" hidden="true" customHeight="false" outlineLevel="0" collapsed="false">
      <c r="BB3715" s="72" t="str">
        <f aca="false">IF(BA3715&lt;&gt;"",VLOOKUP(BA3715,Selects!$B$4:$C$100,2,0),"")</f>
        <v/>
      </c>
      <c r="BH3715" s="66"/>
    </row>
    <row r="3716" customFormat="false" ht="15" hidden="true" customHeight="false" outlineLevel="0" collapsed="false">
      <c r="BB3716" s="72" t="str">
        <f aca="false">IF(BA3716&lt;&gt;"",VLOOKUP(BA3716,Selects!$B$4:$C$100,2,0),"")</f>
        <v/>
      </c>
      <c r="BH3716" s="66"/>
    </row>
    <row r="3717" customFormat="false" ht="15" hidden="true" customHeight="false" outlineLevel="0" collapsed="false">
      <c r="BB3717" s="72" t="str">
        <f aca="false">IF(BA3717&lt;&gt;"",VLOOKUP(BA3717,Selects!$B$4:$C$100,2,0),"")</f>
        <v/>
      </c>
      <c r="BH3717" s="66"/>
    </row>
    <row r="3718" customFormat="false" ht="15" hidden="true" customHeight="false" outlineLevel="0" collapsed="false">
      <c r="BB3718" s="72" t="str">
        <f aca="false">IF(BA3718&lt;&gt;"",VLOOKUP(BA3718,Selects!$B$4:$C$100,2,0),"")</f>
        <v/>
      </c>
      <c r="BH3718" s="66"/>
    </row>
    <row r="3719" customFormat="false" ht="15" hidden="true" customHeight="false" outlineLevel="0" collapsed="false">
      <c r="BB3719" s="72" t="str">
        <f aca="false">IF(BA3719&lt;&gt;"",VLOOKUP(BA3719,Selects!$B$4:$C$100,2,0),"")</f>
        <v/>
      </c>
      <c r="BH3719" s="66"/>
    </row>
    <row r="3720" customFormat="false" ht="15" hidden="true" customHeight="false" outlineLevel="0" collapsed="false">
      <c r="BB3720" s="72" t="str">
        <f aca="false">IF(BA3720&lt;&gt;"",VLOOKUP(BA3720,Selects!$B$4:$C$100,2,0),"")</f>
        <v/>
      </c>
      <c r="BH3720" s="66"/>
    </row>
    <row r="3721" customFormat="false" ht="15" hidden="true" customHeight="false" outlineLevel="0" collapsed="false">
      <c r="BB3721" s="72" t="str">
        <f aca="false">IF(BA3721&lt;&gt;"",VLOOKUP(BA3721,Selects!$B$4:$C$100,2,0),"")</f>
        <v/>
      </c>
      <c r="BH3721" s="66"/>
    </row>
    <row r="3722" customFormat="false" ht="15" hidden="true" customHeight="false" outlineLevel="0" collapsed="false">
      <c r="BB3722" s="72" t="str">
        <f aca="false">IF(BA3722&lt;&gt;"",VLOOKUP(BA3722,Selects!$B$4:$C$100,2,0),"")</f>
        <v/>
      </c>
      <c r="BH3722" s="66"/>
    </row>
    <row r="3723" customFormat="false" ht="15" hidden="true" customHeight="false" outlineLevel="0" collapsed="false">
      <c r="BB3723" s="72" t="str">
        <f aca="false">IF(BA3723&lt;&gt;"",VLOOKUP(BA3723,Selects!$B$4:$C$100,2,0),"")</f>
        <v/>
      </c>
      <c r="BH3723" s="66"/>
    </row>
    <row r="3724" customFormat="false" ht="15" hidden="true" customHeight="false" outlineLevel="0" collapsed="false">
      <c r="BB3724" s="72" t="str">
        <f aca="false">IF(BA3724&lt;&gt;"",VLOOKUP(BA3724,Selects!$B$4:$C$100,2,0),"")</f>
        <v/>
      </c>
      <c r="BH3724" s="66"/>
    </row>
    <row r="3725" customFormat="false" ht="15" hidden="true" customHeight="false" outlineLevel="0" collapsed="false">
      <c r="BB3725" s="72" t="str">
        <f aca="false">IF(BA3725&lt;&gt;"",VLOOKUP(BA3725,Selects!$B$4:$C$100,2,0),"")</f>
        <v/>
      </c>
      <c r="BH3725" s="66"/>
    </row>
    <row r="3726" customFormat="false" ht="15" hidden="true" customHeight="false" outlineLevel="0" collapsed="false">
      <c r="BB3726" s="72" t="str">
        <f aca="false">IF(BA3726&lt;&gt;"",VLOOKUP(BA3726,Selects!$B$4:$C$100,2,0),"")</f>
        <v/>
      </c>
      <c r="BH3726" s="66"/>
    </row>
    <row r="3727" customFormat="false" ht="15" hidden="true" customHeight="false" outlineLevel="0" collapsed="false">
      <c r="BB3727" s="72" t="str">
        <f aca="false">IF(BA3727&lt;&gt;"",VLOOKUP(BA3727,Selects!$B$4:$C$100,2,0),"")</f>
        <v/>
      </c>
      <c r="BH3727" s="66"/>
    </row>
    <row r="3728" customFormat="false" ht="15" hidden="true" customHeight="false" outlineLevel="0" collapsed="false">
      <c r="BB3728" s="72" t="str">
        <f aca="false">IF(BA3728&lt;&gt;"",VLOOKUP(BA3728,Selects!$B$4:$C$100,2,0),"")</f>
        <v/>
      </c>
      <c r="BH3728" s="66"/>
    </row>
    <row r="3729" customFormat="false" ht="15" hidden="true" customHeight="false" outlineLevel="0" collapsed="false">
      <c r="BB3729" s="72" t="str">
        <f aca="false">IF(BA3729&lt;&gt;"",VLOOKUP(BA3729,Selects!$B$4:$C$100,2,0),"")</f>
        <v/>
      </c>
      <c r="BH3729" s="66"/>
    </row>
    <row r="3730" customFormat="false" ht="15" hidden="true" customHeight="false" outlineLevel="0" collapsed="false">
      <c r="BB3730" s="72" t="str">
        <f aca="false">IF(BA3730&lt;&gt;"",VLOOKUP(BA3730,Selects!$B$4:$C$100,2,0),"")</f>
        <v/>
      </c>
      <c r="BH3730" s="66"/>
    </row>
    <row r="3731" customFormat="false" ht="15" hidden="true" customHeight="false" outlineLevel="0" collapsed="false">
      <c r="BB3731" s="72" t="str">
        <f aca="false">IF(BA3731&lt;&gt;"",VLOOKUP(BA3731,Selects!$B$4:$C$100,2,0),"")</f>
        <v/>
      </c>
      <c r="BH3731" s="66"/>
    </row>
    <row r="3732" customFormat="false" ht="15" hidden="true" customHeight="false" outlineLevel="0" collapsed="false">
      <c r="BB3732" s="72" t="str">
        <f aca="false">IF(BA3732&lt;&gt;"",VLOOKUP(BA3732,Selects!$B$4:$C$100,2,0),"")</f>
        <v/>
      </c>
      <c r="BH3732" s="66"/>
    </row>
    <row r="3733" customFormat="false" ht="15" hidden="true" customHeight="false" outlineLevel="0" collapsed="false">
      <c r="BB3733" s="72" t="str">
        <f aca="false">IF(BA3733&lt;&gt;"",VLOOKUP(BA3733,Selects!$B$4:$C$100,2,0),"")</f>
        <v/>
      </c>
      <c r="BH3733" s="66"/>
    </row>
    <row r="3734" customFormat="false" ht="15" hidden="true" customHeight="false" outlineLevel="0" collapsed="false">
      <c r="BB3734" s="72" t="str">
        <f aca="false">IF(BA3734&lt;&gt;"",VLOOKUP(BA3734,Selects!$B$4:$C$100,2,0),"")</f>
        <v/>
      </c>
      <c r="BH3734" s="66"/>
    </row>
    <row r="3735" customFormat="false" ht="15" hidden="true" customHeight="false" outlineLevel="0" collapsed="false">
      <c r="BB3735" s="72" t="str">
        <f aca="false">IF(BA3735&lt;&gt;"",VLOOKUP(BA3735,Selects!$B$4:$C$100,2,0),"")</f>
        <v/>
      </c>
      <c r="BH3735" s="66"/>
    </row>
    <row r="3736" customFormat="false" ht="15" hidden="true" customHeight="false" outlineLevel="0" collapsed="false">
      <c r="BB3736" s="72" t="str">
        <f aca="false">IF(BA3736&lt;&gt;"",VLOOKUP(BA3736,Selects!$B$4:$C$100,2,0),"")</f>
        <v/>
      </c>
      <c r="BH3736" s="66"/>
    </row>
    <row r="3737" customFormat="false" ht="15" hidden="true" customHeight="false" outlineLevel="0" collapsed="false">
      <c r="BB3737" s="72" t="str">
        <f aca="false">IF(BA3737&lt;&gt;"",VLOOKUP(BA3737,Selects!$B$4:$C$100,2,0),"")</f>
        <v/>
      </c>
      <c r="BH3737" s="66"/>
    </row>
    <row r="3738" customFormat="false" ht="15" hidden="true" customHeight="false" outlineLevel="0" collapsed="false">
      <c r="BB3738" s="72" t="str">
        <f aca="false">IF(BA3738&lt;&gt;"",VLOOKUP(BA3738,Selects!$B$4:$C$100,2,0),"")</f>
        <v/>
      </c>
      <c r="BH3738" s="66"/>
    </row>
    <row r="3739" customFormat="false" ht="15" hidden="true" customHeight="false" outlineLevel="0" collapsed="false">
      <c r="BB3739" s="72" t="str">
        <f aca="false">IF(BA3739&lt;&gt;"",VLOOKUP(BA3739,Selects!$B$4:$C$100,2,0),"")</f>
        <v/>
      </c>
      <c r="BH3739" s="66"/>
    </row>
    <row r="3740" customFormat="false" ht="15" hidden="true" customHeight="false" outlineLevel="0" collapsed="false">
      <c r="BB3740" s="72" t="str">
        <f aca="false">IF(BA3740&lt;&gt;"",VLOOKUP(BA3740,Selects!$B$4:$C$100,2,0),"")</f>
        <v/>
      </c>
      <c r="BH3740" s="66"/>
    </row>
    <row r="3741" customFormat="false" ht="15" hidden="true" customHeight="false" outlineLevel="0" collapsed="false">
      <c r="BB3741" s="72" t="str">
        <f aca="false">IF(BA3741&lt;&gt;"",VLOOKUP(BA3741,Selects!$B$4:$C$100,2,0),"")</f>
        <v/>
      </c>
      <c r="BH3741" s="66"/>
    </row>
    <row r="3742" customFormat="false" ht="15" hidden="true" customHeight="false" outlineLevel="0" collapsed="false">
      <c r="BB3742" s="72" t="str">
        <f aca="false">IF(BA3742&lt;&gt;"",VLOOKUP(BA3742,Selects!$B$4:$C$100,2,0),"")</f>
        <v/>
      </c>
      <c r="BH3742" s="66"/>
    </row>
    <row r="3743" customFormat="false" ht="15" hidden="true" customHeight="false" outlineLevel="0" collapsed="false">
      <c r="BB3743" s="72" t="str">
        <f aca="false">IF(BA3743&lt;&gt;"",VLOOKUP(BA3743,Selects!$B$4:$C$100,2,0),"")</f>
        <v/>
      </c>
      <c r="BH3743" s="66"/>
    </row>
    <row r="3744" customFormat="false" ht="15" hidden="true" customHeight="false" outlineLevel="0" collapsed="false">
      <c r="BH3744" s="66"/>
    </row>
    <row r="3745" customFormat="false" ht="15" hidden="true" customHeight="false" outlineLevel="0" collapsed="false">
      <c r="BH3745" s="66"/>
    </row>
    <row r="3746" customFormat="false" ht="15" hidden="true" customHeight="false" outlineLevel="0" collapsed="false">
      <c r="BH3746" s="66"/>
    </row>
    <row r="3747" customFormat="false" ht="15" hidden="true" customHeight="false" outlineLevel="0" collapsed="false">
      <c r="BH3747" s="66"/>
    </row>
    <row r="3748" customFormat="false" ht="15" hidden="true" customHeight="false" outlineLevel="0" collapsed="false">
      <c r="BH3748" s="66"/>
    </row>
    <row r="3749" customFormat="false" ht="15" hidden="true" customHeight="false" outlineLevel="0" collapsed="false">
      <c r="BH3749" s="66"/>
    </row>
    <row r="3750" customFormat="false" ht="15" hidden="true" customHeight="false" outlineLevel="0" collapsed="false">
      <c r="BH3750" s="66"/>
    </row>
    <row r="3751" customFormat="false" ht="15" hidden="true" customHeight="false" outlineLevel="0" collapsed="false">
      <c r="BH3751" s="66"/>
    </row>
    <row r="3752" customFormat="false" ht="15" hidden="true" customHeight="false" outlineLevel="0" collapsed="false">
      <c r="BH3752" s="66"/>
    </row>
    <row r="3753" customFormat="false" ht="15" hidden="true" customHeight="false" outlineLevel="0" collapsed="false">
      <c r="BH3753" s="66"/>
    </row>
    <row r="3754" customFormat="false" ht="15" hidden="true" customHeight="false" outlineLevel="0" collapsed="false">
      <c r="BH3754" s="66"/>
    </row>
    <row r="3755" customFormat="false" ht="15" hidden="true" customHeight="false" outlineLevel="0" collapsed="false">
      <c r="BH3755" s="66"/>
    </row>
    <row r="3756" customFormat="false" ht="15" hidden="true" customHeight="false" outlineLevel="0" collapsed="false">
      <c r="BH3756" s="66"/>
    </row>
    <row r="3757" customFormat="false" ht="15" hidden="true" customHeight="false" outlineLevel="0" collapsed="false">
      <c r="BH3757" s="66"/>
    </row>
    <row r="3758" customFormat="false" ht="15" hidden="true" customHeight="false" outlineLevel="0" collapsed="false">
      <c r="BH3758" s="66"/>
    </row>
    <row r="3759" customFormat="false" ht="15" hidden="true" customHeight="false" outlineLevel="0" collapsed="false">
      <c r="BH3759" s="66"/>
    </row>
    <row r="3760" customFormat="false" ht="15" hidden="true" customHeight="false" outlineLevel="0" collapsed="false">
      <c r="BH3760" s="66"/>
    </row>
    <row r="3761" customFormat="false" ht="15" hidden="true" customHeight="false" outlineLevel="0" collapsed="false">
      <c r="BH3761" s="66"/>
    </row>
    <row r="3762" customFormat="false" ht="15" hidden="true" customHeight="false" outlineLevel="0" collapsed="false">
      <c r="BH3762" s="66"/>
    </row>
    <row r="3763" customFormat="false" ht="15" hidden="true" customHeight="false" outlineLevel="0" collapsed="false">
      <c r="BH3763" s="66"/>
    </row>
    <row r="3764" customFormat="false" ht="15" hidden="true" customHeight="false" outlineLevel="0" collapsed="false">
      <c r="BH3764" s="66"/>
    </row>
    <row r="3765" customFormat="false" ht="15" hidden="true" customHeight="false" outlineLevel="0" collapsed="false">
      <c r="BH3765" s="66"/>
    </row>
    <row r="3766" customFormat="false" ht="15" hidden="true" customHeight="false" outlineLevel="0" collapsed="false">
      <c r="BH3766" s="66"/>
    </row>
    <row r="3767" customFormat="false" ht="15" hidden="true" customHeight="false" outlineLevel="0" collapsed="false">
      <c r="BH3767" s="66"/>
    </row>
    <row r="3768" customFormat="false" ht="15" hidden="true" customHeight="false" outlineLevel="0" collapsed="false">
      <c r="BH3768" s="66"/>
    </row>
    <row r="3769" customFormat="false" ht="15" hidden="true" customHeight="false" outlineLevel="0" collapsed="false">
      <c r="BH3769" s="66"/>
    </row>
    <row r="3770" customFormat="false" ht="15" hidden="true" customHeight="false" outlineLevel="0" collapsed="false">
      <c r="BH3770" s="66"/>
    </row>
    <row r="3771" customFormat="false" ht="15" hidden="true" customHeight="false" outlineLevel="0" collapsed="false">
      <c r="BH3771" s="66"/>
    </row>
    <row r="3772" customFormat="false" ht="15" hidden="true" customHeight="false" outlineLevel="0" collapsed="false">
      <c r="BH3772" s="66"/>
    </row>
    <row r="3773" customFormat="false" ht="15" hidden="true" customHeight="false" outlineLevel="0" collapsed="false">
      <c r="BH3773" s="66"/>
    </row>
    <row r="3774" customFormat="false" ht="15" hidden="true" customHeight="false" outlineLevel="0" collapsed="false">
      <c r="BH3774" s="66"/>
    </row>
    <row r="3775" customFormat="false" ht="15" hidden="true" customHeight="false" outlineLevel="0" collapsed="false">
      <c r="BH3775" s="66"/>
    </row>
    <row r="3776" customFormat="false" ht="15" hidden="true" customHeight="false" outlineLevel="0" collapsed="false">
      <c r="BH3776" s="66"/>
    </row>
    <row r="3777" customFormat="false" ht="15" hidden="true" customHeight="false" outlineLevel="0" collapsed="false">
      <c r="BH3777" s="66"/>
    </row>
    <row r="3778" customFormat="false" ht="15" hidden="true" customHeight="false" outlineLevel="0" collapsed="false">
      <c r="BH3778" s="66"/>
    </row>
    <row r="3779" customFormat="false" ht="15" hidden="true" customHeight="false" outlineLevel="0" collapsed="false">
      <c r="BH3779" s="66"/>
    </row>
    <row r="3780" customFormat="false" ht="15" hidden="true" customHeight="false" outlineLevel="0" collapsed="false">
      <c r="BH3780" s="66"/>
    </row>
    <row r="3781" customFormat="false" ht="15" hidden="true" customHeight="false" outlineLevel="0" collapsed="false">
      <c r="BH3781" s="66"/>
    </row>
    <row r="3782" customFormat="false" ht="15" hidden="true" customHeight="false" outlineLevel="0" collapsed="false">
      <c r="BH3782" s="66"/>
    </row>
    <row r="3783" customFormat="false" ht="15" hidden="true" customHeight="false" outlineLevel="0" collapsed="false">
      <c r="BH3783" s="66"/>
    </row>
    <row r="3784" customFormat="false" ht="15" hidden="true" customHeight="false" outlineLevel="0" collapsed="false">
      <c r="BH3784" s="66"/>
    </row>
    <row r="3785" customFormat="false" ht="15" hidden="true" customHeight="false" outlineLevel="0" collapsed="false">
      <c r="BH3785" s="66"/>
    </row>
    <row r="3786" customFormat="false" ht="15" hidden="true" customHeight="false" outlineLevel="0" collapsed="false">
      <c r="BH3786" s="66"/>
    </row>
    <row r="3787" customFormat="false" ht="15" hidden="true" customHeight="false" outlineLevel="0" collapsed="false">
      <c r="BH3787" s="66"/>
    </row>
    <row r="3788" customFormat="false" ht="15" hidden="true" customHeight="false" outlineLevel="0" collapsed="false">
      <c r="BH3788" s="66"/>
    </row>
    <row r="3789" customFormat="false" ht="15" hidden="true" customHeight="false" outlineLevel="0" collapsed="false">
      <c r="BH3789" s="66"/>
    </row>
    <row r="3790" customFormat="false" ht="15" hidden="true" customHeight="false" outlineLevel="0" collapsed="false">
      <c r="BH3790" s="66"/>
    </row>
    <row r="3791" customFormat="false" ht="15" hidden="true" customHeight="false" outlineLevel="0" collapsed="false">
      <c r="BH3791" s="66"/>
    </row>
    <row r="3792" customFormat="false" ht="15" hidden="true" customHeight="false" outlineLevel="0" collapsed="false">
      <c r="BH3792" s="66"/>
    </row>
    <row r="3793" customFormat="false" ht="15" hidden="true" customHeight="false" outlineLevel="0" collapsed="false">
      <c r="BH3793" s="66"/>
    </row>
    <row r="3794" customFormat="false" ht="15" hidden="true" customHeight="false" outlineLevel="0" collapsed="false">
      <c r="BH3794" s="66"/>
    </row>
    <row r="3795" customFormat="false" ht="15" hidden="true" customHeight="false" outlineLevel="0" collapsed="false">
      <c r="BH3795" s="66"/>
    </row>
    <row r="3796" customFormat="false" ht="15" hidden="true" customHeight="false" outlineLevel="0" collapsed="false">
      <c r="BH3796" s="66"/>
    </row>
    <row r="3797" customFormat="false" ht="15" hidden="true" customHeight="false" outlineLevel="0" collapsed="false">
      <c r="BH3797" s="66"/>
    </row>
    <row r="3798" customFormat="false" ht="15" hidden="true" customHeight="false" outlineLevel="0" collapsed="false">
      <c r="BH3798" s="66"/>
    </row>
    <row r="3799" customFormat="false" ht="15" hidden="true" customHeight="false" outlineLevel="0" collapsed="false">
      <c r="BH3799" s="66"/>
    </row>
    <row r="3800" customFormat="false" ht="15" hidden="true" customHeight="false" outlineLevel="0" collapsed="false">
      <c r="BH3800" s="66"/>
    </row>
    <row r="3801" customFormat="false" ht="15" hidden="true" customHeight="false" outlineLevel="0" collapsed="false">
      <c r="BH3801" s="66"/>
    </row>
    <row r="3802" customFormat="false" ht="15" hidden="true" customHeight="false" outlineLevel="0" collapsed="false">
      <c r="BH3802" s="66"/>
    </row>
    <row r="3803" customFormat="false" ht="15" hidden="true" customHeight="false" outlineLevel="0" collapsed="false">
      <c r="BH3803" s="66"/>
    </row>
    <row r="3804" customFormat="false" ht="15" hidden="true" customHeight="false" outlineLevel="0" collapsed="false">
      <c r="BH3804" s="66"/>
    </row>
    <row r="3805" customFormat="false" ht="15" hidden="true" customHeight="false" outlineLevel="0" collapsed="false">
      <c r="BH3805" s="66"/>
    </row>
    <row r="3806" customFormat="false" ht="15" hidden="true" customHeight="false" outlineLevel="0" collapsed="false">
      <c r="BH3806" s="66"/>
    </row>
    <row r="3807" customFormat="false" ht="15" hidden="true" customHeight="false" outlineLevel="0" collapsed="false">
      <c r="BH3807" s="66"/>
    </row>
    <row r="3808" customFormat="false" ht="15" hidden="true" customHeight="false" outlineLevel="0" collapsed="false">
      <c r="BH3808" s="66"/>
    </row>
    <row r="3809" customFormat="false" ht="15" hidden="true" customHeight="false" outlineLevel="0" collapsed="false">
      <c r="BH3809" s="66"/>
    </row>
    <row r="3810" customFormat="false" ht="15" hidden="true" customHeight="false" outlineLevel="0" collapsed="false">
      <c r="BH3810" s="66"/>
    </row>
    <row r="3811" customFormat="false" ht="15" hidden="true" customHeight="false" outlineLevel="0" collapsed="false">
      <c r="BH3811" s="66"/>
    </row>
    <row r="3812" customFormat="false" ht="15" hidden="true" customHeight="false" outlineLevel="0" collapsed="false">
      <c r="BH3812" s="66"/>
    </row>
    <row r="3813" customFormat="false" ht="15" hidden="true" customHeight="false" outlineLevel="0" collapsed="false">
      <c r="BH3813" s="66"/>
    </row>
    <row r="3814" customFormat="false" ht="15" hidden="true" customHeight="false" outlineLevel="0" collapsed="false">
      <c r="BH3814" s="66"/>
    </row>
    <row r="3815" customFormat="false" ht="15" hidden="true" customHeight="false" outlineLevel="0" collapsed="false">
      <c r="BH3815" s="66"/>
    </row>
    <row r="3816" customFormat="false" ht="15" hidden="true" customHeight="false" outlineLevel="0" collapsed="false">
      <c r="BH3816" s="66"/>
    </row>
    <row r="3817" customFormat="false" ht="15" hidden="true" customHeight="false" outlineLevel="0" collapsed="false">
      <c r="BH3817" s="66"/>
    </row>
    <row r="3818" customFormat="false" ht="15" hidden="true" customHeight="false" outlineLevel="0" collapsed="false">
      <c r="BH3818" s="66"/>
    </row>
    <row r="3819" customFormat="false" ht="15" hidden="true" customHeight="false" outlineLevel="0" collapsed="false">
      <c r="BH3819" s="66"/>
    </row>
    <row r="3820" customFormat="false" ht="15" hidden="true" customHeight="false" outlineLevel="0" collapsed="false">
      <c r="BH3820" s="66"/>
    </row>
    <row r="3821" customFormat="false" ht="15" hidden="true" customHeight="false" outlineLevel="0" collapsed="false">
      <c r="BH3821" s="66"/>
    </row>
    <row r="3822" customFormat="false" ht="15" hidden="true" customHeight="false" outlineLevel="0" collapsed="false">
      <c r="BH3822" s="66"/>
    </row>
    <row r="3823" customFormat="false" ht="15" hidden="true" customHeight="false" outlineLevel="0" collapsed="false">
      <c r="BH3823" s="66"/>
    </row>
    <row r="3824" customFormat="false" ht="15" hidden="true" customHeight="false" outlineLevel="0" collapsed="false">
      <c r="BH3824" s="66"/>
    </row>
    <row r="3825" customFormat="false" ht="15" hidden="true" customHeight="false" outlineLevel="0" collapsed="false">
      <c r="BH3825" s="66"/>
    </row>
    <row r="3826" customFormat="false" ht="15" hidden="true" customHeight="false" outlineLevel="0" collapsed="false">
      <c r="BH3826" s="66"/>
    </row>
    <row r="3827" customFormat="false" ht="15" hidden="true" customHeight="false" outlineLevel="0" collapsed="false">
      <c r="BH3827" s="66"/>
    </row>
    <row r="3828" customFormat="false" ht="15" hidden="true" customHeight="false" outlineLevel="0" collapsed="false">
      <c r="BH3828" s="66"/>
    </row>
    <row r="3829" customFormat="false" ht="15" hidden="true" customHeight="false" outlineLevel="0" collapsed="false">
      <c r="BH3829" s="66"/>
    </row>
    <row r="3830" customFormat="false" ht="15" hidden="true" customHeight="false" outlineLevel="0" collapsed="false">
      <c r="BH3830" s="66"/>
    </row>
    <row r="3831" customFormat="false" ht="15" hidden="true" customHeight="false" outlineLevel="0" collapsed="false">
      <c r="BH3831" s="66"/>
    </row>
    <row r="3832" customFormat="false" ht="15" hidden="true" customHeight="false" outlineLevel="0" collapsed="false">
      <c r="BH3832" s="66"/>
    </row>
    <row r="3833" customFormat="false" ht="15" hidden="true" customHeight="false" outlineLevel="0" collapsed="false">
      <c r="BH3833" s="66"/>
    </row>
    <row r="3834" customFormat="false" ht="15" hidden="true" customHeight="false" outlineLevel="0" collapsed="false">
      <c r="BH3834" s="66"/>
    </row>
    <row r="3835" customFormat="false" ht="15" hidden="true" customHeight="false" outlineLevel="0" collapsed="false">
      <c r="BH3835" s="66"/>
    </row>
    <row r="3836" customFormat="false" ht="15" hidden="true" customHeight="false" outlineLevel="0" collapsed="false">
      <c r="BH3836" s="66"/>
    </row>
    <row r="3837" customFormat="false" ht="15" hidden="true" customHeight="false" outlineLevel="0" collapsed="false">
      <c r="BH3837" s="66"/>
    </row>
    <row r="3838" customFormat="false" ht="15" hidden="true" customHeight="false" outlineLevel="0" collapsed="false">
      <c r="BH3838" s="66"/>
    </row>
    <row r="3839" customFormat="false" ht="15" hidden="true" customHeight="false" outlineLevel="0" collapsed="false">
      <c r="BH3839" s="66"/>
    </row>
    <row r="3840" customFormat="false" ht="15" hidden="true" customHeight="false" outlineLevel="0" collapsed="false">
      <c r="BH3840" s="66"/>
    </row>
    <row r="3841" customFormat="false" ht="15" hidden="true" customHeight="false" outlineLevel="0" collapsed="false">
      <c r="BH3841" s="66"/>
    </row>
    <row r="3842" customFormat="false" ht="15" hidden="true" customHeight="false" outlineLevel="0" collapsed="false">
      <c r="BH3842" s="66"/>
    </row>
    <row r="3843" customFormat="false" ht="15" hidden="true" customHeight="false" outlineLevel="0" collapsed="false">
      <c r="BH3843" s="66"/>
    </row>
    <row r="3844" customFormat="false" ht="15" hidden="true" customHeight="false" outlineLevel="0" collapsed="false">
      <c r="BH3844" s="66"/>
    </row>
    <row r="3845" customFormat="false" ht="15" hidden="true" customHeight="false" outlineLevel="0" collapsed="false">
      <c r="BH3845" s="66"/>
    </row>
    <row r="3846" customFormat="false" ht="15" hidden="true" customHeight="false" outlineLevel="0" collapsed="false">
      <c r="BH3846" s="66"/>
    </row>
    <row r="3847" customFormat="false" ht="15" hidden="true" customHeight="false" outlineLevel="0" collapsed="false">
      <c r="BH3847" s="66"/>
    </row>
    <row r="3848" customFormat="false" ht="15" hidden="true" customHeight="false" outlineLevel="0" collapsed="false">
      <c r="BH3848" s="66"/>
    </row>
    <row r="3849" customFormat="false" ht="15" hidden="true" customHeight="false" outlineLevel="0" collapsed="false">
      <c r="BH3849" s="66"/>
    </row>
    <row r="3850" customFormat="false" ht="15" hidden="true" customHeight="false" outlineLevel="0" collapsed="false">
      <c r="BH3850" s="66"/>
    </row>
    <row r="3851" customFormat="false" ht="15" hidden="true" customHeight="false" outlineLevel="0" collapsed="false">
      <c r="BH3851" s="66"/>
    </row>
    <row r="3852" customFormat="false" ht="15" hidden="true" customHeight="false" outlineLevel="0" collapsed="false">
      <c r="BH3852" s="66"/>
    </row>
    <row r="3853" customFormat="false" ht="15" hidden="true" customHeight="false" outlineLevel="0" collapsed="false">
      <c r="BH3853" s="66"/>
    </row>
    <row r="3854" customFormat="false" ht="15" hidden="true" customHeight="false" outlineLevel="0" collapsed="false">
      <c r="BH3854" s="66"/>
    </row>
    <row r="3855" customFormat="false" ht="15" hidden="true" customHeight="false" outlineLevel="0" collapsed="false">
      <c r="BH3855" s="66"/>
    </row>
    <row r="3856" customFormat="false" ht="15" hidden="true" customHeight="false" outlineLevel="0" collapsed="false">
      <c r="BH3856" s="66"/>
    </row>
    <row r="3857" customFormat="false" ht="15" hidden="true" customHeight="false" outlineLevel="0" collapsed="false">
      <c r="BH3857" s="66"/>
    </row>
    <row r="3858" customFormat="false" ht="15" hidden="true" customHeight="false" outlineLevel="0" collapsed="false">
      <c r="BH3858" s="66"/>
    </row>
    <row r="3859" customFormat="false" ht="15" hidden="true" customHeight="false" outlineLevel="0" collapsed="false">
      <c r="BH3859" s="66"/>
    </row>
    <row r="3860" customFormat="false" ht="15" hidden="true" customHeight="false" outlineLevel="0" collapsed="false">
      <c r="BH3860" s="66"/>
    </row>
    <row r="3861" customFormat="false" ht="15" hidden="true" customHeight="false" outlineLevel="0" collapsed="false">
      <c r="BH3861" s="66"/>
    </row>
    <row r="3862" customFormat="false" ht="15" hidden="true" customHeight="false" outlineLevel="0" collapsed="false">
      <c r="BH3862" s="66"/>
    </row>
    <row r="3863" customFormat="false" ht="15" hidden="true" customHeight="false" outlineLevel="0" collapsed="false">
      <c r="BH3863" s="66"/>
    </row>
    <row r="3864" customFormat="false" ht="15" hidden="true" customHeight="false" outlineLevel="0" collapsed="false">
      <c r="BH3864" s="66"/>
    </row>
    <row r="3865" customFormat="false" ht="15" hidden="true" customHeight="false" outlineLevel="0" collapsed="false">
      <c r="BH3865" s="66"/>
    </row>
    <row r="3866" customFormat="false" ht="15" hidden="true" customHeight="false" outlineLevel="0" collapsed="false">
      <c r="BH3866" s="66"/>
    </row>
    <row r="3867" customFormat="false" ht="15" hidden="true" customHeight="false" outlineLevel="0" collapsed="false">
      <c r="BH3867" s="66"/>
    </row>
    <row r="3868" customFormat="false" ht="15" hidden="true" customHeight="false" outlineLevel="0" collapsed="false">
      <c r="BH3868" s="66"/>
    </row>
    <row r="3869" customFormat="false" ht="15" hidden="true" customHeight="false" outlineLevel="0" collapsed="false">
      <c r="BH3869" s="66"/>
    </row>
    <row r="3870" customFormat="false" ht="15" hidden="true" customHeight="false" outlineLevel="0" collapsed="false">
      <c r="BH3870" s="66"/>
    </row>
    <row r="3871" customFormat="false" ht="15" hidden="true" customHeight="false" outlineLevel="0" collapsed="false">
      <c r="BH3871" s="66"/>
    </row>
    <row r="3872" customFormat="false" ht="15" hidden="true" customHeight="false" outlineLevel="0" collapsed="false">
      <c r="BH3872" s="66"/>
    </row>
    <row r="3873" customFormat="false" ht="15" hidden="true" customHeight="false" outlineLevel="0" collapsed="false">
      <c r="BH3873" s="66"/>
    </row>
    <row r="3874" customFormat="false" ht="15" hidden="true" customHeight="false" outlineLevel="0" collapsed="false">
      <c r="BH3874" s="66"/>
    </row>
    <row r="3875" customFormat="false" ht="15" hidden="true" customHeight="false" outlineLevel="0" collapsed="false">
      <c r="BH3875" s="66"/>
    </row>
    <row r="3876" customFormat="false" ht="15" hidden="true" customHeight="false" outlineLevel="0" collapsed="false">
      <c r="BH3876" s="66"/>
    </row>
    <row r="3877" customFormat="false" ht="15" hidden="true" customHeight="false" outlineLevel="0" collapsed="false">
      <c r="BH3877" s="66"/>
    </row>
    <row r="3878" customFormat="false" ht="15" hidden="true" customHeight="false" outlineLevel="0" collapsed="false">
      <c r="BH3878" s="66"/>
    </row>
    <row r="3879" customFormat="false" ht="15" hidden="true" customHeight="false" outlineLevel="0" collapsed="false">
      <c r="BH3879" s="66"/>
    </row>
    <row r="3880" customFormat="false" ht="15" hidden="true" customHeight="false" outlineLevel="0" collapsed="false">
      <c r="BH3880" s="66"/>
    </row>
    <row r="3881" customFormat="false" ht="15" hidden="true" customHeight="false" outlineLevel="0" collapsed="false">
      <c r="BH3881" s="66"/>
    </row>
    <row r="3882" customFormat="false" ht="15" hidden="true" customHeight="false" outlineLevel="0" collapsed="false">
      <c r="BH3882" s="66"/>
    </row>
    <row r="3883" customFormat="false" ht="15" hidden="true" customHeight="false" outlineLevel="0" collapsed="false">
      <c r="BH3883" s="66"/>
    </row>
    <row r="3884" customFormat="false" ht="15" hidden="true" customHeight="false" outlineLevel="0" collapsed="false">
      <c r="BH3884" s="66"/>
    </row>
    <row r="3885" customFormat="false" ht="15" hidden="true" customHeight="false" outlineLevel="0" collapsed="false">
      <c r="BH3885" s="66"/>
    </row>
    <row r="3886" customFormat="false" ht="15" hidden="true" customHeight="false" outlineLevel="0" collapsed="false">
      <c r="BH3886" s="66"/>
    </row>
    <row r="3887" customFormat="false" ht="15" hidden="true" customHeight="false" outlineLevel="0" collapsed="false">
      <c r="BH3887" s="66"/>
    </row>
    <row r="3888" customFormat="false" ht="15" hidden="true" customHeight="false" outlineLevel="0" collapsed="false">
      <c r="BH3888" s="66"/>
    </row>
    <row r="3889" customFormat="false" ht="15" hidden="true" customHeight="false" outlineLevel="0" collapsed="false">
      <c r="BH3889" s="66"/>
    </row>
    <row r="3890" customFormat="false" ht="15" hidden="true" customHeight="false" outlineLevel="0" collapsed="false">
      <c r="BH3890" s="66"/>
    </row>
    <row r="3891" customFormat="false" ht="15" hidden="true" customHeight="false" outlineLevel="0" collapsed="false">
      <c r="BH3891" s="66"/>
    </row>
    <row r="3892" customFormat="false" ht="15" hidden="true" customHeight="false" outlineLevel="0" collapsed="false">
      <c r="BH3892" s="66"/>
    </row>
    <row r="3893" customFormat="false" ht="15" hidden="true" customHeight="false" outlineLevel="0" collapsed="false">
      <c r="BH3893" s="66"/>
    </row>
    <row r="3894" customFormat="false" ht="15" hidden="true" customHeight="false" outlineLevel="0" collapsed="false">
      <c r="BH3894" s="66"/>
    </row>
    <row r="3895" customFormat="false" ht="15" hidden="true" customHeight="false" outlineLevel="0" collapsed="false">
      <c r="BH3895" s="66"/>
    </row>
    <row r="3896" customFormat="false" ht="15" hidden="true" customHeight="false" outlineLevel="0" collapsed="false">
      <c r="BH3896" s="66"/>
    </row>
    <row r="3897" customFormat="false" ht="15" hidden="true" customHeight="false" outlineLevel="0" collapsed="false">
      <c r="BH3897" s="66"/>
    </row>
    <row r="3898" customFormat="false" ht="15" hidden="true" customHeight="false" outlineLevel="0" collapsed="false">
      <c r="BH3898" s="66"/>
    </row>
    <row r="3899" customFormat="false" ht="15" hidden="true" customHeight="false" outlineLevel="0" collapsed="false">
      <c r="BH3899" s="66"/>
    </row>
    <row r="3900" customFormat="false" ht="15" hidden="true" customHeight="false" outlineLevel="0" collapsed="false">
      <c r="BH3900" s="66"/>
    </row>
    <row r="3901" customFormat="false" ht="15" hidden="true" customHeight="false" outlineLevel="0" collapsed="false">
      <c r="BH3901" s="66"/>
    </row>
    <row r="3902" customFormat="false" ht="15" hidden="true" customHeight="false" outlineLevel="0" collapsed="false">
      <c r="BH3902" s="66"/>
    </row>
    <row r="3903" customFormat="false" ht="15" hidden="true" customHeight="false" outlineLevel="0" collapsed="false">
      <c r="BH3903" s="66"/>
    </row>
    <row r="3904" customFormat="false" ht="15" hidden="true" customHeight="false" outlineLevel="0" collapsed="false">
      <c r="BH3904" s="66"/>
    </row>
    <row r="3905" customFormat="false" ht="15" hidden="true" customHeight="false" outlineLevel="0" collapsed="false">
      <c r="BH3905" s="66"/>
    </row>
    <row r="3906" customFormat="false" ht="15" hidden="true" customHeight="false" outlineLevel="0" collapsed="false">
      <c r="BH3906" s="66"/>
    </row>
    <row r="3907" customFormat="false" ht="15" hidden="true" customHeight="false" outlineLevel="0" collapsed="false">
      <c r="BH3907" s="66"/>
    </row>
    <row r="3908" customFormat="false" ht="15" hidden="true" customHeight="false" outlineLevel="0" collapsed="false">
      <c r="BH3908" s="66"/>
    </row>
    <row r="3909" customFormat="false" ht="15" hidden="true" customHeight="false" outlineLevel="0" collapsed="false">
      <c r="BH3909" s="66"/>
    </row>
    <row r="3910" customFormat="false" ht="15" hidden="true" customHeight="false" outlineLevel="0" collapsed="false">
      <c r="BH3910" s="66"/>
    </row>
    <row r="3911" customFormat="false" ht="15" hidden="true" customHeight="false" outlineLevel="0" collapsed="false">
      <c r="BH3911" s="66"/>
    </row>
    <row r="3912" customFormat="false" ht="15" hidden="true" customHeight="false" outlineLevel="0" collapsed="false">
      <c r="BH3912" s="66"/>
    </row>
    <row r="3913" customFormat="false" ht="15" hidden="true" customHeight="false" outlineLevel="0" collapsed="false">
      <c r="BH3913" s="66"/>
    </row>
    <row r="3914" customFormat="false" ht="15" hidden="true" customHeight="false" outlineLevel="0" collapsed="false">
      <c r="BH3914" s="66"/>
    </row>
    <row r="3915" customFormat="false" ht="15" hidden="true" customHeight="false" outlineLevel="0" collapsed="false">
      <c r="BH3915" s="66"/>
    </row>
    <row r="3916" customFormat="false" ht="15" hidden="true" customHeight="false" outlineLevel="0" collapsed="false">
      <c r="BH3916" s="66"/>
    </row>
    <row r="3917" customFormat="false" ht="15" hidden="true" customHeight="false" outlineLevel="0" collapsed="false">
      <c r="BH3917" s="66"/>
    </row>
    <row r="3918" customFormat="false" ht="15" hidden="true" customHeight="false" outlineLevel="0" collapsed="false">
      <c r="BH3918" s="66"/>
    </row>
    <row r="3919" customFormat="false" ht="15" hidden="true" customHeight="false" outlineLevel="0" collapsed="false">
      <c r="BH3919" s="66"/>
    </row>
    <row r="3920" customFormat="false" ht="15" hidden="true" customHeight="false" outlineLevel="0" collapsed="false">
      <c r="BH3920" s="66"/>
    </row>
    <row r="3921" customFormat="false" ht="15" hidden="true" customHeight="false" outlineLevel="0" collapsed="false">
      <c r="BH3921" s="66"/>
    </row>
    <row r="3922" customFormat="false" ht="15" hidden="true" customHeight="false" outlineLevel="0" collapsed="false">
      <c r="BH3922" s="66"/>
    </row>
    <row r="3923" customFormat="false" ht="15" hidden="true" customHeight="false" outlineLevel="0" collapsed="false">
      <c r="BH3923" s="66"/>
    </row>
    <row r="3924" customFormat="false" ht="15" hidden="true" customHeight="false" outlineLevel="0" collapsed="false">
      <c r="BH3924" s="66"/>
    </row>
    <row r="3925" customFormat="false" ht="15" hidden="true" customHeight="false" outlineLevel="0" collapsed="false">
      <c r="BH3925" s="66"/>
    </row>
    <row r="3926" customFormat="false" ht="15" hidden="true" customHeight="false" outlineLevel="0" collapsed="false">
      <c r="BH3926" s="66"/>
    </row>
    <row r="3927" customFormat="false" ht="15" hidden="true" customHeight="false" outlineLevel="0" collapsed="false">
      <c r="BH3927" s="66"/>
    </row>
    <row r="3928" customFormat="false" ht="15" hidden="true" customHeight="false" outlineLevel="0" collapsed="false">
      <c r="BH3928" s="66"/>
    </row>
    <row r="3929" customFormat="false" ht="15" hidden="true" customHeight="false" outlineLevel="0" collapsed="false">
      <c r="BH3929" s="66"/>
    </row>
    <row r="3930" customFormat="false" ht="15" hidden="true" customHeight="false" outlineLevel="0" collapsed="false">
      <c r="BH3930" s="66"/>
    </row>
    <row r="3931" customFormat="false" ht="15" hidden="true" customHeight="false" outlineLevel="0" collapsed="false">
      <c r="BH3931" s="66"/>
    </row>
    <row r="3932" customFormat="false" ht="15" hidden="true" customHeight="false" outlineLevel="0" collapsed="false">
      <c r="BH3932" s="66"/>
    </row>
    <row r="3933" customFormat="false" ht="15" hidden="true" customHeight="false" outlineLevel="0" collapsed="false">
      <c r="BH3933" s="66"/>
    </row>
    <row r="3934" customFormat="false" ht="15" hidden="true" customHeight="false" outlineLevel="0" collapsed="false">
      <c r="BH3934" s="66"/>
    </row>
    <row r="3935" customFormat="false" ht="15" hidden="true" customHeight="false" outlineLevel="0" collapsed="false">
      <c r="BH3935" s="66"/>
    </row>
    <row r="3936" customFormat="false" ht="15" hidden="true" customHeight="false" outlineLevel="0" collapsed="false">
      <c r="BH3936" s="66"/>
    </row>
    <row r="3937" customFormat="false" ht="15" hidden="true" customHeight="false" outlineLevel="0" collapsed="false">
      <c r="BH3937" s="66"/>
    </row>
    <row r="3938" customFormat="false" ht="15" hidden="true" customHeight="false" outlineLevel="0" collapsed="false">
      <c r="BH3938" s="66"/>
    </row>
    <row r="3939" customFormat="false" ht="15" hidden="true" customHeight="false" outlineLevel="0" collapsed="false">
      <c r="BH3939" s="66"/>
    </row>
    <row r="3940" customFormat="false" ht="15" hidden="true" customHeight="false" outlineLevel="0" collapsed="false">
      <c r="BH3940" s="66"/>
    </row>
    <row r="3941" customFormat="false" ht="15" hidden="true" customHeight="false" outlineLevel="0" collapsed="false">
      <c r="BH3941" s="66"/>
    </row>
    <row r="3942" customFormat="false" ht="15" hidden="true" customHeight="false" outlineLevel="0" collapsed="false">
      <c r="BH3942" s="66"/>
    </row>
    <row r="3943" customFormat="false" ht="15" hidden="true" customHeight="false" outlineLevel="0" collapsed="false">
      <c r="BH3943" s="66"/>
    </row>
    <row r="3944" customFormat="false" ht="15" hidden="true" customHeight="false" outlineLevel="0" collapsed="false">
      <c r="BH3944" s="66"/>
    </row>
    <row r="3945" customFormat="false" ht="15" hidden="true" customHeight="false" outlineLevel="0" collapsed="false">
      <c r="BH3945" s="66"/>
    </row>
    <row r="3946" customFormat="false" ht="15" hidden="true" customHeight="false" outlineLevel="0" collapsed="false">
      <c r="BH3946" s="66"/>
    </row>
    <row r="3947" customFormat="false" ht="15" hidden="true" customHeight="false" outlineLevel="0" collapsed="false">
      <c r="BH3947" s="66"/>
    </row>
    <row r="3948" customFormat="false" ht="15" hidden="true" customHeight="false" outlineLevel="0" collapsed="false">
      <c r="BH3948" s="66"/>
    </row>
    <row r="3949" customFormat="false" ht="15" hidden="true" customHeight="false" outlineLevel="0" collapsed="false">
      <c r="BH3949" s="66"/>
    </row>
    <row r="3950" customFormat="false" ht="15" hidden="true" customHeight="false" outlineLevel="0" collapsed="false">
      <c r="BH3950" s="66"/>
    </row>
    <row r="3951" customFormat="false" ht="15" hidden="true" customHeight="false" outlineLevel="0" collapsed="false">
      <c r="BH3951" s="66"/>
    </row>
    <row r="3952" customFormat="false" ht="15" hidden="true" customHeight="false" outlineLevel="0" collapsed="false">
      <c r="BH3952" s="66"/>
    </row>
    <row r="3953" customFormat="false" ht="15" hidden="true" customHeight="false" outlineLevel="0" collapsed="false">
      <c r="BH3953" s="66"/>
    </row>
    <row r="3954" customFormat="false" ht="15" hidden="true" customHeight="false" outlineLevel="0" collapsed="false">
      <c r="BH3954" s="66"/>
    </row>
    <row r="3955" customFormat="false" ht="15" hidden="true" customHeight="false" outlineLevel="0" collapsed="false">
      <c r="BH3955" s="66"/>
    </row>
    <row r="3956" customFormat="false" ht="15" hidden="true" customHeight="false" outlineLevel="0" collapsed="false">
      <c r="BH3956" s="66"/>
    </row>
    <row r="3957" customFormat="false" ht="15" hidden="true" customHeight="false" outlineLevel="0" collapsed="false">
      <c r="BH3957" s="66"/>
    </row>
    <row r="3958" customFormat="false" ht="15" hidden="true" customHeight="false" outlineLevel="0" collapsed="false">
      <c r="BH3958" s="66"/>
    </row>
    <row r="3959" customFormat="false" ht="15" hidden="true" customHeight="false" outlineLevel="0" collapsed="false">
      <c r="BH3959" s="66"/>
    </row>
    <row r="3960" customFormat="false" ht="15" hidden="true" customHeight="false" outlineLevel="0" collapsed="false">
      <c r="BH3960" s="66"/>
    </row>
    <row r="3961" customFormat="false" ht="15" hidden="true" customHeight="false" outlineLevel="0" collapsed="false">
      <c r="BH3961" s="66"/>
    </row>
    <row r="3962" customFormat="false" ht="15" hidden="true" customHeight="false" outlineLevel="0" collapsed="false">
      <c r="BH3962" s="66"/>
    </row>
    <row r="3963" customFormat="false" ht="15" hidden="true" customHeight="false" outlineLevel="0" collapsed="false">
      <c r="BH3963" s="66"/>
    </row>
    <row r="3964" customFormat="false" ht="15" hidden="true" customHeight="false" outlineLevel="0" collapsed="false">
      <c r="BH3964" s="66"/>
    </row>
    <row r="3965" customFormat="false" ht="15" hidden="true" customHeight="false" outlineLevel="0" collapsed="false">
      <c r="BH3965" s="66"/>
    </row>
    <row r="3966" customFormat="false" ht="15" hidden="true" customHeight="false" outlineLevel="0" collapsed="false">
      <c r="BH3966" s="66"/>
    </row>
    <row r="3967" customFormat="false" ht="15" hidden="true" customHeight="false" outlineLevel="0" collapsed="false">
      <c r="BH3967" s="66"/>
    </row>
    <row r="3968" customFormat="false" ht="15" hidden="true" customHeight="false" outlineLevel="0" collapsed="false">
      <c r="BH3968" s="66"/>
    </row>
    <row r="3969" customFormat="false" ht="15" hidden="true" customHeight="false" outlineLevel="0" collapsed="false">
      <c r="BH3969" s="66"/>
    </row>
    <row r="3970" customFormat="false" ht="15" hidden="true" customHeight="false" outlineLevel="0" collapsed="false">
      <c r="BH3970" s="66"/>
    </row>
    <row r="3971" customFormat="false" ht="15" hidden="true" customHeight="false" outlineLevel="0" collapsed="false">
      <c r="BH3971" s="66"/>
    </row>
    <row r="3972" customFormat="false" ht="15" hidden="true" customHeight="false" outlineLevel="0" collapsed="false">
      <c r="BH3972" s="66"/>
    </row>
    <row r="3973" customFormat="false" ht="15" hidden="true" customHeight="false" outlineLevel="0" collapsed="false">
      <c r="BH3973" s="66"/>
    </row>
    <row r="3974" customFormat="false" ht="15" hidden="true" customHeight="false" outlineLevel="0" collapsed="false">
      <c r="BH3974" s="66"/>
    </row>
    <row r="3975" customFormat="false" ht="15" hidden="true" customHeight="false" outlineLevel="0" collapsed="false">
      <c r="BH3975" s="66"/>
    </row>
    <row r="3976" customFormat="false" ht="15" hidden="true" customHeight="false" outlineLevel="0" collapsed="false">
      <c r="BH3976" s="66"/>
    </row>
    <row r="3977" customFormat="false" ht="15" hidden="true" customHeight="false" outlineLevel="0" collapsed="false">
      <c r="BH3977" s="66"/>
    </row>
    <row r="3978" customFormat="false" ht="15" hidden="true" customHeight="false" outlineLevel="0" collapsed="false">
      <c r="BH3978" s="66"/>
    </row>
    <row r="3979" customFormat="false" ht="15" hidden="true" customHeight="false" outlineLevel="0" collapsed="false">
      <c r="BH3979" s="66"/>
    </row>
    <row r="3980" customFormat="false" ht="15" hidden="true" customHeight="false" outlineLevel="0" collapsed="false">
      <c r="BH3980" s="66"/>
    </row>
    <row r="3981" customFormat="false" ht="15" hidden="true" customHeight="false" outlineLevel="0" collapsed="false">
      <c r="BH3981" s="66"/>
    </row>
    <row r="3982" customFormat="false" ht="15" hidden="true" customHeight="false" outlineLevel="0" collapsed="false">
      <c r="BH3982" s="66"/>
    </row>
    <row r="3983" customFormat="false" ht="15" hidden="true" customHeight="false" outlineLevel="0" collapsed="false">
      <c r="BH3983" s="66"/>
    </row>
    <row r="3984" customFormat="false" ht="15" hidden="true" customHeight="false" outlineLevel="0" collapsed="false">
      <c r="BH3984" s="66"/>
    </row>
    <row r="3985" customFormat="false" ht="15" hidden="true" customHeight="false" outlineLevel="0" collapsed="false">
      <c r="BH3985" s="66"/>
    </row>
    <row r="3986" customFormat="false" ht="15" hidden="true" customHeight="false" outlineLevel="0" collapsed="false">
      <c r="BH3986" s="66"/>
    </row>
    <row r="3987" customFormat="false" ht="15" hidden="true" customHeight="false" outlineLevel="0" collapsed="false">
      <c r="BH3987" s="66"/>
    </row>
    <row r="3988" customFormat="false" ht="15" hidden="true" customHeight="false" outlineLevel="0" collapsed="false">
      <c r="BH3988" s="66"/>
    </row>
    <row r="3989" customFormat="false" ht="15" hidden="true" customHeight="false" outlineLevel="0" collapsed="false">
      <c r="BH3989" s="66"/>
    </row>
    <row r="3990" customFormat="false" ht="15" hidden="true" customHeight="false" outlineLevel="0" collapsed="false">
      <c r="BH3990" s="66"/>
    </row>
    <row r="3991" customFormat="false" ht="15" hidden="true" customHeight="false" outlineLevel="0" collapsed="false">
      <c r="BH3991" s="66"/>
    </row>
    <row r="3992" customFormat="false" ht="15" hidden="true" customHeight="false" outlineLevel="0" collapsed="false">
      <c r="BH3992" s="66"/>
    </row>
    <row r="3993" customFormat="false" ht="15" hidden="true" customHeight="false" outlineLevel="0" collapsed="false">
      <c r="BH3993" s="66"/>
    </row>
    <row r="3994" customFormat="false" ht="15" hidden="true" customHeight="false" outlineLevel="0" collapsed="false">
      <c r="BH3994" s="66"/>
    </row>
    <row r="3995" customFormat="false" ht="15" hidden="true" customHeight="false" outlineLevel="0" collapsed="false">
      <c r="BH3995" s="66"/>
    </row>
    <row r="3996" customFormat="false" ht="15" hidden="true" customHeight="false" outlineLevel="0" collapsed="false">
      <c r="BH3996" s="66"/>
    </row>
    <row r="3997" customFormat="false" ht="15" hidden="true" customHeight="false" outlineLevel="0" collapsed="false">
      <c r="BH3997" s="66"/>
    </row>
    <row r="3998" customFormat="false" ht="15" hidden="true" customHeight="false" outlineLevel="0" collapsed="false">
      <c r="BH3998" s="66"/>
    </row>
    <row r="3999" customFormat="false" ht="15" hidden="true" customHeight="false" outlineLevel="0" collapsed="false">
      <c r="BH3999" s="66"/>
    </row>
    <row r="4000" customFormat="false" ht="15" hidden="true" customHeight="false" outlineLevel="0" collapsed="false">
      <c r="BH4000" s="66"/>
    </row>
    <row r="4001" customFormat="false" ht="15" hidden="true" customHeight="false" outlineLevel="0" collapsed="false">
      <c r="BH4001" s="66"/>
    </row>
    <row r="4002" customFormat="false" ht="15" hidden="true" customHeight="false" outlineLevel="0" collapsed="false">
      <c r="BH4002" s="66"/>
    </row>
    <row r="4003" customFormat="false" ht="15" hidden="true" customHeight="false" outlineLevel="0" collapsed="false">
      <c r="BH4003" s="66"/>
    </row>
    <row r="4004" customFormat="false" ht="15" hidden="true" customHeight="false" outlineLevel="0" collapsed="false">
      <c r="BH4004" s="66"/>
    </row>
    <row r="4005" customFormat="false" ht="15" hidden="true" customHeight="false" outlineLevel="0" collapsed="false">
      <c r="BH4005" s="66"/>
    </row>
    <row r="4006" customFormat="false" ht="15" hidden="true" customHeight="false" outlineLevel="0" collapsed="false">
      <c r="BH4006" s="66"/>
    </row>
    <row r="4007" customFormat="false" ht="15" hidden="true" customHeight="false" outlineLevel="0" collapsed="false">
      <c r="BH4007" s="66"/>
    </row>
    <row r="4008" customFormat="false" ht="15" hidden="true" customHeight="false" outlineLevel="0" collapsed="false">
      <c r="BH4008" s="66"/>
    </row>
    <row r="4009" customFormat="false" ht="15" hidden="true" customHeight="false" outlineLevel="0" collapsed="false">
      <c r="BH4009" s="66"/>
    </row>
    <row r="4010" customFormat="false" ht="15" hidden="true" customHeight="false" outlineLevel="0" collapsed="false">
      <c r="BH4010" s="66"/>
    </row>
    <row r="4011" customFormat="false" ht="15" hidden="true" customHeight="false" outlineLevel="0" collapsed="false">
      <c r="BH4011" s="66"/>
    </row>
    <row r="4012" customFormat="false" ht="15" hidden="true" customHeight="false" outlineLevel="0" collapsed="false">
      <c r="BH4012" s="66"/>
    </row>
    <row r="4013" customFormat="false" ht="15" hidden="true" customHeight="false" outlineLevel="0" collapsed="false">
      <c r="BH4013" s="66"/>
    </row>
    <row r="4014" customFormat="false" ht="15" hidden="true" customHeight="false" outlineLevel="0" collapsed="false">
      <c r="BH4014" s="66"/>
    </row>
    <row r="4015" customFormat="false" ht="15" hidden="true" customHeight="false" outlineLevel="0" collapsed="false">
      <c r="BH4015" s="66"/>
    </row>
    <row r="4016" customFormat="false" ht="15" hidden="true" customHeight="false" outlineLevel="0" collapsed="false">
      <c r="BH4016" s="66"/>
    </row>
    <row r="4017" customFormat="false" ht="15" hidden="true" customHeight="false" outlineLevel="0" collapsed="false">
      <c r="BH4017" s="66"/>
    </row>
    <row r="4018" customFormat="false" ht="15" hidden="true" customHeight="false" outlineLevel="0" collapsed="false">
      <c r="BH4018" s="66"/>
    </row>
    <row r="4019" customFormat="false" ht="15" hidden="true" customHeight="false" outlineLevel="0" collapsed="false">
      <c r="BH4019" s="66"/>
    </row>
    <row r="4020" customFormat="false" ht="15" hidden="true" customHeight="false" outlineLevel="0" collapsed="false">
      <c r="BH4020" s="66"/>
    </row>
    <row r="4021" customFormat="false" ht="15" hidden="true" customHeight="false" outlineLevel="0" collapsed="false">
      <c r="BH4021" s="66"/>
    </row>
    <row r="4022" customFormat="false" ht="15" hidden="true" customHeight="false" outlineLevel="0" collapsed="false">
      <c r="BH4022" s="66"/>
    </row>
    <row r="4023" customFormat="false" ht="15" hidden="true" customHeight="false" outlineLevel="0" collapsed="false">
      <c r="BH4023" s="66"/>
    </row>
    <row r="4024" customFormat="false" ht="15" hidden="true" customHeight="false" outlineLevel="0" collapsed="false">
      <c r="BH4024" s="66"/>
    </row>
    <row r="4025" customFormat="false" ht="15" hidden="true" customHeight="false" outlineLevel="0" collapsed="false">
      <c r="BH4025" s="66"/>
    </row>
    <row r="4026" customFormat="false" ht="15" hidden="true" customHeight="false" outlineLevel="0" collapsed="false">
      <c r="BH4026" s="66"/>
    </row>
    <row r="4027" customFormat="false" ht="15" hidden="true" customHeight="false" outlineLevel="0" collapsed="false">
      <c r="BH4027" s="66"/>
    </row>
    <row r="4028" customFormat="false" ht="15" hidden="true" customHeight="false" outlineLevel="0" collapsed="false">
      <c r="BH4028" s="66"/>
    </row>
    <row r="4029" customFormat="false" ht="15" hidden="true" customHeight="false" outlineLevel="0" collapsed="false">
      <c r="BH4029" s="66"/>
    </row>
    <row r="4030" customFormat="false" ht="15" hidden="true" customHeight="false" outlineLevel="0" collapsed="false">
      <c r="BH4030" s="66"/>
    </row>
    <row r="4031" customFormat="false" ht="15" hidden="true" customHeight="false" outlineLevel="0" collapsed="false">
      <c r="BH4031" s="66"/>
    </row>
    <row r="4032" customFormat="false" ht="15" hidden="true" customHeight="false" outlineLevel="0" collapsed="false">
      <c r="BH4032" s="66"/>
    </row>
    <row r="4033" customFormat="false" ht="15" hidden="true" customHeight="false" outlineLevel="0" collapsed="false">
      <c r="BH4033" s="66"/>
    </row>
    <row r="4034" customFormat="false" ht="15" hidden="true" customHeight="false" outlineLevel="0" collapsed="false">
      <c r="BH4034" s="66"/>
    </row>
    <row r="4035" customFormat="false" ht="15" hidden="true" customHeight="false" outlineLevel="0" collapsed="false">
      <c r="BH4035" s="66"/>
    </row>
    <row r="4036" customFormat="false" ht="15" hidden="true" customHeight="false" outlineLevel="0" collapsed="false">
      <c r="BH4036" s="66"/>
    </row>
    <row r="4037" customFormat="false" ht="15" hidden="true" customHeight="false" outlineLevel="0" collapsed="false">
      <c r="BH4037" s="66"/>
    </row>
    <row r="4038" customFormat="false" ht="15" hidden="true" customHeight="false" outlineLevel="0" collapsed="false">
      <c r="BH4038" s="66"/>
    </row>
    <row r="4039" customFormat="false" ht="15" hidden="true" customHeight="false" outlineLevel="0" collapsed="false">
      <c r="BH4039" s="66"/>
    </row>
    <row r="4040" customFormat="false" ht="15" hidden="true" customHeight="false" outlineLevel="0" collapsed="false">
      <c r="BH4040" s="66"/>
    </row>
    <row r="4041" customFormat="false" ht="15" hidden="true" customHeight="false" outlineLevel="0" collapsed="false">
      <c r="BH4041" s="66"/>
    </row>
    <row r="4042" customFormat="false" ht="15" hidden="true" customHeight="false" outlineLevel="0" collapsed="false">
      <c r="BH4042" s="66"/>
    </row>
    <row r="4043" customFormat="false" ht="15" hidden="true" customHeight="false" outlineLevel="0" collapsed="false">
      <c r="BH4043" s="66"/>
    </row>
    <row r="4044" customFormat="false" ht="15" hidden="true" customHeight="false" outlineLevel="0" collapsed="false">
      <c r="BH4044" s="66"/>
    </row>
    <row r="4045" customFormat="false" ht="15" hidden="true" customHeight="false" outlineLevel="0" collapsed="false">
      <c r="BH4045" s="66"/>
    </row>
    <row r="4046" customFormat="false" ht="15" hidden="true" customHeight="false" outlineLevel="0" collapsed="false">
      <c r="BH4046" s="66"/>
    </row>
    <row r="4047" customFormat="false" ht="15" hidden="true" customHeight="false" outlineLevel="0" collapsed="false">
      <c r="BH4047" s="66"/>
    </row>
    <row r="4048" customFormat="false" ht="15" hidden="true" customHeight="false" outlineLevel="0" collapsed="false">
      <c r="BH4048" s="66"/>
    </row>
    <row r="4049" customFormat="false" ht="15" hidden="true" customHeight="false" outlineLevel="0" collapsed="false">
      <c r="BH4049" s="66"/>
    </row>
    <row r="4050" customFormat="false" ht="15" hidden="true" customHeight="false" outlineLevel="0" collapsed="false">
      <c r="BH4050" s="66"/>
    </row>
    <row r="4051" customFormat="false" ht="15" hidden="true" customHeight="false" outlineLevel="0" collapsed="false">
      <c r="BH4051" s="66"/>
    </row>
    <row r="4052" customFormat="false" ht="15" hidden="true" customHeight="false" outlineLevel="0" collapsed="false">
      <c r="BH4052" s="66"/>
    </row>
    <row r="4053" customFormat="false" ht="15" hidden="true" customHeight="false" outlineLevel="0" collapsed="false">
      <c r="BH4053" s="66"/>
    </row>
    <row r="4054" customFormat="false" ht="15" hidden="true" customHeight="false" outlineLevel="0" collapsed="false">
      <c r="BH4054" s="66"/>
    </row>
    <row r="4055" customFormat="false" ht="15" hidden="true" customHeight="false" outlineLevel="0" collapsed="false">
      <c r="BH4055" s="66"/>
    </row>
    <row r="4056" customFormat="false" ht="15" hidden="true" customHeight="false" outlineLevel="0" collapsed="false">
      <c r="BH4056" s="66"/>
    </row>
    <row r="4057" customFormat="false" ht="15" hidden="true" customHeight="false" outlineLevel="0" collapsed="false">
      <c r="BH4057" s="66"/>
    </row>
    <row r="4058" customFormat="false" ht="15" hidden="true" customHeight="false" outlineLevel="0" collapsed="false">
      <c r="BH4058" s="66"/>
    </row>
    <row r="4059" customFormat="false" ht="15" hidden="true" customHeight="false" outlineLevel="0" collapsed="false">
      <c r="BH4059" s="66"/>
    </row>
    <row r="4060" customFormat="false" ht="15" hidden="true" customHeight="false" outlineLevel="0" collapsed="false">
      <c r="BH4060" s="66"/>
    </row>
    <row r="4061" customFormat="false" ht="15" hidden="true" customHeight="false" outlineLevel="0" collapsed="false">
      <c r="BH4061" s="66"/>
    </row>
    <row r="4062" customFormat="false" ht="15" hidden="true" customHeight="false" outlineLevel="0" collapsed="false">
      <c r="BH4062" s="66"/>
    </row>
    <row r="4063" customFormat="false" ht="15" hidden="true" customHeight="false" outlineLevel="0" collapsed="false">
      <c r="BH4063" s="66"/>
    </row>
    <row r="4064" customFormat="false" ht="15" hidden="true" customHeight="false" outlineLevel="0" collapsed="false">
      <c r="BH4064" s="66"/>
    </row>
    <row r="4065" customFormat="false" ht="15" hidden="true" customHeight="false" outlineLevel="0" collapsed="false">
      <c r="BH4065" s="66"/>
    </row>
    <row r="4066" customFormat="false" ht="15" hidden="true" customHeight="false" outlineLevel="0" collapsed="false">
      <c r="BH4066" s="66"/>
    </row>
    <row r="4067" customFormat="false" ht="15" hidden="true" customHeight="false" outlineLevel="0" collapsed="false">
      <c r="BH4067" s="66"/>
    </row>
    <row r="4068" customFormat="false" ht="15" hidden="true" customHeight="false" outlineLevel="0" collapsed="false">
      <c r="BH4068" s="66"/>
    </row>
    <row r="4069" customFormat="false" ht="15" hidden="true" customHeight="false" outlineLevel="0" collapsed="false">
      <c r="BH4069" s="66"/>
    </row>
    <row r="4070" customFormat="false" ht="15" hidden="true" customHeight="false" outlineLevel="0" collapsed="false">
      <c r="BH4070" s="66"/>
    </row>
    <row r="4071" customFormat="false" ht="15" hidden="true" customHeight="false" outlineLevel="0" collapsed="false">
      <c r="BH4071" s="66"/>
    </row>
    <row r="4072" customFormat="false" ht="15" hidden="true" customHeight="false" outlineLevel="0" collapsed="false">
      <c r="BH4072" s="66"/>
    </row>
    <row r="4073" customFormat="false" ht="15" hidden="true" customHeight="false" outlineLevel="0" collapsed="false">
      <c r="BH4073" s="66"/>
    </row>
    <row r="4074" customFormat="false" ht="15" hidden="true" customHeight="false" outlineLevel="0" collapsed="false">
      <c r="BH4074" s="66"/>
    </row>
    <row r="4075" customFormat="false" ht="15" hidden="true" customHeight="false" outlineLevel="0" collapsed="false">
      <c r="BH4075" s="66"/>
    </row>
    <row r="4076" customFormat="false" ht="15" hidden="true" customHeight="false" outlineLevel="0" collapsed="false">
      <c r="BH4076" s="66"/>
    </row>
    <row r="4077" customFormat="false" ht="15" hidden="true" customHeight="false" outlineLevel="0" collapsed="false">
      <c r="BH4077" s="66"/>
    </row>
    <row r="4078" customFormat="false" ht="15" hidden="true" customHeight="false" outlineLevel="0" collapsed="false">
      <c r="BH4078" s="66"/>
    </row>
    <row r="4079" customFormat="false" ht="15" hidden="true" customHeight="false" outlineLevel="0" collapsed="false">
      <c r="BH4079" s="66"/>
    </row>
    <row r="4080" customFormat="false" ht="15" hidden="true" customHeight="false" outlineLevel="0" collapsed="false">
      <c r="BH4080" s="66"/>
    </row>
    <row r="4081" customFormat="false" ht="15" hidden="true" customHeight="false" outlineLevel="0" collapsed="false">
      <c r="BH4081" s="66"/>
    </row>
    <row r="4082" customFormat="false" ht="15" hidden="true" customHeight="false" outlineLevel="0" collapsed="false">
      <c r="BH4082" s="66"/>
    </row>
    <row r="4083" customFormat="false" ht="15" hidden="true" customHeight="false" outlineLevel="0" collapsed="false">
      <c r="BH4083" s="66"/>
    </row>
    <row r="4084" customFormat="false" ht="15" hidden="true" customHeight="false" outlineLevel="0" collapsed="false">
      <c r="BH4084" s="66"/>
    </row>
    <row r="4085" customFormat="false" ht="15" hidden="true" customHeight="false" outlineLevel="0" collapsed="false">
      <c r="BH4085" s="66"/>
    </row>
    <row r="4086" customFormat="false" ht="15" hidden="true" customHeight="false" outlineLevel="0" collapsed="false">
      <c r="BH4086" s="66"/>
    </row>
    <row r="4087" customFormat="false" ht="15" hidden="true" customHeight="false" outlineLevel="0" collapsed="false">
      <c r="BH4087" s="66"/>
    </row>
    <row r="4088" customFormat="false" ht="15" hidden="true" customHeight="false" outlineLevel="0" collapsed="false">
      <c r="BH4088" s="66"/>
    </row>
    <row r="4089" customFormat="false" ht="15" hidden="true" customHeight="false" outlineLevel="0" collapsed="false">
      <c r="BH4089" s="66"/>
    </row>
    <row r="4090" customFormat="false" ht="15" hidden="true" customHeight="false" outlineLevel="0" collapsed="false">
      <c r="BH4090" s="66"/>
    </row>
    <row r="4091" customFormat="false" ht="15" hidden="true" customHeight="false" outlineLevel="0" collapsed="false">
      <c r="BH4091" s="66"/>
    </row>
    <row r="4092" customFormat="false" ht="15" hidden="true" customHeight="false" outlineLevel="0" collapsed="false">
      <c r="BH4092" s="66"/>
    </row>
    <row r="4093" customFormat="false" ht="15" hidden="true" customHeight="false" outlineLevel="0" collapsed="false">
      <c r="BH4093" s="66"/>
    </row>
    <row r="4094" customFormat="false" ht="15" hidden="true" customHeight="false" outlineLevel="0" collapsed="false">
      <c r="BH4094" s="66"/>
    </row>
    <row r="4095" customFormat="false" ht="15" hidden="true" customHeight="false" outlineLevel="0" collapsed="false">
      <c r="BH4095" s="66"/>
    </row>
    <row r="4096" customFormat="false" ht="15" hidden="true" customHeight="false" outlineLevel="0" collapsed="false">
      <c r="BH4096" s="66"/>
    </row>
    <row r="4097" customFormat="false" ht="15" hidden="true" customHeight="false" outlineLevel="0" collapsed="false">
      <c r="BH4097" s="66"/>
    </row>
    <row r="4098" customFormat="false" ht="15" hidden="true" customHeight="false" outlineLevel="0" collapsed="false">
      <c r="BH4098" s="66"/>
    </row>
    <row r="4099" customFormat="false" ht="15" hidden="true" customHeight="false" outlineLevel="0" collapsed="false">
      <c r="BH4099" s="66"/>
    </row>
    <row r="4100" customFormat="false" ht="15" hidden="true" customHeight="false" outlineLevel="0" collapsed="false">
      <c r="BH4100" s="66"/>
    </row>
    <row r="4101" customFormat="false" ht="15" hidden="true" customHeight="false" outlineLevel="0" collapsed="false">
      <c r="BH4101" s="66"/>
    </row>
    <row r="4102" customFormat="false" ht="15" hidden="true" customHeight="false" outlineLevel="0" collapsed="false">
      <c r="BH4102" s="66"/>
    </row>
    <row r="4103" customFormat="false" ht="15" hidden="true" customHeight="false" outlineLevel="0" collapsed="false">
      <c r="BH4103" s="66"/>
    </row>
    <row r="4104" customFormat="false" ht="15" hidden="true" customHeight="false" outlineLevel="0" collapsed="false">
      <c r="BH4104" s="66"/>
    </row>
    <row r="4105" customFormat="false" ht="15" hidden="true" customHeight="false" outlineLevel="0" collapsed="false">
      <c r="BH4105" s="66"/>
    </row>
    <row r="4106" customFormat="false" ht="15" hidden="true" customHeight="false" outlineLevel="0" collapsed="false">
      <c r="BH4106" s="66"/>
    </row>
    <row r="4107" customFormat="false" ht="15" hidden="true" customHeight="false" outlineLevel="0" collapsed="false">
      <c r="BH4107" s="66"/>
    </row>
    <row r="4108" customFormat="false" ht="15" hidden="true" customHeight="false" outlineLevel="0" collapsed="false">
      <c r="BH4108" s="66"/>
    </row>
    <row r="4109" customFormat="false" ht="15" hidden="true" customHeight="false" outlineLevel="0" collapsed="false">
      <c r="BH4109" s="66"/>
    </row>
    <row r="4110" customFormat="false" ht="15" hidden="true" customHeight="false" outlineLevel="0" collapsed="false">
      <c r="BH4110" s="66"/>
    </row>
    <row r="4111" customFormat="false" ht="15" hidden="true" customHeight="false" outlineLevel="0" collapsed="false">
      <c r="BH4111" s="66"/>
    </row>
    <row r="4112" customFormat="false" ht="15" hidden="true" customHeight="false" outlineLevel="0" collapsed="false">
      <c r="BH4112" s="66"/>
    </row>
    <row r="4113" customFormat="false" ht="15" hidden="true" customHeight="false" outlineLevel="0" collapsed="false">
      <c r="BH4113" s="66"/>
    </row>
    <row r="4114" customFormat="false" ht="15" hidden="true" customHeight="false" outlineLevel="0" collapsed="false">
      <c r="BH4114" s="66"/>
    </row>
    <row r="4115" customFormat="false" ht="15" hidden="true" customHeight="false" outlineLevel="0" collapsed="false">
      <c r="BH4115" s="66"/>
    </row>
    <row r="4116" customFormat="false" ht="15" hidden="true" customHeight="false" outlineLevel="0" collapsed="false">
      <c r="BH4116" s="66"/>
    </row>
    <row r="4117" customFormat="false" ht="15" hidden="true" customHeight="false" outlineLevel="0" collapsed="false">
      <c r="BH4117" s="66"/>
    </row>
    <row r="4118" customFormat="false" ht="15" hidden="true" customHeight="false" outlineLevel="0" collapsed="false">
      <c r="BH4118" s="66"/>
    </row>
    <row r="4119" customFormat="false" ht="15" hidden="true" customHeight="false" outlineLevel="0" collapsed="false">
      <c r="BH4119" s="66"/>
    </row>
    <row r="4120" customFormat="false" ht="15" hidden="true" customHeight="false" outlineLevel="0" collapsed="false">
      <c r="BH4120" s="66"/>
    </row>
    <row r="4121" customFormat="false" ht="15" hidden="true" customHeight="false" outlineLevel="0" collapsed="false">
      <c r="BH4121" s="66"/>
    </row>
    <row r="4122" customFormat="false" ht="15" hidden="true" customHeight="false" outlineLevel="0" collapsed="false">
      <c r="BH4122" s="66"/>
    </row>
    <row r="4123" customFormat="false" ht="15" hidden="true" customHeight="false" outlineLevel="0" collapsed="false">
      <c r="BH4123" s="66"/>
    </row>
    <row r="4124" customFormat="false" ht="15" hidden="true" customHeight="false" outlineLevel="0" collapsed="false">
      <c r="BH4124" s="66"/>
    </row>
    <row r="4125" customFormat="false" ht="15" hidden="true" customHeight="false" outlineLevel="0" collapsed="false">
      <c r="BH4125" s="66"/>
    </row>
    <row r="4126" customFormat="false" ht="15" hidden="true" customHeight="false" outlineLevel="0" collapsed="false">
      <c r="BH4126" s="66"/>
    </row>
    <row r="4127" customFormat="false" ht="15" hidden="true" customHeight="false" outlineLevel="0" collapsed="false">
      <c r="BH4127" s="66"/>
    </row>
    <row r="4128" customFormat="false" ht="15" hidden="true" customHeight="false" outlineLevel="0" collapsed="false">
      <c r="BH4128" s="66"/>
    </row>
    <row r="4129" customFormat="false" ht="15" hidden="true" customHeight="false" outlineLevel="0" collapsed="false">
      <c r="BH4129" s="66"/>
    </row>
    <row r="4130" customFormat="false" ht="15" hidden="true" customHeight="false" outlineLevel="0" collapsed="false">
      <c r="BH4130" s="66"/>
    </row>
    <row r="4131" customFormat="false" ht="15" hidden="true" customHeight="false" outlineLevel="0" collapsed="false">
      <c r="BH4131" s="66"/>
    </row>
    <row r="4132" customFormat="false" ht="15" hidden="true" customHeight="false" outlineLevel="0" collapsed="false">
      <c r="BH4132" s="66"/>
    </row>
    <row r="4133" customFormat="false" ht="15" hidden="true" customHeight="false" outlineLevel="0" collapsed="false">
      <c r="BH4133" s="66"/>
    </row>
    <row r="4134" customFormat="false" ht="15" hidden="true" customHeight="false" outlineLevel="0" collapsed="false">
      <c r="BH4134" s="66"/>
    </row>
    <row r="4135" customFormat="false" ht="15" hidden="true" customHeight="false" outlineLevel="0" collapsed="false">
      <c r="BH4135" s="66"/>
    </row>
    <row r="4136" customFormat="false" ht="15" hidden="true" customHeight="false" outlineLevel="0" collapsed="false">
      <c r="BH4136" s="66"/>
    </row>
    <row r="4137" customFormat="false" ht="15" hidden="true" customHeight="false" outlineLevel="0" collapsed="false">
      <c r="BH4137" s="66"/>
    </row>
    <row r="4138" customFormat="false" ht="15" hidden="true" customHeight="false" outlineLevel="0" collapsed="false">
      <c r="BH4138" s="66"/>
    </row>
    <row r="4139" customFormat="false" ht="15" hidden="true" customHeight="false" outlineLevel="0" collapsed="false">
      <c r="BH4139" s="66"/>
    </row>
    <row r="4140" customFormat="false" ht="15" hidden="true" customHeight="false" outlineLevel="0" collapsed="false">
      <c r="BH4140" s="66"/>
    </row>
    <row r="4141" customFormat="false" ht="15" hidden="true" customHeight="false" outlineLevel="0" collapsed="false">
      <c r="BH4141" s="66"/>
    </row>
    <row r="4142" customFormat="false" ht="15" hidden="true" customHeight="false" outlineLevel="0" collapsed="false">
      <c r="BH4142" s="66"/>
    </row>
    <row r="4143" customFormat="false" ht="15" hidden="true" customHeight="false" outlineLevel="0" collapsed="false">
      <c r="BH4143" s="66"/>
    </row>
    <row r="4144" customFormat="false" ht="15" hidden="true" customHeight="false" outlineLevel="0" collapsed="false">
      <c r="BH4144" s="66"/>
    </row>
    <row r="4145" customFormat="false" ht="15" hidden="true" customHeight="false" outlineLevel="0" collapsed="false">
      <c r="BH4145" s="66"/>
    </row>
    <row r="4146" customFormat="false" ht="15" hidden="true" customHeight="false" outlineLevel="0" collapsed="false">
      <c r="BH4146" s="66"/>
    </row>
    <row r="4147" customFormat="false" ht="15" hidden="true" customHeight="false" outlineLevel="0" collapsed="false">
      <c r="BH4147" s="66"/>
    </row>
    <row r="4148" customFormat="false" ht="15" hidden="true" customHeight="false" outlineLevel="0" collapsed="false">
      <c r="BH4148" s="66"/>
    </row>
    <row r="4149" customFormat="false" ht="15" hidden="true" customHeight="false" outlineLevel="0" collapsed="false">
      <c r="BH4149" s="66"/>
    </row>
    <row r="4150" customFormat="false" ht="15" hidden="true" customHeight="false" outlineLevel="0" collapsed="false">
      <c r="BH4150" s="66"/>
    </row>
    <row r="4151" customFormat="false" ht="15" hidden="true" customHeight="false" outlineLevel="0" collapsed="false">
      <c r="BH4151" s="66"/>
    </row>
    <row r="4152" customFormat="false" ht="15" hidden="true" customHeight="false" outlineLevel="0" collapsed="false">
      <c r="BH4152" s="66"/>
    </row>
    <row r="4153" customFormat="false" ht="15" hidden="true" customHeight="false" outlineLevel="0" collapsed="false">
      <c r="BH4153" s="66"/>
    </row>
    <row r="4154" customFormat="false" ht="15" hidden="true" customHeight="false" outlineLevel="0" collapsed="false">
      <c r="BH4154" s="66"/>
    </row>
    <row r="4155" customFormat="false" ht="15" hidden="true" customHeight="false" outlineLevel="0" collapsed="false">
      <c r="BH4155" s="66"/>
    </row>
    <row r="4156" customFormat="false" ht="15" hidden="true" customHeight="false" outlineLevel="0" collapsed="false">
      <c r="BH4156" s="66"/>
    </row>
    <row r="4157" customFormat="false" ht="15" hidden="true" customHeight="false" outlineLevel="0" collapsed="false">
      <c r="BH4157" s="66"/>
    </row>
    <row r="4158" customFormat="false" ht="15" hidden="true" customHeight="false" outlineLevel="0" collapsed="false">
      <c r="BH4158" s="66"/>
    </row>
    <row r="4159" customFormat="false" ht="15" hidden="true" customHeight="false" outlineLevel="0" collapsed="false">
      <c r="BH4159" s="66"/>
    </row>
    <row r="4160" customFormat="false" ht="15" hidden="true" customHeight="false" outlineLevel="0" collapsed="false">
      <c r="BH4160" s="66"/>
    </row>
    <row r="4161" customFormat="false" ht="15" hidden="true" customHeight="false" outlineLevel="0" collapsed="false">
      <c r="BH4161" s="66"/>
    </row>
    <row r="4162" customFormat="false" ht="15" hidden="true" customHeight="false" outlineLevel="0" collapsed="false">
      <c r="BH4162" s="66"/>
    </row>
    <row r="4163" customFormat="false" ht="15" hidden="true" customHeight="false" outlineLevel="0" collapsed="false">
      <c r="BH4163" s="66"/>
    </row>
    <row r="4164" customFormat="false" ht="15" hidden="true" customHeight="false" outlineLevel="0" collapsed="false">
      <c r="BH4164" s="66"/>
    </row>
    <row r="4165" customFormat="false" ht="15" hidden="true" customHeight="false" outlineLevel="0" collapsed="false">
      <c r="BH4165" s="66"/>
    </row>
    <row r="4166" customFormat="false" ht="15" hidden="true" customHeight="false" outlineLevel="0" collapsed="false">
      <c r="BH4166" s="66"/>
    </row>
    <row r="4167" customFormat="false" ht="15" hidden="true" customHeight="false" outlineLevel="0" collapsed="false">
      <c r="BH4167" s="66"/>
    </row>
    <row r="4168" customFormat="false" ht="15" hidden="true" customHeight="false" outlineLevel="0" collapsed="false">
      <c r="BH4168" s="66"/>
    </row>
    <row r="4169" customFormat="false" ht="15" hidden="true" customHeight="false" outlineLevel="0" collapsed="false">
      <c r="BH4169" s="66"/>
    </row>
    <row r="4170" customFormat="false" ht="15" hidden="true" customHeight="false" outlineLevel="0" collapsed="false">
      <c r="BH4170" s="66"/>
    </row>
    <row r="4171" customFormat="false" ht="15" hidden="true" customHeight="false" outlineLevel="0" collapsed="false">
      <c r="BH4171" s="66"/>
    </row>
    <row r="4172" customFormat="false" ht="15" hidden="true" customHeight="false" outlineLevel="0" collapsed="false">
      <c r="BH4172" s="66"/>
    </row>
    <row r="4173" customFormat="false" ht="15" hidden="true" customHeight="false" outlineLevel="0" collapsed="false">
      <c r="BH4173" s="66"/>
    </row>
    <row r="4174" customFormat="false" ht="15" hidden="true" customHeight="false" outlineLevel="0" collapsed="false">
      <c r="BH4174" s="66"/>
    </row>
    <row r="4175" customFormat="false" ht="15" hidden="true" customHeight="false" outlineLevel="0" collapsed="false">
      <c r="BH4175" s="66"/>
    </row>
    <row r="4176" customFormat="false" ht="15" hidden="true" customHeight="false" outlineLevel="0" collapsed="false">
      <c r="BH4176" s="66"/>
    </row>
    <row r="4177" customFormat="false" ht="15" hidden="true" customHeight="false" outlineLevel="0" collapsed="false">
      <c r="BH4177" s="66"/>
    </row>
    <row r="4178" customFormat="false" ht="15" hidden="true" customHeight="false" outlineLevel="0" collapsed="false">
      <c r="BH4178" s="66"/>
    </row>
    <row r="4179" customFormat="false" ht="15" hidden="true" customHeight="false" outlineLevel="0" collapsed="false">
      <c r="BH4179" s="66"/>
    </row>
    <row r="4180" customFormat="false" ht="15" hidden="true" customHeight="false" outlineLevel="0" collapsed="false">
      <c r="BH4180" s="66"/>
    </row>
    <row r="4181" customFormat="false" ht="15" hidden="true" customHeight="false" outlineLevel="0" collapsed="false">
      <c r="BH4181" s="66"/>
    </row>
    <row r="4182" customFormat="false" ht="15" hidden="true" customHeight="false" outlineLevel="0" collapsed="false">
      <c r="BH4182" s="66"/>
    </row>
    <row r="4183" customFormat="false" ht="15" hidden="true" customHeight="false" outlineLevel="0" collapsed="false">
      <c r="BH4183" s="66"/>
    </row>
    <row r="4184" customFormat="false" ht="15" hidden="true" customHeight="false" outlineLevel="0" collapsed="false">
      <c r="BH4184" s="66"/>
    </row>
    <row r="4185" customFormat="false" ht="15" hidden="true" customHeight="false" outlineLevel="0" collapsed="false">
      <c r="BH4185" s="66"/>
    </row>
    <row r="4186" customFormat="false" ht="15" hidden="true" customHeight="false" outlineLevel="0" collapsed="false">
      <c r="BH4186" s="66"/>
    </row>
    <row r="4187" customFormat="false" ht="15" hidden="true" customHeight="false" outlineLevel="0" collapsed="false">
      <c r="BH4187" s="66"/>
    </row>
    <row r="4188" customFormat="false" ht="15" hidden="true" customHeight="false" outlineLevel="0" collapsed="false">
      <c r="BH4188" s="66"/>
    </row>
    <row r="4189" customFormat="false" ht="15" hidden="true" customHeight="false" outlineLevel="0" collapsed="false">
      <c r="BH4189" s="66"/>
    </row>
    <row r="4190" customFormat="false" ht="15" hidden="true" customHeight="false" outlineLevel="0" collapsed="false">
      <c r="BH4190" s="66"/>
    </row>
    <row r="4191" customFormat="false" ht="15" hidden="true" customHeight="false" outlineLevel="0" collapsed="false">
      <c r="BH4191" s="66"/>
    </row>
    <row r="4192" customFormat="false" ht="15" hidden="true" customHeight="false" outlineLevel="0" collapsed="false">
      <c r="BH4192" s="66"/>
    </row>
    <row r="4193" customFormat="false" ht="15" hidden="true" customHeight="false" outlineLevel="0" collapsed="false">
      <c r="BH4193" s="66"/>
    </row>
    <row r="4194" customFormat="false" ht="15" hidden="true" customHeight="false" outlineLevel="0" collapsed="false">
      <c r="BH4194" s="66"/>
    </row>
    <row r="4195" customFormat="false" ht="15" hidden="true" customHeight="false" outlineLevel="0" collapsed="false">
      <c r="BH4195" s="66"/>
    </row>
    <row r="4196" customFormat="false" ht="15" hidden="true" customHeight="false" outlineLevel="0" collapsed="false">
      <c r="BH4196" s="66"/>
    </row>
    <row r="4197" customFormat="false" ht="15" hidden="true" customHeight="false" outlineLevel="0" collapsed="false">
      <c r="BH4197" s="66"/>
    </row>
    <row r="4198" customFormat="false" ht="15" hidden="true" customHeight="false" outlineLevel="0" collapsed="false">
      <c r="BH4198" s="66"/>
    </row>
    <row r="4199" customFormat="false" ht="15" hidden="true" customHeight="false" outlineLevel="0" collapsed="false">
      <c r="BH4199" s="66"/>
    </row>
    <row r="4200" customFormat="false" ht="15" hidden="true" customHeight="false" outlineLevel="0" collapsed="false">
      <c r="BH4200" s="66"/>
    </row>
    <row r="4201" customFormat="false" ht="15" hidden="true" customHeight="false" outlineLevel="0" collapsed="false">
      <c r="BH4201" s="66"/>
    </row>
    <row r="4202" customFormat="false" ht="15" hidden="true" customHeight="false" outlineLevel="0" collapsed="false">
      <c r="BH4202" s="66"/>
    </row>
    <row r="4203" customFormat="false" ht="15" hidden="true" customHeight="false" outlineLevel="0" collapsed="false">
      <c r="BH4203" s="66"/>
    </row>
    <row r="4204" customFormat="false" ht="15" hidden="true" customHeight="false" outlineLevel="0" collapsed="false">
      <c r="BH4204" s="66"/>
    </row>
    <row r="4205" customFormat="false" ht="15" hidden="true" customHeight="false" outlineLevel="0" collapsed="false">
      <c r="BH4205" s="66"/>
    </row>
    <row r="4206" customFormat="false" ht="15" hidden="true" customHeight="false" outlineLevel="0" collapsed="false">
      <c r="BH4206" s="66"/>
    </row>
    <row r="4207" customFormat="false" ht="15" hidden="true" customHeight="false" outlineLevel="0" collapsed="false">
      <c r="BH4207" s="66"/>
    </row>
    <row r="4208" customFormat="false" ht="15" hidden="true" customHeight="false" outlineLevel="0" collapsed="false">
      <c r="BH4208" s="66"/>
    </row>
    <row r="4209" customFormat="false" ht="15" hidden="true" customHeight="false" outlineLevel="0" collapsed="false">
      <c r="BH4209" s="66"/>
    </row>
    <row r="4210" customFormat="false" ht="15" hidden="true" customHeight="false" outlineLevel="0" collapsed="false">
      <c r="BH4210" s="66"/>
    </row>
    <row r="4211" customFormat="false" ht="15" hidden="true" customHeight="false" outlineLevel="0" collapsed="false">
      <c r="BH4211" s="66"/>
    </row>
    <row r="4212" customFormat="false" ht="15" hidden="true" customHeight="false" outlineLevel="0" collapsed="false">
      <c r="BH4212" s="66"/>
    </row>
    <row r="4213" customFormat="false" ht="15" hidden="true" customHeight="false" outlineLevel="0" collapsed="false">
      <c r="BH4213" s="66"/>
    </row>
    <row r="4214" customFormat="false" ht="15" hidden="true" customHeight="false" outlineLevel="0" collapsed="false">
      <c r="BH4214" s="66"/>
    </row>
    <row r="4215" customFormat="false" ht="15" hidden="true" customHeight="false" outlineLevel="0" collapsed="false">
      <c r="BH4215" s="66"/>
    </row>
    <row r="4216" customFormat="false" ht="15" hidden="true" customHeight="false" outlineLevel="0" collapsed="false">
      <c r="BH4216" s="66"/>
    </row>
    <row r="4217" customFormat="false" ht="15" hidden="true" customHeight="false" outlineLevel="0" collapsed="false">
      <c r="BH4217" s="66"/>
    </row>
    <row r="4218" customFormat="false" ht="15" hidden="true" customHeight="false" outlineLevel="0" collapsed="false">
      <c r="BH4218" s="66"/>
    </row>
    <row r="4219" customFormat="false" ht="15" hidden="true" customHeight="false" outlineLevel="0" collapsed="false">
      <c r="BH4219" s="66"/>
    </row>
    <row r="4220" customFormat="false" ht="15" hidden="true" customHeight="false" outlineLevel="0" collapsed="false">
      <c r="BH4220" s="66"/>
    </row>
    <row r="4221" customFormat="false" ht="15" hidden="true" customHeight="false" outlineLevel="0" collapsed="false">
      <c r="BH4221" s="66"/>
    </row>
    <row r="4222" customFormat="false" ht="15" hidden="true" customHeight="false" outlineLevel="0" collapsed="false">
      <c r="BH4222" s="66"/>
    </row>
    <row r="4223" customFormat="false" ht="15" hidden="true" customHeight="false" outlineLevel="0" collapsed="false">
      <c r="BH4223" s="66"/>
    </row>
    <row r="4224" customFormat="false" ht="15" hidden="true" customHeight="false" outlineLevel="0" collapsed="false">
      <c r="BH4224" s="66"/>
    </row>
    <row r="4225" customFormat="false" ht="15" hidden="true" customHeight="false" outlineLevel="0" collapsed="false">
      <c r="BH4225" s="66"/>
    </row>
    <row r="4226" customFormat="false" ht="15" hidden="true" customHeight="false" outlineLevel="0" collapsed="false">
      <c r="BH4226" s="66"/>
    </row>
    <row r="4227" customFormat="false" ht="15" hidden="true" customHeight="false" outlineLevel="0" collapsed="false">
      <c r="BH4227" s="66"/>
    </row>
    <row r="4228" customFormat="false" ht="15" hidden="true" customHeight="false" outlineLevel="0" collapsed="false">
      <c r="BH4228" s="66"/>
    </row>
    <row r="4229" customFormat="false" ht="15" hidden="true" customHeight="false" outlineLevel="0" collapsed="false">
      <c r="BH4229" s="66"/>
    </row>
    <row r="4230" customFormat="false" ht="15" hidden="true" customHeight="false" outlineLevel="0" collapsed="false">
      <c r="BH4230" s="66"/>
    </row>
    <row r="4231" customFormat="false" ht="15" hidden="true" customHeight="false" outlineLevel="0" collapsed="false">
      <c r="BH4231" s="66"/>
    </row>
  </sheetData>
  <sheetProtection sheet="true" objects="true" scenarios="true" insertRows="false" deleteRows="false"/>
  <mergeCells count="10">
    <mergeCell ref="AP3:AS3"/>
    <mergeCell ref="BE3:BN3"/>
    <mergeCell ref="BY3:CA3"/>
    <mergeCell ref="B4:N4"/>
    <mergeCell ref="Q4:T4"/>
    <mergeCell ref="W4:AD4"/>
    <mergeCell ref="AF4:AO4"/>
    <mergeCell ref="AU4:BB4"/>
    <mergeCell ref="BE4:BN4"/>
    <mergeCell ref="BU4:CE4"/>
  </mergeCells>
  <conditionalFormatting sqref="E1201:E2494 AD6:AD1000 E4:E1000">
    <cfRule type="notContainsText" priority="2" operator="notContains" aboveAverage="0" equalAverage="0" bottom="0" percent="0" rank="0" text="PF,PJ" dxfId="0">
      <formula>ISERROR(SEARCH("PF,PJ",E4))</formula>
    </cfRule>
    <cfRule type="colorScale" priority="3">
      <colorScale>
        <cfvo type="min" val="0"/>
        <cfvo type="max" val="0"/>
        <color rgb="FF57BB8A"/>
        <color rgb="FFFFFFFF"/>
      </colorScale>
    </cfRule>
  </conditionalFormatting>
  <conditionalFormatting sqref="BB6:BB1000 BB1201:BB3743 AD1201:AD1896 AD8:AD748">
    <cfRule type="cellIs" priority="4" operator="equal" aboveAverage="0" equalAverage="0" bottom="0" percent="0" rank="0" text="" dxfId="1">
      <formula>"BR"</formula>
    </cfRule>
    <cfRule type="notContainsText" priority="5" operator="notContains" aboveAverage="0" equalAverage="0" bottom="0" percent="0" rank="0" text="BR" dxfId="0">
      <formula>ISERROR(SEARCH("BR",AD6))</formula>
    </cfRule>
  </conditionalFormatting>
  <conditionalFormatting sqref="AD1201:AD1896 AD8:AD748">
    <cfRule type="cellIs" priority="6" operator="equal" aboveAverage="0" equalAverage="0" bottom="0" percent="0" rank="0" text="" dxfId="1">
      <formula>"BR"</formula>
    </cfRule>
    <cfRule type="notContainsText" priority="7" operator="notContains" aboveAverage="0" equalAverage="0" bottom="0" percent="0" rank="0" text="BR" dxfId="0">
      <formula>ISERROR(SEARCH("BR",AD8))</formula>
    </cfRule>
  </conditionalFormatting>
  <conditionalFormatting sqref="E4:E7">
    <cfRule type="notContainsText" priority="8" operator="notContains" aboveAverage="0" equalAverage="0" bottom="0" percent="0" rank="0" text="PF,PJ" dxfId="0">
      <formula>ISERROR(SEARCH("PF,PJ",E4))</formula>
    </cfRule>
    <cfRule type="colorScale" priority="9">
      <colorScale>
        <cfvo type="min" val="0"/>
        <cfvo type="max" val="0"/>
        <color rgb="FF57BB8A"/>
        <color rgb="FFFFFFFF"/>
      </colorScale>
    </cfRule>
  </conditionalFormatting>
  <conditionalFormatting sqref="E6:E7">
    <cfRule type="notContainsText" priority="10" operator="notContains" aboveAverage="0" equalAverage="0" bottom="0" percent="0" rank="0" text="PF,PJ" dxfId="0">
      <formula>ISERROR(SEARCH("PF,PJ",E6))</formula>
    </cfRule>
    <cfRule type="colorScale" priority="11">
      <colorScale>
        <cfvo type="min" val="0"/>
        <cfvo type="max" val="0"/>
        <color rgb="FF57BB8A"/>
        <color rgb="FFFFFFFF"/>
      </colorScale>
    </cfRule>
  </conditionalFormatting>
  <dataValidations count="26">
    <dataValidation allowBlank="true" errorStyle="stop" operator="between" showDropDown="false" showErrorMessage="true" showInputMessage="false" sqref="O1:O1307" type="decimal">
      <formula1>0</formula1>
      <formula2>1000000000</formula2>
    </dataValidation>
    <dataValidation allowBlank="true" errorStyle="stop" operator="equal" prompt="Apenas números" promptTitle="CNPJ/CPF" showDropDown="false" showErrorMessage="true" showInputMessage="true" sqref="D6:D1000 D1201:D1307" type="none">
      <formula1>0</formula1>
      <formula2>0</formula2>
    </dataValidation>
    <dataValidation allowBlank="true" errorStyle="stop" operator="equal" prompt="Apenas número" promptTitle="CNPJ" showDropDown="false" showErrorMessage="true" showInputMessage="true" sqref="F6:F1000 F1201:F1307" type="none">
      <formula1>0</formula1>
      <formula2>0</formula2>
    </dataValidation>
    <dataValidation allowBlank="true" errorStyle="stop" operator="equal" prompt="xxxx-x/xx" promptTitle="CNAE" showDropDown="false" showErrorMessage="true" showInputMessage="true" sqref="G6:G1000 G1201:G1307" type="none">
      <formula1>0</formula1>
      <formula2>0</formula2>
    </dataValidation>
    <dataValidation allowBlank="false" errorStyle="stop" operator="equal" showDropDown="false" showErrorMessage="true" showInputMessage="false" sqref="I6:I1000 I1201:I2226" type="list">
      <formula1>'Legal Nature'!$C$2:$C$84</formula1>
      <formula2>0</formula2>
    </dataValidation>
    <dataValidation allowBlank="true" errorStyle="stop" operator="equal" showDropDown="false" showErrorMessage="true" showInputMessage="false" sqref="K6:K1324" type="list">
      <formula1>"EI,MEI,EIRELI,LTDA,SS,SA,ME,EPP,EMGP,COOP,DEMAIS"</formula1>
      <formula2>0</formula2>
    </dataValidation>
    <dataValidation allowBlank="false" errorStyle="stop" operator="greaterThan" prompt="DD/MM/AAAA" promptTitle="Data de Abertura" showDropDown="false" showErrorMessage="true" showInputMessage="true" sqref="L6:L1000 L1201:L1307" type="date">
      <formula1>8767</formula1>
      <formula2>0</formula2>
    </dataValidation>
    <dataValidation allowBlank="false" errorStyle="stop" operator="equal" showDropDown="false" showErrorMessage="true" showInputMessage="false" sqref="M6:M1000 M1201:M1307" type="list">
      <formula1>Selects!$R$4:$R$7</formula1>
      <formula2>0</formula2>
    </dataValidation>
    <dataValidation allowBlank="true" errorStyle="stop" operator="equal" showDropDown="false" showErrorMessage="true" showInputMessage="false" sqref="N6:N1000 N1201:N1307" type="list">
      <formula1>Selects!$U$4:$U$8</formula1>
      <formula2>0</formula2>
    </dataValidation>
    <dataValidation allowBlank="true" errorStyle="stop" operator="between" prompt="xx" promptTitle="Código de área" showDropDown="false" showErrorMessage="true" showInputMessage="true" sqref="R6:R1000 R1201:R1307" type="whole">
      <formula1>10</formula1>
      <formula2>100</formula2>
    </dataValidation>
    <dataValidation allowBlank="true" errorStyle="stop" operator="lessThan" prompt="Apenas números" promptTitle="Número do Telefone" showDropDown="false" showErrorMessage="true" showInputMessage="true" sqref="S6:S180" type="whole">
      <formula1>99999999999999</formula1>
      <formula2>0</formula2>
    </dataValidation>
    <dataValidation allowBlank="true" errorStyle="stop" operator="between" showDropDown="false" showErrorMessage="true" showInputMessage="false" sqref="AA6:AA1000 AA1201:AA1307" type="whole">
      <formula1>1000000</formula1>
      <formula2>99999999</formula2>
    </dataValidation>
    <dataValidation allowBlank="true" errorStyle="stop" operator="equal" showDropDown="false" showErrorMessage="true" showInputMessage="false" sqref="AC6:AC1000 AS6:AS1307 BA6:BA1000 AC1201:AC1307 BA1201:BA1307" type="list">
      <formula1>Selects!$B$4:$B$30</formula1>
      <formula2>0</formula2>
    </dataValidation>
    <dataValidation allowBlank="true" errorStyle="stop" operator="equal" prompt="Apenas número" promptTitle="CPF" showDropDown="false" showErrorMessage="true" showInputMessage="true" sqref="AG6:AG1000 AG1201:AG1363" type="none">
      <formula1>0</formula1>
      <formula2>0</formula2>
    </dataValidation>
    <dataValidation allowBlank="true" errorStyle="stop" operator="greaterThan" prompt="DD/MM/AAAA" promptTitle="Data de Nascimento" showDropDown="false" showErrorMessage="true" showInputMessage="true" sqref="AH6:AH1000 AQ6:AQ1000 AH1201:AH1899" type="date">
      <formula1>8767</formula1>
      <formula2>0</formula2>
    </dataValidation>
    <dataValidation allowBlank="false" errorStyle="stop" operator="between" prompt="xx" promptTitle="Código de área" showDropDown="false" showErrorMessage="true" showInputMessage="true" sqref="AK6:AK1000 AK1201:AK1770" type="whole">
      <formula1>10</formula1>
      <formula2>99</formula2>
    </dataValidation>
    <dataValidation allowBlank="true" errorStyle="stop" operator="lessThan" prompt="Apenas números" promptTitle="Telefone" showDropDown="false" showErrorMessage="true" showInputMessage="true" sqref="AL6:AL943" type="whole">
      <formula1>999999999999</formula1>
      <formula2>0</formula2>
    </dataValidation>
    <dataValidation allowBlank="true" errorStyle="stop" operator="equal" prompt="Apenas número" promptTitle="CNPJ/CPF" showDropDown="false" showErrorMessage="true" showInputMessage="true" sqref="BF6:BF1000 BF1201:BF1307" type="none">
      <formula1>0</formula1>
      <formula2>0</formula2>
    </dataValidation>
    <dataValidation allowBlank="true" errorStyle="stop" operator="equal" showDropDown="false" showErrorMessage="false" showInputMessage="false" sqref="BH6:BH1000 BH1201:BH4231" type="list">
      <formula1>Selects!$G$4:$G$324</formula1>
      <formula2>0</formula2>
    </dataValidation>
    <dataValidation allowBlank="true" errorStyle="stop" operator="equal" showDropDown="false" showErrorMessage="false" showInputMessage="false" sqref="BN6:BN1000 BN1201:BN1353" type="list">
      <formula1>Selects!$J$4:$J$7</formula1>
      <formula2>0</formula2>
    </dataValidation>
    <dataValidation allowBlank="true" errorStyle="stop" operator="equal" showDropDown="false" showErrorMessage="true" showInputMessage="false" sqref="BU6:BU1000 BU1201:BU1307" type="list">
      <formula1>Selects!$P$4:$P$6</formula1>
      <formula2>0</formula2>
    </dataValidation>
    <dataValidation allowBlank="true" errorStyle="stop" operator="equal" showDropDown="false" showErrorMessage="true" showInputMessage="false" sqref="BV6:BV1307 CC6:CC1307 CE7:CE1307" type="list">
      <formula1>Selects!$Z$4:$Z$5</formula1>
      <formula2>0</formula2>
    </dataValidation>
    <dataValidation allowBlank="true" errorStyle="stop" operator="lessThan" showDropDown="false" showErrorMessage="true" showInputMessage="false" sqref="S181:S1000 S1201:S1307" type="whole">
      <formula1>999999999</formula1>
      <formula2>0</formula2>
    </dataValidation>
    <dataValidation allowBlank="true" errorStyle="stop" operator="between" showDropDown="false" showErrorMessage="true" showInputMessage="false" sqref="AL944:AL1000 AL1201:AL1307" type="whole">
      <formula1>100000000</formula1>
      <formula2>999999999</formula2>
    </dataValidation>
    <dataValidation allowBlank="false" errorStyle="stop" operator="equal" showDropDown="false" showErrorMessage="true" showInputMessage="false" sqref="CE6" type="list">
      <formula1>Selects!$Z$4:$Z$5</formula1>
      <formula2>0</formula2>
    </dataValidation>
    <dataValidation allowBlank="true" errorStyle="stop" operator="equal" showDropDown="false" showErrorMessage="true" showInputMessage="false" sqref="AJ6:AJ1000 AJ1201:AJ1960" type="list">
      <formula1>Selects!$Z$4:$Z$5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30" activeCellId="0" sqref="C30"/>
    </sheetView>
  </sheetViews>
  <sheetFormatPr defaultColWidth="12.6328125" defaultRowHeight="15" zeroHeight="false" outlineLevelRow="0" outlineLevelCol="0"/>
  <cols>
    <col collapsed="false" customWidth="true" hidden="false" outlineLevel="0" max="4" min="4" style="2" width="3.38"/>
    <col collapsed="false" customWidth="true" hidden="false" outlineLevel="0" max="6" min="6" style="2" width="3.38"/>
    <col collapsed="false" customWidth="true" hidden="false" outlineLevel="0" max="7" min="7" style="2" width="67"/>
    <col collapsed="false" customWidth="true" hidden="false" outlineLevel="0" max="9" min="9" style="2" width="3.38"/>
    <col collapsed="false" customWidth="true" hidden="false" outlineLevel="0" max="10" min="10" style="2" width="15.13"/>
    <col collapsed="false" customWidth="true" hidden="false" outlineLevel="0" max="12" min="12" style="2" width="3.38"/>
    <col collapsed="false" customWidth="true" hidden="false" outlineLevel="0" max="13" min="13" style="2" width="13.5"/>
    <col collapsed="false" customWidth="true" hidden="false" outlineLevel="0" max="15" min="15" style="2" width="3.38"/>
    <col collapsed="false" customWidth="true" hidden="false" outlineLevel="0" max="16" min="16" style="2" width="24.88"/>
    <col collapsed="false" customWidth="true" hidden="false" outlineLevel="0" max="17" min="17" style="2" width="3.38"/>
    <col collapsed="false" customWidth="true" hidden="false" outlineLevel="0" max="18" min="18" style="2" width="18.88"/>
    <col collapsed="false" customWidth="true" hidden="false" outlineLevel="0" max="19" min="19" style="2" width="19.88"/>
    <col collapsed="false" customWidth="true" hidden="false" outlineLevel="0" max="20" min="20" style="2" width="3.38"/>
    <col collapsed="false" customWidth="true" hidden="false" outlineLevel="0" max="21" min="21" style="2" width="18.88"/>
    <col collapsed="false" customWidth="true" hidden="false" outlineLevel="0" max="22" min="22" style="2" width="18.13"/>
    <col collapsed="false" customWidth="true" hidden="false" outlineLevel="0" max="23" min="23" style="2" width="3.38"/>
    <col collapsed="false" customWidth="true" hidden="false" outlineLevel="0" max="24" min="24" style="2" width="24.88"/>
    <col collapsed="false" customWidth="true" hidden="false" outlineLevel="0" max="25" min="25" style="2" width="3.38"/>
    <col collapsed="false" customWidth="true" hidden="false" outlineLevel="0" max="26" min="26" style="2" width="24.88"/>
  </cols>
  <sheetData>
    <row r="1" customFormat="false" ht="15" hidden="false" customHeight="false" outlineLevel="0" collapsed="false">
      <c r="A1" s="94"/>
      <c r="D1" s="95"/>
      <c r="F1" s="95"/>
      <c r="I1" s="95"/>
      <c r="L1" s="95"/>
      <c r="O1" s="95"/>
      <c r="Q1" s="95"/>
      <c r="S1" s="96"/>
      <c r="T1" s="95"/>
      <c r="W1" s="95"/>
      <c r="Y1" s="95"/>
    </row>
    <row r="2" customFormat="false" ht="15" hidden="false" customHeight="false" outlineLevel="0" collapsed="false">
      <c r="A2" s="94"/>
      <c r="B2" s="97" t="s">
        <v>52</v>
      </c>
      <c r="C2" s="97"/>
      <c r="D2" s="98"/>
      <c r="E2" s="97" t="s">
        <v>75</v>
      </c>
      <c r="F2" s="98"/>
      <c r="G2" s="97" t="s">
        <v>76</v>
      </c>
      <c r="H2" s="97"/>
      <c r="I2" s="98"/>
      <c r="J2" s="97" t="s">
        <v>77</v>
      </c>
      <c r="K2" s="97"/>
      <c r="L2" s="98"/>
      <c r="M2" s="97" t="s">
        <v>78</v>
      </c>
      <c r="N2" s="97"/>
      <c r="O2" s="98"/>
      <c r="P2" s="97" t="s">
        <v>79</v>
      </c>
      <c r="Q2" s="99"/>
      <c r="R2" s="97" t="s">
        <v>80</v>
      </c>
      <c r="S2" s="97"/>
      <c r="T2" s="100"/>
      <c r="U2" s="101" t="s">
        <v>81</v>
      </c>
      <c r="V2" s="101"/>
      <c r="W2" s="98"/>
      <c r="X2" s="97" t="s">
        <v>82</v>
      </c>
      <c r="Y2" s="98"/>
      <c r="Z2" s="97" t="s">
        <v>83</v>
      </c>
    </row>
    <row r="3" customFormat="false" ht="15" hidden="false" customHeight="false" outlineLevel="0" collapsed="false">
      <c r="A3" s="94"/>
      <c r="D3" s="95"/>
      <c r="F3" s="95"/>
      <c r="G3" s="102"/>
      <c r="H3" s="102"/>
      <c r="I3" s="95"/>
      <c r="J3" s="102"/>
      <c r="K3" s="102"/>
      <c r="L3" s="95"/>
      <c r="O3" s="95"/>
      <c r="Q3" s="95"/>
      <c r="S3" s="96"/>
      <c r="T3" s="95"/>
      <c r="U3" s="103"/>
      <c r="V3" s="104"/>
      <c r="W3" s="95"/>
      <c r="Y3" s="95"/>
    </row>
    <row r="4" customFormat="false" ht="15" hidden="false" customHeight="false" outlineLevel="0" collapsed="false">
      <c r="A4" s="94"/>
      <c r="B4" s="82" t="s">
        <v>84</v>
      </c>
      <c r="C4" s="72" t="s">
        <v>85</v>
      </c>
      <c r="D4" s="95"/>
      <c r="E4" s="105" t="s">
        <v>86</v>
      </c>
      <c r="F4" s="95"/>
      <c r="G4" s="82" t="s">
        <v>87</v>
      </c>
      <c r="H4" s="102" t="s">
        <v>88</v>
      </c>
      <c r="I4" s="95"/>
      <c r="J4" s="102" t="s">
        <v>89</v>
      </c>
      <c r="K4" s="102" t="s">
        <v>90</v>
      </c>
      <c r="L4" s="95"/>
      <c r="M4" s="82" t="s">
        <v>91</v>
      </c>
      <c r="N4" s="82" t="s">
        <v>92</v>
      </c>
      <c r="O4" s="95"/>
      <c r="P4" s="72" t="s">
        <v>93</v>
      </c>
      <c r="Q4" s="95"/>
      <c r="R4" s="72" t="s">
        <v>94</v>
      </c>
      <c r="S4" s="72" t="s">
        <v>95</v>
      </c>
      <c r="T4" s="95"/>
      <c r="U4" s="72" t="s">
        <v>96</v>
      </c>
      <c r="V4" s="72" t="s">
        <v>97</v>
      </c>
      <c r="W4" s="95"/>
      <c r="X4" s="72" t="s">
        <v>98</v>
      </c>
      <c r="Y4" s="95"/>
      <c r="Z4" s="72" t="s">
        <v>99</v>
      </c>
    </row>
    <row r="5" customFormat="false" ht="15" hidden="false" customHeight="false" outlineLevel="0" collapsed="false">
      <c r="A5" s="94"/>
      <c r="B5" s="82" t="s">
        <v>100</v>
      </c>
      <c r="C5" s="72" t="s">
        <v>85</v>
      </c>
      <c r="D5" s="95"/>
      <c r="E5" s="105" t="s">
        <v>101</v>
      </c>
      <c r="F5" s="95"/>
      <c r="G5" s="82" t="s">
        <v>102</v>
      </c>
      <c r="H5" s="102" t="s">
        <v>103</v>
      </c>
      <c r="I5" s="95"/>
      <c r="J5" s="102" t="s">
        <v>104</v>
      </c>
      <c r="K5" s="102" t="s">
        <v>105</v>
      </c>
      <c r="L5" s="95"/>
      <c r="M5" s="82" t="s">
        <v>106</v>
      </c>
      <c r="N5" s="82" t="s">
        <v>107</v>
      </c>
      <c r="O5" s="95"/>
      <c r="P5" s="72" t="s">
        <v>108</v>
      </c>
      <c r="Q5" s="95"/>
      <c r="R5" s="72" t="s">
        <v>109</v>
      </c>
      <c r="S5" s="72" t="s">
        <v>110</v>
      </c>
      <c r="T5" s="95"/>
      <c r="U5" s="72" t="s">
        <v>111</v>
      </c>
      <c r="V5" s="72" t="s">
        <v>112</v>
      </c>
      <c r="W5" s="95"/>
      <c r="X5" s="72" t="s">
        <v>113</v>
      </c>
      <c r="Y5" s="95"/>
      <c r="Z5" s="72" t="s">
        <v>114</v>
      </c>
    </row>
    <row r="6" customFormat="false" ht="15" hidden="false" customHeight="false" outlineLevel="0" collapsed="false">
      <c r="A6" s="94"/>
      <c r="B6" s="82" t="s">
        <v>115</v>
      </c>
      <c r="C6" s="72" t="s">
        <v>85</v>
      </c>
      <c r="D6" s="95"/>
      <c r="E6" s="106" t="s">
        <v>101</v>
      </c>
      <c r="F6" s="95"/>
      <c r="G6" s="82" t="s">
        <v>116</v>
      </c>
      <c r="H6" s="102" t="s">
        <v>117</v>
      </c>
      <c r="I6" s="95"/>
      <c r="J6" s="102" t="s">
        <v>118</v>
      </c>
      <c r="K6" s="102" t="s">
        <v>119</v>
      </c>
      <c r="L6" s="95"/>
      <c r="O6" s="95"/>
      <c r="P6" s="72" t="s">
        <v>120</v>
      </c>
      <c r="Q6" s="95"/>
      <c r="R6" s="72" t="s">
        <v>121</v>
      </c>
      <c r="S6" s="72" t="s">
        <v>122</v>
      </c>
      <c r="T6" s="95"/>
      <c r="U6" s="72" t="s">
        <v>123</v>
      </c>
      <c r="V6" s="72" t="s">
        <v>124</v>
      </c>
      <c r="W6" s="95"/>
      <c r="X6" s="72" t="s">
        <v>106</v>
      </c>
      <c r="Y6" s="95"/>
      <c r="Z6" s="72"/>
    </row>
    <row r="7" customFormat="false" ht="15" hidden="false" customHeight="false" outlineLevel="0" collapsed="false">
      <c r="A7" s="94"/>
      <c r="B7" s="82" t="s">
        <v>125</v>
      </c>
      <c r="C7" s="72" t="s">
        <v>85</v>
      </c>
      <c r="D7" s="95"/>
      <c r="E7" s="106" t="s">
        <v>86</v>
      </c>
      <c r="F7" s="95"/>
      <c r="G7" s="82" t="s">
        <v>126</v>
      </c>
      <c r="H7" s="102" t="s">
        <v>127</v>
      </c>
      <c r="I7" s="95"/>
      <c r="J7" s="102" t="s">
        <v>128</v>
      </c>
      <c r="K7" s="102" t="s">
        <v>129</v>
      </c>
      <c r="L7" s="95"/>
      <c r="O7" s="95"/>
      <c r="Q7" s="95"/>
      <c r="R7" s="72" t="s">
        <v>130</v>
      </c>
      <c r="S7" s="72" t="s">
        <v>131</v>
      </c>
      <c r="T7" s="95"/>
      <c r="U7" s="72" t="s">
        <v>132</v>
      </c>
      <c r="V7" s="72" t="s">
        <v>133</v>
      </c>
      <c r="W7" s="95"/>
      <c r="X7" s="72" t="s">
        <v>134</v>
      </c>
      <c r="Y7" s="95"/>
    </row>
    <row r="8" customFormat="false" ht="15" hidden="false" customHeight="false" outlineLevel="0" collapsed="false">
      <c r="A8" s="94"/>
      <c r="B8" s="82" t="s">
        <v>135</v>
      </c>
      <c r="C8" s="72" t="s">
        <v>85</v>
      </c>
      <c r="D8" s="95"/>
      <c r="E8" s="106" t="s">
        <v>101</v>
      </c>
      <c r="F8" s="95"/>
      <c r="G8" s="82" t="s">
        <v>136</v>
      </c>
      <c r="H8" s="102" t="s">
        <v>137</v>
      </c>
      <c r="I8" s="95"/>
      <c r="J8" s="102"/>
      <c r="L8" s="95"/>
      <c r="O8" s="95"/>
      <c r="Q8" s="95"/>
      <c r="S8" s="96"/>
      <c r="T8" s="95"/>
      <c r="U8" s="72" t="s">
        <v>138</v>
      </c>
      <c r="V8" s="72" t="s">
        <v>139</v>
      </c>
      <c r="W8" s="95"/>
      <c r="X8" s="72" t="s">
        <v>140</v>
      </c>
      <c r="Y8" s="95"/>
    </row>
    <row r="9" customFormat="false" ht="15" hidden="false" customHeight="false" outlineLevel="0" collapsed="false">
      <c r="A9" s="94"/>
      <c r="B9" s="82" t="s">
        <v>141</v>
      </c>
      <c r="C9" s="72" t="s">
        <v>85</v>
      </c>
      <c r="D9" s="95"/>
      <c r="E9" s="106" t="s">
        <v>101</v>
      </c>
      <c r="F9" s="95"/>
      <c r="G9" s="82" t="s">
        <v>142</v>
      </c>
      <c r="H9" s="102" t="s">
        <v>143</v>
      </c>
      <c r="I9" s="95"/>
      <c r="J9" s="102"/>
      <c r="K9" s="102"/>
      <c r="L9" s="95"/>
      <c r="O9" s="95"/>
      <c r="Q9" s="95"/>
      <c r="S9" s="96"/>
      <c r="T9" s="95"/>
      <c r="W9" s="95"/>
      <c r="Y9" s="95"/>
    </row>
    <row r="10" customFormat="false" ht="15" hidden="false" customHeight="false" outlineLevel="0" collapsed="false">
      <c r="A10" s="94"/>
      <c r="B10" s="82" t="s">
        <v>144</v>
      </c>
      <c r="C10" s="72" t="s">
        <v>85</v>
      </c>
      <c r="D10" s="95"/>
      <c r="E10" s="106" t="s">
        <v>101</v>
      </c>
      <c r="F10" s="95"/>
      <c r="G10" s="82" t="s">
        <v>145</v>
      </c>
      <c r="H10" s="102" t="s">
        <v>146</v>
      </c>
      <c r="I10" s="95"/>
      <c r="J10" s="102"/>
      <c r="K10" s="102"/>
      <c r="L10" s="95"/>
      <c r="O10" s="95"/>
      <c r="Q10" s="95"/>
      <c r="S10" s="96"/>
      <c r="T10" s="95"/>
      <c r="W10" s="95"/>
      <c r="Y10" s="95"/>
    </row>
    <row r="11" customFormat="false" ht="15" hidden="false" customHeight="false" outlineLevel="0" collapsed="false">
      <c r="A11" s="94"/>
      <c r="B11" s="82" t="s">
        <v>147</v>
      </c>
      <c r="C11" s="72" t="s">
        <v>85</v>
      </c>
      <c r="D11" s="95"/>
      <c r="E11" s="106" t="s">
        <v>101</v>
      </c>
      <c r="F11" s="95"/>
      <c r="G11" s="82" t="s">
        <v>148</v>
      </c>
      <c r="H11" s="102" t="s">
        <v>149</v>
      </c>
      <c r="I11" s="95"/>
      <c r="J11" s="102"/>
      <c r="K11" s="102"/>
      <c r="L11" s="95"/>
      <c r="O11" s="95"/>
      <c r="Q11" s="95"/>
      <c r="S11" s="96"/>
      <c r="T11" s="95"/>
      <c r="W11" s="95"/>
      <c r="Y11" s="95"/>
    </row>
    <row r="12" customFormat="false" ht="15" hidden="false" customHeight="false" outlineLevel="0" collapsed="false">
      <c r="A12" s="94"/>
      <c r="B12" s="82" t="s">
        <v>150</v>
      </c>
      <c r="C12" s="72" t="s">
        <v>85</v>
      </c>
      <c r="D12" s="95"/>
      <c r="E12" s="106" t="s">
        <v>101</v>
      </c>
      <c r="F12" s="95"/>
      <c r="G12" s="82" t="s">
        <v>151</v>
      </c>
      <c r="H12" s="102" t="s">
        <v>152</v>
      </c>
      <c r="I12" s="95"/>
      <c r="J12" s="102"/>
      <c r="K12" s="102"/>
      <c r="L12" s="95"/>
      <c r="O12" s="95"/>
      <c r="Q12" s="95"/>
      <c r="S12" s="96"/>
      <c r="T12" s="95"/>
      <c r="W12" s="95"/>
      <c r="Y12" s="95"/>
    </row>
    <row r="13" customFormat="false" ht="15" hidden="false" customHeight="false" outlineLevel="0" collapsed="false">
      <c r="A13" s="94"/>
      <c r="B13" s="82" t="s">
        <v>153</v>
      </c>
      <c r="C13" s="72" t="s">
        <v>85</v>
      </c>
      <c r="D13" s="95"/>
      <c r="E13" s="106" t="s">
        <v>101</v>
      </c>
      <c r="F13" s="95"/>
      <c r="G13" s="82" t="s">
        <v>154</v>
      </c>
      <c r="H13" s="102" t="s">
        <v>155</v>
      </c>
      <c r="I13" s="95"/>
      <c r="J13" s="102"/>
      <c r="K13" s="102"/>
      <c r="L13" s="95"/>
      <c r="O13" s="95"/>
      <c r="Q13" s="95"/>
      <c r="S13" s="96"/>
      <c r="T13" s="95"/>
      <c r="W13" s="95"/>
      <c r="Y13" s="95"/>
    </row>
    <row r="14" customFormat="false" ht="15" hidden="false" customHeight="false" outlineLevel="0" collapsed="false">
      <c r="A14" s="94"/>
      <c r="B14" s="82" t="s">
        <v>156</v>
      </c>
      <c r="C14" s="72" t="s">
        <v>85</v>
      </c>
      <c r="D14" s="95"/>
      <c r="E14" s="105" t="s">
        <v>157</v>
      </c>
      <c r="F14" s="95"/>
      <c r="G14" s="82" t="s">
        <v>158</v>
      </c>
      <c r="H14" s="102" t="s">
        <v>159</v>
      </c>
      <c r="I14" s="95"/>
      <c r="J14" s="102"/>
      <c r="K14" s="102"/>
      <c r="L14" s="95"/>
      <c r="O14" s="95"/>
      <c r="Q14" s="95"/>
      <c r="S14" s="96"/>
      <c r="T14" s="95"/>
      <c r="W14" s="95"/>
      <c r="Y14" s="95"/>
    </row>
    <row r="15" customFormat="false" ht="15" hidden="false" customHeight="false" outlineLevel="0" collapsed="false">
      <c r="A15" s="94"/>
      <c r="B15" s="82" t="s">
        <v>160</v>
      </c>
      <c r="C15" s="72" t="s">
        <v>85</v>
      </c>
      <c r="D15" s="95"/>
      <c r="E15" s="105" t="s">
        <v>157</v>
      </c>
      <c r="F15" s="95"/>
      <c r="G15" s="82" t="s">
        <v>161</v>
      </c>
      <c r="H15" s="102" t="s">
        <v>162</v>
      </c>
      <c r="I15" s="95"/>
      <c r="J15" s="102"/>
      <c r="K15" s="102"/>
      <c r="L15" s="95"/>
      <c r="O15" s="95"/>
      <c r="Q15" s="95"/>
      <c r="R15" s="96" t="s">
        <v>163</v>
      </c>
      <c r="S15" s="96"/>
      <c r="T15" s="95"/>
      <c r="W15" s="95"/>
      <c r="Y15" s="95"/>
    </row>
    <row r="16" customFormat="false" ht="15" hidden="false" customHeight="false" outlineLevel="0" collapsed="false">
      <c r="A16" s="94"/>
      <c r="B16" s="82" t="s">
        <v>164</v>
      </c>
      <c r="C16" s="72" t="s">
        <v>85</v>
      </c>
      <c r="D16" s="95"/>
      <c r="E16" s="106" t="s">
        <v>101</v>
      </c>
      <c r="F16" s="95"/>
      <c r="G16" s="82" t="s">
        <v>165</v>
      </c>
      <c r="H16" s="102" t="s">
        <v>166</v>
      </c>
      <c r="I16" s="95"/>
      <c r="J16" s="102"/>
      <c r="K16" s="102"/>
      <c r="L16" s="95"/>
      <c r="O16" s="95"/>
      <c r="Q16" s="95"/>
      <c r="S16" s="96"/>
      <c r="T16" s="95"/>
      <c r="W16" s="95"/>
      <c r="Y16" s="95"/>
    </row>
    <row r="17" customFormat="false" ht="15" hidden="false" customHeight="false" outlineLevel="0" collapsed="false">
      <c r="A17" s="94"/>
      <c r="B17" s="82" t="s">
        <v>167</v>
      </c>
      <c r="C17" s="72" t="s">
        <v>85</v>
      </c>
      <c r="D17" s="95"/>
      <c r="E17" s="106" t="s">
        <v>101</v>
      </c>
      <c r="F17" s="95"/>
      <c r="G17" s="82" t="s">
        <v>168</v>
      </c>
      <c r="H17" s="102" t="s">
        <v>169</v>
      </c>
      <c r="I17" s="95"/>
      <c r="J17" s="102"/>
      <c r="K17" s="102"/>
      <c r="L17" s="95"/>
      <c r="O17" s="95"/>
      <c r="Q17" s="95"/>
      <c r="S17" s="96"/>
      <c r="T17" s="95"/>
      <c r="W17" s="95"/>
      <c r="Y17" s="95"/>
    </row>
    <row r="18" customFormat="false" ht="15" hidden="false" customHeight="false" outlineLevel="0" collapsed="false">
      <c r="A18" s="94"/>
      <c r="B18" s="82" t="s">
        <v>170</v>
      </c>
      <c r="C18" s="72" t="s">
        <v>85</v>
      </c>
      <c r="D18" s="95"/>
      <c r="E18" s="106" t="s">
        <v>101</v>
      </c>
      <c r="F18" s="95"/>
      <c r="G18" s="82" t="s">
        <v>171</v>
      </c>
      <c r="H18" s="102" t="s">
        <v>172</v>
      </c>
      <c r="I18" s="95"/>
      <c r="J18" s="102"/>
      <c r="K18" s="102"/>
      <c r="L18" s="95"/>
      <c r="O18" s="95"/>
      <c r="Q18" s="95"/>
      <c r="S18" s="96"/>
      <c r="T18" s="95"/>
      <c r="W18" s="95"/>
      <c r="Y18" s="95"/>
    </row>
    <row r="19" customFormat="false" ht="15" hidden="false" customHeight="false" outlineLevel="0" collapsed="false">
      <c r="A19" s="94"/>
      <c r="B19" s="82" t="s">
        <v>173</v>
      </c>
      <c r="C19" s="72" t="s">
        <v>85</v>
      </c>
      <c r="D19" s="95"/>
      <c r="E19" s="106" t="s">
        <v>101</v>
      </c>
      <c r="F19" s="95"/>
      <c r="G19" s="82" t="s">
        <v>174</v>
      </c>
      <c r="H19" s="102" t="s">
        <v>175</v>
      </c>
      <c r="I19" s="95"/>
      <c r="J19" s="102"/>
      <c r="K19" s="102"/>
      <c r="L19" s="95"/>
      <c r="O19" s="95"/>
      <c r="Q19" s="95"/>
      <c r="S19" s="96"/>
      <c r="T19" s="95"/>
      <c r="W19" s="95"/>
      <c r="Y19" s="95"/>
    </row>
    <row r="20" customFormat="false" ht="15" hidden="false" customHeight="false" outlineLevel="0" collapsed="false">
      <c r="A20" s="94"/>
      <c r="B20" s="82" t="s">
        <v>176</v>
      </c>
      <c r="C20" s="72" t="s">
        <v>85</v>
      </c>
      <c r="D20" s="95"/>
      <c r="E20" s="106" t="s">
        <v>101</v>
      </c>
      <c r="F20" s="95"/>
      <c r="G20" s="82" t="s">
        <v>177</v>
      </c>
      <c r="H20" s="102" t="s">
        <v>178</v>
      </c>
      <c r="I20" s="95"/>
      <c r="J20" s="102"/>
      <c r="K20" s="102"/>
      <c r="L20" s="95"/>
      <c r="O20" s="95"/>
      <c r="Q20" s="95"/>
      <c r="S20" s="96"/>
      <c r="T20" s="95"/>
      <c r="W20" s="95"/>
      <c r="Y20" s="95"/>
    </row>
    <row r="21" customFormat="false" ht="15.75" hidden="false" customHeight="true" outlineLevel="0" collapsed="false">
      <c r="A21" s="94"/>
      <c r="B21" s="82" t="s">
        <v>179</v>
      </c>
      <c r="C21" s="72" t="s">
        <v>85</v>
      </c>
      <c r="D21" s="95"/>
      <c r="E21" s="106" t="s">
        <v>101</v>
      </c>
      <c r="F21" s="95"/>
      <c r="G21" s="82" t="s">
        <v>180</v>
      </c>
      <c r="H21" s="102" t="s">
        <v>181</v>
      </c>
      <c r="I21" s="95"/>
      <c r="J21" s="102"/>
      <c r="K21" s="102"/>
      <c r="L21" s="95"/>
      <c r="O21" s="95"/>
      <c r="Q21" s="95"/>
      <c r="S21" s="96"/>
      <c r="T21" s="95"/>
      <c r="W21" s="95"/>
      <c r="Y21" s="95"/>
    </row>
    <row r="22" customFormat="false" ht="15.75" hidden="false" customHeight="true" outlineLevel="0" collapsed="false">
      <c r="A22" s="94"/>
      <c r="B22" s="82" t="s">
        <v>182</v>
      </c>
      <c r="C22" s="72" t="s">
        <v>85</v>
      </c>
      <c r="D22" s="95"/>
      <c r="E22" s="106" t="s">
        <v>101</v>
      </c>
      <c r="F22" s="95"/>
      <c r="G22" s="82" t="s">
        <v>183</v>
      </c>
      <c r="H22" s="102" t="s">
        <v>184</v>
      </c>
      <c r="I22" s="95"/>
      <c r="J22" s="102"/>
      <c r="K22" s="102"/>
      <c r="L22" s="95"/>
      <c r="O22" s="95"/>
      <c r="Q22" s="95"/>
      <c r="S22" s="96"/>
      <c r="T22" s="95"/>
      <c r="W22" s="95"/>
      <c r="Y22" s="95"/>
    </row>
    <row r="23" customFormat="false" ht="15.75" hidden="false" customHeight="true" outlineLevel="0" collapsed="false">
      <c r="A23" s="94"/>
      <c r="B23" s="82" t="s">
        <v>185</v>
      </c>
      <c r="C23" s="72" t="s">
        <v>85</v>
      </c>
      <c r="D23" s="95"/>
      <c r="E23" s="106" t="s">
        <v>101</v>
      </c>
      <c r="F23" s="95"/>
      <c r="G23" s="82" t="s">
        <v>186</v>
      </c>
      <c r="H23" s="102" t="s">
        <v>187</v>
      </c>
      <c r="I23" s="95"/>
      <c r="J23" s="102"/>
      <c r="K23" s="102"/>
      <c r="L23" s="95"/>
      <c r="O23" s="95"/>
      <c r="Q23" s="95"/>
      <c r="S23" s="96"/>
      <c r="T23" s="95"/>
      <c r="W23" s="95"/>
      <c r="Y23" s="95"/>
    </row>
    <row r="24" customFormat="false" ht="15.75" hidden="false" customHeight="true" outlineLevel="0" collapsed="false">
      <c r="A24" s="94"/>
      <c r="B24" s="82" t="s">
        <v>188</v>
      </c>
      <c r="C24" s="72" t="s">
        <v>85</v>
      </c>
      <c r="D24" s="95"/>
      <c r="E24" s="106" t="s">
        <v>101</v>
      </c>
      <c r="F24" s="95"/>
      <c r="G24" s="82" t="s">
        <v>189</v>
      </c>
      <c r="H24" s="102" t="s">
        <v>190</v>
      </c>
      <c r="I24" s="95"/>
      <c r="J24" s="102"/>
      <c r="K24" s="102"/>
      <c r="L24" s="95"/>
      <c r="O24" s="95"/>
      <c r="Q24" s="95"/>
      <c r="S24" s="96"/>
      <c r="T24" s="95"/>
      <c r="W24" s="95"/>
      <c r="Y24" s="95"/>
    </row>
    <row r="25" customFormat="false" ht="15.75" hidden="false" customHeight="true" outlineLevel="0" collapsed="false">
      <c r="A25" s="94"/>
      <c r="B25" s="82" t="s">
        <v>191</v>
      </c>
      <c r="C25" s="72" t="s">
        <v>85</v>
      </c>
      <c r="D25" s="95"/>
      <c r="E25" s="106" t="s">
        <v>101</v>
      </c>
      <c r="F25" s="95"/>
      <c r="G25" s="82" t="s">
        <v>192</v>
      </c>
      <c r="H25" s="102" t="s">
        <v>193</v>
      </c>
      <c r="I25" s="95"/>
      <c r="J25" s="102"/>
      <c r="K25" s="102"/>
      <c r="L25" s="95"/>
      <c r="O25" s="95"/>
      <c r="Q25" s="95"/>
      <c r="S25" s="96"/>
      <c r="T25" s="95"/>
      <c r="W25" s="95"/>
      <c r="Y25" s="95"/>
    </row>
    <row r="26" customFormat="false" ht="15.75" hidden="false" customHeight="true" outlineLevel="0" collapsed="false">
      <c r="A26" s="94"/>
      <c r="B26" s="82" t="s">
        <v>194</v>
      </c>
      <c r="C26" s="72" t="s">
        <v>85</v>
      </c>
      <c r="D26" s="95"/>
      <c r="E26" s="106" t="s">
        <v>101</v>
      </c>
      <c r="F26" s="95"/>
      <c r="G26" s="82" t="s">
        <v>195</v>
      </c>
      <c r="H26" s="102" t="s">
        <v>196</v>
      </c>
      <c r="I26" s="95"/>
      <c r="J26" s="102"/>
      <c r="K26" s="102"/>
      <c r="L26" s="95"/>
      <c r="O26" s="95"/>
      <c r="Q26" s="95"/>
      <c r="S26" s="96"/>
      <c r="T26" s="95"/>
      <c r="W26" s="95"/>
      <c r="Y26" s="95"/>
    </row>
    <row r="27" customFormat="false" ht="15.75" hidden="false" customHeight="true" outlineLevel="0" collapsed="false">
      <c r="A27" s="94"/>
      <c r="B27" s="82" t="s">
        <v>197</v>
      </c>
      <c r="C27" s="72" t="s">
        <v>85</v>
      </c>
      <c r="D27" s="95"/>
      <c r="E27" s="106" t="s">
        <v>101</v>
      </c>
      <c r="F27" s="95"/>
      <c r="G27" s="82" t="s">
        <v>198</v>
      </c>
      <c r="H27" s="102" t="s">
        <v>199</v>
      </c>
      <c r="I27" s="95"/>
      <c r="J27" s="102"/>
      <c r="K27" s="102"/>
      <c r="L27" s="95"/>
      <c r="O27" s="95"/>
      <c r="Q27" s="95"/>
      <c r="S27" s="96"/>
      <c r="T27" s="95"/>
      <c r="W27" s="95"/>
      <c r="Y27" s="95"/>
    </row>
    <row r="28" customFormat="false" ht="15.75" hidden="false" customHeight="true" outlineLevel="0" collapsed="false">
      <c r="A28" s="94"/>
      <c r="B28" s="82" t="s">
        <v>200</v>
      </c>
      <c r="C28" s="72" t="s">
        <v>85</v>
      </c>
      <c r="D28" s="95"/>
      <c r="E28" s="106" t="s">
        <v>101</v>
      </c>
      <c r="F28" s="95"/>
      <c r="G28" s="82" t="s">
        <v>201</v>
      </c>
      <c r="H28" s="102" t="s">
        <v>202</v>
      </c>
      <c r="I28" s="95"/>
      <c r="J28" s="102"/>
      <c r="K28" s="102"/>
      <c r="L28" s="95"/>
      <c r="O28" s="95"/>
      <c r="Q28" s="95"/>
      <c r="S28" s="96"/>
      <c r="T28" s="95"/>
      <c r="W28" s="95"/>
      <c r="Y28" s="95"/>
    </row>
    <row r="29" customFormat="false" ht="15.75" hidden="false" customHeight="true" outlineLevel="0" collapsed="false">
      <c r="A29" s="94"/>
      <c r="B29" s="82" t="s">
        <v>203</v>
      </c>
      <c r="C29" s="72" t="s">
        <v>85</v>
      </c>
      <c r="D29" s="95"/>
      <c r="E29" s="106" t="s">
        <v>101</v>
      </c>
      <c r="F29" s="95"/>
      <c r="G29" s="82" t="s">
        <v>204</v>
      </c>
      <c r="H29" s="102" t="s">
        <v>205</v>
      </c>
      <c r="I29" s="95"/>
      <c r="J29" s="102"/>
      <c r="K29" s="102"/>
      <c r="L29" s="95"/>
      <c r="O29" s="95"/>
      <c r="Q29" s="95"/>
      <c r="S29" s="96"/>
      <c r="T29" s="95"/>
      <c r="W29" s="95"/>
      <c r="Y29" s="95"/>
    </row>
    <row r="30" customFormat="false" ht="15.75" hidden="false" customHeight="true" outlineLevel="0" collapsed="false">
      <c r="A30" s="94"/>
      <c r="B30" s="82" t="s">
        <v>206</v>
      </c>
      <c r="C30" s="72" t="s">
        <v>85</v>
      </c>
      <c r="D30" s="95"/>
      <c r="E30" s="106" t="s">
        <v>101</v>
      </c>
      <c r="F30" s="95"/>
      <c r="G30" s="82" t="s">
        <v>207</v>
      </c>
      <c r="H30" s="102" t="s">
        <v>208</v>
      </c>
      <c r="I30" s="95"/>
      <c r="J30" s="102"/>
      <c r="K30" s="102"/>
      <c r="L30" s="95"/>
      <c r="O30" s="95"/>
      <c r="Q30" s="95"/>
      <c r="S30" s="96"/>
      <c r="T30" s="95"/>
      <c r="W30" s="95"/>
      <c r="Y30" s="95"/>
    </row>
    <row r="31" customFormat="false" ht="15.75" hidden="false" customHeight="true" outlineLevel="0" collapsed="false">
      <c r="A31" s="94"/>
      <c r="B31" s="82" t="s">
        <v>209</v>
      </c>
      <c r="C31" s="82"/>
      <c r="D31" s="95"/>
      <c r="E31" s="107" t="s">
        <v>210</v>
      </c>
      <c r="F31" s="95"/>
      <c r="G31" s="82" t="s">
        <v>211</v>
      </c>
      <c r="H31" s="102" t="s">
        <v>212</v>
      </c>
      <c r="I31" s="95"/>
      <c r="J31" s="102"/>
      <c r="K31" s="102"/>
      <c r="L31" s="95"/>
      <c r="O31" s="95"/>
      <c r="Q31" s="95"/>
      <c r="S31" s="96"/>
      <c r="T31" s="95"/>
      <c r="W31" s="95"/>
      <c r="Y31" s="95"/>
    </row>
    <row r="32" customFormat="false" ht="15.75" hidden="false" customHeight="true" outlineLevel="0" collapsed="false">
      <c r="A32" s="94"/>
      <c r="D32" s="95"/>
      <c r="F32" s="95"/>
      <c r="G32" s="82" t="s">
        <v>213</v>
      </c>
      <c r="H32" s="102" t="s">
        <v>214</v>
      </c>
      <c r="I32" s="95"/>
      <c r="J32" s="102"/>
      <c r="K32" s="102"/>
      <c r="L32" s="95"/>
      <c r="O32" s="95"/>
      <c r="Q32" s="95"/>
      <c r="S32" s="96"/>
      <c r="T32" s="95"/>
      <c r="W32" s="95"/>
      <c r="Y32" s="95"/>
    </row>
    <row r="33" customFormat="false" ht="15.75" hidden="false" customHeight="true" outlineLevel="0" collapsed="false">
      <c r="A33" s="94"/>
      <c r="D33" s="95"/>
      <c r="F33" s="95"/>
      <c r="G33" s="82" t="s">
        <v>215</v>
      </c>
      <c r="H33" s="102" t="s">
        <v>216</v>
      </c>
      <c r="I33" s="95"/>
      <c r="J33" s="102"/>
      <c r="K33" s="102"/>
      <c r="L33" s="95"/>
      <c r="O33" s="95"/>
      <c r="Q33" s="95"/>
      <c r="S33" s="96"/>
      <c r="T33" s="95"/>
      <c r="W33" s="95"/>
      <c r="Y33" s="95"/>
    </row>
    <row r="34" customFormat="false" ht="15.75" hidden="false" customHeight="true" outlineLevel="0" collapsed="false">
      <c r="A34" s="94"/>
      <c r="D34" s="95"/>
      <c r="F34" s="95"/>
      <c r="G34" s="82" t="s">
        <v>217</v>
      </c>
      <c r="H34" s="102" t="s">
        <v>218</v>
      </c>
      <c r="I34" s="95"/>
      <c r="J34" s="102"/>
      <c r="K34" s="102"/>
      <c r="L34" s="95"/>
      <c r="O34" s="95"/>
      <c r="Q34" s="95"/>
      <c r="S34" s="96"/>
      <c r="T34" s="95"/>
      <c r="W34" s="95"/>
      <c r="Y34" s="95"/>
    </row>
    <row r="35" customFormat="false" ht="15.75" hidden="false" customHeight="true" outlineLevel="0" collapsed="false">
      <c r="A35" s="94"/>
      <c r="D35" s="95"/>
      <c r="F35" s="95"/>
      <c r="G35" s="82" t="s">
        <v>219</v>
      </c>
      <c r="H35" s="102" t="s">
        <v>220</v>
      </c>
      <c r="I35" s="95"/>
      <c r="J35" s="102"/>
      <c r="K35" s="102"/>
      <c r="L35" s="95"/>
      <c r="O35" s="95"/>
      <c r="Q35" s="95"/>
      <c r="S35" s="96"/>
      <c r="T35" s="95"/>
      <c r="W35" s="95"/>
      <c r="Y35" s="95"/>
    </row>
    <row r="36" customFormat="false" ht="15.75" hidden="false" customHeight="true" outlineLevel="0" collapsed="false">
      <c r="A36" s="94"/>
      <c r="D36" s="95"/>
      <c r="F36" s="95"/>
      <c r="G36" s="82" t="s">
        <v>221</v>
      </c>
      <c r="H36" s="102" t="s">
        <v>222</v>
      </c>
      <c r="I36" s="95"/>
      <c r="J36" s="102"/>
      <c r="K36" s="102"/>
      <c r="L36" s="95"/>
      <c r="O36" s="95"/>
      <c r="Q36" s="95"/>
      <c r="S36" s="96"/>
      <c r="T36" s="95"/>
      <c r="W36" s="95"/>
      <c r="Y36" s="95"/>
    </row>
    <row r="37" customFormat="false" ht="15.75" hidden="false" customHeight="true" outlineLevel="0" collapsed="false">
      <c r="A37" s="94"/>
      <c r="D37" s="95"/>
      <c r="F37" s="95"/>
      <c r="G37" s="82" t="s">
        <v>223</v>
      </c>
      <c r="H37" s="102" t="s">
        <v>224</v>
      </c>
      <c r="I37" s="95"/>
      <c r="J37" s="102"/>
      <c r="K37" s="102"/>
      <c r="L37" s="95"/>
      <c r="O37" s="95"/>
      <c r="Q37" s="95"/>
      <c r="S37" s="96"/>
      <c r="T37" s="95"/>
      <c r="W37" s="95"/>
      <c r="Y37" s="95"/>
    </row>
    <row r="38" customFormat="false" ht="15.75" hidden="false" customHeight="true" outlineLevel="0" collapsed="false">
      <c r="A38" s="94"/>
      <c r="D38" s="95"/>
      <c r="F38" s="95"/>
      <c r="G38" s="82" t="s">
        <v>225</v>
      </c>
      <c r="H38" s="102" t="s">
        <v>226</v>
      </c>
      <c r="I38" s="95"/>
      <c r="J38" s="102"/>
      <c r="K38" s="102"/>
      <c r="L38" s="95"/>
      <c r="O38" s="95"/>
      <c r="Q38" s="95"/>
      <c r="S38" s="96"/>
      <c r="T38" s="95"/>
      <c r="W38" s="95"/>
      <c r="Y38" s="95"/>
    </row>
    <row r="39" customFormat="false" ht="15.75" hidden="false" customHeight="true" outlineLevel="0" collapsed="false">
      <c r="A39" s="94"/>
      <c r="D39" s="95"/>
      <c r="F39" s="95"/>
      <c r="G39" s="82" t="s">
        <v>227</v>
      </c>
      <c r="H39" s="102" t="s">
        <v>228</v>
      </c>
      <c r="I39" s="95"/>
      <c r="J39" s="102"/>
      <c r="K39" s="102"/>
      <c r="L39" s="95"/>
      <c r="O39" s="95"/>
      <c r="Q39" s="95"/>
      <c r="S39" s="96"/>
      <c r="T39" s="95"/>
      <c r="W39" s="95"/>
      <c r="Y39" s="95"/>
    </row>
    <row r="40" customFormat="false" ht="15.75" hidden="false" customHeight="true" outlineLevel="0" collapsed="false">
      <c r="A40" s="94"/>
      <c r="D40" s="95"/>
      <c r="F40" s="95"/>
      <c r="G40" s="82" t="s">
        <v>229</v>
      </c>
      <c r="H40" s="102" t="s">
        <v>230</v>
      </c>
      <c r="I40" s="95"/>
      <c r="J40" s="102"/>
      <c r="K40" s="102"/>
      <c r="L40" s="95"/>
      <c r="O40" s="95"/>
      <c r="Q40" s="95"/>
      <c r="S40" s="96"/>
      <c r="T40" s="95"/>
      <c r="W40" s="95"/>
      <c r="Y40" s="95"/>
    </row>
    <row r="41" customFormat="false" ht="15.75" hidden="false" customHeight="true" outlineLevel="0" collapsed="false">
      <c r="A41" s="94"/>
      <c r="D41" s="95"/>
      <c r="F41" s="95"/>
      <c r="G41" s="82" t="s">
        <v>231</v>
      </c>
      <c r="H41" s="102" t="s">
        <v>232</v>
      </c>
      <c r="I41" s="95"/>
      <c r="J41" s="102"/>
      <c r="K41" s="102"/>
      <c r="L41" s="95"/>
      <c r="O41" s="95"/>
      <c r="Q41" s="95"/>
      <c r="S41" s="96"/>
      <c r="T41" s="95"/>
      <c r="W41" s="95"/>
      <c r="Y41" s="95"/>
    </row>
    <row r="42" customFormat="false" ht="15.75" hidden="false" customHeight="true" outlineLevel="0" collapsed="false">
      <c r="A42" s="94"/>
      <c r="D42" s="95"/>
      <c r="F42" s="95"/>
      <c r="G42" s="82" t="s">
        <v>233</v>
      </c>
      <c r="H42" s="102" t="s">
        <v>234</v>
      </c>
      <c r="I42" s="95"/>
      <c r="J42" s="102"/>
      <c r="K42" s="102"/>
      <c r="L42" s="95"/>
      <c r="O42" s="95"/>
      <c r="Q42" s="95"/>
      <c r="S42" s="96"/>
      <c r="T42" s="95"/>
      <c r="W42" s="95"/>
      <c r="Y42" s="95"/>
    </row>
    <row r="43" customFormat="false" ht="15.75" hidden="false" customHeight="true" outlineLevel="0" collapsed="false">
      <c r="A43" s="94"/>
      <c r="D43" s="95"/>
      <c r="F43" s="95"/>
      <c r="G43" s="82" t="s">
        <v>235</v>
      </c>
      <c r="H43" s="102" t="s">
        <v>236</v>
      </c>
      <c r="I43" s="95"/>
      <c r="J43" s="102"/>
      <c r="K43" s="102"/>
      <c r="L43" s="95"/>
      <c r="O43" s="95"/>
      <c r="Q43" s="95"/>
      <c r="S43" s="96"/>
      <c r="T43" s="95"/>
      <c r="W43" s="95"/>
      <c r="Y43" s="95"/>
    </row>
    <row r="44" customFormat="false" ht="15.75" hidden="false" customHeight="true" outlineLevel="0" collapsed="false">
      <c r="A44" s="94"/>
      <c r="D44" s="95"/>
      <c r="F44" s="95"/>
      <c r="G44" s="82" t="s">
        <v>237</v>
      </c>
      <c r="H44" s="102" t="s">
        <v>238</v>
      </c>
      <c r="I44" s="95"/>
      <c r="J44" s="102"/>
      <c r="K44" s="102"/>
      <c r="L44" s="95"/>
      <c r="O44" s="95"/>
      <c r="Q44" s="95"/>
      <c r="S44" s="96"/>
      <c r="T44" s="95"/>
      <c r="W44" s="95"/>
      <c r="Y44" s="95"/>
    </row>
    <row r="45" customFormat="false" ht="15.75" hidden="false" customHeight="true" outlineLevel="0" collapsed="false">
      <c r="A45" s="94"/>
      <c r="D45" s="95"/>
      <c r="F45" s="95"/>
      <c r="G45" s="82" t="s">
        <v>239</v>
      </c>
      <c r="H45" s="102" t="s">
        <v>240</v>
      </c>
      <c r="I45" s="95"/>
      <c r="J45" s="102"/>
      <c r="K45" s="102"/>
      <c r="L45" s="95"/>
      <c r="O45" s="95"/>
      <c r="Q45" s="95"/>
      <c r="S45" s="96"/>
      <c r="T45" s="95"/>
      <c r="W45" s="95"/>
      <c r="Y45" s="95"/>
    </row>
    <row r="46" customFormat="false" ht="15.75" hidden="false" customHeight="true" outlineLevel="0" collapsed="false">
      <c r="A46" s="94"/>
      <c r="D46" s="95"/>
      <c r="F46" s="95"/>
      <c r="G46" s="82" t="s">
        <v>241</v>
      </c>
      <c r="H46" s="102" t="s">
        <v>242</v>
      </c>
      <c r="I46" s="95"/>
      <c r="J46" s="102"/>
      <c r="K46" s="102"/>
      <c r="L46" s="95"/>
      <c r="O46" s="95"/>
      <c r="Q46" s="95"/>
      <c r="S46" s="96"/>
      <c r="T46" s="95"/>
      <c r="W46" s="95"/>
      <c r="Y46" s="95"/>
    </row>
    <row r="47" customFormat="false" ht="15.75" hidden="false" customHeight="true" outlineLevel="0" collapsed="false">
      <c r="A47" s="94"/>
      <c r="D47" s="95"/>
      <c r="F47" s="95"/>
      <c r="G47" s="82" t="s">
        <v>243</v>
      </c>
      <c r="H47" s="102" t="s">
        <v>244</v>
      </c>
      <c r="I47" s="95"/>
      <c r="J47" s="102"/>
      <c r="K47" s="102"/>
      <c r="L47" s="95"/>
      <c r="O47" s="95"/>
      <c r="Q47" s="95"/>
      <c r="S47" s="96"/>
      <c r="T47" s="95"/>
      <c r="W47" s="95"/>
      <c r="Y47" s="95"/>
    </row>
    <row r="48" customFormat="false" ht="15.75" hidden="false" customHeight="true" outlineLevel="0" collapsed="false">
      <c r="A48" s="94"/>
      <c r="D48" s="95"/>
      <c r="F48" s="95"/>
      <c r="G48" s="82" t="s">
        <v>245</v>
      </c>
      <c r="H48" s="102" t="s">
        <v>246</v>
      </c>
      <c r="I48" s="95"/>
      <c r="J48" s="102"/>
      <c r="K48" s="102"/>
      <c r="L48" s="95"/>
      <c r="O48" s="95"/>
      <c r="Q48" s="95"/>
      <c r="S48" s="96"/>
      <c r="T48" s="95"/>
      <c r="W48" s="95"/>
      <c r="Y48" s="95"/>
    </row>
    <row r="49" customFormat="false" ht="15.75" hidden="false" customHeight="true" outlineLevel="0" collapsed="false">
      <c r="A49" s="94"/>
      <c r="D49" s="95"/>
      <c r="F49" s="95"/>
      <c r="G49" s="82" t="s">
        <v>247</v>
      </c>
      <c r="H49" s="102" t="s">
        <v>248</v>
      </c>
      <c r="I49" s="95"/>
      <c r="J49" s="102"/>
      <c r="K49" s="102"/>
      <c r="L49" s="95"/>
      <c r="O49" s="95"/>
      <c r="Q49" s="95"/>
      <c r="S49" s="96"/>
      <c r="T49" s="95"/>
      <c r="W49" s="95"/>
      <c r="Y49" s="95"/>
    </row>
    <row r="50" customFormat="false" ht="15.75" hidden="false" customHeight="true" outlineLevel="0" collapsed="false">
      <c r="A50" s="94"/>
      <c r="D50" s="95"/>
      <c r="F50" s="95"/>
      <c r="G50" s="82" t="s">
        <v>249</v>
      </c>
      <c r="H50" s="102" t="s">
        <v>250</v>
      </c>
      <c r="I50" s="95"/>
      <c r="J50" s="102"/>
      <c r="K50" s="102"/>
      <c r="L50" s="95"/>
      <c r="O50" s="95"/>
      <c r="Q50" s="95"/>
      <c r="S50" s="96"/>
      <c r="T50" s="95"/>
      <c r="W50" s="95"/>
      <c r="Y50" s="95"/>
    </row>
    <row r="51" customFormat="false" ht="15.75" hidden="false" customHeight="true" outlineLevel="0" collapsed="false">
      <c r="A51" s="94"/>
      <c r="D51" s="95"/>
      <c r="F51" s="95"/>
      <c r="G51" s="82" t="s">
        <v>251</v>
      </c>
      <c r="H51" s="102" t="s">
        <v>252</v>
      </c>
      <c r="I51" s="95"/>
      <c r="J51" s="102"/>
      <c r="K51" s="102"/>
      <c r="L51" s="95"/>
      <c r="O51" s="95"/>
      <c r="Q51" s="95"/>
      <c r="S51" s="96"/>
      <c r="T51" s="95"/>
      <c r="W51" s="95"/>
      <c r="Y51" s="95"/>
    </row>
    <row r="52" customFormat="false" ht="15.75" hidden="false" customHeight="true" outlineLevel="0" collapsed="false">
      <c r="A52" s="94"/>
      <c r="D52" s="95"/>
      <c r="F52" s="95"/>
      <c r="G52" s="82" t="s">
        <v>253</v>
      </c>
      <c r="H52" s="102" t="s">
        <v>254</v>
      </c>
      <c r="I52" s="95"/>
      <c r="J52" s="102"/>
      <c r="K52" s="102"/>
      <c r="L52" s="95"/>
      <c r="O52" s="95"/>
      <c r="Q52" s="95"/>
      <c r="S52" s="96"/>
      <c r="T52" s="95"/>
      <c r="W52" s="95"/>
      <c r="Y52" s="95"/>
    </row>
    <row r="53" customFormat="false" ht="15.75" hidden="false" customHeight="true" outlineLevel="0" collapsed="false">
      <c r="A53" s="94"/>
      <c r="D53" s="95"/>
      <c r="F53" s="95"/>
      <c r="G53" s="82" t="s">
        <v>255</v>
      </c>
      <c r="H53" s="102" t="s">
        <v>256</v>
      </c>
      <c r="I53" s="95"/>
      <c r="J53" s="102"/>
      <c r="K53" s="102"/>
      <c r="L53" s="95"/>
      <c r="O53" s="95"/>
      <c r="Q53" s="95"/>
      <c r="S53" s="96"/>
      <c r="T53" s="95"/>
      <c r="W53" s="95"/>
      <c r="Y53" s="95"/>
    </row>
    <row r="54" customFormat="false" ht="15.75" hidden="false" customHeight="true" outlineLevel="0" collapsed="false">
      <c r="A54" s="94"/>
      <c r="D54" s="95"/>
      <c r="F54" s="95"/>
      <c r="G54" s="82" t="s">
        <v>257</v>
      </c>
      <c r="H54" s="102" t="s">
        <v>258</v>
      </c>
      <c r="I54" s="95"/>
      <c r="J54" s="102"/>
      <c r="K54" s="102"/>
      <c r="L54" s="95"/>
      <c r="O54" s="95"/>
      <c r="Q54" s="95"/>
      <c r="S54" s="96"/>
      <c r="T54" s="95"/>
      <c r="W54" s="95"/>
      <c r="Y54" s="95"/>
    </row>
    <row r="55" customFormat="false" ht="15.75" hidden="false" customHeight="true" outlineLevel="0" collapsed="false">
      <c r="A55" s="94"/>
      <c r="D55" s="95"/>
      <c r="F55" s="95"/>
      <c r="G55" s="82" t="s">
        <v>259</v>
      </c>
      <c r="H55" s="102" t="s">
        <v>260</v>
      </c>
      <c r="I55" s="95"/>
      <c r="J55" s="102"/>
      <c r="K55" s="102"/>
      <c r="L55" s="95"/>
      <c r="O55" s="95"/>
      <c r="Q55" s="95"/>
      <c r="S55" s="96"/>
      <c r="T55" s="95"/>
      <c r="W55" s="95"/>
      <c r="Y55" s="95"/>
    </row>
    <row r="56" customFormat="false" ht="15.75" hidden="false" customHeight="true" outlineLevel="0" collapsed="false">
      <c r="A56" s="94"/>
      <c r="D56" s="95"/>
      <c r="F56" s="95"/>
      <c r="G56" s="82" t="s">
        <v>261</v>
      </c>
      <c r="H56" s="102" t="s">
        <v>262</v>
      </c>
      <c r="I56" s="95"/>
      <c r="J56" s="102"/>
      <c r="K56" s="102"/>
      <c r="L56" s="95"/>
      <c r="O56" s="95"/>
      <c r="Q56" s="95"/>
      <c r="S56" s="96"/>
      <c r="T56" s="95"/>
      <c r="W56" s="95"/>
      <c r="Y56" s="95"/>
    </row>
    <row r="57" customFormat="false" ht="15.75" hidden="false" customHeight="true" outlineLevel="0" collapsed="false">
      <c r="A57" s="94"/>
      <c r="D57" s="95"/>
      <c r="F57" s="95"/>
      <c r="G57" s="82" t="s">
        <v>263</v>
      </c>
      <c r="H57" s="102" t="s">
        <v>264</v>
      </c>
      <c r="I57" s="95"/>
      <c r="J57" s="102"/>
      <c r="K57" s="102"/>
      <c r="L57" s="95"/>
      <c r="O57" s="95"/>
      <c r="Q57" s="95"/>
      <c r="S57" s="96"/>
      <c r="T57" s="95"/>
      <c r="W57" s="95"/>
      <c r="Y57" s="95"/>
    </row>
    <row r="58" customFormat="false" ht="15.75" hidden="false" customHeight="true" outlineLevel="0" collapsed="false">
      <c r="A58" s="94"/>
      <c r="D58" s="95"/>
      <c r="F58" s="95"/>
      <c r="G58" s="82" t="s">
        <v>265</v>
      </c>
      <c r="H58" s="102" t="s">
        <v>266</v>
      </c>
      <c r="I58" s="95"/>
      <c r="J58" s="102"/>
      <c r="K58" s="102"/>
      <c r="L58" s="95"/>
      <c r="O58" s="95"/>
      <c r="Q58" s="95"/>
      <c r="S58" s="96"/>
      <c r="T58" s="95"/>
      <c r="W58" s="95"/>
      <c r="Y58" s="95"/>
    </row>
    <row r="59" customFormat="false" ht="15.75" hidden="false" customHeight="true" outlineLevel="0" collapsed="false">
      <c r="A59" s="94"/>
      <c r="D59" s="95"/>
      <c r="F59" s="95"/>
      <c r="G59" s="82" t="s">
        <v>267</v>
      </c>
      <c r="H59" s="102" t="s">
        <v>268</v>
      </c>
      <c r="I59" s="95"/>
      <c r="J59" s="102"/>
      <c r="K59" s="102"/>
      <c r="L59" s="95"/>
      <c r="O59" s="95"/>
      <c r="Q59" s="95"/>
      <c r="S59" s="96"/>
      <c r="T59" s="95"/>
      <c r="W59" s="95"/>
      <c r="Y59" s="95"/>
    </row>
    <row r="60" customFormat="false" ht="15.75" hidden="false" customHeight="true" outlineLevel="0" collapsed="false">
      <c r="A60" s="94"/>
      <c r="D60" s="95"/>
      <c r="F60" s="95"/>
      <c r="G60" s="82" t="s">
        <v>269</v>
      </c>
      <c r="H60" s="102" t="s">
        <v>270</v>
      </c>
      <c r="I60" s="95"/>
      <c r="J60" s="102"/>
      <c r="K60" s="102"/>
      <c r="L60" s="95"/>
      <c r="O60" s="95"/>
      <c r="Q60" s="95"/>
      <c r="S60" s="96"/>
      <c r="T60" s="95"/>
      <c r="W60" s="95"/>
      <c r="Y60" s="95"/>
    </row>
    <row r="61" customFormat="false" ht="15.75" hidden="false" customHeight="true" outlineLevel="0" collapsed="false">
      <c r="A61" s="94"/>
      <c r="D61" s="95"/>
      <c r="F61" s="95"/>
      <c r="G61" s="82" t="s">
        <v>271</v>
      </c>
      <c r="H61" s="102" t="s">
        <v>272</v>
      </c>
      <c r="I61" s="95"/>
      <c r="J61" s="102"/>
      <c r="K61" s="102"/>
      <c r="L61" s="95"/>
      <c r="O61" s="95"/>
      <c r="Q61" s="95"/>
      <c r="S61" s="96"/>
      <c r="T61" s="95"/>
      <c r="W61" s="95"/>
      <c r="Y61" s="95"/>
    </row>
    <row r="62" customFormat="false" ht="15.75" hidden="false" customHeight="true" outlineLevel="0" collapsed="false">
      <c r="A62" s="94"/>
      <c r="D62" s="95"/>
      <c r="F62" s="95"/>
      <c r="G62" s="82" t="s">
        <v>273</v>
      </c>
      <c r="H62" s="102" t="s">
        <v>274</v>
      </c>
      <c r="I62" s="95"/>
      <c r="J62" s="102"/>
      <c r="K62" s="102"/>
      <c r="L62" s="95"/>
      <c r="O62" s="95"/>
      <c r="Q62" s="95"/>
      <c r="S62" s="96"/>
      <c r="T62" s="95"/>
      <c r="W62" s="95"/>
      <c r="Y62" s="95"/>
    </row>
    <row r="63" customFormat="false" ht="15.75" hidden="false" customHeight="true" outlineLevel="0" collapsed="false">
      <c r="A63" s="94"/>
      <c r="D63" s="95"/>
      <c r="F63" s="95"/>
      <c r="G63" s="82" t="s">
        <v>275</v>
      </c>
      <c r="H63" s="102" t="s">
        <v>276</v>
      </c>
      <c r="I63" s="95"/>
      <c r="J63" s="102"/>
      <c r="K63" s="102"/>
      <c r="L63" s="95"/>
      <c r="O63" s="95"/>
      <c r="Q63" s="95"/>
      <c r="S63" s="96"/>
      <c r="T63" s="95"/>
      <c r="W63" s="95"/>
      <c r="Y63" s="95"/>
    </row>
    <row r="64" customFormat="false" ht="15.75" hidden="false" customHeight="true" outlineLevel="0" collapsed="false">
      <c r="A64" s="94"/>
      <c r="D64" s="95"/>
      <c r="F64" s="95"/>
      <c r="G64" s="82" t="s">
        <v>277</v>
      </c>
      <c r="H64" s="102" t="s">
        <v>278</v>
      </c>
      <c r="I64" s="95"/>
      <c r="J64" s="102"/>
      <c r="K64" s="102"/>
      <c r="L64" s="95"/>
      <c r="O64" s="95"/>
      <c r="Q64" s="95"/>
      <c r="S64" s="96"/>
      <c r="T64" s="95"/>
      <c r="W64" s="95"/>
      <c r="Y64" s="95"/>
    </row>
    <row r="65" customFormat="false" ht="15.75" hidden="false" customHeight="true" outlineLevel="0" collapsed="false">
      <c r="A65" s="94"/>
      <c r="D65" s="95"/>
      <c r="F65" s="95"/>
      <c r="G65" s="82" t="s">
        <v>279</v>
      </c>
      <c r="H65" s="102" t="s">
        <v>280</v>
      </c>
      <c r="I65" s="95"/>
      <c r="J65" s="102"/>
      <c r="K65" s="102"/>
      <c r="L65" s="95"/>
      <c r="O65" s="95"/>
      <c r="Q65" s="95"/>
      <c r="S65" s="96"/>
      <c r="T65" s="95"/>
      <c r="W65" s="95"/>
      <c r="Y65" s="95"/>
    </row>
    <row r="66" customFormat="false" ht="15.75" hidden="false" customHeight="true" outlineLevel="0" collapsed="false">
      <c r="A66" s="94"/>
      <c r="D66" s="95"/>
      <c r="F66" s="95"/>
      <c r="G66" s="82" t="s">
        <v>281</v>
      </c>
      <c r="H66" s="102" t="s">
        <v>282</v>
      </c>
      <c r="I66" s="95"/>
      <c r="J66" s="102"/>
      <c r="K66" s="102"/>
      <c r="L66" s="95"/>
      <c r="O66" s="95"/>
      <c r="Q66" s="95"/>
      <c r="S66" s="96"/>
      <c r="T66" s="95"/>
      <c r="W66" s="95"/>
      <c r="Y66" s="95"/>
    </row>
    <row r="67" customFormat="false" ht="15.75" hidden="false" customHeight="true" outlineLevel="0" collapsed="false">
      <c r="A67" s="94"/>
      <c r="D67" s="95"/>
      <c r="F67" s="95"/>
      <c r="G67" s="82" t="s">
        <v>283</v>
      </c>
      <c r="H67" s="102" t="s">
        <v>284</v>
      </c>
      <c r="I67" s="95"/>
      <c r="J67" s="102"/>
      <c r="K67" s="102"/>
      <c r="L67" s="95"/>
      <c r="O67" s="95"/>
      <c r="Q67" s="95"/>
      <c r="S67" s="96"/>
      <c r="T67" s="95"/>
      <c r="W67" s="95"/>
      <c r="Y67" s="95"/>
    </row>
    <row r="68" customFormat="false" ht="15.75" hidden="false" customHeight="true" outlineLevel="0" collapsed="false">
      <c r="A68" s="94"/>
      <c r="D68" s="95"/>
      <c r="F68" s="95"/>
      <c r="G68" s="82" t="s">
        <v>285</v>
      </c>
      <c r="H68" s="102" t="s">
        <v>286</v>
      </c>
      <c r="I68" s="95"/>
      <c r="J68" s="102"/>
      <c r="K68" s="102"/>
      <c r="L68" s="95"/>
      <c r="O68" s="95"/>
      <c r="Q68" s="95"/>
      <c r="S68" s="96"/>
      <c r="T68" s="95"/>
      <c r="W68" s="95"/>
      <c r="Y68" s="95"/>
    </row>
    <row r="69" customFormat="false" ht="15.75" hidden="false" customHeight="true" outlineLevel="0" collapsed="false">
      <c r="A69" s="94"/>
      <c r="D69" s="95"/>
      <c r="F69" s="95"/>
      <c r="G69" s="82" t="s">
        <v>287</v>
      </c>
      <c r="H69" s="102" t="s">
        <v>288</v>
      </c>
      <c r="I69" s="95"/>
      <c r="J69" s="102"/>
      <c r="K69" s="102"/>
      <c r="L69" s="95"/>
      <c r="O69" s="95"/>
      <c r="Q69" s="95"/>
      <c r="S69" s="96"/>
      <c r="T69" s="95"/>
      <c r="W69" s="95"/>
      <c r="Y69" s="95"/>
    </row>
    <row r="70" customFormat="false" ht="15.75" hidden="false" customHeight="true" outlineLevel="0" collapsed="false">
      <c r="A70" s="94"/>
      <c r="D70" s="95"/>
      <c r="F70" s="95"/>
      <c r="G70" s="82" t="s">
        <v>289</v>
      </c>
      <c r="H70" s="102" t="s">
        <v>290</v>
      </c>
      <c r="I70" s="95"/>
      <c r="J70" s="102"/>
      <c r="K70" s="102"/>
      <c r="L70" s="95"/>
      <c r="O70" s="95"/>
      <c r="Q70" s="95"/>
      <c r="S70" s="96"/>
      <c r="T70" s="95"/>
      <c r="W70" s="95"/>
      <c r="Y70" s="95"/>
    </row>
    <row r="71" customFormat="false" ht="15.75" hidden="false" customHeight="true" outlineLevel="0" collapsed="false">
      <c r="A71" s="94"/>
      <c r="D71" s="95"/>
      <c r="F71" s="95"/>
      <c r="G71" s="82" t="s">
        <v>291</v>
      </c>
      <c r="H71" s="102" t="s">
        <v>292</v>
      </c>
      <c r="I71" s="95"/>
      <c r="J71" s="102"/>
      <c r="K71" s="102"/>
      <c r="L71" s="95"/>
      <c r="O71" s="95"/>
      <c r="Q71" s="95"/>
      <c r="S71" s="96"/>
      <c r="T71" s="95"/>
      <c r="W71" s="95"/>
      <c r="Y71" s="95"/>
    </row>
    <row r="72" customFormat="false" ht="15.75" hidden="false" customHeight="true" outlineLevel="0" collapsed="false">
      <c r="A72" s="94"/>
      <c r="D72" s="95"/>
      <c r="F72" s="95"/>
      <c r="G72" s="82" t="s">
        <v>293</v>
      </c>
      <c r="H72" s="102" t="s">
        <v>294</v>
      </c>
      <c r="I72" s="95"/>
      <c r="J72" s="102"/>
      <c r="K72" s="102"/>
      <c r="L72" s="95"/>
      <c r="O72" s="95"/>
      <c r="Q72" s="95"/>
      <c r="S72" s="96"/>
      <c r="T72" s="95"/>
      <c r="W72" s="95"/>
      <c r="Y72" s="95"/>
    </row>
    <row r="73" customFormat="false" ht="15.75" hidden="false" customHeight="true" outlineLevel="0" collapsed="false">
      <c r="A73" s="94"/>
      <c r="D73" s="95"/>
      <c r="F73" s="95"/>
      <c r="G73" s="82" t="s">
        <v>295</v>
      </c>
      <c r="H73" s="102" t="s">
        <v>296</v>
      </c>
      <c r="I73" s="95"/>
      <c r="J73" s="102"/>
      <c r="K73" s="102"/>
      <c r="L73" s="95"/>
      <c r="O73" s="95"/>
      <c r="Q73" s="95"/>
      <c r="S73" s="96"/>
      <c r="T73" s="95"/>
      <c r="W73" s="95"/>
      <c r="Y73" s="95"/>
    </row>
    <row r="74" customFormat="false" ht="15.75" hidden="false" customHeight="true" outlineLevel="0" collapsed="false">
      <c r="A74" s="94"/>
      <c r="D74" s="95"/>
      <c r="F74" s="95"/>
      <c r="G74" s="82" t="s">
        <v>297</v>
      </c>
      <c r="H74" s="102" t="s">
        <v>298</v>
      </c>
      <c r="I74" s="95"/>
      <c r="J74" s="102"/>
      <c r="K74" s="102"/>
      <c r="L74" s="95"/>
      <c r="O74" s="95"/>
      <c r="Q74" s="95"/>
      <c r="S74" s="96"/>
      <c r="T74" s="95"/>
      <c r="W74" s="95"/>
      <c r="Y74" s="95"/>
    </row>
    <row r="75" customFormat="false" ht="15.75" hidden="false" customHeight="true" outlineLevel="0" collapsed="false">
      <c r="A75" s="94"/>
      <c r="D75" s="95"/>
      <c r="F75" s="95"/>
      <c r="G75" s="82" t="s">
        <v>299</v>
      </c>
      <c r="H75" s="102" t="s">
        <v>300</v>
      </c>
      <c r="I75" s="95"/>
      <c r="J75" s="102"/>
      <c r="K75" s="102"/>
      <c r="L75" s="95"/>
      <c r="O75" s="95"/>
      <c r="Q75" s="95"/>
      <c r="S75" s="96"/>
      <c r="T75" s="95"/>
      <c r="W75" s="95"/>
      <c r="Y75" s="95"/>
    </row>
    <row r="76" customFormat="false" ht="15.75" hidden="false" customHeight="true" outlineLevel="0" collapsed="false">
      <c r="A76" s="94"/>
      <c r="D76" s="95"/>
      <c r="F76" s="95"/>
      <c r="G76" s="82" t="s">
        <v>301</v>
      </c>
      <c r="H76" s="102" t="s">
        <v>302</v>
      </c>
      <c r="I76" s="95"/>
      <c r="J76" s="102"/>
      <c r="K76" s="102"/>
      <c r="L76" s="95"/>
      <c r="O76" s="95"/>
      <c r="Q76" s="95"/>
      <c r="S76" s="96"/>
      <c r="T76" s="95"/>
      <c r="W76" s="95"/>
      <c r="Y76" s="95"/>
    </row>
    <row r="77" customFormat="false" ht="15.75" hidden="false" customHeight="true" outlineLevel="0" collapsed="false">
      <c r="A77" s="94"/>
      <c r="D77" s="95"/>
      <c r="F77" s="95"/>
      <c r="G77" s="82" t="s">
        <v>303</v>
      </c>
      <c r="H77" s="102" t="s">
        <v>304</v>
      </c>
      <c r="I77" s="95"/>
      <c r="J77" s="102"/>
      <c r="K77" s="102"/>
      <c r="L77" s="95"/>
      <c r="O77" s="95"/>
      <c r="Q77" s="95"/>
      <c r="S77" s="96"/>
      <c r="T77" s="95"/>
      <c r="W77" s="95"/>
      <c r="Y77" s="95"/>
    </row>
    <row r="78" customFormat="false" ht="15.75" hidden="false" customHeight="true" outlineLevel="0" collapsed="false">
      <c r="A78" s="94"/>
      <c r="D78" s="95"/>
      <c r="F78" s="95"/>
      <c r="G78" s="82" t="s">
        <v>305</v>
      </c>
      <c r="H78" s="102" t="s">
        <v>306</v>
      </c>
      <c r="I78" s="95"/>
      <c r="J78" s="102"/>
      <c r="K78" s="102"/>
      <c r="L78" s="95"/>
      <c r="O78" s="95"/>
      <c r="Q78" s="95"/>
      <c r="S78" s="96"/>
      <c r="T78" s="95"/>
      <c r="W78" s="95"/>
      <c r="Y78" s="95"/>
    </row>
    <row r="79" customFormat="false" ht="15.75" hidden="false" customHeight="true" outlineLevel="0" collapsed="false">
      <c r="A79" s="94"/>
      <c r="D79" s="95"/>
      <c r="F79" s="95"/>
      <c r="G79" s="82" t="s">
        <v>307</v>
      </c>
      <c r="H79" s="102" t="s">
        <v>308</v>
      </c>
      <c r="I79" s="95"/>
      <c r="J79" s="102"/>
      <c r="K79" s="102"/>
      <c r="L79" s="95"/>
      <c r="O79" s="95"/>
      <c r="Q79" s="95"/>
      <c r="S79" s="96"/>
      <c r="T79" s="95"/>
      <c r="W79" s="95"/>
      <c r="Y79" s="95"/>
    </row>
    <row r="80" customFormat="false" ht="15.75" hidden="false" customHeight="true" outlineLevel="0" collapsed="false">
      <c r="A80" s="94"/>
      <c r="D80" s="95"/>
      <c r="F80" s="95"/>
      <c r="G80" s="82" t="s">
        <v>309</v>
      </c>
      <c r="H80" s="102" t="s">
        <v>310</v>
      </c>
      <c r="I80" s="95"/>
      <c r="J80" s="102"/>
      <c r="K80" s="102"/>
      <c r="L80" s="95"/>
      <c r="O80" s="95"/>
      <c r="Q80" s="95"/>
      <c r="S80" s="96"/>
      <c r="T80" s="95"/>
      <c r="W80" s="95"/>
      <c r="Y80" s="95"/>
    </row>
    <row r="81" customFormat="false" ht="15.75" hidden="false" customHeight="true" outlineLevel="0" collapsed="false">
      <c r="A81" s="94"/>
      <c r="D81" s="95"/>
      <c r="F81" s="95"/>
      <c r="G81" s="82" t="s">
        <v>311</v>
      </c>
      <c r="H81" s="102" t="s">
        <v>312</v>
      </c>
      <c r="I81" s="95"/>
      <c r="J81" s="102"/>
      <c r="K81" s="102"/>
      <c r="L81" s="95"/>
      <c r="O81" s="95"/>
      <c r="Q81" s="95"/>
      <c r="S81" s="96"/>
      <c r="T81" s="95"/>
      <c r="W81" s="95"/>
      <c r="Y81" s="95"/>
    </row>
    <row r="82" customFormat="false" ht="15.75" hidden="false" customHeight="true" outlineLevel="0" collapsed="false">
      <c r="A82" s="94"/>
      <c r="D82" s="95"/>
      <c r="F82" s="95"/>
      <c r="G82" s="82" t="s">
        <v>313</v>
      </c>
      <c r="H82" s="102" t="s">
        <v>314</v>
      </c>
      <c r="I82" s="95"/>
      <c r="J82" s="102"/>
      <c r="K82" s="102"/>
      <c r="L82" s="95"/>
      <c r="O82" s="95"/>
      <c r="Q82" s="95"/>
      <c r="S82" s="96"/>
      <c r="T82" s="95"/>
      <c r="W82" s="95"/>
      <c r="Y82" s="95"/>
    </row>
    <row r="83" customFormat="false" ht="15.75" hidden="false" customHeight="true" outlineLevel="0" collapsed="false">
      <c r="A83" s="94"/>
      <c r="D83" s="95"/>
      <c r="F83" s="95"/>
      <c r="G83" s="82" t="s">
        <v>315</v>
      </c>
      <c r="H83" s="102" t="s">
        <v>316</v>
      </c>
      <c r="I83" s="95"/>
      <c r="J83" s="102"/>
      <c r="K83" s="102"/>
      <c r="L83" s="95"/>
      <c r="O83" s="95"/>
      <c r="Q83" s="95"/>
      <c r="S83" s="96"/>
      <c r="T83" s="95"/>
      <c r="W83" s="95"/>
      <c r="Y83" s="95"/>
    </row>
    <row r="84" customFormat="false" ht="15.75" hidden="false" customHeight="true" outlineLevel="0" collapsed="false">
      <c r="A84" s="94"/>
      <c r="D84" s="95"/>
      <c r="F84" s="95"/>
      <c r="G84" s="82" t="s">
        <v>317</v>
      </c>
      <c r="H84" s="102" t="s">
        <v>318</v>
      </c>
      <c r="I84" s="95"/>
      <c r="J84" s="102"/>
      <c r="K84" s="102"/>
      <c r="L84" s="95"/>
      <c r="O84" s="95"/>
      <c r="Q84" s="95"/>
      <c r="S84" s="96"/>
      <c r="T84" s="95"/>
      <c r="W84" s="95"/>
      <c r="Y84" s="95"/>
    </row>
    <row r="85" customFormat="false" ht="15.75" hidden="false" customHeight="true" outlineLevel="0" collapsed="false">
      <c r="A85" s="94"/>
      <c r="D85" s="95"/>
      <c r="F85" s="95"/>
      <c r="G85" s="82" t="s">
        <v>319</v>
      </c>
      <c r="H85" s="102" t="s">
        <v>320</v>
      </c>
      <c r="I85" s="95"/>
      <c r="J85" s="102"/>
      <c r="K85" s="102"/>
      <c r="L85" s="95"/>
      <c r="O85" s="95"/>
      <c r="Q85" s="95"/>
      <c r="S85" s="96"/>
      <c r="T85" s="95"/>
      <c r="W85" s="95"/>
      <c r="Y85" s="95"/>
    </row>
    <row r="86" customFormat="false" ht="15.75" hidden="false" customHeight="true" outlineLevel="0" collapsed="false">
      <c r="A86" s="94"/>
      <c r="D86" s="95"/>
      <c r="F86" s="95"/>
      <c r="G86" s="82" t="s">
        <v>321</v>
      </c>
      <c r="H86" s="102" t="s">
        <v>322</v>
      </c>
      <c r="I86" s="95"/>
      <c r="J86" s="102"/>
      <c r="K86" s="102"/>
      <c r="L86" s="95"/>
      <c r="O86" s="95"/>
      <c r="Q86" s="95"/>
      <c r="S86" s="96"/>
      <c r="T86" s="95"/>
      <c r="W86" s="95"/>
      <c r="Y86" s="95"/>
    </row>
    <row r="87" customFormat="false" ht="15.75" hidden="false" customHeight="true" outlineLevel="0" collapsed="false">
      <c r="A87" s="94"/>
      <c r="D87" s="95"/>
      <c r="F87" s="95"/>
      <c r="G87" s="82" t="s">
        <v>323</v>
      </c>
      <c r="H87" s="102" t="s">
        <v>324</v>
      </c>
      <c r="I87" s="95"/>
      <c r="J87" s="102"/>
      <c r="K87" s="102"/>
      <c r="L87" s="95"/>
      <c r="O87" s="95"/>
      <c r="Q87" s="95"/>
      <c r="S87" s="96"/>
      <c r="T87" s="95"/>
      <c r="W87" s="95"/>
      <c r="Y87" s="95"/>
    </row>
    <row r="88" customFormat="false" ht="15.75" hidden="false" customHeight="true" outlineLevel="0" collapsed="false">
      <c r="A88" s="94"/>
      <c r="D88" s="95"/>
      <c r="F88" s="95"/>
      <c r="G88" s="82" t="s">
        <v>325</v>
      </c>
      <c r="H88" s="102" t="s">
        <v>326</v>
      </c>
      <c r="I88" s="95"/>
      <c r="J88" s="102"/>
      <c r="K88" s="102"/>
      <c r="L88" s="95"/>
      <c r="O88" s="95"/>
      <c r="Q88" s="95"/>
      <c r="S88" s="96"/>
      <c r="T88" s="95"/>
      <c r="W88" s="95"/>
      <c r="Y88" s="95"/>
    </row>
    <row r="89" customFormat="false" ht="15.75" hidden="false" customHeight="true" outlineLevel="0" collapsed="false">
      <c r="A89" s="94"/>
      <c r="D89" s="95"/>
      <c r="F89" s="95"/>
      <c r="G89" s="82" t="s">
        <v>327</v>
      </c>
      <c r="H89" s="102" t="s">
        <v>328</v>
      </c>
      <c r="I89" s="95"/>
      <c r="J89" s="102"/>
      <c r="K89" s="102"/>
      <c r="L89" s="95"/>
      <c r="O89" s="95"/>
      <c r="Q89" s="95"/>
      <c r="S89" s="96"/>
      <c r="T89" s="95"/>
      <c r="W89" s="95"/>
      <c r="Y89" s="95"/>
    </row>
    <row r="90" customFormat="false" ht="15.75" hidden="false" customHeight="true" outlineLevel="0" collapsed="false">
      <c r="A90" s="94"/>
      <c r="D90" s="95"/>
      <c r="F90" s="95"/>
      <c r="G90" s="82" t="s">
        <v>329</v>
      </c>
      <c r="H90" s="102" t="s">
        <v>330</v>
      </c>
      <c r="I90" s="95"/>
      <c r="J90" s="102"/>
      <c r="K90" s="102"/>
      <c r="L90" s="95"/>
      <c r="O90" s="95"/>
      <c r="Q90" s="95"/>
      <c r="S90" s="96"/>
      <c r="T90" s="95"/>
      <c r="W90" s="95"/>
      <c r="Y90" s="95"/>
    </row>
    <row r="91" customFormat="false" ht="15.75" hidden="false" customHeight="true" outlineLevel="0" collapsed="false">
      <c r="A91" s="94"/>
      <c r="D91" s="95"/>
      <c r="F91" s="95"/>
      <c r="G91" s="82" t="s">
        <v>331</v>
      </c>
      <c r="H91" s="102" t="s">
        <v>332</v>
      </c>
      <c r="I91" s="95"/>
      <c r="J91" s="102"/>
      <c r="K91" s="102"/>
      <c r="L91" s="95"/>
      <c r="O91" s="95"/>
      <c r="Q91" s="95"/>
      <c r="S91" s="96"/>
      <c r="T91" s="95"/>
      <c r="W91" s="95"/>
      <c r="Y91" s="95"/>
    </row>
    <row r="92" customFormat="false" ht="15.75" hidden="false" customHeight="true" outlineLevel="0" collapsed="false">
      <c r="A92" s="94"/>
      <c r="D92" s="95"/>
      <c r="F92" s="95"/>
      <c r="G92" s="82" t="s">
        <v>333</v>
      </c>
      <c r="H92" s="102" t="s">
        <v>334</v>
      </c>
      <c r="I92" s="95"/>
      <c r="J92" s="102"/>
      <c r="K92" s="102"/>
      <c r="L92" s="95"/>
      <c r="O92" s="95"/>
      <c r="Q92" s="95"/>
      <c r="S92" s="96"/>
      <c r="T92" s="95"/>
      <c r="W92" s="95"/>
      <c r="Y92" s="95"/>
    </row>
    <row r="93" customFormat="false" ht="15.75" hidden="false" customHeight="true" outlineLevel="0" collapsed="false">
      <c r="A93" s="94"/>
      <c r="D93" s="95"/>
      <c r="F93" s="95"/>
      <c r="G93" s="82" t="s">
        <v>335</v>
      </c>
      <c r="H93" s="102" t="s">
        <v>336</v>
      </c>
      <c r="I93" s="95"/>
      <c r="J93" s="102"/>
      <c r="K93" s="102"/>
      <c r="L93" s="95"/>
      <c r="O93" s="95"/>
      <c r="Q93" s="95"/>
      <c r="S93" s="96"/>
      <c r="T93" s="95"/>
      <c r="W93" s="95"/>
      <c r="Y93" s="95"/>
    </row>
    <row r="94" customFormat="false" ht="15.75" hidden="false" customHeight="true" outlineLevel="0" collapsed="false">
      <c r="A94" s="94"/>
      <c r="D94" s="95"/>
      <c r="F94" s="95"/>
      <c r="G94" s="82" t="s">
        <v>337</v>
      </c>
      <c r="H94" s="102" t="s">
        <v>338</v>
      </c>
      <c r="I94" s="95"/>
      <c r="J94" s="102"/>
      <c r="K94" s="102"/>
      <c r="L94" s="95"/>
      <c r="O94" s="95"/>
      <c r="Q94" s="95"/>
      <c r="S94" s="96"/>
      <c r="T94" s="95"/>
      <c r="W94" s="95"/>
      <c r="Y94" s="95"/>
    </row>
    <row r="95" customFormat="false" ht="15.75" hidden="false" customHeight="true" outlineLevel="0" collapsed="false">
      <c r="A95" s="94"/>
      <c r="D95" s="95"/>
      <c r="F95" s="95"/>
      <c r="G95" s="82" t="s">
        <v>339</v>
      </c>
      <c r="H95" s="102" t="s">
        <v>340</v>
      </c>
      <c r="I95" s="95"/>
      <c r="J95" s="102"/>
      <c r="K95" s="102"/>
      <c r="L95" s="95"/>
      <c r="O95" s="95"/>
      <c r="Q95" s="95"/>
      <c r="S95" s="96"/>
      <c r="T95" s="95"/>
      <c r="W95" s="95"/>
      <c r="Y95" s="95"/>
    </row>
    <row r="96" customFormat="false" ht="15.75" hidden="false" customHeight="true" outlineLevel="0" collapsed="false">
      <c r="A96" s="94"/>
      <c r="D96" s="95"/>
      <c r="F96" s="95"/>
      <c r="G96" s="82" t="s">
        <v>341</v>
      </c>
      <c r="H96" s="102" t="s">
        <v>342</v>
      </c>
      <c r="I96" s="95"/>
      <c r="J96" s="102"/>
      <c r="K96" s="102"/>
      <c r="L96" s="95"/>
      <c r="O96" s="95"/>
      <c r="Q96" s="95"/>
      <c r="S96" s="96"/>
      <c r="T96" s="95"/>
      <c r="W96" s="95"/>
      <c r="Y96" s="95"/>
    </row>
    <row r="97" customFormat="false" ht="15.75" hidden="false" customHeight="true" outlineLevel="0" collapsed="false">
      <c r="A97" s="94"/>
      <c r="D97" s="95"/>
      <c r="F97" s="95"/>
      <c r="G97" s="82" t="s">
        <v>343</v>
      </c>
      <c r="H97" s="102" t="s">
        <v>344</v>
      </c>
      <c r="I97" s="95"/>
      <c r="J97" s="102"/>
      <c r="K97" s="102"/>
      <c r="L97" s="95"/>
      <c r="O97" s="95"/>
      <c r="Q97" s="95"/>
      <c r="S97" s="96"/>
      <c r="T97" s="95"/>
      <c r="W97" s="95"/>
      <c r="Y97" s="95"/>
    </row>
    <row r="98" customFormat="false" ht="15.75" hidden="false" customHeight="true" outlineLevel="0" collapsed="false">
      <c r="A98" s="94"/>
      <c r="D98" s="95"/>
      <c r="F98" s="95"/>
      <c r="G98" s="82" t="s">
        <v>345</v>
      </c>
      <c r="H98" s="102" t="s">
        <v>346</v>
      </c>
      <c r="I98" s="95"/>
      <c r="J98" s="102"/>
      <c r="K98" s="102"/>
      <c r="L98" s="95"/>
      <c r="O98" s="95"/>
      <c r="Q98" s="95"/>
      <c r="S98" s="96"/>
      <c r="T98" s="95"/>
      <c r="W98" s="95"/>
      <c r="Y98" s="95"/>
    </row>
    <row r="99" customFormat="false" ht="15.75" hidden="false" customHeight="true" outlineLevel="0" collapsed="false">
      <c r="A99" s="94"/>
      <c r="D99" s="95"/>
      <c r="F99" s="95"/>
      <c r="G99" s="82" t="s">
        <v>347</v>
      </c>
      <c r="H99" s="102" t="s">
        <v>348</v>
      </c>
      <c r="I99" s="95"/>
      <c r="J99" s="102"/>
      <c r="K99" s="102"/>
      <c r="L99" s="95"/>
      <c r="O99" s="95"/>
      <c r="Q99" s="95"/>
      <c r="S99" s="96"/>
      <c r="T99" s="95"/>
      <c r="W99" s="95"/>
      <c r="Y99" s="95"/>
    </row>
    <row r="100" customFormat="false" ht="15.75" hidden="false" customHeight="true" outlineLevel="0" collapsed="false">
      <c r="A100" s="94"/>
      <c r="D100" s="95"/>
      <c r="F100" s="95"/>
      <c r="G100" s="82" t="s">
        <v>349</v>
      </c>
      <c r="H100" s="102" t="s">
        <v>350</v>
      </c>
      <c r="I100" s="95"/>
      <c r="J100" s="102"/>
      <c r="K100" s="102"/>
      <c r="L100" s="95"/>
      <c r="O100" s="95"/>
      <c r="Q100" s="95"/>
      <c r="S100" s="96"/>
      <c r="T100" s="95"/>
      <c r="W100" s="95"/>
      <c r="Y100" s="95"/>
    </row>
    <row r="101" customFormat="false" ht="15.75" hidden="false" customHeight="true" outlineLevel="0" collapsed="false">
      <c r="A101" s="94"/>
      <c r="D101" s="95"/>
      <c r="F101" s="95"/>
      <c r="G101" s="82" t="s">
        <v>351</v>
      </c>
      <c r="H101" s="102" t="s">
        <v>352</v>
      </c>
      <c r="I101" s="95"/>
      <c r="J101" s="102"/>
      <c r="K101" s="102"/>
      <c r="L101" s="95"/>
      <c r="O101" s="95"/>
      <c r="Q101" s="95"/>
      <c r="S101" s="96"/>
      <c r="T101" s="95"/>
      <c r="W101" s="95"/>
      <c r="Y101" s="95"/>
    </row>
    <row r="102" customFormat="false" ht="15.75" hidden="false" customHeight="true" outlineLevel="0" collapsed="false">
      <c r="A102" s="94"/>
      <c r="D102" s="95"/>
      <c r="F102" s="95"/>
      <c r="G102" s="82" t="s">
        <v>353</v>
      </c>
      <c r="H102" s="102" t="s">
        <v>354</v>
      </c>
      <c r="I102" s="95"/>
      <c r="J102" s="102"/>
      <c r="K102" s="102"/>
      <c r="L102" s="95"/>
      <c r="O102" s="95"/>
      <c r="Q102" s="95"/>
      <c r="S102" s="96"/>
      <c r="T102" s="95"/>
      <c r="W102" s="95"/>
      <c r="Y102" s="95"/>
    </row>
    <row r="103" customFormat="false" ht="15.75" hidden="false" customHeight="true" outlineLevel="0" collapsed="false">
      <c r="A103" s="94"/>
      <c r="D103" s="95"/>
      <c r="F103" s="95"/>
      <c r="G103" s="82" t="s">
        <v>355</v>
      </c>
      <c r="H103" s="102" t="s">
        <v>356</v>
      </c>
      <c r="I103" s="95"/>
      <c r="J103" s="102"/>
      <c r="K103" s="102"/>
      <c r="L103" s="95"/>
      <c r="O103" s="95"/>
      <c r="Q103" s="95"/>
      <c r="S103" s="96"/>
      <c r="T103" s="95"/>
      <c r="W103" s="95"/>
      <c r="Y103" s="95"/>
    </row>
    <row r="104" customFormat="false" ht="15.75" hidden="false" customHeight="true" outlineLevel="0" collapsed="false">
      <c r="A104" s="94"/>
      <c r="D104" s="95"/>
      <c r="F104" s="95"/>
      <c r="G104" s="82" t="s">
        <v>357</v>
      </c>
      <c r="H104" s="102" t="s">
        <v>358</v>
      </c>
      <c r="I104" s="95"/>
      <c r="J104" s="102"/>
      <c r="K104" s="102"/>
      <c r="L104" s="95"/>
      <c r="O104" s="95"/>
      <c r="Q104" s="95"/>
      <c r="S104" s="96"/>
      <c r="T104" s="95"/>
      <c r="W104" s="95"/>
      <c r="Y104" s="95"/>
    </row>
    <row r="105" customFormat="false" ht="15.75" hidden="false" customHeight="true" outlineLevel="0" collapsed="false">
      <c r="A105" s="94"/>
      <c r="D105" s="95"/>
      <c r="F105" s="95"/>
      <c r="G105" s="82" t="s">
        <v>359</v>
      </c>
      <c r="H105" s="102" t="s">
        <v>360</v>
      </c>
      <c r="I105" s="95"/>
      <c r="J105" s="102"/>
      <c r="K105" s="102"/>
      <c r="L105" s="95"/>
      <c r="O105" s="95"/>
      <c r="Q105" s="95"/>
      <c r="S105" s="96"/>
      <c r="T105" s="95"/>
      <c r="W105" s="95"/>
      <c r="Y105" s="95"/>
    </row>
    <row r="106" customFormat="false" ht="15.75" hidden="false" customHeight="true" outlineLevel="0" collapsed="false">
      <c r="A106" s="94"/>
      <c r="D106" s="95"/>
      <c r="F106" s="95"/>
      <c r="G106" s="82" t="s">
        <v>361</v>
      </c>
      <c r="H106" s="102" t="s">
        <v>362</v>
      </c>
      <c r="I106" s="95"/>
      <c r="J106" s="102"/>
      <c r="K106" s="102"/>
      <c r="L106" s="95"/>
      <c r="O106" s="95"/>
      <c r="Q106" s="95"/>
      <c r="S106" s="96"/>
      <c r="T106" s="95"/>
      <c r="W106" s="95"/>
      <c r="Y106" s="95"/>
    </row>
    <row r="107" customFormat="false" ht="15.75" hidden="false" customHeight="true" outlineLevel="0" collapsed="false">
      <c r="A107" s="94"/>
      <c r="D107" s="95"/>
      <c r="F107" s="95"/>
      <c r="G107" s="82" t="s">
        <v>363</v>
      </c>
      <c r="H107" s="102" t="s">
        <v>364</v>
      </c>
      <c r="I107" s="95"/>
      <c r="J107" s="102"/>
      <c r="K107" s="102"/>
      <c r="L107" s="95"/>
      <c r="O107" s="95"/>
      <c r="Q107" s="95"/>
      <c r="S107" s="96"/>
      <c r="T107" s="95"/>
      <c r="W107" s="95"/>
      <c r="Y107" s="95"/>
    </row>
    <row r="108" customFormat="false" ht="15.75" hidden="false" customHeight="true" outlineLevel="0" collapsed="false">
      <c r="A108" s="94"/>
      <c r="D108" s="95"/>
      <c r="F108" s="95"/>
      <c r="G108" s="82" t="s">
        <v>365</v>
      </c>
      <c r="H108" s="102" t="s">
        <v>366</v>
      </c>
      <c r="I108" s="95"/>
      <c r="J108" s="102"/>
      <c r="K108" s="102"/>
      <c r="L108" s="95"/>
      <c r="O108" s="95"/>
      <c r="Q108" s="95"/>
      <c r="S108" s="96"/>
      <c r="T108" s="95"/>
      <c r="W108" s="95"/>
      <c r="Y108" s="95"/>
    </row>
    <row r="109" customFormat="false" ht="15.75" hidden="false" customHeight="true" outlineLevel="0" collapsed="false">
      <c r="A109" s="94"/>
      <c r="D109" s="95"/>
      <c r="F109" s="95"/>
      <c r="G109" s="82" t="s">
        <v>367</v>
      </c>
      <c r="H109" s="102" t="s">
        <v>368</v>
      </c>
      <c r="I109" s="95"/>
      <c r="J109" s="102"/>
      <c r="K109" s="102"/>
      <c r="L109" s="95"/>
      <c r="O109" s="95"/>
      <c r="Q109" s="95"/>
      <c r="S109" s="96"/>
      <c r="T109" s="95"/>
      <c r="W109" s="95"/>
      <c r="Y109" s="95"/>
    </row>
    <row r="110" customFormat="false" ht="15.75" hidden="false" customHeight="true" outlineLevel="0" collapsed="false">
      <c r="A110" s="94"/>
      <c r="D110" s="95"/>
      <c r="F110" s="95"/>
      <c r="G110" s="82" t="s">
        <v>369</v>
      </c>
      <c r="H110" s="102" t="s">
        <v>370</v>
      </c>
      <c r="I110" s="95"/>
      <c r="J110" s="102"/>
      <c r="K110" s="102"/>
      <c r="L110" s="95"/>
      <c r="O110" s="95"/>
      <c r="Q110" s="95"/>
      <c r="S110" s="96"/>
      <c r="T110" s="95"/>
      <c r="W110" s="95"/>
      <c r="Y110" s="95"/>
    </row>
    <row r="111" customFormat="false" ht="15.75" hidden="false" customHeight="true" outlineLevel="0" collapsed="false">
      <c r="A111" s="94"/>
      <c r="D111" s="95"/>
      <c r="F111" s="95"/>
      <c r="G111" s="82" t="s">
        <v>371</v>
      </c>
      <c r="H111" s="102" t="s">
        <v>372</v>
      </c>
      <c r="I111" s="95"/>
      <c r="J111" s="102"/>
      <c r="K111" s="102"/>
      <c r="L111" s="95"/>
      <c r="O111" s="95"/>
      <c r="Q111" s="95"/>
      <c r="S111" s="96"/>
      <c r="T111" s="95"/>
      <c r="W111" s="95"/>
      <c r="Y111" s="95"/>
    </row>
    <row r="112" customFormat="false" ht="15.75" hidden="false" customHeight="true" outlineLevel="0" collapsed="false">
      <c r="A112" s="94"/>
      <c r="D112" s="95"/>
      <c r="F112" s="95"/>
      <c r="G112" s="82" t="s">
        <v>373</v>
      </c>
      <c r="H112" s="102" t="s">
        <v>374</v>
      </c>
      <c r="I112" s="95"/>
      <c r="J112" s="102"/>
      <c r="K112" s="102"/>
      <c r="L112" s="95"/>
      <c r="O112" s="95"/>
      <c r="Q112" s="95"/>
      <c r="S112" s="96"/>
      <c r="T112" s="95"/>
      <c r="W112" s="95"/>
      <c r="Y112" s="95"/>
    </row>
    <row r="113" customFormat="false" ht="15.75" hidden="false" customHeight="true" outlineLevel="0" collapsed="false">
      <c r="A113" s="94"/>
      <c r="D113" s="95"/>
      <c r="F113" s="95"/>
      <c r="G113" s="82" t="s">
        <v>375</v>
      </c>
      <c r="H113" s="102" t="s">
        <v>376</v>
      </c>
      <c r="I113" s="95"/>
      <c r="J113" s="102"/>
      <c r="K113" s="102"/>
      <c r="L113" s="95"/>
      <c r="O113" s="95"/>
      <c r="Q113" s="95"/>
      <c r="S113" s="96"/>
      <c r="T113" s="95"/>
      <c r="W113" s="95"/>
      <c r="Y113" s="95"/>
    </row>
    <row r="114" customFormat="false" ht="15.75" hidden="false" customHeight="true" outlineLevel="0" collapsed="false">
      <c r="A114" s="94"/>
      <c r="D114" s="95"/>
      <c r="F114" s="95"/>
      <c r="G114" s="82" t="s">
        <v>377</v>
      </c>
      <c r="H114" s="102" t="s">
        <v>378</v>
      </c>
      <c r="I114" s="95"/>
      <c r="J114" s="102"/>
      <c r="K114" s="102"/>
      <c r="L114" s="95"/>
      <c r="O114" s="95"/>
      <c r="Q114" s="95"/>
      <c r="S114" s="96"/>
      <c r="T114" s="95"/>
      <c r="W114" s="95"/>
      <c r="Y114" s="95"/>
    </row>
    <row r="115" customFormat="false" ht="15.75" hidden="false" customHeight="true" outlineLevel="0" collapsed="false">
      <c r="A115" s="94"/>
      <c r="D115" s="95"/>
      <c r="F115" s="95"/>
      <c r="G115" s="82" t="s">
        <v>379</v>
      </c>
      <c r="H115" s="102" t="s">
        <v>380</v>
      </c>
      <c r="I115" s="95"/>
      <c r="J115" s="102"/>
      <c r="K115" s="102"/>
      <c r="L115" s="95"/>
      <c r="O115" s="95"/>
      <c r="Q115" s="95"/>
      <c r="S115" s="96"/>
      <c r="T115" s="95"/>
      <c r="W115" s="95"/>
      <c r="Y115" s="95"/>
    </row>
    <row r="116" customFormat="false" ht="15.75" hidden="false" customHeight="true" outlineLevel="0" collapsed="false">
      <c r="A116" s="94"/>
      <c r="D116" s="95"/>
      <c r="F116" s="95"/>
      <c r="G116" s="82" t="s">
        <v>381</v>
      </c>
      <c r="H116" s="102" t="s">
        <v>382</v>
      </c>
      <c r="I116" s="95"/>
      <c r="J116" s="102"/>
      <c r="K116" s="102"/>
      <c r="L116" s="95"/>
      <c r="O116" s="95"/>
      <c r="Q116" s="95"/>
      <c r="S116" s="96"/>
      <c r="T116" s="95"/>
      <c r="W116" s="95"/>
      <c r="Y116" s="95"/>
    </row>
    <row r="117" customFormat="false" ht="15.75" hidden="false" customHeight="true" outlineLevel="0" collapsed="false">
      <c r="A117" s="94"/>
      <c r="D117" s="95"/>
      <c r="F117" s="95"/>
      <c r="G117" s="82" t="s">
        <v>383</v>
      </c>
      <c r="H117" s="102" t="s">
        <v>384</v>
      </c>
      <c r="I117" s="95"/>
      <c r="J117" s="102"/>
      <c r="K117" s="102"/>
      <c r="L117" s="95"/>
      <c r="O117" s="95"/>
      <c r="Q117" s="95"/>
      <c r="S117" s="96"/>
      <c r="T117" s="95"/>
      <c r="W117" s="95"/>
      <c r="Y117" s="95"/>
    </row>
    <row r="118" customFormat="false" ht="15.75" hidden="false" customHeight="true" outlineLevel="0" collapsed="false">
      <c r="A118" s="94"/>
      <c r="D118" s="95"/>
      <c r="F118" s="95"/>
      <c r="G118" s="82" t="s">
        <v>385</v>
      </c>
      <c r="H118" s="102" t="s">
        <v>386</v>
      </c>
      <c r="I118" s="95"/>
      <c r="J118" s="102"/>
      <c r="K118" s="102"/>
      <c r="L118" s="95"/>
      <c r="O118" s="95"/>
      <c r="Q118" s="95"/>
      <c r="S118" s="96"/>
      <c r="T118" s="95"/>
      <c r="W118" s="95"/>
      <c r="Y118" s="95"/>
    </row>
    <row r="119" customFormat="false" ht="15.75" hidden="false" customHeight="true" outlineLevel="0" collapsed="false">
      <c r="A119" s="94"/>
      <c r="D119" s="95"/>
      <c r="F119" s="95"/>
      <c r="G119" s="82" t="s">
        <v>387</v>
      </c>
      <c r="H119" s="102" t="s">
        <v>388</v>
      </c>
      <c r="I119" s="95"/>
      <c r="J119" s="102"/>
      <c r="K119" s="102"/>
      <c r="L119" s="95"/>
      <c r="O119" s="95"/>
      <c r="Q119" s="95"/>
      <c r="S119" s="96"/>
      <c r="T119" s="95"/>
      <c r="W119" s="95"/>
      <c r="Y119" s="95"/>
    </row>
    <row r="120" customFormat="false" ht="15.75" hidden="false" customHeight="true" outlineLevel="0" collapsed="false">
      <c r="A120" s="94"/>
      <c r="D120" s="95"/>
      <c r="F120" s="95"/>
      <c r="G120" s="82" t="s">
        <v>389</v>
      </c>
      <c r="H120" s="102" t="s">
        <v>390</v>
      </c>
      <c r="I120" s="95"/>
      <c r="J120" s="102"/>
      <c r="K120" s="102"/>
      <c r="L120" s="95"/>
      <c r="O120" s="95"/>
      <c r="Q120" s="95"/>
      <c r="S120" s="96"/>
      <c r="T120" s="95"/>
      <c r="W120" s="95"/>
      <c r="Y120" s="95"/>
    </row>
    <row r="121" customFormat="false" ht="15.75" hidden="false" customHeight="true" outlineLevel="0" collapsed="false">
      <c r="A121" s="94"/>
      <c r="D121" s="95"/>
      <c r="F121" s="95"/>
      <c r="G121" s="82" t="s">
        <v>391</v>
      </c>
      <c r="H121" s="102" t="s">
        <v>392</v>
      </c>
      <c r="I121" s="95"/>
      <c r="J121" s="102"/>
      <c r="K121" s="102"/>
      <c r="L121" s="95"/>
      <c r="O121" s="95"/>
      <c r="Q121" s="95"/>
      <c r="S121" s="96"/>
      <c r="T121" s="95"/>
      <c r="W121" s="95"/>
      <c r="Y121" s="95"/>
    </row>
    <row r="122" customFormat="false" ht="15.75" hidden="false" customHeight="true" outlineLevel="0" collapsed="false">
      <c r="A122" s="94"/>
      <c r="D122" s="95"/>
      <c r="F122" s="95"/>
      <c r="G122" s="82" t="s">
        <v>393</v>
      </c>
      <c r="H122" s="102" t="s">
        <v>394</v>
      </c>
      <c r="I122" s="95"/>
      <c r="J122" s="102"/>
      <c r="K122" s="102"/>
      <c r="L122" s="95"/>
      <c r="O122" s="95"/>
      <c r="Q122" s="95"/>
      <c r="S122" s="96"/>
      <c r="T122" s="95"/>
      <c r="W122" s="95"/>
      <c r="Y122" s="95"/>
    </row>
    <row r="123" customFormat="false" ht="15.75" hidden="false" customHeight="true" outlineLevel="0" collapsed="false">
      <c r="A123" s="94"/>
      <c r="D123" s="95"/>
      <c r="F123" s="95"/>
      <c r="G123" s="82" t="s">
        <v>395</v>
      </c>
      <c r="H123" s="102" t="s">
        <v>396</v>
      </c>
      <c r="I123" s="95"/>
      <c r="J123" s="102"/>
      <c r="K123" s="102"/>
      <c r="L123" s="95"/>
      <c r="O123" s="95"/>
      <c r="Q123" s="95"/>
      <c r="S123" s="96"/>
      <c r="T123" s="95"/>
      <c r="W123" s="95"/>
      <c r="Y123" s="95"/>
    </row>
    <row r="124" customFormat="false" ht="15.75" hidden="false" customHeight="true" outlineLevel="0" collapsed="false">
      <c r="A124" s="94"/>
      <c r="D124" s="95"/>
      <c r="F124" s="95"/>
      <c r="G124" s="82" t="s">
        <v>397</v>
      </c>
      <c r="H124" s="102" t="s">
        <v>398</v>
      </c>
      <c r="I124" s="95"/>
      <c r="J124" s="102"/>
      <c r="K124" s="102"/>
      <c r="L124" s="95"/>
      <c r="O124" s="95"/>
      <c r="Q124" s="95"/>
      <c r="S124" s="96"/>
      <c r="T124" s="95"/>
      <c r="W124" s="95"/>
      <c r="Y124" s="95"/>
    </row>
    <row r="125" customFormat="false" ht="15.75" hidden="false" customHeight="true" outlineLevel="0" collapsed="false">
      <c r="A125" s="94"/>
      <c r="D125" s="95"/>
      <c r="F125" s="95"/>
      <c r="G125" s="82" t="s">
        <v>399</v>
      </c>
      <c r="H125" s="102" t="s">
        <v>400</v>
      </c>
      <c r="I125" s="95"/>
      <c r="J125" s="102"/>
      <c r="K125" s="102"/>
      <c r="L125" s="95"/>
      <c r="O125" s="95"/>
      <c r="Q125" s="95"/>
      <c r="S125" s="96"/>
      <c r="T125" s="95"/>
      <c r="W125" s="95"/>
      <c r="Y125" s="95"/>
    </row>
    <row r="126" customFormat="false" ht="15.75" hidden="false" customHeight="true" outlineLevel="0" collapsed="false">
      <c r="A126" s="94"/>
      <c r="D126" s="95"/>
      <c r="F126" s="95"/>
      <c r="G126" s="82" t="s">
        <v>401</v>
      </c>
      <c r="H126" s="102" t="s">
        <v>402</v>
      </c>
      <c r="I126" s="95"/>
      <c r="J126" s="102"/>
      <c r="K126" s="102"/>
      <c r="L126" s="95"/>
      <c r="O126" s="95"/>
      <c r="Q126" s="95"/>
      <c r="S126" s="96"/>
      <c r="T126" s="95"/>
      <c r="W126" s="95"/>
      <c r="Y126" s="95"/>
    </row>
    <row r="127" customFormat="false" ht="15.75" hidden="false" customHeight="true" outlineLevel="0" collapsed="false">
      <c r="A127" s="94"/>
      <c r="D127" s="95"/>
      <c r="F127" s="95"/>
      <c r="G127" s="82" t="s">
        <v>403</v>
      </c>
      <c r="H127" s="102" t="s">
        <v>404</v>
      </c>
      <c r="I127" s="95"/>
      <c r="J127" s="102"/>
      <c r="K127" s="102"/>
      <c r="L127" s="95"/>
      <c r="O127" s="95"/>
      <c r="Q127" s="95"/>
      <c r="S127" s="96"/>
      <c r="T127" s="95"/>
      <c r="W127" s="95"/>
      <c r="Y127" s="95"/>
    </row>
    <row r="128" customFormat="false" ht="15.75" hidden="false" customHeight="true" outlineLevel="0" collapsed="false">
      <c r="A128" s="94"/>
      <c r="D128" s="95"/>
      <c r="F128" s="95"/>
      <c r="G128" s="82" t="s">
        <v>405</v>
      </c>
      <c r="H128" s="102" t="s">
        <v>406</v>
      </c>
      <c r="I128" s="95"/>
      <c r="J128" s="102"/>
      <c r="K128" s="102"/>
      <c r="L128" s="95"/>
      <c r="O128" s="95"/>
      <c r="Q128" s="95"/>
      <c r="S128" s="96"/>
      <c r="T128" s="95"/>
      <c r="W128" s="95"/>
      <c r="Y128" s="95"/>
    </row>
    <row r="129" customFormat="false" ht="15.75" hidden="false" customHeight="true" outlineLevel="0" collapsed="false">
      <c r="A129" s="94"/>
      <c r="D129" s="95"/>
      <c r="F129" s="95"/>
      <c r="G129" s="82" t="s">
        <v>407</v>
      </c>
      <c r="H129" s="102" t="s">
        <v>408</v>
      </c>
      <c r="I129" s="95"/>
      <c r="J129" s="102"/>
      <c r="K129" s="102"/>
      <c r="L129" s="95"/>
      <c r="O129" s="95"/>
      <c r="Q129" s="95"/>
      <c r="S129" s="96"/>
      <c r="T129" s="95"/>
      <c r="W129" s="95"/>
      <c r="Y129" s="95"/>
    </row>
    <row r="130" customFormat="false" ht="15.75" hidden="false" customHeight="true" outlineLevel="0" collapsed="false">
      <c r="A130" s="94"/>
      <c r="D130" s="95"/>
      <c r="F130" s="95"/>
      <c r="G130" s="82" t="s">
        <v>409</v>
      </c>
      <c r="H130" s="102" t="s">
        <v>410</v>
      </c>
      <c r="I130" s="95"/>
      <c r="J130" s="102"/>
      <c r="K130" s="102"/>
      <c r="L130" s="95"/>
      <c r="O130" s="95"/>
      <c r="Q130" s="95"/>
      <c r="S130" s="96"/>
      <c r="T130" s="95"/>
      <c r="W130" s="95"/>
      <c r="Y130" s="95"/>
    </row>
    <row r="131" customFormat="false" ht="15.75" hidden="false" customHeight="true" outlineLevel="0" collapsed="false">
      <c r="A131" s="94"/>
      <c r="D131" s="95"/>
      <c r="F131" s="95"/>
      <c r="G131" s="82" t="s">
        <v>411</v>
      </c>
      <c r="H131" s="102" t="s">
        <v>412</v>
      </c>
      <c r="I131" s="95"/>
      <c r="J131" s="102"/>
      <c r="K131" s="102"/>
      <c r="L131" s="95"/>
      <c r="O131" s="95"/>
      <c r="Q131" s="95"/>
      <c r="S131" s="96"/>
      <c r="T131" s="95"/>
      <c r="W131" s="95"/>
      <c r="Y131" s="95"/>
    </row>
    <row r="132" customFormat="false" ht="15.75" hidden="false" customHeight="true" outlineLevel="0" collapsed="false">
      <c r="A132" s="94"/>
      <c r="D132" s="95"/>
      <c r="F132" s="95"/>
      <c r="G132" s="82" t="s">
        <v>413</v>
      </c>
      <c r="H132" s="102" t="s">
        <v>414</v>
      </c>
      <c r="I132" s="95"/>
      <c r="J132" s="102"/>
      <c r="K132" s="102"/>
      <c r="L132" s="95"/>
      <c r="O132" s="95"/>
      <c r="Q132" s="95"/>
      <c r="S132" s="96"/>
      <c r="T132" s="95"/>
      <c r="W132" s="95"/>
      <c r="Y132" s="95"/>
    </row>
    <row r="133" customFormat="false" ht="15.75" hidden="false" customHeight="true" outlineLevel="0" collapsed="false">
      <c r="A133" s="94"/>
      <c r="D133" s="95"/>
      <c r="F133" s="95"/>
      <c r="G133" s="82" t="s">
        <v>415</v>
      </c>
      <c r="H133" s="102" t="s">
        <v>416</v>
      </c>
      <c r="I133" s="95"/>
      <c r="J133" s="102"/>
      <c r="K133" s="102"/>
      <c r="L133" s="95"/>
      <c r="O133" s="95"/>
      <c r="Q133" s="95"/>
      <c r="S133" s="96"/>
      <c r="T133" s="95"/>
      <c r="W133" s="95"/>
      <c r="Y133" s="95"/>
    </row>
    <row r="134" customFormat="false" ht="15.75" hidden="false" customHeight="true" outlineLevel="0" collapsed="false">
      <c r="A134" s="94"/>
      <c r="D134" s="95"/>
      <c r="F134" s="95"/>
      <c r="G134" s="82" t="s">
        <v>417</v>
      </c>
      <c r="H134" s="102" t="s">
        <v>418</v>
      </c>
      <c r="I134" s="95"/>
      <c r="J134" s="102"/>
      <c r="K134" s="102"/>
      <c r="L134" s="95"/>
      <c r="O134" s="95"/>
      <c r="Q134" s="95"/>
      <c r="S134" s="96"/>
      <c r="T134" s="95"/>
      <c r="W134" s="95"/>
      <c r="Y134" s="95"/>
    </row>
    <row r="135" customFormat="false" ht="15.75" hidden="false" customHeight="true" outlineLevel="0" collapsed="false">
      <c r="A135" s="94"/>
      <c r="D135" s="95"/>
      <c r="F135" s="95"/>
      <c r="G135" s="82" t="s">
        <v>419</v>
      </c>
      <c r="H135" s="102" t="s">
        <v>420</v>
      </c>
      <c r="I135" s="95"/>
      <c r="J135" s="102"/>
      <c r="K135" s="102"/>
      <c r="L135" s="95"/>
      <c r="O135" s="95"/>
      <c r="Q135" s="95"/>
      <c r="S135" s="96"/>
      <c r="T135" s="95"/>
      <c r="W135" s="95"/>
      <c r="Y135" s="95"/>
    </row>
    <row r="136" customFormat="false" ht="15.75" hidden="false" customHeight="true" outlineLevel="0" collapsed="false">
      <c r="A136" s="94"/>
      <c r="D136" s="95"/>
      <c r="F136" s="95"/>
      <c r="G136" s="82" t="s">
        <v>421</v>
      </c>
      <c r="H136" s="102" t="s">
        <v>422</v>
      </c>
      <c r="I136" s="95"/>
      <c r="J136" s="102"/>
      <c r="K136" s="102"/>
      <c r="L136" s="95"/>
      <c r="O136" s="95"/>
      <c r="Q136" s="95"/>
      <c r="S136" s="96"/>
      <c r="T136" s="95"/>
      <c r="W136" s="95"/>
      <c r="Y136" s="95"/>
    </row>
    <row r="137" customFormat="false" ht="15.75" hidden="false" customHeight="true" outlineLevel="0" collapsed="false">
      <c r="A137" s="94"/>
      <c r="D137" s="95"/>
      <c r="F137" s="95"/>
      <c r="G137" s="82" t="s">
        <v>423</v>
      </c>
      <c r="H137" s="102" t="s">
        <v>424</v>
      </c>
      <c r="I137" s="95"/>
      <c r="J137" s="102"/>
      <c r="K137" s="102"/>
      <c r="L137" s="95"/>
      <c r="O137" s="95"/>
      <c r="Q137" s="95"/>
      <c r="S137" s="96"/>
      <c r="T137" s="95"/>
      <c r="W137" s="95"/>
      <c r="Y137" s="95"/>
    </row>
    <row r="138" customFormat="false" ht="15.75" hidden="false" customHeight="true" outlineLevel="0" collapsed="false">
      <c r="A138" s="94"/>
      <c r="D138" s="95"/>
      <c r="F138" s="95"/>
      <c r="G138" s="82" t="s">
        <v>425</v>
      </c>
      <c r="H138" s="102" t="s">
        <v>426</v>
      </c>
      <c r="I138" s="95"/>
      <c r="J138" s="102"/>
      <c r="K138" s="102"/>
      <c r="L138" s="95"/>
      <c r="O138" s="95"/>
      <c r="Q138" s="95"/>
      <c r="S138" s="96"/>
      <c r="T138" s="95"/>
      <c r="W138" s="95"/>
      <c r="Y138" s="95"/>
    </row>
    <row r="139" customFormat="false" ht="15.75" hidden="false" customHeight="true" outlineLevel="0" collapsed="false">
      <c r="A139" s="94"/>
      <c r="D139" s="95"/>
      <c r="F139" s="95"/>
      <c r="G139" s="82" t="s">
        <v>427</v>
      </c>
      <c r="H139" s="102" t="s">
        <v>428</v>
      </c>
      <c r="I139" s="95"/>
      <c r="J139" s="102"/>
      <c r="K139" s="102"/>
      <c r="L139" s="95"/>
      <c r="O139" s="95"/>
      <c r="Q139" s="95"/>
      <c r="S139" s="96"/>
      <c r="T139" s="95"/>
      <c r="W139" s="95"/>
      <c r="Y139" s="95"/>
    </row>
    <row r="140" customFormat="false" ht="15.75" hidden="false" customHeight="true" outlineLevel="0" collapsed="false">
      <c r="A140" s="94"/>
      <c r="D140" s="95"/>
      <c r="F140" s="95"/>
      <c r="G140" s="82" t="s">
        <v>429</v>
      </c>
      <c r="H140" s="102" t="s">
        <v>430</v>
      </c>
      <c r="I140" s="95"/>
      <c r="J140" s="102"/>
      <c r="K140" s="102"/>
      <c r="L140" s="95"/>
      <c r="O140" s="95"/>
      <c r="Q140" s="95"/>
      <c r="S140" s="96"/>
      <c r="T140" s="95"/>
      <c r="W140" s="95"/>
      <c r="Y140" s="95"/>
    </row>
    <row r="141" customFormat="false" ht="15.75" hidden="false" customHeight="true" outlineLevel="0" collapsed="false">
      <c r="A141" s="94"/>
      <c r="D141" s="95"/>
      <c r="F141" s="95"/>
      <c r="G141" s="82" t="s">
        <v>431</v>
      </c>
      <c r="H141" s="102" t="s">
        <v>432</v>
      </c>
      <c r="I141" s="95"/>
      <c r="J141" s="102"/>
      <c r="K141" s="102"/>
      <c r="L141" s="95"/>
      <c r="O141" s="95"/>
      <c r="Q141" s="95"/>
      <c r="S141" s="96"/>
      <c r="T141" s="95"/>
      <c r="W141" s="95"/>
      <c r="Y141" s="95"/>
    </row>
    <row r="142" customFormat="false" ht="15.75" hidden="false" customHeight="true" outlineLevel="0" collapsed="false">
      <c r="A142" s="94"/>
      <c r="D142" s="95"/>
      <c r="F142" s="95"/>
      <c r="G142" s="82" t="s">
        <v>433</v>
      </c>
      <c r="H142" s="102" t="s">
        <v>434</v>
      </c>
      <c r="I142" s="95"/>
      <c r="J142" s="102"/>
      <c r="K142" s="102"/>
      <c r="L142" s="95"/>
      <c r="O142" s="95"/>
      <c r="Q142" s="95"/>
      <c r="S142" s="96"/>
      <c r="T142" s="95"/>
      <c r="W142" s="95"/>
      <c r="Y142" s="95"/>
    </row>
    <row r="143" customFormat="false" ht="15.75" hidden="false" customHeight="true" outlineLevel="0" collapsed="false">
      <c r="A143" s="94"/>
      <c r="D143" s="95"/>
      <c r="F143" s="95"/>
      <c r="G143" s="82" t="s">
        <v>435</v>
      </c>
      <c r="H143" s="102" t="s">
        <v>436</v>
      </c>
      <c r="I143" s="95"/>
      <c r="J143" s="102"/>
      <c r="K143" s="102"/>
      <c r="L143" s="95"/>
      <c r="O143" s="95"/>
      <c r="Q143" s="95"/>
      <c r="S143" s="96"/>
      <c r="T143" s="95"/>
      <c r="W143" s="95"/>
      <c r="Y143" s="95"/>
    </row>
    <row r="144" customFormat="false" ht="15.75" hidden="false" customHeight="true" outlineLevel="0" collapsed="false">
      <c r="A144" s="94"/>
      <c r="D144" s="95"/>
      <c r="F144" s="95"/>
      <c r="G144" s="82" t="s">
        <v>437</v>
      </c>
      <c r="H144" s="102" t="s">
        <v>438</v>
      </c>
      <c r="I144" s="95"/>
      <c r="J144" s="102"/>
      <c r="K144" s="102"/>
      <c r="L144" s="95"/>
      <c r="O144" s="95"/>
      <c r="Q144" s="95"/>
      <c r="S144" s="96"/>
      <c r="T144" s="95"/>
      <c r="W144" s="95"/>
      <c r="Y144" s="95"/>
    </row>
    <row r="145" customFormat="false" ht="15.75" hidden="false" customHeight="true" outlineLevel="0" collapsed="false">
      <c r="A145" s="94"/>
      <c r="D145" s="95"/>
      <c r="F145" s="95"/>
      <c r="G145" s="82" t="s">
        <v>439</v>
      </c>
      <c r="H145" s="102" t="s">
        <v>440</v>
      </c>
      <c r="I145" s="95"/>
      <c r="J145" s="102"/>
      <c r="K145" s="102"/>
      <c r="L145" s="95"/>
      <c r="O145" s="95"/>
      <c r="Q145" s="95"/>
      <c r="S145" s="96"/>
      <c r="T145" s="95"/>
      <c r="W145" s="95"/>
      <c r="Y145" s="95"/>
    </row>
    <row r="146" customFormat="false" ht="15.75" hidden="false" customHeight="true" outlineLevel="0" collapsed="false">
      <c r="A146" s="94"/>
      <c r="D146" s="95"/>
      <c r="F146" s="95"/>
      <c r="G146" s="82" t="s">
        <v>441</v>
      </c>
      <c r="H146" s="102" t="s">
        <v>442</v>
      </c>
      <c r="I146" s="95"/>
      <c r="J146" s="102"/>
      <c r="K146" s="102"/>
      <c r="L146" s="95"/>
      <c r="O146" s="95"/>
      <c r="Q146" s="95"/>
      <c r="S146" s="96"/>
      <c r="T146" s="95"/>
      <c r="W146" s="95"/>
      <c r="Y146" s="95"/>
    </row>
    <row r="147" customFormat="false" ht="15.75" hidden="false" customHeight="true" outlineLevel="0" collapsed="false">
      <c r="A147" s="94"/>
      <c r="D147" s="95"/>
      <c r="F147" s="95"/>
      <c r="G147" s="82" t="s">
        <v>443</v>
      </c>
      <c r="H147" s="102" t="s">
        <v>444</v>
      </c>
      <c r="I147" s="95"/>
      <c r="J147" s="102"/>
      <c r="K147" s="102"/>
      <c r="L147" s="95"/>
      <c r="O147" s="95"/>
      <c r="Q147" s="95"/>
      <c r="S147" s="96"/>
      <c r="T147" s="95"/>
      <c r="W147" s="95"/>
      <c r="Y147" s="95"/>
    </row>
    <row r="148" customFormat="false" ht="15.75" hidden="false" customHeight="true" outlineLevel="0" collapsed="false">
      <c r="A148" s="94"/>
      <c r="D148" s="95"/>
      <c r="F148" s="95"/>
      <c r="G148" s="82" t="s">
        <v>445</v>
      </c>
      <c r="H148" s="102" t="s">
        <v>446</v>
      </c>
      <c r="I148" s="95"/>
      <c r="J148" s="102"/>
      <c r="K148" s="102"/>
      <c r="L148" s="95"/>
      <c r="O148" s="95"/>
      <c r="Q148" s="95"/>
      <c r="S148" s="96"/>
      <c r="T148" s="95"/>
      <c r="W148" s="95"/>
      <c r="Y148" s="95"/>
    </row>
    <row r="149" customFormat="false" ht="15.75" hidden="false" customHeight="true" outlineLevel="0" collapsed="false">
      <c r="A149" s="94"/>
      <c r="D149" s="95"/>
      <c r="F149" s="95"/>
      <c r="G149" s="82" t="s">
        <v>447</v>
      </c>
      <c r="H149" s="102" t="s">
        <v>448</v>
      </c>
      <c r="I149" s="95"/>
      <c r="J149" s="102"/>
      <c r="K149" s="102"/>
      <c r="L149" s="95"/>
      <c r="O149" s="95"/>
      <c r="Q149" s="95"/>
      <c r="S149" s="96"/>
      <c r="T149" s="95"/>
      <c r="W149" s="95"/>
      <c r="Y149" s="95"/>
    </row>
    <row r="150" customFormat="false" ht="15.75" hidden="false" customHeight="true" outlineLevel="0" collapsed="false">
      <c r="A150" s="94"/>
      <c r="D150" s="95"/>
      <c r="F150" s="95"/>
      <c r="G150" s="82" t="s">
        <v>449</v>
      </c>
      <c r="H150" s="102" t="s">
        <v>450</v>
      </c>
      <c r="I150" s="95"/>
      <c r="J150" s="102"/>
      <c r="K150" s="102"/>
      <c r="L150" s="95"/>
      <c r="O150" s="95"/>
      <c r="Q150" s="95"/>
      <c r="S150" s="96"/>
      <c r="T150" s="95"/>
      <c r="W150" s="95"/>
      <c r="Y150" s="95"/>
    </row>
    <row r="151" customFormat="false" ht="15.75" hidden="false" customHeight="true" outlineLevel="0" collapsed="false">
      <c r="A151" s="94"/>
      <c r="D151" s="95"/>
      <c r="F151" s="95"/>
      <c r="G151" s="82" t="s">
        <v>451</v>
      </c>
      <c r="H151" s="102" t="s">
        <v>452</v>
      </c>
      <c r="I151" s="95"/>
      <c r="J151" s="102"/>
      <c r="K151" s="102"/>
      <c r="L151" s="95"/>
      <c r="O151" s="95"/>
      <c r="Q151" s="95"/>
      <c r="S151" s="96"/>
      <c r="T151" s="95"/>
      <c r="W151" s="95"/>
      <c r="Y151" s="95"/>
    </row>
    <row r="152" customFormat="false" ht="15.75" hidden="false" customHeight="true" outlineLevel="0" collapsed="false">
      <c r="A152" s="94"/>
      <c r="D152" s="95"/>
      <c r="F152" s="95"/>
      <c r="G152" s="82" t="s">
        <v>453</v>
      </c>
      <c r="H152" s="102" t="s">
        <v>454</v>
      </c>
      <c r="I152" s="95"/>
      <c r="J152" s="102"/>
      <c r="K152" s="102"/>
      <c r="L152" s="95"/>
      <c r="O152" s="95"/>
      <c r="Q152" s="95"/>
      <c r="S152" s="96"/>
      <c r="T152" s="95"/>
      <c r="W152" s="95"/>
      <c r="Y152" s="95"/>
    </row>
    <row r="153" customFormat="false" ht="15.75" hidden="false" customHeight="true" outlineLevel="0" collapsed="false">
      <c r="A153" s="94"/>
      <c r="D153" s="95"/>
      <c r="F153" s="95"/>
      <c r="G153" s="82" t="s">
        <v>455</v>
      </c>
      <c r="H153" s="102" t="s">
        <v>456</v>
      </c>
      <c r="I153" s="95"/>
      <c r="J153" s="102"/>
      <c r="K153" s="102"/>
      <c r="L153" s="95"/>
      <c r="O153" s="95"/>
      <c r="Q153" s="95"/>
      <c r="S153" s="96"/>
      <c r="T153" s="95"/>
      <c r="W153" s="95"/>
      <c r="Y153" s="95"/>
    </row>
    <row r="154" customFormat="false" ht="15.75" hidden="false" customHeight="true" outlineLevel="0" collapsed="false">
      <c r="A154" s="94"/>
      <c r="D154" s="95"/>
      <c r="F154" s="95"/>
      <c r="G154" s="82" t="s">
        <v>457</v>
      </c>
      <c r="H154" s="102" t="s">
        <v>458</v>
      </c>
      <c r="I154" s="95"/>
      <c r="J154" s="102"/>
      <c r="K154" s="102"/>
      <c r="L154" s="95"/>
      <c r="O154" s="95"/>
      <c r="Q154" s="95"/>
      <c r="S154" s="96"/>
      <c r="T154" s="95"/>
      <c r="W154" s="95"/>
      <c r="Y154" s="95"/>
    </row>
    <row r="155" customFormat="false" ht="15.75" hidden="false" customHeight="true" outlineLevel="0" collapsed="false">
      <c r="A155" s="94"/>
      <c r="D155" s="95"/>
      <c r="F155" s="95"/>
      <c r="G155" s="82" t="s">
        <v>459</v>
      </c>
      <c r="H155" s="102" t="s">
        <v>460</v>
      </c>
      <c r="I155" s="95"/>
      <c r="J155" s="102"/>
      <c r="K155" s="102"/>
      <c r="L155" s="95"/>
      <c r="O155" s="95"/>
      <c r="Q155" s="95"/>
      <c r="S155" s="96"/>
      <c r="T155" s="95"/>
      <c r="W155" s="95"/>
      <c r="Y155" s="95"/>
    </row>
    <row r="156" customFormat="false" ht="15.75" hidden="false" customHeight="true" outlineLevel="0" collapsed="false">
      <c r="A156" s="94"/>
      <c r="D156" s="95"/>
      <c r="F156" s="95"/>
      <c r="G156" s="82" t="s">
        <v>461</v>
      </c>
      <c r="H156" s="102" t="s">
        <v>462</v>
      </c>
      <c r="I156" s="95"/>
      <c r="J156" s="102"/>
      <c r="K156" s="102"/>
      <c r="L156" s="95"/>
      <c r="O156" s="95"/>
      <c r="Q156" s="95"/>
      <c r="S156" s="96"/>
      <c r="T156" s="95"/>
      <c r="W156" s="95"/>
      <c r="Y156" s="95"/>
    </row>
    <row r="157" customFormat="false" ht="15.75" hidden="false" customHeight="true" outlineLevel="0" collapsed="false">
      <c r="A157" s="94"/>
      <c r="D157" s="95"/>
      <c r="F157" s="95"/>
      <c r="G157" s="82" t="s">
        <v>463</v>
      </c>
      <c r="H157" s="102" t="s">
        <v>464</v>
      </c>
      <c r="I157" s="95"/>
      <c r="J157" s="102"/>
      <c r="K157" s="102"/>
      <c r="L157" s="95"/>
      <c r="O157" s="95"/>
      <c r="Q157" s="95"/>
      <c r="S157" s="96"/>
      <c r="T157" s="95"/>
      <c r="W157" s="95"/>
      <c r="Y157" s="95"/>
    </row>
    <row r="158" customFormat="false" ht="15.75" hidden="false" customHeight="true" outlineLevel="0" collapsed="false">
      <c r="A158" s="94"/>
      <c r="D158" s="95"/>
      <c r="F158" s="95"/>
      <c r="G158" s="82" t="s">
        <v>465</v>
      </c>
      <c r="H158" s="102" t="s">
        <v>466</v>
      </c>
      <c r="I158" s="95"/>
      <c r="J158" s="102"/>
      <c r="K158" s="102"/>
      <c r="L158" s="95"/>
      <c r="O158" s="95"/>
      <c r="Q158" s="95"/>
      <c r="S158" s="96"/>
      <c r="T158" s="95"/>
      <c r="W158" s="95"/>
      <c r="Y158" s="95"/>
    </row>
    <row r="159" customFormat="false" ht="15.75" hidden="false" customHeight="true" outlineLevel="0" collapsed="false">
      <c r="A159" s="94"/>
      <c r="D159" s="95"/>
      <c r="F159" s="95"/>
      <c r="G159" s="82" t="s">
        <v>467</v>
      </c>
      <c r="H159" s="102" t="s">
        <v>468</v>
      </c>
      <c r="I159" s="95"/>
      <c r="J159" s="102"/>
      <c r="K159" s="102"/>
      <c r="L159" s="95"/>
      <c r="O159" s="95"/>
      <c r="Q159" s="95"/>
      <c r="S159" s="96"/>
      <c r="T159" s="95"/>
      <c r="W159" s="95"/>
      <c r="Y159" s="95"/>
    </row>
    <row r="160" customFormat="false" ht="15.75" hidden="false" customHeight="true" outlineLevel="0" collapsed="false">
      <c r="A160" s="94"/>
      <c r="D160" s="95"/>
      <c r="F160" s="95"/>
      <c r="G160" s="82" t="s">
        <v>469</v>
      </c>
      <c r="H160" s="102" t="s">
        <v>470</v>
      </c>
      <c r="I160" s="95"/>
      <c r="J160" s="102"/>
      <c r="K160" s="102"/>
      <c r="L160" s="95"/>
      <c r="O160" s="95"/>
      <c r="Q160" s="95"/>
      <c r="S160" s="96"/>
      <c r="T160" s="95"/>
      <c r="W160" s="95"/>
      <c r="Y160" s="95"/>
    </row>
    <row r="161" customFormat="false" ht="15.75" hidden="false" customHeight="true" outlineLevel="0" collapsed="false">
      <c r="A161" s="94"/>
      <c r="D161" s="95"/>
      <c r="F161" s="95"/>
      <c r="G161" s="82" t="s">
        <v>471</v>
      </c>
      <c r="H161" s="102" t="s">
        <v>472</v>
      </c>
      <c r="I161" s="95"/>
      <c r="J161" s="102"/>
      <c r="K161" s="102"/>
      <c r="L161" s="95"/>
      <c r="O161" s="95"/>
      <c r="Q161" s="95"/>
      <c r="S161" s="96"/>
      <c r="T161" s="95"/>
      <c r="W161" s="95"/>
      <c r="Y161" s="95"/>
    </row>
    <row r="162" customFormat="false" ht="15.75" hidden="false" customHeight="true" outlineLevel="0" collapsed="false">
      <c r="A162" s="94"/>
      <c r="D162" s="95"/>
      <c r="F162" s="95"/>
      <c r="G162" s="82" t="s">
        <v>473</v>
      </c>
      <c r="H162" s="102" t="s">
        <v>474</v>
      </c>
      <c r="I162" s="95"/>
      <c r="J162" s="102"/>
      <c r="K162" s="102"/>
      <c r="L162" s="95"/>
      <c r="O162" s="95"/>
      <c r="Q162" s="95"/>
      <c r="S162" s="96"/>
      <c r="T162" s="95"/>
      <c r="W162" s="95"/>
      <c r="Y162" s="95"/>
    </row>
    <row r="163" customFormat="false" ht="15.75" hidden="false" customHeight="true" outlineLevel="0" collapsed="false">
      <c r="A163" s="94"/>
      <c r="D163" s="95"/>
      <c r="F163" s="95"/>
      <c r="G163" s="82" t="s">
        <v>475</v>
      </c>
      <c r="H163" s="102" t="s">
        <v>476</v>
      </c>
      <c r="I163" s="95"/>
      <c r="J163" s="102"/>
      <c r="K163" s="102"/>
      <c r="L163" s="95"/>
      <c r="O163" s="95"/>
      <c r="Q163" s="95"/>
      <c r="S163" s="96"/>
      <c r="T163" s="95"/>
      <c r="W163" s="95"/>
      <c r="Y163" s="95"/>
    </row>
    <row r="164" customFormat="false" ht="15.75" hidden="false" customHeight="true" outlineLevel="0" collapsed="false">
      <c r="A164" s="94"/>
      <c r="D164" s="95"/>
      <c r="F164" s="95"/>
      <c r="G164" s="82" t="s">
        <v>477</v>
      </c>
      <c r="H164" s="102" t="s">
        <v>478</v>
      </c>
      <c r="I164" s="95"/>
      <c r="J164" s="102"/>
      <c r="K164" s="102"/>
      <c r="L164" s="95"/>
      <c r="O164" s="95"/>
      <c r="Q164" s="95"/>
      <c r="S164" s="96"/>
      <c r="T164" s="95"/>
      <c r="W164" s="95"/>
      <c r="Y164" s="95"/>
    </row>
    <row r="165" customFormat="false" ht="15.75" hidden="false" customHeight="true" outlineLevel="0" collapsed="false">
      <c r="A165" s="94"/>
      <c r="D165" s="95"/>
      <c r="F165" s="95"/>
      <c r="G165" s="82" t="s">
        <v>479</v>
      </c>
      <c r="H165" s="102" t="s">
        <v>480</v>
      </c>
      <c r="I165" s="95"/>
      <c r="J165" s="102"/>
      <c r="K165" s="102"/>
      <c r="L165" s="95"/>
      <c r="O165" s="95"/>
      <c r="Q165" s="95"/>
      <c r="S165" s="96"/>
      <c r="T165" s="95"/>
      <c r="W165" s="95"/>
      <c r="Y165" s="95"/>
    </row>
    <row r="166" customFormat="false" ht="15.75" hidden="false" customHeight="true" outlineLevel="0" collapsed="false">
      <c r="A166" s="94"/>
      <c r="D166" s="95"/>
      <c r="F166" s="95"/>
      <c r="G166" s="82" t="s">
        <v>481</v>
      </c>
      <c r="H166" s="102" t="s">
        <v>482</v>
      </c>
      <c r="I166" s="95"/>
      <c r="J166" s="102"/>
      <c r="K166" s="102"/>
      <c r="L166" s="95"/>
      <c r="O166" s="95"/>
      <c r="Q166" s="95"/>
      <c r="S166" s="96"/>
      <c r="T166" s="95"/>
      <c r="W166" s="95"/>
      <c r="Y166" s="95"/>
    </row>
    <row r="167" customFormat="false" ht="15.75" hidden="false" customHeight="true" outlineLevel="0" collapsed="false">
      <c r="A167" s="94"/>
      <c r="D167" s="95"/>
      <c r="F167" s="95"/>
      <c r="G167" s="82" t="s">
        <v>483</v>
      </c>
      <c r="H167" s="102" t="s">
        <v>484</v>
      </c>
      <c r="I167" s="95"/>
      <c r="J167" s="102"/>
      <c r="K167" s="102"/>
      <c r="L167" s="95"/>
      <c r="O167" s="95"/>
      <c r="Q167" s="95"/>
      <c r="S167" s="96"/>
      <c r="T167" s="95"/>
      <c r="W167" s="95"/>
      <c r="Y167" s="95"/>
    </row>
    <row r="168" customFormat="false" ht="15.75" hidden="false" customHeight="true" outlineLevel="0" collapsed="false">
      <c r="A168" s="94"/>
      <c r="D168" s="95"/>
      <c r="F168" s="95"/>
      <c r="G168" s="82" t="s">
        <v>485</v>
      </c>
      <c r="H168" s="102" t="s">
        <v>486</v>
      </c>
      <c r="I168" s="95"/>
      <c r="J168" s="102"/>
      <c r="K168" s="102"/>
      <c r="L168" s="95"/>
      <c r="O168" s="95"/>
      <c r="Q168" s="95"/>
      <c r="S168" s="96"/>
      <c r="T168" s="95"/>
      <c r="W168" s="95"/>
      <c r="Y168" s="95"/>
    </row>
    <row r="169" customFormat="false" ht="15.75" hidden="false" customHeight="true" outlineLevel="0" collapsed="false">
      <c r="A169" s="94"/>
      <c r="D169" s="95"/>
      <c r="F169" s="95"/>
      <c r="G169" s="82" t="s">
        <v>487</v>
      </c>
      <c r="H169" s="102" t="s">
        <v>488</v>
      </c>
      <c r="I169" s="95"/>
      <c r="J169" s="102"/>
      <c r="K169" s="102"/>
      <c r="L169" s="95"/>
      <c r="O169" s="95"/>
      <c r="Q169" s="95"/>
      <c r="S169" s="96"/>
      <c r="T169" s="95"/>
      <c r="W169" s="95"/>
      <c r="Y169" s="95"/>
    </row>
    <row r="170" customFormat="false" ht="15.75" hidden="false" customHeight="true" outlineLevel="0" collapsed="false">
      <c r="A170" s="94"/>
      <c r="D170" s="95"/>
      <c r="F170" s="95"/>
      <c r="G170" s="82" t="s">
        <v>489</v>
      </c>
      <c r="H170" s="102" t="s">
        <v>490</v>
      </c>
      <c r="I170" s="95"/>
      <c r="J170" s="102"/>
      <c r="K170" s="102"/>
      <c r="L170" s="95"/>
      <c r="O170" s="95"/>
      <c r="Q170" s="95"/>
      <c r="S170" s="96"/>
      <c r="T170" s="95"/>
      <c r="W170" s="95"/>
      <c r="Y170" s="95"/>
    </row>
    <row r="171" customFormat="false" ht="15.75" hidden="false" customHeight="true" outlineLevel="0" collapsed="false">
      <c r="A171" s="94"/>
      <c r="D171" s="95"/>
      <c r="F171" s="95"/>
      <c r="G171" s="82" t="s">
        <v>491</v>
      </c>
      <c r="H171" s="102" t="s">
        <v>492</v>
      </c>
      <c r="I171" s="95"/>
      <c r="J171" s="102"/>
      <c r="K171" s="102"/>
      <c r="L171" s="95"/>
      <c r="O171" s="95"/>
      <c r="Q171" s="95"/>
      <c r="S171" s="96"/>
      <c r="T171" s="95"/>
      <c r="W171" s="95"/>
      <c r="Y171" s="95"/>
    </row>
    <row r="172" customFormat="false" ht="15.75" hidden="false" customHeight="true" outlineLevel="0" collapsed="false">
      <c r="A172" s="94"/>
      <c r="D172" s="95"/>
      <c r="F172" s="95"/>
      <c r="G172" s="82" t="s">
        <v>493</v>
      </c>
      <c r="H172" s="102" t="s">
        <v>494</v>
      </c>
      <c r="I172" s="95"/>
      <c r="J172" s="102"/>
      <c r="K172" s="102"/>
      <c r="L172" s="95"/>
      <c r="O172" s="95"/>
      <c r="Q172" s="95"/>
      <c r="S172" s="96"/>
      <c r="T172" s="95"/>
      <c r="W172" s="95"/>
      <c r="Y172" s="95"/>
    </row>
    <row r="173" customFormat="false" ht="15.75" hidden="false" customHeight="true" outlineLevel="0" collapsed="false">
      <c r="A173" s="94"/>
      <c r="D173" s="95"/>
      <c r="F173" s="95"/>
      <c r="G173" s="82" t="s">
        <v>495</v>
      </c>
      <c r="H173" s="102" t="s">
        <v>496</v>
      </c>
      <c r="I173" s="95"/>
      <c r="J173" s="102"/>
      <c r="K173" s="102"/>
      <c r="L173" s="95"/>
      <c r="O173" s="95"/>
      <c r="Q173" s="95"/>
      <c r="S173" s="96"/>
      <c r="T173" s="95"/>
      <c r="W173" s="95"/>
      <c r="Y173" s="95"/>
    </row>
    <row r="174" customFormat="false" ht="15.75" hidden="false" customHeight="true" outlineLevel="0" collapsed="false">
      <c r="A174" s="94"/>
      <c r="D174" s="95"/>
      <c r="F174" s="95"/>
      <c r="G174" s="82" t="s">
        <v>497</v>
      </c>
      <c r="H174" s="102" t="s">
        <v>498</v>
      </c>
      <c r="I174" s="95"/>
      <c r="J174" s="102"/>
      <c r="K174" s="102"/>
      <c r="L174" s="95"/>
      <c r="O174" s="95"/>
      <c r="Q174" s="95"/>
      <c r="S174" s="96"/>
      <c r="T174" s="95"/>
      <c r="W174" s="95"/>
      <c r="Y174" s="95"/>
    </row>
    <row r="175" customFormat="false" ht="15.75" hidden="false" customHeight="true" outlineLevel="0" collapsed="false">
      <c r="A175" s="94"/>
      <c r="D175" s="95"/>
      <c r="F175" s="95"/>
      <c r="G175" s="82" t="s">
        <v>499</v>
      </c>
      <c r="H175" s="102" t="s">
        <v>500</v>
      </c>
      <c r="I175" s="95"/>
      <c r="J175" s="102"/>
      <c r="K175" s="102"/>
      <c r="L175" s="95"/>
      <c r="O175" s="95"/>
      <c r="Q175" s="95"/>
      <c r="S175" s="96"/>
      <c r="T175" s="95"/>
      <c r="W175" s="95"/>
      <c r="Y175" s="95"/>
    </row>
    <row r="176" customFormat="false" ht="15.75" hidden="false" customHeight="true" outlineLevel="0" collapsed="false">
      <c r="A176" s="94"/>
      <c r="D176" s="95"/>
      <c r="F176" s="95"/>
      <c r="G176" s="82" t="s">
        <v>501</v>
      </c>
      <c r="H176" s="102" t="s">
        <v>502</v>
      </c>
      <c r="I176" s="95"/>
      <c r="J176" s="102"/>
      <c r="K176" s="102"/>
      <c r="L176" s="95"/>
      <c r="O176" s="95"/>
      <c r="Q176" s="95"/>
      <c r="S176" s="96"/>
      <c r="T176" s="95"/>
      <c r="W176" s="95"/>
      <c r="Y176" s="95"/>
    </row>
    <row r="177" customFormat="false" ht="15.75" hidden="false" customHeight="true" outlineLevel="0" collapsed="false">
      <c r="A177" s="94"/>
      <c r="D177" s="95"/>
      <c r="F177" s="95"/>
      <c r="G177" s="82" t="s">
        <v>503</v>
      </c>
      <c r="H177" s="102" t="s">
        <v>504</v>
      </c>
      <c r="I177" s="95"/>
      <c r="J177" s="102"/>
      <c r="K177" s="102"/>
      <c r="L177" s="95"/>
      <c r="O177" s="95"/>
      <c r="Q177" s="95"/>
      <c r="S177" s="96"/>
      <c r="T177" s="95"/>
      <c r="W177" s="95"/>
      <c r="Y177" s="95"/>
    </row>
    <row r="178" customFormat="false" ht="15.75" hidden="false" customHeight="true" outlineLevel="0" collapsed="false">
      <c r="A178" s="94"/>
      <c r="D178" s="95"/>
      <c r="F178" s="95"/>
      <c r="G178" s="82" t="s">
        <v>505</v>
      </c>
      <c r="H178" s="102" t="s">
        <v>506</v>
      </c>
      <c r="I178" s="95"/>
      <c r="J178" s="102"/>
      <c r="K178" s="102"/>
      <c r="L178" s="95"/>
      <c r="O178" s="95"/>
      <c r="Q178" s="95"/>
      <c r="S178" s="96"/>
      <c r="T178" s="95"/>
      <c r="W178" s="95"/>
      <c r="Y178" s="95"/>
    </row>
    <row r="179" customFormat="false" ht="15.75" hidden="false" customHeight="true" outlineLevel="0" collapsed="false">
      <c r="A179" s="94"/>
      <c r="D179" s="95"/>
      <c r="F179" s="95"/>
      <c r="G179" s="82" t="s">
        <v>507</v>
      </c>
      <c r="H179" s="102" t="s">
        <v>508</v>
      </c>
      <c r="I179" s="95"/>
      <c r="J179" s="102"/>
      <c r="K179" s="102"/>
      <c r="L179" s="95"/>
      <c r="O179" s="95"/>
      <c r="Q179" s="95"/>
      <c r="S179" s="96"/>
      <c r="T179" s="95"/>
      <c r="W179" s="95"/>
      <c r="Y179" s="95"/>
    </row>
    <row r="180" customFormat="false" ht="15.75" hidden="false" customHeight="true" outlineLevel="0" collapsed="false">
      <c r="A180" s="94"/>
      <c r="D180" s="95"/>
      <c r="F180" s="95"/>
      <c r="G180" s="82" t="s">
        <v>509</v>
      </c>
      <c r="H180" s="102" t="s">
        <v>510</v>
      </c>
      <c r="I180" s="95"/>
      <c r="J180" s="102"/>
      <c r="K180" s="102"/>
      <c r="L180" s="95"/>
      <c r="O180" s="95"/>
      <c r="Q180" s="95"/>
      <c r="S180" s="96"/>
      <c r="T180" s="95"/>
      <c r="W180" s="95"/>
      <c r="Y180" s="95"/>
    </row>
    <row r="181" customFormat="false" ht="15.75" hidden="false" customHeight="true" outlineLevel="0" collapsed="false">
      <c r="A181" s="94"/>
      <c r="D181" s="95"/>
      <c r="F181" s="95"/>
      <c r="G181" s="82" t="s">
        <v>511</v>
      </c>
      <c r="H181" s="102" t="s">
        <v>512</v>
      </c>
      <c r="I181" s="95"/>
      <c r="J181" s="102"/>
      <c r="K181" s="102"/>
      <c r="L181" s="95"/>
      <c r="O181" s="95"/>
      <c r="Q181" s="95"/>
      <c r="S181" s="96"/>
      <c r="T181" s="95"/>
      <c r="W181" s="95"/>
      <c r="Y181" s="95"/>
    </row>
    <row r="182" customFormat="false" ht="15.75" hidden="false" customHeight="true" outlineLevel="0" collapsed="false">
      <c r="A182" s="94"/>
      <c r="D182" s="95"/>
      <c r="F182" s="95"/>
      <c r="G182" s="82" t="s">
        <v>513</v>
      </c>
      <c r="H182" s="102" t="s">
        <v>514</v>
      </c>
      <c r="I182" s="95"/>
      <c r="J182" s="102"/>
      <c r="K182" s="102"/>
      <c r="L182" s="95"/>
      <c r="O182" s="95"/>
      <c r="Q182" s="95"/>
      <c r="S182" s="96"/>
      <c r="T182" s="95"/>
      <c r="W182" s="95"/>
      <c r="Y182" s="95"/>
    </row>
    <row r="183" customFormat="false" ht="15.75" hidden="false" customHeight="true" outlineLevel="0" collapsed="false">
      <c r="A183" s="94"/>
      <c r="D183" s="95"/>
      <c r="F183" s="95"/>
      <c r="G183" s="82" t="s">
        <v>515</v>
      </c>
      <c r="H183" s="102" t="s">
        <v>516</v>
      </c>
      <c r="I183" s="95"/>
      <c r="J183" s="102"/>
      <c r="K183" s="102"/>
      <c r="L183" s="95"/>
      <c r="O183" s="95"/>
      <c r="Q183" s="95"/>
      <c r="S183" s="96"/>
      <c r="T183" s="95"/>
      <c r="W183" s="95"/>
      <c r="Y183" s="95"/>
    </row>
    <row r="184" customFormat="false" ht="15.75" hidden="false" customHeight="true" outlineLevel="0" collapsed="false">
      <c r="A184" s="94"/>
      <c r="D184" s="95"/>
      <c r="F184" s="95"/>
      <c r="G184" s="82" t="s">
        <v>517</v>
      </c>
      <c r="H184" s="102" t="s">
        <v>518</v>
      </c>
      <c r="I184" s="95"/>
      <c r="J184" s="102"/>
      <c r="K184" s="102"/>
      <c r="L184" s="95"/>
      <c r="O184" s="95"/>
      <c r="Q184" s="95"/>
      <c r="S184" s="96"/>
      <c r="T184" s="95"/>
      <c r="W184" s="95"/>
      <c r="Y184" s="95"/>
    </row>
    <row r="185" customFormat="false" ht="15.75" hidden="false" customHeight="true" outlineLevel="0" collapsed="false">
      <c r="A185" s="94"/>
      <c r="D185" s="95"/>
      <c r="F185" s="95"/>
      <c r="G185" s="82" t="s">
        <v>519</v>
      </c>
      <c r="H185" s="102" t="s">
        <v>520</v>
      </c>
      <c r="I185" s="95"/>
      <c r="J185" s="102"/>
      <c r="K185" s="102"/>
      <c r="L185" s="95"/>
      <c r="O185" s="95"/>
      <c r="Q185" s="95"/>
      <c r="S185" s="96"/>
      <c r="T185" s="95"/>
      <c r="W185" s="95"/>
      <c r="Y185" s="95"/>
    </row>
    <row r="186" customFormat="false" ht="15.75" hidden="false" customHeight="true" outlineLevel="0" collapsed="false">
      <c r="A186" s="94"/>
      <c r="D186" s="95"/>
      <c r="F186" s="95"/>
      <c r="G186" s="82" t="s">
        <v>521</v>
      </c>
      <c r="H186" s="102" t="s">
        <v>522</v>
      </c>
      <c r="I186" s="95"/>
      <c r="J186" s="102"/>
      <c r="K186" s="102"/>
      <c r="L186" s="95"/>
      <c r="O186" s="95"/>
      <c r="Q186" s="95"/>
      <c r="S186" s="96"/>
      <c r="T186" s="95"/>
      <c r="W186" s="95"/>
      <c r="Y186" s="95"/>
    </row>
    <row r="187" customFormat="false" ht="15.75" hidden="false" customHeight="true" outlineLevel="0" collapsed="false">
      <c r="A187" s="94"/>
      <c r="D187" s="95"/>
      <c r="F187" s="95"/>
      <c r="G187" s="82" t="s">
        <v>523</v>
      </c>
      <c r="H187" s="102" t="s">
        <v>524</v>
      </c>
      <c r="I187" s="95"/>
      <c r="J187" s="102"/>
      <c r="K187" s="102"/>
      <c r="L187" s="95"/>
      <c r="O187" s="95"/>
      <c r="Q187" s="95"/>
      <c r="S187" s="96"/>
      <c r="T187" s="95"/>
      <c r="W187" s="95"/>
      <c r="Y187" s="95"/>
    </row>
    <row r="188" customFormat="false" ht="15.75" hidden="false" customHeight="true" outlineLevel="0" collapsed="false">
      <c r="A188" s="94"/>
      <c r="D188" s="95"/>
      <c r="F188" s="95"/>
      <c r="G188" s="82" t="s">
        <v>525</v>
      </c>
      <c r="H188" s="102" t="s">
        <v>526</v>
      </c>
      <c r="I188" s="95"/>
      <c r="J188" s="102"/>
      <c r="K188" s="102"/>
      <c r="L188" s="95"/>
      <c r="O188" s="95"/>
      <c r="Q188" s="95"/>
      <c r="S188" s="96"/>
      <c r="T188" s="95"/>
      <c r="W188" s="95"/>
      <c r="Y188" s="95"/>
    </row>
    <row r="189" customFormat="false" ht="15.75" hidden="false" customHeight="true" outlineLevel="0" collapsed="false">
      <c r="A189" s="94"/>
      <c r="D189" s="95"/>
      <c r="F189" s="95"/>
      <c r="G189" s="82" t="s">
        <v>527</v>
      </c>
      <c r="H189" s="102" t="s">
        <v>528</v>
      </c>
      <c r="I189" s="95"/>
      <c r="J189" s="102"/>
      <c r="K189" s="102"/>
      <c r="L189" s="95"/>
      <c r="O189" s="95"/>
      <c r="Q189" s="95"/>
      <c r="S189" s="96"/>
      <c r="T189" s="95"/>
      <c r="W189" s="95"/>
      <c r="Y189" s="95"/>
    </row>
    <row r="190" customFormat="false" ht="15.75" hidden="false" customHeight="true" outlineLevel="0" collapsed="false">
      <c r="A190" s="94"/>
      <c r="D190" s="95"/>
      <c r="F190" s="95"/>
      <c r="G190" s="82" t="s">
        <v>529</v>
      </c>
      <c r="H190" s="102" t="s">
        <v>530</v>
      </c>
      <c r="I190" s="95"/>
      <c r="J190" s="102"/>
      <c r="K190" s="102"/>
      <c r="L190" s="95"/>
      <c r="O190" s="95"/>
      <c r="Q190" s="95"/>
      <c r="S190" s="96"/>
      <c r="T190" s="95"/>
      <c r="W190" s="95"/>
      <c r="Y190" s="95"/>
    </row>
    <row r="191" customFormat="false" ht="15.75" hidden="false" customHeight="true" outlineLevel="0" collapsed="false">
      <c r="A191" s="94"/>
      <c r="D191" s="95"/>
      <c r="F191" s="95"/>
      <c r="G191" s="82" t="s">
        <v>531</v>
      </c>
      <c r="H191" s="102" t="s">
        <v>532</v>
      </c>
      <c r="I191" s="95"/>
      <c r="J191" s="102"/>
      <c r="K191" s="102"/>
      <c r="L191" s="95"/>
      <c r="O191" s="95"/>
      <c r="Q191" s="95"/>
      <c r="S191" s="96"/>
      <c r="T191" s="95"/>
      <c r="W191" s="95"/>
      <c r="Y191" s="95"/>
    </row>
    <row r="192" customFormat="false" ht="15.75" hidden="false" customHeight="true" outlineLevel="0" collapsed="false">
      <c r="A192" s="94"/>
      <c r="D192" s="95"/>
      <c r="F192" s="95"/>
      <c r="G192" s="82" t="s">
        <v>533</v>
      </c>
      <c r="H192" s="102" t="s">
        <v>534</v>
      </c>
      <c r="I192" s="95"/>
      <c r="J192" s="102"/>
      <c r="K192" s="102"/>
      <c r="L192" s="95"/>
      <c r="O192" s="95"/>
      <c r="Q192" s="95"/>
      <c r="S192" s="96"/>
      <c r="T192" s="95"/>
      <c r="W192" s="95"/>
      <c r="Y192" s="95"/>
    </row>
    <row r="193" customFormat="false" ht="15.75" hidden="false" customHeight="true" outlineLevel="0" collapsed="false">
      <c r="A193" s="94"/>
      <c r="D193" s="95"/>
      <c r="F193" s="95"/>
      <c r="G193" s="82" t="s">
        <v>535</v>
      </c>
      <c r="H193" s="102" t="s">
        <v>536</v>
      </c>
      <c r="I193" s="95"/>
      <c r="J193" s="102"/>
      <c r="K193" s="102"/>
      <c r="L193" s="95"/>
      <c r="O193" s="95"/>
      <c r="Q193" s="95"/>
      <c r="S193" s="96"/>
      <c r="T193" s="95"/>
      <c r="W193" s="95"/>
      <c r="Y193" s="95"/>
    </row>
    <row r="194" customFormat="false" ht="15.75" hidden="false" customHeight="true" outlineLevel="0" collapsed="false">
      <c r="A194" s="94"/>
      <c r="D194" s="95"/>
      <c r="F194" s="95"/>
      <c r="G194" s="82" t="s">
        <v>537</v>
      </c>
      <c r="H194" s="102" t="s">
        <v>538</v>
      </c>
      <c r="I194" s="95"/>
      <c r="J194" s="102"/>
      <c r="K194" s="102"/>
      <c r="L194" s="95"/>
      <c r="O194" s="95"/>
      <c r="Q194" s="95"/>
      <c r="S194" s="96"/>
      <c r="T194" s="95"/>
      <c r="W194" s="95"/>
      <c r="Y194" s="95"/>
    </row>
    <row r="195" customFormat="false" ht="15.75" hidden="false" customHeight="true" outlineLevel="0" collapsed="false">
      <c r="A195" s="94"/>
      <c r="D195" s="95"/>
      <c r="F195" s="95"/>
      <c r="G195" s="82" t="s">
        <v>539</v>
      </c>
      <c r="H195" s="102" t="s">
        <v>540</v>
      </c>
      <c r="I195" s="95"/>
      <c r="J195" s="102"/>
      <c r="K195" s="102"/>
      <c r="L195" s="95"/>
      <c r="O195" s="95"/>
      <c r="Q195" s="95"/>
      <c r="S195" s="96"/>
      <c r="T195" s="95"/>
      <c r="W195" s="95"/>
      <c r="Y195" s="95"/>
    </row>
    <row r="196" customFormat="false" ht="15.75" hidden="false" customHeight="true" outlineLevel="0" collapsed="false">
      <c r="A196" s="94"/>
      <c r="D196" s="95"/>
      <c r="F196" s="95"/>
      <c r="G196" s="82" t="s">
        <v>541</v>
      </c>
      <c r="H196" s="102" t="s">
        <v>542</v>
      </c>
      <c r="I196" s="95"/>
      <c r="J196" s="102"/>
      <c r="K196" s="102"/>
      <c r="L196" s="95"/>
      <c r="O196" s="95"/>
      <c r="Q196" s="95"/>
      <c r="S196" s="96"/>
      <c r="T196" s="95"/>
      <c r="W196" s="95"/>
      <c r="Y196" s="95"/>
    </row>
    <row r="197" customFormat="false" ht="15.75" hidden="false" customHeight="true" outlineLevel="0" collapsed="false">
      <c r="A197" s="94"/>
      <c r="D197" s="95"/>
      <c r="F197" s="95"/>
      <c r="G197" s="82" t="s">
        <v>543</v>
      </c>
      <c r="H197" s="102" t="s">
        <v>544</v>
      </c>
      <c r="I197" s="95"/>
      <c r="J197" s="102"/>
      <c r="K197" s="102"/>
      <c r="L197" s="95"/>
      <c r="O197" s="95"/>
      <c r="Q197" s="95"/>
      <c r="S197" s="96"/>
      <c r="T197" s="95"/>
      <c r="W197" s="95"/>
      <c r="Y197" s="95"/>
    </row>
    <row r="198" customFormat="false" ht="15.75" hidden="false" customHeight="true" outlineLevel="0" collapsed="false">
      <c r="A198" s="94"/>
      <c r="D198" s="95"/>
      <c r="F198" s="95"/>
      <c r="G198" s="82" t="s">
        <v>545</v>
      </c>
      <c r="H198" s="102" t="s">
        <v>546</v>
      </c>
      <c r="I198" s="95"/>
      <c r="J198" s="102"/>
      <c r="K198" s="102"/>
      <c r="L198" s="95"/>
      <c r="O198" s="95"/>
      <c r="Q198" s="95"/>
      <c r="S198" s="96"/>
      <c r="T198" s="95"/>
      <c r="W198" s="95"/>
      <c r="Y198" s="95"/>
    </row>
    <row r="199" customFormat="false" ht="15.75" hidden="false" customHeight="true" outlineLevel="0" collapsed="false">
      <c r="A199" s="94"/>
      <c r="D199" s="95"/>
      <c r="F199" s="95"/>
      <c r="G199" s="82" t="s">
        <v>547</v>
      </c>
      <c r="H199" s="102" t="s">
        <v>548</v>
      </c>
      <c r="I199" s="95"/>
      <c r="J199" s="102"/>
      <c r="K199" s="102"/>
      <c r="L199" s="95"/>
      <c r="O199" s="95"/>
      <c r="Q199" s="95"/>
      <c r="S199" s="96"/>
      <c r="T199" s="95"/>
      <c r="W199" s="95"/>
      <c r="Y199" s="95"/>
    </row>
    <row r="200" customFormat="false" ht="15.75" hidden="false" customHeight="true" outlineLevel="0" collapsed="false">
      <c r="A200" s="94"/>
      <c r="D200" s="95"/>
      <c r="F200" s="95"/>
      <c r="G200" s="82" t="s">
        <v>549</v>
      </c>
      <c r="H200" s="102" t="s">
        <v>550</v>
      </c>
      <c r="I200" s="95"/>
      <c r="J200" s="102"/>
      <c r="K200" s="102"/>
      <c r="L200" s="95"/>
      <c r="O200" s="95"/>
      <c r="Q200" s="95"/>
      <c r="S200" s="96"/>
      <c r="T200" s="95"/>
      <c r="W200" s="95"/>
      <c r="Y200" s="95"/>
    </row>
    <row r="201" customFormat="false" ht="15.75" hidden="false" customHeight="true" outlineLevel="0" collapsed="false">
      <c r="A201" s="94"/>
      <c r="D201" s="95"/>
      <c r="F201" s="95"/>
      <c r="G201" s="82" t="s">
        <v>551</v>
      </c>
      <c r="H201" s="102" t="s">
        <v>552</v>
      </c>
      <c r="I201" s="95"/>
      <c r="J201" s="102"/>
      <c r="K201" s="102"/>
      <c r="L201" s="95"/>
      <c r="O201" s="95"/>
      <c r="Q201" s="95"/>
      <c r="S201" s="96"/>
      <c r="T201" s="95"/>
      <c r="W201" s="95"/>
      <c r="Y201" s="95"/>
    </row>
    <row r="202" customFormat="false" ht="15.75" hidden="false" customHeight="true" outlineLevel="0" collapsed="false">
      <c r="A202" s="94"/>
      <c r="D202" s="95"/>
      <c r="F202" s="95"/>
      <c r="G202" s="82" t="s">
        <v>553</v>
      </c>
      <c r="H202" s="102" t="s">
        <v>554</v>
      </c>
      <c r="I202" s="95"/>
      <c r="J202" s="102"/>
      <c r="K202" s="102"/>
      <c r="L202" s="95"/>
      <c r="O202" s="95"/>
      <c r="Q202" s="95"/>
      <c r="S202" s="96"/>
      <c r="T202" s="95"/>
      <c r="W202" s="95"/>
      <c r="Y202" s="95"/>
    </row>
    <row r="203" customFormat="false" ht="15.75" hidden="false" customHeight="true" outlineLevel="0" collapsed="false">
      <c r="A203" s="94"/>
      <c r="D203" s="95"/>
      <c r="F203" s="95"/>
      <c r="G203" s="82" t="s">
        <v>555</v>
      </c>
      <c r="H203" s="102" t="s">
        <v>556</v>
      </c>
      <c r="I203" s="95"/>
      <c r="J203" s="102"/>
      <c r="K203" s="102"/>
      <c r="L203" s="95"/>
      <c r="O203" s="95"/>
      <c r="Q203" s="95"/>
      <c r="S203" s="96"/>
      <c r="T203" s="95"/>
      <c r="W203" s="95"/>
      <c r="Y203" s="95"/>
    </row>
    <row r="204" customFormat="false" ht="15.75" hidden="false" customHeight="true" outlineLevel="0" collapsed="false">
      <c r="A204" s="94"/>
      <c r="D204" s="95"/>
      <c r="F204" s="95"/>
      <c r="G204" s="82" t="s">
        <v>557</v>
      </c>
      <c r="H204" s="102" t="s">
        <v>558</v>
      </c>
      <c r="I204" s="95"/>
      <c r="J204" s="102"/>
      <c r="K204" s="102"/>
      <c r="L204" s="95"/>
      <c r="O204" s="95"/>
      <c r="Q204" s="95"/>
      <c r="S204" s="96"/>
      <c r="T204" s="95"/>
      <c r="W204" s="95"/>
      <c r="Y204" s="95"/>
    </row>
    <row r="205" customFormat="false" ht="15.75" hidden="false" customHeight="true" outlineLevel="0" collapsed="false">
      <c r="A205" s="94"/>
      <c r="D205" s="95"/>
      <c r="F205" s="95"/>
      <c r="G205" s="82" t="s">
        <v>559</v>
      </c>
      <c r="H205" s="102" t="s">
        <v>560</v>
      </c>
      <c r="I205" s="95"/>
      <c r="J205" s="102"/>
      <c r="K205" s="102"/>
      <c r="L205" s="95"/>
      <c r="O205" s="95"/>
      <c r="Q205" s="95"/>
      <c r="S205" s="96"/>
      <c r="T205" s="95"/>
      <c r="W205" s="95"/>
      <c r="Y205" s="95"/>
    </row>
    <row r="206" customFormat="false" ht="15.75" hidden="false" customHeight="true" outlineLevel="0" collapsed="false">
      <c r="A206" s="94"/>
      <c r="D206" s="95"/>
      <c r="F206" s="95"/>
      <c r="G206" s="82" t="s">
        <v>561</v>
      </c>
      <c r="H206" s="102" t="s">
        <v>562</v>
      </c>
      <c r="I206" s="95"/>
      <c r="J206" s="102"/>
      <c r="K206" s="102"/>
      <c r="L206" s="95"/>
      <c r="O206" s="95"/>
      <c r="Q206" s="95"/>
      <c r="S206" s="96"/>
      <c r="T206" s="95"/>
      <c r="W206" s="95"/>
      <c r="Y206" s="95"/>
    </row>
    <row r="207" customFormat="false" ht="15.75" hidden="false" customHeight="true" outlineLevel="0" collapsed="false">
      <c r="A207" s="94"/>
      <c r="D207" s="95"/>
      <c r="F207" s="95"/>
      <c r="G207" s="82" t="s">
        <v>563</v>
      </c>
      <c r="H207" s="102" t="s">
        <v>564</v>
      </c>
      <c r="I207" s="95"/>
      <c r="J207" s="102"/>
      <c r="K207" s="102"/>
      <c r="L207" s="95"/>
      <c r="O207" s="95"/>
      <c r="Q207" s="95"/>
      <c r="S207" s="96"/>
      <c r="T207" s="95"/>
      <c r="W207" s="95"/>
      <c r="Y207" s="95"/>
    </row>
    <row r="208" customFormat="false" ht="15.75" hidden="false" customHeight="true" outlineLevel="0" collapsed="false">
      <c r="A208" s="94"/>
      <c r="D208" s="95"/>
      <c r="F208" s="95"/>
      <c r="G208" s="82" t="s">
        <v>565</v>
      </c>
      <c r="H208" s="102" t="s">
        <v>566</v>
      </c>
      <c r="I208" s="95"/>
      <c r="J208" s="102"/>
      <c r="K208" s="102"/>
      <c r="L208" s="95"/>
      <c r="O208" s="95"/>
      <c r="Q208" s="95"/>
      <c r="S208" s="96"/>
      <c r="T208" s="95"/>
      <c r="W208" s="95"/>
      <c r="Y208" s="95"/>
    </row>
    <row r="209" customFormat="false" ht="15.75" hidden="false" customHeight="true" outlineLevel="0" collapsed="false">
      <c r="A209" s="94"/>
      <c r="D209" s="95"/>
      <c r="F209" s="95"/>
      <c r="G209" s="82" t="s">
        <v>567</v>
      </c>
      <c r="H209" s="102" t="s">
        <v>568</v>
      </c>
      <c r="I209" s="95"/>
      <c r="J209" s="102"/>
      <c r="K209" s="102"/>
      <c r="L209" s="95"/>
      <c r="O209" s="95"/>
      <c r="Q209" s="95"/>
      <c r="S209" s="96"/>
      <c r="T209" s="95"/>
      <c r="W209" s="95"/>
      <c r="Y209" s="95"/>
    </row>
    <row r="210" customFormat="false" ht="15.75" hidden="false" customHeight="true" outlineLevel="0" collapsed="false">
      <c r="A210" s="94"/>
      <c r="D210" s="95"/>
      <c r="F210" s="95"/>
      <c r="G210" s="82" t="s">
        <v>569</v>
      </c>
      <c r="H210" s="102" t="s">
        <v>570</v>
      </c>
      <c r="I210" s="95"/>
      <c r="J210" s="102"/>
      <c r="K210" s="102"/>
      <c r="L210" s="95"/>
      <c r="O210" s="95"/>
      <c r="Q210" s="95"/>
      <c r="S210" s="96"/>
      <c r="T210" s="95"/>
      <c r="W210" s="95"/>
      <c r="Y210" s="95"/>
    </row>
    <row r="211" customFormat="false" ht="15.75" hidden="false" customHeight="true" outlineLevel="0" collapsed="false">
      <c r="A211" s="94"/>
      <c r="D211" s="95"/>
      <c r="F211" s="95"/>
      <c r="G211" s="82" t="s">
        <v>571</v>
      </c>
      <c r="H211" s="102" t="s">
        <v>572</v>
      </c>
      <c r="I211" s="95"/>
      <c r="J211" s="102"/>
      <c r="K211" s="102"/>
      <c r="L211" s="95"/>
      <c r="O211" s="95"/>
      <c r="Q211" s="95"/>
      <c r="S211" s="96"/>
      <c r="T211" s="95"/>
      <c r="W211" s="95"/>
      <c r="Y211" s="95"/>
    </row>
    <row r="212" customFormat="false" ht="15.75" hidden="false" customHeight="true" outlineLevel="0" collapsed="false">
      <c r="A212" s="94"/>
      <c r="D212" s="95"/>
      <c r="F212" s="95"/>
      <c r="G212" s="82" t="s">
        <v>573</v>
      </c>
      <c r="H212" s="102" t="s">
        <v>574</v>
      </c>
      <c r="I212" s="95"/>
      <c r="J212" s="102"/>
      <c r="K212" s="102"/>
      <c r="L212" s="95"/>
      <c r="O212" s="95"/>
      <c r="Q212" s="95"/>
      <c r="S212" s="96"/>
      <c r="T212" s="95"/>
      <c r="W212" s="95"/>
      <c r="Y212" s="95"/>
    </row>
    <row r="213" customFormat="false" ht="15.75" hidden="false" customHeight="true" outlineLevel="0" collapsed="false">
      <c r="A213" s="94"/>
      <c r="D213" s="95"/>
      <c r="F213" s="95"/>
      <c r="G213" s="82" t="s">
        <v>575</v>
      </c>
      <c r="H213" s="102" t="s">
        <v>576</v>
      </c>
      <c r="I213" s="95"/>
      <c r="J213" s="102"/>
      <c r="K213" s="102"/>
      <c r="L213" s="95"/>
      <c r="O213" s="95"/>
      <c r="Q213" s="95"/>
      <c r="S213" s="96"/>
      <c r="T213" s="95"/>
      <c r="W213" s="95"/>
      <c r="Y213" s="95"/>
    </row>
    <row r="214" customFormat="false" ht="15.75" hidden="false" customHeight="true" outlineLevel="0" collapsed="false">
      <c r="A214" s="94"/>
      <c r="D214" s="95"/>
      <c r="F214" s="95"/>
      <c r="G214" s="82" t="s">
        <v>577</v>
      </c>
      <c r="H214" s="102" t="s">
        <v>578</v>
      </c>
      <c r="I214" s="95"/>
      <c r="J214" s="102"/>
      <c r="K214" s="102"/>
      <c r="L214" s="95"/>
      <c r="O214" s="95"/>
      <c r="Q214" s="95"/>
      <c r="S214" s="96"/>
      <c r="T214" s="95"/>
      <c r="W214" s="95"/>
      <c r="Y214" s="95"/>
    </row>
    <row r="215" customFormat="false" ht="15.75" hidden="false" customHeight="true" outlineLevel="0" collapsed="false">
      <c r="A215" s="94"/>
      <c r="D215" s="95"/>
      <c r="F215" s="95"/>
      <c r="G215" s="82" t="s">
        <v>579</v>
      </c>
      <c r="H215" s="102" t="s">
        <v>580</v>
      </c>
      <c r="I215" s="95"/>
      <c r="J215" s="102"/>
      <c r="K215" s="102"/>
      <c r="L215" s="95"/>
      <c r="O215" s="95"/>
      <c r="Q215" s="95"/>
      <c r="S215" s="96"/>
      <c r="T215" s="95"/>
      <c r="W215" s="95"/>
      <c r="Y215" s="95"/>
    </row>
    <row r="216" customFormat="false" ht="15.75" hidden="false" customHeight="true" outlineLevel="0" collapsed="false">
      <c r="A216" s="94"/>
      <c r="D216" s="95"/>
      <c r="F216" s="95"/>
      <c r="G216" s="82" t="s">
        <v>581</v>
      </c>
      <c r="H216" s="102" t="s">
        <v>582</v>
      </c>
      <c r="I216" s="95"/>
      <c r="J216" s="102"/>
      <c r="K216" s="102"/>
      <c r="L216" s="95"/>
      <c r="O216" s="95"/>
      <c r="Q216" s="95"/>
      <c r="S216" s="96"/>
      <c r="T216" s="95"/>
      <c r="W216" s="95"/>
      <c r="Y216" s="95"/>
    </row>
    <row r="217" customFormat="false" ht="15.75" hidden="false" customHeight="true" outlineLevel="0" collapsed="false">
      <c r="A217" s="94"/>
      <c r="D217" s="95"/>
      <c r="F217" s="95"/>
      <c r="G217" s="82" t="s">
        <v>583</v>
      </c>
      <c r="H217" s="102" t="s">
        <v>584</v>
      </c>
      <c r="I217" s="95"/>
      <c r="J217" s="102"/>
      <c r="K217" s="102"/>
      <c r="L217" s="95"/>
      <c r="O217" s="95"/>
      <c r="Q217" s="95"/>
      <c r="S217" s="96"/>
      <c r="T217" s="95"/>
      <c r="W217" s="95"/>
      <c r="Y217" s="95"/>
    </row>
    <row r="218" customFormat="false" ht="15.75" hidden="false" customHeight="true" outlineLevel="0" collapsed="false">
      <c r="A218" s="94"/>
      <c r="D218" s="95"/>
      <c r="F218" s="95"/>
      <c r="G218" s="82" t="s">
        <v>585</v>
      </c>
      <c r="H218" s="102" t="s">
        <v>586</v>
      </c>
      <c r="I218" s="95"/>
      <c r="J218" s="102"/>
      <c r="K218" s="102"/>
      <c r="L218" s="95"/>
      <c r="O218" s="95"/>
      <c r="Q218" s="95"/>
      <c r="S218" s="96"/>
      <c r="T218" s="95"/>
      <c r="W218" s="95"/>
      <c r="Y218" s="95"/>
    </row>
    <row r="219" customFormat="false" ht="15.75" hidden="false" customHeight="true" outlineLevel="0" collapsed="false">
      <c r="A219" s="94"/>
      <c r="D219" s="95"/>
      <c r="F219" s="95"/>
      <c r="G219" s="82" t="s">
        <v>587</v>
      </c>
      <c r="H219" s="102" t="s">
        <v>588</v>
      </c>
      <c r="I219" s="95"/>
      <c r="J219" s="102"/>
      <c r="K219" s="102"/>
      <c r="L219" s="95"/>
      <c r="O219" s="95"/>
      <c r="Q219" s="95"/>
      <c r="S219" s="96"/>
      <c r="T219" s="95"/>
      <c r="W219" s="95"/>
      <c r="Y219" s="95"/>
    </row>
    <row r="220" customFormat="false" ht="15.75" hidden="false" customHeight="true" outlineLevel="0" collapsed="false">
      <c r="A220" s="94"/>
      <c r="D220" s="95"/>
      <c r="F220" s="95"/>
      <c r="G220" s="82" t="s">
        <v>589</v>
      </c>
      <c r="H220" s="102" t="s">
        <v>590</v>
      </c>
      <c r="I220" s="95"/>
      <c r="J220" s="102"/>
      <c r="K220" s="102"/>
      <c r="L220" s="95"/>
      <c r="O220" s="95"/>
      <c r="Q220" s="95"/>
      <c r="S220" s="96"/>
      <c r="T220" s="95"/>
      <c r="W220" s="95"/>
      <c r="Y220" s="95"/>
    </row>
    <row r="221" customFormat="false" ht="15.75" hidden="false" customHeight="true" outlineLevel="0" collapsed="false">
      <c r="A221" s="94"/>
      <c r="D221" s="95"/>
      <c r="F221" s="95"/>
      <c r="G221" s="82" t="s">
        <v>591</v>
      </c>
      <c r="H221" s="102" t="s">
        <v>592</v>
      </c>
      <c r="I221" s="95"/>
      <c r="J221" s="102"/>
      <c r="K221" s="102"/>
      <c r="L221" s="95"/>
      <c r="O221" s="95"/>
      <c r="Q221" s="95"/>
      <c r="S221" s="96"/>
      <c r="T221" s="95"/>
      <c r="W221" s="95"/>
      <c r="Y221" s="95"/>
    </row>
    <row r="222" customFormat="false" ht="15.75" hidden="false" customHeight="true" outlineLevel="0" collapsed="false">
      <c r="A222" s="94"/>
      <c r="D222" s="95"/>
      <c r="F222" s="95"/>
      <c r="G222" s="82" t="s">
        <v>593</v>
      </c>
      <c r="H222" s="102" t="s">
        <v>594</v>
      </c>
      <c r="I222" s="95"/>
      <c r="J222" s="102"/>
      <c r="K222" s="102"/>
      <c r="L222" s="95"/>
      <c r="O222" s="95"/>
      <c r="Q222" s="95"/>
      <c r="S222" s="96"/>
      <c r="T222" s="95"/>
      <c r="W222" s="95"/>
      <c r="Y222" s="95"/>
    </row>
    <row r="223" customFormat="false" ht="15.75" hidden="false" customHeight="true" outlineLevel="0" collapsed="false">
      <c r="A223" s="94"/>
      <c r="D223" s="95"/>
      <c r="F223" s="95"/>
      <c r="G223" s="82" t="s">
        <v>595</v>
      </c>
      <c r="H223" s="102" t="s">
        <v>596</v>
      </c>
      <c r="I223" s="95"/>
      <c r="J223" s="102"/>
      <c r="K223" s="102"/>
      <c r="L223" s="95"/>
      <c r="O223" s="95"/>
      <c r="Q223" s="95"/>
      <c r="S223" s="96"/>
      <c r="T223" s="95"/>
      <c r="W223" s="95"/>
      <c r="Y223" s="95"/>
    </row>
    <row r="224" customFormat="false" ht="15.75" hidden="false" customHeight="true" outlineLevel="0" collapsed="false">
      <c r="A224" s="94"/>
      <c r="D224" s="95"/>
      <c r="F224" s="95"/>
      <c r="G224" s="82" t="s">
        <v>597</v>
      </c>
      <c r="H224" s="102" t="s">
        <v>598</v>
      </c>
      <c r="I224" s="95"/>
      <c r="J224" s="102"/>
      <c r="K224" s="102"/>
      <c r="L224" s="95"/>
      <c r="O224" s="95"/>
      <c r="Q224" s="95"/>
      <c r="S224" s="96"/>
      <c r="T224" s="95"/>
      <c r="W224" s="95"/>
      <c r="Y224" s="95"/>
    </row>
    <row r="225" customFormat="false" ht="15.75" hidden="false" customHeight="true" outlineLevel="0" collapsed="false">
      <c r="A225" s="94"/>
      <c r="D225" s="95"/>
      <c r="F225" s="95"/>
      <c r="G225" s="82" t="s">
        <v>599</v>
      </c>
      <c r="H225" s="102" t="s">
        <v>600</v>
      </c>
      <c r="I225" s="95"/>
      <c r="J225" s="102"/>
      <c r="K225" s="102"/>
      <c r="L225" s="95"/>
      <c r="O225" s="95"/>
      <c r="Q225" s="95"/>
      <c r="S225" s="96"/>
      <c r="T225" s="95"/>
      <c r="W225" s="95"/>
      <c r="Y225" s="95"/>
    </row>
    <row r="226" customFormat="false" ht="15.75" hidden="false" customHeight="true" outlineLevel="0" collapsed="false">
      <c r="A226" s="94"/>
      <c r="D226" s="95"/>
      <c r="F226" s="95"/>
      <c r="G226" s="82" t="s">
        <v>601</v>
      </c>
      <c r="H226" s="102" t="s">
        <v>602</v>
      </c>
      <c r="I226" s="95"/>
      <c r="J226" s="102"/>
      <c r="K226" s="102"/>
      <c r="L226" s="95"/>
      <c r="O226" s="95"/>
      <c r="Q226" s="95"/>
      <c r="S226" s="96"/>
      <c r="T226" s="95"/>
      <c r="W226" s="95"/>
      <c r="Y226" s="95"/>
    </row>
    <row r="227" customFormat="false" ht="15.75" hidden="false" customHeight="true" outlineLevel="0" collapsed="false">
      <c r="A227" s="94"/>
      <c r="D227" s="95"/>
      <c r="F227" s="95"/>
      <c r="G227" s="82" t="s">
        <v>603</v>
      </c>
      <c r="H227" s="102" t="s">
        <v>604</v>
      </c>
      <c r="I227" s="95"/>
      <c r="J227" s="102"/>
      <c r="K227" s="102"/>
      <c r="L227" s="95"/>
      <c r="O227" s="95"/>
      <c r="Q227" s="95"/>
      <c r="S227" s="96"/>
      <c r="T227" s="95"/>
      <c r="W227" s="95"/>
      <c r="Y227" s="95"/>
    </row>
    <row r="228" customFormat="false" ht="15.75" hidden="false" customHeight="true" outlineLevel="0" collapsed="false">
      <c r="A228" s="94"/>
      <c r="D228" s="95"/>
      <c r="F228" s="95"/>
      <c r="G228" s="82" t="s">
        <v>605</v>
      </c>
      <c r="H228" s="102" t="s">
        <v>606</v>
      </c>
      <c r="I228" s="95"/>
      <c r="J228" s="102"/>
      <c r="K228" s="102"/>
      <c r="L228" s="95"/>
      <c r="O228" s="95"/>
      <c r="Q228" s="95"/>
      <c r="S228" s="96"/>
      <c r="T228" s="95"/>
      <c r="W228" s="95"/>
      <c r="Y228" s="95"/>
    </row>
    <row r="229" customFormat="false" ht="15.75" hidden="false" customHeight="true" outlineLevel="0" collapsed="false">
      <c r="A229" s="94"/>
      <c r="D229" s="95"/>
      <c r="F229" s="95"/>
      <c r="G229" s="82" t="s">
        <v>607</v>
      </c>
      <c r="H229" s="102" t="s">
        <v>608</v>
      </c>
      <c r="I229" s="95"/>
      <c r="J229" s="102"/>
      <c r="K229" s="102"/>
      <c r="L229" s="95"/>
      <c r="O229" s="95"/>
      <c r="Q229" s="95"/>
      <c r="S229" s="96"/>
      <c r="T229" s="95"/>
      <c r="W229" s="95"/>
      <c r="Y229" s="95"/>
    </row>
    <row r="230" customFormat="false" ht="15.75" hidden="false" customHeight="true" outlineLevel="0" collapsed="false">
      <c r="A230" s="94"/>
      <c r="D230" s="95"/>
      <c r="F230" s="95"/>
      <c r="G230" s="82" t="s">
        <v>609</v>
      </c>
      <c r="H230" s="102" t="s">
        <v>610</v>
      </c>
      <c r="I230" s="95"/>
      <c r="J230" s="102"/>
      <c r="K230" s="102"/>
      <c r="L230" s="95"/>
      <c r="O230" s="95"/>
      <c r="Q230" s="95"/>
      <c r="S230" s="96"/>
      <c r="T230" s="95"/>
      <c r="W230" s="95"/>
      <c r="Y230" s="95"/>
    </row>
    <row r="231" customFormat="false" ht="15.75" hidden="false" customHeight="true" outlineLevel="0" collapsed="false">
      <c r="A231" s="94"/>
      <c r="D231" s="95"/>
      <c r="F231" s="95"/>
      <c r="G231" s="82" t="s">
        <v>611</v>
      </c>
      <c r="H231" s="102" t="s">
        <v>612</v>
      </c>
      <c r="I231" s="95"/>
      <c r="J231" s="102"/>
      <c r="K231" s="102"/>
      <c r="L231" s="95"/>
      <c r="O231" s="95"/>
      <c r="Q231" s="95"/>
      <c r="S231" s="96"/>
      <c r="T231" s="95"/>
      <c r="W231" s="95"/>
      <c r="Y231" s="95"/>
    </row>
    <row r="232" customFormat="false" ht="15.75" hidden="false" customHeight="true" outlineLevel="0" collapsed="false">
      <c r="A232" s="94"/>
      <c r="D232" s="95"/>
      <c r="F232" s="95"/>
      <c r="G232" s="82" t="s">
        <v>613</v>
      </c>
      <c r="H232" s="102" t="s">
        <v>614</v>
      </c>
      <c r="I232" s="95"/>
      <c r="J232" s="102"/>
      <c r="K232" s="102"/>
      <c r="L232" s="95"/>
      <c r="O232" s="95"/>
      <c r="Q232" s="95"/>
      <c r="S232" s="96"/>
      <c r="T232" s="95"/>
      <c r="W232" s="95"/>
      <c r="Y232" s="95"/>
    </row>
    <row r="233" customFormat="false" ht="15.75" hidden="false" customHeight="true" outlineLevel="0" collapsed="false">
      <c r="A233" s="94"/>
      <c r="D233" s="95"/>
      <c r="F233" s="95"/>
      <c r="G233" s="82" t="s">
        <v>615</v>
      </c>
      <c r="H233" s="102" t="s">
        <v>616</v>
      </c>
      <c r="I233" s="95"/>
      <c r="J233" s="102"/>
      <c r="K233" s="102"/>
      <c r="L233" s="95"/>
      <c r="O233" s="95"/>
      <c r="Q233" s="95"/>
      <c r="S233" s="96"/>
      <c r="T233" s="95"/>
      <c r="W233" s="95"/>
      <c r="Y233" s="95"/>
    </row>
    <row r="234" customFormat="false" ht="15.75" hidden="false" customHeight="true" outlineLevel="0" collapsed="false">
      <c r="A234" s="94"/>
      <c r="D234" s="95"/>
      <c r="F234" s="95"/>
      <c r="G234" s="82" t="s">
        <v>617</v>
      </c>
      <c r="H234" s="102" t="s">
        <v>618</v>
      </c>
      <c r="I234" s="95"/>
      <c r="J234" s="102"/>
      <c r="K234" s="102"/>
      <c r="L234" s="95"/>
      <c r="O234" s="95"/>
      <c r="Q234" s="95"/>
      <c r="S234" s="96"/>
      <c r="T234" s="95"/>
      <c r="W234" s="95"/>
      <c r="Y234" s="95"/>
    </row>
    <row r="235" customFormat="false" ht="15.75" hidden="false" customHeight="true" outlineLevel="0" collapsed="false">
      <c r="A235" s="94"/>
      <c r="D235" s="95"/>
      <c r="F235" s="95"/>
      <c r="G235" s="82" t="s">
        <v>619</v>
      </c>
      <c r="H235" s="102" t="s">
        <v>620</v>
      </c>
      <c r="I235" s="95"/>
      <c r="J235" s="102"/>
      <c r="K235" s="102"/>
      <c r="L235" s="95"/>
      <c r="O235" s="95"/>
      <c r="Q235" s="95"/>
      <c r="S235" s="96"/>
      <c r="T235" s="95"/>
      <c r="W235" s="95"/>
      <c r="Y235" s="95"/>
    </row>
    <row r="236" customFormat="false" ht="15.75" hidden="false" customHeight="true" outlineLevel="0" collapsed="false">
      <c r="A236" s="94"/>
      <c r="D236" s="95"/>
      <c r="F236" s="95"/>
      <c r="G236" s="82" t="s">
        <v>621</v>
      </c>
      <c r="H236" s="102" t="s">
        <v>622</v>
      </c>
      <c r="I236" s="95"/>
      <c r="J236" s="102"/>
      <c r="K236" s="102"/>
      <c r="L236" s="95"/>
      <c r="O236" s="95"/>
      <c r="Q236" s="95"/>
      <c r="S236" s="96"/>
      <c r="T236" s="95"/>
      <c r="W236" s="95"/>
      <c r="Y236" s="95"/>
    </row>
    <row r="237" customFormat="false" ht="15.75" hidden="false" customHeight="true" outlineLevel="0" collapsed="false">
      <c r="A237" s="94"/>
      <c r="D237" s="95"/>
      <c r="F237" s="95"/>
      <c r="G237" s="82" t="s">
        <v>623</v>
      </c>
      <c r="H237" s="102" t="s">
        <v>624</v>
      </c>
      <c r="I237" s="95"/>
      <c r="J237" s="102"/>
      <c r="K237" s="102"/>
      <c r="L237" s="95"/>
      <c r="O237" s="95"/>
      <c r="Q237" s="95"/>
      <c r="S237" s="96"/>
      <c r="T237" s="95"/>
      <c r="W237" s="95"/>
      <c r="Y237" s="95"/>
    </row>
    <row r="238" customFormat="false" ht="15.75" hidden="false" customHeight="true" outlineLevel="0" collapsed="false">
      <c r="A238" s="94"/>
      <c r="D238" s="95"/>
      <c r="F238" s="95"/>
      <c r="G238" s="82" t="s">
        <v>625</v>
      </c>
      <c r="H238" s="102" t="s">
        <v>626</v>
      </c>
      <c r="I238" s="95"/>
      <c r="J238" s="102"/>
      <c r="K238" s="102"/>
      <c r="L238" s="95"/>
      <c r="O238" s="95"/>
      <c r="Q238" s="95"/>
      <c r="S238" s="96"/>
      <c r="T238" s="95"/>
      <c r="W238" s="95"/>
      <c r="Y238" s="95"/>
    </row>
    <row r="239" customFormat="false" ht="15.75" hidden="false" customHeight="true" outlineLevel="0" collapsed="false">
      <c r="A239" s="94"/>
      <c r="D239" s="95"/>
      <c r="F239" s="95"/>
      <c r="G239" s="82" t="s">
        <v>627</v>
      </c>
      <c r="H239" s="102" t="s">
        <v>628</v>
      </c>
      <c r="I239" s="95"/>
      <c r="J239" s="102"/>
      <c r="K239" s="102"/>
      <c r="L239" s="95"/>
      <c r="O239" s="95"/>
      <c r="Q239" s="95"/>
      <c r="S239" s="96"/>
      <c r="T239" s="95"/>
      <c r="W239" s="95"/>
      <c r="Y239" s="95"/>
    </row>
    <row r="240" customFormat="false" ht="15.75" hidden="false" customHeight="true" outlineLevel="0" collapsed="false">
      <c r="A240" s="94"/>
      <c r="D240" s="95"/>
      <c r="F240" s="95"/>
      <c r="G240" s="82" t="s">
        <v>629</v>
      </c>
      <c r="H240" s="102" t="s">
        <v>630</v>
      </c>
      <c r="I240" s="95"/>
      <c r="J240" s="102"/>
      <c r="K240" s="102"/>
      <c r="L240" s="95"/>
      <c r="O240" s="95"/>
      <c r="Q240" s="95"/>
      <c r="S240" s="96"/>
      <c r="T240" s="95"/>
      <c r="W240" s="95"/>
      <c r="Y240" s="95"/>
    </row>
    <row r="241" customFormat="false" ht="15.75" hidden="false" customHeight="true" outlineLevel="0" collapsed="false">
      <c r="A241" s="94"/>
      <c r="D241" s="95"/>
      <c r="F241" s="95"/>
      <c r="G241" s="82" t="s">
        <v>631</v>
      </c>
      <c r="H241" s="102" t="s">
        <v>632</v>
      </c>
      <c r="I241" s="95"/>
      <c r="J241" s="102"/>
      <c r="K241" s="102"/>
      <c r="L241" s="95"/>
      <c r="O241" s="95"/>
      <c r="Q241" s="95"/>
      <c r="S241" s="96"/>
      <c r="T241" s="95"/>
      <c r="W241" s="95"/>
      <c r="Y241" s="95"/>
    </row>
    <row r="242" customFormat="false" ht="15.75" hidden="false" customHeight="true" outlineLevel="0" collapsed="false">
      <c r="A242" s="94"/>
      <c r="D242" s="95"/>
      <c r="F242" s="95"/>
      <c r="G242" s="82" t="s">
        <v>633</v>
      </c>
      <c r="H242" s="102" t="s">
        <v>634</v>
      </c>
      <c r="I242" s="95"/>
      <c r="J242" s="102"/>
      <c r="K242" s="102"/>
      <c r="L242" s="95"/>
      <c r="O242" s="95"/>
      <c r="Q242" s="95"/>
      <c r="S242" s="96"/>
      <c r="T242" s="95"/>
      <c r="W242" s="95"/>
      <c r="Y242" s="95"/>
    </row>
    <row r="243" customFormat="false" ht="15.75" hidden="false" customHeight="true" outlineLevel="0" collapsed="false">
      <c r="A243" s="94"/>
      <c r="D243" s="95"/>
      <c r="F243" s="95"/>
      <c r="G243" s="82" t="s">
        <v>635</v>
      </c>
      <c r="H243" s="102" t="s">
        <v>636</v>
      </c>
      <c r="I243" s="95"/>
      <c r="J243" s="102"/>
      <c r="K243" s="102"/>
      <c r="L243" s="95"/>
      <c r="O243" s="95"/>
      <c r="Q243" s="95"/>
      <c r="S243" s="96"/>
      <c r="T243" s="95"/>
      <c r="W243" s="95"/>
      <c r="Y243" s="95"/>
    </row>
    <row r="244" customFormat="false" ht="15.75" hidden="false" customHeight="true" outlineLevel="0" collapsed="false">
      <c r="A244" s="94"/>
      <c r="D244" s="95"/>
      <c r="F244" s="95"/>
      <c r="G244" s="82" t="s">
        <v>637</v>
      </c>
      <c r="H244" s="102" t="s">
        <v>638</v>
      </c>
      <c r="I244" s="95"/>
      <c r="J244" s="102"/>
      <c r="K244" s="102"/>
      <c r="L244" s="95"/>
      <c r="O244" s="95"/>
      <c r="Q244" s="95"/>
      <c r="S244" s="96"/>
      <c r="T244" s="95"/>
      <c r="W244" s="95"/>
      <c r="Y244" s="95"/>
    </row>
    <row r="245" customFormat="false" ht="15.75" hidden="false" customHeight="true" outlineLevel="0" collapsed="false">
      <c r="A245" s="94"/>
      <c r="D245" s="95"/>
      <c r="F245" s="95"/>
      <c r="G245" s="82" t="s">
        <v>639</v>
      </c>
      <c r="H245" s="102" t="s">
        <v>640</v>
      </c>
      <c r="I245" s="95"/>
      <c r="J245" s="102"/>
      <c r="K245" s="102"/>
      <c r="L245" s="95"/>
      <c r="O245" s="95"/>
      <c r="Q245" s="95"/>
      <c r="S245" s="96"/>
      <c r="T245" s="95"/>
      <c r="W245" s="95"/>
      <c r="Y245" s="95"/>
    </row>
    <row r="246" customFormat="false" ht="15.75" hidden="false" customHeight="true" outlineLevel="0" collapsed="false">
      <c r="A246" s="94"/>
      <c r="D246" s="95"/>
      <c r="F246" s="95"/>
      <c r="G246" s="82" t="s">
        <v>641</v>
      </c>
      <c r="H246" s="102" t="s">
        <v>642</v>
      </c>
      <c r="I246" s="95"/>
      <c r="J246" s="102"/>
      <c r="K246" s="102"/>
      <c r="L246" s="95"/>
      <c r="O246" s="95"/>
      <c r="Q246" s="95"/>
      <c r="S246" s="96"/>
      <c r="T246" s="95"/>
      <c r="W246" s="95"/>
      <c r="Y246" s="95"/>
    </row>
    <row r="247" customFormat="false" ht="15.75" hidden="false" customHeight="true" outlineLevel="0" collapsed="false">
      <c r="A247" s="94"/>
      <c r="D247" s="95"/>
      <c r="F247" s="95"/>
      <c r="G247" s="82" t="s">
        <v>643</v>
      </c>
      <c r="H247" s="102" t="s">
        <v>644</v>
      </c>
      <c r="I247" s="95"/>
      <c r="J247" s="102"/>
      <c r="K247" s="102"/>
      <c r="L247" s="95"/>
      <c r="O247" s="95"/>
      <c r="Q247" s="95"/>
      <c r="S247" s="96"/>
      <c r="T247" s="95"/>
      <c r="W247" s="95"/>
      <c r="Y247" s="95"/>
    </row>
    <row r="248" customFormat="false" ht="15.75" hidden="false" customHeight="true" outlineLevel="0" collapsed="false">
      <c r="A248" s="94"/>
      <c r="D248" s="95"/>
      <c r="F248" s="95"/>
      <c r="G248" s="82" t="s">
        <v>645</v>
      </c>
      <c r="H248" s="102" t="s">
        <v>646</v>
      </c>
      <c r="I248" s="95"/>
      <c r="J248" s="102"/>
      <c r="K248" s="102"/>
      <c r="L248" s="95"/>
      <c r="O248" s="95"/>
      <c r="Q248" s="95"/>
      <c r="S248" s="96"/>
      <c r="T248" s="95"/>
      <c r="W248" s="95"/>
      <c r="Y248" s="95"/>
    </row>
    <row r="249" customFormat="false" ht="15.75" hidden="false" customHeight="true" outlineLevel="0" collapsed="false">
      <c r="A249" s="94"/>
      <c r="D249" s="95"/>
      <c r="F249" s="95"/>
      <c r="G249" s="82" t="s">
        <v>647</v>
      </c>
      <c r="H249" s="102" t="s">
        <v>648</v>
      </c>
      <c r="I249" s="95"/>
      <c r="J249" s="102"/>
      <c r="K249" s="102"/>
      <c r="L249" s="95"/>
      <c r="O249" s="95"/>
      <c r="Q249" s="95"/>
      <c r="S249" s="96"/>
      <c r="T249" s="95"/>
      <c r="W249" s="95"/>
      <c r="Y249" s="95"/>
    </row>
    <row r="250" customFormat="false" ht="15.75" hidden="false" customHeight="true" outlineLevel="0" collapsed="false">
      <c r="A250" s="94"/>
      <c r="D250" s="95"/>
      <c r="F250" s="95"/>
      <c r="G250" s="82" t="s">
        <v>649</v>
      </c>
      <c r="H250" s="102" t="s">
        <v>650</v>
      </c>
      <c r="I250" s="95"/>
      <c r="J250" s="102"/>
      <c r="K250" s="102"/>
      <c r="L250" s="95"/>
      <c r="O250" s="95"/>
      <c r="Q250" s="95"/>
      <c r="S250" s="96"/>
      <c r="T250" s="95"/>
      <c r="W250" s="95"/>
      <c r="Y250" s="95"/>
    </row>
    <row r="251" customFormat="false" ht="15.75" hidden="false" customHeight="true" outlineLevel="0" collapsed="false">
      <c r="A251" s="94"/>
      <c r="D251" s="95"/>
      <c r="F251" s="95"/>
      <c r="G251" s="82" t="s">
        <v>651</v>
      </c>
      <c r="H251" s="102" t="s">
        <v>652</v>
      </c>
      <c r="I251" s="95"/>
      <c r="J251" s="102"/>
      <c r="K251" s="102"/>
      <c r="L251" s="95"/>
      <c r="O251" s="95"/>
      <c r="Q251" s="95"/>
      <c r="S251" s="96"/>
      <c r="T251" s="95"/>
      <c r="W251" s="95"/>
      <c r="Y251" s="95"/>
    </row>
    <row r="252" customFormat="false" ht="15.75" hidden="false" customHeight="true" outlineLevel="0" collapsed="false">
      <c r="A252" s="94"/>
      <c r="D252" s="95"/>
      <c r="F252" s="95"/>
      <c r="G252" s="82" t="s">
        <v>653</v>
      </c>
      <c r="H252" s="102" t="s">
        <v>654</v>
      </c>
      <c r="I252" s="95"/>
      <c r="J252" s="102"/>
      <c r="K252" s="102"/>
      <c r="L252" s="95"/>
      <c r="O252" s="95"/>
      <c r="Q252" s="95"/>
      <c r="S252" s="96"/>
      <c r="T252" s="95"/>
      <c r="W252" s="95"/>
      <c r="Y252" s="95"/>
    </row>
    <row r="253" customFormat="false" ht="15.75" hidden="false" customHeight="true" outlineLevel="0" collapsed="false">
      <c r="A253" s="94"/>
      <c r="D253" s="95"/>
      <c r="F253" s="95"/>
      <c r="G253" s="82" t="s">
        <v>655</v>
      </c>
      <c r="H253" s="102" t="s">
        <v>656</v>
      </c>
      <c r="I253" s="95"/>
      <c r="J253" s="102"/>
      <c r="K253" s="102"/>
      <c r="L253" s="95"/>
      <c r="O253" s="95"/>
      <c r="Q253" s="95"/>
      <c r="S253" s="96"/>
      <c r="T253" s="95"/>
      <c r="W253" s="95"/>
      <c r="Y253" s="95"/>
    </row>
    <row r="254" customFormat="false" ht="15.75" hidden="false" customHeight="true" outlineLevel="0" collapsed="false">
      <c r="A254" s="94"/>
      <c r="D254" s="95"/>
      <c r="F254" s="95"/>
      <c r="G254" s="82" t="s">
        <v>657</v>
      </c>
      <c r="H254" s="102" t="s">
        <v>658</v>
      </c>
      <c r="I254" s="95"/>
      <c r="J254" s="102"/>
      <c r="K254" s="102"/>
      <c r="L254" s="95"/>
      <c r="O254" s="95"/>
      <c r="Q254" s="95"/>
      <c r="S254" s="96"/>
      <c r="T254" s="95"/>
      <c r="W254" s="95"/>
      <c r="Y254" s="95"/>
    </row>
    <row r="255" customFormat="false" ht="15.75" hidden="false" customHeight="true" outlineLevel="0" collapsed="false">
      <c r="A255" s="94"/>
      <c r="D255" s="95"/>
      <c r="F255" s="95"/>
      <c r="G255" s="82" t="s">
        <v>659</v>
      </c>
      <c r="H255" s="102" t="s">
        <v>660</v>
      </c>
      <c r="I255" s="95"/>
      <c r="J255" s="102"/>
      <c r="K255" s="102"/>
      <c r="L255" s="95"/>
      <c r="O255" s="95"/>
      <c r="Q255" s="95"/>
      <c r="S255" s="96"/>
      <c r="T255" s="95"/>
      <c r="W255" s="95"/>
      <c r="Y255" s="95"/>
    </row>
    <row r="256" customFormat="false" ht="15.75" hidden="false" customHeight="true" outlineLevel="0" collapsed="false">
      <c r="A256" s="94"/>
      <c r="D256" s="95"/>
      <c r="F256" s="95"/>
      <c r="G256" s="82" t="s">
        <v>661</v>
      </c>
      <c r="H256" s="102" t="s">
        <v>662</v>
      </c>
      <c r="I256" s="95"/>
      <c r="J256" s="102"/>
      <c r="K256" s="102"/>
      <c r="L256" s="95"/>
      <c r="O256" s="95"/>
      <c r="Q256" s="95"/>
      <c r="S256" s="96"/>
      <c r="T256" s="95"/>
      <c r="W256" s="95"/>
      <c r="Y256" s="95"/>
    </row>
    <row r="257" customFormat="false" ht="15.75" hidden="false" customHeight="true" outlineLevel="0" collapsed="false">
      <c r="A257" s="94"/>
      <c r="D257" s="95"/>
      <c r="F257" s="95"/>
      <c r="G257" s="82" t="s">
        <v>663</v>
      </c>
      <c r="H257" s="102" t="s">
        <v>664</v>
      </c>
      <c r="I257" s="95"/>
      <c r="J257" s="102"/>
      <c r="K257" s="102"/>
      <c r="L257" s="95"/>
      <c r="O257" s="95"/>
      <c r="Q257" s="95"/>
      <c r="S257" s="96"/>
      <c r="T257" s="95"/>
      <c r="W257" s="95"/>
      <c r="Y257" s="95"/>
    </row>
    <row r="258" customFormat="false" ht="15.75" hidden="false" customHeight="true" outlineLevel="0" collapsed="false">
      <c r="A258" s="94"/>
      <c r="D258" s="95"/>
      <c r="F258" s="95"/>
      <c r="G258" s="82" t="s">
        <v>665</v>
      </c>
      <c r="H258" s="102" t="s">
        <v>666</v>
      </c>
      <c r="I258" s="95"/>
      <c r="J258" s="102"/>
      <c r="K258" s="102"/>
      <c r="L258" s="95"/>
      <c r="O258" s="95"/>
      <c r="Q258" s="95"/>
      <c r="S258" s="96"/>
      <c r="T258" s="95"/>
      <c r="W258" s="95"/>
      <c r="Y258" s="95"/>
    </row>
    <row r="259" customFormat="false" ht="15.75" hidden="false" customHeight="true" outlineLevel="0" collapsed="false">
      <c r="A259" s="94"/>
      <c r="D259" s="95"/>
      <c r="F259" s="95"/>
      <c r="G259" s="82" t="s">
        <v>667</v>
      </c>
      <c r="H259" s="102" t="s">
        <v>668</v>
      </c>
      <c r="I259" s="95"/>
      <c r="J259" s="102"/>
      <c r="K259" s="102"/>
      <c r="L259" s="95"/>
      <c r="O259" s="95"/>
      <c r="Q259" s="95"/>
      <c r="S259" s="96"/>
      <c r="T259" s="95"/>
      <c r="W259" s="95"/>
      <c r="Y259" s="95"/>
    </row>
    <row r="260" customFormat="false" ht="15.75" hidden="false" customHeight="true" outlineLevel="0" collapsed="false">
      <c r="A260" s="94"/>
      <c r="D260" s="95"/>
      <c r="F260" s="95"/>
      <c r="G260" s="82" t="s">
        <v>669</v>
      </c>
      <c r="H260" s="102" t="s">
        <v>670</v>
      </c>
      <c r="I260" s="95"/>
      <c r="J260" s="102"/>
      <c r="K260" s="102"/>
      <c r="L260" s="95"/>
      <c r="O260" s="95"/>
      <c r="Q260" s="95"/>
      <c r="S260" s="96"/>
      <c r="T260" s="95"/>
      <c r="W260" s="95"/>
      <c r="Y260" s="95"/>
    </row>
    <row r="261" customFormat="false" ht="15.75" hidden="false" customHeight="true" outlineLevel="0" collapsed="false">
      <c r="A261" s="94"/>
      <c r="D261" s="95"/>
      <c r="F261" s="95"/>
      <c r="G261" s="82" t="s">
        <v>671</v>
      </c>
      <c r="H261" s="102" t="s">
        <v>672</v>
      </c>
      <c r="I261" s="95"/>
      <c r="J261" s="102"/>
      <c r="K261" s="102"/>
      <c r="L261" s="95"/>
      <c r="O261" s="95"/>
      <c r="Q261" s="95"/>
      <c r="S261" s="96"/>
      <c r="T261" s="95"/>
      <c r="W261" s="95"/>
      <c r="Y261" s="95"/>
    </row>
    <row r="262" customFormat="false" ht="15.75" hidden="false" customHeight="true" outlineLevel="0" collapsed="false">
      <c r="A262" s="94"/>
      <c r="D262" s="95"/>
      <c r="F262" s="95"/>
      <c r="G262" s="82" t="s">
        <v>673</v>
      </c>
      <c r="H262" s="102" t="s">
        <v>674</v>
      </c>
      <c r="I262" s="95"/>
      <c r="J262" s="102"/>
      <c r="K262" s="102"/>
      <c r="L262" s="95"/>
      <c r="O262" s="95"/>
      <c r="Q262" s="95"/>
      <c r="S262" s="96"/>
      <c r="T262" s="95"/>
      <c r="W262" s="95"/>
      <c r="Y262" s="95"/>
    </row>
    <row r="263" customFormat="false" ht="15.75" hidden="false" customHeight="true" outlineLevel="0" collapsed="false">
      <c r="A263" s="94"/>
      <c r="D263" s="95"/>
      <c r="F263" s="95"/>
      <c r="G263" s="82" t="s">
        <v>675</v>
      </c>
      <c r="H263" s="102" t="s">
        <v>676</v>
      </c>
      <c r="I263" s="95"/>
      <c r="J263" s="102"/>
      <c r="K263" s="102"/>
      <c r="L263" s="95"/>
      <c r="O263" s="95"/>
      <c r="Q263" s="95"/>
      <c r="S263" s="96"/>
      <c r="T263" s="95"/>
      <c r="W263" s="95"/>
      <c r="Y263" s="95"/>
    </row>
    <row r="264" customFormat="false" ht="15.75" hidden="false" customHeight="true" outlineLevel="0" collapsed="false">
      <c r="A264" s="94"/>
      <c r="D264" s="95"/>
      <c r="F264" s="95"/>
      <c r="G264" s="82" t="s">
        <v>677</v>
      </c>
      <c r="H264" s="102" t="s">
        <v>678</v>
      </c>
      <c r="I264" s="95"/>
      <c r="J264" s="102"/>
      <c r="K264" s="102"/>
      <c r="L264" s="95"/>
      <c r="O264" s="95"/>
      <c r="Q264" s="95"/>
      <c r="S264" s="96"/>
      <c r="T264" s="95"/>
      <c r="W264" s="95"/>
      <c r="Y264" s="95"/>
    </row>
    <row r="265" customFormat="false" ht="15.75" hidden="false" customHeight="true" outlineLevel="0" collapsed="false">
      <c r="A265" s="94"/>
      <c r="D265" s="95"/>
      <c r="F265" s="95"/>
      <c r="G265" s="82" t="s">
        <v>679</v>
      </c>
      <c r="H265" s="102" t="s">
        <v>680</v>
      </c>
      <c r="I265" s="95"/>
      <c r="J265" s="102"/>
      <c r="K265" s="102"/>
      <c r="L265" s="95"/>
      <c r="O265" s="95"/>
      <c r="Q265" s="95"/>
      <c r="S265" s="96"/>
      <c r="T265" s="95"/>
      <c r="W265" s="95"/>
      <c r="Y265" s="95"/>
    </row>
    <row r="266" customFormat="false" ht="15.75" hidden="false" customHeight="true" outlineLevel="0" collapsed="false">
      <c r="A266" s="94"/>
      <c r="D266" s="95"/>
      <c r="F266" s="95"/>
      <c r="G266" s="82" t="s">
        <v>681</v>
      </c>
      <c r="H266" s="102" t="s">
        <v>682</v>
      </c>
      <c r="I266" s="95"/>
      <c r="J266" s="102"/>
      <c r="K266" s="102"/>
      <c r="L266" s="95"/>
      <c r="O266" s="95"/>
      <c r="Q266" s="95"/>
      <c r="S266" s="96"/>
      <c r="T266" s="95"/>
      <c r="W266" s="95"/>
      <c r="Y266" s="95"/>
    </row>
    <row r="267" customFormat="false" ht="15.75" hidden="false" customHeight="true" outlineLevel="0" collapsed="false">
      <c r="A267" s="94"/>
      <c r="D267" s="95"/>
      <c r="F267" s="95"/>
      <c r="G267" s="82" t="s">
        <v>683</v>
      </c>
      <c r="H267" s="102" t="s">
        <v>684</v>
      </c>
      <c r="I267" s="95"/>
      <c r="J267" s="102"/>
      <c r="K267" s="102"/>
      <c r="L267" s="95"/>
      <c r="O267" s="95"/>
      <c r="Q267" s="95"/>
      <c r="S267" s="96"/>
      <c r="T267" s="95"/>
      <c r="W267" s="95"/>
      <c r="Y267" s="95"/>
    </row>
    <row r="268" customFormat="false" ht="15.75" hidden="false" customHeight="true" outlineLevel="0" collapsed="false">
      <c r="A268" s="94"/>
      <c r="D268" s="95"/>
      <c r="F268" s="95"/>
      <c r="G268" s="82" t="s">
        <v>685</v>
      </c>
      <c r="H268" s="102" t="s">
        <v>686</v>
      </c>
      <c r="I268" s="95"/>
      <c r="J268" s="102"/>
      <c r="K268" s="102"/>
      <c r="L268" s="95"/>
      <c r="O268" s="95"/>
      <c r="Q268" s="95"/>
      <c r="S268" s="96"/>
      <c r="T268" s="95"/>
      <c r="W268" s="95"/>
      <c r="Y268" s="95"/>
    </row>
    <row r="269" customFormat="false" ht="15.75" hidden="false" customHeight="true" outlineLevel="0" collapsed="false">
      <c r="A269" s="94"/>
      <c r="D269" s="95"/>
      <c r="F269" s="95"/>
      <c r="G269" s="82" t="s">
        <v>687</v>
      </c>
      <c r="H269" s="102" t="s">
        <v>688</v>
      </c>
      <c r="I269" s="95"/>
      <c r="J269" s="102"/>
      <c r="K269" s="102"/>
      <c r="L269" s="95"/>
      <c r="O269" s="95"/>
      <c r="Q269" s="95"/>
      <c r="S269" s="96"/>
      <c r="T269" s="95"/>
      <c r="W269" s="95"/>
      <c r="Y269" s="95"/>
    </row>
    <row r="270" customFormat="false" ht="15.75" hidden="false" customHeight="true" outlineLevel="0" collapsed="false">
      <c r="A270" s="94"/>
      <c r="D270" s="95"/>
      <c r="F270" s="95"/>
      <c r="G270" s="82" t="s">
        <v>689</v>
      </c>
      <c r="H270" s="102" t="s">
        <v>690</v>
      </c>
      <c r="I270" s="95"/>
      <c r="J270" s="102"/>
      <c r="K270" s="102"/>
      <c r="L270" s="95"/>
      <c r="O270" s="95"/>
      <c r="Q270" s="95"/>
      <c r="S270" s="96"/>
      <c r="T270" s="95"/>
      <c r="W270" s="95"/>
      <c r="Y270" s="95"/>
    </row>
    <row r="271" customFormat="false" ht="15.75" hidden="false" customHeight="true" outlineLevel="0" collapsed="false">
      <c r="A271" s="94"/>
      <c r="D271" s="95"/>
      <c r="F271" s="95"/>
      <c r="G271" s="82" t="s">
        <v>691</v>
      </c>
      <c r="H271" s="102" t="s">
        <v>692</v>
      </c>
      <c r="I271" s="95"/>
      <c r="J271" s="102"/>
      <c r="K271" s="102"/>
      <c r="L271" s="95"/>
      <c r="O271" s="95"/>
      <c r="Q271" s="95"/>
      <c r="S271" s="96"/>
      <c r="T271" s="95"/>
      <c r="W271" s="95"/>
      <c r="Y271" s="95"/>
    </row>
    <row r="272" customFormat="false" ht="15.75" hidden="false" customHeight="true" outlineLevel="0" collapsed="false">
      <c r="A272" s="94"/>
      <c r="D272" s="95"/>
      <c r="F272" s="95"/>
      <c r="G272" s="82" t="s">
        <v>693</v>
      </c>
      <c r="H272" s="102" t="s">
        <v>694</v>
      </c>
      <c r="I272" s="95"/>
      <c r="J272" s="102"/>
      <c r="K272" s="102"/>
      <c r="L272" s="95"/>
      <c r="O272" s="95"/>
      <c r="Q272" s="95"/>
      <c r="S272" s="96"/>
      <c r="T272" s="95"/>
      <c r="W272" s="95"/>
      <c r="Y272" s="95"/>
    </row>
    <row r="273" customFormat="false" ht="15.75" hidden="false" customHeight="true" outlineLevel="0" collapsed="false">
      <c r="A273" s="94"/>
      <c r="D273" s="95"/>
      <c r="F273" s="95"/>
      <c r="G273" s="82" t="s">
        <v>695</v>
      </c>
      <c r="H273" s="102" t="s">
        <v>696</v>
      </c>
      <c r="I273" s="95"/>
      <c r="J273" s="102"/>
      <c r="K273" s="102"/>
      <c r="L273" s="95"/>
      <c r="O273" s="95"/>
      <c r="Q273" s="95"/>
      <c r="S273" s="96"/>
      <c r="T273" s="95"/>
      <c r="W273" s="95"/>
      <c r="Y273" s="95"/>
    </row>
    <row r="274" customFormat="false" ht="15.75" hidden="false" customHeight="true" outlineLevel="0" collapsed="false">
      <c r="A274" s="94"/>
      <c r="D274" s="95"/>
      <c r="F274" s="95"/>
      <c r="G274" s="82" t="s">
        <v>697</v>
      </c>
      <c r="H274" s="102" t="s">
        <v>698</v>
      </c>
      <c r="I274" s="95"/>
      <c r="J274" s="102"/>
      <c r="K274" s="102"/>
      <c r="L274" s="95"/>
      <c r="O274" s="95"/>
      <c r="Q274" s="95"/>
      <c r="S274" s="96"/>
      <c r="T274" s="95"/>
      <c r="W274" s="95"/>
      <c r="Y274" s="95"/>
    </row>
    <row r="275" customFormat="false" ht="15.75" hidden="false" customHeight="true" outlineLevel="0" collapsed="false">
      <c r="A275" s="94"/>
      <c r="D275" s="95"/>
      <c r="F275" s="95"/>
      <c r="G275" s="82" t="s">
        <v>699</v>
      </c>
      <c r="H275" s="102" t="s">
        <v>700</v>
      </c>
      <c r="I275" s="95"/>
      <c r="J275" s="102"/>
      <c r="K275" s="102"/>
      <c r="L275" s="95"/>
      <c r="O275" s="95"/>
      <c r="Q275" s="95"/>
      <c r="S275" s="96"/>
      <c r="T275" s="95"/>
      <c r="W275" s="95"/>
      <c r="Y275" s="95"/>
    </row>
    <row r="276" customFormat="false" ht="15.75" hidden="false" customHeight="true" outlineLevel="0" collapsed="false">
      <c r="A276" s="94"/>
      <c r="D276" s="95"/>
      <c r="F276" s="95"/>
      <c r="G276" s="82" t="s">
        <v>701</v>
      </c>
      <c r="H276" s="102" t="s">
        <v>702</v>
      </c>
      <c r="I276" s="95"/>
      <c r="J276" s="102"/>
      <c r="K276" s="102"/>
      <c r="L276" s="95"/>
      <c r="O276" s="95"/>
      <c r="Q276" s="95"/>
      <c r="S276" s="96"/>
      <c r="T276" s="95"/>
      <c r="W276" s="95"/>
      <c r="Y276" s="95"/>
    </row>
    <row r="277" customFormat="false" ht="15.75" hidden="false" customHeight="true" outlineLevel="0" collapsed="false">
      <c r="A277" s="94"/>
      <c r="D277" s="95"/>
      <c r="F277" s="95"/>
      <c r="G277" s="82" t="s">
        <v>703</v>
      </c>
      <c r="H277" s="102" t="s">
        <v>704</v>
      </c>
      <c r="I277" s="95"/>
      <c r="J277" s="102"/>
      <c r="K277" s="102"/>
      <c r="L277" s="95"/>
      <c r="O277" s="95"/>
      <c r="Q277" s="95"/>
      <c r="S277" s="96"/>
      <c r="T277" s="95"/>
      <c r="W277" s="95"/>
      <c r="Y277" s="95"/>
    </row>
    <row r="278" customFormat="false" ht="15.75" hidden="false" customHeight="true" outlineLevel="0" collapsed="false">
      <c r="A278" s="94"/>
      <c r="D278" s="95"/>
      <c r="F278" s="95"/>
      <c r="G278" s="82" t="s">
        <v>705</v>
      </c>
      <c r="H278" s="102" t="s">
        <v>706</v>
      </c>
      <c r="I278" s="95"/>
      <c r="J278" s="102"/>
      <c r="K278" s="102"/>
      <c r="L278" s="95"/>
      <c r="O278" s="95"/>
      <c r="Q278" s="95"/>
      <c r="S278" s="96"/>
      <c r="T278" s="95"/>
      <c r="W278" s="95"/>
      <c r="Y278" s="95"/>
    </row>
    <row r="279" customFormat="false" ht="15.75" hidden="false" customHeight="true" outlineLevel="0" collapsed="false">
      <c r="A279" s="94"/>
      <c r="D279" s="95"/>
      <c r="F279" s="95"/>
      <c r="G279" s="82" t="s">
        <v>707</v>
      </c>
      <c r="H279" s="102" t="s">
        <v>708</v>
      </c>
      <c r="I279" s="95"/>
      <c r="J279" s="102"/>
      <c r="K279" s="102"/>
      <c r="L279" s="95"/>
      <c r="O279" s="95"/>
      <c r="Q279" s="95"/>
      <c r="S279" s="96"/>
      <c r="T279" s="95"/>
      <c r="W279" s="95"/>
      <c r="Y279" s="95"/>
    </row>
    <row r="280" customFormat="false" ht="15.75" hidden="false" customHeight="true" outlineLevel="0" collapsed="false">
      <c r="A280" s="94"/>
      <c r="D280" s="95"/>
      <c r="F280" s="95"/>
      <c r="G280" s="82" t="s">
        <v>709</v>
      </c>
      <c r="H280" s="102" t="s">
        <v>710</v>
      </c>
      <c r="I280" s="95"/>
      <c r="J280" s="102"/>
      <c r="K280" s="102"/>
      <c r="L280" s="95"/>
      <c r="O280" s="95"/>
      <c r="Q280" s="95"/>
      <c r="S280" s="96"/>
      <c r="T280" s="95"/>
      <c r="W280" s="95"/>
      <c r="Y280" s="95"/>
    </row>
    <row r="281" customFormat="false" ht="15.75" hidden="false" customHeight="true" outlineLevel="0" collapsed="false">
      <c r="A281" s="94"/>
      <c r="D281" s="95"/>
      <c r="F281" s="95"/>
      <c r="G281" s="82" t="s">
        <v>711</v>
      </c>
      <c r="H281" s="102" t="s">
        <v>712</v>
      </c>
      <c r="I281" s="95"/>
      <c r="J281" s="102"/>
      <c r="K281" s="102"/>
      <c r="L281" s="95"/>
      <c r="O281" s="95"/>
      <c r="Q281" s="95"/>
      <c r="S281" s="96"/>
      <c r="T281" s="95"/>
      <c r="W281" s="95"/>
      <c r="Y281" s="95"/>
    </row>
    <row r="282" customFormat="false" ht="15.75" hidden="false" customHeight="true" outlineLevel="0" collapsed="false">
      <c r="A282" s="94"/>
      <c r="D282" s="95"/>
      <c r="F282" s="95"/>
      <c r="G282" s="82" t="s">
        <v>713</v>
      </c>
      <c r="H282" s="102" t="s">
        <v>714</v>
      </c>
      <c r="I282" s="95"/>
      <c r="J282" s="102"/>
      <c r="K282" s="102"/>
      <c r="L282" s="95"/>
      <c r="O282" s="95"/>
      <c r="Q282" s="95"/>
      <c r="S282" s="96"/>
      <c r="T282" s="95"/>
      <c r="W282" s="95"/>
      <c r="Y282" s="95"/>
    </row>
    <row r="283" customFormat="false" ht="15.75" hidden="false" customHeight="true" outlineLevel="0" collapsed="false">
      <c r="A283" s="94"/>
      <c r="D283" s="95"/>
      <c r="F283" s="95"/>
      <c r="G283" s="82" t="s">
        <v>715</v>
      </c>
      <c r="H283" s="102" t="s">
        <v>716</v>
      </c>
      <c r="I283" s="95"/>
      <c r="J283" s="102"/>
      <c r="K283" s="102"/>
      <c r="L283" s="95"/>
      <c r="O283" s="95"/>
      <c r="Q283" s="95"/>
      <c r="S283" s="96"/>
      <c r="T283" s="95"/>
      <c r="W283" s="95"/>
      <c r="Y283" s="95"/>
    </row>
    <row r="284" customFormat="false" ht="15.75" hidden="false" customHeight="true" outlineLevel="0" collapsed="false">
      <c r="A284" s="94"/>
      <c r="D284" s="95"/>
      <c r="F284" s="95"/>
      <c r="G284" s="82" t="s">
        <v>717</v>
      </c>
      <c r="H284" s="102" t="s">
        <v>718</v>
      </c>
      <c r="I284" s="95"/>
      <c r="J284" s="102"/>
      <c r="K284" s="102"/>
      <c r="L284" s="95"/>
      <c r="O284" s="95"/>
      <c r="Q284" s="95"/>
      <c r="S284" s="96"/>
      <c r="T284" s="95"/>
      <c r="W284" s="95"/>
      <c r="Y284" s="95"/>
    </row>
    <row r="285" customFormat="false" ht="15.75" hidden="false" customHeight="true" outlineLevel="0" collapsed="false">
      <c r="A285" s="94"/>
      <c r="D285" s="95"/>
      <c r="F285" s="95"/>
      <c r="G285" s="82" t="s">
        <v>719</v>
      </c>
      <c r="H285" s="102" t="s">
        <v>720</v>
      </c>
      <c r="I285" s="95"/>
      <c r="J285" s="102"/>
      <c r="K285" s="102"/>
      <c r="L285" s="95"/>
      <c r="O285" s="95"/>
      <c r="Q285" s="95"/>
      <c r="S285" s="96"/>
      <c r="T285" s="95"/>
      <c r="W285" s="95"/>
      <c r="Y285" s="95"/>
    </row>
    <row r="286" customFormat="false" ht="15.75" hidden="false" customHeight="true" outlineLevel="0" collapsed="false">
      <c r="A286" s="94"/>
      <c r="D286" s="95"/>
      <c r="F286" s="95"/>
      <c r="G286" s="82" t="s">
        <v>721</v>
      </c>
      <c r="H286" s="102" t="s">
        <v>722</v>
      </c>
      <c r="I286" s="95"/>
      <c r="J286" s="102"/>
      <c r="K286" s="102"/>
      <c r="L286" s="95"/>
      <c r="O286" s="95"/>
      <c r="Q286" s="95"/>
      <c r="S286" s="96"/>
      <c r="T286" s="95"/>
      <c r="W286" s="95"/>
      <c r="Y286" s="95"/>
    </row>
    <row r="287" customFormat="false" ht="15.75" hidden="false" customHeight="true" outlineLevel="0" collapsed="false">
      <c r="A287" s="94"/>
      <c r="D287" s="95"/>
      <c r="F287" s="95"/>
      <c r="G287" s="82" t="s">
        <v>723</v>
      </c>
      <c r="H287" s="102" t="s">
        <v>724</v>
      </c>
      <c r="I287" s="95"/>
      <c r="J287" s="102"/>
      <c r="K287" s="102"/>
      <c r="L287" s="95"/>
      <c r="O287" s="95"/>
      <c r="Q287" s="95"/>
      <c r="S287" s="96"/>
      <c r="T287" s="95"/>
      <c r="W287" s="95"/>
      <c r="Y287" s="95"/>
    </row>
    <row r="288" customFormat="false" ht="15.75" hidden="false" customHeight="true" outlineLevel="0" collapsed="false">
      <c r="A288" s="94"/>
      <c r="D288" s="95"/>
      <c r="F288" s="95"/>
      <c r="G288" s="82" t="s">
        <v>725</v>
      </c>
      <c r="H288" s="102" t="s">
        <v>726</v>
      </c>
      <c r="I288" s="95"/>
      <c r="J288" s="102"/>
      <c r="K288" s="102"/>
      <c r="L288" s="95"/>
      <c r="O288" s="95"/>
      <c r="Q288" s="95"/>
      <c r="S288" s="96"/>
      <c r="T288" s="95"/>
      <c r="W288" s="95"/>
      <c r="Y288" s="95"/>
    </row>
    <row r="289" customFormat="false" ht="15.75" hidden="false" customHeight="true" outlineLevel="0" collapsed="false">
      <c r="A289" s="94"/>
      <c r="D289" s="95"/>
      <c r="F289" s="95"/>
      <c r="G289" s="82" t="s">
        <v>727</v>
      </c>
      <c r="H289" s="102" t="s">
        <v>728</v>
      </c>
      <c r="I289" s="95"/>
      <c r="J289" s="102"/>
      <c r="K289" s="102"/>
      <c r="L289" s="95"/>
      <c r="O289" s="95"/>
      <c r="Q289" s="95"/>
      <c r="S289" s="96"/>
      <c r="T289" s="95"/>
      <c r="W289" s="95"/>
      <c r="Y289" s="95"/>
    </row>
    <row r="290" customFormat="false" ht="15.75" hidden="false" customHeight="true" outlineLevel="0" collapsed="false">
      <c r="A290" s="94"/>
      <c r="D290" s="95"/>
      <c r="F290" s="95"/>
      <c r="G290" s="82" t="s">
        <v>729</v>
      </c>
      <c r="H290" s="102" t="s">
        <v>730</v>
      </c>
      <c r="I290" s="95"/>
      <c r="J290" s="102"/>
      <c r="K290" s="102"/>
      <c r="L290" s="95"/>
      <c r="O290" s="95"/>
      <c r="Q290" s="95"/>
      <c r="S290" s="96"/>
      <c r="T290" s="95"/>
      <c r="W290" s="95"/>
      <c r="Y290" s="95"/>
    </row>
    <row r="291" customFormat="false" ht="15.75" hidden="false" customHeight="true" outlineLevel="0" collapsed="false">
      <c r="A291" s="94"/>
      <c r="D291" s="95"/>
      <c r="F291" s="95"/>
      <c r="G291" s="82" t="s">
        <v>731</v>
      </c>
      <c r="H291" s="102" t="s">
        <v>732</v>
      </c>
      <c r="I291" s="95"/>
      <c r="J291" s="102"/>
      <c r="K291" s="102"/>
      <c r="L291" s="95"/>
      <c r="O291" s="95"/>
      <c r="Q291" s="95"/>
      <c r="S291" s="96"/>
      <c r="T291" s="95"/>
      <c r="W291" s="95"/>
      <c r="Y291" s="95"/>
    </row>
    <row r="292" customFormat="false" ht="15.75" hidden="false" customHeight="true" outlineLevel="0" collapsed="false">
      <c r="A292" s="94"/>
      <c r="D292" s="95"/>
      <c r="F292" s="95"/>
      <c r="G292" s="82" t="s">
        <v>733</v>
      </c>
      <c r="H292" s="102" t="s">
        <v>734</v>
      </c>
      <c r="I292" s="95"/>
      <c r="J292" s="102"/>
      <c r="K292" s="102"/>
      <c r="L292" s="95"/>
      <c r="O292" s="95"/>
      <c r="Q292" s="95"/>
      <c r="S292" s="96"/>
      <c r="T292" s="95"/>
      <c r="W292" s="95"/>
      <c r="Y292" s="95"/>
    </row>
    <row r="293" customFormat="false" ht="15.75" hidden="false" customHeight="true" outlineLevel="0" collapsed="false">
      <c r="A293" s="94"/>
      <c r="D293" s="95"/>
      <c r="F293" s="95"/>
      <c r="G293" s="82" t="s">
        <v>735</v>
      </c>
      <c r="H293" s="102" t="s">
        <v>736</v>
      </c>
      <c r="I293" s="95"/>
      <c r="J293" s="102"/>
      <c r="K293" s="102"/>
      <c r="L293" s="95"/>
      <c r="O293" s="95"/>
      <c r="Q293" s="95"/>
      <c r="S293" s="96"/>
      <c r="T293" s="95"/>
      <c r="W293" s="95"/>
      <c r="Y293" s="95"/>
    </row>
    <row r="294" customFormat="false" ht="15.75" hidden="false" customHeight="true" outlineLevel="0" collapsed="false">
      <c r="A294" s="94"/>
      <c r="D294" s="95"/>
      <c r="F294" s="95"/>
      <c r="G294" s="82" t="s">
        <v>737</v>
      </c>
      <c r="H294" s="102" t="s">
        <v>738</v>
      </c>
      <c r="I294" s="95"/>
      <c r="J294" s="102"/>
      <c r="K294" s="102"/>
      <c r="L294" s="95"/>
      <c r="O294" s="95"/>
      <c r="Q294" s="95"/>
      <c r="S294" s="96"/>
      <c r="T294" s="95"/>
      <c r="W294" s="95"/>
      <c r="Y294" s="95"/>
    </row>
    <row r="295" customFormat="false" ht="15.75" hidden="false" customHeight="true" outlineLevel="0" collapsed="false">
      <c r="A295" s="94"/>
      <c r="D295" s="95"/>
      <c r="F295" s="95"/>
      <c r="G295" s="82" t="s">
        <v>739</v>
      </c>
      <c r="H295" s="102" t="s">
        <v>740</v>
      </c>
      <c r="I295" s="95"/>
      <c r="J295" s="102"/>
      <c r="K295" s="102"/>
      <c r="L295" s="95"/>
      <c r="O295" s="95"/>
      <c r="Q295" s="95"/>
      <c r="S295" s="96"/>
      <c r="T295" s="95"/>
      <c r="W295" s="95"/>
      <c r="Y295" s="95"/>
    </row>
    <row r="296" customFormat="false" ht="15.75" hidden="false" customHeight="true" outlineLevel="0" collapsed="false">
      <c r="A296" s="94"/>
      <c r="D296" s="95"/>
      <c r="F296" s="95"/>
      <c r="G296" s="82" t="s">
        <v>741</v>
      </c>
      <c r="H296" s="102" t="s">
        <v>742</v>
      </c>
      <c r="I296" s="95"/>
      <c r="J296" s="102"/>
      <c r="K296" s="102"/>
      <c r="L296" s="95"/>
      <c r="O296" s="95"/>
      <c r="Q296" s="95"/>
      <c r="S296" s="96"/>
      <c r="T296" s="95"/>
      <c r="W296" s="95"/>
      <c r="Y296" s="95"/>
    </row>
    <row r="297" customFormat="false" ht="15.75" hidden="false" customHeight="true" outlineLevel="0" collapsed="false">
      <c r="A297" s="94"/>
      <c r="D297" s="95"/>
      <c r="F297" s="95"/>
      <c r="G297" s="82" t="s">
        <v>743</v>
      </c>
      <c r="H297" s="102" t="s">
        <v>744</v>
      </c>
      <c r="I297" s="95"/>
      <c r="J297" s="102"/>
      <c r="K297" s="102"/>
      <c r="L297" s="95"/>
      <c r="O297" s="95"/>
      <c r="Q297" s="95"/>
      <c r="S297" s="96"/>
      <c r="T297" s="95"/>
      <c r="W297" s="95"/>
      <c r="Y297" s="95"/>
    </row>
    <row r="298" customFormat="false" ht="15.75" hidden="false" customHeight="true" outlineLevel="0" collapsed="false">
      <c r="A298" s="94"/>
      <c r="D298" s="95"/>
      <c r="F298" s="95"/>
      <c r="G298" s="82" t="s">
        <v>745</v>
      </c>
      <c r="H298" s="102" t="s">
        <v>746</v>
      </c>
      <c r="I298" s="95"/>
      <c r="J298" s="102"/>
      <c r="K298" s="102"/>
      <c r="L298" s="95"/>
      <c r="O298" s="95"/>
      <c r="Q298" s="95"/>
      <c r="S298" s="96"/>
      <c r="T298" s="95"/>
      <c r="W298" s="95"/>
      <c r="Y298" s="95"/>
    </row>
    <row r="299" customFormat="false" ht="15.75" hidden="false" customHeight="true" outlineLevel="0" collapsed="false">
      <c r="A299" s="94"/>
      <c r="D299" s="95"/>
      <c r="F299" s="95"/>
      <c r="G299" s="82" t="s">
        <v>747</v>
      </c>
      <c r="H299" s="102" t="s">
        <v>748</v>
      </c>
      <c r="I299" s="95"/>
      <c r="J299" s="102"/>
      <c r="K299" s="102"/>
      <c r="L299" s="95"/>
      <c r="O299" s="95"/>
      <c r="Q299" s="95"/>
      <c r="S299" s="96"/>
      <c r="T299" s="95"/>
      <c r="W299" s="95"/>
      <c r="Y299" s="95"/>
    </row>
    <row r="300" customFormat="false" ht="15.75" hidden="false" customHeight="true" outlineLevel="0" collapsed="false">
      <c r="A300" s="94"/>
      <c r="D300" s="95"/>
      <c r="F300" s="95"/>
      <c r="G300" s="82" t="s">
        <v>749</v>
      </c>
      <c r="H300" s="102" t="s">
        <v>750</v>
      </c>
      <c r="I300" s="95"/>
      <c r="J300" s="102"/>
      <c r="K300" s="102"/>
      <c r="L300" s="95"/>
      <c r="O300" s="95"/>
      <c r="Q300" s="95"/>
      <c r="S300" s="96"/>
      <c r="T300" s="95"/>
      <c r="W300" s="95"/>
      <c r="Y300" s="95"/>
    </row>
    <row r="301" customFormat="false" ht="15.75" hidden="false" customHeight="true" outlineLevel="0" collapsed="false">
      <c r="A301" s="94"/>
      <c r="D301" s="95"/>
      <c r="F301" s="95"/>
      <c r="G301" s="82" t="s">
        <v>751</v>
      </c>
      <c r="H301" s="102" t="s">
        <v>752</v>
      </c>
      <c r="I301" s="95"/>
      <c r="J301" s="102"/>
      <c r="K301" s="102"/>
      <c r="L301" s="95"/>
      <c r="O301" s="95"/>
      <c r="Q301" s="95"/>
      <c r="S301" s="96"/>
      <c r="T301" s="95"/>
      <c r="W301" s="95"/>
      <c r="Y301" s="95"/>
    </row>
    <row r="302" customFormat="false" ht="15.75" hidden="false" customHeight="true" outlineLevel="0" collapsed="false">
      <c r="A302" s="94"/>
      <c r="D302" s="95"/>
      <c r="F302" s="95"/>
      <c r="G302" s="82" t="s">
        <v>753</v>
      </c>
      <c r="H302" s="102" t="s">
        <v>754</v>
      </c>
      <c r="I302" s="95"/>
      <c r="J302" s="102"/>
      <c r="K302" s="102"/>
      <c r="L302" s="95"/>
      <c r="O302" s="95"/>
      <c r="Q302" s="95"/>
      <c r="S302" s="96"/>
      <c r="T302" s="95"/>
      <c r="W302" s="95"/>
      <c r="Y302" s="95"/>
    </row>
    <row r="303" customFormat="false" ht="15.75" hidden="false" customHeight="true" outlineLevel="0" collapsed="false">
      <c r="A303" s="94"/>
      <c r="D303" s="95"/>
      <c r="F303" s="95"/>
      <c r="G303" s="82" t="s">
        <v>755</v>
      </c>
      <c r="H303" s="102" t="s">
        <v>756</v>
      </c>
      <c r="I303" s="95"/>
      <c r="J303" s="102"/>
      <c r="K303" s="102"/>
      <c r="L303" s="95"/>
      <c r="O303" s="95"/>
      <c r="Q303" s="95"/>
      <c r="S303" s="96"/>
      <c r="T303" s="95"/>
      <c r="W303" s="95"/>
      <c r="Y303" s="95"/>
    </row>
    <row r="304" customFormat="false" ht="15.75" hidden="false" customHeight="true" outlineLevel="0" collapsed="false">
      <c r="A304" s="94"/>
      <c r="D304" s="95"/>
      <c r="F304" s="95"/>
      <c r="G304" s="82" t="s">
        <v>757</v>
      </c>
      <c r="H304" s="102" t="s">
        <v>758</v>
      </c>
      <c r="I304" s="95"/>
      <c r="J304" s="102"/>
      <c r="K304" s="102"/>
      <c r="L304" s="95"/>
      <c r="O304" s="95"/>
      <c r="Q304" s="95"/>
      <c r="S304" s="96"/>
      <c r="T304" s="95"/>
      <c r="W304" s="95"/>
      <c r="Y304" s="95"/>
    </row>
    <row r="305" customFormat="false" ht="15.75" hidden="false" customHeight="true" outlineLevel="0" collapsed="false">
      <c r="A305" s="94"/>
      <c r="D305" s="95"/>
      <c r="F305" s="95"/>
      <c r="G305" s="82" t="s">
        <v>759</v>
      </c>
      <c r="H305" s="102" t="s">
        <v>760</v>
      </c>
      <c r="I305" s="95"/>
      <c r="J305" s="102"/>
      <c r="K305" s="102"/>
      <c r="L305" s="95"/>
      <c r="O305" s="95"/>
      <c r="Q305" s="95"/>
      <c r="S305" s="96"/>
      <c r="T305" s="95"/>
      <c r="W305" s="95"/>
      <c r="Y305" s="95"/>
    </row>
    <row r="306" customFormat="false" ht="15.75" hidden="false" customHeight="true" outlineLevel="0" collapsed="false">
      <c r="A306" s="94"/>
      <c r="D306" s="95"/>
      <c r="F306" s="95"/>
      <c r="G306" s="82" t="s">
        <v>761</v>
      </c>
      <c r="H306" s="102" t="s">
        <v>762</v>
      </c>
      <c r="I306" s="95"/>
      <c r="J306" s="102"/>
      <c r="K306" s="102"/>
      <c r="L306" s="95"/>
      <c r="O306" s="95"/>
      <c r="Q306" s="95"/>
      <c r="S306" s="96"/>
      <c r="T306" s="95"/>
      <c r="W306" s="95"/>
      <c r="Y306" s="95"/>
    </row>
    <row r="307" customFormat="false" ht="15.75" hidden="false" customHeight="true" outlineLevel="0" collapsed="false">
      <c r="A307" s="94"/>
      <c r="D307" s="95"/>
      <c r="F307" s="95"/>
      <c r="G307" s="82" t="s">
        <v>763</v>
      </c>
      <c r="H307" s="102" t="s">
        <v>764</v>
      </c>
      <c r="I307" s="95"/>
      <c r="J307" s="102"/>
      <c r="K307" s="102"/>
      <c r="L307" s="95"/>
      <c r="O307" s="95"/>
      <c r="Q307" s="95"/>
      <c r="S307" s="96"/>
      <c r="T307" s="95"/>
      <c r="W307" s="95"/>
      <c r="Y307" s="95"/>
    </row>
    <row r="308" customFormat="false" ht="15.75" hidden="false" customHeight="true" outlineLevel="0" collapsed="false">
      <c r="A308" s="94"/>
      <c r="D308" s="95"/>
      <c r="F308" s="95"/>
      <c r="G308" s="82" t="s">
        <v>765</v>
      </c>
      <c r="H308" s="102" t="s">
        <v>766</v>
      </c>
      <c r="I308" s="95"/>
      <c r="J308" s="102"/>
      <c r="K308" s="102"/>
      <c r="L308" s="95"/>
      <c r="O308" s="95"/>
      <c r="Q308" s="95"/>
      <c r="S308" s="96"/>
      <c r="T308" s="95"/>
      <c r="W308" s="95"/>
      <c r="Y308" s="95"/>
    </row>
    <row r="309" customFormat="false" ht="15.75" hidden="false" customHeight="true" outlineLevel="0" collapsed="false">
      <c r="A309" s="94"/>
      <c r="D309" s="95"/>
      <c r="F309" s="95"/>
      <c r="G309" s="82" t="s">
        <v>767</v>
      </c>
      <c r="H309" s="102" t="s">
        <v>768</v>
      </c>
      <c r="I309" s="95"/>
      <c r="J309" s="102"/>
      <c r="K309" s="102"/>
      <c r="L309" s="95"/>
      <c r="O309" s="95"/>
      <c r="Q309" s="95"/>
      <c r="S309" s="96"/>
      <c r="T309" s="95"/>
      <c r="W309" s="95"/>
      <c r="Y309" s="95"/>
    </row>
    <row r="310" customFormat="false" ht="15.75" hidden="false" customHeight="true" outlineLevel="0" collapsed="false">
      <c r="A310" s="94"/>
      <c r="D310" s="95"/>
      <c r="F310" s="95"/>
      <c r="G310" s="82" t="s">
        <v>769</v>
      </c>
      <c r="H310" s="102" t="s">
        <v>770</v>
      </c>
      <c r="I310" s="95"/>
      <c r="J310" s="102"/>
      <c r="K310" s="102"/>
      <c r="L310" s="95"/>
      <c r="O310" s="95"/>
      <c r="Q310" s="95"/>
      <c r="S310" s="96"/>
      <c r="T310" s="95"/>
      <c r="W310" s="95"/>
      <c r="Y310" s="95"/>
    </row>
    <row r="311" customFormat="false" ht="15.75" hidden="false" customHeight="true" outlineLevel="0" collapsed="false">
      <c r="A311" s="94"/>
      <c r="D311" s="95"/>
      <c r="F311" s="95"/>
      <c r="G311" s="82" t="s">
        <v>771</v>
      </c>
      <c r="H311" s="102" t="s">
        <v>772</v>
      </c>
      <c r="I311" s="95"/>
      <c r="J311" s="102"/>
      <c r="K311" s="102"/>
      <c r="L311" s="95"/>
      <c r="O311" s="95"/>
      <c r="Q311" s="95"/>
      <c r="S311" s="96"/>
      <c r="T311" s="95"/>
      <c r="W311" s="95"/>
      <c r="Y311" s="95"/>
    </row>
    <row r="312" customFormat="false" ht="15.75" hidden="false" customHeight="true" outlineLevel="0" collapsed="false">
      <c r="A312" s="94"/>
      <c r="D312" s="95"/>
      <c r="F312" s="95"/>
      <c r="G312" s="82" t="s">
        <v>773</v>
      </c>
      <c r="H312" s="102" t="s">
        <v>774</v>
      </c>
      <c r="I312" s="95"/>
      <c r="J312" s="102"/>
      <c r="K312" s="102"/>
      <c r="L312" s="95"/>
      <c r="O312" s="95"/>
      <c r="Q312" s="95"/>
      <c r="S312" s="96"/>
      <c r="T312" s="95"/>
      <c r="W312" s="95"/>
      <c r="Y312" s="95"/>
    </row>
    <row r="313" customFormat="false" ht="15.75" hidden="false" customHeight="true" outlineLevel="0" collapsed="false">
      <c r="A313" s="94"/>
      <c r="D313" s="95"/>
      <c r="F313" s="95"/>
      <c r="G313" s="82" t="s">
        <v>775</v>
      </c>
      <c r="H313" s="102" t="s">
        <v>776</v>
      </c>
      <c r="I313" s="95"/>
      <c r="J313" s="102"/>
      <c r="K313" s="102"/>
      <c r="L313" s="95"/>
      <c r="O313" s="95"/>
      <c r="Q313" s="95"/>
      <c r="S313" s="96"/>
      <c r="T313" s="95"/>
      <c r="W313" s="95"/>
      <c r="Y313" s="95"/>
    </row>
    <row r="314" customFormat="false" ht="15.75" hidden="false" customHeight="true" outlineLevel="0" collapsed="false">
      <c r="A314" s="94"/>
      <c r="D314" s="95"/>
      <c r="F314" s="95"/>
      <c r="G314" s="82" t="s">
        <v>777</v>
      </c>
      <c r="H314" s="102" t="s">
        <v>778</v>
      </c>
      <c r="I314" s="95"/>
      <c r="J314" s="102"/>
      <c r="K314" s="102"/>
      <c r="L314" s="95"/>
      <c r="O314" s="95"/>
      <c r="Q314" s="95"/>
      <c r="S314" s="96"/>
      <c r="T314" s="95"/>
      <c r="W314" s="95"/>
      <c r="Y314" s="95"/>
    </row>
    <row r="315" customFormat="false" ht="15.75" hidden="false" customHeight="true" outlineLevel="0" collapsed="false">
      <c r="A315" s="94"/>
      <c r="D315" s="95"/>
      <c r="F315" s="95"/>
      <c r="G315" s="82" t="s">
        <v>779</v>
      </c>
      <c r="H315" s="102" t="s">
        <v>780</v>
      </c>
      <c r="I315" s="95"/>
      <c r="J315" s="102"/>
      <c r="K315" s="102"/>
      <c r="L315" s="95"/>
      <c r="O315" s="95"/>
      <c r="Q315" s="95"/>
      <c r="S315" s="96"/>
      <c r="T315" s="95"/>
      <c r="W315" s="95"/>
      <c r="Y315" s="95"/>
    </row>
    <row r="316" customFormat="false" ht="15.75" hidden="false" customHeight="true" outlineLevel="0" collapsed="false">
      <c r="A316" s="94"/>
      <c r="D316" s="95"/>
      <c r="F316" s="95"/>
      <c r="G316" s="82" t="s">
        <v>781</v>
      </c>
      <c r="H316" s="102" t="s">
        <v>782</v>
      </c>
      <c r="I316" s="95"/>
      <c r="J316" s="102"/>
      <c r="K316" s="102"/>
      <c r="L316" s="95"/>
      <c r="O316" s="95"/>
      <c r="Q316" s="95"/>
      <c r="S316" s="96"/>
      <c r="T316" s="95"/>
      <c r="W316" s="95"/>
      <c r="Y316" s="95"/>
    </row>
    <row r="317" customFormat="false" ht="15.75" hidden="false" customHeight="true" outlineLevel="0" collapsed="false">
      <c r="A317" s="94"/>
      <c r="D317" s="95"/>
      <c r="F317" s="95"/>
      <c r="G317" s="82" t="s">
        <v>783</v>
      </c>
      <c r="H317" s="102" t="s">
        <v>784</v>
      </c>
      <c r="I317" s="95"/>
      <c r="J317" s="102"/>
      <c r="K317" s="102"/>
      <c r="L317" s="95"/>
      <c r="O317" s="95"/>
      <c r="Q317" s="95"/>
      <c r="S317" s="96"/>
      <c r="T317" s="95"/>
      <c r="W317" s="95"/>
      <c r="Y317" s="95"/>
    </row>
    <row r="318" customFormat="false" ht="15.75" hidden="false" customHeight="true" outlineLevel="0" collapsed="false">
      <c r="A318" s="94"/>
      <c r="D318" s="95"/>
      <c r="F318" s="95"/>
      <c r="G318" s="82" t="s">
        <v>785</v>
      </c>
      <c r="H318" s="102" t="s">
        <v>786</v>
      </c>
      <c r="I318" s="95"/>
      <c r="J318" s="102"/>
      <c r="K318" s="102"/>
      <c r="L318" s="95"/>
      <c r="O318" s="95"/>
      <c r="Q318" s="95"/>
      <c r="S318" s="96"/>
      <c r="T318" s="95"/>
      <c r="W318" s="95"/>
      <c r="Y318" s="95"/>
    </row>
    <row r="319" customFormat="false" ht="15.75" hidden="false" customHeight="true" outlineLevel="0" collapsed="false">
      <c r="A319" s="94"/>
      <c r="D319" s="95"/>
      <c r="F319" s="95"/>
      <c r="G319" s="82" t="s">
        <v>787</v>
      </c>
      <c r="H319" s="102" t="s">
        <v>788</v>
      </c>
      <c r="I319" s="95"/>
      <c r="J319" s="102"/>
      <c r="K319" s="102"/>
      <c r="L319" s="95"/>
      <c r="O319" s="95"/>
      <c r="Q319" s="95"/>
      <c r="S319" s="96"/>
      <c r="T319" s="95"/>
      <c r="W319" s="95"/>
      <c r="Y319" s="95"/>
    </row>
    <row r="320" customFormat="false" ht="15.75" hidden="false" customHeight="true" outlineLevel="0" collapsed="false">
      <c r="A320" s="94"/>
      <c r="D320" s="95"/>
      <c r="F320" s="95"/>
      <c r="G320" s="82" t="s">
        <v>789</v>
      </c>
      <c r="H320" s="102" t="s">
        <v>790</v>
      </c>
      <c r="I320" s="95"/>
      <c r="J320" s="102"/>
      <c r="K320" s="102"/>
      <c r="L320" s="95"/>
      <c r="O320" s="95"/>
      <c r="Q320" s="95"/>
      <c r="S320" s="96"/>
      <c r="T320" s="95"/>
      <c r="W320" s="95"/>
      <c r="Y320" s="95"/>
    </row>
    <row r="321" customFormat="false" ht="15.75" hidden="false" customHeight="true" outlineLevel="0" collapsed="false">
      <c r="A321" s="94"/>
      <c r="D321" s="95"/>
      <c r="F321" s="95"/>
      <c r="G321" s="82" t="s">
        <v>791</v>
      </c>
      <c r="H321" s="102" t="s">
        <v>792</v>
      </c>
      <c r="I321" s="95"/>
      <c r="J321" s="102"/>
      <c r="K321" s="102"/>
      <c r="L321" s="95"/>
      <c r="O321" s="95"/>
      <c r="Q321" s="95"/>
      <c r="S321" s="96"/>
      <c r="T321" s="95"/>
      <c r="W321" s="95"/>
      <c r="Y321" s="95"/>
    </row>
    <row r="322" customFormat="false" ht="15.75" hidden="false" customHeight="true" outlineLevel="0" collapsed="false">
      <c r="A322" s="94"/>
      <c r="D322" s="95"/>
      <c r="F322" s="95"/>
      <c r="G322" s="82" t="s">
        <v>793</v>
      </c>
      <c r="H322" s="102" t="s">
        <v>794</v>
      </c>
      <c r="I322" s="95"/>
      <c r="J322" s="102"/>
      <c r="K322" s="102"/>
      <c r="L322" s="95"/>
      <c r="O322" s="95"/>
      <c r="Q322" s="95"/>
      <c r="S322" s="96"/>
      <c r="T322" s="95"/>
      <c r="W322" s="95"/>
      <c r="Y322" s="95"/>
    </row>
    <row r="323" customFormat="false" ht="15.75" hidden="false" customHeight="true" outlineLevel="0" collapsed="false">
      <c r="A323" s="94"/>
      <c r="D323" s="95"/>
      <c r="F323" s="95"/>
      <c r="G323" s="82" t="s">
        <v>795</v>
      </c>
      <c r="H323" s="102" t="s">
        <v>796</v>
      </c>
      <c r="I323" s="95"/>
      <c r="J323" s="102"/>
      <c r="K323" s="102"/>
      <c r="L323" s="95"/>
      <c r="O323" s="95"/>
      <c r="Q323" s="95"/>
      <c r="S323" s="96"/>
      <c r="T323" s="95"/>
      <c r="W323" s="95"/>
      <c r="Y323" s="95"/>
    </row>
    <row r="324" customFormat="false" ht="15.75" hidden="false" customHeight="true" outlineLevel="0" collapsed="false">
      <c r="A324" s="94"/>
      <c r="D324" s="95"/>
      <c r="F324" s="95"/>
      <c r="G324" s="82" t="s">
        <v>797</v>
      </c>
      <c r="H324" s="102" t="s">
        <v>798</v>
      </c>
      <c r="I324" s="95"/>
      <c r="J324" s="102"/>
      <c r="K324" s="102"/>
      <c r="L324" s="95"/>
      <c r="O324" s="95"/>
      <c r="Q324" s="95"/>
      <c r="S324" s="96"/>
      <c r="T324" s="95"/>
      <c r="W324" s="95"/>
      <c r="Y324" s="95"/>
    </row>
    <row r="325" customFormat="false" ht="15.75" hidden="false" customHeight="true" outlineLevel="0" collapsed="false">
      <c r="A325" s="94"/>
      <c r="D325" s="95"/>
      <c r="F325" s="95"/>
      <c r="G325" s="102"/>
      <c r="H325" s="102"/>
      <c r="I325" s="95"/>
      <c r="J325" s="102"/>
      <c r="K325" s="102"/>
      <c r="L325" s="95"/>
      <c r="O325" s="95"/>
      <c r="Q325" s="95"/>
      <c r="S325" s="96"/>
      <c r="T325" s="95"/>
      <c r="W325" s="95"/>
      <c r="Y325" s="95"/>
    </row>
    <row r="326" customFormat="false" ht="15.75" hidden="false" customHeight="true" outlineLevel="0" collapsed="false">
      <c r="A326" s="94"/>
      <c r="D326" s="95"/>
      <c r="F326" s="95"/>
      <c r="G326" s="102"/>
      <c r="H326" s="102"/>
      <c r="I326" s="95"/>
      <c r="J326" s="102"/>
      <c r="K326" s="102"/>
      <c r="L326" s="95"/>
      <c r="O326" s="95"/>
      <c r="Q326" s="95"/>
      <c r="S326" s="96"/>
      <c r="T326" s="95"/>
      <c r="W326" s="95"/>
      <c r="Y326" s="95"/>
    </row>
    <row r="327" customFormat="false" ht="15.75" hidden="false" customHeight="true" outlineLevel="0" collapsed="false">
      <c r="A327" s="94"/>
      <c r="D327" s="95"/>
      <c r="F327" s="95"/>
      <c r="G327" s="102"/>
      <c r="H327" s="102"/>
      <c r="I327" s="95"/>
      <c r="J327" s="102"/>
      <c r="K327" s="102"/>
      <c r="L327" s="95"/>
      <c r="O327" s="95"/>
      <c r="Q327" s="95"/>
      <c r="S327" s="96"/>
      <c r="T327" s="95"/>
      <c r="W327" s="95"/>
      <c r="Y327" s="95"/>
    </row>
    <row r="328" customFormat="false" ht="15.75" hidden="false" customHeight="true" outlineLevel="0" collapsed="false">
      <c r="A328" s="94"/>
      <c r="D328" s="95"/>
      <c r="F328" s="95"/>
      <c r="G328" s="102"/>
      <c r="H328" s="102"/>
      <c r="I328" s="95"/>
      <c r="J328" s="102"/>
      <c r="K328" s="102"/>
      <c r="L328" s="95"/>
      <c r="O328" s="95"/>
      <c r="Q328" s="95"/>
      <c r="S328" s="96"/>
      <c r="T328" s="95"/>
      <c r="W328" s="95"/>
      <c r="Y328" s="95"/>
    </row>
    <row r="329" customFormat="false" ht="15.75" hidden="false" customHeight="true" outlineLevel="0" collapsed="false">
      <c r="A329" s="94"/>
      <c r="D329" s="95"/>
      <c r="F329" s="95"/>
      <c r="G329" s="102"/>
      <c r="H329" s="102"/>
      <c r="I329" s="95"/>
      <c r="J329" s="102"/>
      <c r="K329" s="102"/>
      <c r="L329" s="95"/>
      <c r="O329" s="95"/>
      <c r="Q329" s="95"/>
      <c r="S329" s="96"/>
      <c r="T329" s="95"/>
      <c r="W329" s="95"/>
      <c r="Y329" s="95"/>
    </row>
    <row r="330" customFormat="false" ht="15.75" hidden="false" customHeight="true" outlineLevel="0" collapsed="false">
      <c r="A330" s="94"/>
      <c r="D330" s="95"/>
      <c r="F330" s="95"/>
      <c r="G330" s="102"/>
      <c r="H330" s="102"/>
      <c r="I330" s="95"/>
      <c r="J330" s="102"/>
      <c r="K330" s="102"/>
      <c r="L330" s="95"/>
      <c r="O330" s="95"/>
      <c r="Q330" s="95"/>
      <c r="S330" s="96"/>
      <c r="T330" s="95"/>
      <c r="W330" s="95"/>
      <c r="Y330" s="95"/>
    </row>
    <row r="331" customFormat="false" ht="15.75" hidden="false" customHeight="true" outlineLevel="0" collapsed="false">
      <c r="A331" s="94"/>
      <c r="D331" s="95"/>
      <c r="F331" s="95"/>
      <c r="G331" s="102"/>
      <c r="H331" s="102"/>
      <c r="I331" s="95"/>
      <c r="J331" s="102"/>
      <c r="K331" s="102"/>
      <c r="L331" s="95"/>
      <c r="O331" s="95"/>
      <c r="Q331" s="95"/>
      <c r="S331" s="96"/>
      <c r="T331" s="95"/>
      <c r="W331" s="95"/>
      <c r="Y331" s="95"/>
    </row>
    <row r="332" customFormat="false" ht="15.75" hidden="false" customHeight="true" outlineLevel="0" collapsed="false">
      <c r="A332" s="94"/>
      <c r="D332" s="95"/>
      <c r="F332" s="95"/>
      <c r="G332" s="102"/>
      <c r="H332" s="102"/>
      <c r="I332" s="95"/>
      <c r="J332" s="102"/>
      <c r="K332" s="102"/>
      <c r="L332" s="95"/>
      <c r="O332" s="95"/>
      <c r="Q332" s="95"/>
      <c r="S332" s="96"/>
      <c r="T332" s="95"/>
      <c r="W332" s="95"/>
      <c r="Y332" s="95"/>
    </row>
    <row r="333" customFormat="false" ht="15.75" hidden="false" customHeight="true" outlineLevel="0" collapsed="false">
      <c r="A333" s="94"/>
      <c r="D333" s="95"/>
      <c r="F333" s="95"/>
      <c r="G333" s="102"/>
      <c r="H333" s="102"/>
      <c r="I333" s="95"/>
      <c r="J333" s="102"/>
      <c r="K333" s="102"/>
      <c r="L333" s="95"/>
      <c r="O333" s="95"/>
      <c r="Q333" s="95"/>
      <c r="S333" s="96"/>
      <c r="T333" s="95"/>
      <c r="W333" s="95"/>
      <c r="Y333" s="95"/>
    </row>
    <row r="334" customFormat="false" ht="15.75" hidden="false" customHeight="true" outlineLevel="0" collapsed="false">
      <c r="A334" s="94"/>
      <c r="D334" s="95"/>
      <c r="F334" s="95"/>
      <c r="G334" s="102"/>
      <c r="H334" s="102"/>
      <c r="I334" s="95"/>
      <c r="J334" s="102"/>
      <c r="K334" s="102"/>
      <c r="L334" s="95"/>
      <c r="O334" s="95"/>
      <c r="Q334" s="95"/>
      <c r="S334" s="96"/>
      <c r="T334" s="95"/>
      <c r="W334" s="95"/>
      <c r="Y334" s="95"/>
    </row>
    <row r="335" customFormat="false" ht="15.75" hidden="false" customHeight="true" outlineLevel="0" collapsed="false">
      <c r="A335" s="94"/>
      <c r="D335" s="95"/>
      <c r="F335" s="95"/>
      <c r="G335" s="102"/>
      <c r="H335" s="102"/>
      <c r="I335" s="95"/>
      <c r="J335" s="102"/>
      <c r="K335" s="102"/>
      <c r="L335" s="95"/>
      <c r="O335" s="95"/>
      <c r="Q335" s="95"/>
      <c r="S335" s="96"/>
      <c r="T335" s="95"/>
      <c r="W335" s="95"/>
      <c r="Y335" s="95"/>
    </row>
    <row r="336" customFormat="false" ht="15.75" hidden="false" customHeight="true" outlineLevel="0" collapsed="false">
      <c r="A336" s="94"/>
      <c r="D336" s="95"/>
      <c r="F336" s="95"/>
      <c r="G336" s="102"/>
      <c r="H336" s="102"/>
      <c r="I336" s="95"/>
      <c r="J336" s="102"/>
      <c r="K336" s="102"/>
      <c r="L336" s="95"/>
      <c r="O336" s="95"/>
      <c r="Q336" s="95"/>
      <c r="S336" s="96"/>
      <c r="T336" s="95"/>
      <c r="W336" s="95"/>
      <c r="Y336" s="95"/>
    </row>
    <row r="337" customFormat="false" ht="15.75" hidden="false" customHeight="true" outlineLevel="0" collapsed="false">
      <c r="A337" s="94"/>
      <c r="D337" s="95"/>
      <c r="F337" s="95"/>
      <c r="G337" s="102"/>
      <c r="H337" s="102"/>
      <c r="I337" s="95"/>
      <c r="J337" s="102"/>
      <c r="K337" s="102"/>
      <c r="L337" s="95"/>
      <c r="O337" s="95"/>
      <c r="Q337" s="95"/>
      <c r="S337" s="96"/>
      <c r="T337" s="95"/>
      <c r="W337" s="95"/>
      <c r="Y337" s="95"/>
    </row>
    <row r="338" customFormat="false" ht="15.75" hidden="false" customHeight="true" outlineLevel="0" collapsed="false">
      <c r="A338" s="94"/>
      <c r="D338" s="95"/>
      <c r="F338" s="95"/>
      <c r="G338" s="102"/>
      <c r="H338" s="102"/>
      <c r="I338" s="95"/>
      <c r="J338" s="102"/>
      <c r="K338" s="102"/>
      <c r="L338" s="95"/>
      <c r="O338" s="95"/>
      <c r="Q338" s="95"/>
      <c r="S338" s="96"/>
      <c r="T338" s="95"/>
      <c r="W338" s="95"/>
      <c r="Y338" s="95"/>
    </row>
    <row r="339" customFormat="false" ht="15.75" hidden="false" customHeight="true" outlineLevel="0" collapsed="false">
      <c r="A339" s="94"/>
      <c r="D339" s="95"/>
      <c r="F339" s="95"/>
      <c r="G339" s="102"/>
      <c r="H339" s="102"/>
      <c r="I339" s="95"/>
      <c r="J339" s="102"/>
      <c r="K339" s="102"/>
      <c r="L339" s="95"/>
      <c r="O339" s="95"/>
      <c r="Q339" s="95"/>
      <c r="S339" s="96"/>
      <c r="T339" s="95"/>
      <c r="W339" s="95"/>
      <c r="Y339" s="95"/>
    </row>
    <row r="340" customFormat="false" ht="15.75" hidden="false" customHeight="true" outlineLevel="0" collapsed="false">
      <c r="A340" s="94"/>
      <c r="D340" s="95"/>
      <c r="F340" s="95"/>
      <c r="G340" s="102"/>
      <c r="H340" s="102"/>
      <c r="I340" s="95"/>
      <c r="J340" s="102"/>
      <c r="K340" s="102"/>
      <c r="L340" s="95"/>
      <c r="O340" s="95"/>
      <c r="Q340" s="95"/>
      <c r="S340" s="96"/>
      <c r="T340" s="95"/>
      <c r="W340" s="95"/>
      <c r="Y340" s="95"/>
    </row>
    <row r="341" customFormat="false" ht="15.75" hidden="false" customHeight="true" outlineLevel="0" collapsed="false">
      <c r="A341" s="94"/>
      <c r="D341" s="95"/>
      <c r="F341" s="95"/>
      <c r="G341" s="102"/>
      <c r="H341" s="102"/>
      <c r="I341" s="95"/>
      <c r="J341" s="102"/>
      <c r="K341" s="102"/>
      <c r="L341" s="95"/>
      <c r="O341" s="95"/>
      <c r="Q341" s="95"/>
      <c r="S341" s="96"/>
      <c r="T341" s="95"/>
      <c r="W341" s="95"/>
      <c r="Y341" s="95"/>
    </row>
    <row r="342" customFormat="false" ht="15.75" hidden="false" customHeight="true" outlineLevel="0" collapsed="false">
      <c r="A342" s="94"/>
      <c r="D342" s="95"/>
      <c r="F342" s="95"/>
      <c r="G342" s="102"/>
      <c r="H342" s="102"/>
      <c r="I342" s="95"/>
      <c r="J342" s="102"/>
      <c r="K342" s="102"/>
      <c r="L342" s="95"/>
      <c r="O342" s="95"/>
      <c r="Q342" s="95"/>
      <c r="S342" s="96"/>
      <c r="T342" s="95"/>
      <c r="W342" s="95"/>
      <c r="Y342" s="95"/>
    </row>
    <row r="343" customFormat="false" ht="15.75" hidden="false" customHeight="true" outlineLevel="0" collapsed="false">
      <c r="A343" s="94"/>
      <c r="D343" s="95"/>
      <c r="F343" s="95"/>
      <c r="G343" s="102"/>
      <c r="H343" s="102"/>
      <c r="I343" s="95"/>
      <c r="J343" s="102"/>
      <c r="K343" s="102"/>
      <c r="L343" s="95"/>
      <c r="O343" s="95"/>
      <c r="Q343" s="95"/>
      <c r="S343" s="96"/>
      <c r="T343" s="95"/>
      <c r="W343" s="95"/>
      <c r="Y343" s="95"/>
    </row>
    <row r="344" customFormat="false" ht="15.75" hidden="false" customHeight="true" outlineLevel="0" collapsed="false">
      <c r="A344" s="94"/>
      <c r="D344" s="95"/>
      <c r="F344" s="95"/>
      <c r="G344" s="102"/>
      <c r="H344" s="102"/>
      <c r="I344" s="95"/>
      <c r="J344" s="102"/>
      <c r="K344" s="102"/>
      <c r="L344" s="95"/>
      <c r="O344" s="95"/>
      <c r="Q344" s="95"/>
      <c r="S344" s="96"/>
      <c r="T344" s="95"/>
      <c r="W344" s="95"/>
      <c r="Y344" s="95"/>
    </row>
    <row r="345" customFormat="false" ht="15.75" hidden="false" customHeight="true" outlineLevel="0" collapsed="false">
      <c r="A345" s="94"/>
      <c r="D345" s="95"/>
      <c r="F345" s="95"/>
      <c r="G345" s="102"/>
      <c r="H345" s="102"/>
      <c r="I345" s="95"/>
      <c r="J345" s="102"/>
      <c r="K345" s="102"/>
      <c r="L345" s="95"/>
      <c r="O345" s="95"/>
      <c r="Q345" s="95"/>
      <c r="S345" s="96"/>
      <c r="T345" s="95"/>
      <c r="W345" s="95"/>
      <c r="Y345" s="95"/>
    </row>
    <row r="346" customFormat="false" ht="15.75" hidden="false" customHeight="true" outlineLevel="0" collapsed="false">
      <c r="A346" s="94"/>
      <c r="D346" s="95"/>
      <c r="F346" s="95"/>
      <c r="G346" s="102"/>
      <c r="H346" s="102"/>
      <c r="I346" s="95"/>
      <c r="J346" s="102"/>
      <c r="K346" s="102"/>
      <c r="L346" s="95"/>
      <c r="O346" s="95"/>
      <c r="Q346" s="95"/>
      <c r="S346" s="96"/>
      <c r="T346" s="95"/>
      <c r="W346" s="95"/>
      <c r="Y346" s="95"/>
    </row>
    <row r="347" customFormat="false" ht="15.75" hidden="false" customHeight="true" outlineLevel="0" collapsed="false">
      <c r="A347" s="94"/>
      <c r="D347" s="95"/>
      <c r="F347" s="95"/>
      <c r="G347" s="102"/>
      <c r="H347" s="102"/>
      <c r="I347" s="95"/>
      <c r="J347" s="102"/>
      <c r="K347" s="102"/>
      <c r="L347" s="95"/>
      <c r="O347" s="95"/>
      <c r="Q347" s="95"/>
      <c r="S347" s="96"/>
      <c r="T347" s="95"/>
      <c r="W347" s="95"/>
      <c r="Y347" s="95"/>
    </row>
    <row r="348" customFormat="false" ht="15.75" hidden="false" customHeight="true" outlineLevel="0" collapsed="false">
      <c r="A348" s="94"/>
      <c r="D348" s="95"/>
      <c r="F348" s="95"/>
      <c r="G348" s="102"/>
      <c r="H348" s="102"/>
      <c r="I348" s="95"/>
      <c r="J348" s="102"/>
      <c r="K348" s="102"/>
      <c r="L348" s="95"/>
      <c r="O348" s="95"/>
      <c r="Q348" s="95"/>
      <c r="S348" s="96"/>
      <c r="T348" s="95"/>
      <c r="W348" s="95"/>
      <c r="Y348" s="95"/>
    </row>
    <row r="349" customFormat="false" ht="15.75" hidden="false" customHeight="true" outlineLevel="0" collapsed="false">
      <c r="A349" s="94"/>
      <c r="D349" s="95"/>
      <c r="F349" s="95"/>
      <c r="G349" s="102"/>
      <c r="H349" s="102"/>
      <c r="I349" s="95"/>
      <c r="J349" s="102"/>
      <c r="K349" s="102"/>
      <c r="L349" s="95"/>
      <c r="O349" s="95"/>
      <c r="Q349" s="95"/>
      <c r="S349" s="96"/>
      <c r="T349" s="95"/>
      <c r="W349" s="95"/>
      <c r="Y349" s="95"/>
    </row>
    <row r="350" customFormat="false" ht="15.75" hidden="false" customHeight="true" outlineLevel="0" collapsed="false">
      <c r="A350" s="94"/>
      <c r="D350" s="95"/>
      <c r="F350" s="95"/>
      <c r="G350" s="102"/>
      <c r="H350" s="102"/>
      <c r="I350" s="95"/>
      <c r="J350" s="102"/>
      <c r="K350" s="102"/>
      <c r="L350" s="95"/>
      <c r="O350" s="95"/>
      <c r="Q350" s="95"/>
      <c r="S350" s="96"/>
      <c r="T350" s="95"/>
      <c r="W350" s="95"/>
      <c r="Y350" s="95"/>
    </row>
    <row r="351" customFormat="false" ht="15.75" hidden="false" customHeight="true" outlineLevel="0" collapsed="false">
      <c r="A351" s="94"/>
      <c r="D351" s="95"/>
      <c r="F351" s="95"/>
      <c r="G351" s="102"/>
      <c r="H351" s="102"/>
      <c r="I351" s="95"/>
      <c r="J351" s="102"/>
      <c r="K351" s="102"/>
      <c r="L351" s="95"/>
      <c r="O351" s="95"/>
      <c r="Q351" s="95"/>
      <c r="S351" s="96"/>
      <c r="T351" s="95"/>
      <c r="W351" s="95"/>
      <c r="Y351" s="95"/>
    </row>
    <row r="352" customFormat="false" ht="15.75" hidden="false" customHeight="true" outlineLevel="0" collapsed="false">
      <c r="A352" s="94"/>
      <c r="D352" s="95"/>
      <c r="F352" s="95"/>
      <c r="G352" s="102"/>
      <c r="H352" s="102"/>
      <c r="I352" s="95"/>
      <c r="J352" s="102"/>
      <c r="K352" s="102"/>
      <c r="L352" s="95"/>
      <c r="O352" s="95"/>
      <c r="Q352" s="95"/>
      <c r="S352" s="96"/>
      <c r="T352" s="95"/>
      <c r="W352" s="95"/>
      <c r="Y352" s="95"/>
    </row>
    <row r="353" customFormat="false" ht="15.75" hidden="false" customHeight="true" outlineLevel="0" collapsed="false">
      <c r="A353" s="94"/>
      <c r="D353" s="95"/>
      <c r="F353" s="95"/>
      <c r="G353" s="102"/>
      <c r="H353" s="102"/>
      <c r="I353" s="95"/>
      <c r="J353" s="102"/>
      <c r="K353" s="102"/>
      <c r="L353" s="95"/>
      <c r="O353" s="95"/>
      <c r="Q353" s="95"/>
      <c r="S353" s="96"/>
      <c r="T353" s="95"/>
      <c r="W353" s="95"/>
      <c r="Y353" s="95"/>
    </row>
    <row r="354" customFormat="false" ht="15.75" hidden="false" customHeight="true" outlineLevel="0" collapsed="false">
      <c r="A354" s="94"/>
      <c r="D354" s="95"/>
      <c r="F354" s="95"/>
      <c r="G354" s="102"/>
      <c r="H354" s="102"/>
      <c r="I354" s="95"/>
      <c r="J354" s="102"/>
      <c r="K354" s="102"/>
      <c r="L354" s="95"/>
      <c r="O354" s="95"/>
      <c r="Q354" s="95"/>
      <c r="S354" s="96"/>
      <c r="T354" s="95"/>
      <c r="W354" s="95"/>
      <c r="Y354" s="95"/>
    </row>
    <row r="355" customFormat="false" ht="15.75" hidden="false" customHeight="true" outlineLevel="0" collapsed="false">
      <c r="A355" s="94"/>
      <c r="D355" s="95"/>
      <c r="F355" s="95"/>
      <c r="G355" s="102"/>
      <c r="H355" s="102"/>
      <c r="I355" s="95"/>
      <c r="J355" s="102"/>
      <c r="K355" s="102"/>
      <c r="L355" s="95"/>
      <c r="O355" s="95"/>
      <c r="Q355" s="95"/>
      <c r="S355" s="96"/>
      <c r="T355" s="95"/>
      <c r="W355" s="95"/>
      <c r="Y355" s="95"/>
    </row>
    <row r="356" customFormat="false" ht="15.75" hidden="false" customHeight="true" outlineLevel="0" collapsed="false">
      <c r="A356" s="94"/>
      <c r="D356" s="95"/>
      <c r="F356" s="95"/>
      <c r="G356" s="102"/>
      <c r="H356" s="102"/>
      <c r="I356" s="95"/>
      <c r="J356" s="102"/>
      <c r="K356" s="102"/>
      <c r="L356" s="95"/>
      <c r="O356" s="95"/>
      <c r="Q356" s="95"/>
      <c r="S356" s="96"/>
      <c r="T356" s="95"/>
      <c r="W356" s="95"/>
      <c r="Y356" s="95"/>
    </row>
    <row r="357" customFormat="false" ht="15.75" hidden="false" customHeight="true" outlineLevel="0" collapsed="false">
      <c r="A357" s="94"/>
      <c r="D357" s="95"/>
      <c r="F357" s="95"/>
      <c r="G357" s="102"/>
      <c r="H357" s="102"/>
      <c r="I357" s="95"/>
      <c r="J357" s="102"/>
      <c r="K357" s="102"/>
      <c r="L357" s="95"/>
      <c r="O357" s="95"/>
      <c r="Q357" s="95"/>
      <c r="S357" s="96"/>
      <c r="T357" s="95"/>
      <c r="W357" s="95"/>
      <c r="Y357" s="95"/>
    </row>
    <row r="358" customFormat="false" ht="15.75" hidden="false" customHeight="true" outlineLevel="0" collapsed="false">
      <c r="A358" s="94"/>
      <c r="D358" s="95"/>
      <c r="F358" s="95"/>
      <c r="G358" s="102"/>
      <c r="H358" s="102"/>
      <c r="I358" s="95"/>
      <c r="J358" s="102"/>
      <c r="K358" s="102"/>
      <c r="L358" s="95"/>
      <c r="O358" s="95"/>
      <c r="Q358" s="95"/>
      <c r="S358" s="96"/>
      <c r="T358" s="95"/>
      <c r="W358" s="95"/>
      <c r="Y358" s="95"/>
    </row>
    <row r="359" customFormat="false" ht="15.75" hidden="false" customHeight="true" outlineLevel="0" collapsed="false">
      <c r="A359" s="94"/>
      <c r="D359" s="95"/>
      <c r="F359" s="95"/>
      <c r="G359" s="102"/>
      <c r="H359" s="102"/>
      <c r="I359" s="95"/>
      <c r="J359" s="102"/>
      <c r="K359" s="102"/>
      <c r="L359" s="95"/>
      <c r="O359" s="95"/>
      <c r="Q359" s="95"/>
      <c r="S359" s="96"/>
      <c r="T359" s="95"/>
      <c r="W359" s="95"/>
      <c r="Y359" s="95"/>
    </row>
    <row r="360" customFormat="false" ht="15.75" hidden="false" customHeight="true" outlineLevel="0" collapsed="false">
      <c r="A360" s="94"/>
      <c r="D360" s="95"/>
      <c r="F360" s="95"/>
      <c r="G360" s="102"/>
      <c r="H360" s="102"/>
      <c r="I360" s="95"/>
      <c r="J360" s="102"/>
      <c r="K360" s="102"/>
      <c r="L360" s="95"/>
      <c r="O360" s="95"/>
      <c r="Q360" s="95"/>
      <c r="S360" s="96"/>
      <c r="T360" s="95"/>
      <c r="W360" s="95"/>
      <c r="Y360" s="95"/>
    </row>
    <row r="361" customFormat="false" ht="15.75" hidden="false" customHeight="true" outlineLevel="0" collapsed="false">
      <c r="A361" s="94"/>
      <c r="D361" s="95"/>
      <c r="F361" s="95"/>
      <c r="G361" s="102"/>
      <c r="H361" s="102"/>
      <c r="I361" s="95"/>
      <c r="J361" s="102"/>
      <c r="K361" s="102"/>
      <c r="L361" s="95"/>
      <c r="O361" s="95"/>
      <c r="Q361" s="95"/>
      <c r="S361" s="96"/>
      <c r="T361" s="95"/>
      <c r="W361" s="95"/>
      <c r="Y361" s="95"/>
    </row>
    <row r="362" customFormat="false" ht="15.75" hidden="false" customHeight="true" outlineLevel="0" collapsed="false">
      <c r="A362" s="94"/>
      <c r="D362" s="95"/>
      <c r="F362" s="95"/>
      <c r="G362" s="102"/>
      <c r="H362" s="102"/>
      <c r="I362" s="95"/>
      <c r="J362" s="102"/>
      <c r="K362" s="102"/>
      <c r="L362" s="95"/>
      <c r="O362" s="95"/>
      <c r="Q362" s="95"/>
      <c r="S362" s="96"/>
      <c r="T362" s="95"/>
      <c r="W362" s="95"/>
      <c r="Y362" s="95"/>
    </row>
    <row r="363" customFormat="false" ht="15.75" hidden="false" customHeight="true" outlineLevel="0" collapsed="false">
      <c r="A363" s="94"/>
      <c r="D363" s="95"/>
      <c r="F363" s="95"/>
      <c r="G363" s="102"/>
      <c r="H363" s="102"/>
      <c r="I363" s="95"/>
      <c r="J363" s="102"/>
      <c r="K363" s="102"/>
      <c r="L363" s="95"/>
      <c r="O363" s="95"/>
      <c r="Q363" s="95"/>
      <c r="S363" s="96"/>
      <c r="T363" s="95"/>
      <c r="W363" s="95"/>
      <c r="Y363" s="95"/>
    </row>
    <row r="364" customFormat="false" ht="15.75" hidden="false" customHeight="true" outlineLevel="0" collapsed="false">
      <c r="A364" s="94"/>
      <c r="D364" s="95"/>
      <c r="F364" s="95"/>
      <c r="G364" s="102"/>
      <c r="H364" s="102"/>
      <c r="I364" s="95"/>
      <c r="J364" s="102"/>
      <c r="K364" s="102"/>
      <c r="L364" s="95"/>
      <c r="O364" s="95"/>
      <c r="Q364" s="95"/>
      <c r="S364" s="96"/>
      <c r="T364" s="95"/>
      <c r="W364" s="95"/>
      <c r="Y364" s="95"/>
    </row>
    <row r="365" customFormat="false" ht="15.75" hidden="false" customHeight="true" outlineLevel="0" collapsed="false">
      <c r="A365" s="94"/>
      <c r="D365" s="95"/>
      <c r="F365" s="95"/>
      <c r="G365" s="102"/>
      <c r="H365" s="102"/>
      <c r="I365" s="95"/>
      <c r="J365" s="102"/>
      <c r="K365" s="102"/>
      <c r="L365" s="95"/>
      <c r="O365" s="95"/>
      <c r="Q365" s="95"/>
      <c r="S365" s="96"/>
      <c r="T365" s="95"/>
      <c r="W365" s="95"/>
      <c r="Y365" s="95"/>
    </row>
    <row r="366" customFormat="false" ht="15.75" hidden="false" customHeight="true" outlineLevel="0" collapsed="false">
      <c r="A366" s="94"/>
      <c r="D366" s="95"/>
      <c r="F366" s="95"/>
      <c r="G366" s="102"/>
      <c r="H366" s="102"/>
      <c r="I366" s="95"/>
      <c r="J366" s="102"/>
      <c r="K366" s="102"/>
      <c r="L366" s="95"/>
      <c r="O366" s="95"/>
      <c r="Q366" s="95"/>
      <c r="S366" s="96"/>
      <c r="T366" s="95"/>
      <c r="W366" s="95"/>
      <c r="Y366" s="95"/>
    </row>
    <row r="367" customFormat="false" ht="15.75" hidden="false" customHeight="true" outlineLevel="0" collapsed="false">
      <c r="A367" s="94"/>
      <c r="D367" s="95"/>
      <c r="F367" s="95"/>
      <c r="G367" s="102"/>
      <c r="H367" s="102"/>
      <c r="I367" s="95"/>
      <c r="J367" s="102"/>
      <c r="K367" s="102"/>
      <c r="L367" s="95"/>
      <c r="O367" s="95"/>
      <c r="Q367" s="95"/>
      <c r="S367" s="96"/>
      <c r="T367" s="95"/>
      <c r="W367" s="95"/>
      <c r="Y367" s="95"/>
    </row>
    <row r="368" customFormat="false" ht="15.75" hidden="false" customHeight="true" outlineLevel="0" collapsed="false">
      <c r="A368" s="94"/>
      <c r="D368" s="95"/>
      <c r="F368" s="95"/>
      <c r="G368" s="102"/>
      <c r="H368" s="102"/>
      <c r="I368" s="95"/>
      <c r="J368" s="102"/>
      <c r="K368" s="102"/>
      <c r="L368" s="95"/>
      <c r="O368" s="95"/>
      <c r="Q368" s="95"/>
      <c r="S368" s="96"/>
      <c r="T368" s="95"/>
      <c r="W368" s="95"/>
      <c r="Y368" s="95"/>
    </row>
    <row r="369" customFormat="false" ht="15.75" hidden="false" customHeight="true" outlineLevel="0" collapsed="false">
      <c r="A369" s="94"/>
      <c r="D369" s="95"/>
      <c r="F369" s="95"/>
      <c r="G369" s="102"/>
      <c r="H369" s="102"/>
      <c r="I369" s="95"/>
      <c r="J369" s="102"/>
      <c r="K369" s="102"/>
      <c r="L369" s="95"/>
      <c r="O369" s="95"/>
      <c r="Q369" s="95"/>
      <c r="S369" s="96"/>
      <c r="T369" s="95"/>
      <c r="W369" s="95"/>
      <c r="Y369" s="95"/>
    </row>
    <row r="370" customFormat="false" ht="15.75" hidden="false" customHeight="true" outlineLevel="0" collapsed="false">
      <c r="A370" s="94"/>
      <c r="D370" s="95"/>
      <c r="F370" s="95"/>
      <c r="G370" s="102"/>
      <c r="H370" s="102"/>
      <c r="I370" s="95"/>
      <c r="J370" s="102"/>
      <c r="K370" s="102"/>
      <c r="L370" s="95"/>
      <c r="O370" s="95"/>
      <c r="Q370" s="95"/>
      <c r="S370" s="96"/>
      <c r="T370" s="95"/>
      <c r="W370" s="95"/>
      <c r="Y370" s="95"/>
    </row>
    <row r="371" customFormat="false" ht="15.75" hidden="false" customHeight="true" outlineLevel="0" collapsed="false">
      <c r="A371" s="94"/>
      <c r="D371" s="95"/>
      <c r="F371" s="95"/>
      <c r="G371" s="102"/>
      <c r="H371" s="102"/>
      <c r="I371" s="95"/>
      <c r="J371" s="102"/>
      <c r="K371" s="102"/>
      <c r="L371" s="95"/>
      <c r="O371" s="95"/>
      <c r="Q371" s="95"/>
      <c r="S371" s="96"/>
      <c r="T371" s="95"/>
      <c r="W371" s="95"/>
      <c r="Y371" s="95"/>
    </row>
    <row r="372" customFormat="false" ht="15.75" hidden="false" customHeight="true" outlineLevel="0" collapsed="false">
      <c r="A372" s="94"/>
      <c r="D372" s="95"/>
      <c r="F372" s="95"/>
      <c r="G372" s="102"/>
      <c r="H372" s="102"/>
      <c r="I372" s="95"/>
      <c r="J372" s="102"/>
      <c r="K372" s="102"/>
      <c r="L372" s="95"/>
      <c r="O372" s="95"/>
      <c r="Q372" s="95"/>
      <c r="S372" s="96"/>
      <c r="T372" s="95"/>
      <c r="W372" s="95"/>
      <c r="Y372" s="95"/>
    </row>
    <row r="373" customFormat="false" ht="15.75" hidden="false" customHeight="true" outlineLevel="0" collapsed="false">
      <c r="A373" s="94"/>
      <c r="D373" s="95"/>
      <c r="F373" s="95"/>
      <c r="G373" s="102"/>
      <c r="H373" s="102"/>
      <c r="I373" s="95"/>
      <c r="J373" s="102"/>
      <c r="K373" s="102"/>
      <c r="L373" s="95"/>
      <c r="O373" s="95"/>
      <c r="Q373" s="95"/>
      <c r="S373" s="96"/>
      <c r="T373" s="95"/>
      <c r="W373" s="95"/>
      <c r="Y373" s="95"/>
    </row>
    <row r="374" customFormat="false" ht="15.75" hidden="false" customHeight="true" outlineLevel="0" collapsed="false">
      <c r="A374" s="94"/>
      <c r="D374" s="95"/>
      <c r="F374" s="95"/>
      <c r="G374" s="102"/>
      <c r="H374" s="102"/>
      <c r="I374" s="95"/>
      <c r="J374" s="102"/>
      <c r="K374" s="102"/>
      <c r="L374" s="95"/>
      <c r="O374" s="95"/>
      <c r="Q374" s="95"/>
      <c r="S374" s="96"/>
      <c r="T374" s="95"/>
      <c r="W374" s="95"/>
      <c r="Y374" s="95"/>
    </row>
    <row r="375" customFormat="false" ht="15.75" hidden="false" customHeight="true" outlineLevel="0" collapsed="false">
      <c r="A375" s="94"/>
      <c r="D375" s="95"/>
      <c r="F375" s="95"/>
      <c r="G375" s="102"/>
      <c r="H375" s="102"/>
      <c r="I375" s="95"/>
      <c r="J375" s="102"/>
      <c r="K375" s="102"/>
      <c r="L375" s="95"/>
      <c r="O375" s="95"/>
      <c r="Q375" s="95"/>
      <c r="S375" s="96"/>
      <c r="T375" s="95"/>
      <c r="W375" s="95"/>
      <c r="Y375" s="95"/>
    </row>
    <row r="376" customFormat="false" ht="15.75" hidden="false" customHeight="true" outlineLevel="0" collapsed="false">
      <c r="A376" s="94"/>
      <c r="D376" s="95"/>
      <c r="F376" s="95"/>
      <c r="G376" s="102"/>
      <c r="H376" s="102"/>
      <c r="I376" s="95"/>
      <c r="J376" s="102"/>
      <c r="K376" s="102"/>
      <c r="L376" s="95"/>
      <c r="O376" s="95"/>
      <c r="Q376" s="95"/>
      <c r="S376" s="96"/>
      <c r="T376" s="95"/>
      <c r="W376" s="95"/>
      <c r="Y376" s="95"/>
    </row>
    <row r="377" customFormat="false" ht="15.75" hidden="false" customHeight="true" outlineLevel="0" collapsed="false">
      <c r="A377" s="94"/>
      <c r="D377" s="95"/>
      <c r="F377" s="95"/>
      <c r="G377" s="102"/>
      <c r="H377" s="102"/>
      <c r="I377" s="95"/>
      <c r="J377" s="102"/>
      <c r="K377" s="102"/>
      <c r="L377" s="95"/>
      <c r="O377" s="95"/>
      <c r="Q377" s="95"/>
      <c r="S377" s="96"/>
      <c r="T377" s="95"/>
      <c r="W377" s="95"/>
      <c r="Y377" s="95"/>
    </row>
    <row r="378" customFormat="false" ht="15.75" hidden="false" customHeight="true" outlineLevel="0" collapsed="false">
      <c r="A378" s="94"/>
      <c r="D378" s="95"/>
      <c r="F378" s="95"/>
      <c r="G378" s="102"/>
      <c r="H378" s="102"/>
      <c r="I378" s="95"/>
      <c r="J378" s="102"/>
      <c r="K378" s="102"/>
      <c r="L378" s="95"/>
      <c r="O378" s="95"/>
      <c r="Q378" s="95"/>
      <c r="S378" s="96"/>
      <c r="T378" s="95"/>
      <c r="W378" s="95"/>
      <c r="Y378" s="95"/>
    </row>
    <row r="379" customFormat="false" ht="15.75" hidden="false" customHeight="true" outlineLevel="0" collapsed="false">
      <c r="A379" s="94"/>
      <c r="D379" s="95"/>
      <c r="F379" s="95"/>
      <c r="G379" s="102"/>
      <c r="H379" s="102"/>
      <c r="I379" s="95"/>
      <c r="J379" s="102"/>
      <c r="K379" s="102"/>
      <c r="L379" s="95"/>
      <c r="O379" s="95"/>
      <c r="Q379" s="95"/>
      <c r="S379" s="96"/>
      <c r="T379" s="95"/>
      <c r="W379" s="95"/>
      <c r="Y379" s="95"/>
    </row>
    <row r="380" customFormat="false" ht="15.75" hidden="false" customHeight="true" outlineLevel="0" collapsed="false">
      <c r="A380" s="94"/>
      <c r="D380" s="95"/>
      <c r="F380" s="95"/>
      <c r="G380" s="102"/>
      <c r="H380" s="102"/>
      <c r="I380" s="95"/>
      <c r="J380" s="102"/>
      <c r="K380" s="102"/>
      <c r="L380" s="95"/>
      <c r="O380" s="95"/>
      <c r="Q380" s="95"/>
      <c r="S380" s="96"/>
      <c r="T380" s="95"/>
      <c r="W380" s="95"/>
      <c r="Y380" s="95"/>
    </row>
    <row r="381" customFormat="false" ht="15.75" hidden="false" customHeight="true" outlineLevel="0" collapsed="false">
      <c r="A381" s="94"/>
      <c r="D381" s="95"/>
      <c r="F381" s="95"/>
      <c r="G381" s="102"/>
      <c r="H381" s="102"/>
      <c r="I381" s="95"/>
      <c r="J381" s="102"/>
      <c r="K381" s="102"/>
      <c r="L381" s="95"/>
      <c r="O381" s="95"/>
      <c r="Q381" s="95"/>
      <c r="S381" s="96"/>
      <c r="T381" s="95"/>
      <c r="W381" s="95"/>
      <c r="Y381" s="95"/>
    </row>
    <row r="382" customFormat="false" ht="15.75" hidden="false" customHeight="true" outlineLevel="0" collapsed="false">
      <c r="A382" s="94"/>
      <c r="D382" s="95"/>
      <c r="F382" s="95"/>
      <c r="G382" s="102"/>
      <c r="H382" s="102"/>
      <c r="I382" s="95"/>
      <c r="J382" s="102"/>
      <c r="K382" s="102"/>
      <c r="L382" s="95"/>
      <c r="O382" s="95"/>
      <c r="Q382" s="95"/>
      <c r="S382" s="96"/>
      <c r="T382" s="95"/>
      <c r="W382" s="95"/>
      <c r="Y382" s="95"/>
    </row>
    <row r="383" customFormat="false" ht="15.75" hidden="false" customHeight="true" outlineLevel="0" collapsed="false">
      <c r="A383" s="94"/>
      <c r="D383" s="95"/>
      <c r="F383" s="95"/>
      <c r="G383" s="102"/>
      <c r="H383" s="102"/>
      <c r="I383" s="95"/>
      <c r="J383" s="102"/>
      <c r="K383" s="102"/>
      <c r="L383" s="95"/>
      <c r="O383" s="95"/>
      <c r="Q383" s="95"/>
      <c r="S383" s="96"/>
      <c r="T383" s="95"/>
      <c r="W383" s="95"/>
      <c r="Y383" s="95"/>
    </row>
    <row r="384" customFormat="false" ht="15.75" hidden="false" customHeight="true" outlineLevel="0" collapsed="false">
      <c r="A384" s="94"/>
      <c r="D384" s="95"/>
      <c r="F384" s="95"/>
      <c r="G384" s="102"/>
      <c r="H384" s="102"/>
      <c r="I384" s="95"/>
      <c r="J384" s="102"/>
      <c r="K384" s="102"/>
      <c r="L384" s="95"/>
      <c r="O384" s="95"/>
      <c r="Q384" s="95"/>
      <c r="S384" s="96"/>
      <c r="T384" s="95"/>
      <c r="W384" s="95"/>
      <c r="Y384" s="95"/>
    </row>
    <row r="385" customFormat="false" ht="15.75" hidden="false" customHeight="true" outlineLevel="0" collapsed="false">
      <c r="A385" s="94"/>
      <c r="D385" s="95"/>
      <c r="F385" s="95"/>
      <c r="G385" s="102"/>
      <c r="H385" s="102"/>
      <c r="I385" s="95"/>
      <c r="J385" s="102"/>
      <c r="K385" s="102"/>
      <c r="L385" s="95"/>
      <c r="O385" s="95"/>
      <c r="Q385" s="95"/>
      <c r="S385" s="96"/>
      <c r="T385" s="95"/>
      <c r="W385" s="95"/>
      <c r="Y385" s="95"/>
    </row>
    <row r="386" customFormat="false" ht="15.75" hidden="false" customHeight="true" outlineLevel="0" collapsed="false">
      <c r="A386" s="94"/>
      <c r="D386" s="95"/>
      <c r="F386" s="95"/>
      <c r="G386" s="102"/>
      <c r="H386" s="102"/>
      <c r="I386" s="95"/>
      <c r="J386" s="102"/>
      <c r="K386" s="102"/>
      <c r="L386" s="95"/>
      <c r="O386" s="95"/>
      <c r="Q386" s="95"/>
      <c r="S386" s="96"/>
      <c r="T386" s="95"/>
      <c r="W386" s="95"/>
      <c r="Y386" s="95"/>
    </row>
    <row r="387" customFormat="false" ht="15.75" hidden="false" customHeight="true" outlineLevel="0" collapsed="false">
      <c r="A387" s="94"/>
      <c r="D387" s="95"/>
      <c r="F387" s="95"/>
      <c r="G387" s="102"/>
      <c r="H387" s="102"/>
      <c r="I387" s="95"/>
      <c r="J387" s="102"/>
      <c r="K387" s="102"/>
      <c r="L387" s="95"/>
      <c r="O387" s="95"/>
      <c r="Q387" s="95"/>
      <c r="S387" s="96"/>
      <c r="T387" s="95"/>
      <c r="W387" s="95"/>
      <c r="Y387" s="95"/>
    </row>
    <row r="388" customFormat="false" ht="15.75" hidden="false" customHeight="true" outlineLevel="0" collapsed="false">
      <c r="A388" s="94"/>
      <c r="D388" s="95"/>
      <c r="F388" s="95"/>
      <c r="G388" s="102"/>
      <c r="H388" s="102"/>
      <c r="I388" s="95"/>
      <c r="J388" s="102"/>
      <c r="K388" s="102"/>
      <c r="L388" s="95"/>
      <c r="O388" s="95"/>
      <c r="Q388" s="95"/>
      <c r="S388" s="96"/>
      <c r="T388" s="95"/>
      <c r="W388" s="95"/>
      <c r="Y388" s="95"/>
    </row>
    <row r="389" customFormat="false" ht="15.75" hidden="false" customHeight="true" outlineLevel="0" collapsed="false">
      <c r="A389" s="94"/>
      <c r="D389" s="95"/>
      <c r="F389" s="95"/>
      <c r="G389" s="102"/>
      <c r="H389" s="102"/>
      <c r="I389" s="95"/>
      <c r="J389" s="102"/>
      <c r="K389" s="102"/>
      <c r="L389" s="95"/>
      <c r="O389" s="95"/>
      <c r="Q389" s="95"/>
      <c r="S389" s="96"/>
      <c r="T389" s="95"/>
      <c r="W389" s="95"/>
      <c r="Y389" s="95"/>
    </row>
    <row r="390" customFormat="false" ht="15.75" hidden="false" customHeight="true" outlineLevel="0" collapsed="false">
      <c r="A390" s="94"/>
      <c r="D390" s="95"/>
      <c r="F390" s="95"/>
      <c r="G390" s="102"/>
      <c r="H390" s="102"/>
      <c r="I390" s="95"/>
      <c r="J390" s="102"/>
      <c r="K390" s="102"/>
      <c r="L390" s="95"/>
      <c r="O390" s="95"/>
      <c r="Q390" s="95"/>
      <c r="S390" s="96"/>
      <c r="T390" s="95"/>
      <c r="W390" s="95"/>
      <c r="Y390" s="95"/>
    </row>
    <row r="391" customFormat="false" ht="15.75" hidden="false" customHeight="true" outlineLevel="0" collapsed="false">
      <c r="A391" s="94"/>
      <c r="D391" s="95"/>
      <c r="F391" s="95"/>
      <c r="G391" s="102"/>
      <c r="H391" s="102"/>
      <c r="I391" s="95"/>
      <c r="J391" s="102"/>
      <c r="K391" s="102"/>
      <c r="L391" s="95"/>
      <c r="O391" s="95"/>
      <c r="Q391" s="95"/>
      <c r="S391" s="96"/>
      <c r="T391" s="95"/>
      <c r="W391" s="95"/>
      <c r="Y391" s="95"/>
    </row>
    <row r="392" customFormat="false" ht="15.75" hidden="false" customHeight="true" outlineLevel="0" collapsed="false">
      <c r="A392" s="94"/>
      <c r="D392" s="95"/>
      <c r="F392" s="95"/>
      <c r="G392" s="102"/>
      <c r="H392" s="102"/>
      <c r="I392" s="95"/>
      <c r="J392" s="102"/>
      <c r="K392" s="102"/>
      <c r="L392" s="95"/>
      <c r="O392" s="95"/>
      <c r="Q392" s="95"/>
      <c r="S392" s="96"/>
      <c r="T392" s="95"/>
      <c r="W392" s="95"/>
      <c r="Y392" s="95"/>
    </row>
    <row r="393" customFormat="false" ht="15.75" hidden="false" customHeight="true" outlineLevel="0" collapsed="false">
      <c r="A393" s="94"/>
      <c r="D393" s="95"/>
      <c r="F393" s="95"/>
      <c r="G393" s="102"/>
      <c r="H393" s="102"/>
      <c r="I393" s="95"/>
      <c r="J393" s="102"/>
      <c r="K393" s="102"/>
      <c r="L393" s="95"/>
      <c r="O393" s="95"/>
      <c r="Q393" s="95"/>
      <c r="S393" s="96"/>
      <c r="T393" s="95"/>
      <c r="W393" s="95"/>
      <c r="Y393" s="95"/>
    </row>
    <row r="394" customFormat="false" ht="15.75" hidden="false" customHeight="true" outlineLevel="0" collapsed="false">
      <c r="A394" s="94"/>
      <c r="D394" s="95"/>
      <c r="F394" s="95"/>
      <c r="G394" s="102"/>
      <c r="H394" s="102"/>
      <c r="I394" s="95"/>
      <c r="J394" s="102"/>
      <c r="K394" s="102"/>
      <c r="L394" s="95"/>
      <c r="O394" s="95"/>
      <c r="Q394" s="95"/>
      <c r="S394" s="96"/>
      <c r="T394" s="95"/>
      <c r="W394" s="95"/>
      <c r="Y394" s="95"/>
    </row>
    <row r="395" customFormat="false" ht="15.75" hidden="false" customHeight="true" outlineLevel="0" collapsed="false">
      <c r="A395" s="94"/>
      <c r="D395" s="95"/>
      <c r="F395" s="95"/>
      <c r="G395" s="102"/>
      <c r="H395" s="102"/>
      <c r="I395" s="95"/>
      <c r="J395" s="102"/>
      <c r="K395" s="102"/>
      <c r="L395" s="95"/>
      <c r="O395" s="95"/>
      <c r="Q395" s="95"/>
      <c r="S395" s="96"/>
      <c r="T395" s="95"/>
      <c r="W395" s="95"/>
      <c r="Y395" s="95"/>
    </row>
    <row r="396" customFormat="false" ht="15.75" hidden="false" customHeight="true" outlineLevel="0" collapsed="false">
      <c r="A396" s="94"/>
      <c r="D396" s="95"/>
      <c r="F396" s="95"/>
      <c r="G396" s="102"/>
      <c r="H396" s="102"/>
      <c r="I396" s="95"/>
      <c r="J396" s="102"/>
      <c r="K396" s="102"/>
      <c r="L396" s="95"/>
      <c r="O396" s="95"/>
      <c r="Q396" s="95"/>
      <c r="S396" s="96"/>
      <c r="T396" s="95"/>
      <c r="W396" s="95"/>
      <c r="Y396" s="95"/>
    </row>
    <row r="397" customFormat="false" ht="15.75" hidden="false" customHeight="true" outlineLevel="0" collapsed="false">
      <c r="A397" s="94"/>
      <c r="D397" s="95"/>
      <c r="F397" s="95"/>
      <c r="G397" s="102"/>
      <c r="H397" s="102"/>
      <c r="I397" s="95"/>
      <c r="J397" s="102"/>
      <c r="K397" s="102"/>
      <c r="L397" s="95"/>
      <c r="O397" s="95"/>
      <c r="Q397" s="95"/>
      <c r="S397" s="96"/>
      <c r="T397" s="95"/>
      <c r="W397" s="95"/>
      <c r="Y397" s="95"/>
    </row>
    <row r="398" customFormat="false" ht="15.75" hidden="false" customHeight="true" outlineLevel="0" collapsed="false">
      <c r="A398" s="94"/>
      <c r="D398" s="95"/>
      <c r="F398" s="95"/>
      <c r="G398" s="102"/>
      <c r="H398" s="102"/>
      <c r="I398" s="95"/>
      <c r="J398" s="102"/>
      <c r="K398" s="102"/>
      <c r="L398" s="95"/>
      <c r="O398" s="95"/>
      <c r="Q398" s="95"/>
      <c r="S398" s="96"/>
      <c r="T398" s="95"/>
      <c r="W398" s="95"/>
      <c r="Y398" s="95"/>
    </row>
    <row r="399" customFormat="false" ht="15.75" hidden="false" customHeight="true" outlineLevel="0" collapsed="false">
      <c r="A399" s="94"/>
      <c r="D399" s="95"/>
      <c r="F399" s="95"/>
      <c r="G399" s="102"/>
      <c r="H399" s="102"/>
      <c r="I399" s="95"/>
      <c r="J399" s="102"/>
      <c r="K399" s="102"/>
      <c r="L399" s="95"/>
      <c r="O399" s="95"/>
      <c r="Q399" s="95"/>
      <c r="S399" s="96"/>
      <c r="T399" s="95"/>
      <c r="W399" s="95"/>
      <c r="Y399" s="95"/>
    </row>
    <row r="400" customFormat="false" ht="15.75" hidden="false" customHeight="true" outlineLevel="0" collapsed="false">
      <c r="A400" s="94"/>
      <c r="D400" s="95"/>
      <c r="F400" s="95"/>
      <c r="G400" s="102"/>
      <c r="H400" s="102"/>
      <c r="I400" s="95"/>
      <c r="J400" s="102"/>
      <c r="K400" s="102"/>
      <c r="L400" s="95"/>
      <c r="O400" s="95"/>
      <c r="Q400" s="95"/>
      <c r="S400" s="96"/>
      <c r="T400" s="95"/>
      <c r="W400" s="95"/>
      <c r="Y400" s="95"/>
    </row>
    <row r="401" customFormat="false" ht="15.75" hidden="false" customHeight="true" outlineLevel="0" collapsed="false">
      <c r="A401" s="94"/>
      <c r="D401" s="95"/>
      <c r="F401" s="95"/>
      <c r="G401" s="102"/>
      <c r="H401" s="102"/>
      <c r="I401" s="95"/>
      <c r="J401" s="102"/>
      <c r="K401" s="102"/>
      <c r="L401" s="95"/>
      <c r="O401" s="95"/>
      <c r="Q401" s="95"/>
      <c r="S401" s="96"/>
      <c r="T401" s="95"/>
      <c r="W401" s="95"/>
      <c r="Y401" s="95"/>
    </row>
    <row r="402" customFormat="false" ht="15.75" hidden="false" customHeight="true" outlineLevel="0" collapsed="false">
      <c r="A402" s="94"/>
      <c r="D402" s="95"/>
      <c r="F402" s="95"/>
      <c r="G402" s="102"/>
      <c r="H402" s="102"/>
      <c r="I402" s="95"/>
      <c r="J402" s="102"/>
      <c r="K402" s="102"/>
      <c r="L402" s="95"/>
      <c r="O402" s="95"/>
      <c r="Q402" s="95"/>
      <c r="S402" s="96"/>
      <c r="T402" s="95"/>
      <c r="W402" s="95"/>
      <c r="Y402" s="95"/>
    </row>
    <row r="403" customFormat="false" ht="15.75" hidden="false" customHeight="true" outlineLevel="0" collapsed="false">
      <c r="A403" s="94"/>
      <c r="D403" s="95"/>
      <c r="F403" s="95"/>
      <c r="G403" s="102"/>
      <c r="H403" s="102"/>
      <c r="I403" s="95"/>
      <c r="J403" s="102"/>
      <c r="K403" s="102"/>
      <c r="L403" s="95"/>
      <c r="O403" s="95"/>
      <c r="Q403" s="95"/>
      <c r="S403" s="96"/>
      <c r="T403" s="95"/>
      <c r="W403" s="95"/>
      <c r="Y403" s="95"/>
    </row>
    <row r="404" customFormat="false" ht="15.75" hidden="false" customHeight="true" outlineLevel="0" collapsed="false">
      <c r="A404" s="94"/>
      <c r="D404" s="95"/>
      <c r="F404" s="95"/>
      <c r="G404" s="102"/>
      <c r="H404" s="102"/>
      <c r="I404" s="95"/>
      <c r="J404" s="102"/>
      <c r="K404" s="102"/>
      <c r="L404" s="95"/>
      <c r="O404" s="95"/>
      <c r="Q404" s="95"/>
      <c r="S404" s="96"/>
      <c r="T404" s="95"/>
      <c r="W404" s="95"/>
      <c r="Y404" s="95"/>
    </row>
    <row r="405" customFormat="false" ht="15.75" hidden="false" customHeight="true" outlineLevel="0" collapsed="false">
      <c r="A405" s="94"/>
      <c r="D405" s="95"/>
      <c r="F405" s="95"/>
      <c r="G405" s="102"/>
      <c r="H405" s="102"/>
      <c r="I405" s="95"/>
      <c r="J405" s="102"/>
      <c r="K405" s="102"/>
      <c r="L405" s="95"/>
      <c r="O405" s="95"/>
      <c r="Q405" s="95"/>
      <c r="S405" s="96"/>
      <c r="T405" s="95"/>
      <c r="W405" s="95"/>
      <c r="Y405" s="95"/>
    </row>
    <row r="406" customFormat="false" ht="15.75" hidden="false" customHeight="true" outlineLevel="0" collapsed="false">
      <c r="A406" s="94"/>
      <c r="D406" s="95"/>
      <c r="F406" s="95"/>
      <c r="G406" s="102"/>
      <c r="H406" s="102"/>
      <c r="I406" s="95"/>
      <c r="J406" s="102"/>
      <c r="K406" s="102"/>
      <c r="L406" s="95"/>
      <c r="O406" s="95"/>
      <c r="Q406" s="95"/>
      <c r="S406" s="96"/>
      <c r="T406" s="95"/>
      <c r="W406" s="95"/>
      <c r="Y406" s="95"/>
    </row>
    <row r="407" customFormat="false" ht="15.75" hidden="false" customHeight="true" outlineLevel="0" collapsed="false">
      <c r="A407" s="94"/>
      <c r="D407" s="95"/>
      <c r="F407" s="95"/>
      <c r="G407" s="102"/>
      <c r="H407" s="102"/>
      <c r="I407" s="95"/>
      <c r="J407" s="102"/>
      <c r="K407" s="102"/>
      <c r="L407" s="95"/>
      <c r="O407" s="95"/>
      <c r="Q407" s="95"/>
      <c r="S407" s="96"/>
      <c r="T407" s="95"/>
      <c r="W407" s="95"/>
      <c r="Y407" s="95"/>
    </row>
    <row r="408" customFormat="false" ht="15.75" hidden="false" customHeight="true" outlineLevel="0" collapsed="false">
      <c r="A408" s="94"/>
      <c r="D408" s="95"/>
      <c r="F408" s="95"/>
      <c r="G408" s="102"/>
      <c r="H408" s="102"/>
      <c r="I408" s="95"/>
      <c r="J408" s="102"/>
      <c r="K408" s="102"/>
      <c r="L408" s="95"/>
      <c r="O408" s="95"/>
      <c r="Q408" s="95"/>
      <c r="S408" s="96"/>
      <c r="T408" s="95"/>
      <c r="W408" s="95"/>
      <c r="Y408" s="95"/>
    </row>
    <row r="409" customFormat="false" ht="15.75" hidden="false" customHeight="true" outlineLevel="0" collapsed="false">
      <c r="A409" s="94"/>
      <c r="D409" s="95"/>
      <c r="F409" s="95"/>
      <c r="G409" s="102"/>
      <c r="H409" s="102"/>
      <c r="I409" s="95"/>
      <c r="J409" s="102"/>
      <c r="K409" s="102"/>
      <c r="L409" s="95"/>
      <c r="O409" s="95"/>
      <c r="Q409" s="95"/>
      <c r="S409" s="96"/>
      <c r="T409" s="95"/>
      <c r="W409" s="95"/>
      <c r="Y409" s="95"/>
    </row>
    <row r="410" customFormat="false" ht="15.75" hidden="false" customHeight="true" outlineLevel="0" collapsed="false">
      <c r="A410" s="94"/>
      <c r="D410" s="95"/>
      <c r="F410" s="95"/>
      <c r="G410" s="102"/>
      <c r="H410" s="102"/>
      <c r="I410" s="95"/>
      <c r="J410" s="102"/>
      <c r="K410" s="102"/>
      <c r="L410" s="95"/>
      <c r="O410" s="95"/>
      <c r="Q410" s="95"/>
      <c r="S410" s="96"/>
      <c r="T410" s="95"/>
      <c r="W410" s="95"/>
      <c r="Y410" s="95"/>
    </row>
    <row r="411" customFormat="false" ht="15.75" hidden="false" customHeight="true" outlineLevel="0" collapsed="false">
      <c r="A411" s="94"/>
      <c r="D411" s="95"/>
      <c r="F411" s="95"/>
      <c r="G411" s="102"/>
      <c r="H411" s="102"/>
      <c r="I411" s="95"/>
      <c r="J411" s="102"/>
      <c r="K411" s="102"/>
      <c r="L411" s="95"/>
      <c r="O411" s="95"/>
      <c r="Q411" s="95"/>
      <c r="S411" s="96"/>
      <c r="T411" s="95"/>
      <c r="W411" s="95"/>
      <c r="Y411" s="95"/>
    </row>
    <row r="412" customFormat="false" ht="15.75" hidden="false" customHeight="true" outlineLevel="0" collapsed="false">
      <c r="A412" s="94"/>
      <c r="D412" s="95"/>
      <c r="F412" s="95"/>
      <c r="G412" s="102"/>
      <c r="H412" s="102"/>
      <c r="I412" s="95"/>
      <c r="J412" s="102"/>
      <c r="K412" s="102"/>
      <c r="L412" s="95"/>
      <c r="O412" s="95"/>
      <c r="Q412" s="95"/>
      <c r="S412" s="96"/>
      <c r="T412" s="95"/>
      <c r="W412" s="95"/>
      <c r="Y412" s="95"/>
    </row>
    <row r="413" customFormat="false" ht="15.75" hidden="false" customHeight="true" outlineLevel="0" collapsed="false">
      <c r="A413" s="94"/>
      <c r="D413" s="95"/>
      <c r="F413" s="95"/>
      <c r="G413" s="102"/>
      <c r="H413" s="102"/>
      <c r="I413" s="95"/>
      <c r="J413" s="102"/>
      <c r="K413" s="102"/>
      <c r="L413" s="95"/>
      <c r="O413" s="95"/>
      <c r="Q413" s="95"/>
      <c r="S413" s="96"/>
      <c r="T413" s="95"/>
      <c r="W413" s="95"/>
      <c r="Y413" s="95"/>
    </row>
    <row r="414" customFormat="false" ht="15.75" hidden="false" customHeight="true" outlineLevel="0" collapsed="false">
      <c r="A414" s="94"/>
      <c r="D414" s="95"/>
      <c r="F414" s="95"/>
      <c r="G414" s="102"/>
      <c r="H414" s="102"/>
      <c r="I414" s="95"/>
      <c r="J414" s="102"/>
      <c r="K414" s="102"/>
      <c r="L414" s="95"/>
      <c r="O414" s="95"/>
      <c r="Q414" s="95"/>
      <c r="S414" s="96"/>
      <c r="T414" s="95"/>
      <c r="W414" s="95"/>
      <c r="Y414" s="95"/>
    </row>
    <row r="415" customFormat="false" ht="15.75" hidden="false" customHeight="true" outlineLevel="0" collapsed="false">
      <c r="A415" s="94"/>
      <c r="D415" s="95"/>
      <c r="F415" s="95"/>
      <c r="G415" s="102"/>
      <c r="H415" s="102"/>
      <c r="I415" s="95"/>
      <c r="J415" s="102"/>
      <c r="K415" s="102"/>
      <c r="L415" s="95"/>
      <c r="O415" s="95"/>
      <c r="Q415" s="95"/>
      <c r="S415" s="96"/>
      <c r="T415" s="95"/>
      <c r="W415" s="95"/>
      <c r="Y415" s="95"/>
    </row>
    <row r="416" customFormat="false" ht="15.75" hidden="false" customHeight="true" outlineLevel="0" collapsed="false">
      <c r="A416" s="94"/>
      <c r="D416" s="95"/>
      <c r="F416" s="95"/>
      <c r="G416" s="102"/>
      <c r="H416" s="102"/>
      <c r="I416" s="95"/>
      <c r="J416" s="102"/>
      <c r="K416" s="102"/>
      <c r="L416" s="95"/>
      <c r="O416" s="95"/>
      <c r="Q416" s="95"/>
      <c r="S416" s="96"/>
      <c r="T416" s="95"/>
      <c r="W416" s="95"/>
      <c r="Y416" s="95"/>
    </row>
    <row r="417" customFormat="false" ht="15.75" hidden="false" customHeight="true" outlineLevel="0" collapsed="false">
      <c r="A417" s="94"/>
      <c r="D417" s="95"/>
      <c r="F417" s="95"/>
      <c r="G417" s="102"/>
      <c r="H417" s="102"/>
      <c r="I417" s="95"/>
      <c r="J417" s="102"/>
      <c r="K417" s="102"/>
      <c r="L417" s="95"/>
      <c r="O417" s="95"/>
      <c r="Q417" s="95"/>
      <c r="S417" s="96"/>
      <c r="T417" s="95"/>
      <c r="W417" s="95"/>
      <c r="Y417" s="95"/>
    </row>
    <row r="418" customFormat="false" ht="15.75" hidden="false" customHeight="true" outlineLevel="0" collapsed="false">
      <c r="A418" s="94"/>
      <c r="D418" s="95"/>
      <c r="F418" s="95"/>
      <c r="G418" s="102"/>
      <c r="H418" s="102"/>
      <c r="I418" s="95"/>
      <c r="J418" s="102"/>
      <c r="K418" s="102"/>
      <c r="L418" s="95"/>
      <c r="O418" s="95"/>
      <c r="Q418" s="95"/>
      <c r="S418" s="96"/>
      <c r="T418" s="95"/>
      <c r="W418" s="95"/>
      <c r="Y418" s="95"/>
    </row>
    <row r="419" customFormat="false" ht="15.75" hidden="false" customHeight="true" outlineLevel="0" collapsed="false">
      <c r="A419" s="94"/>
      <c r="D419" s="95"/>
      <c r="F419" s="95"/>
      <c r="G419" s="102"/>
      <c r="H419" s="102"/>
      <c r="I419" s="95"/>
      <c r="J419" s="102"/>
      <c r="K419" s="102"/>
      <c r="L419" s="95"/>
      <c r="O419" s="95"/>
      <c r="Q419" s="95"/>
      <c r="S419" s="96"/>
      <c r="T419" s="95"/>
      <c r="W419" s="95"/>
      <c r="Y419" s="95"/>
    </row>
    <row r="420" customFormat="false" ht="15.75" hidden="false" customHeight="true" outlineLevel="0" collapsed="false">
      <c r="A420" s="94"/>
      <c r="D420" s="95"/>
      <c r="F420" s="95"/>
      <c r="G420" s="102"/>
      <c r="H420" s="102"/>
      <c r="I420" s="95"/>
      <c r="J420" s="102"/>
      <c r="K420" s="102"/>
      <c r="L420" s="95"/>
      <c r="O420" s="95"/>
      <c r="Q420" s="95"/>
      <c r="S420" s="96"/>
      <c r="T420" s="95"/>
      <c r="W420" s="95"/>
      <c r="Y420" s="95"/>
    </row>
    <row r="421" customFormat="false" ht="15.75" hidden="false" customHeight="true" outlineLevel="0" collapsed="false">
      <c r="A421" s="94"/>
      <c r="D421" s="95"/>
      <c r="F421" s="95"/>
      <c r="G421" s="102"/>
      <c r="H421" s="102"/>
      <c r="I421" s="95"/>
      <c r="J421" s="102"/>
      <c r="K421" s="102"/>
      <c r="L421" s="95"/>
      <c r="O421" s="95"/>
      <c r="Q421" s="95"/>
      <c r="S421" s="96"/>
      <c r="T421" s="95"/>
      <c r="W421" s="95"/>
      <c r="Y421" s="95"/>
    </row>
    <row r="422" customFormat="false" ht="15.75" hidden="false" customHeight="true" outlineLevel="0" collapsed="false">
      <c r="A422" s="94"/>
      <c r="D422" s="95"/>
      <c r="F422" s="95"/>
      <c r="G422" s="102"/>
      <c r="H422" s="102"/>
      <c r="I422" s="95"/>
      <c r="J422" s="102"/>
      <c r="K422" s="102"/>
      <c r="L422" s="95"/>
      <c r="O422" s="95"/>
      <c r="Q422" s="95"/>
      <c r="S422" s="96"/>
      <c r="T422" s="95"/>
      <c r="W422" s="95"/>
      <c r="Y422" s="95"/>
    </row>
    <row r="423" customFormat="false" ht="15.75" hidden="false" customHeight="true" outlineLevel="0" collapsed="false">
      <c r="A423" s="94"/>
      <c r="D423" s="95"/>
      <c r="F423" s="95"/>
      <c r="G423" s="102"/>
      <c r="H423" s="102"/>
      <c r="I423" s="95"/>
      <c r="J423" s="102"/>
      <c r="K423" s="102"/>
      <c r="L423" s="95"/>
      <c r="O423" s="95"/>
      <c r="Q423" s="95"/>
      <c r="S423" s="96"/>
      <c r="T423" s="95"/>
      <c r="W423" s="95"/>
      <c r="Y423" s="95"/>
    </row>
    <row r="424" customFormat="false" ht="15.75" hidden="false" customHeight="true" outlineLevel="0" collapsed="false">
      <c r="A424" s="94"/>
      <c r="D424" s="95"/>
      <c r="F424" s="95"/>
      <c r="G424" s="102"/>
      <c r="H424" s="102"/>
      <c r="I424" s="95"/>
      <c r="J424" s="102"/>
      <c r="K424" s="102"/>
      <c r="L424" s="95"/>
      <c r="O424" s="95"/>
      <c r="Q424" s="95"/>
      <c r="S424" s="96"/>
      <c r="T424" s="95"/>
      <c r="W424" s="95"/>
      <c r="Y424" s="95"/>
    </row>
    <row r="425" customFormat="false" ht="15.75" hidden="false" customHeight="true" outlineLevel="0" collapsed="false">
      <c r="A425" s="94"/>
      <c r="D425" s="95"/>
      <c r="F425" s="95"/>
      <c r="G425" s="102"/>
      <c r="H425" s="102"/>
      <c r="I425" s="95"/>
      <c r="J425" s="102"/>
      <c r="K425" s="102"/>
      <c r="L425" s="95"/>
      <c r="O425" s="95"/>
      <c r="Q425" s="95"/>
      <c r="S425" s="96"/>
      <c r="T425" s="95"/>
      <c r="W425" s="95"/>
      <c r="Y425" s="95"/>
    </row>
    <row r="426" customFormat="false" ht="15.75" hidden="false" customHeight="true" outlineLevel="0" collapsed="false">
      <c r="A426" s="94"/>
      <c r="D426" s="95"/>
      <c r="F426" s="95"/>
      <c r="G426" s="102"/>
      <c r="H426" s="102"/>
      <c r="I426" s="95"/>
      <c r="J426" s="102"/>
      <c r="K426" s="102"/>
      <c r="L426" s="95"/>
      <c r="O426" s="95"/>
      <c r="Q426" s="95"/>
      <c r="S426" s="96"/>
      <c r="T426" s="95"/>
      <c r="W426" s="95"/>
      <c r="Y426" s="95"/>
    </row>
    <row r="427" customFormat="false" ht="15.75" hidden="false" customHeight="true" outlineLevel="0" collapsed="false">
      <c r="A427" s="94"/>
      <c r="D427" s="95"/>
      <c r="F427" s="95"/>
      <c r="G427" s="102"/>
      <c r="H427" s="102"/>
      <c r="I427" s="95"/>
      <c r="J427" s="102"/>
      <c r="K427" s="102"/>
      <c r="L427" s="95"/>
      <c r="O427" s="95"/>
      <c r="Q427" s="95"/>
      <c r="S427" s="96"/>
      <c r="T427" s="95"/>
      <c r="W427" s="95"/>
      <c r="Y427" s="95"/>
    </row>
    <row r="428" customFormat="false" ht="15.75" hidden="false" customHeight="true" outlineLevel="0" collapsed="false">
      <c r="A428" s="94"/>
      <c r="D428" s="95"/>
      <c r="F428" s="95"/>
      <c r="G428" s="102"/>
      <c r="H428" s="102"/>
      <c r="I428" s="95"/>
      <c r="J428" s="102"/>
      <c r="K428" s="102"/>
      <c r="L428" s="95"/>
      <c r="O428" s="95"/>
      <c r="Q428" s="95"/>
      <c r="S428" s="96"/>
      <c r="T428" s="95"/>
      <c r="W428" s="95"/>
      <c r="Y428" s="95"/>
    </row>
    <row r="429" customFormat="false" ht="15.75" hidden="false" customHeight="true" outlineLevel="0" collapsed="false">
      <c r="A429" s="94"/>
      <c r="D429" s="95"/>
      <c r="F429" s="95"/>
      <c r="G429" s="102"/>
      <c r="H429" s="102"/>
      <c r="I429" s="95"/>
      <c r="J429" s="102"/>
      <c r="K429" s="102"/>
      <c r="L429" s="95"/>
      <c r="O429" s="95"/>
      <c r="Q429" s="95"/>
      <c r="S429" s="96"/>
      <c r="T429" s="95"/>
      <c r="W429" s="95"/>
      <c r="Y429" s="95"/>
    </row>
    <row r="430" customFormat="false" ht="15.75" hidden="false" customHeight="true" outlineLevel="0" collapsed="false">
      <c r="A430" s="94"/>
      <c r="D430" s="95"/>
      <c r="F430" s="95"/>
      <c r="G430" s="102"/>
      <c r="H430" s="102"/>
      <c r="I430" s="95"/>
      <c r="J430" s="102"/>
      <c r="K430" s="102"/>
      <c r="L430" s="95"/>
      <c r="O430" s="95"/>
      <c r="Q430" s="95"/>
      <c r="S430" s="96"/>
      <c r="T430" s="95"/>
      <c r="W430" s="95"/>
      <c r="Y430" s="95"/>
    </row>
    <row r="431" customFormat="false" ht="15.75" hidden="false" customHeight="true" outlineLevel="0" collapsed="false">
      <c r="A431" s="94"/>
      <c r="D431" s="95"/>
      <c r="F431" s="95"/>
      <c r="G431" s="102"/>
      <c r="H431" s="102"/>
      <c r="I431" s="95"/>
      <c r="J431" s="102"/>
      <c r="K431" s="102"/>
      <c r="L431" s="95"/>
      <c r="O431" s="95"/>
      <c r="Q431" s="95"/>
      <c r="S431" s="96"/>
      <c r="T431" s="95"/>
      <c r="W431" s="95"/>
      <c r="Y431" s="95"/>
    </row>
    <row r="432" customFormat="false" ht="15.75" hidden="false" customHeight="true" outlineLevel="0" collapsed="false">
      <c r="A432" s="94"/>
      <c r="D432" s="95"/>
      <c r="F432" s="95"/>
      <c r="G432" s="102"/>
      <c r="H432" s="102"/>
      <c r="I432" s="95"/>
      <c r="J432" s="102"/>
      <c r="K432" s="102"/>
      <c r="L432" s="95"/>
      <c r="O432" s="95"/>
      <c r="Q432" s="95"/>
      <c r="S432" s="96"/>
      <c r="T432" s="95"/>
      <c r="W432" s="95"/>
      <c r="Y432" s="95"/>
    </row>
    <row r="433" customFormat="false" ht="15.75" hidden="false" customHeight="true" outlineLevel="0" collapsed="false">
      <c r="A433" s="94"/>
      <c r="D433" s="95"/>
      <c r="F433" s="95"/>
      <c r="G433" s="102"/>
      <c r="H433" s="102"/>
      <c r="I433" s="95"/>
      <c r="J433" s="102"/>
      <c r="K433" s="102"/>
      <c r="L433" s="95"/>
      <c r="O433" s="95"/>
      <c r="Q433" s="95"/>
      <c r="S433" s="96"/>
      <c r="T433" s="95"/>
      <c r="W433" s="95"/>
      <c r="Y433" s="95"/>
    </row>
    <row r="434" customFormat="false" ht="15.75" hidden="false" customHeight="true" outlineLevel="0" collapsed="false">
      <c r="A434" s="94"/>
      <c r="D434" s="95"/>
      <c r="F434" s="95"/>
      <c r="G434" s="102"/>
      <c r="H434" s="102"/>
      <c r="I434" s="95"/>
      <c r="J434" s="102"/>
      <c r="K434" s="102"/>
      <c r="L434" s="95"/>
      <c r="O434" s="95"/>
      <c r="Q434" s="95"/>
      <c r="S434" s="96"/>
      <c r="T434" s="95"/>
      <c r="W434" s="95"/>
      <c r="Y434" s="95"/>
    </row>
    <row r="435" customFormat="false" ht="15.75" hidden="false" customHeight="true" outlineLevel="0" collapsed="false">
      <c r="A435" s="94"/>
      <c r="D435" s="95"/>
      <c r="F435" s="95"/>
      <c r="G435" s="102"/>
      <c r="H435" s="102"/>
      <c r="I435" s="95"/>
      <c r="J435" s="102"/>
      <c r="K435" s="102"/>
      <c r="L435" s="95"/>
      <c r="O435" s="95"/>
      <c r="Q435" s="95"/>
      <c r="S435" s="96"/>
      <c r="T435" s="95"/>
      <c r="W435" s="95"/>
      <c r="Y435" s="95"/>
    </row>
    <row r="436" customFormat="false" ht="15.75" hidden="false" customHeight="true" outlineLevel="0" collapsed="false">
      <c r="A436" s="94"/>
      <c r="D436" s="95"/>
      <c r="F436" s="95"/>
      <c r="G436" s="102"/>
      <c r="H436" s="102"/>
      <c r="I436" s="95"/>
      <c r="J436" s="102"/>
      <c r="K436" s="102"/>
      <c r="L436" s="95"/>
      <c r="O436" s="95"/>
      <c r="Q436" s="95"/>
      <c r="S436" s="96"/>
      <c r="T436" s="95"/>
      <c r="W436" s="95"/>
      <c r="Y436" s="95"/>
    </row>
    <row r="437" customFormat="false" ht="15.75" hidden="false" customHeight="true" outlineLevel="0" collapsed="false">
      <c r="A437" s="94"/>
      <c r="D437" s="95"/>
      <c r="F437" s="95"/>
      <c r="G437" s="102"/>
      <c r="H437" s="102"/>
      <c r="I437" s="95"/>
      <c r="J437" s="102"/>
      <c r="K437" s="102"/>
      <c r="L437" s="95"/>
      <c r="O437" s="95"/>
      <c r="Q437" s="95"/>
      <c r="S437" s="96"/>
      <c r="T437" s="95"/>
      <c r="W437" s="95"/>
      <c r="Y437" s="95"/>
    </row>
    <row r="438" customFormat="false" ht="15.75" hidden="false" customHeight="true" outlineLevel="0" collapsed="false">
      <c r="A438" s="94"/>
      <c r="D438" s="95"/>
      <c r="F438" s="95"/>
      <c r="G438" s="102"/>
      <c r="H438" s="102"/>
      <c r="I438" s="95"/>
      <c r="J438" s="102"/>
      <c r="K438" s="102"/>
      <c r="L438" s="95"/>
      <c r="O438" s="95"/>
      <c r="Q438" s="95"/>
      <c r="S438" s="96"/>
      <c r="T438" s="95"/>
      <c r="W438" s="95"/>
      <c r="Y438" s="95"/>
    </row>
    <row r="439" customFormat="false" ht="15.75" hidden="false" customHeight="true" outlineLevel="0" collapsed="false">
      <c r="A439" s="94"/>
      <c r="D439" s="95"/>
      <c r="F439" s="95"/>
      <c r="G439" s="102"/>
      <c r="H439" s="102"/>
      <c r="I439" s="95"/>
      <c r="J439" s="102"/>
      <c r="K439" s="102"/>
      <c r="L439" s="95"/>
      <c r="O439" s="95"/>
      <c r="Q439" s="95"/>
      <c r="S439" s="96"/>
      <c r="T439" s="95"/>
      <c r="W439" s="95"/>
      <c r="Y439" s="95"/>
    </row>
    <row r="440" customFormat="false" ht="15.75" hidden="false" customHeight="true" outlineLevel="0" collapsed="false">
      <c r="A440" s="94"/>
      <c r="D440" s="95"/>
      <c r="F440" s="95"/>
      <c r="G440" s="102"/>
      <c r="H440" s="102"/>
      <c r="I440" s="95"/>
      <c r="J440" s="102"/>
      <c r="K440" s="102"/>
      <c r="L440" s="95"/>
      <c r="O440" s="95"/>
      <c r="Q440" s="95"/>
      <c r="S440" s="96"/>
      <c r="T440" s="95"/>
      <c r="W440" s="95"/>
      <c r="Y440" s="95"/>
    </row>
    <row r="441" customFormat="false" ht="15.75" hidden="false" customHeight="true" outlineLevel="0" collapsed="false">
      <c r="A441" s="94"/>
      <c r="D441" s="95"/>
      <c r="F441" s="95"/>
      <c r="G441" s="102"/>
      <c r="H441" s="102"/>
      <c r="I441" s="95"/>
      <c r="J441" s="102"/>
      <c r="K441" s="102"/>
      <c r="L441" s="95"/>
      <c r="O441" s="95"/>
      <c r="Q441" s="95"/>
      <c r="S441" s="96"/>
      <c r="T441" s="95"/>
      <c r="W441" s="95"/>
      <c r="Y441" s="95"/>
    </row>
    <row r="442" customFormat="false" ht="15.75" hidden="false" customHeight="true" outlineLevel="0" collapsed="false">
      <c r="A442" s="94"/>
      <c r="D442" s="95"/>
      <c r="F442" s="95"/>
      <c r="G442" s="102"/>
      <c r="H442" s="102"/>
      <c r="I442" s="95"/>
      <c r="J442" s="102"/>
      <c r="K442" s="102"/>
      <c r="L442" s="95"/>
      <c r="O442" s="95"/>
      <c r="Q442" s="95"/>
      <c r="S442" s="96"/>
      <c r="T442" s="95"/>
      <c r="W442" s="95"/>
      <c r="Y442" s="95"/>
    </row>
    <row r="443" customFormat="false" ht="15.75" hidden="false" customHeight="true" outlineLevel="0" collapsed="false">
      <c r="A443" s="94"/>
      <c r="D443" s="95"/>
      <c r="F443" s="95"/>
      <c r="G443" s="102"/>
      <c r="H443" s="102"/>
      <c r="I443" s="95"/>
      <c r="J443" s="102"/>
      <c r="K443" s="102"/>
      <c r="L443" s="95"/>
      <c r="O443" s="95"/>
      <c r="Q443" s="95"/>
      <c r="S443" s="96"/>
      <c r="T443" s="95"/>
      <c r="W443" s="95"/>
      <c r="Y443" s="95"/>
    </row>
    <row r="444" customFormat="false" ht="15.75" hidden="false" customHeight="true" outlineLevel="0" collapsed="false">
      <c r="A444" s="94"/>
      <c r="D444" s="95"/>
      <c r="F444" s="95"/>
      <c r="G444" s="102"/>
      <c r="H444" s="102"/>
      <c r="I444" s="95"/>
      <c r="J444" s="102"/>
      <c r="K444" s="102"/>
      <c r="L444" s="95"/>
      <c r="O444" s="95"/>
      <c r="Q444" s="95"/>
      <c r="S444" s="96"/>
      <c r="T444" s="95"/>
      <c r="W444" s="95"/>
      <c r="Y444" s="95"/>
    </row>
    <row r="445" customFormat="false" ht="15.75" hidden="false" customHeight="true" outlineLevel="0" collapsed="false">
      <c r="A445" s="94"/>
      <c r="D445" s="95"/>
      <c r="F445" s="95"/>
      <c r="G445" s="102"/>
      <c r="H445" s="102"/>
      <c r="I445" s="95"/>
      <c r="J445" s="102"/>
      <c r="K445" s="102"/>
      <c r="L445" s="95"/>
      <c r="O445" s="95"/>
      <c r="Q445" s="95"/>
      <c r="S445" s="96"/>
      <c r="T445" s="95"/>
      <c r="W445" s="95"/>
      <c r="Y445" s="95"/>
    </row>
    <row r="446" customFormat="false" ht="15.75" hidden="false" customHeight="true" outlineLevel="0" collapsed="false">
      <c r="A446" s="94"/>
      <c r="D446" s="95"/>
      <c r="F446" s="95"/>
      <c r="G446" s="102"/>
      <c r="H446" s="102"/>
      <c r="I446" s="95"/>
      <c r="J446" s="102"/>
      <c r="K446" s="102"/>
      <c r="L446" s="95"/>
      <c r="O446" s="95"/>
      <c r="Q446" s="95"/>
      <c r="S446" s="96"/>
      <c r="T446" s="95"/>
      <c r="W446" s="95"/>
      <c r="Y446" s="95"/>
    </row>
    <row r="447" customFormat="false" ht="15.75" hidden="false" customHeight="true" outlineLevel="0" collapsed="false">
      <c r="A447" s="94"/>
      <c r="D447" s="95"/>
      <c r="F447" s="95"/>
      <c r="G447" s="102"/>
      <c r="H447" s="102"/>
      <c r="I447" s="95"/>
      <c r="J447" s="102"/>
      <c r="K447" s="102"/>
      <c r="L447" s="95"/>
      <c r="O447" s="95"/>
      <c r="Q447" s="95"/>
      <c r="S447" s="96"/>
      <c r="T447" s="95"/>
      <c r="W447" s="95"/>
      <c r="Y447" s="95"/>
    </row>
    <row r="448" customFormat="false" ht="15.75" hidden="false" customHeight="true" outlineLevel="0" collapsed="false">
      <c r="A448" s="94"/>
      <c r="D448" s="95"/>
      <c r="F448" s="95"/>
      <c r="G448" s="102"/>
      <c r="H448" s="102"/>
      <c r="I448" s="95"/>
      <c r="J448" s="102"/>
      <c r="K448" s="102"/>
      <c r="L448" s="95"/>
      <c r="O448" s="95"/>
      <c r="Q448" s="95"/>
      <c r="S448" s="96"/>
      <c r="T448" s="95"/>
      <c r="W448" s="95"/>
      <c r="Y448" s="95"/>
    </row>
    <row r="449" customFormat="false" ht="15.75" hidden="false" customHeight="true" outlineLevel="0" collapsed="false">
      <c r="A449" s="94"/>
      <c r="D449" s="95"/>
      <c r="F449" s="95"/>
      <c r="G449" s="102"/>
      <c r="H449" s="102"/>
      <c r="I449" s="95"/>
      <c r="J449" s="102"/>
      <c r="K449" s="102"/>
      <c r="L449" s="95"/>
      <c r="O449" s="95"/>
      <c r="Q449" s="95"/>
      <c r="S449" s="96"/>
      <c r="T449" s="95"/>
      <c r="W449" s="95"/>
      <c r="Y449" s="95"/>
    </row>
    <row r="450" customFormat="false" ht="15.75" hidden="false" customHeight="true" outlineLevel="0" collapsed="false">
      <c r="A450" s="94"/>
      <c r="D450" s="95"/>
      <c r="F450" s="95"/>
      <c r="G450" s="102"/>
      <c r="H450" s="102"/>
      <c r="I450" s="95"/>
      <c r="J450" s="102"/>
      <c r="K450" s="102"/>
      <c r="L450" s="95"/>
      <c r="O450" s="95"/>
      <c r="Q450" s="95"/>
      <c r="S450" s="96"/>
      <c r="T450" s="95"/>
      <c r="W450" s="95"/>
      <c r="Y450" s="95"/>
    </row>
    <row r="451" customFormat="false" ht="15.75" hidden="false" customHeight="true" outlineLevel="0" collapsed="false">
      <c r="A451" s="94"/>
      <c r="D451" s="95"/>
      <c r="F451" s="95"/>
      <c r="G451" s="102"/>
      <c r="H451" s="102"/>
      <c r="I451" s="95"/>
      <c r="J451" s="102"/>
      <c r="K451" s="102"/>
      <c r="L451" s="95"/>
      <c r="O451" s="95"/>
      <c r="Q451" s="95"/>
      <c r="S451" s="96"/>
      <c r="T451" s="95"/>
      <c r="W451" s="95"/>
      <c r="Y451" s="95"/>
    </row>
    <row r="452" customFormat="false" ht="15.75" hidden="false" customHeight="true" outlineLevel="0" collapsed="false">
      <c r="A452" s="94"/>
      <c r="D452" s="95"/>
      <c r="F452" s="95"/>
      <c r="G452" s="102"/>
      <c r="H452" s="102"/>
      <c r="I452" s="95"/>
      <c r="J452" s="102"/>
      <c r="K452" s="102"/>
      <c r="L452" s="95"/>
      <c r="O452" s="95"/>
      <c r="Q452" s="95"/>
      <c r="S452" s="96"/>
      <c r="T452" s="95"/>
      <c r="W452" s="95"/>
      <c r="Y452" s="95"/>
    </row>
    <row r="453" customFormat="false" ht="15.75" hidden="false" customHeight="true" outlineLevel="0" collapsed="false">
      <c r="A453" s="94"/>
      <c r="D453" s="95"/>
      <c r="F453" s="95"/>
      <c r="G453" s="102"/>
      <c r="H453" s="102"/>
      <c r="I453" s="95"/>
      <c r="J453" s="102"/>
      <c r="K453" s="102"/>
      <c r="L453" s="95"/>
      <c r="O453" s="95"/>
      <c r="Q453" s="95"/>
      <c r="S453" s="96"/>
      <c r="T453" s="95"/>
      <c r="W453" s="95"/>
      <c r="Y453" s="95"/>
    </row>
    <row r="454" customFormat="false" ht="15.75" hidden="false" customHeight="true" outlineLevel="0" collapsed="false">
      <c r="A454" s="94"/>
      <c r="D454" s="95"/>
      <c r="F454" s="95"/>
      <c r="G454" s="102"/>
      <c r="H454" s="102"/>
      <c r="I454" s="95"/>
      <c r="J454" s="102"/>
      <c r="K454" s="102"/>
      <c r="L454" s="95"/>
      <c r="O454" s="95"/>
      <c r="Q454" s="95"/>
      <c r="S454" s="96"/>
      <c r="T454" s="95"/>
      <c r="W454" s="95"/>
      <c r="Y454" s="95"/>
    </row>
    <row r="455" customFormat="false" ht="15.75" hidden="false" customHeight="true" outlineLevel="0" collapsed="false">
      <c r="A455" s="94"/>
      <c r="D455" s="95"/>
      <c r="F455" s="95"/>
      <c r="G455" s="102"/>
      <c r="H455" s="102"/>
      <c r="I455" s="95"/>
      <c r="J455" s="102"/>
      <c r="K455" s="102"/>
      <c r="L455" s="95"/>
      <c r="O455" s="95"/>
      <c r="Q455" s="95"/>
      <c r="S455" s="96"/>
      <c r="T455" s="95"/>
      <c r="W455" s="95"/>
      <c r="Y455" s="95"/>
    </row>
    <row r="456" customFormat="false" ht="15.75" hidden="false" customHeight="true" outlineLevel="0" collapsed="false">
      <c r="A456" s="94"/>
      <c r="D456" s="95"/>
      <c r="F456" s="95"/>
      <c r="G456" s="102"/>
      <c r="H456" s="102"/>
      <c r="I456" s="95"/>
      <c r="J456" s="102"/>
      <c r="K456" s="102"/>
      <c r="L456" s="95"/>
      <c r="O456" s="95"/>
      <c r="Q456" s="95"/>
      <c r="S456" s="96"/>
      <c r="T456" s="95"/>
      <c r="W456" s="95"/>
      <c r="Y456" s="95"/>
    </row>
    <row r="457" customFormat="false" ht="15.75" hidden="false" customHeight="true" outlineLevel="0" collapsed="false">
      <c r="A457" s="94"/>
      <c r="D457" s="95"/>
      <c r="F457" s="95"/>
      <c r="G457" s="102"/>
      <c r="H457" s="102"/>
      <c r="I457" s="95"/>
      <c r="J457" s="102"/>
      <c r="K457" s="102"/>
      <c r="L457" s="95"/>
      <c r="O457" s="95"/>
      <c r="Q457" s="95"/>
      <c r="S457" s="96"/>
      <c r="T457" s="95"/>
      <c r="W457" s="95"/>
      <c r="Y457" s="95"/>
    </row>
    <row r="458" customFormat="false" ht="15.75" hidden="false" customHeight="true" outlineLevel="0" collapsed="false">
      <c r="A458" s="94"/>
      <c r="D458" s="95"/>
      <c r="F458" s="95"/>
      <c r="G458" s="102"/>
      <c r="H458" s="102"/>
      <c r="I458" s="95"/>
      <c r="J458" s="102"/>
      <c r="K458" s="102"/>
      <c r="L458" s="95"/>
      <c r="O458" s="95"/>
      <c r="Q458" s="95"/>
      <c r="S458" s="96"/>
      <c r="T458" s="95"/>
      <c r="W458" s="95"/>
      <c r="Y458" s="95"/>
    </row>
    <row r="459" customFormat="false" ht="15.75" hidden="false" customHeight="true" outlineLevel="0" collapsed="false">
      <c r="A459" s="94"/>
      <c r="D459" s="95"/>
      <c r="F459" s="95"/>
      <c r="G459" s="102"/>
      <c r="H459" s="102"/>
      <c r="I459" s="95"/>
      <c r="J459" s="102"/>
      <c r="K459" s="102"/>
      <c r="L459" s="95"/>
      <c r="O459" s="95"/>
      <c r="Q459" s="95"/>
      <c r="S459" s="96"/>
      <c r="T459" s="95"/>
      <c r="W459" s="95"/>
      <c r="Y459" s="95"/>
    </row>
    <row r="460" customFormat="false" ht="15.75" hidden="false" customHeight="true" outlineLevel="0" collapsed="false">
      <c r="A460" s="94"/>
      <c r="D460" s="95"/>
      <c r="F460" s="95"/>
      <c r="G460" s="102"/>
      <c r="H460" s="102"/>
      <c r="I460" s="95"/>
      <c r="J460" s="102"/>
      <c r="K460" s="102"/>
      <c r="L460" s="95"/>
      <c r="O460" s="95"/>
      <c r="Q460" s="95"/>
      <c r="S460" s="96"/>
      <c r="T460" s="95"/>
      <c r="W460" s="95"/>
      <c r="Y460" s="95"/>
    </row>
    <row r="461" customFormat="false" ht="15.75" hidden="false" customHeight="true" outlineLevel="0" collapsed="false">
      <c r="A461" s="94"/>
      <c r="D461" s="95"/>
      <c r="F461" s="95"/>
      <c r="G461" s="102"/>
      <c r="H461" s="102"/>
      <c r="I461" s="95"/>
      <c r="J461" s="102"/>
      <c r="K461" s="102"/>
      <c r="L461" s="95"/>
      <c r="O461" s="95"/>
      <c r="Q461" s="95"/>
      <c r="S461" s="96"/>
      <c r="T461" s="95"/>
      <c r="W461" s="95"/>
      <c r="Y461" s="95"/>
    </row>
    <row r="462" customFormat="false" ht="15.75" hidden="false" customHeight="true" outlineLevel="0" collapsed="false">
      <c r="A462" s="94"/>
      <c r="D462" s="95"/>
      <c r="F462" s="95"/>
      <c r="G462" s="102"/>
      <c r="H462" s="102"/>
      <c r="I462" s="95"/>
      <c r="J462" s="102"/>
      <c r="K462" s="102"/>
      <c r="L462" s="95"/>
      <c r="O462" s="95"/>
      <c r="Q462" s="95"/>
      <c r="S462" s="96"/>
      <c r="T462" s="95"/>
      <c r="W462" s="95"/>
      <c r="Y462" s="95"/>
    </row>
    <row r="463" customFormat="false" ht="15.75" hidden="false" customHeight="true" outlineLevel="0" collapsed="false">
      <c r="A463" s="94"/>
      <c r="D463" s="95"/>
      <c r="F463" s="95"/>
      <c r="G463" s="102"/>
      <c r="H463" s="102"/>
      <c r="I463" s="95"/>
      <c r="J463" s="102"/>
      <c r="K463" s="102"/>
      <c r="L463" s="95"/>
      <c r="O463" s="95"/>
      <c r="Q463" s="95"/>
      <c r="S463" s="96"/>
      <c r="T463" s="95"/>
      <c r="W463" s="95"/>
      <c r="Y463" s="95"/>
    </row>
    <row r="464" customFormat="false" ht="15.75" hidden="false" customHeight="true" outlineLevel="0" collapsed="false">
      <c r="A464" s="94"/>
      <c r="D464" s="95"/>
      <c r="F464" s="95"/>
      <c r="G464" s="102"/>
      <c r="H464" s="102"/>
      <c r="I464" s="95"/>
      <c r="J464" s="102"/>
      <c r="K464" s="102"/>
      <c r="L464" s="95"/>
      <c r="O464" s="95"/>
      <c r="Q464" s="95"/>
      <c r="S464" s="96"/>
      <c r="T464" s="95"/>
      <c r="W464" s="95"/>
      <c r="Y464" s="95"/>
    </row>
    <row r="465" customFormat="false" ht="15.75" hidden="false" customHeight="true" outlineLevel="0" collapsed="false">
      <c r="A465" s="94"/>
      <c r="D465" s="95"/>
      <c r="F465" s="95"/>
      <c r="G465" s="102"/>
      <c r="H465" s="102"/>
      <c r="I465" s="95"/>
      <c r="J465" s="102"/>
      <c r="K465" s="102"/>
      <c r="L465" s="95"/>
      <c r="O465" s="95"/>
      <c r="Q465" s="95"/>
      <c r="S465" s="96"/>
      <c r="T465" s="95"/>
      <c r="W465" s="95"/>
      <c r="Y465" s="95"/>
    </row>
    <row r="466" customFormat="false" ht="15.75" hidden="false" customHeight="true" outlineLevel="0" collapsed="false">
      <c r="A466" s="94"/>
      <c r="D466" s="95"/>
      <c r="F466" s="95"/>
      <c r="G466" s="102"/>
      <c r="H466" s="102"/>
      <c r="I466" s="95"/>
      <c r="J466" s="102"/>
      <c r="K466" s="102"/>
      <c r="L466" s="95"/>
      <c r="O466" s="95"/>
      <c r="Q466" s="95"/>
      <c r="S466" s="96"/>
      <c r="T466" s="95"/>
      <c r="W466" s="95"/>
      <c r="Y466" s="95"/>
    </row>
    <row r="467" customFormat="false" ht="15.75" hidden="false" customHeight="true" outlineLevel="0" collapsed="false">
      <c r="A467" s="94"/>
      <c r="D467" s="95"/>
      <c r="F467" s="95"/>
      <c r="G467" s="102"/>
      <c r="H467" s="102"/>
      <c r="I467" s="95"/>
      <c r="J467" s="102"/>
      <c r="K467" s="102"/>
      <c r="L467" s="95"/>
      <c r="O467" s="95"/>
      <c r="Q467" s="95"/>
      <c r="S467" s="96"/>
      <c r="T467" s="95"/>
      <c r="W467" s="95"/>
      <c r="Y467" s="95"/>
    </row>
    <row r="468" customFormat="false" ht="15.75" hidden="false" customHeight="true" outlineLevel="0" collapsed="false">
      <c r="A468" s="94"/>
      <c r="D468" s="95"/>
      <c r="F468" s="95"/>
      <c r="G468" s="102"/>
      <c r="H468" s="102"/>
      <c r="I468" s="95"/>
      <c r="J468" s="102"/>
      <c r="K468" s="102"/>
      <c r="L468" s="95"/>
      <c r="O468" s="95"/>
      <c r="Q468" s="95"/>
      <c r="S468" s="96"/>
      <c r="T468" s="95"/>
      <c r="W468" s="95"/>
      <c r="Y468" s="95"/>
    </row>
    <row r="469" customFormat="false" ht="15.75" hidden="false" customHeight="true" outlineLevel="0" collapsed="false">
      <c r="A469" s="94"/>
      <c r="D469" s="95"/>
      <c r="F469" s="95"/>
      <c r="G469" s="102"/>
      <c r="H469" s="102"/>
      <c r="I469" s="95"/>
      <c r="J469" s="102"/>
      <c r="K469" s="102"/>
      <c r="L469" s="95"/>
      <c r="O469" s="95"/>
      <c r="Q469" s="95"/>
      <c r="S469" s="96"/>
      <c r="T469" s="95"/>
      <c r="W469" s="95"/>
      <c r="Y469" s="95"/>
    </row>
    <row r="470" customFormat="false" ht="15.75" hidden="false" customHeight="true" outlineLevel="0" collapsed="false">
      <c r="A470" s="94"/>
      <c r="D470" s="95"/>
      <c r="F470" s="95"/>
      <c r="G470" s="102"/>
      <c r="H470" s="102"/>
      <c r="I470" s="95"/>
      <c r="J470" s="102"/>
      <c r="K470" s="102"/>
      <c r="L470" s="95"/>
      <c r="O470" s="95"/>
      <c r="Q470" s="95"/>
      <c r="S470" s="96"/>
      <c r="T470" s="95"/>
      <c r="W470" s="95"/>
      <c r="Y470" s="95"/>
    </row>
    <row r="471" customFormat="false" ht="15.75" hidden="false" customHeight="true" outlineLevel="0" collapsed="false">
      <c r="A471" s="94"/>
      <c r="D471" s="95"/>
      <c r="F471" s="95"/>
      <c r="G471" s="102"/>
      <c r="H471" s="102"/>
      <c r="I471" s="95"/>
      <c r="J471" s="102"/>
      <c r="K471" s="102"/>
      <c r="L471" s="95"/>
      <c r="O471" s="95"/>
      <c r="Q471" s="95"/>
      <c r="S471" s="96"/>
      <c r="T471" s="95"/>
      <c r="W471" s="95"/>
      <c r="Y471" s="95"/>
    </row>
    <row r="472" customFormat="false" ht="15.75" hidden="false" customHeight="true" outlineLevel="0" collapsed="false">
      <c r="A472" s="94"/>
      <c r="D472" s="95"/>
      <c r="F472" s="95"/>
      <c r="G472" s="102"/>
      <c r="H472" s="102"/>
      <c r="I472" s="95"/>
      <c r="J472" s="102"/>
      <c r="K472" s="102"/>
      <c r="L472" s="95"/>
      <c r="O472" s="95"/>
      <c r="Q472" s="95"/>
      <c r="S472" s="96"/>
      <c r="T472" s="95"/>
      <c r="W472" s="95"/>
      <c r="Y472" s="95"/>
    </row>
    <row r="473" customFormat="false" ht="15.75" hidden="false" customHeight="true" outlineLevel="0" collapsed="false">
      <c r="A473" s="94"/>
      <c r="D473" s="95"/>
      <c r="F473" s="95"/>
      <c r="G473" s="102"/>
      <c r="H473" s="102"/>
      <c r="I473" s="95"/>
      <c r="J473" s="102"/>
      <c r="K473" s="102"/>
      <c r="L473" s="95"/>
      <c r="O473" s="95"/>
      <c r="Q473" s="95"/>
      <c r="S473" s="96"/>
      <c r="T473" s="95"/>
      <c r="W473" s="95"/>
      <c r="Y473" s="95"/>
    </row>
    <row r="474" customFormat="false" ht="15.75" hidden="false" customHeight="true" outlineLevel="0" collapsed="false">
      <c r="A474" s="94"/>
      <c r="D474" s="95"/>
      <c r="F474" s="95"/>
      <c r="G474" s="102"/>
      <c r="H474" s="102"/>
      <c r="I474" s="95"/>
      <c r="J474" s="102"/>
      <c r="K474" s="102"/>
      <c r="L474" s="95"/>
      <c r="O474" s="95"/>
      <c r="Q474" s="95"/>
      <c r="S474" s="96"/>
      <c r="T474" s="95"/>
      <c r="W474" s="95"/>
      <c r="Y474" s="95"/>
    </row>
    <row r="475" customFormat="false" ht="15.75" hidden="false" customHeight="true" outlineLevel="0" collapsed="false">
      <c r="A475" s="94"/>
      <c r="D475" s="95"/>
      <c r="F475" s="95"/>
      <c r="G475" s="102"/>
      <c r="H475" s="102"/>
      <c r="I475" s="95"/>
      <c r="J475" s="102"/>
      <c r="K475" s="102"/>
      <c r="L475" s="95"/>
      <c r="O475" s="95"/>
      <c r="Q475" s="95"/>
      <c r="S475" s="96"/>
      <c r="T475" s="95"/>
      <c r="W475" s="95"/>
      <c r="Y475" s="95"/>
    </row>
    <row r="476" customFormat="false" ht="15.75" hidden="false" customHeight="true" outlineLevel="0" collapsed="false">
      <c r="A476" s="94"/>
      <c r="D476" s="95"/>
      <c r="F476" s="95"/>
      <c r="G476" s="102"/>
      <c r="H476" s="102"/>
      <c r="I476" s="95"/>
      <c r="J476" s="102"/>
      <c r="K476" s="102"/>
      <c r="L476" s="95"/>
      <c r="O476" s="95"/>
      <c r="Q476" s="95"/>
      <c r="S476" s="96"/>
      <c r="T476" s="95"/>
      <c r="W476" s="95"/>
      <c r="Y476" s="95"/>
    </row>
    <row r="477" customFormat="false" ht="15.75" hidden="false" customHeight="true" outlineLevel="0" collapsed="false">
      <c r="A477" s="94"/>
      <c r="D477" s="95"/>
      <c r="F477" s="95"/>
      <c r="G477" s="102"/>
      <c r="H477" s="102"/>
      <c r="I477" s="95"/>
      <c r="J477" s="102"/>
      <c r="K477" s="102"/>
      <c r="L477" s="95"/>
      <c r="O477" s="95"/>
      <c r="Q477" s="95"/>
      <c r="S477" s="96"/>
      <c r="T477" s="95"/>
      <c r="W477" s="95"/>
      <c r="Y477" s="95"/>
    </row>
    <row r="478" customFormat="false" ht="15.75" hidden="false" customHeight="true" outlineLevel="0" collapsed="false">
      <c r="A478" s="94"/>
      <c r="D478" s="95"/>
      <c r="F478" s="95"/>
      <c r="G478" s="102"/>
      <c r="H478" s="102"/>
      <c r="I478" s="95"/>
      <c r="J478" s="102"/>
      <c r="K478" s="102"/>
      <c r="L478" s="95"/>
      <c r="O478" s="95"/>
      <c r="Q478" s="95"/>
      <c r="S478" s="96"/>
      <c r="T478" s="95"/>
      <c r="W478" s="95"/>
      <c r="Y478" s="95"/>
    </row>
    <row r="479" customFormat="false" ht="15.75" hidden="false" customHeight="true" outlineLevel="0" collapsed="false">
      <c r="A479" s="94"/>
      <c r="D479" s="95"/>
      <c r="F479" s="95"/>
      <c r="G479" s="102"/>
      <c r="H479" s="102"/>
      <c r="I479" s="95"/>
      <c r="J479" s="102"/>
      <c r="K479" s="102"/>
      <c r="L479" s="95"/>
      <c r="O479" s="95"/>
      <c r="Q479" s="95"/>
      <c r="S479" s="96"/>
      <c r="T479" s="95"/>
      <c r="W479" s="95"/>
      <c r="Y479" s="95"/>
    </row>
    <row r="480" customFormat="false" ht="15.75" hidden="false" customHeight="true" outlineLevel="0" collapsed="false">
      <c r="A480" s="94"/>
      <c r="D480" s="95"/>
      <c r="F480" s="95"/>
      <c r="G480" s="102"/>
      <c r="H480" s="102"/>
      <c r="I480" s="95"/>
      <c r="J480" s="102"/>
      <c r="K480" s="102"/>
      <c r="L480" s="95"/>
      <c r="O480" s="95"/>
      <c r="Q480" s="95"/>
      <c r="S480" s="96"/>
      <c r="T480" s="95"/>
      <c r="W480" s="95"/>
      <c r="Y480" s="95"/>
    </row>
    <row r="481" customFormat="false" ht="15.75" hidden="false" customHeight="true" outlineLevel="0" collapsed="false">
      <c r="A481" s="94"/>
      <c r="D481" s="95"/>
      <c r="F481" s="95"/>
      <c r="G481" s="102"/>
      <c r="H481" s="102"/>
      <c r="I481" s="95"/>
      <c r="J481" s="102"/>
      <c r="K481" s="102"/>
      <c r="L481" s="95"/>
      <c r="O481" s="95"/>
      <c r="Q481" s="95"/>
      <c r="S481" s="96"/>
      <c r="T481" s="95"/>
      <c r="W481" s="95"/>
      <c r="Y481" s="95"/>
    </row>
    <row r="482" customFormat="false" ht="15.75" hidden="false" customHeight="true" outlineLevel="0" collapsed="false">
      <c r="A482" s="94"/>
      <c r="D482" s="95"/>
      <c r="F482" s="95"/>
      <c r="G482" s="102"/>
      <c r="H482" s="102"/>
      <c r="I482" s="95"/>
      <c r="J482" s="102"/>
      <c r="K482" s="102"/>
      <c r="L482" s="95"/>
      <c r="O482" s="95"/>
      <c r="Q482" s="95"/>
      <c r="S482" s="96"/>
      <c r="T482" s="95"/>
      <c r="W482" s="95"/>
      <c r="Y482" s="95"/>
    </row>
    <row r="483" customFormat="false" ht="15.75" hidden="false" customHeight="true" outlineLevel="0" collapsed="false">
      <c r="A483" s="94"/>
      <c r="D483" s="95"/>
      <c r="F483" s="95"/>
      <c r="G483" s="102"/>
      <c r="H483" s="102"/>
      <c r="I483" s="95"/>
      <c r="J483" s="102"/>
      <c r="K483" s="102"/>
      <c r="L483" s="95"/>
      <c r="O483" s="95"/>
      <c r="Q483" s="95"/>
      <c r="S483" s="96"/>
      <c r="T483" s="95"/>
      <c r="W483" s="95"/>
      <c r="Y483" s="95"/>
    </row>
    <row r="484" customFormat="false" ht="15.75" hidden="false" customHeight="true" outlineLevel="0" collapsed="false">
      <c r="A484" s="94"/>
      <c r="D484" s="95"/>
      <c r="F484" s="95"/>
      <c r="G484" s="102"/>
      <c r="H484" s="102"/>
      <c r="I484" s="95"/>
      <c r="J484" s="102"/>
      <c r="K484" s="102"/>
      <c r="L484" s="95"/>
      <c r="O484" s="95"/>
      <c r="Q484" s="95"/>
      <c r="S484" s="96"/>
      <c r="T484" s="95"/>
      <c r="W484" s="95"/>
      <c r="Y484" s="95"/>
    </row>
    <row r="485" customFormat="false" ht="15.75" hidden="false" customHeight="true" outlineLevel="0" collapsed="false">
      <c r="A485" s="94"/>
      <c r="D485" s="95"/>
      <c r="F485" s="95"/>
      <c r="G485" s="102"/>
      <c r="H485" s="102"/>
      <c r="I485" s="95"/>
      <c r="J485" s="102"/>
      <c r="K485" s="102"/>
      <c r="L485" s="95"/>
      <c r="O485" s="95"/>
      <c r="Q485" s="95"/>
      <c r="S485" s="96"/>
      <c r="T485" s="95"/>
      <c r="W485" s="95"/>
      <c r="Y485" s="95"/>
    </row>
    <row r="486" customFormat="false" ht="15.75" hidden="false" customHeight="true" outlineLevel="0" collapsed="false">
      <c r="A486" s="94"/>
      <c r="D486" s="95"/>
      <c r="F486" s="95"/>
      <c r="G486" s="102"/>
      <c r="H486" s="102"/>
      <c r="I486" s="95"/>
      <c r="J486" s="102"/>
      <c r="K486" s="102"/>
      <c r="L486" s="95"/>
      <c r="O486" s="95"/>
      <c r="Q486" s="95"/>
      <c r="S486" s="96"/>
      <c r="T486" s="95"/>
      <c r="W486" s="95"/>
      <c r="Y486" s="95"/>
    </row>
    <row r="487" customFormat="false" ht="15.75" hidden="false" customHeight="true" outlineLevel="0" collapsed="false">
      <c r="A487" s="94"/>
      <c r="D487" s="95"/>
      <c r="F487" s="95"/>
      <c r="G487" s="102"/>
      <c r="H487" s="102"/>
      <c r="I487" s="95"/>
      <c r="J487" s="102"/>
      <c r="K487" s="102"/>
      <c r="L487" s="95"/>
      <c r="O487" s="95"/>
      <c r="Q487" s="95"/>
      <c r="S487" s="96"/>
      <c r="T487" s="95"/>
      <c r="W487" s="95"/>
      <c r="Y487" s="95"/>
    </row>
    <row r="488" customFormat="false" ht="15.75" hidden="false" customHeight="true" outlineLevel="0" collapsed="false">
      <c r="A488" s="94"/>
      <c r="D488" s="95"/>
      <c r="F488" s="95"/>
      <c r="G488" s="102"/>
      <c r="H488" s="102"/>
      <c r="I488" s="95"/>
      <c r="J488" s="102"/>
      <c r="K488" s="102"/>
      <c r="L488" s="95"/>
      <c r="O488" s="95"/>
      <c r="Q488" s="95"/>
      <c r="S488" s="96"/>
      <c r="T488" s="95"/>
      <c r="W488" s="95"/>
      <c r="Y488" s="95"/>
    </row>
    <row r="489" customFormat="false" ht="15.75" hidden="false" customHeight="true" outlineLevel="0" collapsed="false">
      <c r="A489" s="94"/>
      <c r="D489" s="95"/>
      <c r="F489" s="95"/>
      <c r="G489" s="102"/>
      <c r="H489" s="102"/>
      <c r="I489" s="95"/>
      <c r="J489" s="102"/>
      <c r="K489" s="102"/>
      <c r="L489" s="95"/>
      <c r="O489" s="95"/>
      <c r="Q489" s="95"/>
      <c r="S489" s="96"/>
      <c r="T489" s="95"/>
      <c r="W489" s="95"/>
      <c r="Y489" s="95"/>
    </row>
    <row r="490" customFormat="false" ht="15.75" hidden="false" customHeight="true" outlineLevel="0" collapsed="false">
      <c r="A490" s="94"/>
      <c r="D490" s="95"/>
      <c r="F490" s="95"/>
      <c r="G490" s="102"/>
      <c r="H490" s="102"/>
      <c r="I490" s="95"/>
      <c r="J490" s="102"/>
      <c r="K490" s="102"/>
      <c r="L490" s="95"/>
      <c r="O490" s="95"/>
      <c r="Q490" s="95"/>
      <c r="S490" s="96"/>
      <c r="T490" s="95"/>
      <c r="W490" s="95"/>
      <c r="Y490" s="95"/>
    </row>
    <row r="491" customFormat="false" ht="15.75" hidden="false" customHeight="true" outlineLevel="0" collapsed="false">
      <c r="A491" s="94"/>
      <c r="D491" s="95"/>
      <c r="F491" s="95"/>
      <c r="G491" s="102"/>
      <c r="H491" s="102"/>
      <c r="I491" s="95"/>
      <c r="J491" s="102"/>
      <c r="K491" s="102"/>
      <c r="L491" s="95"/>
      <c r="O491" s="95"/>
      <c r="Q491" s="95"/>
      <c r="S491" s="96"/>
      <c r="T491" s="95"/>
      <c r="W491" s="95"/>
      <c r="Y491" s="95"/>
    </row>
    <row r="492" customFormat="false" ht="15.75" hidden="false" customHeight="true" outlineLevel="0" collapsed="false">
      <c r="A492" s="94"/>
      <c r="D492" s="95"/>
      <c r="F492" s="95"/>
      <c r="G492" s="102"/>
      <c r="H492" s="102"/>
      <c r="I492" s="95"/>
      <c r="J492" s="102"/>
      <c r="K492" s="102"/>
      <c r="L492" s="95"/>
      <c r="O492" s="95"/>
      <c r="Q492" s="95"/>
      <c r="S492" s="96"/>
      <c r="T492" s="95"/>
      <c r="W492" s="95"/>
      <c r="Y492" s="95"/>
    </row>
    <row r="493" customFormat="false" ht="15.75" hidden="false" customHeight="true" outlineLevel="0" collapsed="false">
      <c r="A493" s="94"/>
      <c r="D493" s="95"/>
      <c r="F493" s="95"/>
      <c r="G493" s="102"/>
      <c r="H493" s="102"/>
      <c r="I493" s="95"/>
      <c r="J493" s="102"/>
      <c r="K493" s="102"/>
      <c r="L493" s="95"/>
      <c r="O493" s="95"/>
      <c r="Q493" s="95"/>
      <c r="S493" s="96"/>
      <c r="T493" s="95"/>
      <c r="W493" s="95"/>
      <c r="Y493" s="95"/>
    </row>
    <row r="494" customFormat="false" ht="15.75" hidden="false" customHeight="true" outlineLevel="0" collapsed="false">
      <c r="A494" s="94"/>
      <c r="D494" s="95"/>
      <c r="F494" s="95"/>
      <c r="G494" s="102"/>
      <c r="H494" s="102"/>
      <c r="I494" s="95"/>
      <c r="J494" s="102"/>
      <c r="K494" s="102"/>
      <c r="L494" s="95"/>
      <c r="O494" s="95"/>
      <c r="Q494" s="95"/>
      <c r="S494" s="96"/>
      <c r="T494" s="95"/>
      <c r="W494" s="95"/>
      <c r="Y494" s="95"/>
    </row>
    <row r="495" customFormat="false" ht="15.75" hidden="false" customHeight="true" outlineLevel="0" collapsed="false">
      <c r="A495" s="94"/>
      <c r="D495" s="95"/>
      <c r="F495" s="95"/>
      <c r="G495" s="102"/>
      <c r="H495" s="102"/>
      <c r="I495" s="95"/>
      <c r="J495" s="102"/>
      <c r="K495" s="102"/>
      <c r="L495" s="95"/>
      <c r="O495" s="95"/>
      <c r="Q495" s="95"/>
      <c r="S495" s="96"/>
      <c r="T495" s="95"/>
      <c r="W495" s="95"/>
      <c r="Y495" s="95"/>
    </row>
    <row r="496" customFormat="false" ht="15.75" hidden="false" customHeight="true" outlineLevel="0" collapsed="false">
      <c r="A496" s="94"/>
      <c r="D496" s="95"/>
      <c r="F496" s="95"/>
      <c r="G496" s="102"/>
      <c r="H496" s="102"/>
      <c r="I496" s="95"/>
      <c r="J496" s="102"/>
      <c r="K496" s="102"/>
      <c r="L496" s="95"/>
      <c r="O496" s="95"/>
      <c r="Q496" s="95"/>
      <c r="S496" s="96"/>
      <c r="T496" s="95"/>
      <c r="W496" s="95"/>
      <c r="Y496" s="95"/>
    </row>
    <row r="497" customFormat="false" ht="15.75" hidden="false" customHeight="true" outlineLevel="0" collapsed="false">
      <c r="A497" s="94"/>
      <c r="D497" s="95"/>
      <c r="F497" s="95"/>
      <c r="G497" s="102"/>
      <c r="H497" s="102"/>
      <c r="I497" s="95"/>
      <c r="J497" s="102"/>
      <c r="K497" s="102"/>
      <c r="L497" s="95"/>
      <c r="O497" s="95"/>
      <c r="Q497" s="95"/>
      <c r="S497" s="96"/>
      <c r="T497" s="95"/>
      <c r="W497" s="95"/>
      <c r="Y497" s="95"/>
    </row>
    <row r="498" customFormat="false" ht="15.75" hidden="false" customHeight="true" outlineLevel="0" collapsed="false">
      <c r="A498" s="94"/>
      <c r="D498" s="95"/>
      <c r="F498" s="95"/>
      <c r="G498" s="102"/>
      <c r="H498" s="102"/>
      <c r="I498" s="95"/>
      <c r="J498" s="102"/>
      <c r="K498" s="102"/>
      <c r="L498" s="95"/>
      <c r="O498" s="95"/>
      <c r="Q498" s="95"/>
      <c r="S498" s="96"/>
      <c r="T498" s="95"/>
      <c r="W498" s="95"/>
      <c r="Y498" s="95"/>
    </row>
    <row r="499" customFormat="false" ht="15.75" hidden="false" customHeight="true" outlineLevel="0" collapsed="false">
      <c r="A499" s="94"/>
      <c r="D499" s="95"/>
      <c r="F499" s="95"/>
      <c r="G499" s="102"/>
      <c r="H499" s="102"/>
      <c r="I499" s="95"/>
      <c r="J499" s="102"/>
      <c r="K499" s="102"/>
      <c r="L499" s="95"/>
      <c r="O499" s="95"/>
      <c r="Q499" s="95"/>
      <c r="S499" s="96"/>
      <c r="T499" s="95"/>
      <c r="W499" s="95"/>
      <c r="Y499" s="95"/>
    </row>
    <row r="500" customFormat="false" ht="15.75" hidden="false" customHeight="true" outlineLevel="0" collapsed="false">
      <c r="A500" s="94"/>
      <c r="D500" s="95"/>
      <c r="F500" s="95"/>
      <c r="G500" s="102"/>
      <c r="H500" s="102"/>
      <c r="I500" s="95"/>
      <c r="J500" s="102"/>
      <c r="K500" s="102"/>
      <c r="L500" s="95"/>
      <c r="O500" s="95"/>
      <c r="Q500" s="95"/>
      <c r="S500" s="96"/>
      <c r="T500" s="95"/>
      <c r="W500" s="95"/>
      <c r="Y500" s="95"/>
    </row>
    <row r="501" customFormat="false" ht="15.75" hidden="false" customHeight="true" outlineLevel="0" collapsed="false">
      <c r="A501" s="94"/>
      <c r="D501" s="95"/>
      <c r="F501" s="95"/>
      <c r="G501" s="102"/>
      <c r="H501" s="102"/>
      <c r="I501" s="95"/>
      <c r="J501" s="102"/>
      <c r="K501" s="102"/>
      <c r="L501" s="95"/>
      <c r="O501" s="95"/>
      <c r="Q501" s="95"/>
      <c r="S501" s="96"/>
      <c r="T501" s="95"/>
      <c r="W501" s="95"/>
      <c r="Y501" s="95"/>
    </row>
    <row r="502" customFormat="false" ht="15.75" hidden="false" customHeight="true" outlineLevel="0" collapsed="false">
      <c r="A502" s="94"/>
      <c r="D502" s="95"/>
      <c r="F502" s="95"/>
      <c r="G502" s="102"/>
      <c r="H502" s="102"/>
      <c r="I502" s="95"/>
      <c r="J502" s="102"/>
      <c r="K502" s="102"/>
      <c r="L502" s="95"/>
      <c r="O502" s="95"/>
      <c r="Q502" s="95"/>
      <c r="S502" s="96"/>
      <c r="T502" s="95"/>
      <c r="W502" s="95"/>
      <c r="Y502" s="95"/>
    </row>
    <row r="503" customFormat="false" ht="15.75" hidden="false" customHeight="true" outlineLevel="0" collapsed="false">
      <c r="A503" s="94"/>
      <c r="D503" s="95"/>
      <c r="F503" s="95"/>
      <c r="G503" s="102"/>
      <c r="H503" s="102"/>
      <c r="I503" s="95"/>
      <c r="J503" s="102"/>
      <c r="K503" s="102"/>
      <c r="L503" s="95"/>
      <c r="O503" s="95"/>
      <c r="Q503" s="95"/>
      <c r="S503" s="96"/>
      <c r="T503" s="95"/>
      <c r="W503" s="95"/>
      <c r="Y503" s="95"/>
    </row>
    <row r="504" customFormat="false" ht="15.75" hidden="false" customHeight="true" outlineLevel="0" collapsed="false">
      <c r="A504" s="94"/>
      <c r="D504" s="95"/>
      <c r="F504" s="95"/>
      <c r="G504" s="102"/>
      <c r="H504" s="102"/>
      <c r="I504" s="95"/>
      <c r="J504" s="102"/>
      <c r="K504" s="102"/>
      <c r="L504" s="95"/>
      <c r="O504" s="95"/>
      <c r="Q504" s="95"/>
      <c r="S504" s="96"/>
      <c r="T504" s="95"/>
      <c r="W504" s="95"/>
      <c r="Y504" s="95"/>
    </row>
    <row r="505" customFormat="false" ht="15.75" hidden="false" customHeight="true" outlineLevel="0" collapsed="false">
      <c r="A505" s="94"/>
      <c r="D505" s="95"/>
      <c r="F505" s="95"/>
      <c r="G505" s="102"/>
      <c r="H505" s="102"/>
      <c r="I505" s="95"/>
      <c r="J505" s="102"/>
      <c r="K505" s="102"/>
      <c r="L505" s="95"/>
      <c r="O505" s="95"/>
      <c r="Q505" s="95"/>
      <c r="S505" s="96"/>
      <c r="T505" s="95"/>
      <c r="W505" s="95"/>
      <c r="Y505" s="95"/>
    </row>
    <row r="506" customFormat="false" ht="15.75" hidden="false" customHeight="true" outlineLevel="0" collapsed="false">
      <c r="A506" s="94"/>
      <c r="D506" s="95"/>
      <c r="F506" s="95"/>
      <c r="G506" s="102"/>
      <c r="H506" s="102"/>
      <c r="I506" s="95"/>
      <c r="J506" s="102"/>
      <c r="K506" s="102"/>
      <c r="L506" s="95"/>
      <c r="O506" s="95"/>
      <c r="Q506" s="95"/>
      <c r="S506" s="96"/>
      <c r="T506" s="95"/>
      <c r="W506" s="95"/>
      <c r="Y506" s="95"/>
    </row>
    <row r="507" customFormat="false" ht="15.75" hidden="false" customHeight="true" outlineLevel="0" collapsed="false">
      <c r="A507" s="94"/>
      <c r="D507" s="95"/>
      <c r="F507" s="95"/>
      <c r="G507" s="102"/>
      <c r="H507" s="102"/>
      <c r="I507" s="95"/>
      <c r="J507" s="102"/>
      <c r="K507" s="102"/>
      <c r="L507" s="95"/>
      <c r="O507" s="95"/>
      <c r="Q507" s="95"/>
      <c r="S507" s="96"/>
      <c r="T507" s="95"/>
      <c r="W507" s="95"/>
      <c r="Y507" s="95"/>
    </row>
    <row r="508" customFormat="false" ht="15.75" hidden="false" customHeight="true" outlineLevel="0" collapsed="false">
      <c r="A508" s="94"/>
      <c r="D508" s="95"/>
      <c r="F508" s="95"/>
      <c r="G508" s="102"/>
      <c r="H508" s="102"/>
      <c r="I508" s="95"/>
      <c r="J508" s="102"/>
      <c r="K508" s="102"/>
      <c r="L508" s="95"/>
      <c r="O508" s="95"/>
      <c r="Q508" s="95"/>
      <c r="S508" s="96"/>
      <c r="T508" s="95"/>
      <c r="W508" s="95"/>
      <c r="Y508" s="95"/>
    </row>
    <row r="509" customFormat="false" ht="15.75" hidden="false" customHeight="true" outlineLevel="0" collapsed="false">
      <c r="A509" s="94"/>
      <c r="D509" s="95"/>
      <c r="F509" s="95"/>
      <c r="G509" s="102"/>
      <c r="H509" s="102"/>
      <c r="I509" s="95"/>
      <c r="J509" s="102"/>
      <c r="K509" s="102"/>
      <c r="L509" s="95"/>
      <c r="O509" s="95"/>
      <c r="Q509" s="95"/>
      <c r="S509" s="96"/>
      <c r="T509" s="95"/>
      <c r="W509" s="95"/>
      <c r="Y509" s="95"/>
    </row>
    <row r="510" customFormat="false" ht="15.75" hidden="false" customHeight="true" outlineLevel="0" collapsed="false">
      <c r="A510" s="94"/>
      <c r="D510" s="95"/>
      <c r="F510" s="95"/>
      <c r="G510" s="102"/>
      <c r="H510" s="102"/>
      <c r="I510" s="95"/>
      <c r="J510" s="102"/>
      <c r="K510" s="102"/>
      <c r="L510" s="95"/>
      <c r="O510" s="95"/>
      <c r="Q510" s="95"/>
      <c r="S510" s="96"/>
      <c r="T510" s="95"/>
      <c r="W510" s="95"/>
      <c r="Y510" s="95"/>
    </row>
    <row r="511" customFormat="false" ht="15.75" hidden="false" customHeight="true" outlineLevel="0" collapsed="false">
      <c r="A511" s="94"/>
      <c r="D511" s="95"/>
      <c r="F511" s="95"/>
      <c r="G511" s="102"/>
      <c r="H511" s="102"/>
      <c r="I511" s="95"/>
      <c r="J511" s="102"/>
      <c r="K511" s="102"/>
      <c r="L511" s="95"/>
      <c r="O511" s="95"/>
      <c r="Q511" s="95"/>
      <c r="S511" s="96"/>
      <c r="T511" s="95"/>
      <c r="W511" s="95"/>
      <c r="Y511" s="95"/>
    </row>
    <row r="512" customFormat="false" ht="15.75" hidden="false" customHeight="true" outlineLevel="0" collapsed="false">
      <c r="A512" s="94"/>
      <c r="D512" s="95"/>
      <c r="F512" s="95"/>
      <c r="G512" s="102"/>
      <c r="H512" s="102"/>
      <c r="I512" s="95"/>
      <c r="J512" s="102"/>
      <c r="K512" s="102"/>
      <c r="L512" s="95"/>
      <c r="O512" s="95"/>
      <c r="Q512" s="95"/>
      <c r="S512" s="96"/>
      <c r="T512" s="95"/>
      <c r="W512" s="95"/>
      <c r="Y512" s="95"/>
    </row>
    <row r="513" customFormat="false" ht="15.75" hidden="false" customHeight="true" outlineLevel="0" collapsed="false">
      <c r="A513" s="94"/>
      <c r="D513" s="95"/>
      <c r="F513" s="95"/>
      <c r="G513" s="102"/>
      <c r="H513" s="102"/>
      <c r="I513" s="95"/>
      <c r="J513" s="102"/>
      <c r="K513" s="102"/>
      <c r="L513" s="95"/>
      <c r="O513" s="95"/>
      <c r="Q513" s="95"/>
      <c r="S513" s="96"/>
      <c r="T513" s="95"/>
      <c r="W513" s="95"/>
      <c r="Y513" s="95"/>
    </row>
    <row r="514" customFormat="false" ht="15.75" hidden="false" customHeight="true" outlineLevel="0" collapsed="false">
      <c r="A514" s="94"/>
      <c r="D514" s="95"/>
      <c r="F514" s="95"/>
      <c r="G514" s="102"/>
      <c r="H514" s="102"/>
      <c r="I514" s="95"/>
      <c r="J514" s="102"/>
      <c r="K514" s="102"/>
      <c r="L514" s="95"/>
      <c r="O514" s="95"/>
      <c r="Q514" s="95"/>
      <c r="S514" s="96"/>
      <c r="T514" s="95"/>
      <c r="W514" s="95"/>
      <c r="Y514" s="95"/>
    </row>
    <row r="515" customFormat="false" ht="15.75" hidden="false" customHeight="true" outlineLevel="0" collapsed="false">
      <c r="A515" s="94"/>
      <c r="D515" s="95"/>
      <c r="F515" s="95"/>
      <c r="G515" s="102"/>
      <c r="H515" s="102"/>
      <c r="I515" s="95"/>
      <c r="J515" s="102"/>
      <c r="K515" s="102"/>
      <c r="L515" s="95"/>
      <c r="O515" s="95"/>
      <c r="Q515" s="95"/>
      <c r="S515" s="96"/>
      <c r="T515" s="95"/>
      <c r="W515" s="95"/>
      <c r="Y515" s="95"/>
    </row>
    <row r="516" customFormat="false" ht="15.75" hidden="false" customHeight="true" outlineLevel="0" collapsed="false">
      <c r="A516" s="94"/>
      <c r="D516" s="95"/>
      <c r="F516" s="95"/>
      <c r="G516" s="102"/>
      <c r="H516" s="102"/>
      <c r="I516" s="95"/>
      <c r="J516" s="102"/>
      <c r="K516" s="102"/>
      <c r="L516" s="95"/>
      <c r="O516" s="95"/>
      <c r="Q516" s="95"/>
      <c r="S516" s="96"/>
      <c r="T516" s="95"/>
      <c r="W516" s="95"/>
      <c r="Y516" s="95"/>
    </row>
    <row r="517" customFormat="false" ht="15.75" hidden="false" customHeight="true" outlineLevel="0" collapsed="false">
      <c r="A517" s="94"/>
      <c r="D517" s="95"/>
      <c r="F517" s="95"/>
      <c r="G517" s="102"/>
      <c r="H517" s="102"/>
      <c r="I517" s="95"/>
      <c r="J517" s="102"/>
      <c r="K517" s="102"/>
      <c r="L517" s="95"/>
      <c r="O517" s="95"/>
      <c r="Q517" s="95"/>
      <c r="S517" s="96"/>
      <c r="T517" s="95"/>
      <c r="W517" s="95"/>
      <c r="Y517" s="95"/>
    </row>
    <row r="518" customFormat="false" ht="15.75" hidden="false" customHeight="true" outlineLevel="0" collapsed="false">
      <c r="A518" s="94"/>
      <c r="D518" s="95"/>
      <c r="F518" s="95"/>
      <c r="G518" s="102"/>
      <c r="H518" s="102"/>
      <c r="I518" s="95"/>
      <c r="J518" s="102"/>
      <c r="K518" s="102"/>
      <c r="L518" s="95"/>
      <c r="O518" s="95"/>
      <c r="Q518" s="95"/>
      <c r="S518" s="96"/>
      <c r="T518" s="95"/>
      <c r="W518" s="95"/>
      <c r="Y518" s="95"/>
    </row>
    <row r="519" customFormat="false" ht="15.75" hidden="false" customHeight="true" outlineLevel="0" collapsed="false">
      <c r="A519" s="94"/>
      <c r="D519" s="95"/>
      <c r="F519" s="95"/>
      <c r="G519" s="102"/>
      <c r="H519" s="102"/>
      <c r="I519" s="95"/>
      <c r="J519" s="102"/>
      <c r="K519" s="102"/>
      <c r="L519" s="95"/>
      <c r="O519" s="95"/>
      <c r="Q519" s="95"/>
      <c r="S519" s="96"/>
      <c r="T519" s="95"/>
      <c r="W519" s="95"/>
      <c r="Y519" s="95"/>
    </row>
    <row r="520" customFormat="false" ht="15.75" hidden="false" customHeight="true" outlineLevel="0" collapsed="false">
      <c r="A520" s="94"/>
      <c r="D520" s="95"/>
      <c r="F520" s="95"/>
      <c r="G520" s="102"/>
      <c r="H520" s="102"/>
      <c r="I520" s="95"/>
      <c r="J520" s="102"/>
      <c r="K520" s="102"/>
      <c r="L520" s="95"/>
      <c r="O520" s="95"/>
      <c r="Q520" s="95"/>
      <c r="S520" s="96"/>
      <c r="T520" s="95"/>
      <c r="W520" s="95"/>
      <c r="Y520" s="95"/>
    </row>
    <row r="521" customFormat="false" ht="15.75" hidden="false" customHeight="true" outlineLevel="0" collapsed="false">
      <c r="A521" s="94"/>
      <c r="D521" s="95"/>
      <c r="F521" s="95"/>
      <c r="G521" s="102"/>
      <c r="H521" s="102"/>
      <c r="I521" s="95"/>
      <c r="J521" s="102"/>
      <c r="K521" s="102"/>
      <c r="L521" s="95"/>
      <c r="O521" s="95"/>
      <c r="Q521" s="95"/>
      <c r="S521" s="96"/>
      <c r="T521" s="95"/>
      <c r="W521" s="95"/>
      <c r="Y521" s="95"/>
    </row>
    <row r="522" customFormat="false" ht="15.75" hidden="false" customHeight="true" outlineLevel="0" collapsed="false">
      <c r="A522" s="94"/>
      <c r="D522" s="95"/>
      <c r="F522" s="95"/>
      <c r="G522" s="102"/>
      <c r="H522" s="102"/>
      <c r="I522" s="95"/>
      <c r="J522" s="102"/>
      <c r="K522" s="102"/>
      <c r="L522" s="95"/>
      <c r="O522" s="95"/>
      <c r="Q522" s="95"/>
      <c r="S522" s="96"/>
      <c r="T522" s="95"/>
      <c r="W522" s="95"/>
      <c r="Y522" s="95"/>
    </row>
    <row r="523" customFormat="false" ht="15.75" hidden="false" customHeight="true" outlineLevel="0" collapsed="false">
      <c r="A523" s="94"/>
      <c r="D523" s="95"/>
      <c r="F523" s="95"/>
      <c r="G523" s="102"/>
      <c r="H523" s="102"/>
      <c r="I523" s="95"/>
      <c r="J523" s="102"/>
      <c r="K523" s="102"/>
      <c r="L523" s="95"/>
      <c r="O523" s="95"/>
      <c r="Q523" s="95"/>
      <c r="S523" s="96"/>
      <c r="T523" s="95"/>
      <c r="W523" s="95"/>
      <c r="Y523" s="95"/>
    </row>
    <row r="524" customFormat="false" ht="15.75" hidden="false" customHeight="true" outlineLevel="0" collapsed="false">
      <c r="A524" s="94"/>
      <c r="D524" s="95"/>
      <c r="F524" s="95"/>
      <c r="G524" s="102"/>
      <c r="H524" s="102"/>
      <c r="I524" s="95"/>
      <c r="J524" s="102"/>
      <c r="K524" s="102"/>
      <c r="L524" s="95"/>
      <c r="O524" s="95"/>
      <c r="Q524" s="95"/>
      <c r="S524" s="96"/>
      <c r="T524" s="95"/>
      <c r="W524" s="95"/>
      <c r="Y524" s="95"/>
    </row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G3:H30"/>
  <mergeCells count="6">
    <mergeCell ref="B2:C2"/>
    <mergeCell ref="G2:H2"/>
    <mergeCell ref="J2:K2"/>
    <mergeCell ref="M2:N2"/>
    <mergeCell ref="R2:S2"/>
    <mergeCell ref="U2:V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36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2" topLeftCell="A449" activePane="bottomLeft" state="frozen"/>
      <selection pane="topLeft" activeCell="A1" activeCellId="0" sqref="A1"/>
      <selection pane="bottomLeft" activeCell="I214" activeCellId="0" sqref="I214"/>
    </sheetView>
  </sheetViews>
  <sheetFormatPr defaultColWidth="12.6328125" defaultRowHeight="15" zeroHeight="false" outlineLevelRow="0" outlineLevelCol="0"/>
  <cols>
    <col collapsed="false" customWidth="true" hidden="false" outlineLevel="0" max="1" min="1" style="2" width="7.88"/>
    <col collapsed="false" customWidth="true" hidden="false" outlineLevel="0" max="2" min="2" style="2" width="1.38"/>
    <col collapsed="false" customWidth="true" hidden="false" outlineLevel="0" max="3" min="3" style="2" width="66.13"/>
    <col collapsed="false" customWidth="true" hidden="false" outlineLevel="0" max="4" min="4" style="2" width="1.38"/>
    <col collapsed="false" customWidth="true" hidden="false" outlineLevel="0" max="5" min="5" style="2" width="48.63"/>
    <col collapsed="false" customWidth="true" hidden="false" outlineLevel="0" max="6" min="6" style="2" width="1.38"/>
    <col collapsed="false" customWidth="true" hidden="false" outlineLevel="0" max="7" min="7" style="2" width="56.5"/>
    <col collapsed="false" customWidth="true" hidden="false" outlineLevel="0" max="8" min="8" style="2" width="1.38"/>
    <col collapsed="false" customWidth="true" hidden="false" outlineLevel="0" max="9" min="9" style="2" width="6.63"/>
    <col collapsed="false" customWidth="true" hidden="false" outlineLevel="0" max="10" min="10" style="2" width="1.38"/>
    <col collapsed="false" customWidth="true" hidden="false" outlineLevel="0" max="11" min="11" style="2" width="44"/>
    <col collapsed="false" customWidth="true" hidden="false" outlineLevel="0" max="12" min="12" style="2" width="1.38"/>
    <col collapsed="false" customWidth="true" hidden="false" outlineLevel="0" max="13" min="13" style="2" width="5.38"/>
    <col collapsed="false" customWidth="true" hidden="false" outlineLevel="0" max="14" min="14" style="2" width="1.38"/>
  </cols>
  <sheetData>
    <row r="1" customFormat="false" ht="15" hidden="false" customHeight="false" outlineLevel="0" collapsed="false">
      <c r="A1" s="108"/>
      <c r="B1" s="109"/>
      <c r="C1" s="108"/>
      <c r="D1" s="110"/>
      <c r="E1" s="108"/>
      <c r="F1" s="109"/>
      <c r="G1" s="108"/>
      <c r="H1" s="109"/>
      <c r="I1" s="111"/>
      <c r="J1" s="110"/>
      <c r="K1" s="108"/>
      <c r="L1" s="110"/>
      <c r="M1" s="112"/>
      <c r="N1" s="109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</row>
    <row r="2" customFormat="false" ht="15" hidden="false" customHeight="false" outlineLevel="0" collapsed="false">
      <c r="A2" s="113" t="s">
        <v>799</v>
      </c>
      <c r="B2" s="114"/>
      <c r="C2" s="115" t="s">
        <v>800</v>
      </c>
      <c r="D2" s="116"/>
      <c r="E2" s="117" t="s">
        <v>801</v>
      </c>
      <c r="F2" s="114"/>
      <c r="G2" s="118" t="s">
        <v>802</v>
      </c>
      <c r="H2" s="114"/>
      <c r="I2" s="119" t="s">
        <v>803</v>
      </c>
      <c r="J2" s="116"/>
      <c r="K2" s="115" t="s">
        <v>804</v>
      </c>
      <c r="L2" s="116"/>
      <c r="M2" s="119" t="s">
        <v>805</v>
      </c>
      <c r="N2" s="114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</row>
    <row r="3" customFormat="false" ht="20.85" hidden="false" customHeight="false" outlineLevel="0" collapsed="false">
      <c r="A3" s="108" t="s">
        <v>806</v>
      </c>
      <c r="B3" s="114"/>
      <c r="C3" s="120" t="s">
        <v>807</v>
      </c>
      <c r="D3" s="110"/>
      <c r="E3" s="108" t="s">
        <v>808</v>
      </c>
      <c r="F3" s="114"/>
      <c r="G3" s="120" t="s">
        <v>809</v>
      </c>
      <c r="H3" s="114"/>
      <c r="I3" s="111" t="n">
        <v>7372</v>
      </c>
      <c r="J3" s="110"/>
      <c r="K3" s="120" t="s">
        <v>810</v>
      </c>
      <c r="L3" s="110"/>
      <c r="M3" s="112" t="n">
        <v>1</v>
      </c>
      <c r="N3" s="114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</row>
    <row r="4" customFormat="false" ht="20.85" hidden="false" customHeight="false" outlineLevel="0" collapsed="false">
      <c r="A4" s="108" t="s">
        <v>811</v>
      </c>
      <c r="B4" s="114"/>
      <c r="C4" s="120" t="s">
        <v>812</v>
      </c>
      <c r="D4" s="110"/>
      <c r="E4" s="108" t="s">
        <v>808</v>
      </c>
      <c r="F4" s="114"/>
      <c r="G4" s="120" t="s">
        <v>809</v>
      </c>
      <c r="H4" s="114"/>
      <c r="I4" s="111" t="n">
        <v>7372</v>
      </c>
      <c r="J4" s="110"/>
      <c r="K4" s="120" t="s">
        <v>810</v>
      </c>
      <c r="L4" s="110"/>
      <c r="M4" s="112" t="n">
        <v>1</v>
      </c>
      <c r="N4" s="114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</row>
    <row r="5" customFormat="false" ht="20.85" hidden="false" customHeight="false" outlineLevel="0" collapsed="false">
      <c r="A5" s="108" t="s">
        <v>813</v>
      </c>
      <c r="B5" s="114"/>
      <c r="C5" s="120" t="s">
        <v>814</v>
      </c>
      <c r="D5" s="110"/>
      <c r="E5" s="108" t="s">
        <v>808</v>
      </c>
      <c r="F5" s="114"/>
      <c r="G5" s="120" t="s">
        <v>809</v>
      </c>
      <c r="H5" s="114"/>
      <c r="I5" s="111" t="n">
        <v>7372</v>
      </c>
      <c r="J5" s="110"/>
      <c r="K5" s="120" t="s">
        <v>810</v>
      </c>
      <c r="L5" s="110"/>
      <c r="M5" s="112" t="n">
        <v>1</v>
      </c>
      <c r="N5" s="114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</row>
    <row r="6" customFormat="false" ht="20.85" hidden="false" customHeight="false" outlineLevel="0" collapsed="false">
      <c r="A6" s="108" t="s">
        <v>815</v>
      </c>
      <c r="B6" s="114"/>
      <c r="C6" s="120" t="s">
        <v>816</v>
      </c>
      <c r="D6" s="110"/>
      <c r="E6" s="108" t="s">
        <v>808</v>
      </c>
      <c r="F6" s="114"/>
      <c r="G6" s="120" t="s">
        <v>809</v>
      </c>
      <c r="H6" s="114"/>
      <c r="I6" s="111" t="n">
        <v>7372</v>
      </c>
      <c r="J6" s="110"/>
      <c r="K6" s="120" t="s">
        <v>810</v>
      </c>
      <c r="L6" s="110"/>
      <c r="M6" s="112" t="n">
        <v>1</v>
      </c>
      <c r="N6" s="114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</row>
    <row r="7" customFormat="false" ht="20.85" hidden="false" customHeight="false" outlineLevel="0" collapsed="false">
      <c r="A7" s="108" t="s">
        <v>817</v>
      </c>
      <c r="B7" s="114"/>
      <c r="C7" s="120" t="s">
        <v>807</v>
      </c>
      <c r="D7" s="110"/>
      <c r="E7" s="108" t="s">
        <v>818</v>
      </c>
      <c r="F7" s="114"/>
      <c r="G7" s="120" t="s">
        <v>818</v>
      </c>
      <c r="H7" s="114"/>
      <c r="I7" s="111" t="n">
        <v>7372</v>
      </c>
      <c r="J7" s="110"/>
      <c r="K7" s="120" t="s">
        <v>810</v>
      </c>
      <c r="L7" s="110"/>
      <c r="M7" s="112" t="n">
        <v>1</v>
      </c>
      <c r="N7" s="114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</row>
    <row r="8" customFormat="false" ht="20.85" hidden="false" customHeight="false" outlineLevel="0" collapsed="false">
      <c r="A8" s="108" t="s">
        <v>819</v>
      </c>
      <c r="B8" s="114"/>
      <c r="C8" s="120" t="s">
        <v>820</v>
      </c>
      <c r="D8" s="110"/>
      <c r="E8" s="108" t="s">
        <v>821</v>
      </c>
      <c r="F8" s="114"/>
      <c r="G8" s="120" t="s">
        <v>822</v>
      </c>
      <c r="H8" s="114"/>
      <c r="I8" s="111" t="n">
        <v>5411</v>
      </c>
      <c r="J8" s="110"/>
      <c r="K8" s="120" t="s">
        <v>823</v>
      </c>
      <c r="L8" s="110"/>
      <c r="M8" s="112" t="n">
        <v>2</v>
      </c>
      <c r="N8" s="114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</row>
    <row r="9" customFormat="false" ht="20.85" hidden="false" customHeight="false" outlineLevel="0" collapsed="false">
      <c r="A9" s="108" t="s">
        <v>824</v>
      </c>
      <c r="B9" s="114"/>
      <c r="C9" s="120" t="s">
        <v>825</v>
      </c>
      <c r="D9" s="110"/>
      <c r="E9" s="108" t="s">
        <v>821</v>
      </c>
      <c r="F9" s="114"/>
      <c r="G9" s="120" t="s">
        <v>822</v>
      </c>
      <c r="H9" s="114"/>
      <c r="I9" s="111" t="n">
        <v>5411</v>
      </c>
      <c r="J9" s="110"/>
      <c r="K9" s="120" t="s">
        <v>823</v>
      </c>
      <c r="L9" s="110"/>
      <c r="M9" s="112" t="n">
        <v>2</v>
      </c>
      <c r="N9" s="114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</row>
    <row r="10" customFormat="false" ht="20.85" hidden="false" customHeight="false" outlineLevel="0" collapsed="false">
      <c r="A10" s="108" t="s">
        <v>826</v>
      </c>
      <c r="B10" s="114"/>
      <c r="C10" s="120" t="s">
        <v>827</v>
      </c>
      <c r="D10" s="110"/>
      <c r="E10" s="108" t="s">
        <v>821</v>
      </c>
      <c r="F10" s="114"/>
      <c r="G10" s="120" t="s">
        <v>822</v>
      </c>
      <c r="H10" s="114"/>
      <c r="I10" s="111" t="n">
        <v>5411</v>
      </c>
      <c r="J10" s="110"/>
      <c r="K10" s="120" t="s">
        <v>823</v>
      </c>
      <c r="L10" s="110"/>
      <c r="M10" s="112" t="n">
        <v>2</v>
      </c>
      <c r="N10" s="114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</row>
    <row r="11" customFormat="false" ht="15" hidden="false" customHeight="false" outlineLevel="0" collapsed="false">
      <c r="A11" s="108" t="s">
        <v>828</v>
      </c>
      <c r="B11" s="114"/>
      <c r="C11" s="120" t="s">
        <v>829</v>
      </c>
      <c r="D11" s="110"/>
      <c r="E11" s="108" t="s">
        <v>821</v>
      </c>
      <c r="F11" s="114"/>
      <c r="G11" s="120" t="s">
        <v>830</v>
      </c>
      <c r="H11" s="114"/>
      <c r="I11" s="111" t="n">
        <v>5300</v>
      </c>
      <c r="J11" s="110"/>
      <c r="K11" s="120" t="s">
        <v>831</v>
      </c>
      <c r="L11" s="110"/>
      <c r="M11" s="112" t="n">
        <v>3</v>
      </c>
      <c r="N11" s="114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</row>
    <row r="12" customFormat="false" ht="20.85" hidden="false" customHeight="false" outlineLevel="0" collapsed="false">
      <c r="A12" s="108" t="s">
        <v>832</v>
      </c>
      <c r="B12" s="114"/>
      <c r="C12" s="120" t="s">
        <v>833</v>
      </c>
      <c r="D12" s="110"/>
      <c r="E12" s="108" t="s">
        <v>821</v>
      </c>
      <c r="F12" s="114"/>
      <c r="G12" s="120" t="s">
        <v>830</v>
      </c>
      <c r="H12" s="114"/>
      <c r="I12" s="111" t="n">
        <v>5300</v>
      </c>
      <c r="J12" s="110"/>
      <c r="K12" s="120" t="s">
        <v>831</v>
      </c>
      <c r="L12" s="110"/>
      <c r="M12" s="112" t="n">
        <v>3</v>
      </c>
      <c r="N12" s="114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</row>
    <row r="13" customFormat="false" ht="15" hidden="false" customHeight="false" outlineLevel="0" collapsed="false">
      <c r="A13" s="108" t="s">
        <v>834</v>
      </c>
      <c r="B13" s="114"/>
      <c r="C13" s="120" t="s">
        <v>835</v>
      </c>
      <c r="D13" s="110"/>
      <c r="E13" s="108" t="s">
        <v>821</v>
      </c>
      <c r="F13" s="114"/>
      <c r="G13" s="120" t="s">
        <v>830</v>
      </c>
      <c r="H13" s="114"/>
      <c r="I13" s="111" t="n">
        <v>5300</v>
      </c>
      <c r="J13" s="110"/>
      <c r="K13" s="120" t="s">
        <v>831</v>
      </c>
      <c r="L13" s="110"/>
      <c r="M13" s="112" t="n">
        <v>3</v>
      </c>
      <c r="N13" s="114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</row>
    <row r="14" customFormat="false" ht="20.85" hidden="false" customHeight="false" outlineLevel="0" collapsed="false">
      <c r="A14" s="108" t="s">
        <v>836</v>
      </c>
      <c r="B14" s="114"/>
      <c r="C14" s="120" t="s">
        <v>837</v>
      </c>
      <c r="D14" s="110"/>
      <c r="E14" s="108" t="s">
        <v>821</v>
      </c>
      <c r="F14" s="114"/>
      <c r="G14" s="120" t="s">
        <v>830</v>
      </c>
      <c r="H14" s="114"/>
      <c r="I14" s="111" t="n">
        <v>5300</v>
      </c>
      <c r="J14" s="110"/>
      <c r="K14" s="120" t="s">
        <v>831</v>
      </c>
      <c r="L14" s="110"/>
      <c r="M14" s="112" t="n">
        <v>3</v>
      </c>
      <c r="N14" s="114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</row>
    <row r="15" customFormat="false" ht="15" hidden="false" customHeight="false" outlineLevel="0" collapsed="false">
      <c r="A15" s="108" t="s">
        <v>838</v>
      </c>
      <c r="B15" s="114"/>
      <c r="C15" s="120" t="s">
        <v>839</v>
      </c>
      <c r="D15" s="110"/>
      <c r="E15" s="108" t="s">
        <v>821</v>
      </c>
      <c r="F15" s="114"/>
      <c r="G15" s="120" t="s">
        <v>830</v>
      </c>
      <c r="H15" s="114"/>
      <c r="I15" s="111" t="n">
        <v>5300</v>
      </c>
      <c r="J15" s="110"/>
      <c r="K15" s="120" t="s">
        <v>831</v>
      </c>
      <c r="L15" s="110"/>
      <c r="M15" s="112" t="n">
        <v>3</v>
      </c>
      <c r="N15" s="114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</row>
    <row r="16" customFormat="false" ht="20.85" hidden="false" customHeight="false" outlineLevel="0" collapsed="false">
      <c r="A16" s="108" t="s">
        <v>840</v>
      </c>
      <c r="B16" s="114"/>
      <c r="C16" s="120" t="s">
        <v>841</v>
      </c>
      <c r="D16" s="110"/>
      <c r="E16" s="108" t="s">
        <v>821</v>
      </c>
      <c r="F16" s="114"/>
      <c r="G16" s="120" t="s">
        <v>830</v>
      </c>
      <c r="H16" s="114"/>
      <c r="I16" s="111" t="n">
        <v>5300</v>
      </c>
      <c r="J16" s="110"/>
      <c r="K16" s="120" t="s">
        <v>831</v>
      </c>
      <c r="L16" s="110"/>
      <c r="M16" s="112" t="n">
        <v>3</v>
      </c>
      <c r="N16" s="114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</row>
    <row r="17" customFormat="false" ht="20.85" hidden="false" customHeight="false" outlineLevel="0" collapsed="false">
      <c r="A17" s="108" t="s">
        <v>842</v>
      </c>
      <c r="B17" s="114"/>
      <c r="C17" s="120" t="s">
        <v>843</v>
      </c>
      <c r="D17" s="110"/>
      <c r="E17" s="108" t="s">
        <v>844</v>
      </c>
      <c r="F17" s="114"/>
      <c r="G17" s="120" t="s">
        <v>845</v>
      </c>
      <c r="H17" s="114"/>
      <c r="I17" s="111" t="n">
        <v>5499</v>
      </c>
      <c r="J17" s="110"/>
      <c r="K17" s="120" t="s">
        <v>846</v>
      </c>
      <c r="L17" s="110"/>
      <c r="M17" s="112" t="n">
        <v>4</v>
      </c>
      <c r="N17" s="114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</row>
    <row r="18" customFormat="false" ht="20.85" hidden="false" customHeight="false" outlineLevel="0" collapsed="false">
      <c r="A18" s="108" t="s">
        <v>847</v>
      </c>
      <c r="B18" s="114"/>
      <c r="C18" s="120" t="s">
        <v>848</v>
      </c>
      <c r="D18" s="110"/>
      <c r="E18" s="108" t="s">
        <v>821</v>
      </c>
      <c r="F18" s="114"/>
      <c r="G18" s="120" t="s">
        <v>822</v>
      </c>
      <c r="H18" s="114"/>
      <c r="I18" s="111" t="n">
        <v>5499</v>
      </c>
      <c r="J18" s="110"/>
      <c r="K18" s="120" t="s">
        <v>846</v>
      </c>
      <c r="L18" s="110"/>
      <c r="M18" s="112" t="n">
        <v>4</v>
      </c>
      <c r="N18" s="114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</row>
    <row r="19" customFormat="false" ht="20.85" hidden="false" customHeight="false" outlineLevel="0" collapsed="false">
      <c r="A19" s="108" t="s">
        <v>849</v>
      </c>
      <c r="B19" s="114"/>
      <c r="C19" s="120" t="s">
        <v>850</v>
      </c>
      <c r="D19" s="110"/>
      <c r="E19" s="108" t="s">
        <v>821</v>
      </c>
      <c r="F19" s="114"/>
      <c r="G19" s="120" t="s">
        <v>822</v>
      </c>
      <c r="H19" s="114"/>
      <c r="I19" s="111" t="n">
        <v>5499</v>
      </c>
      <c r="J19" s="110"/>
      <c r="K19" s="120" t="s">
        <v>846</v>
      </c>
      <c r="L19" s="110"/>
      <c r="M19" s="112" t="n">
        <v>4</v>
      </c>
      <c r="N19" s="114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</row>
    <row r="20" customFormat="false" ht="20.85" hidden="false" customHeight="false" outlineLevel="0" collapsed="false">
      <c r="A20" s="108" t="s">
        <v>851</v>
      </c>
      <c r="B20" s="114"/>
      <c r="C20" s="120" t="s">
        <v>852</v>
      </c>
      <c r="D20" s="110"/>
      <c r="E20" s="108" t="s">
        <v>821</v>
      </c>
      <c r="F20" s="114"/>
      <c r="G20" s="120" t="s">
        <v>822</v>
      </c>
      <c r="H20" s="114"/>
      <c r="I20" s="111" t="n">
        <v>5499</v>
      </c>
      <c r="J20" s="110"/>
      <c r="K20" s="120" t="s">
        <v>846</v>
      </c>
      <c r="L20" s="110"/>
      <c r="M20" s="112" t="n">
        <v>4</v>
      </c>
      <c r="N20" s="114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</row>
    <row r="21" customFormat="false" ht="15.75" hidden="false" customHeight="true" outlineLevel="0" collapsed="false">
      <c r="A21" s="108" t="s">
        <v>853</v>
      </c>
      <c r="B21" s="114"/>
      <c r="C21" s="120" t="s">
        <v>854</v>
      </c>
      <c r="D21" s="110"/>
      <c r="E21" s="108" t="s">
        <v>855</v>
      </c>
      <c r="F21" s="114"/>
      <c r="G21" s="120" t="s">
        <v>856</v>
      </c>
      <c r="H21" s="114"/>
      <c r="I21" s="111" t="n">
        <v>5499</v>
      </c>
      <c r="J21" s="110"/>
      <c r="K21" s="120" t="s">
        <v>846</v>
      </c>
      <c r="L21" s="110"/>
      <c r="M21" s="112" t="n">
        <v>4</v>
      </c>
      <c r="N21" s="114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</row>
    <row r="22" customFormat="false" ht="15.75" hidden="false" customHeight="true" outlineLevel="0" collapsed="false">
      <c r="A22" s="108" t="s">
        <v>857</v>
      </c>
      <c r="B22" s="114"/>
      <c r="C22" s="120" t="s">
        <v>858</v>
      </c>
      <c r="D22" s="110"/>
      <c r="E22" s="108" t="s">
        <v>855</v>
      </c>
      <c r="F22" s="114"/>
      <c r="G22" s="120" t="s">
        <v>856</v>
      </c>
      <c r="H22" s="114"/>
      <c r="I22" s="111" t="n">
        <v>5499</v>
      </c>
      <c r="J22" s="110"/>
      <c r="K22" s="120" t="s">
        <v>846</v>
      </c>
      <c r="L22" s="110"/>
      <c r="M22" s="112" t="n">
        <v>4</v>
      </c>
      <c r="N22" s="114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</row>
    <row r="23" customFormat="false" ht="15.75" hidden="false" customHeight="true" outlineLevel="0" collapsed="false">
      <c r="A23" s="108" t="s">
        <v>859</v>
      </c>
      <c r="B23" s="114"/>
      <c r="C23" s="120" t="s">
        <v>860</v>
      </c>
      <c r="D23" s="110"/>
      <c r="E23" s="108" t="s">
        <v>855</v>
      </c>
      <c r="F23" s="114"/>
      <c r="G23" s="120" t="s">
        <v>856</v>
      </c>
      <c r="H23" s="114"/>
      <c r="I23" s="111" t="n">
        <v>5499</v>
      </c>
      <c r="J23" s="110"/>
      <c r="K23" s="120" t="s">
        <v>846</v>
      </c>
      <c r="L23" s="110"/>
      <c r="M23" s="112" t="n">
        <v>4</v>
      </c>
      <c r="N23" s="114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</row>
    <row r="24" customFormat="false" ht="15.75" hidden="false" customHeight="true" outlineLevel="0" collapsed="false">
      <c r="A24" s="108" t="s">
        <v>861</v>
      </c>
      <c r="B24" s="114"/>
      <c r="C24" s="120" t="s">
        <v>862</v>
      </c>
      <c r="D24" s="110"/>
      <c r="E24" s="108" t="s">
        <v>855</v>
      </c>
      <c r="F24" s="114"/>
      <c r="G24" s="120" t="s">
        <v>856</v>
      </c>
      <c r="H24" s="114"/>
      <c r="I24" s="111" t="n">
        <v>5812</v>
      </c>
      <c r="J24" s="110"/>
      <c r="K24" s="120" t="s">
        <v>863</v>
      </c>
      <c r="L24" s="110"/>
      <c r="M24" s="112" t="n">
        <v>6</v>
      </c>
      <c r="N24" s="114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</row>
    <row r="25" customFormat="false" ht="15.75" hidden="false" customHeight="true" outlineLevel="0" collapsed="false">
      <c r="A25" s="108" t="s">
        <v>864</v>
      </c>
      <c r="B25" s="114"/>
      <c r="C25" s="120" t="s">
        <v>865</v>
      </c>
      <c r="D25" s="110"/>
      <c r="E25" s="108" t="s">
        <v>855</v>
      </c>
      <c r="F25" s="114"/>
      <c r="G25" s="120" t="s">
        <v>856</v>
      </c>
      <c r="H25" s="114"/>
      <c r="I25" s="111" t="n">
        <v>5812</v>
      </c>
      <c r="J25" s="110"/>
      <c r="K25" s="120" t="s">
        <v>863</v>
      </c>
      <c r="L25" s="110"/>
      <c r="M25" s="112" t="n">
        <v>6</v>
      </c>
      <c r="N25" s="114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</row>
    <row r="26" customFormat="false" ht="15.75" hidden="false" customHeight="true" outlineLevel="0" collapsed="false">
      <c r="A26" s="108" t="s">
        <v>866</v>
      </c>
      <c r="B26" s="114"/>
      <c r="C26" s="120" t="s">
        <v>867</v>
      </c>
      <c r="D26" s="110"/>
      <c r="E26" s="108" t="s">
        <v>855</v>
      </c>
      <c r="F26" s="114"/>
      <c r="G26" s="120" t="s">
        <v>856</v>
      </c>
      <c r="H26" s="114"/>
      <c r="I26" s="111" t="n">
        <v>5813</v>
      </c>
      <c r="J26" s="110"/>
      <c r="K26" s="120" t="s">
        <v>868</v>
      </c>
      <c r="L26" s="110"/>
      <c r="M26" s="112" t="n">
        <v>7</v>
      </c>
      <c r="N26" s="114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</row>
    <row r="27" customFormat="false" ht="15.75" hidden="false" customHeight="true" outlineLevel="0" collapsed="false">
      <c r="A27" s="108" t="s">
        <v>869</v>
      </c>
      <c r="B27" s="114"/>
      <c r="C27" s="120" t="s">
        <v>870</v>
      </c>
      <c r="D27" s="110"/>
      <c r="E27" s="108" t="s">
        <v>855</v>
      </c>
      <c r="F27" s="114"/>
      <c r="G27" s="120" t="s">
        <v>856</v>
      </c>
      <c r="H27" s="114"/>
      <c r="I27" s="111" t="n">
        <v>5813</v>
      </c>
      <c r="J27" s="110"/>
      <c r="K27" s="120" t="s">
        <v>868</v>
      </c>
      <c r="L27" s="110"/>
      <c r="M27" s="112" t="n">
        <v>7</v>
      </c>
      <c r="N27" s="114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</row>
    <row r="28" customFormat="false" ht="15.75" hidden="false" customHeight="true" outlineLevel="0" collapsed="false">
      <c r="A28" s="108" t="s">
        <v>871</v>
      </c>
      <c r="B28" s="114"/>
      <c r="C28" s="120" t="s">
        <v>872</v>
      </c>
      <c r="D28" s="110"/>
      <c r="E28" s="108" t="s">
        <v>855</v>
      </c>
      <c r="F28" s="114"/>
      <c r="G28" s="120" t="s">
        <v>856</v>
      </c>
      <c r="H28" s="114"/>
      <c r="I28" s="111" t="n">
        <v>5813</v>
      </c>
      <c r="J28" s="110"/>
      <c r="K28" s="120" t="s">
        <v>868</v>
      </c>
      <c r="L28" s="110"/>
      <c r="M28" s="112" t="n">
        <v>7</v>
      </c>
      <c r="N28" s="114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</row>
    <row r="29" customFormat="false" ht="15.75" hidden="false" customHeight="true" outlineLevel="0" collapsed="false">
      <c r="A29" s="108" t="s">
        <v>873</v>
      </c>
      <c r="B29" s="114"/>
      <c r="C29" s="120" t="s">
        <v>874</v>
      </c>
      <c r="D29" s="110"/>
      <c r="E29" s="108" t="s">
        <v>875</v>
      </c>
      <c r="F29" s="114"/>
      <c r="G29" s="120" t="s">
        <v>876</v>
      </c>
      <c r="H29" s="114"/>
      <c r="I29" s="111" t="n">
        <v>5813</v>
      </c>
      <c r="J29" s="110"/>
      <c r="K29" s="120" t="s">
        <v>868</v>
      </c>
      <c r="L29" s="110"/>
      <c r="M29" s="112" t="n">
        <v>7</v>
      </c>
      <c r="N29" s="114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</row>
    <row r="30" customFormat="false" ht="15.75" hidden="false" customHeight="true" outlineLevel="0" collapsed="false">
      <c r="A30" s="108" t="s">
        <v>877</v>
      </c>
      <c r="B30" s="114"/>
      <c r="C30" s="120" t="s">
        <v>878</v>
      </c>
      <c r="D30" s="110"/>
      <c r="E30" s="108" t="s">
        <v>855</v>
      </c>
      <c r="F30" s="114"/>
      <c r="G30" s="120" t="s">
        <v>856</v>
      </c>
      <c r="H30" s="114"/>
      <c r="I30" s="111" t="n">
        <v>5814</v>
      </c>
      <c r="J30" s="110"/>
      <c r="K30" s="120" t="s">
        <v>879</v>
      </c>
      <c r="L30" s="110"/>
      <c r="M30" s="112" t="n">
        <v>8</v>
      </c>
      <c r="N30" s="114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</row>
    <row r="31" customFormat="false" ht="15.75" hidden="false" customHeight="true" outlineLevel="0" collapsed="false">
      <c r="A31" s="108" t="s">
        <v>880</v>
      </c>
      <c r="B31" s="114"/>
      <c r="C31" s="120" t="s">
        <v>881</v>
      </c>
      <c r="D31" s="110"/>
      <c r="E31" s="108" t="s">
        <v>855</v>
      </c>
      <c r="F31" s="114"/>
      <c r="G31" s="120" t="s">
        <v>882</v>
      </c>
      <c r="H31" s="114"/>
      <c r="I31" s="111" t="n">
        <v>7011</v>
      </c>
      <c r="J31" s="110"/>
      <c r="K31" s="120" t="s">
        <v>883</v>
      </c>
      <c r="L31" s="110"/>
      <c r="M31" s="112" t="n">
        <v>9</v>
      </c>
      <c r="N31" s="114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</row>
    <row r="32" customFormat="false" ht="15.75" hidden="false" customHeight="true" outlineLevel="0" collapsed="false">
      <c r="A32" s="108" t="s">
        <v>884</v>
      </c>
      <c r="B32" s="114"/>
      <c r="C32" s="120" t="s">
        <v>885</v>
      </c>
      <c r="D32" s="110"/>
      <c r="E32" s="108" t="s">
        <v>855</v>
      </c>
      <c r="F32" s="114"/>
      <c r="G32" s="120" t="s">
        <v>882</v>
      </c>
      <c r="H32" s="114"/>
      <c r="I32" s="111" t="n">
        <v>7011</v>
      </c>
      <c r="J32" s="110"/>
      <c r="K32" s="120" t="s">
        <v>883</v>
      </c>
      <c r="L32" s="110"/>
      <c r="M32" s="112" t="n">
        <v>9</v>
      </c>
      <c r="N32" s="114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</row>
    <row r="33" customFormat="false" ht="15.75" hidden="false" customHeight="true" outlineLevel="0" collapsed="false">
      <c r="A33" s="108" t="s">
        <v>886</v>
      </c>
      <c r="B33" s="114"/>
      <c r="C33" s="120" t="s">
        <v>887</v>
      </c>
      <c r="D33" s="110"/>
      <c r="E33" s="108" t="s">
        <v>855</v>
      </c>
      <c r="F33" s="114"/>
      <c r="G33" s="120" t="s">
        <v>882</v>
      </c>
      <c r="H33" s="114"/>
      <c r="I33" s="111" t="n">
        <v>7011</v>
      </c>
      <c r="J33" s="110"/>
      <c r="K33" s="120" t="s">
        <v>883</v>
      </c>
      <c r="L33" s="110"/>
      <c r="M33" s="112" t="n">
        <v>9</v>
      </c>
      <c r="N33" s="114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</row>
    <row r="34" customFormat="false" ht="15.75" hidden="false" customHeight="true" outlineLevel="0" collapsed="false">
      <c r="A34" s="108" t="s">
        <v>888</v>
      </c>
      <c r="B34" s="114"/>
      <c r="C34" s="120" t="s">
        <v>889</v>
      </c>
      <c r="D34" s="110"/>
      <c r="E34" s="108" t="s">
        <v>855</v>
      </c>
      <c r="F34" s="114"/>
      <c r="G34" s="120" t="s">
        <v>882</v>
      </c>
      <c r="H34" s="114"/>
      <c r="I34" s="111" t="n">
        <v>7011</v>
      </c>
      <c r="J34" s="110"/>
      <c r="K34" s="120" t="s">
        <v>883</v>
      </c>
      <c r="L34" s="110"/>
      <c r="M34" s="112" t="n">
        <v>9</v>
      </c>
      <c r="N34" s="114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</row>
    <row r="35" customFormat="false" ht="15.75" hidden="false" customHeight="true" outlineLevel="0" collapsed="false">
      <c r="A35" s="108" t="s">
        <v>890</v>
      </c>
      <c r="B35" s="114"/>
      <c r="C35" s="120" t="s">
        <v>891</v>
      </c>
      <c r="D35" s="110"/>
      <c r="E35" s="108" t="s">
        <v>855</v>
      </c>
      <c r="F35" s="114"/>
      <c r="G35" s="120" t="s">
        <v>882</v>
      </c>
      <c r="H35" s="114"/>
      <c r="I35" s="111" t="n">
        <v>7011</v>
      </c>
      <c r="J35" s="110"/>
      <c r="K35" s="120" t="s">
        <v>883</v>
      </c>
      <c r="L35" s="110"/>
      <c r="M35" s="112" t="n">
        <v>9</v>
      </c>
      <c r="N35" s="114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</row>
    <row r="36" customFormat="false" ht="15.75" hidden="false" customHeight="true" outlineLevel="0" collapsed="false">
      <c r="A36" s="108" t="s">
        <v>892</v>
      </c>
      <c r="B36" s="114"/>
      <c r="C36" s="120" t="s">
        <v>893</v>
      </c>
      <c r="D36" s="110"/>
      <c r="E36" s="108" t="s">
        <v>855</v>
      </c>
      <c r="F36" s="114"/>
      <c r="G36" s="120" t="s">
        <v>882</v>
      </c>
      <c r="H36" s="114"/>
      <c r="I36" s="111" t="n">
        <v>7011</v>
      </c>
      <c r="J36" s="110"/>
      <c r="K36" s="120" t="s">
        <v>883</v>
      </c>
      <c r="L36" s="110"/>
      <c r="M36" s="112" t="n">
        <v>9</v>
      </c>
      <c r="N36" s="114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</row>
    <row r="37" customFormat="false" ht="15.75" hidden="false" customHeight="true" outlineLevel="0" collapsed="false">
      <c r="A37" s="108" t="s">
        <v>894</v>
      </c>
      <c r="B37" s="114"/>
      <c r="C37" s="120" t="s">
        <v>895</v>
      </c>
      <c r="D37" s="110"/>
      <c r="E37" s="108" t="s">
        <v>808</v>
      </c>
      <c r="F37" s="114"/>
      <c r="G37" s="120" t="s">
        <v>896</v>
      </c>
      <c r="H37" s="114"/>
      <c r="I37" s="111" t="n">
        <v>7832</v>
      </c>
      <c r="J37" s="110"/>
      <c r="K37" s="120" t="s">
        <v>897</v>
      </c>
      <c r="L37" s="110"/>
      <c r="M37" s="121" t="n">
        <v>10</v>
      </c>
      <c r="N37" s="114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</row>
    <row r="38" customFormat="false" ht="15.75" hidden="false" customHeight="true" outlineLevel="0" collapsed="false">
      <c r="A38" s="108" t="s">
        <v>898</v>
      </c>
      <c r="B38" s="114"/>
      <c r="C38" s="120" t="s">
        <v>899</v>
      </c>
      <c r="D38" s="110"/>
      <c r="E38" s="108" t="s">
        <v>844</v>
      </c>
      <c r="F38" s="114"/>
      <c r="G38" s="120" t="s">
        <v>845</v>
      </c>
      <c r="H38" s="114"/>
      <c r="I38" s="111" t="n">
        <v>5462</v>
      </c>
      <c r="J38" s="110"/>
      <c r="K38" s="120" t="s">
        <v>900</v>
      </c>
      <c r="L38" s="110"/>
      <c r="M38" s="112" t="n">
        <v>12</v>
      </c>
      <c r="N38" s="114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</row>
    <row r="39" customFormat="false" ht="15.75" hidden="false" customHeight="true" outlineLevel="0" collapsed="false">
      <c r="A39" s="108" t="s">
        <v>901</v>
      </c>
      <c r="B39" s="114"/>
      <c r="C39" s="120" t="s">
        <v>902</v>
      </c>
      <c r="D39" s="110"/>
      <c r="E39" s="108" t="s">
        <v>844</v>
      </c>
      <c r="F39" s="114"/>
      <c r="G39" s="120" t="s">
        <v>845</v>
      </c>
      <c r="H39" s="114"/>
      <c r="I39" s="111" t="n">
        <v>5462</v>
      </c>
      <c r="J39" s="110"/>
      <c r="K39" s="120" t="s">
        <v>900</v>
      </c>
      <c r="L39" s="110"/>
      <c r="M39" s="112" t="n">
        <v>12</v>
      </c>
      <c r="N39" s="114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</row>
    <row r="40" customFormat="false" ht="15.75" hidden="false" customHeight="true" outlineLevel="0" collapsed="false">
      <c r="A40" s="108" t="s">
        <v>903</v>
      </c>
      <c r="B40" s="114"/>
      <c r="C40" s="120" t="s">
        <v>904</v>
      </c>
      <c r="D40" s="110"/>
      <c r="E40" s="108" t="s">
        <v>821</v>
      </c>
      <c r="F40" s="114"/>
      <c r="G40" s="120" t="s">
        <v>830</v>
      </c>
      <c r="H40" s="114"/>
      <c r="I40" s="111" t="n">
        <v>5462</v>
      </c>
      <c r="J40" s="110"/>
      <c r="K40" s="120" t="s">
        <v>900</v>
      </c>
      <c r="L40" s="110"/>
      <c r="M40" s="112" t="n">
        <v>12</v>
      </c>
      <c r="N40" s="114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</row>
    <row r="41" customFormat="false" ht="15.75" hidden="false" customHeight="true" outlineLevel="0" collapsed="false">
      <c r="A41" s="108" t="s">
        <v>905</v>
      </c>
      <c r="B41" s="114"/>
      <c r="C41" s="120" t="s">
        <v>906</v>
      </c>
      <c r="D41" s="110"/>
      <c r="E41" s="108" t="s">
        <v>821</v>
      </c>
      <c r="F41" s="114"/>
      <c r="G41" s="120" t="s">
        <v>822</v>
      </c>
      <c r="H41" s="114"/>
      <c r="I41" s="111" t="n">
        <v>5462</v>
      </c>
      <c r="J41" s="110"/>
      <c r="K41" s="120" t="s">
        <v>900</v>
      </c>
      <c r="L41" s="110"/>
      <c r="M41" s="112" t="n">
        <v>12</v>
      </c>
      <c r="N41" s="114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</row>
    <row r="42" customFormat="false" ht="15.75" hidden="false" customHeight="true" outlineLevel="0" collapsed="false">
      <c r="A42" s="108" t="s">
        <v>907</v>
      </c>
      <c r="B42" s="114"/>
      <c r="C42" s="120" t="s">
        <v>908</v>
      </c>
      <c r="D42" s="110"/>
      <c r="E42" s="108" t="s">
        <v>818</v>
      </c>
      <c r="F42" s="114"/>
      <c r="G42" s="120" t="s">
        <v>818</v>
      </c>
      <c r="H42" s="114"/>
      <c r="I42" s="111" t="n">
        <v>5462</v>
      </c>
      <c r="J42" s="110"/>
      <c r="K42" s="120" t="s">
        <v>900</v>
      </c>
      <c r="L42" s="110"/>
      <c r="M42" s="112" t="n">
        <v>12</v>
      </c>
      <c r="N42" s="114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</row>
    <row r="43" customFormat="false" ht="15.75" hidden="false" customHeight="true" outlineLevel="0" collapsed="false">
      <c r="A43" s="108" t="s">
        <v>909</v>
      </c>
      <c r="B43" s="114"/>
      <c r="C43" s="120" t="s">
        <v>910</v>
      </c>
      <c r="D43" s="110"/>
      <c r="E43" s="108" t="s">
        <v>818</v>
      </c>
      <c r="F43" s="114"/>
      <c r="G43" s="120" t="s">
        <v>818</v>
      </c>
      <c r="H43" s="114"/>
      <c r="I43" s="111" t="n">
        <v>5462</v>
      </c>
      <c r="J43" s="110"/>
      <c r="K43" s="120" t="s">
        <v>900</v>
      </c>
      <c r="L43" s="110"/>
      <c r="M43" s="112" t="n">
        <v>12</v>
      </c>
      <c r="N43" s="114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</row>
    <row r="44" customFormat="false" ht="15.75" hidden="false" customHeight="true" outlineLevel="0" collapsed="false">
      <c r="A44" s="108" t="s">
        <v>911</v>
      </c>
      <c r="B44" s="114"/>
      <c r="C44" s="120" t="s">
        <v>912</v>
      </c>
      <c r="D44" s="110"/>
      <c r="E44" s="108" t="s">
        <v>844</v>
      </c>
      <c r="F44" s="114"/>
      <c r="G44" s="120" t="s">
        <v>913</v>
      </c>
      <c r="H44" s="114"/>
      <c r="I44" s="111" t="n">
        <v>2791</v>
      </c>
      <c r="J44" s="110"/>
      <c r="K44" s="120" t="s">
        <v>914</v>
      </c>
      <c r="L44" s="110"/>
      <c r="M44" s="112" t="n">
        <v>13</v>
      </c>
      <c r="N44" s="114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</row>
    <row r="45" customFormat="false" ht="15.75" hidden="false" customHeight="true" outlineLevel="0" collapsed="false">
      <c r="A45" s="108" t="s">
        <v>915</v>
      </c>
      <c r="B45" s="114"/>
      <c r="C45" s="120" t="s">
        <v>916</v>
      </c>
      <c r="D45" s="110"/>
      <c r="E45" s="108" t="s">
        <v>844</v>
      </c>
      <c r="F45" s="114"/>
      <c r="G45" s="120" t="s">
        <v>917</v>
      </c>
      <c r="H45" s="114"/>
      <c r="I45" s="111" t="n">
        <v>2791</v>
      </c>
      <c r="J45" s="110"/>
      <c r="K45" s="120" t="s">
        <v>914</v>
      </c>
      <c r="L45" s="110"/>
      <c r="M45" s="112" t="n">
        <v>13</v>
      </c>
      <c r="N45" s="114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</row>
    <row r="46" customFormat="false" ht="15.75" hidden="false" customHeight="true" outlineLevel="0" collapsed="false">
      <c r="A46" s="108" t="s">
        <v>918</v>
      </c>
      <c r="B46" s="114"/>
      <c r="C46" s="120" t="s">
        <v>919</v>
      </c>
      <c r="D46" s="110"/>
      <c r="E46" s="108" t="s">
        <v>920</v>
      </c>
      <c r="F46" s="114"/>
      <c r="G46" s="120" t="s">
        <v>921</v>
      </c>
      <c r="H46" s="114"/>
      <c r="I46" s="111" t="n">
        <v>2791</v>
      </c>
      <c r="J46" s="110"/>
      <c r="K46" s="120" t="s">
        <v>914</v>
      </c>
      <c r="L46" s="110"/>
      <c r="M46" s="112" t="n">
        <v>13</v>
      </c>
      <c r="N46" s="114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</row>
    <row r="47" customFormat="false" ht="15.75" hidden="false" customHeight="true" outlineLevel="0" collapsed="false">
      <c r="A47" s="108" t="s">
        <v>922</v>
      </c>
      <c r="B47" s="114"/>
      <c r="C47" s="120" t="s">
        <v>923</v>
      </c>
      <c r="D47" s="110"/>
      <c r="E47" s="108" t="s">
        <v>924</v>
      </c>
      <c r="F47" s="114"/>
      <c r="G47" s="120" t="s">
        <v>925</v>
      </c>
      <c r="H47" s="114"/>
      <c r="I47" s="111" t="n">
        <v>4119</v>
      </c>
      <c r="J47" s="110"/>
      <c r="K47" s="120" t="s">
        <v>926</v>
      </c>
      <c r="L47" s="110"/>
      <c r="M47" s="112" t="n">
        <v>14</v>
      </c>
      <c r="N47" s="114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</row>
    <row r="48" customFormat="false" ht="15.75" hidden="false" customHeight="true" outlineLevel="0" collapsed="false">
      <c r="A48" s="108" t="s">
        <v>927</v>
      </c>
      <c r="B48" s="114"/>
      <c r="C48" s="120" t="s">
        <v>928</v>
      </c>
      <c r="D48" s="110"/>
      <c r="E48" s="108" t="s">
        <v>924</v>
      </c>
      <c r="F48" s="114"/>
      <c r="G48" s="120" t="s">
        <v>925</v>
      </c>
      <c r="H48" s="114"/>
      <c r="I48" s="111" t="n">
        <v>4119</v>
      </c>
      <c r="J48" s="110"/>
      <c r="K48" s="120" t="s">
        <v>926</v>
      </c>
      <c r="L48" s="110"/>
      <c r="M48" s="112" t="n">
        <v>14</v>
      </c>
      <c r="N48" s="114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</row>
    <row r="49" customFormat="false" ht="15.75" hidden="false" customHeight="true" outlineLevel="0" collapsed="false">
      <c r="A49" s="108" t="s">
        <v>929</v>
      </c>
      <c r="B49" s="114"/>
      <c r="C49" s="120" t="s">
        <v>930</v>
      </c>
      <c r="D49" s="110"/>
      <c r="E49" s="108" t="s">
        <v>924</v>
      </c>
      <c r="F49" s="114"/>
      <c r="G49" s="120" t="s">
        <v>925</v>
      </c>
      <c r="H49" s="114"/>
      <c r="I49" s="111" t="n">
        <v>4119</v>
      </c>
      <c r="J49" s="110"/>
      <c r="K49" s="120" t="s">
        <v>926</v>
      </c>
      <c r="L49" s="110"/>
      <c r="M49" s="112" t="n">
        <v>14</v>
      </c>
      <c r="N49" s="114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</row>
    <row r="50" customFormat="false" ht="15.75" hidden="false" customHeight="true" outlineLevel="0" collapsed="false">
      <c r="A50" s="108" t="s">
        <v>931</v>
      </c>
      <c r="B50" s="114"/>
      <c r="C50" s="120" t="s">
        <v>932</v>
      </c>
      <c r="D50" s="110"/>
      <c r="E50" s="108" t="s">
        <v>933</v>
      </c>
      <c r="F50" s="114"/>
      <c r="G50" s="120" t="s">
        <v>934</v>
      </c>
      <c r="H50" s="114"/>
      <c r="I50" s="111" t="n">
        <v>4214</v>
      </c>
      <c r="J50" s="110"/>
      <c r="K50" s="120" t="s">
        <v>935</v>
      </c>
      <c r="L50" s="110"/>
      <c r="M50" s="112" t="n">
        <v>15</v>
      </c>
      <c r="N50" s="114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</row>
    <row r="51" customFormat="false" ht="15.75" hidden="false" customHeight="true" outlineLevel="0" collapsed="false">
      <c r="A51" s="108" t="s">
        <v>936</v>
      </c>
      <c r="B51" s="114"/>
      <c r="C51" s="120" t="s">
        <v>937</v>
      </c>
      <c r="D51" s="110"/>
      <c r="E51" s="108" t="s">
        <v>933</v>
      </c>
      <c r="F51" s="114"/>
      <c r="G51" s="120" t="s">
        <v>934</v>
      </c>
      <c r="H51" s="114"/>
      <c r="I51" s="111" t="n">
        <v>4214</v>
      </c>
      <c r="J51" s="110"/>
      <c r="K51" s="120" t="s">
        <v>938</v>
      </c>
      <c r="L51" s="110"/>
      <c r="M51" s="112" t="n">
        <v>15</v>
      </c>
      <c r="N51" s="114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</row>
    <row r="52" customFormat="false" ht="15.75" hidden="false" customHeight="true" outlineLevel="0" collapsed="false">
      <c r="A52" s="108" t="s">
        <v>939</v>
      </c>
      <c r="B52" s="114"/>
      <c r="C52" s="120" t="s">
        <v>940</v>
      </c>
      <c r="D52" s="110"/>
      <c r="E52" s="108" t="s">
        <v>933</v>
      </c>
      <c r="F52" s="114"/>
      <c r="G52" s="120" t="s">
        <v>934</v>
      </c>
      <c r="H52" s="114"/>
      <c r="I52" s="111" t="n">
        <v>4214</v>
      </c>
      <c r="J52" s="110"/>
      <c r="K52" s="120" t="s">
        <v>935</v>
      </c>
      <c r="L52" s="110"/>
      <c r="M52" s="112" t="n">
        <v>15</v>
      </c>
      <c r="N52" s="114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</row>
    <row r="53" customFormat="false" ht="15.75" hidden="false" customHeight="true" outlineLevel="0" collapsed="false">
      <c r="A53" s="108" t="s">
        <v>941</v>
      </c>
      <c r="B53" s="114"/>
      <c r="C53" s="120" t="s">
        <v>942</v>
      </c>
      <c r="D53" s="110"/>
      <c r="E53" s="108" t="s">
        <v>933</v>
      </c>
      <c r="F53" s="114"/>
      <c r="G53" s="120" t="s">
        <v>934</v>
      </c>
      <c r="H53" s="114"/>
      <c r="I53" s="111" t="n">
        <v>4214</v>
      </c>
      <c r="J53" s="110"/>
      <c r="K53" s="120" t="s">
        <v>938</v>
      </c>
      <c r="L53" s="110"/>
      <c r="M53" s="112" t="n">
        <v>15</v>
      </c>
      <c r="N53" s="114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</row>
    <row r="54" customFormat="false" ht="15.75" hidden="false" customHeight="true" outlineLevel="0" collapsed="false">
      <c r="A54" s="108" t="s">
        <v>943</v>
      </c>
      <c r="B54" s="114"/>
      <c r="C54" s="120" t="s">
        <v>944</v>
      </c>
      <c r="D54" s="110"/>
      <c r="E54" s="108" t="s">
        <v>933</v>
      </c>
      <c r="F54" s="114"/>
      <c r="G54" s="120" t="s">
        <v>945</v>
      </c>
      <c r="H54" s="114"/>
      <c r="I54" s="111" t="n">
        <v>4214</v>
      </c>
      <c r="J54" s="110"/>
      <c r="K54" s="120" t="s">
        <v>935</v>
      </c>
      <c r="L54" s="110"/>
      <c r="M54" s="112" t="n">
        <v>15</v>
      </c>
      <c r="N54" s="114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</row>
    <row r="55" customFormat="false" ht="15.75" hidden="false" customHeight="true" outlineLevel="0" collapsed="false">
      <c r="A55" s="108" t="s">
        <v>946</v>
      </c>
      <c r="B55" s="114"/>
      <c r="C55" s="120" t="s">
        <v>947</v>
      </c>
      <c r="D55" s="110"/>
      <c r="E55" s="108" t="s">
        <v>821</v>
      </c>
      <c r="F55" s="114"/>
      <c r="G55" s="120" t="s">
        <v>830</v>
      </c>
      <c r="H55" s="114"/>
      <c r="I55" s="111" t="n">
        <v>4225</v>
      </c>
      <c r="J55" s="110"/>
      <c r="K55" s="120" t="s">
        <v>948</v>
      </c>
      <c r="L55" s="110"/>
      <c r="M55" s="112" t="n">
        <v>16</v>
      </c>
      <c r="N55" s="114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</row>
    <row r="56" customFormat="false" ht="15.75" hidden="false" customHeight="true" outlineLevel="0" collapsed="false">
      <c r="A56" s="108" t="s">
        <v>949</v>
      </c>
      <c r="B56" s="114"/>
      <c r="C56" s="120" t="s">
        <v>950</v>
      </c>
      <c r="D56" s="110"/>
      <c r="E56" s="108" t="s">
        <v>933</v>
      </c>
      <c r="F56" s="114"/>
      <c r="G56" s="120" t="s">
        <v>945</v>
      </c>
      <c r="H56" s="114"/>
      <c r="I56" s="111" t="n">
        <v>4225</v>
      </c>
      <c r="J56" s="110"/>
      <c r="K56" s="120" t="s">
        <v>948</v>
      </c>
      <c r="L56" s="110"/>
      <c r="M56" s="112" t="n">
        <v>16</v>
      </c>
      <c r="N56" s="114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</row>
    <row r="57" customFormat="false" ht="15.75" hidden="false" customHeight="true" outlineLevel="0" collapsed="false">
      <c r="A57" s="108" t="s">
        <v>951</v>
      </c>
      <c r="B57" s="114"/>
      <c r="C57" s="120" t="s">
        <v>952</v>
      </c>
      <c r="D57" s="110"/>
      <c r="E57" s="108" t="s">
        <v>933</v>
      </c>
      <c r="F57" s="114"/>
      <c r="G57" s="120" t="s">
        <v>945</v>
      </c>
      <c r="H57" s="114"/>
      <c r="I57" s="111" t="n">
        <v>4225</v>
      </c>
      <c r="J57" s="110"/>
      <c r="K57" s="120" t="s">
        <v>948</v>
      </c>
      <c r="L57" s="110"/>
      <c r="M57" s="112" t="n">
        <v>16</v>
      </c>
      <c r="N57" s="114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</row>
    <row r="58" customFormat="false" ht="15.75" hidden="false" customHeight="true" outlineLevel="0" collapsed="false">
      <c r="A58" s="108" t="s">
        <v>953</v>
      </c>
      <c r="B58" s="114"/>
      <c r="C58" s="120" t="s">
        <v>954</v>
      </c>
      <c r="D58" s="110"/>
      <c r="E58" s="108" t="s">
        <v>933</v>
      </c>
      <c r="F58" s="114"/>
      <c r="G58" s="120" t="s">
        <v>945</v>
      </c>
      <c r="H58" s="114"/>
      <c r="I58" s="111" t="n">
        <v>4225</v>
      </c>
      <c r="J58" s="110"/>
      <c r="K58" s="120" t="s">
        <v>948</v>
      </c>
      <c r="L58" s="110"/>
      <c r="M58" s="112" t="n">
        <v>16</v>
      </c>
      <c r="N58" s="114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</row>
    <row r="59" customFormat="false" ht="15.75" hidden="false" customHeight="true" outlineLevel="0" collapsed="false">
      <c r="A59" s="108" t="s">
        <v>955</v>
      </c>
      <c r="B59" s="114"/>
      <c r="C59" s="120" t="s">
        <v>956</v>
      </c>
      <c r="D59" s="110"/>
      <c r="E59" s="108" t="s">
        <v>844</v>
      </c>
      <c r="F59" s="114"/>
      <c r="G59" s="120" t="s">
        <v>957</v>
      </c>
      <c r="H59" s="114"/>
      <c r="I59" s="111" t="n">
        <v>4468</v>
      </c>
      <c r="J59" s="110"/>
      <c r="K59" s="120" t="s">
        <v>958</v>
      </c>
      <c r="L59" s="110"/>
      <c r="M59" s="112" t="n">
        <v>17</v>
      </c>
      <c r="N59" s="114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</row>
    <row r="60" customFormat="false" ht="15.75" hidden="false" customHeight="true" outlineLevel="0" collapsed="false">
      <c r="A60" s="108" t="s">
        <v>959</v>
      </c>
      <c r="B60" s="114"/>
      <c r="C60" s="120" t="s">
        <v>960</v>
      </c>
      <c r="D60" s="110"/>
      <c r="E60" s="108" t="s">
        <v>844</v>
      </c>
      <c r="F60" s="114"/>
      <c r="G60" s="120" t="s">
        <v>957</v>
      </c>
      <c r="H60" s="114"/>
      <c r="I60" s="111" t="n">
        <v>4468</v>
      </c>
      <c r="J60" s="110"/>
      <c r="K60" s="120" t="s">
        <v>958</v>
      </c>
      <c r="L60" s="110"/>
      <c r="M60" s="112" t="n">
        <v>17</v>
      </c>
      <c r="N60" s="114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</row>
    <row r="61" customFormat="false" ht="15.75" hidden="false" customHeight="true" outlineLevel="0" collapsed="false">
      <c r="A61" s="108" t="s">
        <v>961</v>
      </c>
      <c r="B61" s="114"/>
      <c r="C61" s="120" t="s">
        <v>962</v>
      </c>
      <c r="D61" s="110"/>
      <c r="E61" s="108" t="s">
        <v>933</v>
      </c>
      <c r="F61" s="114"/>
      <c r="G61" s="120" t="s">
        <v>945</v>
      </c>
      <c r="H61" s="114"/>
      <c r="I61" s="111" t="n">
        <v>4582</v>
      </c>
      <c r="J61" s="110"/>
      <c r="K61" s="120" t="s">
        <v>963</v>
      </c>
      <c r="L61" s="110"/>
      <c r="M61" s="112" t="n">
        <v>18</v>
      </c>
      <c r="N61" s="114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</row>
    <row r="62" customFormat="false" ht="15.75" hidden="false" customHeight="true" outlineLevel="0" collapsed="false">
      <c r="A62" s="108" t="s">
        <v>964</v>
      </c>
      <c r="B62" s="114"/>
      <c r="C62" s="120" t="s">
        <v>965</v>
      </c>
      <c r="D62" s="110"/>
      <c r="E62" s="108" t="s">
        <v>933</v>
      </c>
      <c r="F62" s="114"/>
      <c r="G62" s="120" t="s">
        <v>945</v>
      </c>
      <c r="H62" s="114"/>
      <c r="I62" s="111" t="n">
        <v>4582</v>
      </c>
      <c r="J62" s="110"/>
      <c r="K62" s="120" t="s">
        <v>963</v>
      </c>
      <c r="L62" s="110"/>
      <c r="M62" s="112" t="n">
        <v>18</v>
      </c>
      <c r="N62" s="114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</row>
    <row r="63" customFormat="false" ht="15.75" hidden="false" customHeight="true" outlineLevel="0" collapsed="false">
      <c r="A63" s="108" t="s">
        <v>966</v>
      </c>
      <c r="B63" s="114"/>
      <c r="C63" s="120" t="s">
        <v>967</v>
      </c>
      <c r="D63" s="110"/>
      <c r="E63" s="108" t="s">
        <v>844</v>
      </c>
      <c r="F63" s="114"/>
      <c r="G63" s="120" t="s">
        <v>968</v>
      </c>
      <c r="H63" s="114"/>
      <c r="I63" s="111" t="n">
        <v>5013</v>
      </c>
      <c r="J63" s="122"/>
      <c r="K63" s="120" t="s">
        <v>969</v>
      </c>
      <c r="L63" s="122"/>
      <c r="M63" s="112" t="n">
        <v>19</v>
      </c>
      <c r="N63" s="114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</row>
    <row r="64" customFormat="false" ht="15.75" hidden="false" customHeight="true" outlineLevel="0" collapsed="false">
      <c r="A64" s="108" t="s">
        <v>970</v>
      </c>
      <c r="B64" s="114"/>
      <c r="C64" s="120" t="s">
        <v>971</v>
      </c>
      <c r="D64" s="110"/>
      <c r="E64" s="108" t="s">
        <v>844</v>
      </c>
      <c r="F64" s="114"/>
      <c r="G64" s="120" t="s">
        <v>972</v>
      </c>
      <c r="H64" s="114"/>
      <c r="I64" s="111" t="n">
        <v>5013</v>
      </c>
      <c r="J64" s="110"/>
      <c r="K64" s="120" t="s">
        <v>969</v>
      </c>
      <c r="L64" s="110"/>
      <c r="M64" s="112" t="n">
        <v>19</v>
      </c>
      <c r="N64" s="114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</row>
    <row r="65" customFormat="false" ht="15.75" hidden="false" customHeight="true" outlineLevel="0" collapsed="false">
      <c r="A65" s="108" t="s">
        <v>973</v>
      </c>
      <c r="B65" s="114"/>
      <c r="C65" s="120" t="s">
        <v>974</v>
      </c>
      <c r="D65" s="110"/>
      <c r="E65" s="108" t="s">
        <v>844</v>
      </c>
      <c r="F65" s="114"/>
      <c r="G65" s="120" t="s">
        <v>972</v>
      </c>
      <c r="H65" s="114"/>
      <c r="I65" s="111" t="n">
        <v>5013</v>
      </c>
      <c r="J65" s="110"/>
      <c r="K65" s="120" t="s">
        <v>969</v>
      </c>
      <c r="L65" s="110"/>
      <c r="M65" s="112" t="n">
        <v>19</v>
      </c>
      <c r="N65" s="114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</row>
    <row r="66" customFormat="false" ht="15.75" hidden="false" customHeight="true" outlineLevel="0" collapsed="false">
      <c r="A66" s="108" t="s">
        <v>975</v>
      </c>
      <c r="B66" s="114"/>
      <c r="C66" s="120" t="s">
        <v>976</v>
      </c>
      <c r="D66" s="110"/>
      <c r="E66" s="108" t="s">
        <v>844</v>
      </c>
      <c r="F66" s="114"/>
      <c r="G66" s="120" t="s">
        <v>972</v>
      </c>
      <c r="H66" s="114"/>
      <c r="I66" s="111" t="n">
        <v>5013</v>
      </c>
      <c r="J66" s="110"/>
      <c r="K66" s="120" t="s">
        <v>969</v>
      </c>
      <c r="L66" s="110"/>
      <c r="M66" s="112" t="n">
        <v>19</v>
      </c>
      <c r="N66" s="114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</row>
    <row r="67" customFormat="false" ht="15.75" hidden="false" customHeight="true" outlineLevel="0" collapsed="false">
      <c r="A67" s="108" t="s">
        <v>977</v>
      </c>
      <c r="B67" s="114"/>
      <c r="C67" s="120" t="s">
        <v>978</v>
      </c>
      <c r="D67" s="110"/>
      <c r="E67" s="108" t="s">
        <v>844</v>
      </c>
      <c r="F67" s="114"/>
      <c r="G67" s="120" t="s">
        <v>972</v>
      </c>
      <c r="H67" s="114"/>
      <c r="I67" s="111" t="n">
        <v>5013</v>
      </c>
      <c r="J67" s="110"/>
      <c r="K67" s="120" t="s">
        <v>969</v>
      </c>
      <c r="L67" s="110"/>
      <c r="M67" s="112" t="n">
        <v>19</v>
      </c>
      <c r="N67" s="114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</row>
    <row r="68" customFormat="false" ht="15.75" hidden="false" customHeight="true" outlineLevel="0" collapsed="false">
      <c r="A68" s="108" t="s">
        <v>979</v>
      </c>
      <c r="B68" s="114"/>
      <c r="C68" s="120" t="s">
        <v>980</v>
      </c>
      <c r="D68" s="110"/>
      <c r="E68" s="108" t="s">
        <v>844</v>
      </c>
      <c r="F68" s="114"/>
      <c r="G68" s="120" t="s">
        <v>972</v>
      </c>
      <c r="H68" s="114"/>
      <c r="I68" s="111" t="n">
        <v>5013</v>
      </c>
      <c r="J68" s="110"/>
      <c r="K68" s="120" t="s">
        <v>969</v>
      </c>
      <c r="L68" s="110"/>
      <c r="M68" s="112" t="n">
        <v>19</v>
      </c>
      <c r="N68" s="114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</row>
    <row r="69" customFormat="false" ht="15.75" hidden="false" customHeight="true" outlineLevel="0" collapsed="false">
      <c r="A69" s="108" t="s">
        <v>981</v>
      </c>
      <c r="B69" s="114"/>
      <c r="C69" s="120" t="s">
        <v>982</v>
      </c>
      <c r="D69" s="110"/>
      <c r="E69" s="108" t="s">
        <v>844</v>
      </c>
      <c r="F69" s="114"/>
      <c r="G69" s="120" t="s">
        <v>972</v>
      </c>
      <c r="H69" s="114"/>
      <c r="I69" s="111" t="n">
        <v>5013</v>
      </c>
      <c r="J69" s="110"/>
      <c r="K69" s="120" t="s">
        <v>969</v>
      </c>
      <c r="L69" s="110"/>
      <c r="M69" s="112" t="n">
        <v>19</v>
      </c>
      <c r="N69" s="114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</row>
    <row r="70" customFormat="false" ht="15.75" hidden="false" customHeight="true" outlineLevel="0" collapsed="false">
      <c r="A70" s="108" t="s">
        <v>983</v>
      </c>
      <c r="B70" s="114"/>
      <c r="C70" s="120" t="s">
        <v>984</v>
      </c>
      <c r="D70" s="110"/>
      <c r="E70" s="108" t="s">
        <v>844</v>
      </c>
      <c r="F70" s="114"/>
      <c r="G70" s="120" t="s">
        <v>972</v>
      </c>
      <c r="H70" s="114"/>
      <c r="I70" s="111" t="n">
        <v>5013</v>
      </c>
      <c r="J70" s="110"/>
      <c r="K70" s="120" t="s">
        <v>969</v>
      </c>
      <c r="L70" s="110"/>
      <c r="M70" s="112" t="n">
        <v>19</v>
      </c>
      <c r="N70" s="114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</row>
    <row r="71" customFormat="false" ht="15.75" hidden="false" customHeight="true" outlineLevel="0" collapsed="false">
      <c r="A71" s="108" t="s">
        <v>985</v>
      </c>
      <c r="B71" s="114"/>
      <c r="C71" s="120" t="s">
        <v>986</v>
      </c>
      <c r="D71" s="110"/>
      <c r="E71" s="108" t="s">
        <v>844</v>
      </c>
      <c r="F71" s="114"/>
      <c r="G71" s="120" t="s">
        <v>972</v>
      </c>
      <c r="H71" s="114"/>
      <c r="I71" s="111" t="n">
        <v>5013</v>
      </c>
      <c r="J71" s="110"/>
      <c r="K71" s="120" t="s">
        <v>969</v>
      </c>
      <c r="L71" s="110"/>
      <c r="M71" s="112" t="n">
        <v>19</v>
      </c>
      <c r="N71" s="114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</row>
    <row r="72" customFormat="false" ht="15.75" hidden="false" customHeight="true" outlineLevel="0" collapsed="false">
      <c r="A72" s="108" t="s">
        <v>987</v>
      </c>
      <c r="B72" s="114"/>
      <c r="C72" s="120" t="s">
        <v>988</v>
      </c>
      <c r="D72" s="110"/>
      <c r="E72" s="108" t="s">
        <v>844</v>
      </c>
      <c r="F72" s="114"/>
      <c r="G72" s="120" t="s">
        <v>972</v>
      </c>
      <c r="H72" s="114"/>
      <c r="I72" s="111" t="n">
        <v>5013</v>
      </c>
      <c r="J72" s="110"/>
      <c r="K72" s="120" t="s">
        <v>969</v>
      </c>
      <c r="L72" s="110"/>
      <c r="M72" s="112" t="n">
        <v>19</v>
      </c>
      <c r="N72" s="114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</row>
    <row r="73" customFormat="false" ht="15.75" hidden="false" customHeight="true" outlineLevel="0" collapsed="false">
      <c r="A73" s="108" t="s">
        <v>989</v>
      </c>
      <c r="B73" s="114"/>
      <c r="C73" s="120" t="s">
        <v>990</v>
      </c>
      <c r="D73" s="110"/>
      <c r="E73" s="108" t="s">
        <v>844</v>
      </c>
      <c r="F73" s="114"/>
      <c r="G73" s="120" t="s">
        <v>972</v>
      </c>
      <c r="H73" s="114"/>
      <c r="I73" s="111" t="n">
        <v>5013</v>
      </c>
      <c r="J73" s="110"/>
      <c r="K73" s="120" t="s">
        <v>969</v>
      </c>
      <c r="L73" s="110"/>
      <c r="M73" s="112" t="n">
        <v>19</v>
      </c>
      <c r="N73" s="114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</row>
    <row r="74" customFormat="false" ht="15.75" hidden="false" customHeight="true" outlineLevel="0" collapsed="false">
      <c r="A74" s="108" t="s">
        <v>991</v>
      </c>
      <c r="B74" s="114"/>
      <c r="C74" s="120" t="s">
        <v>992</v>
      </c>
      <c r="D74" s="110"/>
      <c r="E74" s="108" t="s">
        <v>844</v>
      </c>
      <c r="F74" s="114"/>
      <c r="G74" s="120" t="s">
        <v>972</v>
      </c>
      <c r="H74" s="114"/>
      <c r="I74" s="111" t="n">
        <v>5013</v>
      </c>
      <c r="J74" s="110"/>
      <c r="K74" s="120" t="s">
        <v>969</v>
      </c>
      <c r="L74" s="110"/>
      <c r="M74" s="112" t="n">
        <v>19</v>
      </c>
      <c r="N74" s="114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</row>
    <row r="75" customFormat="false" ht="15.75" hidden="false" customHeight="true" outlineLevel="0" collapsed="false">
      <c r="A75" s="108" t="s">
        <v>993</v>
      </c>
      <c r="B75" s="114"/>
      <c r="C75" s="120" t="s">
        <v>994</v>
      </c>
      <c r="D75" s="110"/>
      <c r="E75" s="108" t="s">
        <v>821</v>
      </c>
      <c r="F75" s="114"/>
      <c r="G75" s="120" t="s">
        <v>995</v>
      </c>
      <c r="H75" s="114"/>
      <c r="I75" s="111" t="n">
        <v>5013</v>
      </c>
      <c r="J75" s="110"/>
      <c r="K75" s="120" t="s">
        <v>969</v>
      </c>
      <c r="L75" s="110"/>
      <c r="M75" s="112" t="n">
        <v>19</v>
      </c>
      <c r="N75" s="114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</row>
    <row r="76" customFormat="false" ht="15.75" hidden="false" customHeight="true" outlineLevel="0" collapsed="false">
      <c r="A76" s="108" t="s">
        <v>996</v>
      </c>
      <c r="B76" s="114"/>
      <c r="C76" s="120" t="s">
        <v>997</v>
      </c>
      <c r="D76" s="110"/>
      <c r="E76" s="108" t="s">
        <v>821</v>
      </c>
      <c r="F76" s="114"/>
      <c r="G76" s="120" t="s">
        <v>995</v>
      </c>
      <c r="H76" s="114"/>
      <c r="I76" s="111" t="n">
        <v>5013</v>
      </c>
      <c r="J76" s="110"/>
      <c r="K76" s="120" t="s">
        <v>969</v>
      </c>
      <c r="L76" s="110"/>
      <c r="M76" s="112" t="n">
        <v>19</v>
      </c>
      <c r="N76" s="114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</row>
    <row r="77" customFormat="false" ht="15.75" hidden="false" customHeight="true" outlineLevel="0" collapsed="false">
      <c r="A77" s="108" t="s">
        <v>998</v>
      </c>
      <c r="B77" s="114"/>
      <c r="C77" s="120" t="s">
        <v>999</v>
      </c>
      <c r="D77" s="110"/>
      <c r="E77" s="108" t="s">
        <v>821</v>
      </c>
      <c r="F77" s="114"/>
      <c r="G77" s="120" t="s">
        <v>995</v>
      </c>
      <c r="H77" s="114"/>
      <c r="I77" s="111" t="n">
        <v>5013</v>
      </c>
      <c r="J77" s="110"/>
      <c r="K77" s="120" t="s">
        <v>969</v>
      </c>
      <c r="L77" s="110"/>
      <c r="M77" s="112" t="n">
        <v>19</v>
      </c>
      <c r="N77" s="114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</row>
    <row r="78" customFormat="false" ht="15.75" hidden="false" customHeight="true" outlineLevel="0" collapsed="false">
      <c r="A78" s="108" t="s">
        <v>1000</v>
      </c>
      <c r="B78" s="114"/>
      <c r="C78" s="120" t="s">
        <v>1001</v>
      </c>
      <c r="D78" s="110"/>
      <c r="E78" s="108" t="s">
        <v>821</v>
      </c>
      <c r="F78" s="114"/>
      <c r="G78" s="120" t="s">
        <v>995</v>
      </c>
      <c r="H78" s="114"/>
      <c r="I78" s="111" t="n">
        <v>5013</v>
      </c>
      <c r="J78" s="110"/>
      <c r="K78" s="120" t="s">
        <v>969</v>
      </c>
      <c r="L78" s="110"/>
      <c r="M78" s="112" t="n">
        <v>19</v>
      </c>
      <c r="N78" s="114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</row>
    <row r="79" customFormat="false" ht="15.75" hidden="false" customHeight="true" outlineLevel="0" collapsed="false">
      <c r="A79" s="108" t="s">
        <v>1002</v>
      </c>
      <c r="B79" s="114"/>
      <c r="C79" s="120" t="s">
        <v>1003</v>
      </c>
      <c r="D79" s="110"/>
      <c r="E79" s="108" t="s">
        <v>844</v>
      </c>
      <c r="F79" s="114"/>
      <c r="G79" s="120" t="s">
        <v>1004</v>
      </c>
      <c r="H79" s="114"/>
      <c r="I79" s="111" t="n">
        <v>5021</v>
      </c>
      <c r="J79" s="110"/>
      <c r="K79" s="120" t="s">
        <v>1005</v>
      </c>
      <c r="L79" s="110"/>
      <c r="M79" s="112" t="n">
        <v>20</v>
      </c>
      <c r="N79" s="114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</row>
    <row r="80" customFormat="false" ht="15.75" hidden="false" customHeight="true" outlineLevel="0" collapsed="false">
      <c r="A80" s="108" t="s">
        <v>1006</v>
      </c>
      <c r="B80" s="114"/>
      <c r="C80" s="120" t="s">
        <v>1007</v>
      </c>
      <c r="D80" s="110"/>
      <c r="E80" s="108" t="s">
        <v>844</v>
      </c>
      <c r="F80" s="114"/>
      <c r="G80" s="120" t="s">
        <v>1004</v>
      </c>
      <c r="H80" s="114"/>
      <c r="I80" s="111" t="n">
        <v>5021</v>
      </c>
      <c r="J80" s="110"/>
      <c r="K80" s="120" t="s">
        <v>1005</v>
      </c>
      <c r="L80" s="110"/>
      <c r="M80" s="112" t="n">
        <v>20</v>
      </c>
      <c r="N80" s="114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</row>
    <row r="81" customFormat="false" ht="15.75" hidden="false" customHeight="true" outlineLevel="0" collapsed="false">
      <c r="A81" s="108" t="s">
        <v>1008</v>
      </c>
      <c r="B81" s="114"/>
      <c r="C81" s="120" t="s">
        <v>1009</v>
      </c>
      <c r="D81" s="110"/>
      <c r="E81" s="108" t="s">
        <v>844</v>
      </c>
      <c r="F81" s="114"/>
      <c r="G81" s="120" t="s">
        <v>1004</v>
      </c>
      <c r="H81" s="114"/>
      <c r="I81" s="111" t="n">
        <v>5021</v>
      </c>
      <c r="J81" s="110"/>
      <c r="K81" s="120" t="s">
        <v>1005</v>
      </c>
      <c r="L81" s="110"/>
      <c r="M81" s="112" t="n">
        <v>20</v>
      </c>
      <c r="N81" s="114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</row>
    <row r="82" customFormat="false" ht="15.75" hidden="false" customHeight="true" outlineLevel="0" collapsed="false">
      <c r="A82" s="108" t="s">
        <v>1010</v>
      </c>
      <c r="B82" s="114"/>
      <c r="C82" s="120" t="s">
        <v>1011</v>
      </c>
      <c r="D82" s="110"/>
      <c r="E82" s="108" t="s">
        <v>821</v>
      </c>
      <c r="F82" s="114"/>
      <c r="G82" s="120" t="s">
        <v>830</v>
      </c>
      <c r="H82" s="114"/>
      <c r="I82" s="111" t="n">
        <v>5021</v>
      </c>
      <c r="J82" s="110"/>
      <c r="K82" s="120" t="s">
        <v>1005</v>
      </c>
      <c r="L82" s="110"/>
      <c r="M82" s="112" t="n">
        <v>20</v>
      </c>
      <c r="N82" s="114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</row>
    <row r="83" customFormat="false" ht="15.75" hidden="false" customHeight="true" outlineLevel="0" collapsed="false">
      <c r="A83" s="108" t="s">
        <v>1012</v>
      </c>
      <c r="B83" s="114"/>
      <c r="C83" s="120" t="s">
        <v>1013</v>
      </c>
      <c r="D83" s="110"/>
      <c r="E83" s="108" t="s">
        <v>844</v>
      </c>
      <c r="F83" s="114"/>
      <c r="G83" s="120" t="s">
        <v>1014</v>
      </c>
      <c r="H83" s="114"/>
      <c r="I83" s="111" t="n">
        <v>5044</v>
      </c>
      <c r="J83" s="110"/>
      <c r="K83" s="120" t="s">
        <v>1015</v>
      </c>
      <c r="L83" s="110"/>
      <c r="M83" s="112" t="n">
        <v>21</v>
      </c>
      <c r="N83" s="114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</row>
    <row r="84" customFormat="false" ht="15.75" hidden="false" customHeight="true" outlineLevel="0" collapsed="false">
      <c r="A84" s="108" t="s">
        <v>1016</v>
      </c>
      <c r="B84" s="114"/>
      <c r="C84" s="120" t="s">
        <v>1017</v>
      </c>
      <c r="D84" s="110"/>
      <c r="E84" s="108" t="s">
        <v>844</v>
      </c>
      <c r="F84" s="114"/>
      <c r="G84" s="120" t="s">
        <v>1018</v>
      </c>
      <c r="H84" s="114"/>
      <c r="I84" s="111" t="n">
        <v>5044</v>
      </c>
      <c r="J84" s="110"/>
      <c r="K84" s="120" t="s">
        <v>1015</v>
      </c>
      <c r="L84" s="110"/>
      <c r="M84" s="112" t="n">
        <v>21</v>
      </c>
      <c r="N84" s="114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</row>
    <row r="85" customFormat="false" ht="15.75" hidden="false" customHeight="true" outlineLevel="0" collapsed="false">
      <c r="A85" s="108" t="s">
        <v>1019</v>
      </c>
      <c r="B85" s="114"/>
      <c r="C85" s="120" t="s">
        <v>1020</v>
      </c>
      <c r="D85" s="110"/>
      <c r="E85" s="108" t="s">
        <v>844</v>
      </c>
      <c r="F85" s="114"/>
      <c r="G85" s="120" t="s">
        <v>1018</v>
      </c>
      <c r="H85" s="114"/>
      <c r="I85" s="111" t="n">
        <v>5044</v>
      </c>
      <c r="J85" s="110"/>
      <c r="K85" s="120" t="s">
        <v>1015</v>
      </c>
      <c r="L85" s="110"/>
      <c r="M85" s="112" t="n">
        <v>21</v>
      </c>
      <c r="N85" s="114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</row>
    <row r="86" customFormat="false" ht="15.75" hidden="false" customHeight="true" outlineLevel="0" collapsed="false">
      <c r="A86" s="108" t="s">
        <v>1021</v>
      </c>
      <c r="B86" s="114"/>
      <c r="C86" s="120" t="s">
        <v>1022</v>
      </c>
      <c r="D86" s="110"/>
      <c r="E86" s="108" t="s">
        <v>844</v>
      </c>
      <c r="F86" s="114"/>
      <c r="G86" s="120" t="s">
        <v>1023</v>
      </c>
      <c r="H86" s="114"/>
      <c r="I86" s="111" t="n">
        <v>5044</v>
      </c>
      <c r="J86" s="110"/>
      <c r="K86" s="120" t="s">
        <v>1015</v>
      </c>
      <c r="L86" s="110"/>
      <c r="M86" s="112" t="n">
        <v>21</v>
      </c>
      <c r="N86" s="114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</row>
    <row r="87" customFormat="false" ht="15.75" hidden="false" customHeight="true" outlineLevel="0" collapsed="false">
      <c r="A87" s="108" t="s">
        <v>1024</v>
      </c>
      <c r="B87" s="114"/>
      <c r="C87" s="120" t="s">
        <v>1025</v>
      </c>
      <c r="D87" s="110"/>
      <c r="E87" s="108" t="s">
        <v>844</v>
      </c>
      <c r="F87" s="114"/>
      <c r="G87" s="120" t="s">
        <v>1026</v>
      </c>
      <c r="H87" s="114"/>
      <c r="I87" s="111" t="n">
        <v>5072</v>
      </c>
      <c r="J87" s="110"/>
      <c r="K87" s="120" t="s">
        <v>1027</v>
      </c>
      <c r="L87" s="110"/>
      <c r="M87" s="112" t="n">
        <v>22</v>
      </c>
      <c r="N87" s="114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</row>
    <row r="88" customFormat="false" ht="15.75" hidden="false" customHeight="true" outlineLevel="0" collapsed="false">
      <c r="A88" s="108" t="s">
        <v>1028</v>
      </c>
      <c r="B88" s="114"/>
      <c r="C88" s="120" t="s">
        <v>1029</v>
      </c>
      <c r="D88" s="110"/>
      <c r="E88" s="108" t="s">
        <v>844</v>
      </c>
      <c r="F88" s="114"/>
      <c r="G88" s="120" t="s">
        <v>1026</v>
      </c>
      <c r="H88" s="114"/>
      <c r="I88" s="111" t="n">
        <v>5072</v>
      </c>
      <c r="J88" s="110"/>
      <c r="K88" s="120" t="s">
        <v>1027</v>
      </c>
      <c r="L88" s="110"/>
      <c r="M88" s="112" t="n">
        <v>22</v>
      </c>
      <c r="N88" s="114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</row>
    <row r="89" customFormat="false" ht="15.75" hidden="false" customHeight="true" outlineLevel="0" collapsed="false">
      <c r="A89" s="108" t="s">
        <v>1030</v>
      </c>
      <c r="B89" s="114"/>
      <c r="C89" s="120" t="s">
        <v>1031</v>
      </c>
      <c r="D89" s="110"/>
      <c r="E89" s="108" t="s">
        <v>821</v>
      </c>
      <c r="F89" s="114"/>
      <c r="G89" s="120" t="s">
        <v>830</v>
      </c>
      <c r="H89" s="114"/>
      <c r="I89" s="111" t="n">
        <v>5072</v>
      </c>
      <c r="J89" s="110"/>
      <c r="K89" s="120" t="s">
        <v>1027</v>
      </c>
      <c r="L89" s="110"/>
      <c r="M89" s="112" t="n">
        <v>22</v>
      </c>
      <c r="N89" s="114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</row>
    <row r="90" customFormat="false" ht="15.75" hidden="false" customHeight="true" outlineLevel="0" collapsed="false">
      <c r="A90" s="108" t="s">
        <v>1032</v>
      </c>
      <c r="B90" s="114"/>
      <c r="C90" s="120" t="s">
        <v>1033</v>
      </c>
      <c r="D90" s="110"/>
      <c r="E90" s="108" t="s">
        <v>844</v>
      </c>
      <c r="F90" s="114"/>
      <c r="G90" s="120" t="s">
        <v>1034</v>
      </c>
      <c r="H90" s="114"/>
      <c r="I90" s="111" t="n">
        <v>5099</v>
      </c>
      <c r="J90" s="110"/>
      <c r="K90" s="120" t="s">
        <v>1035</v>
      </c>
      <c r="L90" s="110"/>
      <c r="M90" s="112" t="n">
        <v>23</v>
      </c>
      <c r="N90" s="114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</row>
    <row r="91" customFormat="false" ht="15.75" hidden="false" customHeight="true" outlineLevel="0" collapsed="false">
      <c r="A91" s="108" t="s">
        <v>1036</v>
      </c>
      <c r="B91" s="114"/>
      <c r="C91" s="120" t="s">
        <v>1037</v>
      </c>
      <c r="D91" s="110"/>
      <c r="E91" s="108" t="s">
        <v>844</v>
      </c>
      <c r="F91" s="114"/>
      <c r="G91" s="120" t="s">
        <v>1034</v>
      </c>
      <c r="H91" s="114"/>
      <c r="I91" s="111" t="n">
        <v>5099</v>
      </c>
      <c r="J91" s="110"/>
      <c r="K91" s="120" t="s">
        <v>1035</v>
      </c>
      <c r="L91" s="110"/>
      <c r="M91" s="112" t="n">
        <v>23</v>
      </c>
      <c r="N91" s="114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</row>
    <row r="92" customFormat="false" ht="15.75" hidden="false" customHeight="true" outlineLevel="0" collapsed="false">
      <c r="A92" s="108" t="s">
        <v>1038</v>
      </c>
      <c r="B92" s="114"/>
      <c r="C92" s="120" t="s">
        <v>1039</v>
      </c>
      <c r="D92" s="110"/>
      <c r="E92" s="108" t="s">
        <v>844</v>
      </c>
      <c r="F92" s="114"/>
      <c r="G92" s="120" t="s">
        <v>1034</v>
      </c>
      <c r="H92" s="114"/>
      <c r="I92" s="111" t="n">
        <v>5099</v>
      </c>
      <c r="J92" s="110"/>
      <c r="K92" s="120" t="s">
        <v>1035</v>
      </c>
      <c r="L92" s="110"/>
      <c r="M92" s="112" t="n">
        <v>23</v>
      </c>
      <c r="N92" s="114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</row>
    <row r="93" customFormat="false" ht="15.75" hidden="false" customHeight="true" outlineLevel="0" collapsed="false">
      <c r="A93" s="108" t="s">
        <v>1040</v>
      </c>
      <c r="B93" s="114"/>
      <c r="C93" s="120" t="s">
        <v>1041</v>
      </c>
      <c r="D93" s="110"/>
      <c r="E93" s="108" t="s">
        <v>844</v>
      </c>
      <c r="F93" s="114"/>
      <c r="G93" s="120" t="s">
        <v>1034</v>
      </c>
      <c r="H93" s="114"/>
      <c r="I93" s="111" t="n">
        <v>5099</v>
      </c>
      <c r="J93" s="110"/>
      <c r="K93" s="120" t="s">
        <v>1035</v>
      </c>
      <c r="L93" s="110"/>
      <c r="M93" s="112" t="n">
        <v>23</v>
      </c>
      <c r="N93" s="114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</row>
    <row r="94" customFormat="false" ht="15.75" hidden="false" customHeight="true" outlineLevel="0" collapsed="false">
      <c r="A94" s="108" t="s">
        <v>1042</v>
      </c>
      <c r="B94" s="114"/>
      <c r="C94" s="120" t="s">
        <v>1043</v>
      </c>
      <c r="D94" s="110"/>
      <c r="E94" s="108" t="s">
        <v>844</v>
      </c>
      <c r="F94" s="114"/>
      <c r="G94" s="120" t="s">
        <v>968</v>
      </c>
      <c r="H94" s="114"/>
      <c r="I94" s="111" t="n">
        <v>5099</v>
      </c>
      <c r="J94" s="110"/>
      <c r="K94" s="120" t="s">
        <v>1035</v>
      </c>
      <c r="L94" s="110"/>
      <c r="M94" s="112" t="n">
        <v>23</v>
      </c>
      <c r="N94" s="114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</row>
    <row r="95" customFormat="false" ht="15.75" hidden="false" customHeight="true" outlineLevel="0" collapsed="false">
      <c r="A95" s="108" t="s">
        <v>1044</v>
      </c>
      <c r="B95" s="114"/>
      <c r="C95" s="120" t="s">
        <v>1045</v>
      </c>
      <c r="D95" s="110"/>
      <c r="E95" s="108" t="s">
        <v>844</v>
      </c>
      <c r="F95" s="114"/>
      <c r="G95" s="120" t="s">
        <v>1046</v>
      </c>
      <c r="H95" s="114"/>
      <c r="I95" s="111" t="n">
        <v>5099</v>
      </c>
      <c r="J95" s="110"/>
      <c r="K95" s="120" t="s">
        <v>1035</v>
      </c>
      <c r="L95" s="110"/>
      <c r="M95" s="112" t="n">
        <v>23</v>
      </c>
      <c r="N95" s="114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</row>
    <row r="96" customFormat="false" ht="15.75" hidden="false" customHeight="true" outlineLevel="0" collapsed="false">
      <c r="A96" s="108" t="s">
        <v>1047</v>
      </c>
      <c r="B96" s="114"/>
      <c r="C96" s="120" t="s">
        <v>1048</v>
      </c>
      <c r="D96" s="110"/>
      <c r="E96" s="108" t="s">
        <v>844</v>
      </c>
      <c r="F96" s="114"/>
      <c r="G96" s="120" t="s">
        <v>1046</v>
      </c>
      <c r="H96" s="114"/>
      <c r="I96" s="111" t="n">
        <v>5099</v>
      </c>
      <c r="J96" s="110"/>
      <c r="K96" s="120" t="s">
        <v>1035</v>
      </c>
      <c r="L96" s="110"/>
      <c r="M96" s="112" t="n">
        <v>23</v>
      </c>
      <c r="N96" s="114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</row>
    <row r="97" customFormat="false" ht="15.75" hidden="false" customHeight="true" outlineLevel="0" collapsed="false">
      <c r="A97" s="108" t="s">
        <v>1049</v>
      </c>
      <c r="B97" s="114"/>
      <c r="C97" s="120" t="s">
        <v>1050</v>
      </c>
      <c r="D97" s="110"/>
      <c r="E97" s="108" t="s">
        <v>844</v>
      </c>
      <c r="F97" s="114"/>
      <c r="G97" s="120" t="s">
        <v>1026</v>
      </c>
      <c r="H97" s="114"/>
      <c r="I97" s="111" t="n">
        <v>5099</v>
      </c>
      <c r="J97" s="110"/>
      <c r="K97" s="120" t="s">
        <v>1035</v>
      </c>
      <c r="L97" s="110"/>
      <c r="M97" s="112" t="n">
        <v>23</v>
      </c>
      <c r="N97" s="114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</row>
    <row r="98" customFormat="false" ht="15.75" hidden="false" customHeight="true" outlineLevel="0" collapsed="false">
      <c r="A98" s="108" t="s">
        <v>1051</v>
      </c>
      <c r="B98" s="114"/>
      <c r="C98" s="120" t="s">
        <v>1052</v>
      </c>
      <c r="D98" s="110"/>
      <c r="E98" s="108" t="s">
        <v>844</v>
      </c>
      <c r="F98" s="114"/>
      <c r="G98" s="120" t="s">
        <v>1026</v>
      </c>
      <c r="H98" s="114"/>
      <c r="I98" s="111" t="n">
        <v>5099</v>
      </c>
      <c r="J98" s="110"/>
      <c r="K98" s="120" t="s">
        <v>1035</v>
      </c>
      <c r="L98" s="110"/>
      <c r="M98" s="112" t="n">
        <v>23</v>
      </c>
      <c r="N98" s="114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</row>
    <row r="99" customFormat="false" ht="15.75" hidden="false" customHeight="true" outlineLevel="0" collapsed="false">
      <c r="A99" s="108" t="s">
        <v>1053</v>
      </c>
      <c r="B99" s="114"/>
      <c r="C99" s="120" t="s">
        <v>1054</v>
      </c>
      <c r="D99" s="110"/>
      <c r="E99" s="108" t="s">
        <v>844</v>
      </c>
      <c r="F99" s="114"/>
      <c r="G99" s="120" t="s">
        <v>1023</v>
      </c>
      <c r="H99" s="114"/>
      <c r="I99" s="111" t="n">
        <v>5099</v>
      </c>
      <c r="J99" s="110"/>
      <c r="K99" s="120" t="s">
        <v>1035</v>
      </c>
      <c r="L99" s="110"/>
      <c r="M99" s="112" t="n">
        <v>23</v>
      </c>
      <c r="N99" s="114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</row>
    <row r="100" customFormat="false" ht="15.75" hidden="false" customHeight="true" outlineLevel="0" collapsed="false">
      <c r="A100" s="108" t="s">
        <v>1055</v>
      </c>
      <c r="B100" s="114"/>
      <c r="C100" s="120" t="s">
        <v>1056</v>
      </c>
      <c r="D100" s="110"/>
      <c r="E100" s="108" t="s">
        <v>844</v>
      </c>
      <c r="F100" s="114"/>
      <c r="G100" s="120" t="s">
        <v>1023</v>
      </c>
      <c r="H100" s="114"/>
      <c r="I100" s="111" t="n">
        <v>5099</v>
      </c>
      <c r="J100" s="110"/>
      <c r="K100" s="120" t="s">
        <v>1035</v>
      </c>
      <c r="L100" s="110"/>
      <c r="M100" s="112" t="n">
        <v>23</v>
      </c>
      <c r="N100" s="114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</row>
    <row r="101" customFormat="false" ht="15.75" hidden="false" customHeight="true" outlineLevel="0" collapsed="false">
      <c r="A101" s="108" t="s">
        <v>1057</v>
      </c>
      <c r="B101" s="114"/>
      <c r="C101" s="120" t="s">
        <v>1058</v>
      </c>
      <c r="D101" s="110"/>
      <c r="E101" s="108" t="s">
        <v>844</v>
      </c>
      <c r="F101" s="114"/>
      <c r="G101" s="120" t="s">
        <v>1059</v>
      </c>
      <c r="H101" s="114"/>
      <c r="I101" s="111" t="n">
        <v>5099</v>
      </c>
      <c r="J101" s="110"/>
      <c r="K101" s="120" t="s">
        <v>1035</v>
      </c>
      <c r="L101" s="110"/>
      <c r="M101" s="112" t="n">
        <v>23</v>
      </c>
      <c r="N101" s="114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</row>
    <row r="102" customFormat="false" ht="15.75" hidden="false" customHeight="true" outlineLevel="0" collapsed="false">
      <c r="A102" s="108" t="s">
        <v>1060</v>
      </c>
      <c r="B102" s="114"/>
      <c r="C102" s="120" t="s">
        <v>1061</v>
      </c>
      <c r="D102" s="110"/>
      <c r="E102" s="108" t="s">
        <v>844</v>
      </c>
      <c r="F102" s="114"/>
      <c r="G102" s="120" t="s">
        <v>1059</v>
      </c>
      <c r="H102" s="114"/>
      <c r="I102" s="111" t="n">
        <v>5099</v>
      </c>
      <c r="J102" s="110"/>
      <c r="K102" s="120" t="s">
        <v>1035</v>
      </c>
      <c r="L102" s="110"/>
      <c r="M102" s="112" t="n">
        <v>23</v>
      </c>
      <c r="N102" s="114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</row>
    <row r="103" customFormat="false" ht="15.75" hidden="false" customHeight="true" outlineLevel="0" collapsed="false">
      <c r="A103" s="108" t="s">
        <v>1062</v>
      </c>
      <c r="B103" s="114"/>
      <c r="C103" s="120" t="s">
        <v>1063</v>
      </c>
      <c r="D103" s="110"/>
      <c r="E103" s="108" t="s">
        <v>844</v>
      </c>
      <c r="F103" s="114"/>
      <c r="G103" s="120" t="s">
        <v>1059</v>
      </c>
      <c r="H103" s="114"/>
      <c r="I103" s="111" t="n">
        <v>5099</v>
      </c>
      <c r="J103" s="110"/>
      <c r="K103" s="120" t="s">
        <v>1035</v>
      </c>
      <c r="L103" s="110"/>
      <c r="M103" s="112" t="n">
        <v>23</v>
      </c>
      <c r="N103" s="114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</row>
    <row r="104" customFormat="false" ht="15.75" hidden="false" customHeight="true" outlineLevel="0" collapsed="false">
      <c r="A104" s="108" t="s">
        <v>1064</v>
      </c>
      <c r="B104" s="114"/>
      <c r="C104" s="120" t="s">
        <v>1065</v>
      </c>
      <c r="D104" s="110"/>
      <c r="E104" s="108" t="s">
        <v>844</v>
      </c>
      <c r="F104" s="114"/>
      <c r="G104" s="120" t="s">
        <v>1059</v>
      </c>
      <c r="H104" s="114"/>
      <c r="I104" s="111" t="n">
        <v>5099</v>
      </c>
      <c r="J104" s="110"/>
      <c r="K104" s="120" t="s">
        <v>1035</v>
      </c>
      <c r="L104" s="110"/>
      <c r="M104" s="112" t="n">
        <v>23</v>
      </c>
      <c r="N104" s="114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</row>
    <row r="105" customFormat="false" ht="15.75" hidden="false" customHeight="true" outlineLevel="0" collapsed="false">
      <c r="A105" s="108" t="s">
        <v>1066</v>
      </c>
      <c r="B105" s="114"/>
      <c r="C105" s="120" t="s">
        <v>1067</v>
      </c>
      <c r="D105" s="110"/>
      <c r="E105" s="108" t="s">
        <v>844</v>
      </c>
      <c r="F105" s="114"/>
      <c r="G105" s="120" t="s">
        <v>1059</v>
      </c>
      <c r="H105" s="114"/>
      <c r="I105" s="111" t="n">
        <v>5099</v>
      </c>
      <c r="J105" s="110"/>
      <c r="K105" s="120" t="s">
        <v>1035</v>
      </c>
      <c r="L105" s="110"/>
      <c r="M105" s="112" t="n">
        <v>23</v>
      </c>
      <c r="N105" s="114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</row>
    <row r="106" customFormat="false" ht="15.75" hidden="false" customHeight="true" outlineLevel="0" collapsed="false">
      <c r="A106" s="108" t="s">
        <v>1068</v>
      </c>
      <c r="B106" s="114"/>
      <c r="C106" s="120" t="s">
        <v>1069</v>
      </c>
      <c r="D106" s="110"/>
      <c r="E106" s="108" t="s">
        <v>844</v>
      </c>
      <c r="F106" s="114"/>
      <c r="G106" s="120" t="s">
        <v>917</v>
      </c>
      <c r="H106" s="114"/>
      <c r="I106" s="111" t="n">
        <v>5099</v>
      </c>
      <c r="J106" s="110"/>
      <c r="K106" s="120" t="s">
        <v>1035</v>
      </c>
      <c r="L106" s="110"/>
      <c r="M106" s="112" t="n">
        <v>23</v>
      </c>
      <c r="N106" s="114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</row>
    <row r="107" customFormat="false" ht="15.75" hidden="false" customHeight="true" outlineLevel="0" collapsed="false">
      <c r="A107" s="108" t="s">
        <v>1070</v>
      </c>
      <c r="B107" s="114"/>
      <c r="C107" s="120" t="s">
        <v>1071</v>
      </c>
      <c r="D107" s="110"/>
      <c r="E107" s="108" t="s">
        <v>844</v>
      </c>
      <c r="F107" s="114"/>
      <c r="G107" s="120" t="s">
        <v>917</v>
      </c>
      <c r="H107" s="114"/>
      <c r="I107" s="111" t="n">
        <v>5099</v>
      </c>
      <c r="J107" s="110"/>
      <c r="K107" s="120" t="s">
        <v>1035</v>
      </c>
      <c r="L107" s="110"/>
      <c r="M107" s="112" t="n">
        <v>23</v>
      </c>
      <c r="N107" s="114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</row>
    <row r="108" customFormat="false" ht="15.75" hidden="false" customHeight="true" outlineLevel="0" collapsed="false">
      <c r="A108" s="108" t="s">
        <v>1072</v>
      </c>
      <c r="B108" s="114"/>
      <c r="C108" s="120" t="s">
        <v>1073</v>
      </c>
      <c r="D108" s="110"/>
      <c r="E108" s="108" t="s">
        <v>844</v>
      </c>
      <c r="F108" s="114"/>
      <c r="G108" s="120" t="s">
        <v>917</v>
      </c>
      <c r="H108" s="114"/>
      <c r="I108" s="111" t="n">
        <v>5099</v>
      </c>
      <c r="J108" s="110"/>
      <c r="K108" s="120" t="s">
        <v>1035</v>
      </c>
      <c r="L108" s="110"/>
      <c r="M108" s="112" t="n">
        <v>23</v>
      </c>
      <c r="N108" s="114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</row>
    <row r="109" customFormat="false" ht="15.75" hidden="false" customHeight="true" outlineLevel="0" collapsed="false">
      <c r="A109" s="108" t="s">
        <v>1074</v>
      </c>
      <c r="B109" s="114"/>
      <c r="C109" s="120" t="s">
        <v>1075</v>
      </c>
      <c r="D109" s="110"/>
      <c r="E109" s="108" t="s">
        <v>844</v>
      </c>
      <c r="F109" s="114"/>
      <c r="G109" s="120" t="s">
        <v>917</v>
      </c>
      <c r="H109" s="114"/>
      <c r="I109" s="111" t="n">
        <v>5099</v>
      </c>
      <c r="J109" s="110"/>
      <c r="K109" s="120" t="s">
        <v>1035</v>
      </c>
      <c r="L109" s="110"/>
      <c r="M109" s="112" t="n">
        <v>23</v>
      </c>
      <c r="N109" s="114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</row>
    <row r="110" customFormat="false" ht="15.75" hidden="false" customHeight="true" outlineLevel="0" collapsed="false">
      <c r="A110" s="108" t="s">
        <v>1076</v>
      </c>
      <c r="B110" s="114"/>
      <c r="C110" s="120" t="s">
        <v>1077</v>
      </c>
      <c r="D110" s="110"/>
      <c r="E110" s="108" t="s">
        <v>844</v>
      </c>
      <c r="F110" s="114"/>
      <c r="G110" s="120" t="s">
        <v>917</v>
      </c>
      <c r="H110" s="114"/>
      <c r="I110" s="111" t="n">
        <v>5099</v>
      </c>
      <c r="J110" s="110"/>
      <c r="K110" s="120" t="s">
        <v>1035</v>
      </c>
      <c r="L110" s="110"/>
      <c r="M110" s="112" t="n">
        <v>23</v>
      </c>
      <c r="N110" s="114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</row>
    <row r="111" customFormat="false" ht="15.75" hidden="false" customHeight="true" outlineLevel="0" collapsed="false">
      <c r="A111" s="108" t="s">
        <v>1078</v>
      </c>
      <c r="B111" s="114"/>
      <c r="C111" s="120" t="s">
        <v>1079</v>
      </c>
      <c r="D111" s="110"/>
      <c r="E111" s="108" t="s">
        <v>821</v>
      </c>
      <c r="F111" s="114"/>
      <c r="G111" s="120" t="s">
        <v>830</v>
      </c>
      <c r="H111" s="114"/>
      <c r="I111" s="111" t="n">
        <v>5099</v>
      </c>
      <c r="J111" s="110"/>
      <c r="K111" s="120" t="s">
        <v>1035</v>
      </c>
      <c r="L111" s="110"/>
      <c r="M111" s="112" t="n">
        <v>23</v>
      </c>
      <c r="N111" s="114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</row>
    <row r="112" customFormat="false" ht="15.75" hidden="false" customHeight="true" outlineLevel="0" collapsed="false">
      <c r="A112" s="108" t="s">
        <v>1080</v>
      </c>
      <c r="B112" s="114"/>
      <c r="C112" s="120" t="s">
        <v>1081</v>
      </c>
      <c r="D112" s="110"/>
      <c r="E112" s="108" t="s">
        <v>821</v>
      </c>
      <c r="F112" s="114"/>
      <c r="G112" s="120" t="s">
        <v>830</v>
      </c>
      <c r="H112" s="114"/>
      <c r="I112" s="111" t="n">
        <v>5099</v>
      </c>
      <c r="J112" s="110"/>
      <c r="K112" s="120" t="s">
        <v>1035</v>
      </c>
      <c r="L112" s="110"/>
      <c r="M112" s="112" t="n">
        <v>23</v>
      </c>
      <c r="N112" s="114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</row>
    <row r="113" customFormat="false" ht="15.75" hidden="false" customHeight="true" outlineLevel="0" collapsed="false">
      <c r="A113" s="108" t="s">
        <v>1082</v>
      </c>
      <c r="B113" s="114"/>
      <c r="C113" s="120" t="s">
        <v>1083</v>
      </c>
      <c r="D113" s="110"/>
      <c r="E113" s="108" t="s">
        <v>821</v>
      </c>
      <c r="F113" s="114"/>
      <c r="G113" s="120" t="s">
        <v>830</v>
      </c>
      <c r="H113" s="114"/>
      <c r="I113" s="111" t="n">
        <v>5099</v>
      </c>
      <c r="J113" s="110"/>
      <c r="K113" s="120" t="s">
        <v>1035</v>
      </c>
      <c r="L113" s="110"/>
      <c r="M113" s="112" t="n">
        <v>23</v>
      </c>
      <c r="N113" s="114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</row>
    <row r="114" customFormat="false" ht="15.75" hidden="false" customHeight="true" outlineLevel="0" collapsed="false">
      <c r="A114" s="108" t="s">
        <v>1084</v>
      </c>
      <c r="B114" s="114"/>
      <c r="C114" s="120" t="s">
        <v>1085</v>
      </c>
      <c r="D114" s="110"/>
      <c r="E114" s="108" t="s">
        <v>821</v>
      </c>
      <c r="F114" s="114"/>
      <c r="G114" s="120" t="s">
        <v>830</v>
      </c>
      <c r="H114" s="114"/>
      <c r="I114" s="111" t="n">
        <v>5099</v>
      </c>
      <c r="J114" s="110"/>
      <c r="K114" s="120" t="s">
        <v>1035</v>
      </c>
      <c r="L114" s="110"/>
      <c r="M114" s="112" t="n">
        <v>23</v>
      </c>
      <c r="N114" s="114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</row>
    <row r="115" customFormat="false" ht="15.75" hidden="false" customHeight="true" outlineLevel="0" collapsed="false">
      <c r="A115" s="108" t="s">
        <v>1086</v>
      </c>
      <c r="B115" s="114"/>
      <c r="C115" s="120" t="s">
        <v>1087</v>
      </c>
      <c r="D115" s="110"/>
      <c r="E115" s="108" t="s">
        <v>821</v>
      </c>
      <c r="F115" s="114"/>
      <c r="G115" s="120" t="s">
        <v>830</v>
      </c>
      <c r="H115" s="114"/>
      <c r="I115" s="111" t="n">
        <v>5099</v>
      </c>
      <c r="J115" s="110"/>
      <c r="K115" s="120" t="s">
        <v>1035</v>
      </c>
      <c r="L115" s="110"/>
      <c r="M115" s="112" t="n">
        <v>23</v>
      </c>
      <c r="N115" s="114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</row>
    <row r="116" customFormat="false" ht="15.75" hidden="false" customHeight="true" outlineLevel="0" collapsed="false">
      <c r="A116" s="108" t="s">
        <v>1088</v>
      </c>
      <c r="B116" s="114"/>
      <c r="C116" s="120" t="s">
        <v>1089</v>
      </c>
      <c r="D116" s="110"/>
      <c r="E116" s="108" t="s">
        <v>844</v>
      </c>
      <c r="F116" s="114"/>
      <c r="G116" s="120" t="s">
        <v>1090</v>
      </c>
      <c r="H116" s="114"/>
      <c r="I116" s="111" t="n">
        <v>5122</v>
      </c>
      <c r="J116" s="110"/>
      <c r="K116" s="120" t="s">
        <v>1091</v>
      </c>
      <c r="L116" s="110"/>
      <c r="M116" s="112" t="n">
        <v>24</v>
      </c>
      <c r="N116" s="114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</row>
    <row r="117" customFormat="false" ht="15.75" hidden="false" customHeight="true" outlineLevel="0" collapsed="false">
      <c r="A117" s="108" t="s">
        <v>1092</v>
      </c>
      <c r="B117" s="114"/>
      <c r="C117" s="120" t="s">
        <v>1093</v>
      </c>
      <c r="D117" s="110"/>
      <c r="E117" s="108" t="s">
        <v>844</v>
      </c>
      <c r="F117" s="114"/>
      <c r="G117" s="120" t="s">
        <v>1090</v>
      </c>
      <c r="H117" s="114"/>
      <c r="I117" s="111" t="n">
        <v>5122</v>
      </c>
      <c r="J117" s="110"/>
      <c r="K117" s="120" t="s">
        <v>1091</v>
      </c>
      <c r="L117" s="110"/>
      <c r="M117" s="112" t="n">
        <v>24</v>
      </c>
      <c r="N117" s="114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</row>
    <row r="118" customFormat="false" ht="15.75" hidden="false" customHeight="true" outlineLevel="0" collapsed="false">
      <c r="A118" s="108" t="s">
        <v>1094</v>
      </c>
      <c r="B118" s="114"/>
      <c r="C118" s="120" t="s">
        <v>1095</v>
      </c>
      <c r="D118" s="110"/>
      <c r="E118" s="108" t="s">
        <v>844</v>
      </c>
      <c r="F118" s="114"/>
      <c r="G118" s="120" t="s">
        <v>1090</v>
      </c>
      <c r="H118" s="114"/>
      <c r="I118" s="111" t="n">
        <v>5122</v>
      </c>
      <c r="J118" s="110"/>
      <c r="K118" s="120" t="s">
        <v>1091</v>
      </c>
      <c r="L118" s="110"/>
      <c r="M118" s="112" t="n">
        <v>24</v>
      </c>
      <c r="N118" s="114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</row>
    <row r="119" customFormat="false" ht="15.75" hidden="false" customHeight="true" outlineLevel="0" collapsed="false">
      <c r="A119" s="108" t="s">
        <v>1096</v>
      </c>
      <c r="B119" s="114"/>
      <c r="C119" s="120" t="s">
        <v>1097</v>
      </c>
      <c r="D119" s="110"/>
      <c r="E119" s="108" t="s">
        <v>844</v>
      </c>
      <c r="F119" s="114"/>
      <c r="G119" s="120" t="s">
        <v>1014</v>
      </c>
      <c r="H119" s="114"/>
      <c r="I119" s="111" t="n">
        <v>5122</v>
      </c>
      <c r="J119" s="110"/>
      <c r="K119" s="120" t="s">
        <v>1091</v>
      </c>
      <c r="L119" s="110"/>
      <c r="M119" s="112" t="n">
        <v>24</v>
      </c>
      <c r="N119" s="114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</row>
    <row r="120" customFormat="false" ht="15.75" hidden="false" customHeight="true" outlineLevel="0" collapsed="false">
      <c r="A120" s="108" t="s">
        <v>1098</v>
      </c>
      <c r="B120" s="114"/>
      <c r="C120" s="120" t="s">
        <v>1099</v>
      </c>
      <c r="D120" s="110"/>
      <c r="E120" s="108" t="s">
        <v>844</v>
      </c>
      <c r="F120" s="114"/>
      <c r="G120" s="120" t="s">
        <v>1100</v>
      </c>
      <c r="H120" s="114"/>
      <c r="I120" s="111" t="n">
        <v>5122</v>
      </c>
      <c r="J120" s="110"/>
      <c r="K120" s="120" t="s">
        <v>1091</v>
      </c>
      <c r="L120" s="110"/>
      <c r="M120" s="112" t="n">
        <v>24</v>
      </c>
      <c r="N120" s="114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</row>
    <row r="121" customFormat="false" ht="15.75" hidden="false" customHeight="true" outlineLevel="0" collapsed="false">
      <c r="A121" s="108" t="s">
        <v>1101</v>
      </c>
      <c r="B121" s="114"/>
      <c r="C121" s="120" t="s">
        <v>1102</v>
      </c>
      <c r="D121" s="110"/>
      <c r="E121" s="108" t="s">
        <v>844</v>
      </c>
      <c r="F121" s="114"/>
      <c r="G121" s="120" t="s">
        <v>1100</v>
      </c>
      <c r="H121" s="114"/>
      <c r="I121" s="111" t="n">
        <v>5122</v>
      </c>
      <c r="J121" s="110"/>
      <c r="K121" s="120" t="s">
        <v>1091</v>
      </c>
      <c r="L121" s="110"/>
      <c r="M121" s="112" t="n">
        <v>24</v>
      </c>
      <c r="N121" s="114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</row>
    <row r="122" customFormat="false" ht="15.75" hidden="false" customHeight="true" outlineLevel="0" collapsed="false">
      <c r="A122" s="108" t="s">
        <v>1103</v>
      </c>
      <c r="B122" s="114"/>
      <c r="C122" s="120" t="s">
        <v>1104</v>
      </c>
      <c r="D122" s="110"/>
      <c r="E122" s="108" t="s">
        <v>844</v>
      </c>
      <c r="F122" s="114"/>
      <c r="G122" s="120" t="s">
        <v>1100</v>
      </c>
      <c r="H122" s="114"/>
      <c r="I122" s="111" t="n">
        <v>5122</v>
      </c>
      <c r="J122" s="110"/>
      <c r="K122" s="120" t="s">
        <v>1091</v>
      </c>
      <c r="L122" s="110"/>
      <c r="M122" s="112" t="n">
        <v>24</v>
      </c>
      <c r="N122" s="114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</row>
    <row r="123" customFormat="false" ht="15.75" hidden="false" customHeight="true" outlineLevel="0" collapsed="false">
      <c r="A123" s="108" t="s">
        <v>1105</v>
      </c>
      <c r="B123" s="114"/>
      <c r="C123" s="120" t="s">
        <v>1106</v>
      </c>
      <c r="D123" s="110"/>
      <c r="E123" s="108" t="s">
        <v>844</v>
      </c>
      <c r="F123" s="114"/>
      <c r="G123" s="120" t="s">
        <v>1100</v>
      </c>
      <c r="H123" s="114"/>
      <c r="I123" s="111" t="n">
        <v>5122</v>
      </c>
      <c r="J123" s="110"/>
      <c r="K123" s="120" t="s">
        <v>1091</v>
      </c>
      <c r="L123" s="110"/>
      <c r="M123" s="112" t="n">
        <v>24</v>
      </c>
      <c r="N123" s="114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</row>
    <row r="124" customFormat="false" ht="15.75" hidden="false" customHeight="true" outlineLevel="0" collapsed="false">
      <c r="A124" s="108" t="s">
        <v>1107</v>
      </c>
      <c r="B124" s="114"/>
      <c r="C124" s="120" t="s">
        <v>1108</v>
      </c>
      <c r="D124" s="110"/>
      <c r="E124" s="108" t="s">
        <v>844</v>
      </c>
      <c r="F124" s="114"/>
      <c r="G124" s="120" t="s">
        <v>1100</v>
      </c>
      <c r="H124" s="114"/>
      <c r="I124" s="111" t="n">
        <v>5122</v>
      </c>
      <c r="J124" s="110"/>
      <c r="K124" s="120" t="s">
        <v>1091</v>
      </c>
      <c r="L124" s="110"/>
      <c r="M124" s="112" t="n">
        <v>24</v>
      </c>
      <c r="N124" s="114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</row>
    <row r="125" customFormat="false" ht="15.75" hidden="false" customHeight="true" outlineLevel="0" collapsed="false">
      <c r="A125" s="108" t="s">
        <v>1109</v>
      </c>
      <c r="B125" s="114"/>
      <c r="C125" s="120" t="s">
        <v>1110</v>
      </c>
      <c r="D125" s="110"/>
      <c r="E125" s="108" t="s">
        <v>844</v>
      </c>
      <c r="F125" s="114"/>
      <c r="G125" s="120" t="s">
        <v>1100</v>
      </c>
      <c r="H125" s="114"/>
      <c r="I125" s="111" t="n">
        <v>5122</v>
      </c>
      <c r="J125" s="110"/>
      <c r="K125" s="120" t="s">
        <v>1091</v>
      </c>
      <c r="L125" s="110"/>
      <c r="M125" s="112" t="n">
        <v>24</v>
      </c>
      <c r="N125" s="114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</row>
    <row r="126" customFormat="false" ht="15.75" hidden="false" customHeight="true" outlineLevel="0" collapsed="false">
      <c r="A126" s="108" t="s">
        <v>1111</v>
      </c>
      <c r="B126" s="114"/>
      <c r="C126" s="120" t="s">
        <v>1112</v>
      </c>
      <c r="D126" s="110"/>
      <c r="E126" s="108" t="s">
        <v>821</v>
      </c>
      <c r="F126" s="114"/>
      <c r="G126" s="120" t="s">
        <v>830</v>
      </c>
      <c r="H126" s="114"/>
      <c r="I126" s="111" t="n">
        <v>5122</v>
      </c>
      <c r="J126" s="110"/>
      <c r="K126" s="120" t="s">
        <v>1091</v>
      </c>
      <c r="L126" s="110"/>
      <c r="M126" s="112" t="n">
        <v>24</v>
      </c>
      <c r="N126" s="114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</row>
    <row r="127" customFormat="false" ht="15.75" hidden="false" customHeight="true" outlineLevel="0" collapsed="false">
      <c r="A127" s="108" t="s">
        <v>1113</v>
      </c>
      <c r="B127" s="114"/>
      <c r="C127" s="120" t="s">
        <v>1114</v>
      </c>
      <c r="D127" s="110"/>
      <c r="E127" s="108" t="s">
        <v>821</v>
      </c>
      <c r="F127" s="114"/>
      <c r="G127" s="120" t="s">
        <v>830</v>
      </c>
      <c r="H127" s="114"/>
      <c r="I127" s="111" t="n">
        <v>5122</v>
      </c>
      <c r="J127" s="110"/>
      <c r="K127" s="120" t="s">
        <v>1091</v>
      </c>
      <c r="L127" s="110"/>
      <c r="M127" s="112" t="n">
        <v>24</v>
      </c>
      <c r="N127" s="114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</row>
    <row r="128" customFormat="false" ht="15.75" hidden="false" customHeight="true" outlineLevel="0" collapsed="false">
      <c r="A128" s="108" t="s">
        <v>1115</v>
      </c>
      <c r="B128" s="114"/>
      <c r="C128" s="120" t="s">
        <v>1116</v>
      </c>
      <c r="D128" s="110"/>
      <c r="E128" s="108" t="s">
        <v>821</v>
      </c>
      <c r="F128" s="114"/>
      <c r="G128" s="120" t="s">
        <v>830</v>
      </c>
      <c r="H128" s="114"/>
      <c r="I128" s="111" t="n">
        <v>5122</v>
      </c>
      <c r="J128" s="110"/>
      <c r="K128" s="120" t="s">
        <v>1091</v>
      </c>
      <c r="L128" s="110"/>
      <c r="M128" s="112" t="n">
        <v>24</v>
      </c>
      <c r="N128" s="114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</row>
    <row r="129" customFormat="false" ht="15.75" hidden="false" customHeight="true" outlineLevel="0" collapsed="false">
      <c r="A129" s="108" t="s">
        <v>1117</v>
      </c>
      <c r="B129" s="114"/>
      <c r="C129" s="120" t="s">
        <v>1118</v>
      </c>
      <c r="D129" s="110"/>
      <c r="E129" s="108" t="s">
        <v>821</v>
      </c>
      <c r="F129" s="114"/>
      <c r="G129" s="120" t="s">
        <v>830</v>
      </c>
      <c r="H129" s="114"/>
      <c r="I129" s="111" t="n">
        <v>5122</v>
      </c>
      <c r="J129" s="110"/>
      <c r="K129" s="120" t="s">
        <v>1091</v>
      </c>
      <c r="L129" s="110"/>
      <c r="M129" s="112" t="n">
        <v>24</v>
      </c>
      <c r="N129" s="114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</row>
    <row r="130" customFormat="false" ht="15.75" hidden="false" customHeight="true" outlineLevel="0" collapsed="false">
      <c r="A130" s="108" t="s">
        <v>1119</v>
      </c>
      <c r="B130" s="114"/>
      <c r="C130" s="120" t="s">
        <v>1120</v>
      </c>
      <c r="D130" s="110"/>
      <c r="E130" s="108" t="s">
        <v>821</v>
      </c>
      <c r="F130" s="114"/>
      <c r="G130" s="120" t="s">
        <v>830</v>
      </c>
      <c r="H130" s="114"/>
      <c r="I130" s="111" t="n">
        <v>5122</v>
      </c>
      <c r="J130" s="110"/>
      <c r="K130" s="120" t="s">
        <v>1091</v>
      </c>
      <c r="L130" s="110"/>
      <c r="M130" s="112" t="n">
        <v>24</v>
      </c>
      <c r="N130" s="114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</row>
    <row r="131" customFormat="false" ht="15.75" hidden="false" customHeight="true" outlineLevel="0" collapsed="false">
      <c r="A131" s="108" t="s">
        <v>1121</v>
      </c>
      <c r="B131" s="114"/>
      <c r="C131" s="120" t="s">
        <v>1122</v>
      </c>
      <c r="D131" s="110"/>
      <c r="E131" s="108" t="s">
        <v>844</v>
      </c>
      <c r="F131" s="114"/>
      <c r="G131" s="120" t="s">
        <v>1123</v>
      </c>
      <c r="H131" s="114"/>
      <c r="I131" s="111" t="n">
        <v>5139</v>
      </c>
      <c r="J131" s="110"/>
      <c r="K131" s="120" t="s">
        <v>1124</v>
      </c>
      <c r="L131" s="110"/>
      <c r="M131" s="112" t="n">
        <v>25</v>
      </c>
      <c r="N131" s="114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</row>
    <row r="132" customFormat="false" ht="15.75" hidden="false" customHeight="true" outlineLevel="0" collapsed="false">
      <c r="A132" s="108" t="s">
        <v>1125</v>
      </c>
      <c r="B132" s="114"/>
      <c r="C132" s="120" t="s">
        <v>1126</v>
      </c>
      <c r="D132" s="110"/>
      <c r="E132" s="108" t="s">
        <v>844</v>
      </c>
      <c r="F132" s="114"/>
      <c r="G132" s="120" t="s">
        <v>1123</v>
      </c>
      <c r="H132" s="114"/>
      <c r="I132" s="111" t="n">
        <v>5139</v>
      </c>
      <c r="J132" s="110"/>
      <c r="K132" s="120" t="s">
        <v>1124</v>
      </c>
      <c r="L132" s="110"/>
      <c r="M132" s="112" t="n">
        <v>25</v>
      </c>
      <c r="N132" s="114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</row>
    <row r="133" customFormat="false" ht="15.75" hidden="false" customHeight="true" outlineLevel="0" collapsed="false">
      <c r="A133" s="108" t="s">
        <v>1127</v>
      </c>
      <c r="B133" s="114"/>
      <c r="C133" s="120" t="s">
        <v>1128</v>
      </c>
      <c r="D133" s="110"/>
      <c r="E133" s="108" t="s">
        <v>844</v>
      </c>
      <c r="F133" s="114"/>
      <c r="G133" s="120" t="s">
        <v>1123</v>
      </c>
      <c r="H133" s="114"/>
      <c r="I133" s="111" t="n">
        <v>5139</v>
      </c>
      <c r="J133" s="110"/>
      <c r="K133" s="120" t="s">
        <v>1124</v>
      </c>
      <c r="L133" s="110"/>
      <c r="M133" s="112" t="n">
        <v>25</v>
      </c>
      <c r="N133" s="114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</row>
    <row r="134" customFormat="false" ht="15.75" hidden="false" customHeight="true" outlineLevel="0" collapsed="false">
      <c r="A134" s="108" t="s">
        <v>1129</v>
      </c>
      <c r="B134" s="114"/>
      <c r="C134" s="120" t="s">
        <v>1130</v>
      </c>
      <c r="D134" s="110"/>
      <c r="E134" s="108" t="s">
        <v>844</v>
      </c>
      <c r="F134" s="114"/>
      <c r="G134" s="120" t="s">
        <v>1123</v>
      </c>
      <c r="H134" s="114"/>
      <c r="I134" s="111" t="n">
        <v>5139</v>
      </c>
      <c r="J134" s="110"/>
      <c r="K134" s="120" t="s">
        <v>1124</v>
      </c>
      <c r="L134" s="110"/>
      <c r="M134" s="112" t="n">
        <v>25</v>
      </c>
      <c r="N134" s="114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</row>
    <row r="135" customFormat="false" ht="15.75" hidden="false" customHeight="true" outlineLevel="0" collapsed="false">
      <c r="A135" s="108" t="s">
        <v>1131</v>
      </c>
      <c r="B135" s="114"/>
      <c r="C135" s="120" t="s">
        <v>1132</v>
      </c>
      <c r="D135" s="110"/>
      <c r="E135" s="108" t="s">
        <v>844</v>
      </c>
      <c r="F135" s="114"/>
      <c r="G135" s="120" t="s">
        <v>1123</v>
      </c>
      <c r="H135" s="114"/>
      <c r="I135" s="111" t="n">
        <v>5139</v>
      </c>
      <c r="J135" s="110"/>
      <c r="K135" s="120" t="s">
        <v>1124</v>
      </c>
      <c r="L135" s="110"/>
      <c r="M135" s="112" t="n">
        <v>25</v>
      </c>
      <c r="N135" s="114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</row>
    <row r="136" customFormat="false" ht="15.75" hidden="false" customHeight="true" outlineLevel="0" collapsed="false">
      <c r="A136" s="108" t="s">
        <v>1133</v>
      </c>
      <c r="B136" s="114"/>
      <c r="C136" s="120" t="s">
        <v>1134</v>
      </c>
      <c r="D136" s="110"/>
      <c r="E136" s="108" t="s">
        <v>844</v>
      </c>
      <c r="F136" s="114"/>
      <c r="G136" s="120" t="s">
        <v>1123</v>
      </c>
      <c r="H136" s="114"/>
      <c r="I136" s="111" t="n">
        <v>5139</v>
      </c>
      <c r="J136" s="110"/>
      <c r="K136" s="120" t="s">
        <v>1124</v>
      </c>
      <c r="L136" s="110"/>
      <c r="M136" s="112" t="n">
        <v>25</v>
      </c>
      <c r="N136" s="114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</row>
    <row r="137" customFormat="false" ht="15.75" hidden="false" customHeight="true" outlineLevel="0" collapsed="false">
      <c r="A137" s="108" t="s">
        <v>1135</v>
      </c>
      <c r="B137" s="114"/>
      <c r="C137" s="120" t="s">
        <v>1136</v>
      </c>
      <c r="D137" s="110"/>
      <c r="E137" s="108" t="s">
        <v>821</v>
      </c>
      <c r="F137" s="114"/>
      <c r="G137" s="120" t="s">
        <v>830</v>
      </c>
      <c r="H137" s="114"/>
      <c r="I137" s="111" t="n">
        <v>5139</v>
      </c>
      <c r="J137" s="110"/>
      <c r="K137" s="120" t="s">
        <v>1124</v>
      </c>
      <c r="L137" s="110"/>
      <c r="M137" s="112" t="n">
        <v>25</v>
      </c>
      <c r="N137" s="114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</row>
    <row r="138" customFormat="false" ht="15.75" hidden="false" customHeight="true" outlineLevel="0" collapsed="false">
      <c r="A138" s="108" t="s">
        <v>1137</v>
      </c>
      <c r="B138" s="114"/>
      <c r="C138" s="120" t="s">
        <v>1138</v>
      </c>
      <c r="D138" s="110"/>
      <c r="E138" s="108" t="s">
        <v>821</v>
      </c>
      <c r="F138" s="114"/>
      <c r="G138" s="120" t="s">
        <v>830</v>
      </c>
      <c r="H138" s="114"/>
      <c r="I138" s="111" t="n">
        <v>5193</v>
      </c>
      <c r="J138" s="110"/>
      <c r="K138" s="120" t="s">
        <v>1139</v>
      </c>
      <c r="L138" s="110"/>
      <c r="M138" s="112" t="n">
        <v>26</v>
      </c>
      <c r="N138" s="114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</row>
    <row r="139" customFormat="false" ht="15.75" hidden="false" customHeight="true" outlineLevel="0" collapsed="false">
      <c r="A139" s="108" t="s">
        <v>1140</v>
      </c>
      <c r="B139" s="114"/>
      <c r="C139" s="120" t="s">
        <v>1141</v>
      </c>
      <c r="D139" s="110"/>
      <c r="E139" s="108" t="s">
        <v>821</v>
      </c>
      <c r="F139" s="114"/>
      <c r="G139" s="120" t="s">
        <v>822</v>
      </c>
      <c r="H139" s="114"/>
      <c r="I139" s="111" t="n">
        <v>5331</v>
      </c>
      <c r="J139" s="110"/>
      <c r="K139" s="120" t="s">
        <v>1142</v>
      </c>
      <c r="L139" s="110"/>
      <c r="M139" s="112" t="n">
        <v>27</v>
      </c>
      <c r="N139" s="114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</row>
    <row r="140" customFormat="false" ht="15.75" hidden="false" customHeight="true" outlineLevel="0" collapsed="false">
      <c r="A140" s="108" t="s">
        <v>1143</v>
      </c>
      <c r="B140" s="114"/>
      <c r="C140" s="120" t="s">
        <v>1144</v>
      </c>
      <c r="D140" s="110"/>
      <c r="E140" s="108" t="s">
        <v>821</v>
      </c>
      <c r="F140" s="114"/>
      <c r="G140" s="120" t="s">
        <v>822</v>
      </c>
      <c r="H140" s="114"/>
      <c r="I140" s="111" t="n">
        <v>5551</v>
      </c>
      <c r="J140" s="110"/>
      <c r="K140" s="120" t="s">
        <v>1145</v>
      </c>
      <c r="L140" s="110"/>
      <c r="M140" s="112" t="n">
        <v>28</v>
      </c>
      <c r="N140" s="114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</row>
    <row r="141" customFormat="false" ht="15.75" hidden="false" customHeight="true" outlineLevel="0" collapsed="false">
      <c r="A141" s="108" t="s">
        <v>1146</v>
      </c>
      <c r="B141" s="114"/>
      <c r="C141" s="120" t="s">
        <v>1147</v>
      </c>
      <c r="D141" s="110"/>
      <c r="E141" s="108" t="s">
        <v>844</v>
      </c>
      <c r="F141" s="114"/>
      <c r="G141" s="120" t="s">
        <v>1023</v>
      </c>
      <c r="H141" s="114"/>
      <c r="I141" s="111" t="n">
        <v>5599</v>
      </c>
      <c r="J141" s="110"/>
      <c r="K141" s="120" t="s">
        <v>1148</v>
      </c>
      <c r="L141" s="110"/>
      <c r="M141" s="112" t="n">
        <v>29</v>
      </c>
      <c r="N141" s="114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</row>
    <row r="142" customFormat="false" ht="15.75" hidden="false" customHeight="true" outlineLevel="0" collapsed="false">
      <c r="A142" s="108" t="s">
        <v>1149</v>
      </c>
      <c r="B142" s="114"/>
      <c r="C142" s="120" t="s">
        <v>1150</v>
      </c>
      <c r="D142" s="110"/>
      <c r="E142" s="108" t="s">
        <v>844</v>
      </c>
      <c r="F142" s="114"/>
      <c r="G142" s="120" t="s">
        <v>1023</v>
      </c>
      <c r="H142" s="114"/>
      <c r="I142" s="111" t="n">
        <v>5599</v>
      </c>
      <c r="J142" s="110"/>
      <c r="K142" s="120" t="s">
        <v>1148</v>
      </c>
      <c r="L142" s="110"/>
      <c r="M142" s="112" t="n">
        <v>29</v>
      </c>
      <c r="N142" s="114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</row>
    <row r="143" customFormat="false" ht="15.75" hidden="false" customHeight="true" outlineLevel="0" collapsed="false">
      <c r="A143" s="108" t="s">
        <v>1151</v>
      </c>
      <c r="B143" s="114"/>
      <c r="C143" s="120" t="s">
        <v>1152</v>
      </c>
      <c r="D143" s="110"/>
      <c r="E143" s="108" t="s">
        <v>844</v>
      </c>
      <c r="F143" s="114"/>
      <c r="G143" s="120" t="s">
        <v>1023</v>
      </c>
      <c r="H143" s="114"/>
      <c r="I143" s="111" t="n">
        <v>5599</v>
      </c>
      <c r="J143" s="110"/>
      <c r="K143" s="120" t="s">
        <v>1148</v>
      </c>
      <c r="L143" s="110"/>
      <c r="M143" s="112" t="n">
        <v>29</v>
      </c>
      <c r="N143" s="114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</row>
    <row r="144" customFormat="false" ht="15.75" hidden="false" customHeight="true" outlineLevel="0" collapsed="false">
      <c r="A144" s="108" t="s">
        <v>1153</v>
      </c>
      <c r="B144" s="114"/>
      <c r="C144" s="120" t="s">
        <v>1154</v>
      </c>
      <c r="D144" s="110"/>
      <c r="E144" s="108" t="s">
        <v>844</v>
      </c>
      <c r="F144" s="114"/>
      <c r="G144" s="120" t="s">
        <v>1023</v>
      </c>
      <c r="H144" s="114"/>
      <c r="I144" s="111" t="n">
        <v>5599</v>
      </c>
      <c r="J144" s="110"/>
      <c r="K144" s="120" t="s">
        <v>1148</v>
      </c>
      <c r="L144" s="110"/>
      <c r="M144" s="112" t="n">
        <v>29</v>
      </c>
      <c r="N144" s="114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</row>
    <row r="145" customFormat="false" ht="15.75" hidden="false" customHeight="true" outlineLevel="0" collapsed="false">
      <c r="A145" s="108" t="s">
        <v>1155</v>
      </c>
      <c r="B145" s="114"/>
      <c r="C145" s="120" t="s">
        <v>1156</v>
      </c>
      <c r="D145" s="110"/>
      <c r="E145" s="108" t="s">
        <v>844</v>
      </c>
      <c r="F145" s="114"/>
      <c r="G145" s="120" t="s">
        <v>1023</v>
      </c>
      <c r="H145" s="114"/>
      <c r="I145" s="111" t="n">
        <v>5599</v>
      </c>
      <c r="J145" s="110"/>
      <c r="K145" s="120" t="s">
        <v>1148</v>
      </c>
      <c r="L145" s="110"/>
      <c r="M145" s="112" t="n">
        <v>29</v>
      </c>
      <c r="N145" s="114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</row>
    <row r="146" customFormat="false" ht="15.75" hidden="false" customHeight="true" outlineLevel="0" collapsed="false">
      <c r="A146" s="108" t="s">
        <v>1157</v>
      </c>
      <c r="B146" s="114"/>
      <c r="C146" s="120" t="s">
        <v>1158</v>
      </c>
      <c r="D146" s="110"/>
      <c r="E146" s="108" t="s">
        <v>844</v>
      </c>
      <c r="F146" s="114"/>
      <c r="G146" s="120" t="s">
        <v>972</v>
      </c>
      <c r="H146" s="114"/>
      <c r="I146" s="111" t="n">
        <v>5599</v>
      </c>
      <c r="J146" s="110"/>
      <c r="K146" s="120" t="s">
        <v>1148</v>
      </c>
      <c r="L146" s="110"/>
      <c r="M146" s="112" t="n">
        <v>29</v>
      </c>
      <c r="N146" s="114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</row>
    <row r="147" customFormat="false" ht="15.75" hidden="false" customHeight="true" outlineLevel="0" collapsed="false">
      <c r="A147" s="108" t="s">
        <v>1159</v>
      </c>
      <c r="B147" s="114"/>
      <c r="C147" s="120" t="s">
        <v>1160</v>
      </c>
      <c r="D147" s="110"/>
      <c r="E147" s="108" t="s">
        <v>844</v>
      </c>
      <c r="F147" s="114"/>
      <c r="G147" s="120" t="s">
        <v>972</v>
      </c>
      <c r="H147" s="114"/>
      <c r="I147" s="111" t="n">
        <v>5599</v>
      </c>
      <c r="J147" s="110"/>
      <c r="K147" s="120" t="s">
        <v>1148</v>
      </c>
      <c r="L147" s="110"/>
      <c r="M147" s="112" t="n">
        <v>29</v>
      </c>
      <c r="N147" s="114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</row>
    <row r="148" customFormat="false" ht="15.75" hidden="false" customHeight="true" outlineLevel="0" collapsed="false">
      <c r="A148" s="108" t="s">
        <v>1161</v>
      </c>
      <c r="B148" s="114"/>
      <c r="C148" s="120" t="s">
        <v>1162</v>
      </c>
      <c r="D148" s="110"/>
      <c r="E148" s="108" t="s">
        <v>844</v>
      </c>
      <c r="F148" s="114"/>
      <c r="G148" s="120" t="s">
        <v>1059</v>
      </c>
      <c r="H148" s="114"/>
      <c r="I148" s="111" t="n">
        <v>5599</v>
      </c>
      <c r="J148" s="110"/>
      <c r="K148" s="120" t="s">
        <v>1148</v>
      </c>
      <c r="L148" s="110"/>
      <c r="M148" s="112" t="n">
        <v>29</v>
      </c>
      <c r="N148" s="114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</row>
    <row r="149" customFormat="false" ht="15.75" hidden="false" customHeight="true" outlineLevel="0" collapsed="false">
      <c r="A149" s="108" t="s">
        <v>1163</v>
      </c>
      <c r="B149" s="114"/>
      <c r="C149" s="120" t="s">
        <v>1164</v>
      </c>
      <c r="D149" s="110"/>
      <c r="E149" s="108" t="s">
        <v>844</v>
      </c>
      <c r="F149" s="114"/>
      <c r="G149" s="120" t="s">
        <v>1059</v>
      </c>
      <c r="H149" s="114"/>
      <c r="I149" s="111" t="n">
        <v>5599</v>
      </c>
      <c r="J149" s="110"/>
      <c r="K149" s="120" t="s">
        <v>1148</v>
      </c>
      <c r="L149" s="110"/>
      <c r="M149" s="112" t="n">
        <v>29</v>
      </c>
      <c r="N149" s="114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</row>
    <row r="150" customFormat="false" ht="15.75" hidden="false" customHeight="true" outlineLevel="0" collapsed="false">
      <c r="A150" s="108" t="s">
        <v>1165</v>
      </c>
      <c r="B150" s="114"/>
      <c r="C150" s="120" t="s">
        <v>1166</v>
      </c>
      <c r="D150" s="110"/>
      <c r="E150" s="108" t="s">
        <v>844</v>
      </c>
      <c r="F150" s="114"/>
      <c r="G150" s="120" t="s">
        <v>1059</v>
      </c>
      <c r="H150" s="114"/>
      <c r="I150" s="111" t="n">
        <v>5599</v>
      </c>
      <c r="J150" s="110"/>
      <c r="K150" s="120" t="s">
        <v>1148</v>
      </c>
      <c r="L150" s="110"/>
      <c r="M150" s="112" t="n">
        <v>29</v>
      </c>
      <c r="N150" s="114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</row>
    <row r="151" customFormat="false" ht="15.75" hidden="false" customHeight="true" outlineLevel="0" collapsed="false">
      <c r="A151" s="108" t="s">
        <v>1167</v>
      </c>
      <c r="B151" s="114"/>
      <c r="C151" s="120" t="s">
        <v>1168</v>
      </c>
      <c r="D151" s="110"/>
      <c r="E151" s="108" t="s">
        <v>844</v>
      </c>
      <c r="F151" s="114"/>
      <c r="G151" s="120" t="s">
        <v>1059</v>
      </c>
      <c r="H151" s="114"/>
      <c r="I151" s="111" t="n">
        <v>5599</v>
      </c>
      <c r="J151" s="110"/>
      <c r="K151" s="120" t="s">
        <v>1148</v>
      </c>
      <c r="L151" s="110"/>
      <c r="M151" s="112" t="n">
        <v>29</v>
      </c>
      <c r="N151" s="114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</row>
    <row r="152" customFormat="false" ht="15.75" hidden="false" customHeight="true" outlineLevel="0" collapsed="false">
      <c r="A152" s="108" t="s">
        <v>1169</v>
      </c>
      <c r="B152" s="114"/>
      <c r="C152" s="120" t="s">
        <v>1170</v>
      </c>
      <c r="D152" s="110"/>
      <c r="E152" s="108" t="s">
        <v>844</v>
      </c>
      <c r="F152" s="114"/>
      <c r="G152" s="120" t="s">
        <v>1059</v>
      </c>
      <c r="H152" s="114"/>
      <c r="I152" s="111" t="n">
        <v>5599</v>
      </c>
      <c r="J152" s="110"/>
      <c r="K152" s="120" t="s">
        <v>1148</v>
      </c>
      <c r="L152" s="110"/>
      <c r="M152" s="112" t="n">
        <v>29</v>
      </c>
      <c r="N152" s="114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</row>
    <row r="153" customFormat="false" ht="15.75" hidden="false" customHeight="true" outlineLevel="0" collapsed="false">
      <c r="A153" s="108" t="s">
        <v>1171</v>
      </c>
      <c r="B153" s="114"/>
      <c r="C153" s="120" t="s">
        <v>1172</v>
      </c>
      <c r="D153" s="110"/>
      <c r="E153" s="108" t="s">
        <v>844</v>
      </c>
      <c r="F153" s="114"/>
      <c r="G153" s="120" t="s">
        <v>1059</v>
      </c>
      <c r="H153" s="114"/>
      <c r="I153" s="111" t="n">
        <v>5599</v>
      </c>
      <c r="J153" s="110"/>
      <c r="K153" s="120" t="s">
        <v>1148</v>
      </c>
      <c r="L153" s="110"/>
      <c r="M153" s="112" t="n">
        <v>29</v>
      </c>
      <c r="N153" s="114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</row>
    <row r="154" customFormat="false" ht="15.75" hidden="false" customHeight="true" outlineLevel="0" collapsed="false">
      <c r="A154" s="108" t="s">
        <v>1173</v>
      </c>
      <c r="B154" s="114"/>
      <c r="C154" s="120" t="s">
        <v>1174</v>
      </c>
      <c r="D154" s="110"/>
      <c r="E154" s="108" t="s">
        <v>821</v>
      </c>
      <c r="F154" s="114"/>
      <c r="G154" s="120" t="s">
        <v>830</v>
      </c>
      <c r="H154" s="114"/>
      <c r="I154" s="111" t="n">
        <v>5599</v>
      </c>
      <c r="J154" s="110"/>
      <c r="K154" s="120" t="s">
        <v>1148</v>
      </c>
      <c r="L154" s="110"/>
      <c r="M154" s="112" t="n">
        <v>29</v>
      </c>
      <c r="N154" s="114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</row>
    <row r="155" customFormat="false" ht="15.75" hidden="false" customHeight="true" outlineLevel="0" collapsed="false">
      <c r="A155" s="108" t="s">
        <v>1175</v>
      </c>
      <c r="B155" s="114"/>
      <c r="C155" s="120" t="s">
        <v>1176</v>
      </c>
      <c r="D155" s="110"/>
      <c r="E155" s="108" t="s">
        <v>821</v>
      </c>
      <c r="F155" s="114"/>
      <c r="G155" s="120" t="s">
        <v>830</v>
      </c>
      <c r="H155" s="114"/>
      <c r="I155" s="111" t="n">
        <v>5599</v>
      </c>
      <c r="J155" s="110"/>
      <c r="K155" s="120" t="s">
        <v>1148</v>
      </c>
      <c r="L155" s="110"/>
      <c r="M155" s="112" t="n">
        <v>29</v>
      </c>
      <c r="N155" s="114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</row>
    <row r="156" customFormat="false" ht="15.75" hidden="false" customHeight="true" outlineLevel="0" collapsed="false">
      <c r="A156" s="108" t="s">
        <v>1177</v>
      </c>
      <c r="B156" s="114"/>
      <c r="C156" s="120" t="s">
        <v>1178</v>
      </c>
      <c r="D156" s="110"/>
      <c r="E156" s="108" t="s">
        <v>821</v>
      </c>
      <c r="F156" s="114"/>
      <c r="G156" s="120" t="s">
        <v>830</v>
      </c>
      <c r="H156" s="114"/>
      <c r="I156" s="111" t="n">
        <v>5599</v>
      </c>
      <c r="J156" s="110"/>
      <c r="K156" s="120" t="s">
        <v>1148</v>
      </c>
      <c r="L156" s="110"/>
      <c r="M156" s="112" t="n">
        <v>29</v>
      </c>
      <c r="N156" s="114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</row>
    <row r="157" customFormat="false" ht="15.75" hidden="false" customHeight="true" outlineLevel="0" collapsed="false">
      <c r="A157" s="108" t="s">
        <v>1179</v>
      </c>
      <c r="B157" s="114"/>
      <c r="C157" s="120" t="s">
        <v>1180</v>
      </c>
      <c r="D157" s="110"/>
      <c r="E157" s="108" t="s">
        <v>844</v>
      </c>
      <c r="F157" s="114"/>
      <c r="G157" s="120" t="s">
        <v>1181</v>
      </c>
      <c r="H157" s="114"/>
      <c r="I157" s="111" t="n">
        <v>5697</v>
      </c>
      <c r="J157" s="110"/>
      <c r="K157" s="120" t="s">
        <v>1182</v>
      </c>
      <c r="L157" s="110"/>
      <c r="M157" s="112" t="n">
        <v>30</v>
      </c>
      <c r="N157" s="114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</row>
    <row r="158" customFormat="false" ht="15.75" hidden="false" customHeight="true" outlineLevel="0" collapsed="false">
      <c r="A158" s="108" t="s">
        <v>1183</v>
      </c>
      <c r="B158" s="114"/>
      <c r="C158" s="120" t="s">
        <v>1184</v>
      </c>
      <c r="D158" s="110"/>
      <c r="E158" s="108" t="s">
        <v>844</v>
      </c>
      <c r="F158" s="114"/>
      <c r="G158" s="120" t="s">
        <v>1185</v>
      </c>
      <c r="H158" s="114"/>
      <c r="I158" s="111" t="n">
        <v>5697</v>
      </c>
      <c r="J158" s="110"/>
      <c r="K158" s="120" t="s">
        <v>1182</v>
      </c>
      <c r="L158" s="110"/>
      <c r="M158" s="112" t="n">
        <v>30</v>
      </c>
      <c r="N158" s="114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</row>
    <row r="159" customFormat="false" ht="15.75" hidden="false" customHeight="true" outlineLevel="0" collapsed="false">
      <c r="A159" s="108" t="s">
        <v>1186</v>
      </c>
      <c r="B159" s="114"/>
      <c r="C159" s="120" t="s">
        <v>1187</v>
      </c>
      <c r="D159" s="110"/>
      <c r="E159" s="108" t="s">
        <v>1188</v>
      </c>
      <c r="F159" s="114"/>
      <c r="G159" s="120" t="s">
        <v>1189</v>
      </c>
      <c r="H159" s="114"/>
      <c r="I159" s="111" t="n">
        <v>5935</v>
      </c>
      <c r="J159" s="110"/>
      <c r="K159" s="120" t="s">
        <v>1190</v>
      </c>
      <c r="L159" s="110"/>
      <c r="M159" s="112" t="n">
        <v>31</v>
      </c>
      <c r="N159" s="114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</row>
    <row r="160" customFormat="false" ht="15.75" hidden="false" customHeight="true" outlineLevel="0" collapsed="false">
      <c r="A160" s="108" t="s">
        <v>1191</v>
      </c>
      <c r="B160" s="114"/>
      <c r="C160" s="120" t="s">
        <v>1192</v>
      </c>
      <c r="D160" s="110"/>
      <c r="E160" s="108" t="s">
        <v>1188</v>
      </c>
      <c r="F160" s="114"/>
      <c r="G160" s="120" t="s">
        <v>1189</v>
      </c>
      <c r="H160" s="114"/>
      <c r="I160" s="111" t="n">
        <v>5935</v>
      </c>
      <c r="J160" s="110"/>
      <c r="K160" s="120" t="s">
        <v>1190</v>
      </c>
      <c r="L160" s="110"/>
      <c r="M160" s="112" t="n">
        <v>31</v>
      </c>
      <c r="N160" s="114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</row>
    <row r="161" customFormat="false" ht="15.75" hidden="false" customHeight="true" outlineLevel="0" collapsed="false">
      <c r="A161" s="108" t="s">
        <v>1193</v>
      </c>
      <c r="B161" s="114"/>
      <c r="C161" s="120" t="s">
        <v>1194</v>
      </c>
      <c r="D161" s="110"/>
      <c r="E161" s="108" t="s">
        <v>821</v>
      </c>
      <c r="F161" s="114"/>
      <c r="G161" s="120" t="s">
        <v>822</v>
      </c>
      <c r="H161" s="114"/>
      <c r="I161" s="111" t="n">
        <v>5946</v>
      </c>
      <c r="J161" s="110"/>
      <c r="K161" s="120" t="s">
        <v>1195</v>
      </c>
      <c r="L161" s="110"/>
      <c r="M161" s="112" t="n">
        <v>32</v>
      </c>
      <c r="N161" s="114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</row>
    <row r="162" customFormat="false" ht="15.75" hidden="false" customHeight="true" outlineLevel="0" collapsed="false">
      <c r="A162" s="108" t="s">
        <v>1196</v>
      </c>
      <c r="B162" s="114"/>
      <c r="C162" s="120" t="s">
        <v>1197</v>
      </c>
      <c r="D162" s="110"/>
      <c r="E162" s="108" t="s">
        <v>1198</v>
      </c>
      <c r="F162" s="114"/>
      <c r="G162" s="120" t="s">
        <v>1199</v>
      </c>
      <c r="H162" s="114"/>
      <c r="I162" s="111" t="n">
        <v>5983</v>
      </c>
      <c r="J162" s="110"/>
      <c r="K162" s="120" t="s">
        <v>1200</v>
      </c>
      <c r="L162" s="110"/>
      <c r="M162" s="112" t="n">
        <v>33</v>
      </c>
      <c r="N162" s="114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</row>
    <row r="163" customFormat="false" ht="15.75" hidden="false" customHeight="true" outlineLevel="0" collapsed="false">
      <c r="A163" s="108" t="s">
        <v>1201</v>
      </c>
      <c r="B163" s="114"/>
      <c r="C163" s="120" t="s">
        <v>1202</v>
      </c>
      <c r="D163" s="110"/>
      <c r="E163" s="108" t="s">
        <v>821</v>
      </c>
      <c r="F163" s="114"/>
      <c r="G163" s="120" t="s">
        <v>822</v>
      </c>
      <c r="H163" s="114"/>
      <c r="I163" s="111" t="n">
        <v>5983</v>
      </c>
      <c r="J163" s="110"/>
      <c r="K163" s="120" t="s">
        <v>1200</v>
      </c>
      <c r="L163" s="110"/>
      <c r="M163" s="112" t="n">
        <v>33</v>
      </c>
      <c r="N163" s="114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</row>
    <row r="164" customFormat="false" ht="15.75" hidden="false" customHeight="true" outlineLevel="0" collapsed="false">
      <c r="A164" s="108" t="s">
        <v>1203</v>
      </c>
      <c r="B164" s="114"/>
      <c r="C164" s="120" t="s">
        <v>1204</v>
      </c>
      <c r="D164" s="110"/>
      <c r="E164" s="108" t="s">
        <v>821</v>
      </c>
      <c r="F164" s="114"/>
      <c r="G164" s="120" t="s">
        <v>822</v>
      </c>
      <c r="H164" s="114"/>
      <c r="I164" s="111" t="n">
        <v>5983</v>
      </c>
      <c r="J164" s="110"/>
      <c r="K164" s="120" t="s">
        <v>1200</v>
      </c>
      <c r="L164" s="110"/>
      <c r="M164" s="112" t="n">
        <v>33</v>
      </c>
      <c r="N164" s="114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</row>
    <row r="165" customFormat="false" ht="15.75" hidden="false" customHeight="true" outlineLevel="0" collapsed="false">
      <c r="A165" s="108" t="s">
        <v>1205</v>
      </c>
      <c r="B165" s="114"/>
      <c r="C165" s="120" t="s">
        <v>1206</v>
      </c>
      <c r="D165" s="110"/>
      <c r="E165" s="108" t="s">
        <v>821</v>
      </c>
      <c r="F165" s="114"/>
      <c r="G165" s="120" t="s">
        <v>822</v>
      </c>
      <c r="H165" s="114"/>
      <c r="I165" s="111" t="n">
        <v>5994</v>
      </c>
      <c r="J165" s="110"/>
      <c r="K165" s="120" t="s">
        <v>1207</v>
      </c>
      <c r="L165" s="110"/>
      <c r="M165" s="112" t="n">
        <v>34</v>
      </c>
      <c r="N165" s="114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</row>
    <row r="166" customFormat="false" ht="15.75" hidden="false" customHeight="true" outlineLevel="0" collapsed="false">
      <c r="A166" s="108" t="s">
        <v>1208</v>
      </c>
      <c r="B166" s="114"/>
      <c r="C166" s="120" t="s">
        <v>1209</v>
      </c>
      <c r="D166" s="110"/>
      <c r="E166" s="108" t="s">
        <v>920</v>
      </c>
      <c r="F166" s="114"/>
      <c r="G166" s="120" t="s">
        <v>1210</v>
      </c>
      <c r="H166" s="114"/>
      <c r="I166" s="111" t="n">
        <v>7342</v>
      </c>
      <c r="J166" s="110"/>
      <c r="K166" s="120" t="s">
        <v>1211</v>
      </c>
      <c r="L166" s="110"/>
      <c r="M166" s="112" t="n">
        <v>35</v>
      </c>
      <c r="N166" s="114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</row>
    <row r="167" customFormat="false" ht="15.75" hidden="false" customHeight="true" outlineLevel="0" collapsed="false">
      <c r="A167" s="108" t="s">
        <v>1212</v>
      </c>
      <c r="B167" s="114"/>
      <c r="C167" s="120" t="s">
        <v>1213</v>
      </c>
      <c r="D167" s="110"/>
      <c r="E167" s="108" t="s">
        <v>1214</v>
      </c>
      <c r="F167" s="114"/>
      <c r="G167" s="120" t="s">
        <v>1215</v>
      </c>
      <c r="H167" s="114"/>
      <c r="I167" s="111" t="n">
        <v>7395</v>
      </c>
      <c r="J167" s="110"/>
      <c r="K167" s="120" t="s">
        <v>1216</v>
      </c>
      <c r="L167" s="110"/>
      <c r="M167" s="121" t="n">
        <v>36</v>
      </c>
      <c r="N167" s="114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</row>
    <row r="168" customFormat="false" ht="15.75" hidden="false" customHeight="true" outlineLevel="0" collapsed="false">
      <c r="A168" s="108" t="s">
        <v>1217</v>
      </c>
      <c r="B168" s="114"/>
      <c r="C168" s="120" t="s">
        <v>1218</v>
      </c>
      <c r="D168" s="110"/>
      <c r="E168" s="108" t="s">
        <v>1219</v>
      </c>
      <c r="F168" s="114"/>
      <c r="G168" s="120" t="s">
        <v>1220</v>
      </c>
      <c r="H168" s="114"/>
      <c r="I168" s="111" t="n">
        <v>763</v>
      </c>
      <c r="J168" s="110"/>
      <c r="K168" s="120" t="s">
        <v>1221</v>
      </c>
      <c r="L168" s="110"/>
      <c r="M168" s="112" t="n">
        <v>37</v>
      </c>
      <c r="N168" s="114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</row>
    <row r="169" customFormat="false" ht="15.75" hidden="false" customHeight="true" outlineLevel="0" collapsed="false">
      <c r="A169" s="108" t="s">
        <v>1222</v>
      </c>
      <c r="B169" s="114"/>
      <c r="C169" s="120" t="s">
        <v>1223</v>
      </c>
      <c r="D169" s="110"/>
      <c r="E169" s="108" t="s">
        <v>1219</v>
      </c>
      <c r="F169" s="114"/>
      <c r="G169" s="120" t="s">
        <v>1220</v>
      </c>
      <c r="H169" s="114"/>
      <c r="I169" s="111" t="n">
        <v>763</v>
      </c>
      <c r="J169" s="110"/>
      <c r="K169" s="120" t="s">
        <v>1221</v>
      </c>
      <c r="L169" s="110"/>
      <c r="M169" s="112" t="n">
        <v>37</v>
      </c>
      <c r="N169" s="114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</row>
    <row r="170" customFormat="false" ht="15.75" hidden="false" customHeight="true" outlineLevel="0" collapsed="false">
      <c r="A170" s="108" t="s">
        <v>1224</v>
      </c>
      <c r="B170" s="114"/>
      <c r="C170" s="120" t="s">
        <v>1225</v>
      </c>
      <c r="D170" s="110"/>
      <c r="E170" s="108" t="s">
        <v>1219</v>
      </c>
      <c r="F170" s="114"/>
      <c r="G170" s="120" t="s">
        <v>1220</v>
      </c>
      <c r="H170" s="114"/>
      <c r="I170" s="111" t="n">
        <v>763</v>
      </c>
      <c r="J170" s="110"/>
      <c r="K170" s="120" t="s">
        <v>1221</v>
      </c>
      <c r="L170" s="110"/>
      <c r="M170" s="112" t="n">
        <v>37</v>
      </c>
      <c r="N170" s="114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</row>
    <row r="171" customFormat="false" ht="15.75" hidden="false" customHeight="true" outlineLevel="0" collapsed="false">
      <c r="A171" s="108" t="s">
        <v>1226</v>
      </c>
      <c r="B171" s="114"/>
      <c r="C171" s="120" t="s">
        <v>1227</v>
      </c>
      <c r="D171" s="110"/>
      <c r="E171" s="108" t="s">
        <v>1219</v>
      </c>
      <c r="F171" s="114"/>
      <c r="G171" s="120" t="s">
        <v>1220</v>
      </c>
      <c r="H171" s="114"/>
      <c r="I171" s="111" t="n">
        <v>763</v>
      </c>
      <c r="J171" s="110"/>
      <c r="K171" s="120" t="s">
        <v>1221</v>
      </c>
      <c r="L171" s="110"/>
      <c r="M171" s="112" t="n">
        <v>37</v>
      </c>
      <c r="N171" s="114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</row>
    <row r="172" customFormat="false" ht="15.75" hidden="false" customHeight="true" outlineLevel="0" collapsed="false">
      <c r="A172" s="108" t="s">
        <v>1228</v>
      </c>
      <c r="B172" s="114"/>
      <c r="C172" s="120" t="s">
        <v>1229</v>
      </c>
      <c r="D172" s="110"/>
      <c r="E172" s="108" t="s">
        <v>1219</v>
      </c>
      <c r="F172" s="114"/>
      <c r="G172" s="120" t="s">
        <v>1220</v>
      </c>
      <c r="H172" s="114"/>
      <c r="I172" s="111" t="n">
        <v>763</v>
      </c>
      <c r="J172" s="110"/>
      <c r="K172" s="120" t="s">
        <v>1221</v>
      </c>
      <c r="L172" s="110"/>
      <c r="M172" s="112" t="n">
        <v>37</v>
      </c>
      <c r="N172" s="114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</row>
    <row r="173" customFormat="false" ht="15.75" hidden="false" customHeight="true" outlineLevel="0" collapsed="false">
      <c r="A173" s="108" t="s">
        <v>1230</v>
      </c>
      <c r="B173" s="114"/>
      <c r="C173" s="120" t="s">
        <v>1231</v>
      </c>
      <c r="D173" s="110"/>
      <c r="E173" s="108" t="s">
        <v>1219</v>
      </c>
      <c r="F173" s="114"/>
      <c r="G173" s="120" t="s">
        <v>1220</v>
      </c>
      <c r="H173" s="114"/>
      <c r="I173" s="111" t="n">
        <v>763</v>
      </c>
      <c r="J173" s="110"/>
      <c r="K173" s="120" t="s">
        <v>1221</v>
      </c>
      <c r="L173" s="110"/>
      <c r="M173" s="112" t="n">
        <v>37</v>
      </c>
      <c r="N173" s="114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</row>
    <row r="174" customFormat="false" ht="15.75" hidden="false" customHeight="true" outlineLevel="0" collapsed="false">
      <c r="A174" s="108" t="s">
        <v>1232</v>
      </c>
      <c r="B174" s="114"/>
      <c r="C174" s="120" t="s">
        <v>1233</v>
      </c>
      <c r="D174" s="110"/>
      <c r="E174" s="108" t="s">
        <v>1219</v>
      </c>
      <c r="F174" s="114"/>
      <c r="G174" s="120" t="s">
        <v>1220</v>
      </c>
      <c r="H174" s="114"/>
      <c r="I174" s="111" t="n">
        <v>763</v>
      </c>
      <c r="J174" s="110"/>
      <c r="K174" s="120" t="s">
        <v>1221</v>
      </c>
      <c r="L174" s="110"/>
      <c r="M174" s="112" t="n">
        <v>37</v>
      </c>
      <c r="N174" s="114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</row>
    <row r="175" customFormat="false" ht="15.75" hidden="false" customHeight="true" outlineLevel="0" collapsed="false">
      <c r="A175" s="108" t="s">
        <v>1234</v>
      </c>
      <c r="B175" s="114"/>
      <c r="C175" s="120" t="s">
        <v>1235</v>
      </c>
      <c r="D175" s="110"/>
      <c r="E175" s="108" t="s">
        <v>1219</v>
      </c>
      <c r="F175" s="114"/>
      <c r="G175" s="120" t="s">
        <v>1220</v>
      </c>
      <c r="H175" s="114"/>
      <c r="I175" s="111" t="n">
        <v>763</v>
      </c>
      <c r="J175" s="110"/>
      <c r="K175" s="120" t="s">
        <v>1221</v>
      </c>
      <c r="L175" s="110"/>
      <c r="M175" s="112" t="n">
        <v>37</v>
      </c>
      <c r="N175" s="114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</row>
    <row r="176" customFormat="false" ht="15.75" hidden="false" customHeight="true" outlineLevel="0" collapsed="false">
      <c r="A176" s="108" t="s">
        <v>1236</v>
      </c>
      <c r="B176" s="114"/>
      <c r="C176" s="120" t="s">
        <v>1237</v>
      </c>
      <c r="D176" s="110"/>
      <c r="E176" s="108" t="s">
        <v>1219</v>
      </c>
      <c r="F176" s="114"/>
      <c r="G176" s="120" t="s">
        <v>1220</v>
      </c>
      <c r="H176" s="114"/>
      <c r="I176" s="111" t="n">
        <v>763</v>
      </c>
      <c r="J176" s="110"/>
      <c r="K176" s="120" t="s">
        <v>1221</v>
      </c>
      <c r="L176" s="110"/>
      <c r="M176" s="112" t="n">
        <v>37</v>
      </c>
      <c r="N176" s="114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</row>
    <row r="177" customFormat="false" ht="15.75" hidden="false" customHeight="true" outlineLevel="0" collapsed="false">
      <c r="A177" s="108" t="s">
        <v>1238</v>
      </c>
      <c r="B177" s="114"/>
      <c r="C177" s="120" t="s">
        <v>1239</v>
      </c>
      <c r="D177" s="110"/>
      <c r="E177" s="108" t="s">
        <v>1219</v>
      </c>
      <c r="F177" s="114"/>
      <c r="G177" s="120" t="s">
        <v>1220</v>
      </c>
      <c r="H177" s="114"/>
      <c r="I177" s="111" t="n">
        <v>763</v>
      </c>
      <c r="J177" s="110"/>
      <c r="K177" s="120" t="s">
        <v>1221</v>
      </c>
      <c r="L177" s="110"/>
      <c r="M177" s="112" t="n">
        <v>37</v>
      </c>
      <c r="N177" s="114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</row>
    <row r="178" customFormat="false" ht="15.75" hidden="false" customHeight="true" outlineLevel="0" collapsed="false">
      <c r="A178" s="108" t="s">
        <v>1240</v>
      </c>
      <c r="B178" s="114"/>
      <c r="C178" s="120" t="s">
        <v>1241</v>
      </c>
      <c r="D178" s="110"/>
      <c r="E178" s="108" t="s">
        <v>1219</v>
      </c>
      <c r="F178" s="114"/>
      <c r="G178" s="120" t="s">
        <v>1220</v>
      </c>
      <c r="H178" s="114"/>
      <c r="I178" s="111" t="n">
        <v>763</v>
      </c>
      <c r="J178" s="110"/>
      <c r="K178" s="120" t="s">
        <v>1221</v>
      </c>
      <c r="L178" s="110"/>
      <c r="M178" s="112" t="n">
        <v>37</v>
      </c>
      <c r="N178" s="114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</row>
    <row r="179" customFormat="false" ht="15.75" hidden="false" customHeight="true" outlineLevel="0" collapsed="false">
      <c r="A179" s="108" t="s">
        <v>1242</v>
      </c>
      <c r="B179" s="114"/>
      <c r="C179" s="120" t="s">
        <v>1243</v>
      </c>
      <c r="D179" s="110"/>
      <c r="E179" s="108" t="s">
        <v>1219</v>
      </c>
      <c r="F179" s="114"/>
      <c r="G179" s="120" t="s">
        <v>1220</v>
      </c>
      <c r="H179" s="114"/>
      <c r="I179" s="111" t="n">
        <v>763</v>
      </c>
      <c r="J179" s="110"/>
      <c r="K179" s="120" t="s">
        <v>1221</v>
      </c>
      <c r="L179" s="110"/>
      <c r="M179" s="112" t="n">
        <v>37</v>
      </c>
      <c r="N179" s="114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</row>
    <row r="180" customFormat="false" ht="15.75" hidden="false" customHeight="true" outlineLevel="0" collapsed="false">
      <c r="A180" s="108" t="s">
        <v>1244</v>
      </c>
      <c r="B180" s="114"/>
      <c r="C180" s="120" t="s">
        <v>1245</v>
      </c>
      <c r="D180" s="110"/>
      <c r="E180" s="108" t="s">
        <v>1219</v>
      </c>
      <c r="F180" s="114"/>
      <c r="G180" s="120" t="s">
        <v>1220</v>
      </c>
      <c r="H180" s="114"/>
      <c r="I180" s="111" t="n">
        <v>763</v>
      </c>
      <c r="J180" s="110"/>
      <c r="K180" s="120" t="s">
        <v>1221</v>
      </c>
      <c r="L180" s="110"/>
      <c r="M180" s="112" t="n">
        <v>37</v>
      </c>
      <c r="N180" s="114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</row>
    <row r="181" customFormat="false" ht="15.75" hidden="false" customHeight="true" outlineLevel="0" collapsed="false">
      <c r="A181" s="108" t="s">
        <v>1246</v>
      </c>
      <c r="B181" s="114"/>
      <c r="C181" s="120" t="s">
        <v>1247</v>
      </c>
      <c r="D181" s="110"/>
      <c r="E181" s="108" t="s">
        <v>1219</v>
      </c>
      <c r="F181" s="114"/>
      <c r="G181" s="120" t="s">
        <v>1220</v>
      </c>
      <c r="H181" s="114"/>
      <c r="I181" s="111" t="n">
        <v>763</v>
      </c>
      <c r="J181" s="110"/>
      <c r="K181" s="120" t="s">
        <v>1221</v>
      </c>
      <c r="L181" s="110"/>
      <c r="M181" s="112" t="n">
        <v>37</v>
      </c>
      <c r="N181" s="114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</row>
    <row r="182" customFormat="false" ht="15.75" hidden="false" customHeight="true" outlineLevel="0" collapsed="false">
      <c r="A182" s="108" t="s">
        <v>1248</v>
      </c>
      <c r="B182" s="114"/>
      <c r="C182" s="120" t="s">
        <v>1249</v>
      </c>
      <c r="D182" s="110"/>
      <c r="E182" s="108" t="s">
        <v>1219</v>
      </c>
      <c r="F182" s="114"/>
      <c r="G182" s="120" t="s">
        <v>1220</v>
      </c>
      <c r="H182" s="114"/>
      <c r="I182" s="111" t="n">
        <v>763</v>
      </c>
      <c r="J182" s="110"/>
      <c r="K182" s="120" t="s">
        <v>1221</v>
      </c>
      <c r="L182" s="110"/>
      <c r="M182" s="112" t="n">
        <v>37</v>
      </c>
      <c r="N182" s="114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</row>
    <row r="183" customFormat="false" ht="15.75" hidden="false" customHeight="true" outlineLevel="0" collapsed="false">
      <c r="A183" s="108" t="s">
        <v>1250</v>
      </c>
      <c r="B183" s="114"/>
      <c r="C183" s="120" t="s">
        <v>1251</v>
      </c>
      <c r="D183" s="110"/>
      <c r="E183" s="108" t="s">
        <v>1219</v>
      </c>
      <c r="F183" s="114"/>
      <c r="G183" s="120" t="s">
        <v>1220</v>
      </c>
      <c r="H183" s="114"/>
      <c r="I183" s="111" t="n">
        <v>763</v>
      </c>
      <c r="J183" s="110"/>
      <c r="K183" s="120" t="s">
        <v>1221</v>
      </c>
      <c r="L183" s="110"/>
      <c r="M183" s="112" t="n">
        <v>37</v>
      </c>
      <c r="N183" s="114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</row>
    <row r="184" customFormat="false" ht="15.75" hidden="false" customHeight="true" outlineLevel="0" collapsed="false">
      <c r="A184" s="108" t="s">
        <v>1252</v>
      </c>
      <c r="B184" s="114"/>
      <c r="C184" s="120" t="s">
        <v>1253</v>
      </c>
      <c r="D184" s="110"/>
      <c r="E184" s="108" t="s">
        <v>1219</v>
      </c>
      <c r="F184" s="114"/>
      <c r="G184" s="120" t="s">
        <v>1220</v>
      </c>
      <c r="H184" s="114"/>
      <c r="I184" s="111" t="n">
        <v>763</v>
      </c>
      <c r="J184" s="110"/>
      <c r="K184" s="120" t="s">
        <v>1221</v>
      </c>
      <c r="L184" s="110"/>
      <c r="M184" s="112" t="n">
        <v>37</v>
      </c>
      <c r="N184" s="114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</row>
    <row r="185" customFormat="false" ht="15.75" hidden="false" customHeight="true" outlineLevel="0" collapsed="false">
      <c r="A185" s="108" t="s">
        <v>1254</v>
      </c>
      <c r="B185" s="114"/>
      <c r="C185" s="120" t="s">
        <v>1255</v>
      </c>
      <c r="D185" s="110"/>
      <c r="E185" s="108" t="s">
        <v>1219</v>
      </c>
      <c r="F185" s="114"/>
      <c r="G185" s="120" t="s">
        <v>1220</v>
      </c>
      <c r="H185" s="114"/>
      <c r="I185" s="111" t="n">
        <v>763</v>
      </c>
      <c r="J185" s="110"/>
      <c r="K185" s="120" t="s">
        <v>1221</v>
      </c>
      <c r="L185" s="110"/>
      <c r="M185" s="112" t="n">
        <v>37</v>
      </c>
      <c r="N185" s="114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</row>
    <row r="186" customFormat="false" ht="15.75" hidden="false" customHeight="true" outlineLevel="0" collapsed="false">
      <c r="A186" s="108" t="s">
        <v>1256</v>
      </c>
      <c r="B186" s="114"/>
      <c r="C186" s="120" t="s">
        <v>1257</v>
      </c>
      <c r="D186" s="110"/>
      <c r="E186" s="108" t="s">
        <v>1219</v>
      </c>
      <c r="F186" s="114"/>
      <c r="G186" s="120" t="s">
        <v>1220</v>
      </c>
      <c r="H186" s="114"/>
      <c r="I186" s="111" t="n">
        <v>763</v>
      </c>
      <c r="J186" s="110"/>
      <c r="K186" s="120" t="s">
        <v>1221</v>
      </c>
      <c r="L186" s="110"/>
      <c r="M186" s="112" t="n">
        <v>37</v>
      </c>
      <c r="N186" s="114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</row>
    <row r="187" customFormat="false" ht="15.75" hidden="false" customHeight="true" outlineLevel="0" collapsed="false">
      <c r="A187" s="108" t="s">
        <v>1258</v>
      </c>
      <c r="B187" s="114"/>
      <c r="C187" s="120" t="s">
        <v>1259</v>
      </c>
      <c r="D187" s="110"/>
      <c r="E187" s="108" t="s">
        <v>1219</v>
      </c>
      <c r="F187" s="114"/>
      <c r="G187" s="120" t="s">
        <v>1220</v>
      </c>
      <c r="H187" s="114"/>
      <c r="I187" s="111" t="n">
        <v>763</v>
      </c>
      <c r="J187" s="110"/>
      <c r="K187" s="120" t="s">
        <v>1221</v>
      </c>
      <c r="L187" s="110"/>
      <c r="M187" s="112" t="n">
        <v>37</v>
      </c>
      <c r="N187" s="114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</row>
    <row r="188" customFormat="false" ht="15.75" hidden="false" customHeight="true" outlineLevel="0" collapsed="false">
      <c r="A188" s="108" t="s">
        <v>1260</v>
      </c>
      <c r="B188" s="114"/>
      <c r="C188" s="120" t="s">
        <v>1261</v>
      </c>
      <c r="D188" s="110"/>
      <c r="E188" s="108" t="s">
        <v>1219</v>
      </c>
      <c r="F188" s="114"/>
      <c r="G188" s="120" t="s">
        <v>1220</v>
      </c>
      <c r="H188" s="114"/>
      <c r="I188" s="111" t="n">
        <v>763</v>
      </c>
      <c r="J188" s="110"/>
      <c r="K188" s="120" t="s">
        <v>1221</v>
      </c>
      <c r="L188" s="110"/>
      <c r="M188" s="112" t="n">
        <v>37</v>
      </c>
      <c r="N188" s="114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</row>
    <row r="189" customFormat="false" ht="15.75" hidden="false" customHeight="true" outlineLevel="0" collapsed="false">
      <c r="A189" s="108" t="s">
        <v>1262</v>
      </c>
      <c r="B189" s="114"/>
      <c r="C189" s="120" t="s">
        <v>1263</v>
      </c>
      <c r="D189" s="110"/>
      <c r="E189" s="108" t="s">
        <v>1219</v>
      </c>
      <c r="F189" s="114"/>
      <c r="G189" s="120" t="s">
        <v>1220</v>
      </c>
      <c r="H189" s="114"/>
      <c r="I189" s="111" t="n">
        <v>763</v>
      </c>
      <c r="J189" s="110"/>
      <c r="K189" s="120" t="s">
        <v>1221</v>
      </c>
      <c r="L189" s="110"/>
      <c r="M189" s="112" t="n">
        <v>37</v>
      </c>
      <c r="N189" s="114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</row>
    <row r="190" customFormat="false" ht="15.75" hidden="false" customHeight="true" outlineLevel="0" collapsed="false">
      <c r="A190" s="108" t="s">
        <v>1264</v>
      </c>
      <c r="B190" s="114"/>
      <c r="C190" s="120" t="s">
        <v>1265</v>
      </c>
      <c r="D190" s="110"/>
      <c r="E190" s="108" t="s">
        <v>1219</v>
      </c>
      <c r="F190" s="114"/>
      <c r="G190" s="120" t="s">
        <v>1220</v>
      </c>
      <c r="H190" s="114"/>
      <c r="I190" s="111" t="n">
        <v>763</v>
      </c>
      <c r="J190" s="110"/>
      <c r="K190" s="120" t="s">
        <v>1221</v>
      </c>
      <c r="L190" s="110"/>
      <c r="M190" s="112" t="n">
        <v>37</v>
      </c>
      <c r="N190" s="114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</row>
    <row r="191" customFormat="false" ht="15.75" hidden="false" customHeight="true" outlineLevel="0" collapsed="false">
      <c r="A191" s="108" t="s">
        <v>1266</v>
      </c>
      <c r="B191" s="114"/>
      <c r="C191" s="120" t="s">
        <v>1267</v>
      </c>
      <c r="D191" s="110"/>
      <c r="E191" s="108" t="s">
        <v>1219</v>
      </c>
      <c r="F191" s="114"/>
      <c r="G191" s="120" t="s">
        <v>1220</v>
      </c>
      <c r="H191" s="114"/>
      <c r="I191" s="111" t="n">
        <v>763</v>
      </c>
      <c r="J191" s="110"/>
      <c r="K191" s="120" t="s">
        <v>1221</v>
      </c>
      <c r="L191" s="110"/>
      <c r="M191" s="112" t="n">
        <v>37</v>
      </c>
      <c r="N191" s="114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</row>
    <row r="192" customFormat="false" ht="15.75" hidden="false" customHeight="true" outlineLevel="0" collapsed="false">
      <c r="A192" s="108" t="s">
        <v>1268</v>
      </c>
      <c r="B192" s="114"/>
      <c r="C192" s="120" t="s">
        <v>1269</v>
      </c>
      <c r="D192" s="110"/>
      <c r="E192" s="108" t="s">
        <v>1219</v>
      </c>
      <c r="F192" s="114"/>
      <c r="G192" s="120" t="s">
        <v>1220</v>
      </c>
      <c r="H192" s="114"/>
      <c r="I192" s="111" t="n">
        <v>763</v>
      </c>
      <c r="J192" s="110"/>
      <c r="K192" s="120" t="s">
        <v>1221</v>
      </c>
      <c r="L192" s="110"/>
      <c r="M192" s="112" t="n">
        <v>37</v>
      </c>
      <c r="N192" s="114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</row>
    <row r="193" customFormat="false" ht="15.75" hidden="false" customHeight="true" outlineLevel="0" collapsed="false">
      <c r="A193" s="108" t="s">
        <v>1270</v>
      </c>
      <c r="B193" s="114"/>
      <c r="C193" s="120" t="s">
        <v>1271</v>
      </c>
      <c r="D193" s="110"/>
      <c r="E193" s="108" t="s">
        <v>1219</v>
      </c>
      <c r="F193" s="114"/>
      <c r="G193" s="120" t="s">
        <v>1220</v>
      </c>
      <c r="H193" s="114"/>
      <c r="I193" s="111" t="n">
        <v>763</v>
      </c>
      <c r="J193" s="110"/>
      <c r="K193" s="120" t="s">
        <v>1221</v>
      </c>
      <c r="L193" s="110"/>
      <c r="M193" s="112" t="n">
        <v>37</v>
      </c>
      <c r="N193" s="114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</row>
    <row r="194" customFormat="false" ht="15.75" hidden="false" customHeight="true" outlineLevel="0" collapsed="false">
      <c r="A194" s="108" t="s">
        <v>1272</v>
      </c>
      <c r="B194" s="114"/>
      <c r="C194" s="120" t="s">
        <v>1273</v>
      </c>
      <c r="D194" s="110"/>
      <c r="E194" s="108" t="s">
        <v>1219</v>
      </c>
      <c r="F194" s="114"/>
      <c r="G194" s="120" t="s">
        <v>1220</v>
      </c>
      <c r="H194" s="114"/>
      <c r="I194" s="111" t="n">
        <v>763</v>
      </c>
      <c r="J194" s="110"/>
      <c r="K194" s="120" t="s">
        <v>1221</v>
      </c>
      <c r="L194" s="110"/>
      <c r="M194" s="112" t="n">
        <v>37</v>
      </c>
      <c r="N194" s="114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</row>
    <row r="195" customFormat="false" ht="15.75" hidden="false" customHeight="true" outlineLevel="0" collapsed="false">
      <c r="A195" s="108" t="s">
        <v>1274</v>
      </c>
      <c r="B195" s="114"/>
      <c r="C195" s="120" t="s">
        <v>1275</v>
      </c>
      <c r="D195" s="110"/>
      <c r="E195" s="108" t="s">
        <v>1219</v>
      </c>
      <c r="F195" s="114"/>
      <c r="G195" s="120" t="s">
        <v>1220</v>
      </c>
      <c r="H195" s="114"/>
      <c r="I195" s="111" t="n">
        <v>763</v>
      </c>
      <c r="J195" s="110"/>
      <c r="K195" s="120" t="s">
        <v>1221</v>
      </c>
      <c r="L195" s="110"/>
      <c r="M195" s="112" t="n">
        <v>37</v>
      </c>
      <c r="N195" s="114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</row>
    <row r="196" customFormat="false" ht="15.75" hidden="false" customHeight="true" outlineLevel="0" collapsed="false">
      <c r="A196" s="108" t="s">
        <v>1276</v>
      </c>
      <c r="B196" s="114"/>
      <c r="C196" s="120" t="s">
        <v>1277</v>
      </c>
      <c r="D196" s="110"/>
      <c r="E196" s="108" t="s">
        <v>1219</v>
      </c>
      <c r="F196" s="114"/>
      <c r="G196" s="120" t="s">
        <v>1220</v>
      </c>
      <c r="H196" s="114"/>
      <c r="I196" s="111" t="n">
        <v>763</v>
      </c>
      <c r="J196" s="110"/>
      <c r="K196" s="120" t="s">
        <v>1221</v>
      </c>
      <c r="L196" s="110"/>
      <c r="M196" s="112" t="n">
        <v>37</v>
      </c>
      <c r="N196" s="114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</row>
    <row r="197" customFormat="false" ht="15.75" hidden="false" customHeight="true" outlineLevel="0" collapsed="false">
      <c r="A197" s="108" t="s">
        <v>1278</v>
      </c>
      <c r="B197" s="114"/>
      <c r="C197" s="120" t="s">
        <v>1279</v>
      </c>
      <c r="D197" s="110"/>
      <c r="E197" s="108" t="s">
        <v>1219</v>
      </c>
      <c r="F197" s="114"/>
      <c r="G197" s="120" t="s">
        <v>1220</v>
      </c>
      <c r="H197" s="114"/>
      <c r="I197" s="111" t="n">
        <v>763</v>
      </c>
      <c r="J197" s="110"/>
      <c r="K197" s="120" t="s">
        <v>1221</v>
      </c>
      <c r="L197" s="110"/>
      <c r="M197" s="112" t="n">
        <v>37</v>
      </c>
      <c r="N197" s="114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</row>
    <row r="198" customFormat="false" ht="15.75" hidden="false" customHeight="true" outlineLevel="0" collapsed="false">
      <c r="A198" s="108" t="s">
        <v>1280</v>
      </c>
      <c r="B198" s="114"/>
      <c r="C198" s="120" t="s">
        <v>1281</v>
      </c>
      <c r="D198" s="110"/>
      <c r="E198" s="108" t="s">
        <v>1219</v>
      </c>
      <c r="F198" s="114"/>
      <c r="G198" s="120" t="s">
        <v>1220</v>
      </c>
      <c r="H198" s="114"/>
      <c r="I198" s="111" t="n">
        <v>763</v>
      </c>
      <c r="J198" s="110"/>
      <c r="K198" s="120" t="s">
        <v>1221</v>
      </c>
      <c r="L198" s="110"/>
      <c r="M198" s="112" t="n">
        <v>37</v>
      </c>
      <c r="N198" s="114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</row>
    <row r="199" customFormat="false" ht="15.75" hidden="false" customHeight="true" outlineLevel="0" collapsed="false">
      <c r="A199" s="108" t="s">
        <v>1282</v>
      </c>
      <c r="B199" s="114"/>
      <c r="C199" s="120" t="s">
        <v>1283</v>
      </c>
      <c r="D199" s="110"/>
      <c r="E199" s="108" t="s">
        <v>1219</v>
      </c>
      <c r="F199" s="114"/>
      <c r="G199" s="120" t="s">
        <v>1220</v>
      </c>
      <c r="H199" s="114"/>
      <c r="I199" s="111" t="n">
        <v>763</v>
      </c>
      <c r="J199" s="110"/>
      <c r="K199" s="120" t="s">
        <v>1221</v>
      </c>
      <c r="L199" s="110"/>
      <c r="M199" s="112" t="n">
        <v>37</v>
      </c>
      <c r="N199" s="114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</row>
    <row r="200" customFormat="false" ht="15.75" hidden="false" customHeight="true" outlineLevel="0" collapsed="false">
      <c r="A200" s="108" t="s">
        <v>1284</v>
      </c>
      <c r="B200" s="114"/>
      <c r="C200" s="120" t="s">
        <v>1285</v>
      </c>
      <c r="D200" s="110"/>
      <c r="E200" s="108" t="s">
        <v>1219</v>
      </c>
      <c r="F200" s="114"/>
      <c r="G200" s="120" t="s">
        <v>1220</v>
      </c>
      <c r="H200" s="114"/>
      <c r="I200" s="111" t="n">
        <v>763</v>
      </c>
      <c r="J200" s="110"/>
      <c r="K200" s="120" t="s">
        <v>1221</v>
      </c>
      <c r="L200" s="110"/>
      <c r="M200" s="112" t="n">
        <v>37</v>
      </c>
      <c r="N200" s="114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</row>
    <row r="201" customFormat="false" ht="15.75" hidden="false" customHeight="true" outlineLevel="0" collapsed="false">
      <c r="A201" s="108" t="s">
        <v>1286</v>
      </c>
      <c r="B201" s="114"/>
      <c r="C201" s="120" t="s">
        <v>1287</v>
      </c>
      <c r="D201" s="110"/>
      <c r="E201" s="108" t="s">
        <v>1219</v>
      </c>
      <c r="F201" s="114"/>
      <c r="G201" s="120" t="s">
        <v>1220</v>
      </c>
      <c r="H201" s="114"/>
      <c r="I201" s="111" t="n">
        <v>763</v>
      </c>
      <c r="J201" s="110"/>
      <c r="K201" s="120" t="s">
        <v>1221</v>
      </c>
      <c r="L201" s="110"/>
      <c r="M201" s="112" t="n">
        <v>37</v>
      </c>
      <c r="N201" s="114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</row>
    <row r="202" customFormat="false" ht="15.75" hidden="false" customHeight="true" outlineLevel="0" collapsed="false">
      <c r="A202" s="108" t="s">
        <v>1288</v>
      </c>
      <c r="B202" s="114"/>
      <c r="C202" s="120" t="s">
        <v>1289</v>
      </c>
      <c r="D202" s="110"/>
      <c r="E202" s="108" t="s">
        <v>1219</v>
      </c>
      <c r="F202" s="114"/>
      <c r="G202" s="120" t="s">
        <v>1220</v>
      </c>
      <c r="H202" s="114"/>
      <c r="I202" s="111" t="n">
        <v>763</v>
      </c>
      <c r="J202" s="110"/>
      <c r="K202" s="120" t="s">
        <v>1221</v>
      </c>
      <c r="L202" s="110"/>
      <c r="M202" s="112" t="n">
        <v>37</v>
      </c>
      <c r="N202" s="114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</row>
    <row r="203" customFormat="false" ht="15.75" hidden="false" customHeight="true" outlineLevel="0" collapsed="false">
      <c r="A203" s="108" t="s">
        <v>1290</v>
      </c>
      <c r="B203" s="114"/>
      <c r="C203" s="120" t="s">
        <v>1291</v>
      </c>
      <c r="D203" s="110"/>
      <c r="E203" s="108" t="s">
        <v>1219</v>
      </c>
      <c r="F203" s="114"/>
      <c r="G203" s="120" t="s">
        <v>1220</v>
      </c>
      <c r="H203" s="114"/>
      <c r="I203" s="111" t="n">
        <v>763</v>
      </c>
      <c r="J203" s="110"/>
      <c r="K203" s="120" t="s">
        <v>1221</v>
      </c>
      <c r="L203" s="110"/>
      <c r="M203" s="112" t="n">
        <v>37</v>
      </c>
      <c r="N203" s="114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</row>
    <row r="204" customFormat="false" ht="15.75" hidden="false" customHeight="true" outlineLevel="0" collapsed="false">
      <c r="A204" s="108" t="s">
        <v>1292</v>
      </c>
      <c r="B204" s="114"/>
      <c r="C204" s="120" t="s">
        <v>1293</v>
      </c>
      <c r="D204" s="110"/>
      <c r="E204" s="108" t="s">
        <v>1219</v>
      </c>
      <c r="F204" s="114"/>
      <c r="G204" s="120" t="s">
        <v>1220</v>
      </c>
      <c r="H204" s="114"/>
      <c r="I204" s="111" t="n">
        <v>763</v>
      </c>
      <c r="J204" s="110"/>
      <c r="K204" s="120" t="s">
        <v>1221</v>
      </c>
      <c r="L204" s="110"/>
      <c r="M204" s="112" t="n">
        <v>37</v>
      </c>
      <c r="N204" s="114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</row>
    <row r="205" customFormat="false" ht="15.75" hidden="false" customHeight="true" outlineLevel="0" collapsed="false">
      <c r="A205" s="108" t="s">
        <v>1294</v>
      </c>
      <c r="B205" s="114"/>
      <c r="C205" s="120" t="s">
        <v>1295</v>
      </c>
      <c r="D205" s="110"/>
      <c r="E205" s="108" t="s">
        <v>1219</v>
      </c>
      <c r="F205" s="114"/>
      <c r="G205" s="120" t="s">
        <v>1220</v>
      </c>
      <c r="H205" s="114"/>
      <c r="I205" s="111" t="n">
        <v>763</v>
      </c>
      <c r="J205" s="110"/>
      <c r="K205" s="120" t="s">
        <v>1221</v>
      </c>
      <c r="L205" s="110"/>
      <c r="M205" s="112" t="n">
        <v>37</v>
      </c>
      <c r="N205" s="114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</row>
    <row r="206" customFormat="false" ht="15.75" hidden="false" customHeight="true" outlineLevel="0" collapsed="false">
      <c r="A206" s="108" t="s">
        <v>1296</v>
      </c>
      <c r="B206" s="114"/>
      <c r="C206" s="120" t="s">
        <v>1297</v>
      </c>
      <c r="D206" s="110"/>
      <c r="E206" s="108" t="s">
        <v>1219</v>
      </c>
      <c r="F206" s="114"/>
      <c r="G206" s="120" t="s">
        <v>1220</v>
      </c>
      <c r="H206" s="114"/>
      <c r="I206" s="111" t="n">
        <v>763</v>
      </c>
      <c r="J206" s="110"/>
      <c r="K206" s="120" t="s">
        <v>1221</v>
      </c>
      <c r="L206" s="110"/>
      <c r="M206" s="112" t="n">
        <v>37</v>
      </c>
      <c r="N206" s="114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</row>
    <row r="207" customFormat="false" ht="15.75" hidden="false" customHeight="true" outlineLevel="0" collapsed="false">
      <c r="A207" s="108" t="s">
        <v>1298</v>
      </c>
      <c r="B207" s="114"/>
      <c r="C207" s="120" t="s">
        <v>1299</v>
      </c>
      <c r="D207" s="110"/>
      <c r="E207" s="108" t="s">
        <v>1219</v>
      </c>
      <c r="F207" s="114"/>
      <c r="G207" s="120" t="s">
        <v>1220</v>
      </c>
      <c r="H207" s="114"/>
      <c r="I207" s="111" t="n">
        <v>763</v>
      </c>
      <c r="J207" s="110"/>
      <c r="K207" s="120" t="s">
        <v>1221</v>
      </c>
      <c r="L207" s="110"/>
      <c r="M207" s="112" t="n">
        <v>37</v>
      </c>
      <c r="N207" s="114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</row>
    <row r="208" customFormat="false" ht="15.75" hidden="false" customHeight="true" outlineLevel="0" collapsed="false">
      <c r="A208" s="108" t="s">
        <v>1300</v>
      </c>
      <c r="B208" s="114"/>
      <c r="C208" s="120" t="s">
        <v>1301</v>
      </c>
      <c r="D208" s="110"/>
      <c r="E208" s="108" t="s">
        <v>1219</v>
      </c>
      <c r="F208" s="114"/>
      <c r="G208" s="120" t="s">
        <v>1220</v>
      </c>
      <c r="H208" s="114"/>
      <c r="I208" s="111" t="n">
        <v>763</v>
      </c>
      <c r="J208" s="110"/>
      <c r="K208" s="120" t="s">
        <v>1221</v>
      </c>
      <c r="L208" s="110"/>
      <c r="M208" s="112" t="n">
        <v>37</v>
      </c>
      <c r="N208" s="114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</row>
    <row r="209" customFormat="false" ht="15.75" hidden="false" customHeight="true" outlineLevel="0" collapsed="false">
      <c r="A209" s="108" t="s">
        <v>1302</v>
      </c>
      <c r="B209" s="114"/>
      <c r="C209" s="120" t="s">
        <v>1303</v>
      </c>
      <c r="D209" s="110"/>
      <c r="E209" s="108" t="s">
        <v>1219</v>
      </c>
      <c r="F209" s="114"/>
      <c r="G209" s="120" t="s">
        <v>1220</v>
      </c>
      <c r="H209" s="114"/>
      <c r="I209" s="111" t="n">
        <v>763</v>
      </c>
      <c r="J209" s="110"/>
      <c r="K209" s="120" t="s">
        <v>1221</v>
      </c>
      <c r="L209" s="110"/>
      <c r="M209" s="112" t="n">
        <v>37</v>
      </c>
      <c r="N209" s="114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</row>
    <row r="210" customFormat="false" ht="15.75" hidden="false" customHeight="true" outlineLevel="0" collapsed="false">
      <c r="A210" s="108" t="s">
        <v>1304</v>
      </c>
      <c r="B210" s="114"/>
      <c r="C210" s="120" t="s">
        <v>1305</v>
      </c>
      <c r="D210" s="110"/>
      <c r="E210" s="108" t="s">
        <v>1219</v>
      </c>
      <c r="F210" s="114"/>
      <c r="G210" s="120" t="s">
        <v>1220</v>
      </c>
      <c r="H210" s="114"/>
      <c r="I210" s="111" t="n">
        <v>763</v>
      </c>
      <c r="J210" s="110"/>
      <c r="K210" s="120" t="s">
        <v>1221</v>
      </c>
      <c r="L210" s="110"/>
      <c r="M210" s="112" t="n">
        <v>37</v>
      </c>
      <c r="N210" s="114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</row>
    <row r="211" customFormat="false" ht="15.75" hidden="false" customHeight="true" outlineLevel="0" collapsed="false">
      <c r="A211" s="108" t="s">
        <v>1306</v>
      </c>
      <c r="B211" s="114"/>
      <c r="C211" s="120" t="s">
        <v>1307</v>
      </c>
      <c r="D211" s="110"/>
      <c r="E211" s="108" t="s">
        <v>1219</v>
      </c>
      <c r="F211" s="114"/>
      <c r="G211" s="120" t="s">
        <v>1220</v>
      </c>
      <c r="H211" s="114"/>
      <c r="I211" s="111" t="n">
        <v>763</v>
      </c>
      <c r="J211" s="110"/>
      <c r="K211" s="120" t="s">
        <v>1221</v>
      </c>
      <c r="L211" s="110"/>
      <c r="M211" s="112" t="n">
        <v>37</v>
      </c>
      <c r="N211" s="114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</row>
    <row r="212" customFormat="false" ht="15.75" hidden="false" customHeight="true" outlineLevel="0" collapsed="false">
      <c r="A212" s="108" t="s">
        <v>1308</v>
      </c>
      <c r="B212" s="114"/>
      <c r="C212" s="120" t="s">
        <v>1309</v>
      </c>
      <c r="D212" s="110"/>
      <c r="E212" s="108" t="s">
        <v>1219</v>
      </c>
      <c r="F212" s="114"/>
      <c r="G212" s="120" t="s">
        <v>1220</v>
      </c>
      <c r="H212" s="114"/>
      <c r="I212" s="111" t="n">
        <v>763</v>
      </c>
      <c r="J212" s="110"/>
      <c r="K212" s="120" t="s">
        <v>1221</v>
      </c>
      <c r="L212" s="110"/>
      <c r="M212" s="112" t="n">
        <v>37</v>
      </c>
      <c r="N212" s="114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</row>
    <row r="213" customFormat="false" ht="15.75" hidden="false" customHeight="true" outlineLevel="0" collapsed="false">
      <c r="A213" s="108" t="s">
        <v>1310</v>
      </c>
      <c r="B213" s="114"/>
      <c r="C213" s="120" t="s">
        <v>1311</v>
      </c>
      <c r="D213" s="110"/>
      <c r="E213" s="108" t="s">
        <v>1219</v>
      </c>
      <c r="F213" s="114"/>
      <c r="G213" s="120" t="s">
        <v>1220</v>
      </c>
      <c r="H213" s="114"/>
      <c r="I213" s="111" t="n">
        <v>763</v>
      </c>
      <c r="J213" s="110"/>
      <c r="K213" s="120" t="s">
        <v>1221</v>
      </c>
      <c r="L213" s="110"/>
      <c r="M213" s="112" t="n">
        <v>37</v>
      </c>
      <c r="N213" s="114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</row>
    <row r="214" customFormat="false" ht="15.75" hidden="false" customHeight="true" outlineLevel="0" collapsed="false">
      <c r="A214" s="108" t="s">
        <v>1312</v>
      </c>
      <c r="B214" s="114"/>
      <c r="C214" s="120" t="s">
        <v>1313</v>
      </c>
      <c r="D214" s="110"/>
      <c r="E214" s="108" t="s">
        <v>1219</v>
      </c>
      <c r="F214" s="114"/>
      <c r="G214" s="120" t="s">
        <v>1220</v>
      </c>
      <c r="H214" s="114"/>
      <c r="I214" s="111" t="n">
        <v>763</v>
      </c>
      <c r="J214" s="110"/>
      <c r="K214" s="120" t="s">
        <v>1221</v>
      </c>
      <c r="L214" s="110"/>
      <c r="M214" s="112" t="n">
        <v>37</v>
      </c>
      <c r="N214" s="114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</row>
    <row r="215" customFormat="false" ht="15.75" hidden="false" customHeight="true" outlineLevel="0" collapsed="false">
      <c r="A215" s="108" t="s">
        <v>1314</v>
      </c>
      <c r="B215" s="114"/>
      <c r="C215" s="120" t="s">
        <v>1315</v>
      </c>
      <c r="D215" s="110"/>
      <c r="E215" s="108" t="s">
        <v>1219</v>
      </c>
      <c r="F215" s="114"/>
      <c r="G215" s="120" t="s">
        <v>1220</v>
      </c>
      <c r="H215" s="114"/>
      <c r="I215" s="111" t="n">
        <v>763</v>
      </c>
      <c r="J215" s="110"/>
      <c r="K215" s="120" t="s">
        <v>1221</v>
      </c>
      <c r="L215" s="110"/>
      <c r="M215" s="112" t="n">
        <v>37</v>
      </c>
      <c r="N215" s="114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</row>
    <row r="216" customFormat="false" ht="15.75" hidden="false" customHeight="true" outlineLevel="0" collapsed="false">
      <c r="A216" s="108" t="s">
        <v>1316</v>
      </c>
      <c r="B216" s="114"/>
      <c r="C216" s="120" t="s">
        <v>1317</v>
      </c>
      <c r="D216" s="110"/>
      <c r="E216" s="108" t="s">
        <v>1219</v>
      </c>
      <c r="F216" s="114"/>
      <c r="G216" s="120" t="s">
        <v>1220</v>
      </c>
      <c r="H216" s="114"/>
      <c r="I216" s="111" t="n">
        <v>763</v>
      </c>
      <c r="J216" s="110"/>
      <c r="K216" s="120" t="s">
        <v>1221</v>
      </c>
      <c r="L216" s="110"/>
      <c r="M216" s="112" t="n">
        <v>37</v>
      </c>
      <c r="N216" s="114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</row>
    <row r="217" customFormat="false" ht="15.75" hidden="false" customHeight="true" outlineLevel="0" collapsed="false">
      <c r="A217" s="108" t="s">
        <v>1318</v>
      </c>
      <c r="B217" s="114"/>
      <c r="C217" s="120" t="s">
        <v>1319</v>
      </c>
      <c r="D217" s="110"/>
      <c r="E217" s="108" t="s">
        <v>1219</v>
      </c>
      <c r="F217" s="114"/>
      <c r="G217" s="120" t="s">
        <v>1220</v>
      </c>
      <c r="H217" s="114"/>
      <c r="I217" s="111" t="n">
        <v>763</v>
      </c>
      <c r="J217" s="110"/>
      <c r="K217" s="120" t="s">
        <v>1221</v>
      </c>
      <c r="L217" s="110"/>
      <c r="M217" s="112" t="n">
        <v>37</v>
      </c>
      <c r="N217" s="114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</row>
    <row r="218" customFormat="false" ht="15.75" hidden="false" customHeight="true" outlineLevel="0" collapsed="false">
      <c r="A218" s="108" t="s">
        <v>1320</v>
      </c>
      <c r="B218" s="114"/>
      <c r="C218" s="120" t="s">
        <v>1321</v>
      </c>
      <c r="D218" s="110"/>
      <c r="E218" s="108" t="s">
        <v>1219</v>
      </c>
      <c r="F218" s="114"/>
      <c r="G218" s="120" t="s">
        <v>1220</v>
      </c>
      <c r="H218" s="114"/>
      <c r="I218" s="111" t="n">
        <v>763</v>
      </c>
      <c r="J218" s="110"/>
      <c r="K218" s="120" t="s">
        <v>1221</v>
      </c>
      <c r="L218" s="110"/>
      <c r="M218" s="112" t="n">
        <v>37</v>
      </c>
      <c r="N218" s="114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</row>
    <row r="219" customFormat="false" ht="15.75" hidden="false" customHeight="true" outlineLevel="0" collapsed="false">
      <c r="A219" s="108" t="s">
        <v>1322</v>
      </c>
      <c r="B219" s="114"/>
      <c r="C219" s="120" t="s">
        <v>1323</v>
      </c>
      <c r="D219" s="110"/>
      <c r="E219" s="108" t="s">
        <v>1219</v>
      </c>
      <c r="F219" s="114"/>
      <c r="G219" s="120" t="s">
        <v>1220</v>
      </c>
      <c r="H219" s="114"/>
      <c r="I219" s="111" t="n">
        <v>763</v>
      </c>
      <c r="J219" s="110"/>
      <c r="K219" s="120" t="s">
        <v>1221</v>
      </c>
      <c r="L219" s="110"/>
      <c r="M219" s="112" t="n">
        <v>37</v>
      </c>
      <c r="N219" s="114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</row>
    <row r="220" customFormat="false" ht="15.75" hidden="false" customHeight="true" outlineLevel="0" collapsed="false">
      <c r="A220" s="108" t="s">
        <v>1324</v>
      </c>
      <c r="B220" s="114"/>
      <c r="C220" s="120" t="s">
        <v>1325</v>
      </c>
      <c r="D220" s="110"/>
      <c r="E220" s="108" t="s">
        <v>1219</v>
      </c>
      <c r="F220" s="114"/>
      <c r="G220" s="120" t="s">
        <v>1220</v>
      </c>
      <c r="H220" s="114"/>
      <c r="I220" s="111" t="n">
        <v>763</v>
      </c>
      <c r="J220" s="110"/>
      <c r="K220" s="120" t="s">
        <v>1221</v>
      </c>
      <c r="L220" s="110"/>
      <c r="M220" s="112" t="n">
        <v>37</v>
      </c>
      <c r="N220" s="114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</row>
    <row r="221" customFormat="false" ht="15.75" hidden="false" customHeight="true" outlineLevel="0" collapsed="false">
      <c r="A221" s="108" t="s">
        <v>1326</v>
      </c>
      <c r="B221" s="114"/>
      <c r="C221" s="120" t="s">
        <v>1327</v>
      </c>
      <c r="D221" s="110"/>
      <c r="E221" s="108" t="s">
        <v>1219</v>
      </c>
      <c r="F221" s="114"/>
      <c r="G221" s="120" t="s">
        <v>1220</v>
      </c>
      <c r="H221" s="114"/>
      <c r="I221" s="111" t="n">
        <v>763</v>
      </c>
      <c r="J221" s="110"/>
      <c r="K221" s="120" t="s">
        <v>1221</v>
      </c>
      <c r="L221" s="110"/>
      <c r="M221" s="112" t="n">
        <v>37</v>
      </c>
      <c r="N221" s="114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</row>
    <row r="222" customFormat="false" ht="15.75" hidden="false" customHeight="true" outlineLevel="0" collapsed="false">
      <c r="A222" s="108" t="s">
        <v>1328</v>
      </c>
      <c r="B222" s="114"/>
      <c r="C222" s="120" t="s">
        <v>1329</v>
      </c>
      <c r="D222" s="110"/>
      <c r="E222" s="108" t="s">
        <v>1219</v>
      </c>
      <c r="F222" s="114"/>
      <c r="G222" s="120" t="s">
        <v>1220</v>
      </c>
      <c r="H222" s="114"/>
      <c r="I222" s="111" t="n">
        <v>763</v>
      </c>
      <c r="J222" s="110"/>
      <c r="K222" s="120" t="s">
        <v>1221</v>
      </c>
      <c r="L222" s="110"/>
      <c r="M222" s="112" t="n">
        <v>37</v>
      </c>
      <c r="N222" s="114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</row>
    <row r="223" customFormat="false" ht="15.75" hidden="false" customHeight="true" outlineLevel="0" collapsed="false">
      <c r="A223" s="108" t="s">
        <v>1330</v>
      </c>
      <c r="B223" s="114"/>
      <c r="C223" s="120" t="s">
        <v>1331</v>
      </c>
      <c r="D223" s="110"/>
      <c r="E223" s="108" t="s">
        <v>1219</v>
      </c>
      <c r="F223" s="114"/>
      <c r="G223" s="120" t="s">
        <v>1220</v>
      </c>
      <c r="H223" s="114"/>
      <c r="I223" s="111" t="n">
        <v>763</v>
      </c>
      <c r="J223" s="110"/>
      <c r="K223" s="120" t="s">
        <v>1221</v>
      </c>
      <c r="L223" s="110"/>
      <c r="M223" s="112" t="n">
        <v>37</v>
      </c>
      <c r="N223" s="114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</row>
    <row r="224" customFormat="false" ht="15.75" hidden="false" customHeight="true" outlineLevel="0" collapsed="false">
      <c r="A224" s="108" t="s">
        <v>1332</v>
      </c>
      <c r="B224" s="114"/>
      <c r="C224" s="120" t="s">
        <v>1333</v>
      </c>
      <c r="D224" s="110"/>
      <c r="E224" s="108" t="s">
        <v>1219</v>
      </c>
      <c r="F224" s="114"/>
      <c r="G224" s="120" t="s">
        <v>1220</v>
      </c>
      <c r="H224" s="114"/>
      <c r="I224" s="111" t="n">
        <v>763</v>
      </c>
      <c r="J224" s="110"/>
      <c r="K224" s="120" t="s">
        <v>1221</v>
      </c>
      <c r="L224" s="110"/>
      <c r="M224" s="112" t="n">
        <v>37</v>
      </c>
      <c r="N224" s="114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</row>
    <row r="225" customFormat="false" ht="15.75" hidden="false" customHeight="true" outlineLevel="0" collapsed="false">
      <c r="A225" s="108" t="s">
        <v>1334</v>
      </c>
      <c r="B225" s="114"/>
      <c r="C225" s="120" t="s">
        <v>1335</v>
      </c>
      <c r="D225" s="110"/>
      <c r="E225" s="108" t="s">
        <v>1219</v>
      </c>
      <c r="F225" s="114"/>
      <c r="G225" s="120" t="s">
        <v>1220</v>
      </c>
      <c r="H225" s="114"/>
      <c r="I225" s="111" t="n">
        <v>763</v>
      </c>
      <c r="J225" s="110"/>
      <c r="K225" s="120" t="s">
        <v>1221</v>
      </c>
      <c r="L225" s="110"/>
      <c r="M225" s="112" t="n">
        <v>37</v>
      </c>
      <c r="N225" s="114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</row>
    <row r="226" customFormat="false" ht="15.75" hidden="false" customHeight="true" outlineLevel="0" collapsed="false">
      <c r="A226" s="108" t="s">
        <v>1336</v>
      </c>
      <c r="B226" s="114"/>
      <c r="C226" s="120" t="s">
        <v>1337</v>
      </c>
      <c r="D226" s="110"/>
      <c r="E226" s="108" t="s">
        <v>1219</v>
      </c>
      <c r="F226" s="114"/>
      <c r="G226" s="120" t="s">
        <v>1220</v>
      </c>
      <c r="H226" s="114"/>
      <c r="I226" s="111" t="n">
        <v>763</v>
      </c>
      <c r="J226" s="110"/>
      <c r="K226" s="120" t="s">
        <v>1221</v>
      </c>
      <c r="L226" s="110"/>
      <c r="M226" s="112" t="n">
        <v>37</v>
      </c>
      <c r="N226" s="114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</row>
    <row r="227" customFormat="false" ht="15.75" hidden="false" customHeight="true" outlineLevel="0" collapsed="false">
      <c r="A227" s="108" t="s">
        <v>1338</v>
      </c>
      <c r="B227" s="114"/>
      <c r="C227" s="120" t="s">
        <v>1339</v>
      </c>
      <c r="D227" s="110"/>
      <c r="E227" s="108" t="s">
        <v>1219</v>
      </c>
      <c r="F227" s="114"/>
      <c r="G227" s="120" t="s">
        <v>1220</v>
      </c>
      <c r="H227" s="114"/>
      <c r="I227" s="111" t="n">
        <v>763</v>
      </c>
      <c r="J227" s="110"/>
      <c r="K227" s="120" t="s">
        <v>1221</v>
      </c>
      <c r="L227" s="110"/>
      <c r="M227" s="112" t="n">
        <v>37</v>
      </c>
      <c r="N227" s="114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</row>
    <row r="228" customFormat="false" ht="15.75" hidden="false" customHeight="true" outlineLevel="0" collapsed="false">
      <c r="A228" s="108" t="s">
        <v>1340</v>
      </c>
      <c r="B228" s="114"/>
      <c r="C228" s="120" t="s">
        <v>1341</v>
      </c>
      <c r="D228" s="110"/>
      <c r="E228" s="108" t="s">
        <v>1219</v>
      </c>
      <c r="F228" s="114"/>
      <c r="G228" s="120" t="s">
        <v>1220</v>
      </c>
      <c r="H228" s="114"/>
      <c r="I228" s="111" t="n">
        <v>763</v>
      </c>
      <c r="J228" s="110"/>
      <c r="K228" s="120" t="s">
        <v>1221</v>
      </c>
      <c r="L228" s="110"/>
      <c r="M228" s="112" t="n">
        <v>37</v>
      </c>
      <c r="N228" s="114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</row>
    <row r="229" customFormat="false" ht="15.75" hidden="false" customHeight="true" outlineLevel="0" collapsed="false">
      <c r="A229" s="108" t="s">
        <v>1342</v>
      </c>
      <c r="B229" s="114"/>
      <c r="C229" s="120" t="s">
        <v>1343</v>
      </c>
      <c r="D229" s="110"/>
      <c r="E229" s="108" t="s">
        <v>1219</v>
      </c>
      <c r="F229" s="114"/>
      <c r="G229" s="120" t="s">
        <v>1220</v>
      </c>
      <c r="H229" s="114"/>
      <c r="I229" s="111" t="n">
        <v>763</v>
      </c>
      <c r="J229" s="110"/>
      <c r="K229" s="120" t="s">
        <v>1221</v>
      </c>
      <c r="L229" s="110"/>
      <c r="M229" s="112" t="n">
        <v>37</v>
      </c>
      <c r="N229" s="114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</row>
    <row r="230" customFormat="false" ht="15.75" hidden="false" customHeight="true" outlineLevel="0" collapsed="false">
      <c r="A230" s="108" t="s">
        <v>1344</v>
      </c>
      <c r="B230" s="114"/>
      <c r="C230" s="120" t="s">
        <v>1345</v>
      </c>
      <c r="D230" s="110"/>
      <c r="E230" s="108" t="s">
        <v>1219</v>
      </c>
      <c r="F230" s="114"/>
      <c r="G230" s="120" t="s">
        <v>1220</v>
      </c>
      <c r="H230" s="114"/>
      <c r="I230" s="111" t="n">
        <v>763</v>
      </c>
      <c r="J230" s="110"/>
      <c r="K230" s="120" t="s">
        <v>1221</v>
      </c>
      <c r="L230" s="110"/>
      <c r="M230" s="112" t="n">
        <v>37</v>
      </c>
      <c r="N230" s="114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</row>
    <row r="231" customFormat="false" ht="15.75" hidden="false" customHeight="true" outlineLevel="0" collapsed="false">
      <c r="A231" s="108" t="s">
        <v>1346</v>
      </c>
      <c r="B231" s="114"/>
      <c r="C231" s="120" t="s">
        <v>1347</v>
      </c>
      <c r="D231" s="110"/>
      <c r="E231" s="108" t="s">
        <v>1219</v>
      </c>
      <c r="F231" s="114"/>
      <c r="G231" s="120" t="s">
        <v>1220</v>
      </c>
      <c r="H231" s="114"/>
      <c r="I231" s="111" t="n">
        <v>763</v>
      </c>
      <c r="J231" s="110"/>
      <c r="K231" s="120" t="s">
        <v>1221</v>
      </c>
      <c r="L231" s="110"/>
      <c r="M231" s="112" t="n">
        <v>37</v>
      </c>
      <c r="N231" s="114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</row>
    <row r="232" customFormat="false" ht="15.75" hidden="false" customHeight="true" outlineLevel="0" collapsed="false">
      <c r="A232" s="108" t="s">
        <v>1348</v>
      </c>
      <c r="B232" s="114"/>
      <c r="C232" s="120" t="s">
        <v>1349</v>
      </c>
      <c r="D232" s="110"/>
      <c r="E232" s="108" t="s">
        <v>1219</v>
      </c>
      <c r="F232" s="114"/>
      <c r="G232" s="120" t="s">
        <v>1220</v>
      </c>
      <c r="H232" s="114"/>
      <c r="I232" s="111" t="n">
        <v>763</v>
      </c>
      <c r="J232" s="110"/>
      <c r="K232" s="120" t="s">
        <v>1221</v>
      </c>
      <c r="L232" s="110"/>
      <c r="M232" s="112" t="n">
        <v>37</v>
      </c>
      <c r="N232" s="114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</row>
    <row r="233" customFormat="false" ht="15.75" hidden="false" customHeight="true" outlineLevel="0" collapsed="false">
      <c r="A233" s="108" t="s">
        <v>1350</v>
      </c>
      <c r="B233" s="114"/>
      <c r="C233" s="120" t="s">
        <v>1351</v>
      </c>
      <c r="D233" s="110"/>
      <c r="E233" s="108" t="s">
        <v>1219</v>
      </c>
      <c r="F233" s="114"/>
      <c r="G233" s="120" t="s">
        <v>1220</v>
      </c>
      <c r="H233" s="114"/>
      <c r="I233" s="111" t="n">
        <v>763</v>
      </c>
      <c r="J233" s="110"/>
      <c r="K233" s="120" t="s">
        <v>1221</v>
      </c>
      <c r="L233" s="110"/>
      <c r="M233" s="112" t="n">
        <v>37</v>
      </c>
      <c r="N233" s="114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</row>
    <row r="234" customFormat="false" ht="15.75" hidden="false" customHeight="true" outlineLevel="0" collapsed="false">
      <c r="A234" s="108" t="s">
        <v>1352</v>
      </c>
      <c r="B234" s="114"/>
      <c r="C234" s="120" t="s">
        <v>1353</v>
      </c>
      <c r="D234" s="110"/>
      <c r="E234" s="108" t="s">
        <v>1219</v>
      </c>
      <c r="F234" s="114"/>
      <c r="G234" s="120" t="s">
        <v>1220</v>
      </c>
      <c r="H234" s="114"/>
      <c r="I234" s="111" t="n">
        <v>763</v>
      </c>
      <c r="J234" s="110"/>
      <c r="K234" s="120" t="s">
        <v>1221</v>
      </c>
      <c r="L234" s="110"/>
      <c r="M234" s="112" t="n">
        <v>37</v>
      </c>
      <c r="N234" s="114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</row>
    <row r="235" customFormat="false" ht="15.75" hidden="false" customHeight="true" outlineLevel="0" collapsed="false">
      <c r="A235" s="108" t="s">
        <v>1354</v>
      </c>
      <c r="B235" s="114"/>
      <c r="C235" s="120" t="s">
        <v>1355</v>
      </c>
      <c r="D235" s="110"/>
      <c r="E235" s="108" t="s">
        <v>1219</v>
      </c>
      <c r="F235" s="114"/>
      <c r="G235" s="120" t="s">
        <v>1220</v>
      </c>
      <c r="H235" s="114"/>
      <c r="I235" s="111" t="n">
        <v>763</v>
      </c>
      <c r="J235" s="110"/>
      <c r="K235" s="120" t="s">
        <v>1221</v>
      </c>
      <c r="L235" s="110"/>
      <c r="M235" s="112" t="n">
        <v>37</v>
      </c>
      <c r="N235" s="114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</row>
    <row r="236" customFormat="false" ht="15.75" hidden="false" customHeight="true" outlineLevel="0" collapsed="false">
      <c r="A236" s="108" t="s">
        <v>1356</v>
      </c>
      <c r="B236" s="114"/>
      <c r="C236" s="120" t="s">
        <v>1357</v>
      </c>
      <c r="D236" s="110"/>
      <c r="E236" s="108" t="s">
        <v>1219</v>
      </c>
      <c r="F236" s="114"/>
      <c r="G236" s="120" t="s">
        <v>1220</v>
      </c>
      <c r="H236" s="114"/>
      <c r="I236" s="111" t="n">
        <v>763</v>
      </c>
      <c r="J236" s="110"/>
      <c r="K236" s="120" t="s">
        <v>1221</v>
      </c>
      <c r="L236" s="110"/>
      <c r="M236" s="112" t="n">
        <v>37</v>
      </c>
      <c r="N236" s="114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</row>
    <row r="237" customFormat="false" ht="15.75" hidden="false" customHeight="true" outlineLevel="0" collapsed="false">
      <c r="A237" s="108" t="s">
        <v>1358</v>
      </c>
      <c r="B237" s="114"/>
      <c r="C237" s="120" t="s">
        <v>1359</v>
      </c>
      <c r="D237" s="110"/>
      <c r="E237" s="108" t="s">
        <v>1219</v>
      </c>
      <c r="F237" s="114"/>
      <c r="G237" s="120" t="s">
        <v>1220</v>
      </c>
      <c r="H237" s="114"/>
      <c r="I237" s="111" t="n">
        <v>763</v>
      </c>
      <c r="J237" s="110"/>
      <c r="K237" s="120" t="s">
        <v>1221</v>
      </c>
      <c r="L237" s="110"/>
      <c r="M237" s="112" t="n">
        <v>37</v>
      </c>
      <c r="N237" s="114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</row>
    <row r="238" customFormat="false" ht="15.75" hidden="false" customHeight="true" outlineLevel="0" collapsed="false">
      <c r="A238" s="108" t="s">
        <v>1360</v>
      </c>
      <c r="B238" s="114"/>
      <c r="C238" s="120" t="s">
        <v>1361</v>
      </c>
      <c r="D238" s="110"/>
      <c r="E238" s="108" t="s">
        <v>1219</v>
      </c>
      <c r="F238" s="114"/>
      <c r="G238" s="120" t="s">
        <v>1220</v>
      </c>
      <c r="H238" s="114"/>
      <c r="I238" s="111" t="n">
        <v>763</v>
      </c>
      <c r="J238" s="110"/>
      <c r="K238" s="120" t="s">
        <v>1221</v>
      </c>
      <c r="L238" s="110"/>
      <c r="M238" s="112" t="n">
        <v>37</v>
      </c>
      <c r="N238" s="114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</row>
    <row r="239" customFormat="false" ht="15.75" hidden="false" customHeight="true" outlineLevel="0" collapsed="false">
      <c r="A239" s="108" t="s">
        <v>1362</v>
      </c>
      <c r="B239" s="114"/>
      <c r="C239" s="120" t="s">
        <v>1363</v>
      </c>
      <c r="D239" s="110"/>
      <c r="E239" s="108" t="s">
        <v>1219</v>
      </c>
      <c r="F239" s="114"/>
      <c r="G239" s="120" t="s">
        <v>1220</v>
      </c>
      <c r="H239" s="114"/>
      <c r="I239" s="111" t="n">
        <v>763</v>
      </c>
      <c r="J239" s="110"/>
      <c r="K239" s="120" t="s">
        <v>1221</v>
      </c>
      <c r="L239" s="110"/>
      <c r="M239" s="112" t="n">
        <v>37</v>
      </c>
      <c r="N239" s="114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</row>
    <row r="240" customFormat="false" ht="15.75" hidden="false" customHeight="true" outlineLevel="0" collapsed="false">
      <c r="A240" s="108" t="s">
        <v>1364</v>
      </c>
      <c r="B240" s="114"/>
      <c r="C240" s="120" t="s">
        <v>1365</v>
      </c>
      <c r="D240" s="110"/>
      <c r="E240" s="108" t="s">
        <v>1219</v>
      </c>
      <c r="F240" s="114"/>
      <c r="G240" s="120" t="s">
        <v>1220</v>
      </c>
      <c r="H240" s="114"/>
      <c r="I240" s="111" t="n">
        <v>763</v>
      </c>
      <c r="J240" s="110"/>
      <c r="K240" s="120" t="s">
        <v>1221</v>
      </c>
      <c r="L240" s="110"/>
      <c r="M240" s="112" t="n">
        <v>37</v>
      </c>
      <c r="N240" s="114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</row>
    <row r="241" customFormat="false" ht="15.75" hidden="false" customHeight="true" outlineLevel="0" collapsed="false">
      <c r="A241" s="108" t="s">
        <v>1366</v>
      </c>
      <c r="B241" s="114"/>
      <c r="C241" s="120" t="s">
        <v>1367</v>
      </c>
      <c r="D241" s="110"/>
      <c r="E241" s="108" t="s">
        <v>1219</v>
      </c>
      <c r="F241" s="114"/>
      <c r="G241" s="120" t="s">
        <v>1220</v>
      </c>
      <c r="H241" s="114"/>
      <c r="I241" s="111" t="n">
        <v>763</v>
      </c>
      <c r="J241" s="110"/>
      <c r="K241" s="120" t="s">
        <v>1221</v>
      </c>
      <c r="L241" s="110"/>
      <c r="M241" s="112" t="n">
        <v>37</v>
      </c>
      <c r="N241" s="114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</row>
    <row r="242" customFormat="false" ht="15.75" hidden="false" customHeight="true" outlineLevel="0" collapsed="false">
      <c r="A242" s="108" t="s">
        <v>1368</v>
      </c>
      <c r="B242" s="114"/>
      <c r="C242" s="120" t="s">
        <v>1369</v>
      </c>
      <c r="D242" s="110"/>
      <c r="E242" s="108" t="s">
        <v>1219</v>
      </c>
      <c r="F242" s="114"/>
      <c r="G242" s="120" t="s">
        <v>1220</v>
      </c>
      <c r="H242" s="114"/>
      <c r="I242" s="111" t="n">
        <v>763</v>
      </c>
      <c r="J242" s="110"/>
      <c r="K242" s="120" t="s">
        <v>1221</v>
      </c>
      <c r="L242" s="110"/>
      <c r="M242" s="112" t="n">
        <v>37</v>
      </c>
      <c r="N242" s="114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</row>
    <row r="243" customFormat="false" ht="15.75" hidden="false" customHeight="true" outlineLevel="0" collapsed="false">
      <c r="A243" s="108" t="s">
        <v>1370</v>
      </c>
      <c r="B243" s="114"/>
      <c r="C243" s="120" t="s">
        <v>1371</v>
      </c>
      <c r="D243" s="110"/>
      <c r="E243" s="108" t="s">
        <v>1219</v>
      </c>
      <c r="F243" s="114"/>
      <c r="G243" s="120" t="s">
        <v>1220</v>
      </c>
      <c r="H243" s="114"/>
      <c r="I243" s="111" t="n">
        <v>763</v>
      </c>
      <c r="J243" s="110"/>
      <c r="K243" s="120" t="s">
        <v>1221</v>
      </c>
      <c r="L243" s="110"/>
      <c r="M243" s="112" t="n">
        <v>37</v>
      </c>
      <c r="N243" s="114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</row>
    <row r="244" customFormat="false" ht="15.75" hidden="false" customHeight="true" outlineLevel="0" collapsed="false">
      <c r="A244" s="108" t="s">
        <v>1372</v>
      </c>
      <c r="B244" s="114"/>
      <c r="C244" s="120" t="s">
        <v>1373</v>
      </c>
      <c r="D244" s="110"/>
      <c r="E244" s="108" t="s">
        <v>1219</v>
      </c>
      <c r="F244" s="114"/>
      <c r="G244" s="120" t="s">
        <v>1220</v>
      </c>
      <c r="H244" s="114"/>
      <c r="I244" s="111" t="n">
        <v>763</v>
      </c>
      <c r="J244" s="110"/>
      <c r="K244" s="120" t="s">
        <v>1221</v>
      </c>
      <c r="L244" s="110"/>
      <c r="M244" s="112" t="n">
        <v>37</v>
      </c>
      <c r="N244" s="114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</row>
    <row r="245" customFormat="false" ht="15.75" hidden="false" customHeight="true" outlineLevel="0" collapsed="false">
      <c r="A245" s="108" t="s">
        <v>1374</v>
      </c>
      <c r="B245" s="114"/>
      <c r="C245" s="120" t="s">
        <v>1375</v>
      </c>
      <c r="D245" s="110"/>
      <c r="E245" s="108" t="s">
        <v>1219</v>
      </c>
      <c r="F245" s="114"/>
      <c r="G245" s="120" t="s">
        <v>1220</v>
      </c>
      <c r="H245" s="114"/>
      <c r="I245" s="111" t="n">
        <v>763</v>
      </c>
      <c r="J245" s="110"/>
      <c r="K245" s="120" t="s">
        <v>1221</v>
      </c>
      <c r="L245" s="110"/>
      <c r="M245" s="112" t="n">
        <v>37</v>
      </c>
      <c r="N245" s="114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</row>
    <row r="246" customFormat="false" ht="15.75" hidden="false" customHeight="true" outlineLevel="0" collapsed="false">
      <c r="A246" s="108" t="s">
        <v>1376</v>
      </c>
      <c r="B246" s="114"/>
      <c r="C246" s="120" t="s">
        <v>1377</v>
      </c>
      <c r="D246" s="110"/>
      <c r="E246" s="108" t="s">
        <v>1219</v>
      </c>
      <c r="F246" s="114"/>
      <c r="G246" s="120" t="s">
        <v>1220</v>
      </c>
      <c r="H246" s="114"/>
      <c r="I246" s="111" t="n">
        <v>763</v>
      </c>
      <c r="J246" s="110"/>
      <c r="K246" s="120" t="s">
        <v>1221</v>
      </c>
      <c r="L246" s="110"/>
      <c r="M246" s="112" t="n">
        <v>37</v>
      </c>
      <c r="N246" s="114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</row>
    <row r="247" customFormat="false" ht="15.75" hidden="false" customHeight="true" outlineLevel="0" collapsed="false">
      <c r="A247" s="108" t="s">
        <v>1378</v>
      </c>
      <c r="B247" s="114"/>
      <c r="C247" s="120" t="s">
        <v>1379</v>
      </c>
      <c r="D247" s="110"/>
      <c r="E247" s="108" t="s">
        <v>1219</v>
      </c>
      <c r="F247" s="114"/>
      <c r="G247" s="120" t="s">
        <v>1380</v>
      </c>
      <c r="H247" s="114"/>
      <c r="I247" s="111" t="n">
        <v>763</v>
      </c>
      <c r="J247" s="110"/>
      <c r="K247" s="120" t="s">
        <v>1221</v>
      </c>
      <c r="L247" s="110"/>
      <c r="M247" s="112" t="n">
        <v>37</v>
      </c>
      <c r="N247" s="114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</row>
    <row r="248" customFormat="false" ht="15.75" hidden="false" customHeight="true" outlineLevel="0" collapsed="false">
      <c r="A248" s="108" t="s">
        <v>1381</v>
      </c>
      <c r="B248" s="114"/>
      <c r="C248" s="120" t="s">
        <v>1382</v>
      </c>
      <c r="D248" s="110"/>
      <c r="E248" s="108" t="s">
        <v>1219</v>
      </c>
      <c r="F248" s="114"/>
      <c r="G248" s="120" t="s">
        <v>1380</v>
      </c>
      <c r="H248" s="114"/>
      <c r="I248" s="111" t="n">
        <v>763</v>
      </c>
      <c r="J248" s="110"/>
      <c r="K248" s="120" t="s">
        <v>1221</v>
      </c>
      <c r="L248" s="110"/>
      <c r="M248" s="112" t="n">
        <v>37</v>
      </c>
      <c r="N248" s="114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</row>
    <row r="249" customFormat="false" ht="15.75" hidden="false" customHeight="true" outlineLevel="0" collapsed="false">
      <c r="A249" s="108" t="s">
        <v>1383</v>
      </c>
      <c r="B249" s="114"/>
      <c r="C249" s="120" t="s">
        <v>1384</v>
      </c>
      <c r="D249" s="110"/>
      <c r="E249" s="108" t="s">
        <v>1219</v>
      </c>
      <c r="F249" s="114"/>
      <c r="G249" s="120" t="s">
        <v>1380</v>
      </c>
      <c r="H249" s="114"/>
      <c r="I249" s="111" t="n">
        <v>763</v>
      </c>
      <c r="J249" s="110"/>
      <c r="K249" s="120" t="s">
        <v>1221</v>
      </c>
      <c r="L249" s="110"/>
      <c r="M249" s="112" t="n">
        <v>37</v>
      </c>
      <c r="N249" s="114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</row>
    <row r="250" customFormat="false" ht="15.75" hidden="false" customHeight="true" outlineLevel="0" collapsed="false">
      <c r="A250" s="108" t="s">
        <v>1385</v>
      </c>
      <c r="B250" s="114"/>
      <c r="C250" s="120" t="s">
        <v>1386</v>
      </c>
      <c r="D250" s="110"/>
      <c r="E250" s="108" t="s">
        <v>1219</v>
      </c>
      <c r="F250" s="114"/>
      <c r="G250" s="120" t="s">
        <v>1380</v>
      </c>
      <c r="H250" s="114"/>
      <c r="I250" s="111" t="n">
        <v>763</v>
      </c>
      <c r="J250" s="110"/>
      <c r="K250" s="120" t="s">
        <v>1221</v>
      </c>
      <c r="L250" s="110"/>
      <c r="M250" s="112" t="n">
        <v>37</v>
      </c>
      <c r="N250" s="114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</row>
    <row r="251" customFormat="false" ht="15.75" hidden="false" customHeight="true" outlineLevel="0" collapsed="false">
      <c r="A251" s="108" t="s">
        <v>1387</v>
      </c>
      <c r="B251" s="114"/>
      <c r="C251" s="120" t="s">
        <v>1388</v>
      </c>
      <c r="D251" s="110"/>
      <c r="E251" s="108" t="s">
        <v>1219</v>
      </c>
      <c r="F251" s="114"/>
      <c r="G251" s="120" t="s">
        <v>1380</v>
      </c>
      <c r="H251" s="114"/>
      <c r="I251" s="111" t="n">
        <v>763</v>
      </c>
      <c r="J251" s="110"/>
      <c r="K251" s="120" t="s">
        <v>1221</v>
      </c>
      <c r="L251" s="110"/>
      <c r="M251" s="112" t="n">
        <v>37</v>
      </c>
      <c r="N251" s="114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</row>
    <row r="252" customFormat="false" ht="15.75" hidden="false" customHeight="true" outlineLevel="0" collapsed="false">
      <c r="A252" s="108" t="s">
        <v>1389</v>
      </c>
      <c r="B252" s="114"/>
      <c r="C252" s="120" t="s">
        <v>1390</v>
      </c>
      <c r="D252" s="110"/>
      <c r="E252" s="108" t="s">
        <v>1219</v>
      </c>
      <c r="F252" s="114"/>
      <c r="G252" s="120" t="s">
        <v>1380</v>
      </c>
      <c r="H252" s="114"/>
      <c r="I252" s="111" t="n">
        <v>763</v>
      </c>
      <c r="J252" s="110"/>
      <c r="K252" s="120" t="s">
        <v>1221</v>
      </c>
      <c r="L252" s="110"/>
      <c r="M252" s="112" t="n">
        <v>37</v>
      </c>
      <c r="N252" s="114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</row>
    <row r="253" customFormat="false" ht="15.75" hidden="false" customHeight="true" outlineLevel="0" collapsed="false">
      <c r="A253" s="108" t="s">
        <v>1391</v>
      </c>
      <c r="B253" s="114"/>
      <c r="C253" s="120" t="s">
        <v>1392</v>
      </c>
      <c r="D253" s="110"/>
      <c r="E253" s="108" t="s">
        <v>1219</v>
      </c>
      <c r="F253" s="114"/>
      <c r="G253" s="120" t="s">
        <v>1380</v>
      </c>
      <c r="H253" s="114"/>
      <c r="I253" s="111" t="n">
        <v>763</v>
      </c>
      <c r="J253" s="110"/>
      <c r="K253" s="120" t="s">
        <v>1221</v>
      </c>
      <c r="L253" s="110"/>
      <c r="M253" s="112" t="n">
        <v>37</v>
      </c>
      <c r="N253" s="114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</row>
    <row r="254" customFormat="false" ht="15.75" hidden="false" customHeight="true" outlineLevel="0" collapsed="false">
      <c r="A254" s="108" t="s">
        <v>1393</v>
      </c>
      <c r="B254" s="114"/>
      <c r="C254" s="120" t="s">
        <v>1394</v>
      </c>
      <c r="D254" s="110"/>
      <c r="E254" s="108" t="s">
        <v>1219</v>
      </c>
      <c r="F254" s="114"/>
      <c r="G254" s="120" t="s">
        <v>1380</v>
      </c>
      <c r="H254" s="114"/>
      <c r="I254" s="111" t="n">
        <v>763</v>
      </c>
      <c r="J254" s="110"/>
      <c r="K254" s="120" t="s">
        <v>1221</v>
      </c>
      <c r="L254" s="110"/>
      <c r="M254" s="112" t="n">
        <v>37</v>
      </c>
      <c r="N254" s="114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</row>
    <row r="255" customFormat="false" ht="15.75" hidden="false" customHeight="true" outlineLevel="0" collapsed="false">
      <c r="A255" s="108" t="s">
        <v>1395</v>
      </c>
      <c r="B255" s="114"/>
      <c r="C255" s="120" t="s">
        <v>1396</v>
      </c>
      <c r="D255" s="110"/>
      <c r="E255" s="108" t="s">
        <v>1219</v>
      </c>
      <c r="F255" s="114"/>
      <c r="G255" s="120" t="s">
        <v>1380</v>
      </c>
      <c r="H255" s="114"/>
      <c r="I255" s="111" t="n">
        <v>763</v>
      </c>
      <c r="J255" s="110"/>
      <c r="K255" s="120" t="s">
        <v>1221</v>
      </c>
      <c r="L255" s="110"/>
      <c r="M255" s="112" t="n">
        <v>37</v>
      </c>
      <c r="N255" s="114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</row>
    <row r="256" customFormat="false" ht="15.75" hidden="false" customHeight="true" outlineLevel="0" collapsed="false">
      <c r="A256" s="108" t="s">
        <v>1397</v>
      </c>
      <c r="B256" s="114"/>
      <c r="C256" s="120" t="s">
        <v>1398</v>
      </c>
      <c r="D256" s="110"/>
      <c r="E256" s="108" t="s">
        <v>1219</v>
      </c>
      <c r="F256" s="114"/>
      <c r="G256" s="120" t="s">
        <v>1380</v>
      </c>
      <c r="H256" s="114"/>
      <c r="I256" s="111" t="n">
        <v>763</v>
      </c>
      <c r="J256" s="110"/>
      <c r="K256" s="120" t="s">
        <v>1221</v>
      </c>
      <c r="L256" s="110"/>
      <c r="M256" s="112" t="n">
        <v>37</v>
      </c>
      <c r="N256" s="114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</row>
    <row r="257" customFormat="false" ht="15.75" hidden="false" customHeight="true" outlineLevel="0" collapsed="false">
      <c r="A257" s="108" t="s">
        <v>1399</v>
      </c>
      <c r="B257" s="114"/>
      <c r="C257" s="120" t="s">
        <v>1400</v>
      </c>
      <c r="D257" s="110"/>
      <c r="E257" s="108" t="s">
        <v>1219</v>
      </c>
      <c r="F257" s="114"/>
      <c r="G257" s="120" t="s">
        <v>1380</v>
      </c>
      <c r="H257" s="114"/>
      <c r="I257" s="111" t="n">
        <v>763</v>
      </c>
      <c r="J257" s="110"/>
      <c r="K257" s="120" t="s">
        <v>1221</v>
      </c>
      <c r="L257" s="110"/>
      <c r="M257" s="112" t="n">
        <v>37</v>
      </c>
      <c r="N257" s="114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</row>
    <row r="258" customFormat="false" ht="15.75" hidden="false" customHeight="true" outlineLevel="0" collapsed="false">
      <c r="A258" s="108" t="s">
        <v>1401</v>
      </c>
      <c r="B258" s="114"/>
      <c r="C258" s="120" t="s">
        <v>1402</v>
      </c>
      <c r="D258" s="110"/>
      <c r="E258" s="108" t="s">
        <v>1219</v>
      </c>
      <c r="F258" s="114"/>
      <c r="G258" s="120" t="s">
        <v>1380</v>
      </c>
      <c r="H258" s="114"/>
      <c r="I258" s="111" t="n">
        <v>763</v>
      </c>
      <c r="J258" s="110"/>
      <c r="K258" s="120" t="s">
        <v>1221</v>
      </c>
      <c r="L258" s="110"/>
      <c r="M258" s="112" t="n">
        <v>37</v>
      </c>
      <c r="N258" s="114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</row>
    <row r="259" customFormat="false" ht="15.75" hidden="false" customHeight="true" outlineLevel="0" collapsed="false">
      <c r="A259" s="108" t="s">
        <v>1403</v>
      </c>
      <c r="B259" s="114"/>
      <c r="C259" s="120" t="s">
        <v>1404</v>
      </c>
      <c r="D259" s="110"/>
      <c r="E259" s="108" t="s">
        <v>1219</v>
      </c>
      <c r="F259" s="114"/>
      <c r="G259" s="120" t="s">
        <v>1380</v>
      </c>
      <c r="H259" s="114"/>
      <c r="I259" s="111" t="n">
        <v>763</v>
      </c>
      <c r="J259" s="110"/>
      <c r="K259" s="120" t="s">
        <v>1221</v>
      </c>
      <c r="L259" s="110"/>
      <c r="M259" s="112" t="n">
        <v>37</v>
      </c>
      <c r="N259" s="114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</row>
    <row r="260" customFormat="false" ht="15.75" hidden="false" customHeight="true" outlineLevel="0" collapsed="false">
      <c r="A260" s="108" t="s">
        <v>1405</v>
      </c>
      <c r="B260" s="114"/>
      <c r="C260" s="120" t="s">
        <v>1406</v>
      </c>
      <c r="D260" s="110"/>
      <c r="E260" s="108" t="s">
        <v>1219</v>
      </c>
      <c r="F260" s="114"/>
      <c r="G260" s="120" t="s">
        <v>1380</v>
      </c>
      <c r="H260" s="114"/>
      <c r="I260" s="111" t="n">
        <v>763</v>
      </c>
      <c r="J260" s="110"/>
      <c r="K260" s="120" t="s">
        <v>1221</v>
      </c>
      <c r="L260" s="110"/>
      <c r="M260" s="112" t="n">
        <v>37</v>
      </c>
      <c r="N260" s="114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</row>
    <row r="261" customFormat="false" ht="15.75" hidden="false" customHeight="true" outlineLevel="0" collapsed="false">
      <c r="A261" s="108" t="s">
        <v>1407</v>
      </c>
      <c r="B261" s="114"/>
      <c r="C261" s="120" t="s">
        <v>1408</v>
      </c>
      <c r="D261" s="110"/>
      <c r="E261" s="108" t="s">
        <v>1219</v>
      </c>
      <c r="F261" s="114"/>
      <c r="G261" s="120" t="s">
        <v>1380</v>
      </c>
      <c r="H261" s="114"/>
      <c r="I261" s="111" t="n">
        <v>763</v>
      </c>
      <c r="J261" s="110"/>
      <c r="K261" s="120" t="s">
        <v>1221</v>
      </c>
      <c r="L261" s="110"/>
      <c r="M261" s="112" t="n">
        <v>37</v>
      </c>
      <c r="N261" s="114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</row>
    <row r="262" customFormat="false" ht="15.75" hidden="false" customHeight="true" outlineLevel="0" collapsed="false">
      <c r="A262" s="108" t="s">
        <v>1409</v>
      </c>
      <c r="B262" s="114"/>
      <c r="C262" s="120" t="s">
        <v>1410</v>
      </c>
      <c r="D262" s="110"/>
      <c r="E262" s="108" t="s">
        <v>1219</v>
      </c>
      <c r="F262" s="114"/>
      <c r="G262" s="120" t="s">
        <v>1380</v>
      </c>
      <c r="H262" s="114"/>
      <c r="I262" s="111" t="n">
        <v>763</v>
      </c>
      <c r="J262" s="110"/>
      <c r="K262" s="120" t="s">
        <v>1221</v>
      </c>
      <c r="L262" s="110"/>
      <c r="M262" s="112" t="n">
        <v>37</v>
      </c>
      <c r="N262" s="114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</row>
    <row r="263" customFormat="false" ht="15.75" hidden="false" customHeight="true" outlineLevel="0" collapsed="false">
      <c r="A263" s="108" t="s">
        <v>1411</v>
      </c>
      <c r="B263" s="114"/>
      <c r="C263" s="120" t="s">
        <v>1412</v>
      </c>
      <c r="D263" s="110"/>
      <c r="E263" s="108" t="s">
        <v>1219</v>
      </c>
      <c r="F263" s="114"/>
      <c r="G263" s="120" t="s">
        <v>1413</v>
      </c>
      <c r="H263" s="114"/>
      <c r="I263" s="111" t="n">
        <v>763</v>
      </c>
      <c r="J263" s="110"/>
      <c r="K263" s="120" t="s">
        <v>1221</v>
      </c>
      <c r="L263" s="110"/>
      <c r="M263" s="112" t="n">
        <v>37</v>
      </c>
      <c r="N263" s="114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</row>
    <row r="264" customFormat="false" ht="15.75" hidden="false" customHeight="true" outlineLevel="0" collapsed="false">
      <c r="A264" s="108" t="s">
        <v>1414</v>
      </c>
      <c r="B264" s="114"/>
      <c r="C264" s="120" t="s">
        <v>1415</v>
      </c>
      <c r="D264" s="110"/>
      <c r="E264" s="108" t="s">
        <v>1219</v>
      </c>
      <c r="F264" s="114"/>
      <c r="G264" s="120" t="s">
        <v>1413</v>
      </c>
      <c r="H264" s="114"/>
      <c r="I264" s="111" t="n">
        <v>763</v>
      </c>
      <c r="J264" s="110"/>
      <c r="K264" s="120" t="s">
        <v>1221</v>
      </c>
      <c r="L264" s="110"/>
      <c r="M264" s="112" t="n">
        <v>37</v>
      </c>
      <c r="N264" s="114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C264" s="108"/>
    </row>
    <row r="265" customFormat="false" ht="15.75" hidden="false" customHeight="true" outlineLevel="0" collapsed="false">
      <c r="A265" s="108" t="s">
        <v>1416</v>
      </c>
      <c r="B265" s="114"/>
      <c r="C265" s="120" t="s">
        <v>1417</v>
      </c>
      <c r="D265" s="110"/>
      <c r="E265" s="108" t="s">
        <v>1219</v>
      </c>
      <c r="F265" s="114"/>
      <c r="G265" s="120" t="s">
        <v>1413</v>
      </c>
      <c r="H265" s="114"/>
      <c r="I265" s="111" t="n">
        <v>763</v>
      </c>
      <c r="J265" s="110"/>
      <c r="K265" s="120" t="s">
        <v>1221</v>
      </c>
      <c r="L265" s="110"/>
      <c r="M265" s="112" t="n">
        <v>37</v>
      </c>
      <c r="N265" s="114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</row>
    <row r="266" customFormat="false" ht="15.75" hidden="false" customHeight="true" outlineLevel="0" collapsed="false">
      <c r="A266" s="108" t="s">
        <v>1418</v>
      </c>
      <c r="B266" s="114"/>
      <c r="C266" s="120" t="s">
        <v>1419</v>
      </c>
      <c r="D266" s="110"/>
      <c r="E266" s="108" t="s">
        <v>1219</v>
      </c>
      <c r="F266" s="114"/>
      <c r="G266" s="120" t="s">
        <v>1413</v>
      </c>
      <c r="H266" s="114"/>
      <c r="I266" s="111" t="n">
        <v>763</v>
      </c>
      <c r="J266" s="110"/>
      <c r="K266" s="120" t="s">
        <v>1221</v>
      </c>
      <c r="L266" s="110"/>
      <c r="M266" s="112" t="n">
        <v>37</v>
      </c>
      <c r="N266" s="114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</row>
    <row r="267" customFormat="false" ht="15.75" hidden="false" customHeight="true" outlineLevel="0" collapsed="false">
      <c r="A267" s="108" t="s">
        <v>1420</v>
      </c>
      <c r="B267" s="114"/>
      <c r="C267" s="120" t="s">
        <v>1421</v>
      </c>
      <c r="D267" s="110"/>
      <c r="E267" s="108" t="s">
        <v>1219</v>
      </c>
      <c r="F267" s="114"/>
      <c r="G267" s="120" t="s">
        <v>1413</v>
      </c>
      <c r="H267" s="114"/>
      <c r="I267" s="111" t="n">
        <v>763</v>
      </c>
      <c r="J267" s="110"/>
      <c r="K267" s="120" t="s">
        <v>1221</v>
      </c>
      <c r="L267" s="110"/>
      <c r="M267" s="112" t="n">
        <v>37</v>
      </c>
      <c r="N267" s="114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</row>
    <row r="268" customFormat="false" ht="15.75" hidden="false" customHeight="true" outlineLevel="0" collapsed="false">
      <c r="A268" s="108" t="s">
        <v>1422</v>
      </c>
      <c r="B268" s="114"/>
      <c r="C268" s="120" t="s">
        <v>1423</v>
      </c>
      <c r="D268" s="110"/>
      <c r="E268" s="108" t="s">
        <v>1219</v>
      </c>
      <c r="F268" s="114"/>
      <c r="G268" s="120" t="s">
        <v>1413</v>
      </c>
      <c r="H268" s="114"/>
      <c r="I268" s="111" t="n">
        <v>763</v>
      </c>
      <c r="J268" s="110"/>
      <c r="K268" s="120" t="s">
        <v>1221</v>
      </c>
      <c r="L268" s="110"/>
      <c r="M268" s="112" t="n">
        <v>37</v>
      </c>
      <c r="N268" s="114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</row>
    <row r="269" customFormat="false" ht="15.75" hidden="false" customHeight="true" outlineLevel="0" collapsed="false">
      <c r="A269" s="108" t="s">
        <v>1424</v>
      </c>
      <c r="B269" s="114"/>
      <c r="C269" s="120" t="s">
        <v>1425</v>
      </c>
      <c r="D269" s="110"/>
      <c r="E269" s="108" t="s">
        <v>1219</v>
      </c>
      <c r="F269" s="114"/>
      <c r="G269" s="120" t="s">
        <v>1413</v>
      </c>
      <c r="H269" s="114"/>
      <c r="I269" s="111" t="n">
        <v>763</v>
      </c>
      <c r="J269" s="110"/>
      <c r="K269" s="120" t="s">
        <v>1221</v>
      </c>
      <c r="L269" s="110"/>
      <c r="M269" s="112" t="n">
        <v>37</v>
      </c>
      <c r="N269" s="114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</row>
    <row r="270" customFormat="false" ht="15.75" hidden="false" customHeight="true" outlineLevel="0" collapsed="false">
      <c r="A270" s="108" t="s">
        <v>1426</v>
      </c>
      <c r="B270" s="114"/>
      <c r="C270" s="120" t="s">
        <v>1427</v>
      </c>
      <c r="D270" s="110"/>
      <c r="E270" s="108" t="s">
        <v>1219</v>
      </c>
      <c r="F270" s="114"/>
      <c r="G270" s="120" t="s">
        <v>1413</v>
      </c>
      <c r="H270" s="114"/>
      <c r="I270" s="111" t="n">
        <v>763</v>
      </c>
      <c r="J270" s="110"/>
      <c r="K270" s="120" t="s">
        <v>1221</v>
      </c>
      <c r="L270" s="110"/>
      <c r="M270" s="112" t="n">
        <v>37</v>
      </c>
      <c r="N270" s="114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</row>
    <row r="271" customFormat="false" ht="15.75" hidden="false" customHeight="true" outlineLevel="0" collapsed="false">
      <c r="A271" s="108" t="s">
        <v>1428</v>
      </c>
      <c r="B271" s="114"/>
      <c r="C271" s="120" t="s">
        <v>1429</v>
      </c>
      <c r="D271" s="110"/>
      <c r="E271" s="108" t="s">
        <v>1219</v>
      </c>
      <c r="F271" s="114"/>
      <c r="G271" s="120" t="s">
        <v>1413</v>
      </c>
      <c r="H271" s="114"/>
      <c r="I271" s="111" t="n">
        <v>763</v>
      </c>
      <c r="J271" s="110"/>
      <c r="K271" s="120" t="s">
        <v>1221</v>
      </c>
      <c r="L271" s="110"/>
      <c r="M271" s="112" t="n">
        <v>37</v>
      </c>
      <c r="N271" s="114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</row>
    <row r="272" customFormat="false" ht="15.75" hidden="false" customHeight="true" outlineLevel="0" collapsed="false">
      <c r="A272" s="108" t="s">
        <v>1430</v>
      </c>
      <c r="B272" s="114"/>
      <c r="C272" s="120" t="s">
        <v>1431</v>
      </c>
      <c r="D272" s="110"/>
      <c r="E272" s="108" t="s">
        <v>1219</v>
      </c>
      <c r="F272" s="114"/>
      <c r="G272" s="120" t="s">
        <v>1413</v>
      </c>
      <c r="H272" s="114"/>
      <c r="I272" s="111" t="n">
        <v>763</v>
      </c>
      <c r="J272" s="110"/>
      <c r="K272" s="120" t="s">
        <v>1221</v>
      </c>
      <c r="L272" s="110"/>
      <c r="M272" s="112" t="n">
        <v>37</v>
      </c>
      <c r="N272" s="114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</row>
    <row r="273" customFormat="false" ht="15.75" hidden="false" customHeight="true" outlineLevel="0" collapsed="false">
      <c r="A273" s="108" t="s">
        <v>1432</v>
      </c>
      <c r="B273" s="114"/>
      <c r="C273" s="120" t="s">
        <v>1433</v>
      </c>
      <c r="D273" s="110"/>
      <c r="E273" s="108" t="s">
        <v>1219</v>
      </c>
      <c r="F273" s="114"/>
      <c r="G273" s="120" t="s">
        <v>1413</v>
      </c>
      <c r="H273" s="114"/>
      <c r="I273" s="111" t="n">
        <v>763</v>
      </c>
      <c r="J273" s="110"/>
      <c r="K273" s="120" t="s">
        <v>1221</v>
      </c>
      <c r="L273" s="110"/>
      <c r="M273" s="112" t="n">
        <v>37</v>
      </c>
      <c r="N273" s="114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</row>
    <row r="274" customFormat="false" ht="15.75" hidden="false" customHeight="true" outlineLevel="0" collapsed="false">
      <c r="A274" s="108" t="s">
        <v>1434</v>
      </c>
      <c r="B274" s="114"/>
      <c r="C274" s="120" t="s">
        <v>1435</v>
      </c>
      <c r="D274" s="110"/>
      <c r="E274" s="108" t="s">
        <v>1219</v>
      </c>
      <c r="F274" s="114"/>
      <c r="G274" s="120" t="s">
        <v>1413</v>
      </c>
      <c r="H274" s="114"/>
      <c r="I274" s="111" t="n">
        <v>763</v>
      </c>
      <c r="J274" s="110"/>
      <c r="K274" s="120" t="s">
        <v>1221</v>
      </c>
      <c r="L274" s="110"/>
      <c r="M274" s="112" t="n">
        <v>37</v>
      </c>
      <c r="N274" s="114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</row>
    <row r="275" customFormat="false" ht="15.75" hidden="false" customHeight="true" outlineLevel="0" collapsed="false">
      <c r="A275" s="108" t="s">
        <v>1436</v>
      </c>
      <c r="B275" s="114"/>
      <c r="C275" s="120" t="s">
        <v>1437</v>
      </c>
      <c r="D275" s="110"/>
      <c r="E275" s="108" t="s">
        <v>1219</v>
      </c>
      <c r="F275" s="114"/>
      <c r="G275" s="120" t="s">
        <v>1413</v>
      </c>
      <c r="H275" s="114"/>
      <c r="I275" s="111" t="n">
        <v>763</v>
      </c>
      <c r="J275" s="110"/>
      <c r="K275" s="120" t="s">
        <v>1221</v>
      </c>
      <c r="L275" s="110"/>
      <c r="M275" s="112" t="n">
        <v>37</v>
      </c>
      <c r="N275" s="114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</row>
    <row r="276" customFormat="false" ht="15.75" hidden="false" customHeight="true" outlineLevel="0" collapsed="false">
      <c r="A276" s="108" t="s">
        <v>1438</v>
      </c>
      <c r="B276" s="114"/>
      <c r="C276" s="120" t="s">
        <v>1439</v>
      </c>
      <c r="D276" s="110"/>
      <c r="E276" s="108" t="s">
        <v>1219</v>
      </c>
      <c r="F276" s="114"/>
      <c r="G276" s="120" t="s">
        <v>1413</v>
      </c>
      <c r="H276" s="114"/>
      <c r="I276" s="111" t="n">
        <v>763</v>
      </c>
      <c r="J276" s="110"/>
      <c r="K276" s="120" t="s">
        <v>1221</v>
      </c>
      <c r="L276" s="110"/>
      <c r="M276" s="112" t="n">
        <v>37</v>
      </c>
      <c r="N276" s="114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</row>
    <row r="277" customFormat="false" ht="15.75" hidden="false" customHeight="true" outlineLevel="0" collapsed="false">
      <c r="A277" s="108" t="s">
        <v>1440</v>
      </c>
      <c r="B277" s="114"/>
      <c r="C277" s="120" t="s">
        <v>1441</v>
      </c>
      <c r="D277" s="110"/>
      <c r="E277" s="108" t="s">
        <v>1219</v>
      </c>
      <c r="F277" s="114"/>
      <c r="G277" s="120" t="s">
        <v>1413</v>
      </c>
      <c r="H277" s="114"/>
      <c r="I277" s="111" t="n">
        <v>763</v>
      </c>
      <c r="J277" s="110"/>
      <c r="K277" s="120" t="s">
        <v>1221</v>
      </c>
      <c r="L277" s="110"/>
      <c r="M277" s="112" t="n">
        <v>37</v>
      </c>
      <c r="N277" s="114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  <c r="AC277" s="108"/>
    </row>
    <row r="278" customFormat="false" ht="15.75" hidden="false" customHeight="true" outlineLevel="0" collapsed="false">
      <c r="A278" s="108" t="s">
        <v>1442</v>
      </c>
      <c r="B278" s="114"/>
      <c r="C278" s="120" t="s">
        <v>1443</v>
      </c>
      <c r="D278" s="110"/>
      <c r="E278" s="108" t="s">
        <v>1219</v>
      </c>
      <c r="F278" s="114"/>
      <c r="G278" s="120" t="s">
        <v>1413</v>
      </c>
      <c r="H278" s="114"/>
      <c r="I278" s="111" t="n">
        <v>763</v>
      </c>
      <c r="J278" s="110"/>
      <c r="K278" s="120" t="s">
        <v>1221</v>
      </c>
      <c r="L278" s="110"/>
      <c r="M278" s="112" t="n">
        <v>37</v>
      </c>
      <c r="N278" s="114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</row>
    <row r="279" customFormat="false" ht="15.75" hidden="false" customHeight="true" outlineLevel="0" collapsed="false">
      <c r="A279" s="108" t="s">
        <v>1444</v>
      </c>
      <c r="B279" s="114"/>
      <c r="C279" s="120" t="s">
        <v>1445</v>
      </c>
      <c r="D279" s="110"/>
      <c r="E279" s="108" t="s">
        <v>1219</v>
      </c>
      <c r="F279" s="114"/>
      <c r="G279" s="120" t="s">
        <v>1413</v>
      </c>
      <c r="H279" s="114"/>
      <c r="I279" s="111" t="n">
        <v>763</v>
      </c>
      <c r="J279" s="110"/>
      <c r="K279" s="120" t="s">
        <v>1221</v>
      </c>
      <c r="L279" s="110"/>
      <c r="M279" s="112" t="n">
        <v>37</v>
      </c>
      <c r="N279" s="114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C279" s="108"/>
    </row>
    <row r="280" customFormat="false" ht="15.75" hidden="false" customHeight="true" outlineLevel="0" collapsed="false">
      <c r="A280" s="108" t="s">
        <v>1446</v>
      </c>
      <c r="B280" s="114"/>
      <c r="C280" s="120" t="s">
        <v>1447</v>
      </c>
      <c r="D280" s="110"/>
      <c r="E280" s="108" t="s">
        <v>1219</v>
      </c>
      <c r="F280" s="114"/>
      <c r="G280" s="120" t="s">
        <v>1413</v>
      </c>
      <c r="H280" s="114"/>
      <c r="I280" s="111" t="n">
        <v>763</v>
      </c>
      <c r="J280" s="110"/>
      <c r="K280" s="120" t="s">
        <v>1221</v>
      </c>
      <c r="L280" s="110"/>
      <c r="M280" s="112" t="n">
        <v>37</v>
      </c>
      <c r="N280" s="114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</row>
    <row r="281" customFormat="false" ht="15.75" hidden="false" customHeight="true" outlineLevel="0" collapsed="false">
      <c r="A281" s="108" t="s">
        <v>1448</v>
      </c>
      <c r="B281" s="114"/>
      <c r="C281" s="120" t="s">
        <v>1449</v>
      </c>
      <c r="D281" s="110"/>
      <c r="E281" s="108" t="s">
        <v>1219</v>
      </c>
      <c r="F281" s="114"/>
      <c r="G281" s="120" t="s">
        <v>1413</v>
      </c>
      <c r="H281" s="114"/>
      <c r="I281" s="111" t="n">
        <v>763</v>
      </c>
      <c r="J281" s="110"/>
      <c r="K281" s="120" t="s">
        <v>1221</v>
      </c>
      <c r="L281" s="110"/>
      <c r="M281" s="112" t="n">
        <v>37</v>
      </c>
      <c r="N281" s="114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</row>
    <row r="282" customFormat="false" ht="15.75" hidden="false" customHeight="true" outlineLevel="0" collapsed="false">
      <c r="A282" s="108" t="s">
        <v>1450</v>
      </c>
      <c r="B282" s="114"/>
      <c r="C282" s="120" t="s">
        <v>1451</v>
      </c>
      <c r="D282" s="110"/>
      <c r="E282" s="108" t="s">
        <v>1219</v>
      </c>
      <c r="F282" s="114"/>
      <c r="G282" s="120" t="s">
        <v>1413</v>
      </c>
      <c r="H282" s="114"/>
      <c r="I282" s="111" t="n">
        <v>763</v>
      </c>
      <c r="J282" s="110"/>
      <c r="K282" s="120" t="s">
        <v>1221</v>
      </c>
      <c r="L282" s="110"/>
      <c r="M282" s="112" t="n">
        <v>37</v>
      </c>
      <c r="N282" s="114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</row>
    <row r="283" customFormat="false" ht="15.75" hidden="false" customHeight="true" outlineLevel="0" collapsed="false">
      <c r="A283" s="108" t="s">
        <v>1452</v>
      </c>
      <c r="B283" s="114"/>
      <c r="C283" s="120" t="s">
        <v>1453</v>
      </c>
      <c r="D283" s="110"/>
      <c r="E283" s="108" t="s">
        <v>1219</v>
      </c>
      <c r="F283" s="114"/>
      <c r="G283" s="120" t="s">
        <v>1413</v>
      </c>
      <c r="H283" s="114"/>
      <c r="I283" s="111" t="n">
        <v>763</v>
      </c>
      <c r="J283" s="110"/>
      <c r="K283" s="120" t="s">
        <v>1221</v>
      </c>
      <c r="L283" s="110"/>
      <c r="M283" s="112" t="n">
        <v>37</v>
      </c>
      <c r="N283" s="114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</row>
    <row r="284" customFormat="false" ht="15.75" hidden="false" customHeight="true" outlineLevel="0" collapsed="false">
      <c r="A284" s="108" t="s">
        <v>1454</v>
      </c>
      <c r="B284" s="114"/>
      <c r="C284" s="120" t="s">
        <v>1455</v>
      </c>
      <c r="D284" s="110"/>
      <c r="E284" s="108" t="s">
        <v>1219</v>
      </c>
      <c r="F284" s="114"/>
      <c r="G284" s="120" t="s">
        <v>1413</v>
      </c>
      <c r="H284" s="114"/>
      <c r="I284" s="111" t="n">
        <v>763</v>
      </c>
      <c r="J284" s="110"/>
      <c r="K284" s="120" t="s">
        <v>1221</v>
      </c>
      <c r="L284" s="110"/>
      <c r="M284" s="112" t="n">
        <v>37</v>
      </c>
      <c r="N284" s="114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</row>
    <row r="285" customFormat="false" ht="15.75" hidden="false" customHeight="true" outlineLevel="0" collapsed="false">
      <c r="A285" s="108" t="s">
        <v>1456</v>
      </c>
      <c r="B285" s="114"/>
      <c r="C285" s="120" t="s">
        <v>1457</v>
      </c>
      <c r="D285" s="110"/>
      <c r="E285" s="108" t="s">
        <v>1198</v>
      </c>
      <c r="F285" s="114"/>
      <c r="G285" s="120" t="s">
        <v>1458</v>
      </c>
      <c r="H285" s="114"/>
      <c r="I285" s="111" t="n">
        <v>763</v>
      </c>
      <c r="J285" s="110"/>
      <c r="K285" s="120" t="s">
        <v>1221</v>
      </c>
      <c r="L285" s="110"/>
      <c r="M285" s="112" t="n">
        <v>37</v>
      </c>
      <c r="N285" s="114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</row>
    <row r="286" customFormat="false" ht="15.75" hidden="false" customHeight="true" outlineLevel="0" collapsed="false">
      <c r="A286" s="108" t="s">
        <v>1459</v>
      </c>
      <c r="B286" s="114"/>
      <c r="C286" s="120" t="s">
        <v>1460</v>
      </c>
      <c r="D286" s="110"/>
      <c r="E286" s="108" t="s">
        <v>844</v>
      </c>
      <c r="F286" s="114"/>
      <c r="G286" s="120" t="s">
        <v>845</v>
      </c>
      <c r="H286" s="114"/>
      <c r="I286" s="111" t="n">
        <v>763</v>
      </c>
      <c r="J286" s="110"/>
      <c r="K286" s="120" t="s">
        <v>1221</v>
      </c>
      <c r="L286" s="110"/>
      <c r="M286" s="112" t="n">
        <v>37</v>
      </c>
      <c r="N286" s="114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</row>
    <row r="287" customFormat="false" ht="15.75" hidden="false" customHeight="true" outlineLevel="0" collapsed="false">
      <c r="A287" s="108" t="s">
        <v>1461</v>
      </c>
      <c r="B287" s="114"/>
      <c r="C287" s="120" t="s">
        <v>1462</v>
      </c>
      <c r="D287" s="110"/>
      <c r="E287" s="108" t="s">
        <v>844</v>
      </c>
      <c r="F287" s="114"/>
      <c r="G287" s="120" t="s">
        <v>845</v>
      </c>
      <c r="H287" s="114"/>
      <c r="I287" s="111" t="n">
        <v>763</v>
      </c>
      <c r="J287" s="110"/>
      <c r="K287" s="120" t="s">
        <v>1221</v>
      </c>
      <c r="L287" s="110"/>
      <c r="M287" s="112" t="n">
        <v>37</v>
      </c>
      <c r="N287" s="114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</row>
    <row r="288" customFormat="false" ht="15.75" hidden="false" customHeight="true" outlineLevel="0" collapsed="false">
      <c r="A288" s="108" t="s">
        <v>1463</v>
      </c>
      <c r="B288" s="114"/>
      <c r="C288" s="120" t="s">
        <v>1464</v>
      </c>
      <c r="D288" s="110"/>
      <c r="E288" s="108" t="s">
        <v>844</v>
      </c>
      <c r="F288" s="114"/>
      <c r="G288" s="120" t="s">
        <v>845</v>
      </c>
      <c r="H288" s="114"/>
      <c r="I288" s="111" t="n">
        <v>763</v>
      </c>
      <c r="J288" s="110"/>
      <c r="K288" s="120" t="s">
        <v>1221</v>
      </c>
      <c r="L288" s="110"/>
      <c r="M288" s="112" t="n">
        <v>37</v>
      </c>
      <c r="N288" s="114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</row>
    <row r="289" customFormat="false" ht="15.75" hidden="false" customHeight="true" outlineLevel="0" collapsed="false">
      <c r="A289" s="108" t="s">
        <v>1465</v>
      </c>
      <c r="B289" s="114"/>
      <c r="C289" s="120" t="s">
        <v>1466</v>
      </c>
      <c r="D289" s="110"/>
      <c r="E289" s="108" t="s">
        <v>844</v>
      </c>
      <c r="F289" s="114"/>
      <c r="G289" s="120" t="s">
        <v>1467</v>
      </c>
      <c r="H289" s="114"/>
      <c r="I289" s="111" t="n">
        <v>763</v>
      </c>
      <c r="J289" s="110"/>
      <c r="K289" s="120" t="s">
        <v>1221</v>
      </c>
      <c r="L289" s="110"/>
      <c r="M289" s="112" t="n">
        <v>37</v>
      </c>
      <c r="N289" s="114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</row>
    <row r="290" customFormat="false" ht="15.75" hidden="false" customHeight="true" outlineLevel="0" collapsed="false">
      <c r="A290" s="108" t="s">
        <v>1468</v>
      </c>
      <c r="B290" s="114"/>
      <c r="C290" s="120" t="s">
        <v>1469</v>
      </c>
      <c r="D290" s="110"/>
      <c r="E290" s="108" t="s">
        <v>821</v>
      </c>
      <c r="F290" s="114"/>
      <c r="G290" s="120" t="s">
        <v>830</v>
      </c>
      <c r="H290" s="114"/>
      <c r="I290" s="111" t="n">
        <v>763</v>
      </c>
      <c r="J290" s="110"/>
      <c r="K290" s="120" t="s">
        <v>1221</v>
      </c>
      <c r="L290" s="110"/>
      <c r="M290" s="112" t="n">
        <v>37</v>
      </c>
      <c r="N290" s="114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</row>
    <row r="291" customFormat="false" ht="15.75" hidden="false" customHeight="true" outlineLevel="0" collapsed="false">
      <c r="A291" s="108" t="s">
        <v>1470</v>
      </c>
      <c r="B291" s="114"/>
      <c r="C291" s="120" t="s">
        <v>1471</v>
      </c>
      <c r="D291" s="110"/>
      <c r="E291" s="108" t="s">
        <v>821</v>
      </c>
      <c r="F291" s="114"/>
      <c r="G291" s="120" t="s">
        <v>830</v>
      </c>
      <c r="H291" s="114"/>
      <c r="I291" s="111" t="n">
        <v>763</v>
      </c>
      <c r="J291" s="110"/>
      <c r="K291" s="120" t="s">
        <v>1221</v>
      </c>
      <c r="L291" s="110"/>
      <c r="M291" s="112" t="n">
        <v>37</v>
      </c>
      <c r="N291" s="114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  <c r="AC291" s="108"/>
    </row>
    <row r="292" customFormat="false" ht="15.75" hidden="false" customHeight="true" outlineLevel="0" collapsed="false">
      <c r="A292" s="108" t="s">
        <v>1472</v>
      </c>
      <c r="B292" s="114"/>
      <c r="C292" s="120" t="s">
        <v>1473</v>
      </c>
      <c r="D292" s="110"/>
      <c r="E292" s="108" t="s">
        <v>821</v>
      </c>
      <c r="F292" s="114"/>
      <c r="G292" s="120" t="s">
        <v>830</v>
      </c>
      <c r="H292" s="114"/>
      <c r="I292" s="111" t="n">
        <v>763</v>
      </c>
      <c r="J292" s="110"/>
      <c r="K292" s="120" t="s">
        <v>1221</v>
      </c>
      <c r="L292" s="110"/>
      <c r="M292" s="112" t="n">
        <v>37</v>
      </c>
      <c r="N292" s="114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  <c r="AC292" s="108"/>
    </row>
    <row r="293" customFormat="false" ht="15.75" hidden="false" customHeight="true" outlineLevel="0" collapsed="false">
      <c r="A293" s="108" t="s">
        <v>1474</v>
      </c>
      <c r="B293" s="114"/>
      <c r="C293" s="120" t="s">
        <v>1475</v>
      </c>
      <c r="D293" s="110"/>
      <c r="E293" s="108" t="s">
        <v>821</v>
      </c>
      <c r="F293" s="114"/>
      <c r="G293" s="120" t="s">
        <v>830</v>
      </c>
      <c r="H293" s="114"/>
      <c r="I293" s="111" t="n">
        <v>763</v>
      </c>
      <c r="J293" s="110"/>
      <c r="K293" s="120" t="s">
        <v>1221</v>
      </c>
      <c r="L293" s="110"/>
      <c r="M293" s="112" t="n">
        <v>37</v>
      </c>
      <c r="N293" s="114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C293" s="108"/>
    </row>
    <row r="294" customFormat="false" ht="15.75" hidden="false" customHeight="true" outlineLevel="0" collapsed="false">
      <c r="A294" s="108" t="s">
        <v>1476</v>
      </c>
      <c r="B294" s="114"/>
      <c r="C294" s="120" t="s">
        <v>1477</v>
      </c>
      <c r="D294" s="110"/>
      <c r="E294" s="108" t="s">
        <v>821</v>
      </c>
      <c r="F294" s="114"/>
      <c r="G294" s="120" t="s">
        <v>830</v>
      </c>
      <c r="H294" s="114"/>
      <c r="I294" s="111" t="n">
        <v>763</v>
      </c>
      <c r="J294" s="110"/>
      <c r="K294" s="120" t="s">
        <v>1221</v>
      </c>
      <c r="L294" s="110"/>
      <c r="M294" s="112" t="n">
        <v>37</v>
      </c>
      <c r="N294" s="114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C294" s="108"/>
    </row>
    <row r="295" customFormat="false" ht="15.75" hidden="false" customHeight="true" outlineLevel="0" collapsed="false">
      <c r="A295" s="108" t="s">
        <v>1478</v>
      </c>
      <c r="B295" s="114"/>
      <c r="C295" s="120" t="s">
        <v>1479</v>
      </c>
      <c r="D295" s="110"/>
      <c r="E295" s="108" t="s">
        <v>1214</v>
      </c>
      <c r="F295" s="114"/>
      <c r="G295" s="120" t="s">
        <v>1215</v>
      </c>
      <c r="H295" s="114"/>
      <c r="I295" s="111" t="n">
        <v>763</v>
      </c>
      <c r="J295" s="110"/>
      <c r="K295" s="120" t="s">
        <v>1221</v>
      </c>
      <c r="L295" s="110"/>
      <c r="M295" s="112" t="n">
        <v>37</v>
      </c>
      <c r="N295" s="114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</row>
    <row r="296" customFormat="false" ht="15.75" hidden="false" customHeight="true" outlineLevel="0" collapsed="false">
      <c r="A296" s="108" t="s">
        <v>1480</v>
      </c>
      <c r="B296" s="114"/>
      <c r="C296" s="120" t="s">
        <v>1481</v>
      </c>
      <c r="D296" s="110"/>
      <c r="E296" s="108" t="s">
        <v>1219</v>
      </c>
      <c r="F296" s="114"/>
      <c r="G296" s="120" t="s">
        <v>1220</v>
      </c>
      <c r="H296" s="114"/>
      <c r="I296" s="111" t="n">
        <v>780</v>
      </c>
      <c r="J296" s="110"/>
      <c r="K296" s="120" t="s">
        <v>1482</v>
      </c>
      <c r="L296" s="110"/>
      <c r="M296" s="112" t="n">
        <v>38</v>
      </c>
      <c r="N296" s="114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</row>
    <row r="297" customFormat="false" ht="15.75" hidden="false" customHeight="true" outlineLevel="0" collapsed="false">
      <c r="A297" s="108" t="s">
        <v>1483</v>
      </c>
      <c r="B297" s="114"/>
      <c r="C297" s="120" t="s">
        <v>1484</v>
      </c>
      <c r="D297" s="110"/>
      <c r="E297" s="108" t="s">
        <v>920</v>
      </c>
      <c r="F297" s="114"/>
      <c r="G297" s="120" t="s">
        <v>1210</v>
      </c>
      <c r="H297" s="114"/>
      <c r="I297" s="111" t="n">
        <v>780</v>
      </c>
      <c r="J297" s="110"/>
      <c r="K297" s="120" t="s">
        <v>1482</v>
      </c>
      <c r="L297" s="110"/>
      <c r="M297" s="112" t="n">
        <v>38</v>
      </c>
      <c r="N297" s="114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</row>
    <row r="298" customFormat="false" ht="15.75" hidden="false" customHeight="true" outlineLevel="0" collapsed="false">
      <c r="A298" s="108" t="s">
        <v>1485</v>
      </c>
      <c r="B298" s="114"/>
      <c r="C298" s="120" t="s">
        <v>1486</v>
      </c>
      <c r="D298" s="110"/>
      <c r="E298" s="108" t="s">
        <v>844</v>
      </c>
      <c r="F298" s="114"/>
      <c r="G298" s="120" t="s">
        <v>913</v>
      </c>
      <c r="H298" s="114"/>
      <c r="I298" s="111" t="n">
        <v>7829</v>
      </c>
      <c r="J298" s="110"/>
      <c r="K298" s="120" t="s">
        <v>1487</v>
      </c>
      <c r="L298" s="110"/>
      <c r="M298" s="121" t="n">
        <v>39</v>
      </c>
      <c r="N298" s="114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</row>
    <row r="299" customFormat="false" ht="15.75" hidden="false" customHeight="true" outlineLevel="0" collapsed="false">
      <c r="A299" s="108" t="s">
        <v>1488</v>
      </c>
      <c r="B299" s="114"/>
      <c r="C299" s="120" t="s">
        <v>1489</v>
      </c>
      <c r="D299" s="110"/>
      <c r="E299" s="108" t="s">
        <v>821</v>
      </c>
      <c r="F299" s="114"/>
      <c r="G299" s="120" t="s">
        <v>830</v>
      </c>
      <c r="H299" s="114"/>
      <c r="I299" s="111" t="n">
        <v>7829</v>
      </c>
      <c r="J299" s="110"/>
      <c r="K299" s="120" t="s">
        <v>1487</v>
      </c>
      <c r="L299" s="110"/>
      <c r="M299" s="121" t="n">
        <v>39</v>
      </c>
      <c r="N299" s="114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</row>
    <row r="300" customFormat="false" ht="15.75" hidden="false" customHeight="true" outlineLevel="0" collapsed="false">
      <c r="A300" s="108" t="s">
        <v>1490</v>
      </c>
      <c r="B300" s="114"/>
      <c r="C300" s="120" t="s">
        <v>1491</v>
      </c>
      <c r="D300" s="110"/>
      <c r="E300" s="108" t="s">
        <v>808</v>
      </c>
      <c r="F300" s="114"/>
      <c r="G300" s="120" t="s">
        <v>896</v>
      </c>
      <c r="H300" s="114"/>
      <c r="I300" s="111" t="n">
        <v>7829</v>
      </c>
      <c r="J300" s="110"/>
      <c r="K300" s="120" t="s">
        <v>1487</v>
      </c>
      <c r="L300" s="110"/>
      <c r="M300" s="121" t="n">
        <v>39</v>
      </c>
      <c r="N300" s="114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</row>
    <row r="301" customFormat="false" ht="15.75" hidden="false" customHeight="true" outlineLevel="0" collapsed="false">
      <c r="A301" s="108" t="s">
        <v>1492</v>
      </c>
      <c r="B301" s="114"/>
      <c r="C301" s="120" t="s">
        <v>1493</v>
      </c>
      <c r="D301" s="110"/>
      <c r="E301" s="108" t="s">
        <v>808</v>
      </c>
      <c r="F301" s="114"/>
      <c r="G301" s="120" t="s">
        <v>896</v>
      </c>
      <c r="H301" s="114"/>
      <c r="I301" s="111" t="n">
        <v>7829</v>
      </c>
      <c r="J301" s="110"/>
      <c r="K301" s="120" t="s">
        <v>1487</v>
      </c>
      <c r="L301" s="110"/>
      <c r="M301" s="121" t="n">
        <v>39</v>
      </c>
      <c r="N301" s="114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</row>
    <row r="302" customFormat="false" ht="15.75" hidden="false" customHeight="true" outlineLevel="0" collapsed="false">
      <c r="A302" s="108" t="s">
        <v>1494</v>
      </c>
      <c r="B302" s="114"/>
      <c r="C302" s="120" t="s">
        <v>1495</v>
      </c>
      <c r="D302" s="110"/>
      <c r="E302" s="108" t="s">
        <v>808</v>
      </c>
      <c r="F302" s="114"/>
      <c r="G302" s="120" t="s">
        <v>896</v>
      </c>
      <c r="H302" s="114"/>
      <c r="I302" s="111" t="n">
        <v>7829</v>
      </c>
      <c r="J302" s="110"/>
      <c r="K302" s="120" t="s">
        <v>1487</v>
      </c>
      <c r="L302" s="110"/>
      <c r="M302" s="121" t="n">
        <v>39</v>
      </c>
      <c r="N302" s="114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</row>
    <row r="303" customFormat="false" ht="15.75" hidden="false" customHeight="true" outlineLevel="0" collapsed="false">
      <c r="A303" s="108" t="s">
        <v>1496</v>
      </c>
      <c r="B303" s="114"/>
      <c r="C303" s="120" t="s">
        <v>1497</v>
      </c>
      <c r="D303" s="110"/>
      <c r="E303" s="108" t="s">
        <v>808</v>
      </c>
      <c r="F303" s="114"/>
      <c r="G303" s="120" t="s">
        <v>896</v>
      </c>
      <c r="H303" s="114"/>
      <c r="I303" s="111" t="n">
        <v>7829</v>
      </c>
      <c r="J303" s="110"/>
      <c r="K303" s="120" t="s">
        <v>1487</v>
      </c>
      <c r="L303" s="110"/>
      <c r="M303" s="121" t="n">
        <v>39</v>
      </c>
      <c r="N303" s="114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</row>
    <row r="304" customFormat="false" ht="15.75" hidden="false" customHeight="true" outlineLevel="0" collapsed="false">
      <c r="A304" s="108" t="s">
        <v>1498</v>
      </c>
      <c r="B304" s="114"/>
      <c r="C304" s="120" t="s">
        <v>1499</v>
      </c>
      <c r="D304" s="110"/>
      <c r="E304" s="108" t="s">
        <v>808</v>
      </c>
      <c r="F304" s="114"/>
      <c r="G304" s="120" t="s">
        <v>896</v>
      </c>
      <c r="H304" s="114"/>
      <c r="I304" s="111" t="n">
        <v>7829</v>
      </c>
      <c r="J304" s="110"/>
      <c r="K304" s="120" t="s">
        <v>1487</v>
      </c>
      <c r="L304" s="110"/>
      <c r="M304" s="121" t="n">
        <v>39</v>
      </c>
      <c r="N304" s="114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</row>
    <row r="305" customFormat="false" ht="15.75" hidden="false" customHeight="true" outlineLevel="0" collapsed="false">
      <c r="A305" s="108" t="s">
        <v>1500</v>
      </c>
      <c r="B305" s="114"/>
      <c r="C305" s="120" t="s">
        <v>1501</v>
      </c>
      <c r="D305" s="110"/>
      <c r="E305" s="108" t="s">
        <v>808</v>
      </c>
      <c r="F305" s="114"/>
      <c r="G305" s="120" t="s">
        <v>896</v>
      </c>
      <c r="H305" s="114"/>
      <c r="I305" s="111" t="n">
        <v>7829</v>
      </c>
      <c r="J305" s="110"/>
      <c r="K305" s="120" t="s">
        <v>1487</v>
      </c>
      <c r="L305" s="110"/>
      <c r="M305" s="121" t="n">
        <v>39</v>
      </c>
      <c r="N305" s="114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</row>
    <row r="306" customFormat="false" ht="15.75" hidden="false" customHeight="true" outlineLevel="0" collapsed="false">
      <c r="A306" s="108" t="s">
        <v>1502</v>
      </c>
      <c r="B306" s="114"/>
      <c r="C306" s="120" t="s">
        <v>1503</v>
      </c>
      <c r="D306" s="110"/>
      <c r="E306" s="108" t="s">
        <v>808</v>
      </c>
      <c r="F306" s="114"/>
      <c r="G306" s="120" t="s">
        <v>896</v>
      </c>
      <c r="H306" s="114"/>
      <c r="I306" s="111" t="n">
        <v>7829</v>
      </c>
      <c r="J306" s="110"/>
      <c r="K306" s="120" t="s">
        <v>1487</v>
      </c>
      <c r="L306" s="110"/>
      <c r="M306" s="121" t="n">
        <v>39</v>
      </c>
      <c r="N306" s="114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</row>
    <row r="307" customFormat="false" ht="15.75" hidden="false" customHeight="true" outlineLevel="0" collapsed="false">
      <c r="A307" s="108" t="s">
        <v>1504</v>
      </c>
      <c r="B307" s="114"/>
      <c r="C307" s="120" t="s">
        <v>1505</v>
      </c>
      <c r="D307" s="110"/>
      <c r="E307" s="108" t="s">
        <v>924</v>
      </c>
      <c r="F307" s="114"/>
      <c r="G307" s="120" t="s">
        <v>925</v>
      </c>
      <c r="H307" s="114"/>
      <c r="I307" s="111" t="n">
        <v>8031</v>
      </c>
      <c r="J307" s="110"/>
      <c r="K307" s="120" t="s">
        <v>1506</v>
      </c>
      <c r="L307" s="110"/>
      <c r="M307" s="121" t="n">
        <v>40</v>
      </c>
      <c r="N307" s="114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</row>
    <row r="308" customFormat="false" ht="15.75" hidden="false" customHeight="true" outlineLevel="0" collapsed="false">
      <c r="A308" s="108" t="s">
        <v>1507</v>
      </c>
      <c r="B308" s="114"/>
      <c r="C308" s="120" t="s">
        <v>1508</v>
      </c>
      <c r="D308" s="110"/>
      <c r="E308" s="108" t="s">
        <v>1214</v>
      </c>
      <c r="F308" s="114"/>
      <c r="G308" s="120" t="s">
        <v>1509</v>
      </c>
      <c r="H308" s="114"/>
      <c r="I308" s="111" t="n">
        <v>8734</v>
      </c>
      <c r="J308" s="110"/>
      <c r="K308" s="120" t="s">
        <v>1510</v>
      </c>
      <c r="L308" s="110"/>
      <c r="M308" s="121" t="n">
        <v>41</v>
      </c>
      <c r="N308" s="114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</row>
    <row r="309" customFormat="false" ht="15.75" hidden="false" customHeight="true" outlineLevel="0" collapsed="false">
      <c r="A309" s="108" t="s">
        <v>1511</v>
      </c>
      <c r="B309" s="114"/>
      <c r="C309" s="120" t="s">
        <v>1512</v>
      </c>
      <c r="D309" s="110"/>
      <c r="E309" s="108" t="s">
        <v>1513</v>
      </c>
      <c r="F309" s="114"/>
      <c r="G309" s="120" t="s">
        <v>1514</v>
      </c>
      <c r="H309" s="114"/>
      <c r="I309" s="111" t="n">
        <v>1711</v>
      </c>
      <c r="J309" s="110"/>
      <c r="K309" s="120" t="s">
        <v>1515</v>
      </c>
      <c r="L309" s="110"/>
      <c r="M309" s="112" t="n">
        <v>42</v>
      </c>
      <c r="N309" s="114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</row>
    <row r="310" customFormat="false" ht="15.75" hidden="false" customHeight="true" outlineLevel="0" collapsed="false">
      <c r="A310" s="108" t="s">
        <v>1516</v>
      </c>
      <c r="B310" s="114"/>
      <c r="C310" s="120" t="s">
        <v>1517</v>
      </c>
      <c r="D310" s="110"/>
      <c r="E310" s="108" t="s">
        <v>1518</v>
      </c>
      <c r="F310" s="114"/>
      <c r="G310" s="120" t="s">
        <v>1519</v>
      </c>
      <c r="H310" s="114"/>
      <c r="I310" s="111" t="n">
        <v>1711</v>
      </c>
      <c r="J310" s="110"/>
      <c r="K310" s="120" t="s">
        <v>1520</v>
      </c>
      <c r="L310" s="110"/>
      <c r="M310" s="112" t="n">
        <v>42</v>
      </c>
      <c r="N310" s="114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</row>
    <row r="311" customFormat="false" ht="15.75" hidden="false" customHeight="true" outlineLevel="0" collapsed="false">
      <c r="A311" s="108" t="s">
        <v>1521</v>
      </c>
      <c r="B311" s="114"/>
      <c r="C311" s="120" t="s">
        <v>1522</v>
      </c>
      <c r="D311" s="110"/>
      <c r="E311" s="108" t="s">
        <v>1518</v>
      </c>
      <c r="F311" s="114"/>
      <c r="G311" s="120" t="s">
        <v>1519</v>
      </c>
      <c r="H311" s="114"/>
      <c r="I311" s="111" t="n">
        <v>1711</v>
      </c>
      <c r="J311" s="110"/>
      <c r="K311" s="120" t="s">
        <v>1520</v>
      </c>
      <c r="L311" s="110"/>
      <c r="M311" s="112" t="n">
        <v>42</v>
      </c>
      <c r="N311" s="114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</row>
    <row r="312" customFormat="false" ht="15.75" hidden="false" customHeight="true" outlineLevel="0" collapsed="false">
      <c r="A312" s="108" t="s">
        <v>1523</v>
      </c>
      <c r="B312" s="114"/>
      <c r="C312" s="120" t="s">
        <v>1524</v>
      </c>
      <c r="D312" s="110"/>
      <c r="E312" s="108" t="s">
        <v>1518</v>
      </c>
      <c r="F312" s="114"/>
      <c r="G312" s="120" t="s">
        <v>1519</v>
      </c>
      <c r="H312" s="114"/>
      <c r="I312" s="111" t="n">
        <v>1711</v>
      </c>
      <c r="J312" s="110"/>
      <c r="K312" s="120" t="s">
        <v>1520</v>
      </c>
      <c r="L312" s="110"/>
      <c r="M312" s="112" t="n">
        <v>42</v>
      </c>
      <c r="N312" s="114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</row>
    <row r="313" customFormat="false" ht="15.75" hidden="false" customHeight="true" outlineLevel="0" collapsed="false">
      <c r="A313" s="108" t="s">
        <v>1525</v>
      </c>
      <c r="B313" s="114"/>
      <c r="C313" s="120" t="s">
        <v>1526</v>
      </c>
      <c r="D313" s="110"/>
      <c r="E313" s="108" t="s">
        <v>1518</v>
      </c>
      <c r="F313" s="114"/>
      <c r="G313" s="120" t="s">
        <v>1527</v>
      </c>
      <c r="H313" s="114"/>
      <c r="I313" s="111" t="n">
        <v>1731</v>
      </c>
      <c r="J313" s="110"/>
      <c r="K313" s="120" t="s">
        <v>1528</v>
      </c>
      <c r="L313" s="110"/>
      <c r="M313" s="112" t="n">
        <v>43</v>
      </c>
      <c r="N313" s="114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</row>
    <row r="314" customFormat="false" ht="15.75" hidden="false" customHeight="true" outlineLevel="0" collapsed="false">
      <c r="A314" s="108" t="s">
        <v>1529</v>
      </c>
      <c r="B314" s="114"/>
      <c r="C314" s="120" t="s">
        <v>1530</v>
      </c>
      <c r="D314" s="110"/>
      <c r="E314" s="108" t="s">
        <v>1518</v>
      </c>
      <c r="F314" s="114"/>
      <c r="G314" s="120" t="s">
        <v>1519</v>
      </c>
      <c r="H314" s="114"/>
      <c r="I314" s="111" t="n">
        <v>1731</v>
      </c>
      <c r="J314" s="110"/>
      <c r="K314" s="120" t="s">
        <v>1528</v>
      </c>
      <c r="L314" s="110"/>
      <c r="M314" s="112" t="n">
        <v>43</v>
      </c>
      <c r="N314" s="114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</row>
    <row r="315" customFormat="false" ht="15.75" hidden="false" customHeight="true" outlineLevel="0" collapsed="false">
      <c r="A315" s="108" t="s">
        <v>1531</v>
      </c>
      <c r="B315" s="114"/>
      <c r="C315" s="120" t="s">
        <v>1532</v>
      </c>
      <c r="D315" s="110"/>
      <c r="E315" s="108" t="s">
        <v>1518</v>
      </c>
      <c r="F315" s="114"/>
      <c r="G315" s="120" t="s">
        <v>1519</v>
      </c>
      <c r="H315" s="114"/>
      <c r="I315" s="111" t="n">
        <v>1731</v>
      </c>
      <c r="J315" s="110"/>
      <c r="K315" s="120" t="s">
        <v>1528</v>
      </c>
      <c r="L315" s="110"/>
      <c r="M315" s="112" t="n">
        <v>43</v>
      </c>
      <c r="N315" s="114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</row>
    <row r="316" customFormat="false" ht="15.75" hidden="false" customHeight="true" outlineLevel="0" collapsed="false">
      <c r="A316" s="108" t="s">
        <v>1533</v>
      </c>
      <c r="B316" s="114"/>
      <c r="C316" s="120" t="s">
        <v>1534</v>
      </c>
      <c r="D316" s="110"/>
      <c r="E316" s="108" t="s">
        <v>844</v>
      </c>
      <c r="F316" s="114"/>
      <c r="G316" s="120" t="s">
        <v>1014</v>
      </c>
      <c r="H316" s="114"/>
      <c r="I316" s="111" t="n">
        <v>2842</v>
      </c>
      <c r="J316" s="110"/>
      <c r="K316" s="120" t="s">
        <v>1535</v>
      </c>
      <c r="L316" s="110"/>
      <c r="M316" s="112" t="n">
        <v>44</v>
      </c>
      <c r="N316" s="114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</row>
    <row r="317" customFormat="false" ht="15.75" hidden="false" customHeight="true" outlineLevel="0" collapsed="false">
      <c r="A317" s="108" t="s">
        <v>1536</v>
      </c>
      <c r="B317" s="114"/>
      <c r="C317" s="120" t="s">
        <v>1537</v>
      </c>
      <c r="D317" s="110"/>
      <c r="E317" s="108" t="s">
        <v>844</v>
      </c>
      <c r="F317" s="114"/>
      <c r="G317" s="120" t="s">
        <v>1014</v>
      </c>
      <c r="H317" s="114"/>
      <c r="I317" s="111" t="n">
        <v>2842</v>
      </c>
      <c r="J317" s="110"/>
      <c r="K317" s="120" t="s">
        <v>1538</v>
      </c>
      <c r="L317" s="110"/>
      <c r="M317" s="112" t="n">
        <v>44</v>
      </c>
      <c r="N317" s="114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</row>
    <row r="318" customFormat="false" ht="15.75" hidden="false" customHeight="true" outlineLevel="0" collapsed="false">
      <c r="A318" s="108" t="s">
        <v>1539</v>
      </c>
      <c r="B318" s="114"/>
      <c r="C318" s="120" t="s">
        <v>1540</v>
      </c>
      <c r="D318" s="110"/>
      <c r="E318" s="108" t="s">
        <v>844</v>
      </c>
      <c r="F318" s="114"/>
      <c r="G318" s="120" t="s">
        <v>1014</v>
      </c>
      <c r="H318" s="114"/>
      <c r="I318" s="111" t="n">
        <v>2842</v>
      </c>
      <c r="J318" s="110"/>
      <c r="K318" s="120" t="s">
        <v>1535</v>
      </c>
      <c r="L318" s="110"/>
      <c r="M318" s="112" t="n">
        <v>44</v>
      </c>
      <c r="N318" s="114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</row>
    <row r="319" customFormat="false" ht="15.75" hidden="false" customHeight="true" outlineLevel="0" collapsed="false">
      <c r="A319" s="108" t="s">
        <v>1541</v>
      </c>
      <c r="B319" s="114"/>
      <c r="C319" s="120" t="s">
        <v>1542</v>
      </c>
      <c r="D319" s="110"/>
      <c r="E319" s="108" t="s">
        <v>821</v>
      </c>
      <c r="F319" s="114"/>
      <c r="G319" s="120" t="s">
        <v>830</v>
      </c>
      <c r="H319" s="114"/>
      <c r="I319" s="111" t="n">
        <v>2842</v>
      </c>
      <c r="J319" s="110"/>
      <c r="K319" s="120" t="s">
        <v>1535</v>
      </c>
      <c r="L319" s="110"/>
      <c r="M319" s="112" t="n">
        <v>44</v>
      </c>
      <c r="N319" s="114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</row>
    <row r="320" customFormat="false" ht="15.75" hidden="false" customHeight="true" outlineLevel="0" collapsed="false">
      <c r="A320" s="108" t="s">
        <v>1543</v>
      </c>
      <c r="B320" s="114"/>
      <c r="C320" s="120" t="s">
        <v>1544</v>
      </c>
      <c r="D320" s="110"/>
      <c r="E320" s="108" t="s">
        <v>821</v>
      </c>
      <c r="F320" s="114"/>
      <c r="G320" s="120" t="s">
        <v>830</v>
      </c>
      <c r="H320" s="114"/>
      <c r="I320" s="111" t="n">
        <v>2842</v>
      </c>
      <c r="J320" s="110"/>
      <c r="K320" s="120" t="s">
        <v>1538</v>
      </c>
      <c r="L320" s="110"/>
      <c r="M320" s="112" t="n">
        <v>44</v>
      </c>
      <c r="N320" s="114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</row>
    <row r="321" customFormat="false" ht="15.75" hidden="false" customHeight="true" outlineLevel="0" collapsed="false">
      <c r="A321" s="108" t="s">
        <v>1545</v>
      </c>
      <c r="B321" s="114"/>
      <c r="C321" s="120" t="s">
        <v>1546</v>
      </c>
      <c r="D321" s="110"/>
      <c r="E321" s="108" t="s">
        <v>933</v>
      </c>
      <c r="F321" s="114"/>
      <c r="G321" s="120" t="s">
        <v>934</v>
      </c>
      <c r="H321" s="114"/>
      <c r="I321" s="111" t="n">
        <v>4011</v>
      </c>
      <c r="J321" s="110"/>
      <c r="K321" s="120" t="s">
        <v>1547</v>
      </c>
      <c r="L321" s="110"/>
      <c r="M321" s="112" t="n">
        <v>45</v>
      </c>
      <c r="N321" s="114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</row>
    <row r="322" customFormat="false" ht="15.75" hidden="false" customHeight="true" outlineLevel="0" collapsed="false">
      <c r="A322" s="108" t="s">
        <v>1548</v>
      </c>
      <c r="B322" s="114"/>
      <c r="C322" s="120" t="s">
        <v>1549</v>
      </c>
      <c r="D322" s="110"/>
      <c r="E322" s="108" t="s">
        <v>933</v>
      </c>
      <c r="F322" s="114"/>
      <c r="G322" s="120" t="s">
        <v>934</v>
      </c>
      <c r="H322" s="114"/>
      <c r="I322" s="111" t="n">
        <v>4111</v>
      </c>
      <c r="J322" s="110"/>
      <c r="K322" s="120" t="s">
        <v>1550</v>
      </c>
      <c r="L322" s="110"/>
      <c r="M322" s="112" t="n">
        <v>46</v>
      </c>
      <c r="N322" s="114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</row>
    <row r="323" customFormat="false" ht="15.75" hidden="false" customHeight="true" outlineLevel="0" collapsed="false">
      <c r="A323" s="108" t="s">
        <v>1551</v>
      </c>
      <c r="B323" s="114"/>
      <c r="C323" s="120" t="s">
        <v>1552</v>
      </c>
      <c r="D323" s="110"/>
      <c r="E323" s="108" t="s">
        <v>933</v>
      </c>
      <c r="F323" s="114"/>
      <c r="G323" s="120" t="s">
        <v>934</v>
      </c>
      <c r="H323" s="114"/>
      <c r="I323" s="111" t="n">
        <v>4111</v>
      </c>
      <c r="J323" s="110"/>
      <c r="K323" s="120" t="s">
        <v>1550</v>
      </c>
      <c r="L323" s="110"/>
      <c r="M323" s="112" t="n">
        <v>46</v>
      </c>
      <c r="N323" s="114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</row>
    <row r="324" customFormat="false" ht="15.75" hidden="false" customHeight="true" outlineLevel="0" collapsed="false">
      <c r="A324" s="108" t="s">
        <v>1553</v>
      </c>
      <c r="B324" s="114"/>
      <c r="C324" s="120" t="s">
        <v>1554</v>
      </c>
      <c r="D324" s="110"/>
      <c r="E324" s="108" t="s">
        <v>933</v>
      </c>
      <c r="F324" s="114"/>
      <c r="G324" s="120" t="s">
        <v>1555</v>
      </c>
      <c r="H324" s="114"/>
      <c r="I324" s="111" t="n">
        <v>4111</v>
      </c>
      <c r="J324" s="110"/>
      <c r="K324" s="120" t="s">
        <v>1556</v>
      </c>
      <c r="L324" s="110"/>
      <c r="M324" s="112" t="n">
        <v>46</v>
      </c>
      <c r="N324" s="114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</row>
    <row r="325" customFormat="false" ht="15.75" hidden="false" customHeight="true" outlineLevel="0" collapsed="false">
      <c r="A325" s="108" t="s">
        <v>1557</v>
      </c>
      <c r="B325" s="114"/>
      <c r="C325" s="120" t="s">
        <v>1558</v>
      </c>
      <c r="D325" s="110"/>
      <c r="E325" s="108" t="s">
        <v>933</v>
      </c>
      <c r="F325" s="114"/>
      <c r="G325" s="120" t="s">
        <v>1555</v>
      </c>
      <c r="H325" s="114"/>
      <c r="I325" s="111" t="n">
        <v>4111</v>
      </c>
      <c r="J325" s="110"/>
      <c r="K325" s="120" t="s">
        <v>1556</v>
      </c>
      <c r="L325" s="110"/>
      <c r="M325" s="112" t="n">
        <v>46</v>
      </c>
      <c r="N325" s="114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</row>
    <row r="326" customFormat="false" ht="15.75" hidden="false" customHeight="true" outlineLevel="0" collapsed="false">
      <c r="A326" s="108" t="s">
        <v>1559</v>
      </c>
      <c r="B326" s="114"/>
      <c r="C326" s="120" t="s">
        <v>1560</v>
      </c>
      <c r="D326" s="110"/>
      <c r="E326" s="108" t="s">
        <v>933</v>
      </c>
      <c r="F326" s="114"/>
      <c r="G326" s="120" t="s">
        <v>1555</v>
      </c>
      <c r="H326" s="114"/>
      <c r="I326" s="111" t="n">
        <v>4111</v>
      </c>
      <c r="J326" s="110"/>
      <c r="K326" s="120" t="s">
        <v>1556</v>
      </c>
      <c r="L326" s="110"/>
      <c r="M326" s="112" t="n">
        <v>46</v>
      </c>
      <c r="N326" s="114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</row>
    <row r="327" customFormat="false" ht="15.75" hidden="false" customHeight="true" outlineLevel="0" collapsed="false">
      <c r="A327" s="108" t="s">
        <v>1561</v>
      </c>
      <c r="B327" s="114"/>
      <c r="C327" s="120" t="s">
        <v>1562</v>
      </c>
      <c r="D327" s="110"/>
      <c r="E327" s="108" t="s">
        <v>933</v>
      </c>
      <c r="F327" s="114"/>
      <c r="G327" s="120" t="s">
        <v>1555</v>
      </c>
      <c r="H327" s="114"/>
      <c r="I327" s="111" t="n">
        <v>4111</v>
      </c>
      <c r="J327" s="110"/>
      <c r="K327" s="120" t="s">
        <v>1556</v>
      </c>
      <c r="L327" s="110"/>
      <c r="M327" s="112" t="n">
        <v>46</v>
      </c>
      <c r="N327" s="114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</row>
    <row r="328" customFormat="false" ht="15.75" hidden="false" customHeight="true" outlineLevel="0" collapsed="false">
      <c r="A328" s="108" t="s">
        <v>1563</v>
      </c>
      <c r="B328" s="114"/>
      <c r="C328" s="120" t="s">
        <v>1564</v>
      </c>
      <c r="D328" s="110"/>
      <c r="E328" s="108" t="s">
        <v>933</v>
      </c>
      <c r="F328" s="114"/>
      <c r="G328" s="120" t="s">
        <v>945</v>
      </c>
      <c r="H328" s="114"/>
      <c r="I328" s="111" t="n">
        <v>4111</v>
      </c>
      <c r="J328" s="110"/>
      <c r="K328" s="120" t="s">
        <v>1556</v>
      </c>
      <c r="L328" s="110"/>
      <c r="M328" s="112" t="n">
        <v>46</v>
      </c>
      <c r="N328" s="114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</row>
    <row r="329" customFormat="false" ht="15.75" hidden="false" customHeight="true" outlineLevel="0" collapsed="false">
      <c r="A329" s="108" t="s">
        <v>1565</v>
      </c>
      <c r="B329" s="114"/>
      <c r="C329" s="120" t="s">
        <v>1566</v>
      </c>
      <c r="D329" s="110"/>
      <c r="E329" s="108" t="s">
        <v>933</v>
      </c>
      <c r="F329" s="114"/>
      <c r="G329" s="120" t="s">
        <v>945</v>
      </c>
      <c r="H329" s="114"/>
      <c r="I329" s="111" t="n">
        <v>4215</v>
      </c>
      <c r="J329" s="110"/>
      <c r="K329" s="120" t="s">
        <v>1567</v>
      </c>
      <c r="L329" s="110"/>
      <c r="M329" s="112" t="n">
        <v>47</v>
      </c>
      <c r="N329" s="114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</row>
    <row r="330" customFormat="false" ht="15.75" hidden="false" customHeight="true" outlineLevel="0" collapsed="false">
      <c r="A330" s="108" t="s">
        <v>1568</v>
      </c>
      <c r="B330" s="114"/>
      <c r="C330" s="120" t="s">
        <v>1569</v>
      </c>
      <c r="D330" s="110"/>
      <c r="E330" s="108" t="s">
        <v>933</v>
      </c>
      <c r="F330" s="114"/>
      <c r="G330" s="120" t="s">
        <v>945</v>
      </c>
      <c r="H330" s="114"/>
      <c r="I330" s="111" t="n">
        <v>4215</v>
      </c>
      <c r="J330" s="110"/>
      <c r="K330" s="120" t="s">
        <v>1567</v>
      </c>
      <c r="L330" s="110"/>
      <c r="M330" s="112" t="n">
        <v>47</v>
      </c>
      <c r="N330" s="114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</row>
    <row r="331" customFormat="false" ht="15.75" hidden="false" customHeight="true" outlineLevel="0" collapsed="false">
      <c r="A331" s="108" t="s">
        <v>1570</v>
      </c>
      <c r="B331" s="114"/>
      <c r="C331" s="120" t="s">
        <v>1571</v>
      </c>
      <c r="D331" s="110"/>
      <c r="E331" s="108" t="s">
        <v>933</v>
      </c>
      <c r="F331" s="114"/>
      <c r="G331" s="120" t="s">
        <v>945</v>
      </c>
      <c r="H331" s="114"/>
      <c r="I331" s="111" t="n">
        <v>4215</v>
      </c>
      <c r="J331" s="110"/>
      <c r="K331" s="120" t="s">
        <v>1567</v>
      </c>
      <c r="L331" s="110"/>
      <c r="M331" s="112" t="n">
        <v>47</v>
      </c>
      <c r="N331" s="114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</row>
    <row r="332" customFormat="false" ht="15.75" hidden="false" customHeight="true" outlineLevel="0" collapsed="false">
      <c r="A332" s="108" t="s">
        <v>1572</v>
      </c>
      <c r="B332" s="114"/>
      <c r="C332" s="120" t="s">
        <v>1573</v>
      </c>
      <c r="D332" s="110"/>
      <c r="E332" s="108" t="s">
        <v>933</v>
      </c>
      <c r="F332" s="114"/>
      <c r="G332" s="120" t="s">
        <v>1574</v>
      </c>
      <c r="H332" s="114"/>
      <c r="I332" s="111" t="n">
        <v>4215</v>
      </c>
      <c r="J332" s="110"/>
      <c r="K332" s="120" t="s">
        <v>1567</v>
      </c>
      <c r="L332" s="110"/>
      <c r="M332" s="112" t="n">
        <v>47</v>
      </c>
      <c r="N332" s="114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</row>
    <row r="333" customFormat="false" ht="15.75" hidden="false" customHeight="true" outlineLevel="0" collapsed="false">
      <c r="A333" s="108" t="s">
        <v>1575</v>
      </c>
      <c r="B333" s="114"/>
      <c r="C333" s="120" t="s">
        <v>1576</v>
      </c>
      <c r="D333" s="110"/>
      <c r="E333" s="108" t="s">
        <v>933</v>
      </c>
      <c r="F333" s="114"/>
      <c r="G333" s="120" t="s">
        <v>1574</v>
      </c>
      <c r="H333" s="114"/>
      <c r="I333" s="111" t="n">
        <v>4215</v>
      </c>
      <c r="J333" s="110"/>
      <c r="K333" s="120" t="s">
        <v>1567</v>
      </c>
      <c r="L333" s="110"/>
      <c r="M333" s="112" t="n">
        <v>47</v>
      </c>
      <c r="N333" s="114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</row>
    <row r="334" customFormat="false" ht="15.75" hidden="false" customHeight="true" outlineLevel="0" collapsed="false">
      <c r="A334" s="108" t="s">
        <v>1577</v>
      </c>
      <c r="B334" s="114"/>
      <c r="C334" s="120" t="s">
        <v>1578</v>
      </c>
      <c r="D334" s="110"/>
      <c r="E334" s="108" t="s">
        <v>920</v>
      </c>
      <c r="F334" s="114"/>
      <c r="G334" s="120" t="s">
        <v>1579</v>
      </c>
      <c r="H334" s="114"/>
      <c r="I334" s="111" t="n">
        <v>4457</v>
      </c>
      <c r="J334" s="110"/>
      <c r="K334" s="120" t="s">
        <v>1580</v>
      </c>
      <c r="L334" s="110"/>
      <c r="M334" s="112" t="n">
        <v>48</v>
      </c>
      <c r="N334" s="114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</row>
    <row r="335" customFormat="false" ht="15.75" hidden="false" customHeight="true" outlineLevel="0" collapsed="false">
      <c r="A335" s="108" t="s">
        <v>1581</v>
      </c>
      <c r="B335" s="114"/>
      <c r="C335" s="120" t="s">
        <v>1582</v>
      </c>
      <c r="D335" s="110"/>
      <c r="E335" s="108" t="s">
        <v>933</v>
      </c>
      <c r="F335" s="114"/>
      <c r="G335" s="120" t="s">
        <v>945</v>
      </c>
      <c r="H335" s="114"/>
      <c r="I335" s="111" t="n">
        <v>4784</v>
      </c>
      <c r="J335" s="110"/>
      <c r="K335" s="120" t="s">
        <v>1583</v>
      </c>
      <c r="L335" s="110"/>
      <c r="M335" s="112" t="n">
        <v>49</v>
      </c>
      <c r="N335" s="114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</row>
    <row r="336" customFormat="false" ht="15.75" hidden="false" customHeight="true" outlineLevel="0" collapsed="false">
      <c r="A336" s="108" t="s">
        <v>1584</v>
      </c>
      <c r="B336" s="114"/>
      <c r="C336" s="120" t="s">
        <v>1585</v>
      </c>
      <c r="D336" s="110"/>
      <c r="E336" s="108" t="s">
        <v>933</v>
      </c>
      <c r="F336" s="114"/>
      <c r="G336" s="120" t="s">
        <v>934</v>
      </c>
      <c r="H336" s="114"/>
      <c r="I336" s="111" t="n">
        <v>4789</v>
      </c>
      <c r="J336" s="110"/>
      <c r="K336" s="120" t="s">
        <v>938</v>
      </c>
      <c r="L336" s="110"/>
      <c r="M336" s="112" t="n">
        <v>50</v>
      </c>
      <c r="N336" s="114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</row>
    <row r="337" customFormat="false" ht="15.75" hidden="false" customHeight="true" outlineLevel="0" collapsed="false">
      <c r="A337" s="108" t="s">
        <v>1586</v>
      </c>
      <c r="B337" s="114"/>
      <c r="C337" s="120" t="s">
        <v>1587</v>
      </c>
      <c r="D337" s="110"/>
      <c r="E337" s="108" t="s">
        <v>933</v>
      </c>
      <c r="F337" s="114"/>
      <c r="G337" s="120" t="s">
        <v>934</v>
      </c>
      <c r="H337" s="114"/>
      <c r="I337" s="111" t="n">
        <v>4789</v>
      </c>
      <c r="J337" s="110"/>
      <c r="K337" s="120" t="s">
        <v>938</v>
      </c>
      <c r="L337" s="110"/>
      <c r="M337" s="112" t="n">
        <v>50</v>
      </c>
      <c r="N337" s="114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</row>
    <row r="338" customFormat="false" ht="15.75" hidden="false" customHeight="true" outlineLevel="0" collapsed="false">
      <c r="A338" s="108" t="s">
        <v>1588</v>
      </c>
      <c r="B338" s="114"/>
      <c r="C338" s="120" t="s">
        <v>1589</v>
      </c>
      <c r="D338" s="110"/>
      <c r="E338" s="108" t="s">
        <v>933</v>
      </c>
      <c r="F338" s="114"/>
      <c r="G338" s="120" t="s">
        <v>934</v>
      </c>
      <c r="H338" s="114"/>
      <c r="I338" s="111" t="n">
        <v>4789</v>
      </c>
      <c r="J338" s="110"/>
      <c r="K338" s="120" t="s">
        <v>938</v>
      </c>
      <c r="L338" s="110"/>
      <c r="M338" s="112" t="n">
        <v>50</v>
      </c>
      <c r="N338" s="114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</row>
    <row r="339" customFormat="false" ht="15.75" hidden="false" customHeight="true" outlineLevel="0" collapsed="false">
      <c r="A339" s="108" t="s">
        <v>1590</v>
      </c>
      <c r="B339" s="114"/>
      <c r="C339" s="120" t="s">
        <v>1591</v>
      </c>
      <c r="D339" s="110"/>
      <c r="E339" s="108" t="s">
        <v>933</v>
      </c>
      <c r="F339" s="114"/>
      <c r="G339" s="120" t="s">
        <v>934</v>
      </c>
      <c r="H339" s="114"/>
      <c r="I339" s="111" t="n">
        <v>4789</v>
      </c>
      <c r="J339" s="110"/>
      <c r="K339" s="120" t="s">
        <v>938</v>
      </c>
      <c r="L339" s="110"/>
      <c r="M339" s="112" t="n">
        <v>50</v>
      </c>
      <c r="N339" s="114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</row>
    <row r="340" customFormat="false" ht="15.75" hidden="false" customHeight="true" outlineLevel="0" collapsed="false">
      <c r="A340" s="108" t="s">
        <v>1592</v>
      </c>
      <c r="B340" s="114"/>
      <c r="C340" s="120" t="s">
        <v>1593</v>
      </c>
      <c r="D340" s="110"/>
      <c r="E340" s="108" t="s">
        <v>933</v>
      </c>
      <c r="F340" s="114"/>
      <c r="G340" s="120" t="s">
        <v>1555</v>
      </c>
      <c r="H340" s="114"/>
      <c r="I340" s="111" t="n">
        <v>4789</v>
      </c>
      <c r="J340" s="110"/>
      <c r="K340" s="120" t="s">
        <v>938</v>
      </c>
      <c r="L340" s="110"/>
      <c r="M340" s="112" t="n">
        <v>50</v>
      </c>
      <c r="N340" s="114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</row>
    <row r="341" customFormat="false" ht="15.75" hidden="false" customHeight="true" outlineLevel="0" collapsed="false">
      <c r="A341" s="108" t="s">
        <v>1594</v>
      </c>
      <c r="B341" s="114"/>
      <c r="C341" s="120" t="s">
        <v>1595</v>
      </c>
      <c r="D341" s="110"/>
      <c r="E341" s="108" t="s">
        <v>933</v>
      </c>
      <c r="F341" s="114"/>
      <c r="G341" s="120" t="s">
        <v>1555</v>
      </c>
      <c r="H341" s="114"/>
      <c r="I341" s="111" t="n">
        <v>4789</v>
      </c>
      <c r="J341" s="110"/>
      <c r="K341" s="120" t="s">
        <v>938</v>
      </c>
      <c r="L341" s="110"/>
      <c r="M341" s="112" t="n">
        <v>50</v>
      </c>
      <c r="N341" s="114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</row>
    <row r="342" customFormat="false" ht="15.75" hidden="false" customHeight="true" outlineLevel="0" collapsed="false">
      <c r="A342" s="108" t="s">
        <v>1596</v>
      </c>
      <c r="B342" s="114"/>
      <c r="C342" s="120" t="s">
        <v>1597</v>
      </c>
      <c r="D342" s="110"/>
      <c r="E342" s="108" t="s">
        <v>933</v>
      </c>
      <c r="F342" s="114"/>
      <c r="G342" s="120" t="s">
        <v>1555</v>
      </c>
      <c r="H342" s="114"/>
      <c r="I342" s="111" t="n">
        <v>4789</v>
      </c>
      <c r="J342" s="110"/>
      <c r="K342" s="120" t="s">
        <v>938</v>
      </c>
      <c r="L342" s="110"/>
      <c r="M342" s="112" t="n">
        <v>50</v>
      </c>
      <c r="N342" s="114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</row>
    <row r="343" customFormat="false" ht="15.75" hidden="false" customHeight="true" outlineLevel="0" collapsed="false">
      <c r="A343" s="108" t="s">
        <v>1598</v>
      </c>
      <c r="B343" s="114"/>
      <c r="C343" s="120" t="s">
        <v>1599</v>
      </c>
      <c r="D343" s="110"/>
      <c r="E343" s="108" t="s">
        <v>933</v>
      </c>
      <c r="F343" s="114"/>
      <c r="G343" s="120" t="s">
        <v>1555</v>
      </c>
      <c r="H343" s="114"/>
      <c r="I343" s="111" t="n">
        <v>4789</v>
      </c>
      <c r="J343" s="110"/>
      <c r="K343" s="120" t="s">
        <v>938</v>
      </c>
      <c r="L343" s="110"/>
      <c r="M343" s="112" t="n">
        <v>50</v>
      </c>
      <c r="N343" s="114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</row>
    <row r="344" customFormat="false" ht="15.75" hidden="false" customHeight="true" outlineLevel="0" collapsed="false">
      <c r="A344" s="108" t="s">
        <v>1600</v>
      </c>
      <c r="B344" s="114"/>
      <c r="C344" s="120" t="s">
        <v>1601</v>
      </c>
      <c r="D344" s="110"/>
      <c r="E344" s="108" t="s">
        <v>933</v>
      </c>
      <c r="F344" s="114"/>
      <c r="G344" s="120" t="s">
        <v>1555</v>
      </c>
      <c r="H344" s="114"/>
      <c r="I344" s="111" t="n">
        <v>4789</v>
      </c>
      <c r="J344" s="110"/>
      <c r="K344" s="120" t="s">
        <v>938</v>
      </c>
      <c r="L344" s="110"/>
      <c r="M344" s="112" t="n">
        <v>50</v>
      </c>
      <c r="N344" s="114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</row>
    <row r="345" customFormat="false" ht="15.75" hidden="false" customHeight="true" outlineLevel="0" collapsed="false">
      <c r="A345" s="108" t="s">
        <v>1602</v>
      </c>
      <c r="B345" s="114"/>
      <c r="C345" s="120" t="s">
        <v>1603</v>
      </c>
      <c r="D345" s="110"/>
      <c r="E345" s="108" t="s">
        <v>933</v>
      </c>
      <c r="F345" s="114"/>
      <c r="G345" s="120" t="s">
        <v>1555</v>
      </c>
      <c r="H345" s="114"/>
      <c r="I345" s="111" t="n">
        <v>4789</v>
      </c>
      <c r="J345" s="110"/>
      <c r="K345" s="120" t="s">
        <v>938</v>
      </c>
      <c r="L345" s="110"/>
      <c r="M345" s="112" t="n">
        <v>50</v>
      </c>
      <c r="N345" s="114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</row>
    <row r="346" customFormat="false" ht="15.75" hidden="false" customHeight="true" outlineLevel="0" collapsed="false">
      <c r="A346" s="108" t="s">
        <v>1604</v>
      </c>
      <c r="B346" s="114"/>
      <c r="C346" s="120" t="s">
        <v>1605</v>
      </c>
      <c r="D346" s="110"/>
      <c r="E346" s="108" t="s">
        <v>933</v>
      </c>
      <c r="F346" s="114"/>
      <c r="G346" s="120" t="s">
        <v>1555</v>
      </c>
      <c r="H346" s="114"/>
      <c r="I346" s="111" t="n">
        <v>4789</v>
      </c>
      <c r="J346" s="110"/>
      <c r="K346" s="120" t="s">
        <v>938</v>
      </c>
      <c r="L346" s="110"/>
      <c r="M346" s="112" t="n">
        <v>50</v>
      </c>
      <c r="N346" s="114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</row>
    <row r="347" customFormat="false" ht="15.75" hidden="false" customHeight="true" outlineLevel="0" collapsed="false">
      <c r="A347" s="108" t="s">
        <v>1606</v>
      </c>
      <c r="B347" s="114"/>
      <c r="C347" s="120" t="s">
        <v>1607</v>
      </c>
      <c r="D347" s="110"/>
      <c r="E347" s="108" t="s">
        <v>933</v>
      </c>
      <c r="F347" s="114"/>
      <c r="G347" s="120" t="s">
        <v>1555</v>
      </c>
      <c r="H347" s="114"/>
      <c r="I347" s="111" t="n">
        <v>4789</v>
      </c>
      <c r="J347" s="110"/>
      <c r="K347" s="120" t="s">
        <v>938</v>
      </c>
      <c r="L347" s="110"/>
      <c r="M347" s="112" t="n">
        <v>50</v>
      </c>
      <c r="N347" s="114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</row>
    <row r="348" customFormat="false" ht="15.75" hidden="false" customHeight="true" outlineLevel="0" collapsed="false">
      <c r="A348" s="108" t="s">
        <v>1608</v>
      </c>
      <c r="B348" s="114"/>
      <c r="C348" s="120" t="s">
        <v>1609</v>
      </c>
      <c r="D348" s="110"/>
      <c r="E348" s="108" t="s">
        <v>933</v>
      </c>
      <c r="F348" s="114"/>
      <c r="G348" s="120" t="s">
        <v>1555</v>
      </c>
      <c r="H348" s="114"/>
      <c r="I348" s="111" t="n">
        <v>4789</v>
      </c>
      <c r="J348" s="110"/>
      <c r="K348" s="120" t="s">
        <v>938</v>
      </c>
      <c r="L348" s="110"/>
      <c r="M348" s="112" t="n">
        <v>50</v>
      </c>
      <c r="N348" s="114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</row>
    <row r="349" customFormat="false" ht="15.75" hidden="false" customHeight="true" outlineLevel="0" collapsed="false">
      <c r="A349" s="108" t="s">
        <v>1610</v>
      </c>
      <c r="B349" s="114"/>
      <c r="C349" s="120" t="s">
        <v>1611</v>
      </c>
      <c r="D349" s="110"/>
      <c r="E349" s="108" t="s">
        <v>933</v>
      </c>
      <c r="F349" s="114"/>
      <c r="G349" s="120" t="s">
        <v>1612</v>
      </c>
      <c r="H349" s="114"/>
      <c r="I349" s="111" t="n">
        <v>4789</v>
      </c>
      <c r="J349" s="110"/>
      <c r="K349" s="120" t="s">
        <v>938</v>
      </c>
      <c r="L349" s="110"/>
      <c r="M349" s="112" t="n">
        <v>50</v>
      </c>
      <c r="N349" s="114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</row>
    <row r="350" customFormat="false" ht="15.75" hidden="false" customHeight="true" outlineLevel="0" collapsed="false">
      <c r="A350" s="108" t="s">
        <v>1613</v>
      </c>
      <c r="B350" s="114"/>
      <c r="C350" s="120" t="s">
        <v>1614</v>
      </c>
      <c r="D350" s="110"/>
      <c r="E350" s="108" t="s">
        <v>933</v>
      </c>
      <c r="F350" s="114"/>
      <c r="G350" s="120" t="s">
        <v>945</v>
      </c>
      <c r="H350" s="114"/>
      <c r="I350" s="111" t="n">
        <v>4789</v>
      </c>
      <c r="J350" s="110"/>
      <c r="K350" s="120" t="s">
        <v>938</v>
      </c>
      <c r="L350" s="110"/>
      <c r="M350" s="112" t="n">
        <v>50</v>
      </c>
      <c r="N350" s="114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</row>
    <row r="351" customFormat="false" ht="15.75" hidden="false" customHeight="true" outlineLevel="0" collapsed="false">
      <c r="A351" s="108" t="s">
        <v>1615</v>
      </c>
      <c r="B351" s="114"/>
      <c r="C351" s="120" t="s">
        <v>1616</v>
      </c>
      <c r="D351" s="110"/>
      <c r="E351" s="108" t="s">
        <v>821</v>
      </c>
      <c r="F351" s="114"/>
      <c r="G351" s="120" t="s">
        <v>822</v>
      </c>
      <c r="H351" s="114"/>
      <c r="I351" s="111" t="n">
        <v>4812</v>
      </c>
      <c r="J351" s="110"/>
      <c r="K351" s="120" t="s">
        <v>1617</v>
      </c>
      <c r="L351" s="110"/>
      <c r="M351" s="112" t="n">
        <v>51</v>
      </c>
      <c r="N351" s="114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</row>
    <row r="352" customFormat="false" ht="15.75" hidden="false" customHeight="true" outlineLevel="0" collapsed="false">
      <c r="A352" s="108" t="s">
        <v>1618</v>
      </c>
      <c r="B352" s="114"/>
      <c r="C352" s="120" t="s">
        <v>1619</v>
      </c>
      <c r="D352" s="110"/>
      <c r="E352" s="108" t="s">
        <v>808</v>
      </c>
      <c r="F352" s="114"/>
      <c r="G352" s="120" t="s">
        <v>1620</v>
      </c>
      <c r="H352" s="114"/>
      <c r="I352" s="111" t="n">
        <v>4899</v>
      </c>
      <c r="J352" s="110"/>
      <c r="K352" s="120" t="s">
        <v>1621</v>
      </c>
      <c r="L352" s="110"/>
      <c r="M352" s="112" t="n">
        <v>52</v>
      </c>
      <c r="N352" s="114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</row>
    <row r="353" customFormat="false" ht="15.75" hidden="false" customHeight="true" outlineLevel="0" collapsed="false">
      <c r="A353" s="108" t="s">
        <v>1622</v>
      </c>
      <c r="B353" s="114"/>
      <c r="C353" s="120" t="s">
        <v>1623</v>
      </c>
      <c r="D353" s="110"/>
      <c r="E353" s="108" t="s">
        <v>808</v>
      </c>
      <c r="F353" s="114"/>
      <c r="G353" s="120" t="s">
        <v>1620</v>
      </c>
      <c r="H353" s="114"/>
      <c r="I353" s="111" t="n">
        <v>4899</v>
      </c>
      <c r="J353" s="110"/>
      <c r="K353" s="120" t="s">
        <v>1621</v>
      </c>
      <c r="L353" s="110"/>
      <c r="M353" s="112" t="n">
        <v>52</v>
      </c>
      <c r="N353" s="114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</row>
    <row r="354" customFormat="false" ht="15.75" hidden="false" customHeight="true" outlineLevel="0" collapsed="false">
      <c r="A354" s="108" t="s">
        <v>1624</v>
      </c>
      <c r="B354" s="114"/>
      <c r="C354" s="120" t="s">
        <v>1625</v>
      </c>
      <c r="D354" s="110"/>
      <c r="E354" s="108" t="s">
        <v>808</v>
      </c>
      <c r="F354" s="114"/>
      <c r="G354" s="120" t="s">
        <v>1620</v>
      </c>
      <c r="H354" s="114"/>
      <c r="I354" s="111" t="n">
        <v>4899</v>
      </c>
      <c r="J354" s="110"/>
      <c r="K354" s="120" t="s">
        <v>1621</v>
      </c>
      <c r="L354" s="110"/>
      <c r="M354" s="112" t="n">
        <v>52</v>
      </c>
      <c r="N354" s="114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  <c r="AC354" s="108"/>
    </row>
    <row r="355" customFormat="false" ht="15.75" hidden="false" customHeight="true" outlineLevel="0" collapsed="false">
      <c r="A355" s="108" t="s">
        <v>1626</v>
      </c>
      <c r="B355" s="114"/>
      <c r="C355" s="120" t="s">
        <v>1627</v>
      </c>
      <c r="D355" s="110"/>
      <c r="E355" s="108" t="s">
        <v>808</v>
      </c>
      <c r="F355" s="114"/>
      <c r="G355" s="120" t="s">
        <v>1620</v>
      </c>
      <c r="H355" s="114"/>
      <c r="I355" s="111" t="n">
        <v>4899</v>
      </c>
      <c r="J355" s="110"/>
      <c r="K355" s="120" t="s">
        <v>1621</v>
      </c>
      <c r="L355" s="110"/>
      <c r="M355" s="112" t="n">
        <v>52</v>
      </c>
      <c r="N355" s="114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  <c r="AC355" s="108"/>
    </row>
    <row r="356" customFormat="false" ht="15.75" hidden="false" customHeight="true" outlineLevel="0" collapsed="false">
      <c r="A356" s="108" t="s">
        <v>1628</v>
      </c>
      <c r="B356" s="123"/>
      <c r="C356" s="120" t="s">
        <v>1629</v>
      </c>
      <c r="D356" s="110"/>
      <c r="E356" s="108" t="s">
        <v>808</v>
      </c>
      <c r="F356" s="114"/>
      <c r="G356" s="120" t="s">
        <v>1630</v>
      </c>
      <c r="H356" s="123"/>
      <c r="I356" s="111" t="n">
        <v>4899</v>
      </c>
      <c r="J356" s="110"/>
      <c r="K356" s="120" t="s">
        <v>1621</v>
      </c>
      <c r="L356" s="110"/>
      <c r="M356" s="112" t="n">
        <v>52</v>
      </c>
      <c r="N356" s="123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</row>
    <row r="357" customFormat="false" ht="15.75" hidden="false" customHeight="true" outlineLevel="0" collapsed="false">
      <c r="A357" s="108" t="s">
        <v>1631</v>
      </c>
      <c r="B357" s="114"/>
      <c r="C357" s="120" t="s">
        <v>1632</v>
      </c>
      <c r="D357" s="110"/>
      <c r="E357" s="108" t="s">
        <v>808</v>
      </c>
      <c r="F357" s="114"/>
      <c r="G357" s="120" t="s">
        <v>1630</v>
      </c>
      <c r="H357" s="114"/>
      <c r="I357" s="111" t="n">
        <v>4899</v>
      </c>
      <c r="J357" s="110"/>
      <c r="K357" s="120" t="s">
        <v>1621</v>
      </c>
      <c r="L357" s="110"/>
      <c r="M357" s="112" t="n">
        <v>52</v>
      </c>
      <c r="N357" s="114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</row>
    <row r="358" customFormat="false" ht="15.75" hidden="false" customHeight="true" outlineLevel="0" collapsed="false">
      <c r="A358" s="108" t="s">
        <v>1633</v>
      </c>
      <c r="B358" s="114"/>
      <c r="C358" s="120" t="s">
        <v>1634</v>
      </c>
      <c r="D358" s="110"/>
      <c r="E358" s="108" t="s">
        <v>808</v>
      </c>
      <c r="F358" s="114"/>
      <c r="G358" s="120" t="s">
        <v>1630</v>
      </c>
      <c r="H358" s="114"/>
      <c r="I358" s="111" t="n">
        <v>4899</v>
      </c>
      <c r="J358" s="110"/>
      <c r="K358" s="120" t="s">
        <v>1621</v>
      </c>
      <c r="L358" s="110"/>
      <c r="M358" s="112" t="n">
        <v>52</v>
      </c>
      <c r="N358" s="114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</row>
    <row r="359" customFormat="false" ht="15.75" hidden="false" customHeight="true" outlineLevel="0" collapsed="false">
      <c r="A359" s="108" t="s">
        <v>1635</v>
      </c>
      <c r="B359" s="114"/>
      <c r="C359" s="120" t="s">
        <v>1636</v>
      </c>
      <c r="D359" s="110"/>
      <c r="E359" s="108" t="s">
        <v>844</v>
      </c>
      <c r="F359" s="114"/>
      <c r="G359" s="120" t="s">
        <v>968</v>
      </c>
      <c r="H359" s="114"/>
      <c r="I359" s="111" t="n">
        <v>5039</v>
      </c>
      <c r="J359" s="110"/>
      <c r="K359" s="120" t="s">
        <v>1637</v>
      </c>
      <c r="L359" s="110"/>
      <c r="M359" s="112" t="n">
        <v>53</v>
      </c>
      <c r="N359" s="114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</row>
    <row r="360" customFormat="false" ht="15.75" hidden="false" customHeight="true" outlineLevel="0" collapsed="false">
      <c r="A360" s="108" t="s">
        <v>1638</v>
      </c>
      <c r="B360" s="114"/>
      <c r="C360" s="120" t="s">
        <v>1639</v>
      </c>
      <c r="D360" s="110"/>
      <c r="E360" s="108" t="s">
        <v>844</v>
      </c>
      <c r="F360" s="114"/>
      <c r="G360" s="120" t="s">
        <v>968</v>
      </c>
      <c r="H360" s="114"/>
      <c r="I360" s="111" t="n">
        <v>5039</v>
      </c>
      <c r="J360" s="110"/>
      <c r="K360" s="120" t="s">
        <v>1637</v>
      </c>
      <c r="L360" s="110"/>
      <c r="M360" s="112" t="n">
        <v>53</v>
      </c>
      <c r="N360" s="114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  <c r="AC360" s="108"/>
    </row>
    <row r="361" customFormat="false" ht="15.75" hidden="false" customHeight="true" outlineLevel="0" collapsed="false">
      <c r="A361" s="108" t="s">
        <v>1640</v>
      </c>
      <c r="B361" s="114"/>
      <c r="C361" s="120" t="s">
        <v>1641</v>
      </c>
      <c r="D361" s="110"/>
      <c r="E361" s="108" t="s">
        <v>844</v>
      </c>
      <c r="F361" s="114"/>
      <c r="G361" s="120" t="s">
        <v>968</v>
      </c>
      <c r="H361" s="114"/>
      <c r="I361" s="111" t="n">
        <v>5039</v>
      </c>
      <c r="J361" s="110"/>
      <c r="K361" s="120" t="s">
        <v>1637</v>
      </c>
      <c r="L361" s="110"/>
      <c r="M361" s="112" t="n">
        <v>53</v>
      </c>
      <c r="N361" s="114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</row>
    <row r="362" customFormat="false" ht="15.75" hidden="false" customHeight="true" outlineLevel="0" collapsed="false">
      <c r="A362" s="108" t="s">
        <v>1642</v>
      </c>
      <c r="B362" s="114"/>
      <c r="C362" s="120" t="s">
        <v>1643</v>
      </c>
      <c r="D362" s="110"/>
      <c r="E362" s="108" t="s">
        <v>844</v>
      </c>
      <c r="F362" s="114"/>
      <c r="G362" s="120" t="s">
        <v>1046</v>
      </c>
      <c r="H362" s="114"/>
      <c r="I362" s="111" t="n">
        <v>5039</v>
      </c>
      <c r="J362" s="110"/>
      <c r="K362" s="120" t="s">
        <v>1637</v>
      </c>
      <c r="L362" s="110"/>
      <c r="M362" s="112" t="n">
        <v>53</v>
      </c>
      <c r="N362" s="114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</row>
    <row r="363" customFormat="false" ht="15.75" hidden="false" customHeight="true" outlineLevel="0" collapsed="false">
      <c r="A363" s="108" t="s">
        <v>1644</v>
      </c>
      <c r="B363" s="114"/>
      <c r="C363" s="120" t="s">
        <v>1645</v>
      </c>
      <c r="D363" s="110"/>
      <c r="E363" s="108" t="s">
        <v>844</v>
      </c>
      <c r="F363" s="114"/>
      <c r="G363" s="120" t="s">
        <v>1046</v>
      </c>
      <c r="H363" s="114"/>
      <c r="I363" s="111" t="n">
        <v>5039</v>
      </c>
      <c r="J363" s="110"/>
      <c r="K363" s="120" t="s">
        <v>1637</v>
      </c>
      <c r="L363" s="110"/>
      <c r="M363" s="112" t="n">
        <v>53</v>
      </c>
      <c r="N363" s="114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</row>
    <row r="364" customFormat="false" ht="15.75" hidden="false" customHeight="true" outlineLevel="0" collapsed="false">
      <c r="A364" s="108" t="s">
        <v>1646</v>
      </c>
      <c r="B364" s="114"/>
      <c r="C364" s="120" t="s">
        <v>1647</v>
      </c>
      <c r="D364" s="110"/>
      <c r="E364" s="108" t="s">
        <v>844</v>
      </c>
      <c r="F364" s="114"/>
      <c r="G364" s="120" t="s">
        <v>1046</v>
      </c>
      <c r="H364" s="114"/>
      <c r="I364" s="111" t="n">
        <v>5039</v>
      </c>
      <c r="J364" s="110"/>
      <c r="K364" s="120" t="s">
        <v>1637</v>
      </c>
      <c r="L364" s="110"/>
      <c r="M364" s="112" t="n">
        <v>53</v>
      </c>
      <c r="N364" s="114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</row>
    <row r="365" customFormat="false" ht="15.75" hidden="false" customHeight="true" outlineLevel="0" collapsed="false">
      <c r="A365" s="108" t="s">
        <v>1648</v>
      </c>
      <c r="B365" s="114"/>
      <c r="C365" s="120" t="s">
        <v>1649</v>
      </c>
      <c r="D365" s="110"/>
      <c r="E365" s="108" t="s">
        <v>844</v>
      </c>
      <c r="F365" s="114"/>
      <c r="G365" s="120" t="s">
        <v>1046</v>
      </c>
      <c r="H365" s="114"/>
      <c r="I365" s="111" t="n">
        <v>5039</v>
      </c>
      <c r="J365" s="110"/>
      <c r="K365" s="120" t="s">
        <v>1637</v>
      </c>
      <c r="L365" s="110"/>
      <c r="M365" s="112" t="n">
        <v>53</v>
      </c>
      <c r="N365" s="114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</row>
    <row r="366" customFormat="false" ht="15.75" hidden="false" customHeight="true" outlineLevel="0" collapsed="false">
      <c r="A366" s="108" t="s">
        <v>1650</v>
      </c>
      <c r="B366" s="114"/>
      <c r="C366" s="120" t="s">
        <v>1651</v>
      </c>
      <c r="D366" s="110"/>
      <c r="E366" s="108" t="s">
        <v>844</v>
      </c>
      <c r="F366" s="114"/>
      <c r="G366" s="120" t="s">
        <v>1046</v>
      </c>
      <c r="H366" s="114"/>
      <c r="I366" s="111" t="n">
        <v>5039</v>
      </c>
      <c r="J366" s="110"/>
      <c r="K366" s="120" t="s">
        <v>1637</v>
      </c>
      <c r="L366" s="110"/>
      <c r="M366" s="112" t="n">
        <v>53</v>
      </c>
      <c r="N366" s="114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</row>
    <row r="367" customFormat="false" ht="15.75" hidden="false" customHeight="true" outlineLevel="0" collapsed="false">
      <c r="A367" s="108" t="s">
        <v>1652</v>
      </c>
      <c r="B367" s="114"/>
      <c r="C367" s="120" t="s">
        <v>1653</v>
      </c>
      <c r="D367" s="110"/>
      <c r="E367" s="108" t="s">
        <v>844</v>
      </c>
      <c r="F367" s="114"/>
      <c r="G367" s="120" t="s">
        <v>1046</v>
      </c>
      <c r="H367" s="114"/>
      <c r="I367" s="111" t="n">
        <v>5039</v>
      </c>
      <c r="J367" s="110"/>
      <c r="K367" s="120" t="s">
        <v>1637</v>
      </c>
      <c r="L367" s="110"/>
      <c r="M367" s="112" t="n">
        <v>53</v>
      </c>
      <c r="N367" s="114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</row>
    <row r="368" customFormat="false" ht="15.75" hidden="false" customHeight="true" outlineLevel="0" collapsed="false">
      <c r="A368" s="108" t="s">
        <v>1654</v>
      </c>
      <c r="B368" s="114"/>
      <c r="C368" s="120" t="s">
        <v>1655</v>
      </c>
      <c r="D368" s="110"/>
      <c r="E368" s="108" t="s">
        <v>844</v>
      </c>
      <c r="F368" s="114"/>
      <c r="G368" s="120" t="s">
        <v>1046</v>
      </c>
      <c r="H368" s="114"/>
      <c r="I368" s="111" t="n">
        <v>5039</v>
      </c>
      <c r="J368" s="110"/>
      <c r="K368" s="120" t="s">
        <v>1637</v>
      </c>
      <c r="L368" s="110"/>
      <c r="M368" s="112" t="n">
        <v>53</v>
      </c>
      <c r="N368" s="114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</row>
    <row r="369" customFormat="false" ht="15.75" hidden="false" customHeight="true" outlineLevel="0" collapsed="false">
      <c r="A369" s="108" t="s">
        <v>1656</v>
      </c>
      <c r="B369" s="114"/>
      <c r="C369" s="120" t="s">
        <v>1657</v>
      </c>
      <c r="D369" s="110"/>
      <c r="E369" s="108" t="s">
        <v>844</v>
      </c>
      <c r="F369" s="114"/>
      <c r="G369" s="120" t="s">
        <v>1046</v>
      </c>
      <c r="H369" s="114"/>
      <c r="I369" s="111" t="n">
        <v>5039</v>
      </c>
      <c r="J369" s="110"/>
      <c r="K369" s="120" t="s">
        <v>1637</v>
      </c>
      <c r="L369" s="110"/>
      <c r="M369" s="112" t="n">
        <v>53</v>
      </c>
      <c r="N369" s="114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</row>
    <row r="370" customFormat="false" ht="15.75" hidden="false" customHeight="true" outlineLevel="0" collapsed="false">
      <c r="A370" s="108" t="s">
        <v>1658</v>
      </c>
      <c r="B370" s="114"/>
      <c r="C370" s="120" t="s">
        <v>1659</v>
      </c>
      <c r="D370" s="110"/>
      <c r="E370" s="108" t="s">
        <v>844</v>
      </c>
      <c r="F370" s="114"/>
      <c r="G370" s="120" t="s">
        <v>1046</v>
      </c>
      <c r="H370" s="114"/>
      <c r="I370" s="111" t="n">
        <v>5039</v>
      </c>
      <c r="J370" s="110"/>
      <c r="K370" s="120" t="s">
        <v>1637</v>
      </c>
      <c r="L370" s="110"/>
      <c r="M370" s="112" t="n">
        <v>53</v>
      </c>
      <c r="N370" s="114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</row>
    <row r="371" customFormat="false" ht="15.75" hidden="false" customHeight="true" outlineLevel="0" collapsed="false">
      <c r="A371" s="108" t="s">
        <v>1660</v>
      </c>
      <c r="B371" s="114"/>
      <c r="C371" s="120" t="s">
        <v>1661</v>
      </c>
      <c r="D371" s="110"/>
      <c r="E371" s="108" t="s">
        <v>844</v>
      </c>
      <c r="F371" s="114"/>
      <c r="G371" s="120" t="s">
        <v>1046</v>
      </c>
      <c r="H371" s="114"/>
      <c r="I371" s="111" t="n">
        <v>5039</v>
      </c>
      <c r="J371" s="110"/>
      <c r="K371" s="120" t="s">
        <v>1637</v>
      </c>
      <c r="L371" s="110"/>
      <c r="M371" s="112" t="n">
        <v>53</v>
      </c>
      <c r="N371" s="114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</row>
    <row r="372" customFormat="false" ht="15.75" hidden="false" customHeight="true" outlineLevel="0" collapsed="false">
      <c r="A372" s="108" t="s">
        <v>1662</v>
      </c>
      <c r="B372" s="114"/>
      <c r="C372" s="120" t="s">
        <v>1663</v>
      </c>
      <c r="D372" s="110"/>
      <c r="E372" s="108" t="s">
        <v>844</v>
      </c>
      <c r="F372" s="114"/>
      <c r="G372" s="120" t="s">
        <v>1046</v>
      </c>
      <c r="H372" s="114"/>
      <c r="I372" s="111" t="n">
        <v>5039</v>
      </c>
      <c r="J372" s="110"/>
      <c r="K372" s="120" t="s">
        <v>1637</v>
      </c>
      <c r="L372" s="110"/>
      <c r="M372" s="112" t="n">
        <v>53</v>
      </c>
      <c r="N372" s="114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</row>
    <row r="373" customFormat="false" ht="15.75" hidden="false" customHeight="true" outlineLevel="0" collapsed="false">
      <c r="A373" s="108" t="s">
        <v>1664</v>
      </c>
      <c r="B373" s="114"/>
      <c r="C373" s="120" t="s">
        <v>1665</v>
      </c>
      <c r="D373" s="110"/>
      <c r="E373" s="108" t="s">
        <v>844</v>
      </c>
      <c r="F373" s="114"/>
      <c r="G373" s="120" t="s">
        <v>1046</v>
      </c>
      <c r="H373" s="114"/>
      <c r="I373" s="111" t="n">
        <v>5039</v>
      </c>
      <c r="J373" s="110"/>
      <c r="K373" s="120" t="s">
        <v>1637</v>
      </c>
      <c r="L373" s="110"/>
      <c r="M373" s="112" t="n">
        <v>53</v>
      </c>
      <c r="N373" s="114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</row>
    <row r="374" customFormat="false" ht="15.75" hidden="false" customHeight="true" outlineLevel="0" collapsed="false">
      <c r="A374" s="108" t="s">
        <v>1666</v>
      </c>
      <c r="B374" s="114"/>
      <c r="C374" s="120" t="s">
        <v>1667</v>
      </c>
      <c r="D374" s="110"/>
      <c r="E374" s="108" t="s">
        <v>844</v>
      </c>
      <c r="F374" s="114"/>
      <c r="G374" s="120" t="s">
        <v>1046</v>
      </c>
      <c r="H374" s="114"/>
      <c r="I374" s="111" t="n">
        <v>5039</v>
      </c>
      <c r="J374" s="110"/>
      <c r="K374" s="120" t="s">
        <v>1637</v>
      </c>
      <c r="L374" s="110"/>
      <c r="M374" s="112" t="n">
        <v>53</v>
      </c>
      <c r="N374" s="114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</row>
    <row r="375" customFormat="false" ht="15.75" hidden="false" customHeight="true" outlineLevel="0" collapsed="false">
      <c r="A375" s="108" t="s">
        <v>1668</v>
      </c>
      <c r="B375" s="114"/>
      <c r="C375" s="120" t="s">
        <v>1669</v>
      </c>
      <c r="D375" s="110"/>
      <c r="E375" s="108" t="s">
        <v>844</v>
      </c>
      <c r="F375" s="114"/>
      <c r="G375" s="120" t="s">
        <v>1046</v>
      </c>
      <c r="H375" s="114"/>
      <c r="I375" s="111" t="n">
        <v>5039</v>
      </c>
      <c r="J375" s="110"/>
      <c r="K375" s="120" t="s">
        <v>1637</v>
      </c>
      <c r="L375" s="110"/>
      <c r="M375" s="112" t="n">
        <v>53</v>
      </c>
      <c r="N375" s="114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</row>
    <row r="376" customFormat="false" ht="15.75" hidden="false" customHeight="true" outlineLevel="0" collapsed="false">
      <c r="A376" s="108" t="s">
        <v>1670</v>
      </c>
      <c r="B376" s="114"/>
      <c r="C376" s="120" t="s">
        <v>1671</v>
      </c>
      <c r="D376" s="110"/>
      <c r="E376" s="108" t="s">
        <v>844</v>
      </c>
      <c r="F376" s="114"/>
      <c r="G376" s="120" t="s">
        <v>1046</v>
      </c>
      <c r="H376" s="114"/>
      <c r="I376" s="111" t="n">
        <v>5039</v>
      </c>
      <c r="J376" s="110"/>
      <c r="K376" s="120" t="s">
        <v>1637</v>
      </c>
      <c r="L376" s="110"/>
      <c r="M376" s="112" t="n">
        <v>53</v>
      </c>
      <c r="N376" s="114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</row>
    <row r="377" customFormat="false" ht="15.75" hidden="false" customHeight="true" outlineLevel="0" collapsed="false">
      <c r="A377" s="108" t="s">
        <v>1672</v>
      </c>
      <c r="B377" s="114"/>
      <c r="C377" s="120" t="s">
        <v>1673</v>
      </c>
      <c r="D377" s="110"/>
      <c r="E377" s="108" t="s">
        <v>844</v>
      </c>
      <c r="F377" s="114"/>
      <c r="G377" s="120" t="s">
        <v>1046</v>
      </c>
      <c r="H377" s="114"/>
      <c r="I377" s="111" t="n">
        <v>5039</v>
      </c>
      <c r="J377" s="110"/>
      <c r="K377" s="120" t="s">
        <v>1637</v>
      </c>
      <c r="L377" s="110"/>
      <c r="M377" s="112" t="n">
        <v>53</v>
      </c>
      <c r="N377" s="114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</row>
    <row r="378" customFormat="false" ht="15.75" hidden="false" customHeight="true" outlineLevel="0" collapsed="false">
      <c r="A378" s="108" t="s">
        <v>1674</v>
      </c>
      <c r="B378" s="114"/>
      <c r="C378" s="120" t="s">
        <v>1675</v>
      </c>
      <c r="D378" s="110"/>
      <c r="E378" s="108" t="s">
        <v>821</v>
      </c>
      <c r="F378" s="114"/>
      <c r="G378" s="120" t="s">
        <v>830</v>
      </c>
      <c r="H378" s="114"/>
      <c r="I378" s="111" t="n">
        <v>5039</v>
      </c>
      <c r="J378" s="110"/>
      <c r="K378" s="120" t="s">
        <v>1637</v>
      </c>
      <c r="L378" s="110"/>
      <c r="M378" s="112" t="n">
        <v>53</v>
      </c>
      <c r="N378" s="114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</row>
    <row r="379" customFormat="false" ht="15.75" hidden="false" customHeight="true" outlineLevel="0" collapsed="false">
      <c r="A379" s="108" t="s">
        <v>1676</v>
      </c>
      <c r="B379" s="114"/>
      <c r="C379" s="120" t="s">
        <v>1677</v>
      </c>
      <c r="D379" s="110"/>
      <c r="E379" s="108" t="s">
        <v>821</v>
      </c>
      <c r="F379" s="114"/>
      <c r="G379" s="120" t="s">
        <v>830</v>
      </c>
      <c r="H379" s="114"/>
      <c r="I379" s="111" t="n">
        <v>5039</v>
      </c>
      <c r="J379" s="110"/>
      <c r="K379" s="120" t="s">
        <v>1637</v>
      </c>
      <c r="L379" s="110"/>
      <c r="M379" s="112" t="n">
        <v>53</v>
      </c>
      <c r="N379" s="114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</row>
    <row r="380" customFormat="false" ht="15.75" hidden="false" customHeight="true" outlineLevel="0" collapsed="false">
      <c r="A380" s="108" t="s">
        <v>1678</v>
      </c>
      <c r="B380" s="114"/>
      <c r="C380" s="120" t="s">
        <v>1679</v>
      </c>
      <c r="D380" s="110"/>
      <c r="E380" s="108" t="s">
        <v>821</v>
      </c>
      <c r="F380" s="114"/>
      <c r="G380" s="120" t="s">
        <v>830</v>
      </c>
      <c r="H380" s="114"/>
      <c r="I380" s="111" t="n">
        <v>5039</v>
      </c>
      <c r="J380" s="110"/>
      <c r="K380" s="120" t="s">
        <v>1637</v>
      </c>
      <c r="L380" s="110"/>
      <c r="M380" s="112" t="n">
        <v>53</v>
      </c>
      <c r="N380" s="114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</row>
    <row r="381" customFormat="false" ht="15.75" hidden="false" customHeight="true" outlineLevel="0" collapsed="false">
      <c r="A381" s="108" t="s">
        <v>1680</v>
      </c>
      <c r="B381" s="114"/>
      <c r="C381" s="120" t="s">
        <v>1681</v>
      </c>
      <c r="D381" s="110"/>
      <c r="E381" s="108" t="s">
        <v>821</v>
      </c>
      <c r="F381" s="114"/>
      <c r="G381" s="120" t="s">
        <v>830</v>
      </c>
      <c r="H381" s="114"/>
      <c r="I381" s="111" t="n">
        <v>5039</v>
      </c>
      <c r="J381" s="110"/>
      <c r="K381" s="120" t="s">
        <v>1637</v>
      </c>
      <c r="L381" s="110"/>
      <c r="M381" s="112" t="n">
        <v>53</v>
      </c>
      <c r="N381" s="114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</row>
    <row r="382" customFormat="false" ht="15.75" hidden="false" customHeight="true" outlineLevel="0" collapsed="false">
      <c r="A382" s="108" t="s">
        <v>1682</v>
      </c>
      <c r="B382" s="114"/>
      <c r="C382" s="120" t="s">
        <v>1683</v>
      </c>
      <c r="D382" s="110"/>
      <c r="E382" s="108" t="s">
        <v>821</v>
      </c>
      <c r="F382" s="114"/>
      <c r="G382" s="120" t="s">
        <v>830</v>
      </c>
      <c r="H382" s="114"/>
      <c r="I382" s="111" t="n">
        <v>5039</v>
      </c>
      <c r="J382" s="110"/>
      <c r="K382" s="120" t="s">
        <v>1637</v>
      </c>
      <c r="L382" s="110"/>
      <c r="M382" s="112" t="n">
        <v>53</v>
      </c>
      <c r="N382" s="114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</row>
    <row r="383" customFormat="false" ht="15.75" hidden="false" customHeight="true" outlineLevel="0" collapsed="false">
      <c r="A383" s="108" t="s">
        <v>1684</v>
      </c>
      <c r="B383" s="114"/>
      <c r="C383" s="120" t="s">
        <v>1685</v>
      </c>
      <c r="D383" s="110"/>
      <c r="E383" s="108" t="s">
        <v>821</v>
      </c>
      <c r="F383" s="114"/>
      <c r="G383" s="120" t="s">
        <v>830</v>
      </c>
      <c r="H383" s="114"/>
      <c r="I383" s="111" t="n">
        <v>5039</v>
      </c>
      <c r="J383" s="110"/>
      <c r="K383" s="120" t="s">
        <v>1637</v>
      </c>
      <c r="L383" s="110"/>
      <c r="M383" s="112" t="n">
        <v>53</v>
      </c>
      <c r="N383" s="114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</row>
    <row r="384" customFormat="false" ht="15.75" hidden="false" customHeight="true" outlineLevel="0" collapsed="false">
      <c r="A384" s="108" t="s">
        <v>1686</v>
      </c>
      <c r="B384" s="114"/>
      <c r="C384" s="120" t="s">
        <v>1687</v>
      </c>
      <c r="D384" s="110"/>
      <c r="E384" s="108" t="s">
        <v>844</v>
      </c>
      <c r="F384" s="114"/>
      <c r="G384" s="120" t="s">
        <v>1688</v>
      </c>
      <c r="H384" s="114"/>
      <c r="I384" s="111" t="n">
        <v>5046</v>
      </c>
      <c r="J384" s="110"/>
      <c r="K384" s="120" t="s">
        <v>1689</v>
      </c>
      <c r="L384" s="110"/>
      <c r="M384" s="112" t="n">
        <v>54</v>
      </c>
      <c r="N384" s="114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</row>
    <row r="385" customFormat="false" ht="15.75" hidden="false" customHeight="true" outlineLevel="0" collapsed="false">
      <c r="A385" s="108" t="s">
        <v>1690</v>
      </c>
      <c r="B385" s="114"/>
      <c r="C385" s="120" t="s">
        <v>1691</v>
      </c>
      <c r="D385" s="110"/>
      <c r="E385" s="108" t="s">
        <v>844</v>
      </c>
      <c r="F385" s="114"/>
      <c r="G385" s="120" t="s">
        <v>1688</v>
      </c>
      <c r="H385" s="114"/>
      <c r="I385" s="111" t="n">
        <v>5046</v>
      </c>
      <c r="J385" s="110"/>
      <c r="K385" s="120" t="s">
        <v>1689</v>
      </c>
      <c r="L385" s="110"/>
      <c r="M385" s="112" t="n">
        <v>54</v>
      </c>
      <c r="N385" s="114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</row>
    <row r="386" customFormat="false" ht="15.75" hidden="false" customHeight="true" outlineLevel="0" collapsed="false">
      <c r="A386" s="108" t="s">
        <v>1692</v>
      </c>
      <c r="B386" s="114"/>
      <c r="C386" s="120" t="s">
        <v>1693</v>
      </c>
      <c r="D386" s="110"/>
      <c r="E386" s="108" t="s">
        <v>844</v>
      </c>
      <c r="F386" s="114"/>
      <c r="G386" s="120" t="s">
        <v>1023</v>
      </c>
      <c r="H386" s="114"/>
      <c r="I386" s="111" t="n">
        <v>5046</v>
      </c>
      <c r="J386" s="110"/>
      <c r="K386" s="120" t="s">
        <v>1689</v>
      </c>
      <c r="L386" s="110"/>
      <c r="M386" s="112" t="n">
        <v>54</v>
      </c>
      <c r="N386" s="114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</row>
    <row r="387" customFormat="false" ht="15.75" hidden="false" customHeight="true" outlineLevel="0" collapsed="false">
      <c r="A387" s="108" t="s">
        <v>1694</v>
      </c>
      <c r="B387" s="114"/>
      <c r="C387" s="120" t="s">
        <v>1695</v>
      </c>
      <c r="D387" s="110"/>
      <c r="E387" s="108" t="s">
        <v>844</v>
      </c>
      <c r="F387" s="114"/>
      <c r="G387" s="120" t="s">
        <v>1023</v>
      </c>
      <c r="H387" s="114"/>
      <c r="I387" s="111" t="n">
        <v>5046</v>
      </c>
      <c r="J387" s="110"/>
      <c r="K387" s="120" t="s">
        <v>1689</v>
      </c>
      <c r="L387" s="110"/>
      <c r="M387" s="112" t="n">
        <v>54</v>
      </c>
      <c r="N387" s="114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</row>
    <row r="388" customFormat="false" ht="15.75" hidden="false" customHeight="true" outlineLevel="0" collapsed="false">
      <c r="A388" s="108" t="s">
        <v>1696</v>
      </c>
      <c r="B388" s="114"/>
      <c r="C388" s="120" t="s">
        <v>1697</v>
      </c>
      <c r="D388" s="110"/>
      <c r="E388" s="108" t="s">
        <v>844</v>
      </c>
      <c r="F388" s="114"/>
      <c r="G388" s="120" t="s">
        <v>1023</v>
      </c>
      <c r="H388" s="114"/>
      <c r="I388" s="111" t="n">
        <v>5046</v>
      </c>
      <c r="J388" s="110"/>
      <c r="K388" s="120" t="s">
        <v>1689</v>
      </c>
      <c r="L388" s="110"/>
      <c r="M388" s="112" t="n">
        <v>54</v>
      </c>
      <c r="N388" s="114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</row>
    <row r="389" customFormat="false" ht="15.75" hidden="false" customHeight="true" outlineLevel="0" collapsed="false">
      <c r="A389" s="108" t="s">
        <v>1698</v>
      </c>
      <c r="B389" s="114"/>
      <c r="C389" s="120" t="s">
        <v>1699</v>
      </c>
      <c r="D389" s="110"/>
      <c r="E389" s="108" t="s">
        <v>844</v>
      </c>
      <c r="F389" s="114"/>
      <c r="G389" s="120" t="s">
        <v>1023</v>
      </c>
      <c r="H389" s="114"/>
      <c r="I389" s="111" t="n">
        <v>5046</v>
      </c>
      <c r="J389" s="110"/>
      <c r="K389" s="120" t="s">
        <v>1689</v>
      </c>
      <c r="L389" s="110"/>
      <c r="M389" s="112" t="n">
        <v>54</v>
      </c>
      <c r="N389" s="114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</row>
    <row r="390" customFormat="false" ht="15.75" hidden="false" customHeight="true" outlineLevel="0" collapsed="false">
      <c r="A390" s="108" t="s">
        <v>1700</v>
      </c>
      <c r="B390" s="114"/>
      <c r="C390" s="120" t="s">
        <v>1701</v>
      </c>
      <c r="D390" s="110"/>
      <c r="E390" s="108" t="s">
        <v>844</v>
      </c>
      <c r="F390" s="114"/>
      <c r="G390" s="120" t="s">
        <v>1023</v>
      </c>
      <c r="H390" s="114"/>
      <c r="I390" s="111" t="n">
        <v>5046</v>
      </c>
      <c r="J390" s="110"/>
      <c r="K390" s="120" t="s">
        <v>1689</v>
      </c>
      <c r="L390" s="110"/>
      <c r="M390" s="112" t="n">
        <v>54</v>
      </c>
      <c r="N390" s="114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</row>
    <row r="391" customFormat="false" ht="15.75" hidden="false" customHeight="true" outlineLevel="0" collapsed="false">
      <c r="A391" s="108" t="s">
        <v>1702</v>
      </c>
      <c r="B391" s="114"/>
      <c r="C391" s="120" t="s">
        <v>1703</v>
      </c>
      <c r="D391" s="110"/>
      <c r="E391" s="108" t="s">
        <v>844</v>
      </c>
      <c r="F391" s="114"/>
      <c r="G391" s="120" t="s">
        <v>1023</v>
      </c>
      <c r="H391" s="114"/>
      <c r="I391" s="111" t="n">
        <v>5046</v>
      </c>
      <c r="J391" s="110"/>
      <c r="K391" s="120" t="s">
        <v>1689</v>
      </c>
      <c r="L391" s="110"/>
      <c r="M391" s="112" t="n">
        <v>54</v>
      </c>
      <c r="N391" s="114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</row>
    <row r="392" customFormat="false" ht="15.75" hidden="false" customHeight="true" outlineLevel="0" collapsed="false">
      <c r="A392" s="108" t="s">
        <v>1704</v>
      </c>
      <c r="B392" s="114"/>
      <c r="C392" s="120" t="s">
        <v>1705</v>
      </c>
      <c r="D392" s="110"/>
      <c r="E392" s="108" t="s">
        <v>844</v>
      </c>
      <c r="F392" s="114"/>
      <c r="G392" s="120" t="s">
        <v>1023</v>
      </c>
      <c r="H392" s="114"/>
      <c r="I392" s="111" t="n">
        <v>5046</v>
      </c>
      <c r="J392" s="110"/>
      <c r="K392" s="120" t="s">
        <v>1689</v>
      </c>
      <c r="L392" s="110"/>
      <c r="M392" s="112" t="n">
        <v>54</v>
      </c>
      <c r="N392" s="114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</row>
    <row r="393" customFormat="false" ht="15.75" hidden="false" customHeight="true" outlineLevel="0" collapsed="false">
      <c r="A393" s="108" t="s">
        <v>1706</v>
      </c>
      <c r="B393" s="114"/>
      <c r="C393" s="120" t="s">
        <v>1707</v>
      </c>
      <c r="D393" s="110"/>
      <c r="E393" s="108" t="s">
        <v>844</v>
      </c>
      <c r="F393" s="114"/>
      <c r="G393" s="120" t="s">
        <v>1023</v>
      </c>
      <c r="H393" s="114"/>
      <c r="I393" s="111" t="n">
        <v>5046</v>
      </c>
      <c r="J393" s="110"/>
      <c r="K393" s="120" t="s">
        <v>1689</v>
      </c>
      <c r="L393" s="110"/>
      <c r="M393" s="112" t="n">
        <v>54</v>
      </c>
      <c r="N393" s="114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</row>
    <row r="394" customFormat="false" ht="15.75" hidden="false" customHeight="true" outlineLevel="0" collapsed="false">
      <c r="A394" s="108" t="s">
        <v>1708</v>
      </c>
      <c r="B394" s="114"/>
      <c r="C394" s="120" t="s">
        <v>1709</v>
      </c>
      <c r="D394" s="110"/>
      <c r="E394" s="108" t="s">
        <v>844</v>
      </c>
      <c r="F394" s="114"/>
      <c r="G394" s="120" t="s">
        <v>1023</v>
      </c>
      <c r="H394" s="114"/>
      <c r="I394" s="111" t="n">
        <v>5046</v>
      </c>
      <c r="J394" s="110"/>
      <c r="K394" s="120" t="s">
        <v>1689</v>
      </c>
      <c r="L394" s="110"/>
      <c r="M394" s="112" t="n">
        <v>54</v>
      </c>
      <c r="N394" s="114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</row>
    <row r="395" customFormat="false" ht="15.75" hidden="false" customHeight="true" outlineLevel="0" collapsed="false">
      <c r="A395" s="108" t="s">
        <v>1710</v>
      </c>
      <c r="B395" s="114"/>
      <c r="C395" s="120" t="s">
        <v>1711</v>
      </c>
      <c r="D395" s="110"/>
      <c r="E395" s="108" t="s">
        <v>844</v>
      </c>
      <c r="F395" s="114"/>
      <c r="G395" s="120" t="s">
        <v>1023</v>
      </c>
      <c r="H395" s="114"/>
      <c r="I395" s="111" t="n">
        <v>5046</v>
      </c>
      <c r="J395" s="110"/>
      <c r="K395" s="120" t="s">
        <v>1689</v>
      </c>
      <c r="L395" s="110"/>
      <c r="M395" s="112" t="n">
        <v>54</v>
      </c>
      <c r="N395" s="114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</row>
    <row r="396" customFormat="false" ht="15.75" hidden="false" customHeight="true" outlineLevel="0" collapsed="false">
      <c r="A396" s="108" t="s">
        <v>1712</v>
      </c>
      <c r="B396" s="114"/>
      <c r="C396" s="120" t="s">
        <v>1713</v>
      </c>
      <c r="D396" s="110"/>
      <c r="E396" s="108" t="s">
        <v>844</v>
      </c>
      <c r="F396" s="114"/>
      <c r="G396" s="120" t="s">
        <v>1023</v>
      </c>
      <c r="H396" s="114"/>
      <c r="I396" s="111" t="n">
        <v>5046</v>
      </c>
      <c r="J396" s="110"/>
      <c r="K396" s="120" t="s">
        <v>1689</v>
      </c>
      <c r="L396" s="110"/>
      <c r="M396" s="112" t="n">
        <v>54</v>
      </c>
      <c r="N396" s="114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</row>
    <row r="397" customFormat="false" ht="15.75" hidden="false" customHeight="true" outlineLevel="0" collapsed="false">
      <c r="A397" s="108" t="s">
        <v>1714</v>
      </c>
      <c r="B397" s="114"/>
      <c r="C397" s="120" t="s">
        <v>1715</v>
      </c>
      <c r="D397" s="110"/>
      <c r="E397" s="108" t="s">
        <v>844</v>
      </c>
      <c r="F397" s="114"/>
      <c r="G397" s="120" t="s">
        <v>1023</v>
      </c>
      <c r="H397" s="114"/>
      <c r="I397" s="111" t="n">
        <v>5046</v>
      </c>
      <c r="J397" s="110"/>
      <c r="K397" s="120" t="s">
        <v>1689</v>
      </c>
      <c r="L397" s="110"/>
      <c r="M397" s="112" t="n">
        <v>54</v>
      </c>
      <c r="N397" s="114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</row>
    <row r="398" customFormat="false" ht="15.75" hidden="false" customHeight="true" outlineLevel="0" collapsed="false">
      <c r="A398" s="108" t="s">
        <v>1716</v>
      </c>
      <c r="B398" s="114"/>
      <c r="C398" s="120" t="s">
        <v>1717</v>
      </c>
      <c r="D398" s="110"/>
      <c r="E398" s="108" t="s">
        <v>844</v>
      </c>
      <c r="F398" s="114"/>
      <c r="G398" s="120" t="s">
        <v>1023</v>
      </c>
      <c r="H398" s="114"/>
      <c r="I398" s="111" t="n">
        <v>5046</v>
      </c>
      <c r="J398" s="110"/>
      <c r="K398" s="120" t="s">
        <v>1689</v>
      </c>
      <c r="L398" s="110"/>
      <c r="M398" s="112" t="n">
        <v>54</v>
      </c>
      <c r="N398" s="114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</row>
    <row r="399" customFormat="false" ht="15.75" hidden="false" customHeight="true" outlineLevel="0" collapsed="false">
      <c r="A399" s="108" t="s">
        <v>1718</v>
      </c>
      <c r="B399" s="114"/>
      <c r="C399" s="120" t="s">
        <v>1719</v>
      </c>
      <c r="D399" s="110"/>
      <c r="E399" s="108" t="s">
        <v>844</v>
      </c>
      <c r="F399" s="114"/>
      <c r="G399" s="120" t="s">
        <v>1023</v>
      </c>
      <c r="H399" s="114"/>
      <c r="I399" s="111" t="n">
        <v>5046</v>
      </c>
      <c r="J399" s="110"/>
      <c r="K399" s="120" t="s">
        <v>1689</v>
      </c>
      <c r="L399" s="110"/>
      <c r="M399" s="112" t="n">
        <v>54</v>
      </c>
      <c r="N399" s="114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</row>
    <row r="400" customFormat="false" ht="15.75" hidden="false" customHeight="true" outlineLevel="0" collapsed="false">
      <c r="A400" s="108" t="s">
        <v>1720</v>
      </c>
      <c r="B400" s="114"/>
      <c r="C400" s="120" t="s">
        <v>1721</v>
      </c>
      <c r="D400" s="110"/>
      <c r="E400" s="108" t="s">
        <v>844</v>
      </c>
      <c r="F400" s="114"/>
      <c r="G400" s="120" t="s">
        <v>1023</v>
      </c>
      <c r="H400" s="114"/>
      <c r="I400" s="111" t="n">
        <v>5046</v>
      </c>
      <c r="J400" s="110"/>
      <c r="K400" s="120" t="s">
        <v>1689</v>
      </c>
      <c r="L400" s="110"/>
      <c r="M400" s="112" t="n">
        <v>54</v>
      </c>
      <c r="N400" s="114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</row>
    <row r="401" customFormat="false" ht="15.75" hidden="false" customHeight="true" outlineLevel="0" collapsed="false">
      <c r="A401" s="108" t="s">
        <v>1722</v>
      </c>
      <c r="B401" s="114"/>
      <c r="C401" s="120" t="s">
        <v>1723</v>
      </c>
      <c r="D401" s="110"/>
      <c r="E401" s="108" t="s">
        <v>844</v>
      </c>
      <c r="F401" s="114"/>
      <c r="G401" s="120" t="s">
        <v>1023</v>
      </c>
      <c r="H401" s="114"/>
      <c r="I401" s="111" t="n">
        <v>5046</v>
      </c>
      <c r="J401" s="110"/>
      <c r="K401" s="120" t="s">
        <v>1689</v>
      </c>
      <c r="L401" s="110"/>
      <c r="M401" s="112" t="n">
        <v>54</v>
      </c>
      <c r="N401" s="114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</row>
    <row r="402" customFormat="false" ht="15.75" hidden="false" customHeight="true" outlineLevel="0" collapsed="false">
      <c r="A402" s="108" t="s">
        <v>1724</v>
      </c>
      <c r="B402" s="114"/>
      <c r="C402" s="120" t="s">
        <v>1725</v>
      </c>
      <c r="D402" s="110"/>
      <c r="E402" s="108" t="s">
        <v>844</v>
      </c>
      <c r="F402" s="114"/>
      <c r="G402" s="120" t="s">
        <v>1023</v>
      </c>
      <c r="H402" s="114"/>
      <c r="I402" s="111" t="n">
        <v>5046</v>
      </c>
      <c r="J402" s="110"/>
      <c r="K402" s="120" t="s">
        <v>1689</v>
      </c>
      <c r="L402" s="110"/>
      <c r="M402" s="112" t="n">
        <v>54</v>
      </c>
      <c r="N402" s="114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</row>
    <row r="403" customFormat="false" ht="15.75" hidden="false" customHeight="true" outlineLevel="0" collapsed="false">
      <c r="A403" s="108" t="s">
        <v>1726</v>
      </c>
      <c r="B403" s="114"/>
      <c r="C403" s="120" t="s">
        <v>1727</v>
      </c>
      <c r="D403" s="110"/>
      <c r="E403" s="108" t="s">
        <v>844</v>
      </c>
      <c r="F403" s="114"/>
      <c r="G403" s="120" t="s">
        <v>1023</v>
      </c>
      <c r="H403" s="114"/>
      <c r="I403" s="111" t="n">
        <v>5046</v>
      </c>
      <c r="J403" s="110"/>
      <c r="K403" s="120" t="s">
        <v>1689</v>
      </c>
      <c r="L403" s="110"/>
      <c r="M403" s="112" t="n">
        <v>54</v>
      </c>
      <c r="N403" s="114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</row>
    <row r="404" customFormat="false" ht="15.75" hidden="false" customHeight="true" outlineLevel="0" collapsed="false">
      <c r="A404" s="108" t="s">
        <v>1728</v>
      </c>
      <c r="B404" s="114"/>
      <c r="C404" s="120" t="s">
        <v>1729</v>
      </c>
      <c r="D404" s="110"/>
      <c r="E404" s="108" t="s">
        <v>844</v>
      </c>
      <c r="F404" s="114"/>
      <c r="G404" s="120" t="s">
        <v>1023</v>
      </c>
      <c r="H404" s="114"/>
      <c r="I404" s="111" t="n">
        <v>5046</v>
      </c>
      <c r="J404" s="110"/>
      <c r="K404" s="120" t="s">
        <v>1689</v>
      </c>
      <c r="L404" s="110"/>
      <c r="M404" s="112" t="n">
        <v>54</v>
      </c>
      <c r="N404" s="114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</row>
    <row r="405" customFormat="false" ht="15.75" hidden="false" customHeight="true" outlineLevel="0" collapsed="false">
      <c r="A405" s="108" t="s">
        <v>1730</v>
      </c>
      <c r="B405" s="114"/>
      <c r="C405" s="120" t="s">
        <v>1731</v>
      </c>
      <c r="D405" s="110"/>
      <c r="E405" s="108" t="s">
        <v>844</v>
      </c>
      <c r="F405" s="114"/>
      <c r="G405" s="120" t="s">
        <v>1023</v>
      </c>
      <c r="H405" s="114"/>
      <c r="I405" s="111" t="n">
        <v>5046</v>
      </c>
      <c r="J405" s="110"/>
      <c r="K405" s="120" t="s">
        <v>1689</v>
      </c>
      <c r="L405" s="110"/>
      <c r="M405" s="112" t="n">
        <v>54</v>
      </c>
      <c r="N405" s="114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</row>
    <row r="406" customFormat="false" ht="15.75" hidden="false" customHeight="true" outlineLevel="0" collapsed="false">
      <c r="A406" s="108" t="s">
        <v>1732</v>
      </c>
      <c r="B406" s="114"/>
      <c r="C406" s="120" t="s">
        <v>1733</v>
      </c>
      <c r="D406" s="110"/>
      <c r="E406" s="108" t="s">
        <v>821</v>
      </c>
      <c r="F406" s="114"/>
      <c r="G406" s="120" t="s">
        <v>830</v>
      </c>
      <c r="H406" s="114"/>
      <c r="I406" s="111" t="n">
        <v>5046</v>
      </c>
      <c r="J406" s="110"/>
      <c r="K406" s="120" t="s">
        <v>1689</v>
      </c>
      <c r="L406" s="110"/>
      <c r="M406" s="112" t="n">
        <v>54</v>
      </c>
      <c r="N406" s="114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</row>
    <row r="407" customFormat="false" ht="15.75" hidden="false" customHeight="true" outlineLevel="0" collapsed="false">
      <c r="A407" s="108" t="s">
        <v>1734</v>
      </c>
      <c r="B407" s="114"/>
      <c r="C407" s="120" t="s">
        <v>1735</v>
      </c>
      <c r="D407" s="110"/>
      <c r="E407" s="108" t="s">
        <v>821</v>
      </c>
      <c r="F407" s="114"/>
      <c r="G407" s="120" t="s">
        <v>830</v>
      </c>
      <c r="H407" s="114"/>
      <c r="I407" s="111" t="n">
        <v>5046</v>
      </c>
      <c r="J407" s="110"/>
      <c r="K407" s="120" t="s">
        <v>1689</v>
      </c>
      <c r="L407" s="110"/>
      <c r="M407" s="112" t="n">
        <v>54</v>
      </c>
      <c r="N407" s="114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</row>
    <row r="408" customFormat="false" ht="15.75" hidden="false" customHeight="true" outlineLevel="0" collapsed="false">
      <c r="A408" s="108" t="s">
        <v>1736</v>
      </c>
      <c r="B408" s="114"/>
      <c r="C408" s="120" t="s">
        <v>1737</v>
      </c>
      <c r="D408" s="110"/>
      <c r="E408" s="108" t="s">
        <v>844</v>
      </c>
      <c r="F408" s="114"/>
      <c r="G408" s="120" t="s">
        <v>1018</v>
      </c>
      <c r="H408" s="114"/>
      <c r="I408" s="111" t="n">
        <v>5047</v>
      </c>
      <c r="J408" s="110"/>
      <c r="K408" s="120" t="s">
        <v>1738</v>
      </c>
      <c r="L408" s="110"/>
      <c r="M408" s="112" t="n">
        <v>55</v>
      </c>
      <c r="N408" s="114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</row>
    <row r="409" customFormat="false" ht="15.75" hidden="false" customHeight="true" outlineLevel="0" collapsed="false">
      <c r="A409" s="108" t="s">
        <v>1739</v>
      </c>
      <c r="B409" s="114"/>
      <c r="C409" s="120" t="s">
        <v>1740</v>
      </c>
      <c r="D409" s="110"/>
      <c r="E409" s="108" t="s">
        <v>844</v>
      </c>
      <c r="F409" s="114"/>
      <c r="G409" s="120" t="s">
        <v>917</v>
      </c>
      <c r="H409" s="114"/>
      <c r="I409" s="111" t="n">
        <v>5047</v>
      </c>
      <c r="J409" s="110"/>
      <c r="K409" s="120" t="s">
        <v>1741</v>
      </c>
      <c r="L409" s="110"/>
      <c r="M409" s="112" t="n">
        <v>55</v>
      </c>
      <c r="N409" s="114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</row>
    <row r="410" customFormat="false" ht="15.75" hidden="false" customHeight="true" outlineLevel="0" collapsed="false">
      <c r="A410" s="108" t="s">
        <v>1742</v>
      </c>
      <c r="B410" s="114"/>
      <c r="C410" s="120" t="s">
        <v>1743</v>
      </c>
      <c r="D410" s="110"/>
      <c r="E410" s="108" t="s">
        <v>844</v>
      </c>
      <c r="F410" s="114"/>
      <c r="G410" s="120" t="s">
        <v>917</v>
      </c>
      <c r="H410" s="114"/>
      <c r="I410" s="111" t="n">
        <v>5047</v>
      </c>
      <c r="J410" s="110"/>
      <c r="K410" s="120" t="s">
        <v>1741</v>
      </c>
      <c r="L410" s="110"/>
      <c r="M410" s="112" t="n">
        <v>55</v>
      </c>
      <c r="N410" s="114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</row>
    <row r="411" customFormat="false" ht="15.75" hidden="false" customHeight="true" outlineLevel="0" collapsed="false">
      <c r="A411" s="108" t="s">
        <v>1744</v>
      </c>
      <c r="B411" s="114"/>
      <c r="C411" s="120" t="s">
        <v>1745</v>
      </c>
      <c r="D411" s="110"/>
      <c r="E411" s="108" t="s">
        <v>844</v>
      </c>
      <c r="F411" s="114"/>
      <c r="G411" s="120" t="s">
        <v>917</v>
      </c>
      <c r="H411" s="114"/>
      <c r="I411" s="111" t="n">
        <v>5047</v>
      </c>
      <c r="J411" s="110"/>
      <c r="K411" s="120" t="s">
        <v>1741</v>
      </c>
      <c r="L411" s="110"/>
      <c r="M411" s="112" t="n">
        <v>55</v>
      </c>
      <c r="N411" s="114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</row>
    <row r="412" customFormat="false" ht="15.75" hidden="false" customHeight="true" outlineLevel="0" collapsed="false">
      <c r="A412" s="108" t="s">
        <v>1746</v>
      </c>
      <c r="B412" s="114"/>
      <c r="C412" s="120" t="s">
        <v>1747</v>
      </c>
      <c r="D412" s="110"/>
      <c r="E412" s="108" t="s">
        <v>844</v>
      </c>
      <c r="F412" s="114"/>
      <c r="G412" s="120" t="s">
        <v>917</v>
      </c>
      <c r="H412" s="114"/>
      <c r="I412" s="111" t="n">
        <v>5047</v>
      </c>
      <c r="J412" s="110"/>
      <c r="K412" s="120" t="s">
        <v>1741</v>
      </c>
      <c r="L412" s="110"/>
      <c r="M412" s="112" t="n">
        <v>55</v>
      </c>
      <c r="N412" s="114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</row>
    <row r="413" customFormat="false" ht="15.75" hidden="false" customHeight="true" outlineLevel="0" collapsed="false">
      <c r="A413" s="108" t="s">
        <v>1748</v>
      </c>
      <c r="B413" s="114"/>
      <c r="C413" s="120" t="s">
        <v>1749</v>
      </c>
      <c r="D413" s="110"/>
      <c r="E413" s="108" t="s">
        <v>844</v>
      </c>
      <c r="F413" s="114"/>
      <c r="G413" s="120" t="s">
        <v>917</v>
      </c>
      <c r="H413" s="114"/>
      <c r="I413" s="111" t="n">
        <v>5047</v>
      </c>
      <c r="J413" s="110"/>
      <c r="K413" s="120" t="s">
        <v>1741</v>
      </c>
      <c r="L413" s="110"/>
      <c r="M413" s="112" t="n">
        <v>55</v>
      </c>
      <c r="N413" s="114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</row>
    <row r="414" customFormat="false" ht="15.75" hidden="false" customHeight="true" outlineLevel="0" collapsed="false">
      <c r="A414" s="108" t="s">
        <v>1750</v>
      </c>
      <c r="B414" s="114"/>
      <c r="C414" s="120" t="s">
        <v>1751</v>
      </c>
      <c r="D414" s="110"/>
      <c r="E414" s="108" t="s">
        <v>844</v>
      </c>
      <c r="F414" s="114"/>
      <c r="G414" s="120" t="s">
        <v>917</v>
      </c>
      <c r="H414" s="114"/>
      <c r="I414" s="111" t="n">
        <v>5047</v>
      </c>
      <c r="J414" s="110"/>
      <c r="K414" s="120" t="s">
        <v>1741</v>
      </c>
      <c r="L414" s="110"/>
      <c r="M414" s="112" t="n">
        <v>55</v>
      </c>
      <c r="N414" s="114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</row>
    <row r="415" customFormat="false" ht="15.75" hidden="false" customHeight="true" outlineLevel="0" collapsed="false">
      <c r="A415" s="108" t="s">
        <v>1752</v>
      </c>
      <c r="B415" s="114"/>
      <c r="C415" s="120" t="s">
        <v>1753</v>
      </c>
      <c r="D415" s="110"/>
      <c r="E415" s="108" t="s">
        <v>821</v>
      </c>
      <c r="F415" s="114"/>
      <c r="G415" s="120" t="s">
        <v>830</v>
      </c>
      <c r="H415" s="114"/>
      <c r="I415" s="111" t="n">
        <v>5047</v>
      </c>
      <c r="J415" s="110"/>
      <c r="K415" s="120" t="s">
        <v>1738</v>
      </c>
      <c r="L415" s="110"/>
      <c r="M415" s="112" t="n">
        <v>55</v>
      </c>
      <c r="N415" s="114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</row>
    <row r="416" customFormat="false" ht="15.75" hidden="false" customHeight="true" outlineLevel="0" collapsed="false">
      <c r="A416" s="108" t="s">
        <v>1754</v>
      </c>
      <c r="B416" s="114"/>
      <c r="C416" s="120" t="s">
        <v>1755</v>
      </c>
      <c r="D416" s="110"/>
      <c r="E416" s="108" t="s">
        <v>821</v>
      </c>
      <c r="F416" s="114"/>
      <c r="G416" s="120" t="s">
        <v>830</v>
      </c>
      <c r="H416" s="114"/>
      <c r="I416" s="111" t="n">
        <v>5047</v>
      </c>
      <c r="J416" s="110"/>
      <c r="K416" s="120" t="s">
        <v>1741</v>
      </c>
      <c r="L416" s="110"/>
      <c r="M416" s="112" t="n">
        <v>55</v>
      </c>
      <c r="N416" s="114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</row>
    <row r="417" customFormat="false" ht="15.75" hidden="false" customHeight="true" outlineLevel="0" collapsed="false">
      <c r="A417" s="108" t="s">
        <v>1756</v>
      </c>
      <c r="B417" s="114"/>
      <c r="C417" s="120" t="s">
        <v>1757</v>
      </c>
      <c r="D417" s="110"/>
      <c r="E417" s="108" t="s">
        <v>821</v>
      </c>
      <c r="F417" s="114"/>
      <c r="G417" s="120" t="s">
        <v>830</v>
      </c>
      <c r="H417" s="114"/>
      <c r="I417" s="111" t="n">
        <v>5047</v>
      </c>
      <c r="J417" s="110"/>
      <c r="K417" s="120" t="s">
        <v>1741</v>
      </c>
      <c r="L417" s="110"/>
      <c r="M417" s="112" t="n">
        <v>55</v>
      </c>
      <c r="N417" s="114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</row>
    <row r="418" customFormat="false" ht="15.75" hidden="false" customHeight="true" outlineLevel="0" collapsed="false">
      <c r="A418" s="108" t="s">
        <v>1758</v>
      </c>
      <c r="B418" s="114"/>
      <c r="C418" s="120" t="s">
        <v>1759</v>
      </c>
      <c r="D418" s="110"/>
      <c r="E418" s="108" t="s">
        <v>821</v>
      </c>
      <c r="F418" s="114"/>
      <c r="G418" s="120" t="s">
        <v>830</v>
      </c>
      <c r="H418" s="114"/>
      <c r="I418" s="111" t="n">
        <v>5047</v>
      </c>
      <c r="J418" s="110"/>
      <c r="K418" s="120" t="s">
        <v>1741</v>
      </c>
      <c r="L418" s="110"/>
      <c r="M418" s="112" t="n">
        <v>55</v>
      </c>
      <c r="N418" s="114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</row>
    <row r="419" customFormat="false" ht="15.75" hidden="false" customHeight="true" outlineLevel="0" collapsed="false">
      <c r="A419" s="108" t="s">
        <v>1760</v>
      </c>
      <c r="B419" s="114"/>
      <c r="C419" s="120" t="s">
        <v>1761</v>
      </c>
      <c r="D419" s="110"/>
      <c r="E419" s="108" t="s">
        <v>821</v>
      </c>
      <c r="F419" s="114"/>
      <c r="G419" s="120" t="s">
        <v>830</v>
      </c>
      <c r="H419" s="114"/>
      <c r="I419" s="111" t="n">
        <v>5047</v>
      </c>
      <c r="J419" s="110"/>
      <c r="K419" s="120" t="s">
        <v>1741</v>
      </c>
      <c r="L419" s="110"/>
      <c r="M419" s="112" t="n">
        <v>55</v>
      </c>
      <c r="N419" s="114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</row>
    <row r="420" customFormat="false" ht="15.75" hidden="false" customHeight="true" outlineLevel="0" collapsed="false">
      <c r="A420" s="108" t="s">
        <v>1762</v>
      </c>
      <c r="B420" s="114"/>
      <c r="C420" s="120" t="s">
        <v>1763</v>
      </c>
      <c r="D420" s="110"/>
      <c r="E420" s="108" t="s">
        <v>1198</v>
      </c>
      <c r="F420" s="114"/>
      <c r="G420" s="120" t="s">
        <v>1764</v>
      </c>
      <c r="H420" s="114"/>
      <c r="I420" s="111" t="n">
        <v>5051</v>
      </c>
      <c r="J420" s="110"/>
      <c r="K420" s="120" t="s">
        <v>1765</v>
      </c>
      <c r="L420" s="110"/>
      <c r="M420" s="112" t="n">
        <v>56</v>
      </c>
      <c r="N420" s="114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</row>
    <row r="421" customFormat="false" ht="15.75" hidden="false" customHeight="true" outlineLevel="0" collapsed="false">
      <c r="A421" s="108" t="s">
        <v>1766</v>
      </c>
      <c r="B421" s="114"/>
      <c r="C421" s="120" t="s">
        <v>1767</v>
      </c>
      <c r="D421" s="110"/>
      <c r="E421" s="108" t="s">
        <v>1198</v>
      </c>
      <c r="F421" s="114"/>
      <c r="G421" s="120" t="s">
        <v>1764</v>
      </c>
      <c r="H421" s="114"/>
      <c r="I421" s="111" t="n">
        <v>5051</v>
      </c>
      <c r="J421" s="110"/>
      <c r="K421" s="120" t="s">
        <v>1765</v>
      </c>
      <c r="L421" s="110"/>
      <c r="M421" s="112" t="n">
        <v>56</v>
      </c>
      <c r="N421" s="114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</row>
    <row r="422" customFormat="false" ht="15.75" hidden="false" customHeight="true" outlineLevel="0" collapsed="false">
      <c r="A422" s="108" t="s">
        <v>1768</v>
      </c>
      <c r="B422" s="114"/>
      <c r="C422" s="120" t="s">
        <v>1769</v>
      </c>
      <c r="D422" s="110"/>
      <c r="E422" s="108" t="s">
        <v>1198</v>
      </c>
      <c r="F422" s="114"/>
      <c r="G422" s="120" t="s">
        <v>1764</v>
      </c>
      <c r="H422" s="114"/>
      <c r="I422" s="111" t="n">
        <v>5051</v>
      </c>
      <c r="J422" s="110"/>
      <c r="K422" s="120" t="s">
        <v>1765</v>
      </c>
      <c r="L422" s="110"/>
      <c r="M422" s="112" t="n">
        <v>56</v>
      </c>
      <c r="N422" s="114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</row>
    <row r="423" customFormat="false" ht="15.75" hidden="false" customHeight="true" outlineLevel="0" collapsed="false">
      <c r="A423" s="108" t="s">
        <v>1770</v>
      </c>
      <c r="B423" s="114"/>
      <c r="C423" s="120" t="s">
        <v>1771</v>
      </c>
      <c r="D423" s="110"/>
      <c r="E423" s="108" t="s">
        <v>1198</v>
      </c>
      <c r="F423" s="114"/>
      <c r="G423" s="120" t="s">
        <v>1764</v>
      </c>
      <c r="H423" s="114"/>
      <c r="I423" s="111" t="n">
        <v>5051</v>
      </c>
      <c r="J423" s="110"/>
      <c r="K423" s="120" t="s">
        <v>1765</v>
      </c>
      <c r="L423" s="110"/>
      <c r="M423" s="112" t="n">
        <v>56</v>
      </c>
      <c r="N423" s="114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</row>
    <row r="424" customFormat="false" ht="15.75" hidden="false" customHeight="true" outlineLevel="0" collapsed="false">
      <c r="A424" s="108" t="s">
        <v>1772</v>
      </c>
      <c r="B424" s="114"/>
      <c r="C424" s="120" t="s">
        <v>1773</v>
      </c>
      <c r="D424" s="110"/>
      <c r="E424" s="108" t="s">
        <v>1198</v>
      </c>
      <c r="F424" s="114"/>
      <c r="G424" s="120" t="s">
        <v>1764</v>
      </c>
      <c r="H424" s="114"/>
      <c r="I424" s="111" t="n">
        <v>5051</v>
      </c>
      <c r="J424" s="110"/>
      <c r="K424" s="120" t="s">
        <v>1765</v>
      </c>
      <c r="L424" s="110"/>
      <c r="M424" s="112" t="n">
        <v>56</v>
      </c>
      <c r="N424" s="114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</row>
    <row r="425" customFormat="false" ht="15.75" hidden="false" customHeight="true" outlineLevel="0" collapsed="false">
      <c r="A425" s="108" t="s">
        <v>1774</v>
      </c>
      <c r="B425" s="114"/>
      <c r="C425" s="120" t="s">
        <v>1775</v>
      </c>
      <c r="D425" s="110"/>
      <c r="E425" s="108" t="s">
        <v>1198</v>
      </c>
      <c r="F425" s="114"/>
      <c r="G425" s="120" t="s">
        <v>1764</v>
      </c>
      <c r="H425" s="114"/>
      <c r="I425" s="111" t="n">
        <v>5051</v>
      </c>
      <c r="J425" s="110"/>
      <c r="K425" s="120" t="s">
        <v>1765</v>
      </c>
      <c r="L425" s="110"/>
      <c r="M425" s="112" t="n">
        <v>56</v>
      </c>
      <c r="N425" s="114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</row>
    <row r="426" customFormat="false" ht="15.75" hidden="false" customHeight="true" outlineLevel="0" collapsed="false">
      <c r="A426" s="108" t="s">
        <v>1776</v>
      </c>
      <c r="B426" s="114"/>
      <c r="C426" s="120" t="s">
        <v>1777</v>
      </c>
      <c r="D426" s="110"/>
      <c r="E426" s="108" t="s">
        <v>1198</v>
      </c>
      <c r="F426" s="114"/>
      <c r="G426" s="120" t="s">
        <v>1764</v>
      </c>
      <c r="H426" s="114"/>
      <c r="I426" s="111" t="n">
        <v>5051</v>
      </c>
      <c r="J426" s="110"/>
      <c r="K426" s="120" t="s">
        <v>1765</v>
      </c>
      <c r="L426" s="110"/>
      <c r="M426" s="112" t="n">
        <v>56</v>
      </c>
      <c r="N426" s="114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</row>
    <row r="427" customFormat="false" ht="15.75" hidden="false" customHeight="true" outlineLevel="0" collapsed="false">
      <c r="A427" s="108" t="s">
        <v>1778</v>
      </c>
      <c r="B427" s="114"/>
      <c r="C427" s="120" t="s">
        <v>1779</v>
      </c>
      <c r="D427" s="110"/>
      <c r="E427" s="108" t="s">
        <v>1198</v>
      </c>
      <c r="F427" s="114"/>
      <c r="G427" s="120" t="s">
        <v>1764</v>
      </c>
      <c r="H427" s="114"/>
      <c r="I427" s="111" t="n">
        <v>5051</v>
      </c>
      <c r="J427" s="110"/>
      <c r="K427" s="120" t="s">
        <v>1765</v>
      </c>
      <c r="L427" s="110"/>
      <c r="M427" s="112" t="n">
        <v>56</v>
      </c>
      <c r="N427" s="114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</row>
    <row r="428" customFormat="false" ht="15.75" hidden="false" customHeight="true" outlineLevel="0" collapsed="false">
      <c r="A428" s="108" t="s">
        <v>1780</v>
      </c>
      <c r="B428" s="114"/>
      <c r="C428" s="120" t="s">
        <v>1781</v>
      </c>
      <c r="D428" s="110"/>
      <c r="E428" s="108" t="s">
        <v>1198</v>
      </c>
      <c r="F428" s="114"/>
      <c r="G428" s="120" t="s">
        <v>1764</v>
      </c>
      <c r="H428" s="114"/>
      <c r="I428" s="111" t="n">
        <v>5051</v>
      </c>
      <c r="J428" s="110"/>
      <c r="K428" s="120" t="s">
        <v>1765</v>
      </c>
      <c r="L428" s="110"/>
      <c r="M428" s="112" t="n">
        <v>56</v>
      </c>
      <c r="N428" s="114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</row>
    <row r="429" customFormat="false" ht="15.75" hidden="false" customHeight="true" outlineLevel="0" collapsed="false">
      <c r="A429" s="108" t="s">
        <v>1782</v>
      </c>
      <c r="B429" s="114"/>
      <c r="C429" s="120" t="s">
        <v>1783</v>
      </c>
      <c r="D429" s="110"/>
      <c r="E429" s="108" t="s">
        <v>1198</v>
      </c>
      <c r="F429" s="114"/>
      <c r="G429" s="120" t="s">
        <v>1764</v>
      </c>
      <c r="H429" s="114"/>
      <c r="I429" s="111" t="n">
        <v>5051</v>
      </c>
      <c r="J429" s="110"/>
      <c r="K429" s="120" t="s">
        <v>1765</v>
      </c>
      <c r="L429" s="110"/>
      <c r="M429" s="112" t="n">
        <v>56</v>
      </c>
      <c r="N429" s="114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</row>
    <row r="430" customFormat="false" ht="15.75" hidden="false" customHeight="true" outlineLevel="0" collapsed="false">
      <c r="A430" s="108" t="s">
        <v>1784</v>
      </c>
      <c r="B430" s="114"/>
      <c r="C430" s="120" t="s">
        <v>1785</v>
      </c>
      <c r="D430" s="110"/>
      <c r="E430" s="108" t="s">
        <v>1198</v>
      </c>
      <c r="F430" s="114"/>
      <c r="G430" s="120" t="s">
        <v>1764</v>
      </c>
      <c r="H430" s="114"/>
      <c r="I430" s="111" t="n">
        <v>5051</v>
      </c>
      <c r="J430" s="110"/>
      <c r="K430" s="120" t="s">
        <v>1765</v>
      </c>
      <c r="L430" s="110"/>
      <c r="M430" s="112" t="n">
        <v>56</v>
      </c>
      <c r="N430" s="114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</row>
    <row r="431" customFormat="false" ht="15.75" hidden="false" customHeight="true" outlineLevel="0" collapsed="false">
      <c r="A431" s="108" t="s">
        <v>1786</v>
      </c>
      <c r="B431" s="114"/>
      <c r="C431" s="120" t="s">
        <v>1787</v>
      </c>
      <c r="D431" s="110"/>
      <c r="E431" s="108" t="s">
        <v>1198</v>
      </c>
      <c r="F431" s="114"/>
      <c r="G431" s="120" t="s">
        <v>1764</v>
      </c>
      <c r="H431" s="114"/>
      <c r="I431" s="111" t="n">
        <v>5051</v>
      </c>
      <c r="J431" s="110"/>
      <c r="K431" s="120" t="s">
        <v>1765</v>
      </c>
      <c r="L431" s="110"/>
      <c r="M431" s="112" t="n">
        <v>56</v>
      </c>
      <c r="N431" s="114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</row>
    <row r="432" customFormat="false" ht="15.75" hidden="false" customHeight="true" outlineLevel="0" collapsed="false">
      <c r="A432" s="108" t="s">
        <v>1788</v>
      </c>
      <c r="B432" s="114"/>
      <c r="C432" s="120" t="s">
        <v>1789</v>
      </c>
      <c r="D432" s="110"/>
      <c r="E432" s="108" t="s">
        <v>1198</v>
      </c>
      <c r="F432" s="114"/>
      <c r="G432" s="120" t="s">
        <v>1764</v>
      </c>
      <c r="H432" s="114"/>
      <c r="I432" s="111" t="n">
        <v>5051</v>
      </c>
      <c r="J432" s="110"/>
      <c r="K432" s="120" t="s">
        <v>1765</v>
      </c>
      <c r="L432" s="110"/>
      <c r="M432" s="112" t="n">
        <v>56</v>
      </c>
      <c r="N432" s="114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</row>
    <row r="433" customFormat="false" ht="15.75" hidden="false" customHeight="true" outlineLevel="0" collapsed="false">
      <c r="A433" s="108" t="s">
        <v>1790</v>
      </c>
      <c r="B433" s="114"/>
      <c r="C433" s="120" t="s">
        <v>1791</v>
      </c>
      <c r="D433" s="110"/>
      <c r="E433" s="108" t="s">
        <v>1198</v>
      </c>
      <c r="F433" s="114"/>
      <c r="G433" s="120" t="s">
        <v>1764</v>
      </c>
      <c r="H433" s="114"/>
      <c r="I433" s="111" t="n">
        <v>5051</v>
      </c>
      <c r="J433" s="110"/>
      <c r="K433" s="120" t="s">
        <v>1765</v>
      </c>
      <c r="L433" s="110"/>
      <c r="M433" s="112" t="n">
        <v>56</v>
      </c>
      <c r="N433" s="114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</row>
    <row r="434" customFormat="false" ht="15.75" hidden="false" customHeight="true" outlineLevel="0" collapsed="false">
      <c r="A434" s="108" t="s">
        <v>1792</v>
      </c>
      <c r="B434" s="114"/>
      <c r="C434" s="120" t="s">
        <v>1793</v>
      </c>
      <c r="D434" s="110"/>
      <c r="E434" s="108" t="s">
        <v>1198</v>
      </c>
      <c r="F434" s="114"/>
      <c r="G434" s="120" t="s">
        <v>1794</v>
      </c>
      <c r="H434" s="114"/>
      <c r="I434" s="111" t="n">
        <v>5051</v>
      </c>
      <c r="J434" s="110"/>
      <c r="K434" s="120" t="s">
        <v>1765</v>
      </c>
      <c r="L434" s="110"/>
      <c r="M434" s="112" t="n">
        <v>56</v>
      </c>
      <c r="N434" s="114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</row>
    <row r="435" customFormat="false" ht="15.75" hidden="false" customHeight="true" outlineLevel="0" collapsed="false">
      <c r="A435" s="108" t="s">
        <v>1795</v>
      </c>
      <c r="B435" s="114"/>
      <c r="C435" s="120" t="s">
        <v>1796</v>
      </c>
      <c r="D435" s="110"/>
      <c r="E435" s="108" t="s">
        <v>1198</v>
      </c>
      <c r="F435" s="114"/>
      <c r="G435" s="120" t="s">
        <v>1794</v>
      </c>
      <c r="H435" s="114"/>
      <c r="I435" s="111" t="n">
        <v>5051</v>
      </c>
      <c r="J435" s="110"/>
      <c r="K435" s="120" t="s">
        <v>1765</v>
      </c>
      <c r="L435" s="110"/>
      <c r="M435" s="112" t="n">
        <v>56</v>
      </c>
      <c r="N435" s="114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</row>
    <row r="436" customFormat="false" ht="15.75" hidden="false" customHeight="true" outlineLevel="0" collapsed="false">
      <c r="A436" s="108" t="s">
        <v>1797</v>
      </c>
      <c r="B436" s="114"/>
      <c r="C436" s="120" t="s">
        <v>1798</v>
      </c>
      <c r="D436" s="110"/>
      <c r="E436" s="108" t="s">
        <v>844</v>
      </c>
      <c r="F436" s="114"/>
      <c r="G436" s="120" t="s">
        <v>1799</v>
      </c>
      <c r="H436" s="114"/>
      <c r="I436" s="111" t="n">
        <v>5051</v>
      </c>
      <c r="J436" s="110"/>
      <c r="K436" s="120" t="s">
        <v>1765</v>
      </c>
      <c r="L436" s="110"/>
      <c r="M436" s="112" t="n">
        <v>56</v>
      </c>
      <c r="N436" s="114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</row>
    <row r="437" customFormat="false" ht="15.75" hidden="false" customHeight="true" outlineLevel="0" collapsed="false">
      <c r="A437" s="108" t="s">
        <v>1800</v>
      </c>
      <c r="B437" s="114"/>
      <c r="C437" s="120" t="s">
        <v>1801</v>
      </c>
      <c r="D437" s="110"/>
      <c r="E437" s="108" t="s">
        <v>844</v>
      </c>
      <c r="F437" s="114"/>
      <c r="G437" s="120" t="s">
        <v>1799</v>
      </c>
      <c r="H437" s="114"/>
      <c r="I437" s="111" t="n">
        <v>5051</v>
      </c>
      <c r="J437" s="110"/>
      <c r="K437" s="120" t="s">
        <v>1765</v>
      </c>
      <c r="L437" s="110"/>
      <c r="M437" s="112" t="n">
        <v>56</v>
      </c>
      <c r="N437" s="114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</row>
    <row r="438" customFormat="false" ht="15.75" hidden="false" customHeight="true" outlineLevel="0" collapsed="false">
      <c r="A438" s="108" t="s">
        <v>1802</v>
      </c>
      <c r="B438" s="114"/>
      <c r="C438" s="120" t="s">
        <v>1803</v>
      </c>
      <c r="D438" s="110"/>
      <c r="E438" s="108" t="s">
        <v>844</v>
      </c>
      <c r="F438" s="114"/>
      <c r="G438" s="120" t="s">
        <v>1799</v>
      </c>
      <c r="H438" s="114"/>
      <c r="I438" s="111" t="n">
        <v>5051</v>
      </c>
      <c r="J438" s="110"/>
      <c r="K438" s="120" t="s">
        <v>1765</v>
      </c>
      <c r="L438" s="110"/>
      <c r="M438" s="112" t="n">
        <v>56</v>
      </c>
      <c r="N438" s="114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</row>
    <row r="439" customFormat="false" ht="15.75" hidden="false" customHeight="true" outlineLevel="0" collapsed="false">
      <c r="A439" s="108" t="s">
        <v>1804</v>
      </c>
      <c r="B439" s="114"/>
      <c r="C439" s="120" t="s">
        <v>1805</v>
      </c>
      <c r="D439" s="110"/>
      <c r="E439" s="108" t="s">
        <v>844</v>
      </c>
      <c r="F439" s="114"/>
      <c r="G439" s="120" t="s">
        <v>1799</v>
      </c>
      <c r="H439" s="114"/>
      <c r="I439" s="111" t="n">
        <v>5051</v>
      </c>
      <c r="J439" s="110"/>
      <c r="K439" s="120" t="s">
        <v>1765</v>
      </c>
      <c r="L439" s="110"/>
      <c r="M439" s="112" t="n">
        <v>56</v>
      </c>
      <c r="N439" s="114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</row>
    <row r="440" customFormat="false" ht="15.75" hidden="false" customHeight="true" outlineLevel="0" collapsed="false">
      <c r="A440" s="108" t="s">
        <v>1806</v>
      </c>
      <c r="B440" s="114"/>
      <c r="C440" s="120" t="s">
        <v>1807</v>
      </c>
      <c r="D440" s="110"/>
      <c r="E440" s="108" t="s">
        <v>844</v>
      </c>
      <c r="F440" s="114"/>
      <c r="G440" s="120" t="s">
        <v>1799</v>
      </c>
      <c r="H440" s="114"/>
      <c r="I440" s="111" t="n">
        <v>5051</v>
      </c>
      <c r="J440" s="110"/>
      <c r="K440" s="120" t="s">
        <v>1765</v>
      </c>
      <c r="L440" s="110"/>
      <c r="M440" s="112" t="n">
        <v>56</v>
      </c>
      <c r="N440" s="114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</row>
    <row r="441" customFormat="false" ht="15.75" hidden="false" customHeight="true" outlineLevel="0" collapsed="false">
      <c r="A441" s="108" t="s">
        <v>1808</v>
      </c>
      <c r="B441" s="114"/>
      <c r="C441" s="120" t="s">
        <v>1809</v>
      </c>
      <c r="D441" s="110"/>
      <c r="E441" s="108" t="s">
        <v>844</v>
      </c>
      <c r="F441" s="114"/>
      <c r="G441" s="120" t="s">
        <v>1799</v>
      </c>
      <c r="H441" s="114"/>
      <c r="I441" s="111" t="n">
        <v>5051</v>
      </c>
      <c r="J441" s="110"/>
      <c r="K441" s="120" t="s">
        <v>1765</v>
      </c>
      <c r="L441" s="110"/>
      <c r="M441" s="112" t="n">
        <v>56</v>
      </c>
      <c r="N441" s="114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</row>
    <row r="442" customFormat="false" ht="15.75" hidden="false" customHeight="true" outlineLevel="0" collapsed="false">
      <c r="A442" s="108" t="s">
        <v>1810</v>
      </c>
      <c r="B442" s="114"/>
      <c r="C442" s="120" t="s">
        <v>1811</v>
      </c>
      <c r="D442" s="110"/>
      <c r="E442" s="108" t="s">
        <v>844</v>
      </c>
      <c r="F442" s="114"/>
      <c r="G442" s="120" t="s">
        <v>1799</v>
      </c>
      <c r="H442" s="114"/>
      <c r="I442" s="111" t="n">
        <v>5051</v>
      </c>
      <c r="J442" s="110"/>
      <c r="K442" s="120" t="s">
        <v>1765</v>
      </c>
      <c r="L442" s="110"/>
      <c r="M442" s="112" t="n">
        <v>56</v>
      </c>
      <c r="N442" s="114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</row>
    <row r="443" customFormat="false" ht="15.75" hidden="false" customHeight="true" outlineLevel="0" collapsed="false">
      <c r="A443" s="108" t="s">
        <v>1812</v>
      </c>
      <c r="B443" s="114"/>
      <c r="C443" s="120" t="s">
        <v>1813</v>
      </c>
      <c r="D443" s="110"/>
      <c r="E443" s="108" t="s">
        <v>844</v>
      </c>
      <c r="F443" s="114"/>
      <c r="G443" s="120" t="s">
        <v>1799</v>
      </c>
      <c r="H443" s="114"/>
      <c r="I443" s="111" t="n">
        <v>5051</v>
      </c>
      <c r="J443" s="110"/>
      <c r="K443" s="120" t="s">
        <v>1765</v>
      </c>
      <c r="L443" s="110"/>
      <c r="M443" s="112" t="n">
        <v>56</v>
      </c>
      <c r="N443" s="114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</row>
    <row r="444" customFormat="false" ht="15.75" hidden="false" customHeight="true" outlineLevel="0" collapsed="false">
      <c r="A444" s="108" t="s">
        <v>1814</v>
      </c>
      <c r="B444" s="114"/>
      <c r="C444" s="120" t="s">
        <v>1815</v>
      </c>
      <c r="D444" s="110"/>
      <c r="E444" s="108" t="s">
        <v>844</v>
      </c>
      <c r="F444" s="114"/>
      <c r="G444" s="120" t="s">
        <v>1799</v>
      </c>
      <c r="H444" s="114"/>
      <c r="I444" s="111" t="n">
        <v>5051</v>
      </c>
      <c r="J444" s="110"/>
      <c r="K444" s="120" t="s">
        <v>1765</v>
      </c>
      <c r="L444" s="110"/>
      <c r="M444" s="112" t="n">
        <v>56</v>
      </c>
      <c r="N444" s="114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</row>
    <row r="445" customFormat="false" ht="15.75" hidden="false" customHeight="true" outlineLevel="0" collapsed="false">
      <c r="A445" s="108" t="s">
        <v>1816</v>
      </c>
      <c r="B445" s="114"/>
      <c r="C445" s="120" t="s">
        <v>1817</v>
      </c>
      <c r="D445" s="110"/>
      <c r="E445" s="108" t="s">
        <v>844</v>
      </c>
      <c r="F445" s="114"/>
      <c r="G445" s="120" t="s">
        <v>1799</v>
      </c>
      <c r="H445" s="114"/>
      <c r="I445" s="111" t="n">
        <v>5051</v>
      </c>
      <c r="J445" s="110"/>
      <c r="K445" s="120" t="s">
        <v>1765</v>
      </c>
      <c r="L445" s="110"/>
      <c r="M445" s="112" t="n">
        <v>56</v>
      </c>
      <c r="N445" s="114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</row>
    <row r="446" customFormat="false" ht="15.75" hidden="false" customHeight="true" outlineLevel="0" collapsed="false">
      <c r="A446" s="108" t="s">
        <v>1818</v>
      </c>
      <c r="B446" s="114"/>
      <c r="C446" s="120" t="s">
        <v>1819</v>
      </c>
      <c r="D446" s="110"/>
      <c r="E446" s="108" t="s">
        <v>844</v>
      </c>
      <c r="F446" s="114"/>
      <c r="G446" s="120" t="s">
        <v>1799</v>
      </c>
      <c r="H446" s="114"/>
      <c r="I446" s="111" t="n">
        <v>5051</v>
      </c>
      <c r="J446" s="110"/>
      <c r="K446" s="120" t="s">
        <v>1765</v>
      </c>
      <c r="L446" s="110"/>
      <c r="M446" s="112" t="n">
        <v>56</v>
      </c>
      <c r="N446" s="114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</row>
    <row r="447" customFormat="false" ht="15.75" hidden="false" customHeight="true" outlineLevel="0" collapsed="false">
      <c r="A447" s="108" t="s">
        <v>1820</v>
      </c>
      <c r="B447" s="114"/>
      <c r="C447" s="120" t="s">
        <v>1821</v>
      </c>
      <c r="D447" s="110"/>
      <c r="E447" s="108" t="s">
        <v>844</v>
      </c>
      <c r="F447" s="114"/>
      <c r="G447" s="120" t="s">
        <v>1799</v>
      </c>
      <c r="H447" s="114"/>
      <c r="I447" s="111" t="n">
        <v>5051</v>
      </c>
      <c r="J447" s="110"/>
      <c r="K447" s="120" t="s">
        <v>1765</v>
      </c>
      <c r="L447" s="110"/>
      <c r="M447" s="112" t="n">
        <v>56</v>
      </c>
      <c r="N447" s="114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</row>
    <row r="448" customFormat="false" ht="15.75" hidden="false" customHeight="true" outlineLevel="0" collapsed="false">
      <c r="A448" s="108" t="s">
        <v>1822</v>
      </c>
      <c r="B448" s="114"/>
      <c r="C448" s="120" t="s">
        <v>1823</v>
      </c>
      <c r="D448" s="110"/>
      <c r="E448" s="108" t="s">
        <v>844</v>
      </c>
      <c r="F448" s="114"/>
      <c r="G448" s="120" t="s">
        <v>1799</v>
      </c>
      <c r="H448" s="114"/>
      <c r="I448" s="111" t="n">
        <v>5051</v>
      </c>
      <c r="J448" s="110"/>
      <c r="K448" s="120" t="s">
        <v>1765</v>
      </c>
      <c r="L448" s="110"/>
      <c r="M448" s="112" t="n">
        <v>56</v>
      </c>
      <c r="N448" s="114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</row>
    <row r="449" customFormat="false" ht="15.75" hidden="false" customHeight="true" outlineLevel="0" collapsed="false">
      <c r="A449" s="108" t="s">
        <v>1824</v>
      </c>
      <c r="B449" s="114"/>
      <c r="C449" s="120" t="s">
        <v>1825</v>
      </c>
      <c r="D449" s="110"/>
      <c r="E449" s="108" t="s">
        <v>844</v>
      </c>
      <c r="F449" s="114"/>
      <c r="G449" s="120" t="s">
        <v>1799</v>
      </c>
      <c r="H449" s="114"/>
      <c r="I449" s="111" t="n">
        <v>5051</v>
      </c>
      <c r="J449" s="110"/>
      <c r="K449" s="120" t="s">
        <v>1765</v>
      </c>
      <c r="L449" s="110"/>
      <c r="M449" s="112" t="n">
        <v>56</v>
      </c>
      <c r="N449" s="114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</row>
    <row r="450" customFormat="false" ht="15.75" hidden="false" customHeight="true" outlineLevel="0" collapsed="false">
      <c r="A450" s="108" t="s">
        <v>1826</v>
      </c>
      <c r="B450" s="114"/>
      <c r="C450" s="120" t="s">
        <v>1827</v>
      </c>
      <c r="D450" s="110"/>
      <c r="E450" s="108" t="s">
        <v>844</v>
      </c>
      <c r="F450" s="114"/>
      <c r="G450" s="120" t="s">
        <v>1799</v>
      </c>
      <c r="H450" s="114"/>
      <c r="I450" s="111" t="n">
        <v>5051</v>
      </c>
      <c r="J450" s="110"/>
      <c r="K450" s="120" t="s">
        <v>1765</v>
      </c>
      <c r="L450" s="110"/>
      <c r="M450" s="112" t="n">
        <v>56</v>
      </c>
      <c r="N450" s="114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</row>
    <row r="451" customFormat="false" ht="15.75" hidden="false" customHeight="true" outlineLevel="0" collapsed="false">
      <c r="A451" s="108" t="s">
        <v>1828</v>
      </c>
      <c r="B451" s="114"/>
      <c r="C451" s="120" t="s">
        <v>1829</v>
      </c>
      <c r="D451" s="110"/>
      <c r="E451" s="108" t="s">
        <v>844</v>
      </c>
      <c r="F451" s="114"/>
      <c r="G451" s="120" t="s">
        <v>1799</v>
      </c>
      <c r="H451" s="114"/>
      <c r="I451" s="111" t="n">
        <v>5051</v>
      </c>
      <c r="J451" s="110"/>
      <c r="K451" s="120" t="s">
        <v>1765</v>
      </c>
      <c r="L451" s="110"/>
      <c r="M451" s="112" t="n">
        <v>56</v>
      </c>
      <c r="N451" s="114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</row>
    <row r="452" customFormat="false" ht="15.75" hidden="false" customHeight="true" outlineLevel="0" collapsed="false">
      <c r="A452" s="108" t="s">
        <v>1830</v>
      </c>
      <c r="B452" s="114"/>
      <c r="C452" s="120" t="s">
        <v>1831</v>
      </c>
      <c r="D452" s="110"/>
      <c r="E452" s="108" t="s">
        <v>844</v>
      </c>
      <c r="F452" s="114"/>
      <c r="G452" s="120" t="s">
        <v>1799</v>
      </c>
      <c r="H452" s="114"/>
      <c r="I452" s="111" t="n">
        <v>5051</v>
      </c>
      <c r="J452" s="110"/>
      <c r="K452" s="120" t="s">
        <v>1765</v>
      </c>
      <c r="L452" s="110"/>
      <c r="M452" s="112" t="n">
        <v>56</v>
      </c>
      <c r="N452" s="114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</row>
    <row r="453" customFormat="false" ht="15.75" hidden="false" customHeight="true" outlineLevel="0" collapsed="false">
      <c r="A453" s="108" t="s">
        <v>1832</v>
      </c>
      <c r="B453" s="114"/>
      <c r="C453" s="120" t="s">
        <v>1833</v>
      </c>
      <c r="D453" s="110"/>
      <c r="E453" s="108" t="s">
        <v>844</v>
      </c>
      <c r="F453" s="114"/>
      <c r="G453" s="120" t="s">
        <v>1799</v>
      </c>
      <c r="H453" s="114"/>
      <c r="I453" s="111" t="n">
        <v>5051</v>
      </c>
      <c r="J453" s="110"/>
      <c r="K453" s="120" t="s">
        <v>1765</v>
      </c>
      <c r="L453" s="110"/>
      <c r="M453" s="112" t="n">
        <v>56</v>
      </c>
      <c r="N453" s="114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</row>
    <row r="454" customFormat="false" ht="15.75" hidden="false" customHeight="true" outlineLevel="0" collapsed="false">
      <c r="A454" s="108" t="s">
        <v>1834</v>
      </c>
      <c r="B454" s="114"/>
      <c r="C454" s="120" t="s">
        <v>1835</v>
      </c>
      <c r="D454" s="110"/>
      <c r="E454" s="108" t="s">
        <v>844</v>
      </c>
      <c r="F454" s="114"/>
      <c r="G454" s="120" t="s">
        <v>1799</v>
      </c>
      <c r="H454" s="114"/>
      <c r="I454" s="111" t="n">
        <v>5051</v>
      </c>
      <c r="J454" s="110"/>
      <c r="K454" s="120" t="s">
        <v>1765</v>
      </c>
      <c r="L454" s="110"/>
      <c r="M454" s="112" t="n">
        <v>56</v>
      </c>
      <c r="N454" s="114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</row>
    <row r="455" customFormat="false" ht="15.75" hidden="false" customHeight="true" outlineLevel="0" collapsed="false">
      <c r="A455" s="108" t="s">
        <v>1836</v>
      </c>
      <c r="B455" s="114"/>
      <c r="C455" s="120" t="s">
        <v>1837</v>
      </c>
      <c r="D455" s="110"/>
      <c r="E455" s="108" t="s">
        <v>844</v>
      </c>
      <c r="F455" s="114"/>
      <c r="G455" s="120" t="s">
        <v>1799</v>
      </c>
      <c r="H455" s="114"/>
      <c r="I455" s="111" t="n">
        <v>5051</v>
      </c>
      <c r="J455" s="110"/>
      <c r="K455" s="120" t="s">
        <v>1765</v>
      </c>
      <c r="L455" s="110"/>
      <c r="M455" s="112" t="n">
        <v>56</v>
      </c>
      <c r="N455" s="114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</row>
    <row r="456" customFormat="false" ht="15.75" hidden="false" customHeight="true" outlineLevel="0" collapsed="false">
      <c r="A456" s="108" t="s">
        <v>1838</v>
      </c>
      <c r="B456" s="114"/>
      <c r="C456" s="120" t="s">
        <v>1839</v>
      </c>
      <c r="D456" s="110"/>
      <c r="E456" s="108" t="s">
        <v>844</v>
      </c>
      <c r="F456" s="114"/>
      <c r="G456" s="120" t="s">
        <v>1799</v>
      </c>
      <c r="H456" s="114"/>
      <c r="I456" s="111" t="n">
        <v>5051</v>
      </c>
      <c r="J456" s="110"/>
      <c r="K456" s="120" t="s">
        <v>1765</v>
      </c>
      <c r="L456" s="110"/>
      <c r="M456" s="112" t="n">
        <v>56</v>
      </c>
      <c r="N456" s="114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</row>
    <row r="457" customFormat="false" ht="15.75" hidden="false" customHeight="true" outlineLevel="0" collapsed="false">
      <c r="A457" s="108" t="s">
        <v>1840</v>
      </c>
      <c r="B457" s="114"/>
      <c r="C457" s="120" t="s">
        <v>1841</v>
      </c>
      <c r="D457" s="110"/>
      <c r="E457" s="108" t="s">
        <v>844</v>
      </c>
      <c r="F457" s="114"/>
      <c r="G457" s="120" t="s">
        <v>1026</v>
      </c>
      <c r="H457" s="114"/>
      <c r="I457" s="111" t="n">
        <v>5051</v>
      </c>
      <c r="J457" s="110"/>
      <c r="K457" s="120" t="s">
        <v>1765</v>
      </c>
      <c r="L457" s="110"/>
      <c r="M457" s="112" t="n">
        <v>56</v>
      </c>
      <c r="N457" s="114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</row>
    <row r="458" customFormat="false" ht="15.75" hidden="false" customHeight="true" outlineLevel="0" collapsed="false">
      <c r="A458" s="108" t="s">
        <v>1842</v>
      </c>
      <c r="B458" s="114"/>
      <c r="C458" s="120" t="s">
        <v>1843</v>
      </c>
      <c r="D458" s="110"/>
      <c r="E458" s="108" t="s">
        <v>844</v>
      </c>
      <c r="F458" s="114"/>
      <c r="G458" s="120" t="s">
        <v>1026</v>
      </c>
      <c r="H458" s="114"/>
      <c r="I458" s="111" t="n">
        <v>5051</v>
      </c>
      <c r="J458" s="110"/>
      <c r="K458" s="120" t="s">
        <v>1765</v>
      </c>
      <c r="L458" s="110"/>
      <c r="M458" s="112" t="n">
        <v>56</v>
      </c>
      <c r="N458" s="114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</row>
    <row r="459" customFormat="false" ht="15.75" hidden="false" customHeight="true" outlineLevel="0" collapsed="false">
      <c r="A459" s="108" t="s">
        <v>1844</v>
      </c>
      <c r="B459" s="114"/>
      <c r="C459" s="120" t="s">
        <v>1845</v>
      </c>
      <c r="D459" s="110"/>
      <c r="E459" s="108" t="s">
        <v>844</v>
      </c>
      <c r="F459" s="114"/>
      <c r="G459" s="120" t="s">
        <v>1026</v>
      </c>
      <c r="H459" s="114"/>
      <c r="I459" s="111" t="n">
        <v>5051</v>
      </c>
      <c r="J459" s="110"/>
      <c r="K459" s="120" t="s">
        <v>1765</v>
      </c>
      <c r="L459" s="110"/>
      <c r="M459" s="112" t="n">
        <v>56</v>
      </c>
      <c r="N459" s="114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</row>
    <row r="460" customFormat="false" ht="15.75" hidden="false" customHeight="true" outlineLevel="0" collapsed="false">
      <c r="A460" s="108" t="s">
        <v>1846</v>
      </c>
      <c r="B460" s="114"/>
      <c r="C460" s="120" t="s">
        <v>1847</v>
      </c>
      <c r="D460" s="110"/>
      <c r="E460" s="108" t="s">
        <v>844</v>
      </c>
      <c r="F460" s="114"/>
      <c r="G460" s="120" t="s">
        <v>1026</v>
      </c>
      <c r="H460" s="114"/>
      <c r="I460" s="111" t="n">
        <v>5051</v>
      </c>
      <c r="J460" s="110"/>
      <c r="K460" s="120" t="s">
        <v>1765</v>
      </c>
      <c r="L460" s="110"/>
      <c r="M460" s="112" t="n">
        <v>56</v>
      </c>
      <c r="N460" s="114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</row>
    <row r="461" customFormat="false" ht="15.75" hidden="false" customHeight="true" outlineLevel="0" collapsed="false">
      <c r="A461" s="108" t="s">
        <v>1848</v>
      </c>
      <c r="B461" s="114"/>
      <c r="C461" s="120" t="s">
        <v>1849</v>
      </c>
      <c r="D461" s="110"/>
      <c r="E461" s="108" t="s">
        <v>844</v>
      </c>
      <c r="F461" s="114"/>
      <c r="G461" s="120" t="s">
        <v>1026</v>
      </c>
      <c r="H461" s="114"/>
      <c r="I461" s="111" t="n">
        <v>5051</v>
      </c>
      <c r="J461" s="110"/>
      <c r="K461" s="120" t="s">
        <v>1765</v>
      </c>
      <c r="L461" s="110"/>
      <c r="M461" s="112" t="n">
        <v>56</v>
      </c>
      <c r="N461" s="114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</row>
    <row r="462" customFormat="false" ht="15.75" hidden="false" customHeight="true" outlineLevel="0" collapsed="false">
      <c r="A462" s="108" t="s">
        <v>1850</v>
      </c>
      <c r="B462" s="114"/>
      <c r="C462" s="120" t="s">
        <v>1851</v>
      </c>
      <c r="D462" s="110"/>
      <c r="E462" s="108" t="s">
        <v>844</v>
      </c>
      <c r="F462" s="114"/>
      <c r="G462" s="120" t="s">
        <v>1026</v>
      </c>
      <c r="H462" s="114"/>
      <c r="I462" s="111" t="n">
        <v>5051</v>
      </c>
      <c r="J462" s="110"/>
      <c r="K462" s="120" t="s">
        <v>1765</v>
      </c>
      <c r="L462" s="110"/>
      <c r="M462" s="112" t="n">
        <v>56</v>
      </c>
      <c r="N462" s="114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</row>
    <row r="463" customFormat="false" ht="15.75" hidden="false" customHeight="true" outlineLevel="0" collapsed="false">
      <c r="A463" s="108" t="s">
        <v>1852</v>
      </c>
      <c r="B463" s="114"/>
      <c r="C463" s="120" t="s">
        <v>1853</v>
      </c>
      <c r="D463" s="110"/>
      <c r="E463" s="108" t="s">
        <v>844</v>
      </c>
      <c r="F463" s="114"/>
      <c r="G463" s="120" t="s">
        <v>1026</v>
      </c>
      <c r="H463" s="114"/>
      <c r="I463" s="111" t="n">
        <v>5051</v>
      </c>
      <c r="J463" s="110"/>
      <c r="K463" s="120" t="s">
        <v>1765</v>
      </c>
      <c r="L463" s="110"/>
      <c r="M463" s="112" t="n">
        <v>56</v>
      </c>
      <c r="N463" s="114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</row>
    <row r="464" customFormat="false" ht="15.75" hidden="false" customHeight="true" outlineLevel="0" collapsed="false">
      <c r="A464" s="108" t="s">
        <v>1854</v>
      </c>
      <c r="B464" s="114"/>
      <c r="C464" s="120" t="s">
        <v>1855</v>
      </c>
      <c r="D464" s="110"/>
      <c r="E464" s="108" t="s">
        <v>844</v>
      </c>
      <c r="F464" s="114"/>
      <c r="G464" s="120" t="s">
        <v>1026</v>
      </c>
      <c r="H464" s="114"/>
      <c r="I464" s="111" t="n">
        <v>5051</v>
      </c>
      <c r="J464" s="110"/>
      <c r="K464" s="120" t="s">
        <v>1765</v>
      </c>
      <c r="L464" s="110"/>
      <c r="M464" s="112" t="n">
        <v>56</v>
      </c>
      <c r="N464" s="114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</row>
    <row r="465" customFormat="false" ht="15.75" hidden="false" customHeight="true" outlineLevel="0" collapsed="false">
      <c r="A465" s="108" t="s">
        <v>1856</v>
      </c>
      <c r="B465" s="114"/>
      <c r="C465" s="120" t="s">
        <v>1857</v>
      </c>
      <c r="D465" s="110"/>
      <c r="E465" s="108" t="s">
        <v>844</v>
      </c>
      <c r="F465" s="114"/>
      <c r="G465" s="120" t="s">
        <v>1026</v>
      </c>
      <c r="H465" s="114"/>
      <c r="I465" s="111" t="n">
        <v>5051</v>
      </c>
      <c r="J465" s="110"/>
      <c r="K465" s="120" t="s">
        <v>1765</v>
      </c>
      <c r="L465" s="110"/>
      <c r="M465" s="112" t="n">
        <v>56</v>
      </c>
      <c r="N465" s="114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</row>
    <row r="466" customFormat="false" ht="15.75" hidden="false" customHeight="true" outlineLevel="0" collapsed="false">
      <c r="A466" s="108" t="s">
        <v>1858</v>
      </c>
      <c r="B466" s="114"/>
      <c r="C466" s="120" t="s">
        <v>1859</v>
      </c>
      <c r="D466" s="110"/>
      <c r="E466" s="108" t="s">
        <v>844</v>
      </c>
      <c r="F466" s="114"/>
      <c r="G466" s="120" t="s">
        <v>1026</v>
      </c>
      <c r="H466" s="114"/>
      <c r="I466" s="111" t="n">
        <v>5051</v>
      </c>
      <c r="J466" s="110"/>
      <c r="K466" s="120" t="s">
        <v>1765</v>
      </c>
      <c r="L466" s="110"/>
      <c r="M466" s="112" t="n">
        <v>56</v>
      </c>
      <c r="N466" s="114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</row>
    <row r="467" customFormat="false" ht="15.75" hidden="false" customHeight="true" outlineLevel="0" collapsed="false">
      <c r="A467" s="108" t="s">
        <v>1860</v>
      </c>
      <c r="B467" s="114"/>
      <c r="C467" s="120" t="s">
        <v>1861</v>
      </c>
      <c r="D467" s="110"/>
      <c r="E467" s="108" t="s">
        <v>844</v>
      </c>
      <c r="F467" s="114"/>
      <c r="G467" s="120" t="s">
        <v>1026</v>
      </c>
      <c r="H467" s="114"/>
      <c r="I467" s="111" t="n">
        <v>5051</v>
      </c>
      <c r="J467" s="110"/>
      <c r="K467" s="120" t="s">
        <v>1765</v>
      </c>
      <c r="L467" s="110"/>
      <c r="M467" s="112" t="n">
        <v>56</v>
      </c>
      <c r="N467" s="114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</row>
    <row r="468" customFormat="false" ht="15.75" hidden="false" customHeight="true" outlineLevel="0" collapsed="false">
      <c r="A468" s="108" t="s">
        <v>1862</v>
      </c>
      <c r="B468" s="114"/>
      <c r="C468" s="120" t="s">
        <v>1863</v>
      </c>
      <c r="D468" s="110"/>
      <c r="E468" s="108" t="s">
        <v>844</v>
      </c>
      <c r="F468" s="114"/>
      <c r="G468" s="120" t="s">
        <v>1026</v>
      </c>
      <c r="H468" s="114"/>
      <c r="I468" s="111" t="n">
        <v>5051</v>
      </c>
      <c r="J468" s="110"/>
      <c r="K468" s="120" t="s">
        <v>1765</v>
      </c>
      <c r="L468" s="110"/>
      <c r="M468" s="112" t="n">
        <v>56</v>
      </c>
      <c r="N468" s="114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</row>
    <row r="469" customFormat="false" ht="15.75" hidden="false" customHeight="true" outlineLevel="0" collapsed="false">
      <c r="A469" s="108" t="s">
        <v>1864</v>
      </c>
      <c r="B469" s="114"/>
      <c r="C469" s="120" t="s">
        <v>1865</v>
      </c>
      <c r="D469" s="110"/>
      <c r="E469" s="108" t="s">
        <v>844</v>
      </c>
      <c r="F469" s="114"/>
      <c r="G469" s="120" t="s">
        <v>1026</v>
      </c>
      <c r="H469" s="114"/>
      <c r="I469" s="111" t="n">
        <v>5051</v>
      </c>
      <c r="J469" s="110"/>
      <c r="K469" s="120" t="s">
        <v>1765</v>
      </c>
      <c r="L469" s="110"/>
      <c r="M469" s="112" t="n">
        <v>56</v>
      </c>
      <c r="N469" s="114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</row>
    <row r="470" customFormat="false" ht="15.75" hidden="false" customHeight="true" outlineLevel="0" collapsed="false">
      <c r="A470" s="108" t="s">
        <v>1866</v>
      </c>
      <c r="B470" s="114"/>
      <c r="C470" s="120" t="s">
        <v>1867</v>
      </c>
      <c r="D470" s="110"/>
      <c r="E470" s="108" t="s">
        <v>844</v>
      </c>
      <c r="F470" s="114"/>
      <c r="G470" s="120" t="s">
        <v>1026</v>
      </c>
      <c r="H470" s="114"/>
      <c r="I470" s="111" t="n">
        <v>5051</v>
      </c>
      <c r="J470" s="110"/>
      <c r="K470" s="120" t="s">
        <v>1765</v>
      </c>
      <c r="L470" s="110"/>
      <c r="M470" s="112" t="n">
        <v>56</v>
      </c>
      <c r="N470" s="114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</row>
    <row r="471" customFormat="false" ht="15.75" hidden="false" customHeight="true" outlineLevel="0" collapsed="false">
      <c r="A471" s="108" t="s">
        <v>1868</v>
      </c>
      <c r="B471" s="114"/>
      <c r="C471" s="120" t="s">
        <v>1869</v>
      </c>
      <c r="D471" s="110"/>
      <c r="E471" s="108" t="s">
        <v>844</v>
      </c>
      <c r="F471" s="114"/>
      <c r="G471" s="120" t="s">
        <v>1026</v>
      </c>
      <c r="H471" s="114"/>
      <c r="I471" s="111" t="n">
        <v>5051</v>
      </c>
      <c r="J471" s="110"/>
      <c r="K471" s="120" t="s">
        <v>1765</v>
      </c>
      <c r="L471" s="110"/>
      <c r="M471" s="112" t="n">
        <v>56</v>
      </c>
      <c r="N471" s="114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</row>
    <row r="472" customFormat="false" ht="15.75" hidden="false" customHeight="true" outlineLevel="0" collapsed="false">
      <c r="A472" s="108" t="s">
        <v>1870</v>
      </c>
      <c r="B472" s="114"/>
      <c r="C472" s="120" t="s">
        <v>1871</v>
      </c>
      <c r="D472" s="110"/>
      <c r="E472" s="108" t="s">
        <v>844</v>
      </c>
      <c r="F472" s="114"/>
      <c r="G472" s="120" t="s">
        <v>1026</v>
      </c>
      <c r="H472" s="114"/>
      <c r="I472" s="111" t="n">
        <v>5051</v>
      </c>
      <c r="J472" s="110"/>
      <c r="K472" s="120" t="s">
        <v>1765</v>
      </c>
      <c r="L472" s="110"/>
      <c r="M472" s="112" t="n">
        <v>56</v>
      </c>
      <c r="N472" s="114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</row>
    <row r="473" customFormat="false" ht="15.75" hidden="false" customHeight="true" outlineLevel="0" collapsed="false">
      <c r="A473" s="108" t="s">
        <v>1872</v>
      </c>
      <c r="B473" s="114"/>
      <c r="C473" s="120" t="s">
        <v>1873</v>
      </c>
      <c r="D473" s="110"/>
      <c r="E473" s="108" t="s">
        <v>844</v>
      </c>
      <c r="F473" s="114"/>
      <c r="G473" s="120" t="s">
        <v>1026</v>
      </c>
      <c r="H473" s="114"/>
      <c r="I473" s="111" t="n">
        <v>5051</v>
      </c>
      <c r="J473" s="110"/>
      <c r="K473" s="120" t="s">
        <v>1765</v>
      </c>
      <c r="L473" s="110"/>
      <c r="M473" s="112" t="n">
        <v>56</v>
      </c>
      <c r="N473" s="114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</row>
    <row r="474" customFormat="false" ht="15.75" hidden="false" customHeight="true" outlineLevel="0" collapsed="false">
      <c r="A474" s="108" t="s">
        <v>1874</v>
      </c>
      <c r="B474" s="114"/>
      <c r="C474" s="120" t="s">
        <v>1875</v>
      </c>
      <c r="D474" s="110"/>
      <c r="E474" s="108" t="s">
        <v>821</v>
      </c>
      <c r="F474" s="114"/>
      <c r="G474" s="120" t="s">
        <v>830</v>
      </c>
      <c r="H474" s="114"/>
      <c r="I474" s="111" t="n">
        <v>5051</v>
      </c>
      <c r="J474" s="110"/>
      <c r="K474" s="120" t="s">
        <v>1765</v>
      </c>
      <c r="L474" s="110"/>
      <c r="M474" s="112" t="n">
        <v>56</v>
      </c>
      <c r="N474" s="114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</row>
    <row r="475" customFormat="false" ht="15.75" hidden="false" customHeight="true" outlineLevel="0" collapsed="false">
      <c r="A475" s="108" t="s">
        <v>1876</v>
      </c>
      <c r="B475" s="114"/>
      <c r="C475" s="120" t="s">
        <v>1877</v>
      </c>
      <c r="D475" s="110"/>
      <c r="E475" s="108" t="s">
        <v>821</v>
      </c>
      <c r="F475" s="114"/>
      <c r="G475" s="120" t="s">
        <v>830</v>
      </c>
      <c r="H475" s="114"/>
      <c r="I475" s="111" t="n">
        <v>5051</v>
      </c>
      <c r="J475" s="110"/>
      <c r="K475" s="120" t="s">
        <v>1765</v>
      </c>
      <c r="L475" s="110"/>
      <c r="M475" s="112" t="n">
        <v>56</v>
      </c>
      <c r="N475" s="114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</row>
    <row r="476" customFormat="false" ht="15.75" hidden="false" customHeight="true" outlineLevel="0" collapsed="false">
      <c r="A476" s="108" t="s">
        <v>1878</v>
      </c>
      <c r="B476" s="114"/>
      <c r="C476" s="120" t="s">
        <v>1879</v>
      </c>
      <c r="D476" s="110"/>
      <c r="E476" s="108" t="s">
        <v>818</v>
      </c>
      <c r="F476" s="114"/>
      <c r="G476" s="120" t="s">
        <v>818</v>
      </c>
      <c r="H476" s="114"/>
      <c r="I476" s="111" t="n">
        <v>5051</v>
      </c>
      <c r="J476" s="110"/>
      <c r="K476" s="120" t="s">
        <v>1765</v>
      </c>
      <c r="L476" s="110"/>
      <c r="M476" s="112" t="n">
        <v>56</v>
      </c>
      <c r="N476" s="114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</row>
    <row r="477" customFormat="false" ht="15.75" hidden="false" customHeight="true" outlineLevel="0" collapsed="false">
      <c r="A477" s="108" t="s">
        <v>1880</v>
      </c>
      <c r="B477" s="114"/>
      <c r="C477" s="120" t="s">
        <v>1881</v>
      </c>
      <c r="D477" s="110"/>
      <c r="E477" s="108" t="s">
        <v>844</v>
      </c>
      <c r="F477" s="114"/>
      <c r="G477" s="120" t="s">
        <v>1018</v>
      </c>
      <c r="H477" s="114"/>
      <c r="I477" s="111" t="n">
        <v>5065</v>
      </c>
      <c r="J477" s="110"/>
      <c r="K477" s="120" t="s">
        <v>1882</v>
      </c>
      <c r="L477" s="110"/>
      <c r="M477" s="112" t="n">
        <v>57</v>
      </c>
      <c r="N477" s="114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</row>
    <row r="478" customFormat="false" ht="15.75" hidden="false" customHeight="true" outlineLevel="0" collapsed="false">
      <c r="A478" s="108" t="s">
        <v>1883</v>
      </c>
      <c r="B478" s="114"/>
      <c r="C478" s="120" t="s">
        <v>1884</v>
      </c>
      <c r="D478" s="110"/>
      <c r="E478" s="108" t="s">
        <v>844</v>
      </c>
      <c r="F478" s="114"/>
      <c r="G478" s="120" t="s">
        <v>1018</v>
      </c>
      <c r="H478" s="114"/>
      <c r="I478" s="111" t="n">
        <v>5065</v>
      </c>
      <c r="J478" s="110"/>
      <c r="K478" s="120" t="s">
        <v>1882</v>
      </c>
      <c r="L478" s="110"/>
      <c r="M478" s="112" t="n">
        <v>57</v>
      </c>
      <c r="N478" s="114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</row>
    <row r="479" customFormat="false" ht="15.75" hidden="false" customHeight="true" outlineLevel="0" collapsed="false">
      <c r="A479" s="108" t="s">
        <v>1885</v>
      </c>
      <c r="B479" s="114"/>
      <c r="C479" s="120" t="s">
        <v>1886</v>
      </c>
      <c r="D479" s="110"/>
      <c r="E479" s="108" t="s">
        <v>844</v>
      </c>
      <c r="F479" s="114"/>
      <c r="G479" s="120" t="s">
        <v>1018</v>
      </c>
      <c r="H479" s="114"/>
      <c r="I479" s="111" t="n">
        <v>5065</v>
      </c>
      <c r="J479" s="110"/>
      <c r="K479" s="120" t="s">
        <v>1882</v>
      </c>
      <c r="L479" s="110"/>
      <c r="M479" s="112" t="n">
        <v>57</v>
      </c>
      <c r="N479" s="114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</row>
    <row r="480" customFormat="false" ht="15.75" hidden="false" customHeight="true" outlineLevel="0" collapsed="false">
      <c r="A480" s="108" t="s">
        <v>1887</v>
      </c>
      <c r="B480" s="114"/>
      <c r="C480" s="120" t="s">
        <v>1888</v>
      </c>
      <c r="D480" s="110"/>
      <c r="E480" s="108" t="s">
        <v>844</v>
      </c>
      <c r="F480" s="114"/>
      <c r="G480" s="120" t="s">
        <v>1018</v>
      </c>
      <c r="H480" s="114"/>
      <c r="I480" s="111" t="n">
        <v>5065</v>
      </c>
      <c r="J480" s="110"/>
      <c r="K480" s="120" t="s">
        <v>1882</v>
      </c>
      <c r="L480" s="110"/>
      <c r="M480" s="112" t="n">
        <v>57</v>
      </c>
      <c r="N480" s="114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</row>
    <row r="481" customFormat="false" ht="15.75" hidden="false" customHeight="true" outlineLevel="0" collapsed="false">
      <c r="A481" s="108" t="s">
        <v>1889</v>
      </c>
      <c r="B481" s="114"/>
      <c r="C481" s="120" t="s">
        <v>1890</v>
      </c>
      <c r="D481" s="110"/>
      <c r="E481" s="108" t="s">
        <v>844</v>
      </c>
      <c r="F481" s="114"/>
      <c r="G481" s="120" t="s">
        <v>1018</v>
      </c>
      <c r="H481" s="114"/>
      <c r="I481" s="111" t="n">
        <v>5065</v>
      </c>
      <c r="J481" s="110"/>
      <c r="K481" s="120" t="s">
        <v>1882</v>
      </c>
      <c r="L481" s="110"/>
      <c r="M481" s="112" t="n">
        <v>57</v>
      </c>
      <c r="N481" s="114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</row>
    <row r="482" customFormat="false" ht="15.75" hidden="false" customHeight="true" outlineLevel="0" collapsed="false">
      <c r="A482" s="108" t="s">
        <v>1891</v>
      </c>
      <c r="B482" s="114"/>
      <c r="C482" s="120" t="s">
        <v>1892</v>
      </c>
      <c r="D482" s="110"/>
      <c r="E482" s="108" t="s">
        <v>844</v>
      </c>
      <c r="F482" s="114"/>
      <c r="G482" s="120" t="s">
        <v>1688</v>
      </c>
      <c r="H482" s="114"/>
      <c r="I482" s="111" t="n">
        <v>5065</v>
      </c>
      <c r="J482" s="110"/>
      <c r="K482" s="120" t="s">
        <v>1882</v>
      </c>
      <c r="L482" s="110"/>
      <c r="M482" s="112" t="n">
        <v>57</v>
      </c>
      <c r="N482" s="114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</row>
    <row r="483" customFormat="false" ht="15.75" hidden="false" customHeight="true" outlineLevel="0" collapsed="false">
      <c r="A483" s="108" t="s">
        <v>1893</v>
      </c>
      <c r="B483" s="114"/>
      <c r="C483" s="120" t="s">
        <v>1894</v>
      </c>
      <c r="D483" s="110"/>
      <c r="E483" s="108" t="s">
        <v>844</v>
      </c>
      <c r="F483" s="114"/>
      <c r="G483" s="120" t="s">
        <v>1688</v>
      </c>
      <c r="H483" s="114"/>
      <c r="I483" s="111" t="n">
        <v>5065</v>
      </c>
      <c r="J483" s="110"/>
      <c r="K483" s="120" t="s">
        <v>1882</v>
      </c>
      <c r="L483" s="110"/>
      <c r="M483" s="112" t="n">
        <v>57</v>
      </c>
      <c r="N483" s="114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</row>
    <row r="484" customFormat="false" ht="15.75" hidden="false" customHeight="true" outlineLevel="0" collapsed="false">
      <c r="A484" s="108" t="s">
        <v>1895</v>
      </c>
      <c r="B484" s="114"/>
      <c r="C484" s="120" t="s">
        <v>1896</v>
      </c>
      <c r="D484" s="110"/>
      <c r="E484" s="108" t="s">
        <v>844</v>
      </c>
      <c r="F484" s="114"/>
      <c r="G484" s="120" t="s">
        <v>1688</v>
      </c>
      <c r="H484" s="114"/>
      <c r="I484" s="111" t="n">
        <v>5065</v>
      </c>
      <c r="J484" s="110"/>
      <c r="K484" s="120" t="s">
        <v>1882</v>
      </c>
      <c r="L484" s="110"/>
      <c r="M484" s="112" t="n">
        <v>57</v>
      </c>
      <c r="N484" s="114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</row>
    <row r="485" customFormat="false" ht="15.75" hidden="false" customHeight="true" outlineLevel="0" collapsed="false">
      <c r="A485" s="108" t="s">
        <v>1897</v>
      </c>
      <c r="B485" s="114"/>
      <c r="C485" s="120" t="s">
        <v>1898</v>
      </c>
      <c r="D485" s="110"/>
      <c r="E485" s="108" t="s">
        <v>844</v>
      </c>
      <c r="F485" s="114"/>
      <c r="G485" s="120" t="s">
        <v>1688</v>
      </c>
      <c r="H485" s="114"/>
      <c r="I485" s="111" t="n">
        <v>5065</v>
      </c>
      <c r="J485" s="110"/>
      <c r="K485" s="120" t="s">
        <v>1882</v>
      </c>
      <c r="L485" s="110"/>
      <c r="M485" s="112" t="n">
        <v>57</v>
      </c>
      <c r="N485" s="114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</row>
    <row r="486" customFormat="false" ht="15.75" hidden="false" customHeight="true" outlineLevel="0" collapsed="false">
      <c r="A486" s="108" t="s">
        <v>1899</v>
      </c>
      <c r="B486" s="114"/>
      <c r="C486" s="120" t="s">
        <v>1900</v>
      </c>
      <c r="D486" s="110"/>
      <c r="E486" s="108" t="s">
        <v>844</v>
      </c>
      <c r="F486" s="114"/>
      <c r="G486" s="120" t="s">
        <v>1688</v>
      </c>
      <c r="H486" s="114"/>
      <c r="I486" s="111" t="n">
        <v>5065</v>
      </c>
      <c r="J486" s="110"/>
      <c r="K486" s="120" t="s">
        <v>1882</v>
      </c>
      <c r="L486" s="110"/>
      <c r="M486" s="112" t="n">
        <v>57</v>
      </c>
      <c r="N486" s="114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</row>
    <row r="487" customFormat="false" ht="15.75" hidden="false" customHeight="true" outlineLevel="0" collapsed="false">
      <c r="A487" s="108" t="s">
        <v>1901</v>
      </c>
      <c r="B487" s="114"/>
      <c r="C487" s="120" t="s">
        <v>1902</v>
      </c>
      <c r="D487" s="110"/>
      <c r="E487" s="108" t="s">
        <v>844</v>
      </c>
      <c r="F487" s="114"/>
      <c r="G487" s="120" t="s">
        <v>1688</v>
      </c>
      <c r="H487" s="114"/>
      <c r="I487" s="111" t="n">
        <v>5065</v>
      </c>
      <c r="J487" s="110"/>
      <c r="K487" s="120" t="s">
        <v>1882</v>
      </c>
      <c r="L487" s="110"/>
      <c r="M487" s="112" t="n">
        <v>57</v>
      </c>
      <c r="N487" s="114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</row>
    <row r="488" customFormat="false" ht="15.75" hidden="false" customHeight="true" outlineLevel="0" collapsed="false">
      <c r="A488" s="108" t="s">
        <v>1903</v>
      </c>
      <c r="B488" s="114"/>
      <c r="C488" s="120" t="s">
        <v>1904</v>
      </c>
      <c r="D488" s="110"/>
      <c r="E488" s="108" t="s">
        <v>844</v>
      </c>
      <c r="F488" s="114"/>
      <c r="G488" s="120" t="s">
        <v>1688</v>
      </c>
      <c r="H488" s="114"/>
      <c r="I488" s="111" t="n">
        <v>5065</v>
      </c>
      <c r="J488" s="110"/>
      <c r="K488" s="120" t="s">
        <v>1882</v>
      </c>
      <c r="L488" s="110"/>
      <c r="M488" s="112" t="n">
        <v>57</v>
      </c>
      <c r="N488" s="114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</row>
    <row r="489" customFormat="false" ht="15.75" hidden="false" customHeight="true" outlineLevel="0" collapsed="false">
      <c r="A489" s="108" t="s">
        <v>1905</v>
      </c>
      <c r="B489" s="114"/>
      <c r="C489" s="120" t="s">
        <v>1906</v>
      </c>
      <c r="D489" s="110"/>
      <c r="E489" s="108" t="s">
        <v>844</v>
      </c>
      <c r="F489" s="114"/>
      <c r="G489" s="120" t="s">
        <v>1688</v>
      </c>
      <c r="H489" s="114"/>
      <c r="I489" s="111" t="n">
        <v>5065</v>
      </c>
      <c r="J489" s="110"/>
      <c r="K489" s="120" t="s">
        <v>1882</v>
      </c>
      <c r="L489" s="110"/>
      <c r="M489" s="112" t="n">
        <v>57</v>
      </c>
      <c r="N489" s="114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</row>
    <row r="490" customFormat="false" ht="15.75" hidden="false" customHeight="true" outlineLevel="0" collapsed="false">
      <c r="A490" s="108" t="s">
        <v>1907</v>
      </c>
      <c r="B490" s="114"/>
      <c r="C490" s="120" t="s">
        <v>1908</v>
      </c>
      <c r="D490" s="110"/>
      <c r="E490" s="108" t="s">
        <v>844</v>
      </c>
      <c r="F490" s="114"/>
      <c r="G490" s="120" t="s">
        <v>1688</v>
      </c>
      <c r="H490" s="114"/>
      <c r="I490" s="111" t="n">
        <v>5065</v>
      </c>
      <c r="J490" s="110"/>
      <c r="K490" s="120" t="s">
        <v>1882</v>
      </c>
      <c r="L490" s="110"/>
      <c r="M490" s="112" t="n">
        <v>57</v>
      </c>
      <c r="N490" s="114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</row>
    <row r="491" customFormat="false" ht="15.75" hidden="false" customHeight="true" outlineLevel="0" collapsed="false">
      <c r="A491" s="108" t="s">
        <v>1909</v>
      </c>
      <c r="B491" s="114"/>
      <c r="C491" s="120" t="s">
        <v>1910</v>
      </c>
      <c r="D491" s="110"/>
      <c r="E491" s="108" t="s">
        <v>844</v>
      </c>
      <c r="F491" s="114"/>
      <c r="G491" s="120" t="s">
        <v>1688</v>
      </c>
      <c r="H491" s="114"/>
      <c r="I491" s="111" t="n">
        <v>5065</v>
      </c>
      <c r="J491" s="110"/>
      <c r="K491" s="120" t="s">
        <v>1882</v>
      </c>
      <c r="L491" s="110"/>
      <c r="M491" s="112" t="n">
        <v>57</v>
      </c>
      <c r="N491" s="114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</row>
    <row r="492" customFormat="false" ht="15.75" hidden="false" customHeight="true" outlineLevel="0" collapsed="false">
      <c r="A492" s="108" t="s">
        <v>1911</v>
      </c>
      <c r="B492" s="114"/>
      <c r="C492" s="120" t="s">
        <v>1912</v>
      </c>
      <c r="D492" s="110"/>
      <c r="E492" s="108" t="s">
        <v>844</v>
      </c>
      <c r="F492" s="114"/>
      <c r="G492" s="120" t="s">
        <v>1688</v>
      </c>
      <c r="H492" s="114"/>
      <c r="I492" s="111" t="n">
        <v>5065</v>
      </c>
      <c r="J492" s="110"/>
      <c r="K492" s="120" t="s">
        <v>1882</v>
      </c>
      <c r="L492" s="110"/>
      <c r="M492" s="112" t="n">
        <v>57</v>
      </c>
      <c r="N492" s="114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</row>
    <row r="493" customFormat="false" ht="15.75" hidden="false" customHeight="true" outlineLevel="0" collapsed="false">
      <c r="A493" s="108" t="s">
        <v>1913</v>
      </c>
      <c r="B493" s="114"/>
      <c r="C493" s="120" t="s">
        <v>1914</v>
      </c>
      <c r="D493" s="110"/>
      <c r="E493" s="108" t="s">
        <v>844</v>
      </c>
      <c r="F493" s="114"/>
      <c r="G493" s="120" t="s">
        <v>1688</v>
      </c>
      <c r="H493" s="114"/>
      <c r="I493" s="111" t="n">
        <v>5065</v>
      </c>
      <c r="J493" s="110"/>
      <c r="K493" s="120" t="s">
        <v>1882</v>
      </c>
      <c r="L493" s="110"/>
      <c r="M493" s="112" t="n">
        <v>57</v>
      </c>
      <c r="N493" s="114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</row>
    <row r="494" customFormat="false" ht="15.75" hidden="false" customHeight="true" outlineLevel="0" collapsed="false">
      <c r="A494" s="108" t="s">
        <v>1915</v>
      </c>
      <c r="B494" s="114"/>
      <c r="C494" s="120" t="s">
        <v>1916</v>
      </c>
      <c r="D494" s="110"/>
      <c r="E494" s="108" t="s">
        <v>844</v>
      </c>
      <c r="F494" s="114"/>
      <c r="G494" s="120" t="s">
        <v>1688</v>
      </c>
      <c r="H494" s="114"/>
      <c r="I494" s="111" t="n">
        <v>5065</v>
      </c>
      <c r="J494" s="110"/>
      <c r="K494" s="120" t="s">
        <v>1882</v>
      </c>
      <c r="L494" s="110"/>
      <c r="M494" s="112" t="n">
        <v>57</v>
      </c>
      <c r="N494" s="114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</row>
    <row r="495" customFormat="false" ht="15.75" hidden="false" customHeight="true" outlineLevel="0" collapsed="false">
      <c r="A495" s="108" t="s">
        <v>1917</v>
      </c>
      <c r="B495" s="114"/>
      <c r="C495" s="120" t="s">
        <v>1918</v>
      </c>
      <c r="D495" s="110"/>
      <c r="E495" s="108" t="s">
        <v>844</v>
      </c>
      <c r="F495" s="114"/>
      <c r="G495" s="120" t="s">
        <v>1688</v>
      </c>
      <c r="H495" s="114"/>
      <c r="I495" s="111" t="n">
        <v>5065</v>
      </c>
      <c r="J495" s="110"/>
      <c r="K495" s="120" t="s">
        <v>1882</v>
      </c>
      <c r="L495" s="110"/>
      <c r="M495" s="112" t="n">
        <v>57</v>
      </c>
      <c r="N495" s="114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</row>
    <row r="496" customFormat="false" ht="15.75" hidden="false" customHeight="true" outlineLevel="0" collapsed="false">
      <c r="A496" s="108" t="s">
        <v>1919</v>
      </c>
      <c r="B496" s="114"/>
      <c r="C496" s="120" t="s">
        <v>1920</v>
      </c>
      <c r="D496" s="110"/>
      <c r="E496" s="108" t="s">
        <v>844</v>
      </c>
      <c r="F496" s="114"/>
      <c r="G496" s="120" t="s">
        <v>917</v>
      </c>
      <c r="H496" s="114"/>
      <c r="I496" s="111" t="n">
        <v>5065</v>
      </c>
      <c r="J496" s="110"/>
      <c r="K496" s="120" t="s">
        <v>1882</v>
      </c>
      <c r="L496" s="110"/>
      <c r="M496" s="112" t="n">
        <v>57</v>
      </c>
      <c r="N496" s="114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</row>
    <row r="497" customFormat="false" ht="15.75" hidden="false" customHeight="true" outlineLevel="0" collapsed="false">
      <c r="A497" s="108" t="s">
        <v>1921</v>
      </c>
      <c r="B497" s="114"/>
      <c r="C497" s="120" t="s">
        <v>1922</v>
      </c>
      <c r="D497" s="110"/>
      <c r="E497" s="108" t="s">
        <v>821</v>
      </c>
      <c r="F497" s="114"/>
      <c r="G497" s="120" t="s">
        <v>830</v>
      </c>
      <c r="H497" s="114"/>
      <c r="I497" s="111" t="n">
        <v>5065</v>
      </c>
      <c r="J497" s="110"/>
      <c r="K497" s="120" t="s">
        <v>1882</v>
      </c>
      <c r="L497" s="110"/>
      <c r="M497" s="112" t="n">
        <v>57</v>
      </c>
      <c r="N497" s="114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</row>
    <row r="498" customFormat="false" ht="15.75" hidden="false" customHeight="true" outlineLevel="0" collapsed="false">
      <c r="A498" s="108" t="s">
        <v>1923</v>
      </c>
      <c r="B498" s="114"/>
      <c r="C498" s="120" t="s">
        <v>1924</v>
      </c>
      <c r="D498" s="110"/>
      <c r="E498" s="108" t="s">
        <v>821</v>
      </c>
      <c r="F498" s="114"/>
      <c r="G498" s="120" t="s">
        <v>830</v>
      </c>
      <c r="H498" s="114"/>
      <c r="I498" s="111" t="n">
        <v>5065</v>
      </c>
      <c r="J498" s="110"/>
      <c r="K498" s="120" t="s">
        <v>1882</v>
      </c>
      <c r="L498" s="110"/>
      <c r="M498" s="112" t="n">
        <v>57</v>
      </c>
      <c r="N498" s="114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</row>
    <row r="499" customFormat="false" ht="15.75" hidden="false" customHeight="true" outlineLevel="0" collapsed="false">
      <c r="A499" s="108" t="s">
        <v>1925</v>
      </c>
      <c r="B499" s="114"/>
      <c r="C499" s="120" t="s">
        <v>1926</v>
      </c>
      <c r="D499" s="110"/>
      <c r="E499" s="108" t="s">
        <v>821</v>
      </c>
      <c r="F499" s="114"/>
      <c r="G499" s="120" t="s">
        <v>830</v>
      </c>
      <c r="H499" s="114"/>
      <c r="I499" s="111" t="n">
        <v>5065</v>
      </c>
      <c r="J499" s="110"/>
      <c r="K499" s="120" t="s">
        <v>1882</v>
      </c>
      <c r="L499" s="110"/>
      <c r="M499" s="112" t="n">
        <v>57</v>
      </c>
      <c r="N499" s="114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</row>
    <row r="500" customFormat="false" ht="15.75" hidden="false" customHeight="true" outlineLevel="0" collapsed="false">
      <c r="A500" s="108" t="s">
        <v>1927</v>
      </c>
      <c r="B500" s="114"/>
      <c r="C500" s="120" t="s">
        <v>1928</v>
      </c>
      <c r="D500" s="110"/>
      <c r="E500" s="108" t="s">
        <v>821</v>
      </c>
      <c r="F500" s="114"/>
      <c r="G500" s="120" t="s">
        <v>830</v>
      </c>
      <c r="H500" s="114"/>
      <c r="I500" s="111" t="n">
        <v>5065</v>
      </c>
      <c r="J500" s="110"/>
      <c r="K500" s="120" t="s">
        <v>1882</v>
      </c>
      <c r="L500" s="110"/>
      <c r="M500" s="112" t="n">
        <v>57</v>
      </c>
      <c r="N500" s="114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</row>
    <row r="501" customFormat="false" ht="15.75" hidden="false" customHeight="true" outlineLevel="0" collapsed="false">
      <c r="A501" s="108" t="s">
        <v>1929</v>
      </c>
      <c r="B501" s="114"/>
      <c r="C501" s="120" t="s">
        <v>1930</v>
      </c>
      <c r="D501" s="110"/>
      <c r="E501" s="108" t="s">
        <v>844</v>
      </c>
      <c r="F501" s="114"/>
      <c r="G501" s="120" t="s">
        <v>1034</v>
      </c>
      <c r="H501" s="114"/>
      <c r="I501" s="111" t="n">
        <v>5085</v>
      </c>
      <c r="J501" s="110"/>
      <c r="K501" s="120" t="s">
        <v>1931</v>
      </c>
      <c r="L501" s="110"/>
      <c r="M501" s="112" t="n">
        <v>58</v>
      </c>
      <c r="N501" s="114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</row>
    <row r="502" customFormat="false" ht="15.75" hidden="false" customHeight="true" outlineLevel="0" collapsed="false">
      <c r="A502" s="108" t="s">
        <v>1932</v>
      </c>
      <c r="B502" s="114"/>
      <c r="C502" s="120" t="s">
        <v>1933</v>
      </c>
      <c r="D502" s="110"/>
      <c r="E502" s="108" t="s">
        <v>844</v>
      </c>
      <c r="F502" s="114"/>
      <c r="G502" s="120" t="s">
        <v>1034</v>
      </c>
      <c r="H502" s="114"/>
      <c r="I502" s="111" t="n">
        <v>5085</v>
      </c>
      <c r="J502" s="110"/>
      <c r="K502" s="120" t="s">
        <v>1931</v>
      </c>
      <c r="L502" s="110"/>
      <c r="M502" s="112" t="n">
        <v>58</v>
      </c>
      <c r="N502" s="114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</row>
    <row r="503" customFormat="false" ht="15.75" hidden="false" customHeight="true" outlineLevel="0" collapsed="false">
      <c r="A503" s="108" t="s">
        <v>1934</v>
      </c>
      <c r="B503" s="114"/>
      <c r="C503" s="120" t="s">
        <v>1935</v>
      </c>
      <c r="D503" s="110"/>
      <c r="E503" s="108" t="s">
        <v>844</v>
      </c>
      <c r="F503" s="114"/>
      <c r="G503" s="120" t="s">
        <v>1936</v>
      </c>
      <c r="H503" s="114"/>
      <c r="I503" s="111" t="n">
        <v>5085</v>
      </c>
      <c r="J503" s="110"/>
      <c r="K503" s="120" t="s">
        <v>1937</v>
      </c>
      <c r="L503" s="110"/>
      <c r="M503" s="112" t="n">
        <v>58</v>
      </c>
      <c r="N503" s="114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</row>
    <row r="504" customFormat="false" ht="15.75" hidden="false" customHeight="true" outlineLevel="0" collapsed="false">
      <c r="A504" s="108" t="s">
        <v>1938</v>
      </c>
      <c r="B504" s="114"/>
      <c r="C504" s="120" t="s">
        <v>1939</v>
      </c>
      <c r="D504" s="110"/>
      <c r="E504" s="108" t="s">
        <v>844</v>
      </c>
      <c r="F504" s="114"/>
      <c r="G504" s="120" t="s">
        <v>968</v>
      </c>
      <c r="H504" s="114"/>
      <c r="I504" s="111" t="n">
        <v>5085</v>
      </c>
      <c r="J504" s="110"/>
      <c r="K504" s="120" t="s">
        <v>1937</v>
      </c>
      <c r="L504" s="110"/>
      <c r="M504" s="112" t="n">
        <v>58</v>
      </c>
      <c r="N504" s="114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</row>
    <row r="505" customFormat="false" ht="15.75" hidden="false" customHeight="true" outlineLevel="0" collapsed="false">
      <c r="A505" s="108" t="s">
        <v>1940</v>
      </c>
      <c r="B505" s="114"/>
      <c r="C505" s="120" t="s">
        <v>1941</v>
      </c>
      <c r="D505" s="110"/>
      <c r="E505" s="108" t="s">
        <v>844</v>
      </c>
      <c r="F505" s="114"/>
      <c r="G505" s="120" t="s">
        <v>968</v>
      </c>
      <c r="H505" s="114"/>
      <c r="I505" s="111" t="n">
        <v>5085</v>
      </c>
      <c r="J505" s="110"/>
      <c r="K505" s="120" t="s">
        <v>1931</v>
      </c>
      <c r="L505" s="110"/>
      <c r="M505" s="112" t="n">
        <v>58</v>
      </c>
      <c r="N505" s="114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</row>
    <row r="506" customFormat="false" ht="15.75" hidden="false" customHeight="true" outlineLevel="0" collapsed="false">
      <c r="A506" s="108" t="s">
        <v>1942</v>
      </c>
      <c r="B506" s="114"/>
      <c r="C506" s="120" t="s">
        <v>1943</v>
      </c>
      <c r="D506" s="110"/>
      <c r="E506" s="108" t="s">
        <v>844</v>
      </c>
      <c r="F506" s="114"/>
      <c r="G506" s="120" t="s">
        <v>968</v>
      </c>
      <c r="H506" s="114"/>
      <c r="I506" s="111" t="n">
        <v>5085</v>
      </c>
      <c r="J506" s="110"/>
      <c r="K506" s="120" t="s">
        <v>1931</v>
      </c>
      <c r="L506" s="110"/>
      <c r="M506" s="112" t="n">
        <v>58</v>
      </c>
      <c r="N506" s="114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</row>
    <row r="507" customFormat="false" ht="15.75" hidden="false" customHeight="true" outlineLevel="0" collapsed="false">
      <c r="A507" s="108" t="s">
        <v>1944</v>
      </c>
      <c r="B507" s="114"/>
      <c r="C507" s="120" t="s">
        <v>1945</v>
      </c>
      <c r="D507" s="110"/>
      <c r="E507" s="108" t="s">
        <v>844</v>
      </c>
      <c r="F507" s="114"/>
      <c r="G507" s="120" t="s">
        <v>1026</v>
      </c>
      <c r="H507" s="114"/>
      <c r="I507" s="111" t="n">
        <v>5085</v>
      </c>
      <c r="J507" s="110"/>
      <c r="K507" s="120" t="s">
        <v>1931</v>
      </c>
      <c r="L507" s="110"/>
      <c r="M507" s="112" t="n">
        <v>58</v>
      </c>
      <c r="N507" s="114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</row>
    <row r="508" customFormat="false" ht="15.75" hidden="false" customHeight="true" outlineLevel="0" collapsed="false">
      <c r="A508" s="108" t="s">
        <v>1946</v>
      </c>
      <c r="B508" s="114"/>
      <c r="C508" s="120" t="s">
        <v>1947</v>
      </c>
      <c r="D508" s="110"/>
      <c r="E508" s="108" t="s">
        <v>844</v>
      </c>
      <c r="F508" s="114"/>
      <c r="G508" s="120" t="s">
        <v>1018</v>
      </c>
      <c r="H508" s="114"/>
      <c r="I508" s="111" t="n">
        <v>5085</v>
      </c>
      <c r="J508" s="110"/>
      <c r="K508" s="120" t="s">
        <v>1931</v>
      </c>
      <c r="L508" s="110"/>
      <c r="M508" s="112" t="n">
        <v>58</v>
      </c>
      <c r="N508" s="114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</row>
    <row r="509" customFormat="false" ht="15.75" hidden="false" customHeight="true" outlineLevel="0" collapsed="false">
      <c r="A509" s="108" t="s">
        <v>1948</v>
      </c>
      <c r="B509" s="114"/>
      <c r="C509" s="120" t="s">
        <v>1949</v>
      </c>
      <c r="D509" s="110"/>
      <c r="E509" s="108" t="s">
        <v>844</v>
      </c>
      <c r="F509" s="114"/>
      <c r="G509" s="120" t="s">
        <v>1023</v>
      </c>
      <c r="H509" s="114"/>
      <c r="I509" s="111" t="n">
        <v>5085</v>
      </c>
      <c r="J509" s="110"/>
      <c r="K509" s="120" t="s">
        <v>1931</v>
      </c>
      <c r="L509" s="110"/>
      <c r="M509" s="112" t="n">
        <v>58</v>
      </c>
      <c r="N509" s="114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</row>
    <row r="510" customFormat="false" ht="15.75" hidden="false" customHeight="true" outlineLevel="0" collapsed="false">
      <c r="A510" s="108" t="s">
        <v>1950</v>
      </c>
      <c r="B510" s="114"/>
      <c r="C510" s="120" t="s">
        <v>1951</v>
      </c>
      <c r="D510" s="110"/>
      <c r="E510" s="108" t="s">
        <v>844</v>
      </c>
      <c r="F510" s="114"/>
      <c r="G510" s="120" t="s">
        <v>1023</v>
      </c>
      <c r="H510" s="114"/>
      <c r="I510" s="111" t="n">
        <v>5085</v>
      </c>
      <c r="J510" s="110"/>
      <c r="K510" s="120" t="s">
        <v>1931</v>
      </c>
      <c r="L510" s="110"/>
      <c r="M510" s="112" t="n">
        <v>58</v>
      </c>
      <c r="N510" s="114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</row>
    <row r="511" customFormat="false" ht="15.75" hidden="false" customHeight="true" outlineLevel="0" collapsed="false">
      <c r="A511" s="108" t="s">
        <v>1952</v>
      </c>
      <c r="B511" s="114"/>
      <c r="C511" s="120" t="s">
        <v>1953</v>
      </c>
      <c r="D511" s="110"/>
      <c r="E511" s="108" t="s">
        <v>844</v>
      </c>
      <c r="F511" s="114"/>
      <c r="G511" s="120" t="s">
        <v>1023</v>
      </c>
      <c r="H511" s="114"/>
      <c r="I511" s="111" t="n">
        <v>5085</v>
      </c>
      <c r="J511" s="110"/>
      <c r="K511" s="120" t="s">
        <v>1931</v>
      </c>
      <c r="L511" s="110"/>
      <c r="M511" s="112" t="n">
        <v>58</v>
      </c>
      <c r="N511" s="114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</row>
    <row r="512" customFormat="false" ht="15.75" hidden="false" customHeight="true" outlineLevel="0" collapsed="false">
      <c r="A512" s="108" t="s">
        <v>1954</v>
      </c>
      <c r="B512" s="114"/>
      <c r="C512" s="120" t="s">
        <v>1955</v>
      </c>
      <c r="D512" s="110"/>
      <c r="E512" s="108" t="s">
        <v>844</v>
      </c>
      <c r="F512" s="114"/>
      <c r="G512" s="120" t="s">
        <v>1059</v>
      </c>
      <c r="H512" s="114"/>
      <c r="I512" s="111" t="n">
        <v>5085</v>
      </c>
      <c r="J512" s="110"/>
      <c r="K512" s="120" t="s">
        <v>1931</v>
      </c>
      <c r="L512" s="110"/>
      <c r="M512" s="112" t="n">
        <v>58</v>
      </c>
      <c r="N512" s="114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</row>
    <row r="513" customFormat="false" ht="15.75" hidden="false" customHeight="true" outlineLevel="0" collapsed="false">
      <c r="A513" s="108" t="s">
        <v>1956</v>
      </c>
      <c r="B513" s="114"/>
      <c r="C513" s="120" t="s">
        <v>1957</v>
      </c>
      <c r="D513" s="110"/>
      <c r="E513" s="108" t="s">
        <v>821</v>
      </c>
      <c r="F513" s="114"/>
      <c r="G513" s="120" t="s">
        <v>830</v>
      </c>
      <c r="H513" s="114"/>
      <c r="I513" s="111" t="n">
        <v>5085</v>
      </c>
      <c r="J513" s="110"/>
      <c r="K513" s="120" t="s">
        <v>1931</v>
      </c>
      <c r="L513" s="110"/>
      <c r="M513" s="112" t="n">
        <v>58</v>
      </c>
      <c r="N513" s="114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</row>
    <row r="514" customFormat="false" ht="15.75" hidden="false" customHeight="true" outlineLevel="0" collapsed="false">
      <c r="A514" s="108" t="s">
        <v>1958</v>
      </c>
      <c r="B514" s="114"/>
      <c r="C514" s="120" t="s">
        <v>1959</v>
      </c>
      <c r="D514" s="110"/>
      <c r="E514" s="108" t="s">
        <v>821</v>
      </c>
      <c r="F514" s="114"/>
      <c r="G514" s="120" t="s">
        <v>830</v>
      </c>
      <c r="H514" s="114"/>
      <c r="I514" s="111" t="n">
        <v>5085</v>
      </c>
      <c r="J514" s="110"/>
      <c r="K514" s="120" t="s">
        <v>1931</v>
      </c>
      <c r="L514" s="110"/>
      <c r="M514" s="112" t="n">
        <v>58</v>
      </c>
      <c r="N514" s="114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</row>
    <row r="515" customFormat="false" ht="15.75" hidden="false" customHeight="true" outlineLevel="0" collapsed="false">
      <c r="A515" s="108" t="s">
        <v>1960</v>
      </c>
      <c r="B515" s="114"/>
      <c r="C515" s="120" t="s">
        <v>1961</v>
      </c>
      <c r="D515" s="110"/>
      <c r="E515" s="108" t="s">
        <v>821</v>
      </c>
      <c r="F515" s="114"/>
      <c r="G515" s="120" t="s">
        <v>830</v>
      </c>
      <c r="H515" s="114"/>
      <c r="I515" s="111" t="n">
        <v>5085</v>
      </c>
      <c r="J515" s="110"/>
      <c r="K515" s="120" t="s">
        <v>1937</v>
      </c>
      <c r="L515" s="110"/>
      <c r="M515" s="112" t="n">
        <v>58</v>
      </c>
      <c r="N515" s="114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</row>
    <row r="516" customFormat="false" ht="15.75" hidden="false" customHeight="true" outlineLevel="0" collapsed="false">
      <c r="A516" s="108" t="s">
        <v>1962</v>
      </c>
      <c r="B516" s="114"/>
      <c r="C516" s="120" t="s">
        <v>1963</v>
      </c>
      <c r="D516" s="110"/>
      <c r="E516" s="108" t="s">
        <v>821</v>
      </c>
      <c r="F516" s="114"/>
      <c r="G516" s="120" t="s">
        <v>830</v>
      </c>
      <c r="H516" s="114"/>
      <c r="I516" s="111" t="n">
        <v>5085</v>
      </c>
      <c r="J516" s="110"/>
      <c r="K516" s="120" t="s">
        <v>1937</v>
      </c>
      <c r="L516" s="110"/>
      <c r="M516" s="112" t="n">
        <v>58</v>
      </c>
      <c r="N516" s="114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</row>
    <row r="517" customFormat="false" ht="15.75" hidden="false" customHeight="true" outlineLevel="0" collapsed="false">
      <c r="A517" s="108" t="s">
        <v>1964</v>
      </c>
      <c r="B517" s="114"/>
      <c r="C517" s="120" t="s">
        <v>1965</v>
      </c>
      <c r="D517" s="110"/>
      <c r="E517" s="108" t="s">
        <v>821</v>
      </c>
      <c r="F517" s="114"/>
      <c r="G517" s="120" t="s">
        <v>830</v>
      </c>
      <c r="H517" s="114"/>
      <c r="I517" s="111" t="n">
        <v>5085</v>
      </c>
      <c r="J517" s="110"/>
      <c r="K517" s="120" t="s">
        <v>1931</v>
      </c>
      <c r="L517" s="110"/>
      <c r="M517" s="112" t="n">
        <v>58</v>
      </c>
      <c r="N517" s="114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</row>
    <row r="518" customFormat="false" ht="15.75" hidden="false" customHeight="true" outlineLevel="0" collapsed="false">
      <c r="A518" s="108" t="s">
        <v>1966</v>
      </c>
      <c r="B518" s="114"/>
      <c r="C518" s="120" t="s">
        <v>1967</v>
      </c>
      <c r="D518" s="110"/>
      <c r="E518" s="108" t="s">
        <v>821</v>
      </c>
      <c r="F518" s="114"/>
      <c r="G518" s="120" t="s">
        <v>830</v>
      </c>
      <c r="H518" s="114"/>
      <c r="I518" s="111" t="n">
        <v>5085</v>
      </c>
      <c r="J518" s="110"/>
      <c r="K518" s="120" t="s">
        <v>1937</v>
      </c>
      <c r="L518" s="110"/>
      <c r="M518" s="112" t="n">
        <v>58</v>
      </c>
      <c r="N518" s="114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</row>
    <row r="519" customFormat="false" ht="15.75" hidden="false" customHeight="true" outlineLevel="0" collapsed="false">
      <c r="A519" s="108" t="s">
        <v>1968</v>
      </c>
      <c r="B519" s="114"/>
      <c r="C519" s="120" t="s">
        <v>1969</v>
      </c>
      <c r="D519" s="110"/>
      <c r="E519" s="108" t="s">
        <v>821</v>
      </c>
      <c r="F519" s="114"/>
      <c r="G519" s="120" t="s">
        <v>830</v>
      </c>
      <c r="H519" s="114"/>
      <c r="I519" s="111" t="n">
        <v>5085</v>
      </c>
      <c r="J519" s="110"/>
      <c r="K519" s="120" t="s">
        <v>1931</v>
      </c>
      <c r="L519" s="110"/>
      <c r="M519" s="112" t="n">
        <v>58</v>
      </c>
      <c r="N519" s="114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</row>
    <row r="520" customFormat="false" ht="15.75" hidden="false" customHeight="true" outlineLevel="0" collapsed="false">
      <c r="A520" s="108" t="s">
        <v>1970</v>
      </c>
      <c r="B520" s="114"/>
      <c r="C520" s="120" t="s">
        <v>1971</v>
      </c>
      <c r="D520" s="110"/>
      <c r="E520" s="108" t="s">
        <v>844</v>
      </c>
      <c r="F520" s="114"/>
      <c r="G520" s="120" t="s">
        <v>1090</v>
      </c>
      <c r="H520" s="114"/>
      <c r="I520" s="111" t="n">
        <v>5111</v>
      </c>
      <c r="J520" s="110"/>
      <c r="K520" s="120" t="s">
        <v>1972</v>
      </c>
      <c r="L520" s="110"/>
      <c r="M520" s="112" t="n">
        <v>59</v>
      </c>
      <c r="N520" s="114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</row>
    <row r="521" customFormat="false" ht="15.75" hidden="false" customHeight="true" outlineLevel="0" collapsed="false">
      <c r="A521" s="108" t="s">
        <v>1973</v>
      </c>
      <c r="B521" s="114"/>
      <c r="C521" s="120" t="s">
        <v>1974</v>
      </c>
      <c r="D521" s="110"/>
      <c r="E521" s="108" t="s">
        <v>844</v>
      </c>
      <c r="F521" s="114"/>
      <c r="G521" s="120" t="s">
        <v>1090</v>
      </c>
      <c r="H521" s="114"/>
      <c r="I521" s="111" t="n">
        <v>5111</v>
      </c>
      <c r="J521" s="110"/>
      <c r="K521" s="120" t="s">
        <v>1972</v>
      </c>
      <c r="L521" s="110"/>
      <c r="M521" s="112" t="n">
        <v>59</v>
      </c>
      <c r="N521" s="114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</row>
    <row r="522" customFormat="false" ht="15.75" hidden="false" customHeight="true" outlineLevel="0" collapsed="false">
      <c r="A522" s="108" t="s">
        <v>1975</v>
      </c>
      <c r="B522" s="114"/>
      <c r="C522" s="120" t="s">
        <v>1976</v>
      </c>
      <c r="D522" s="110"/>
      <c r="E522" s="108" t="s">
        <v>844</v>
      </c>
      <c r="F522" s="114"/>
      <c r="G522" s="120" t="s">
        <v>1090</v>
      </c>
      <c r="H522" s="114"/>
      <c r="I522" s="111" t="n">
        <v>5111</v>
      </c>
      <c r="J522" s="110"/>
      <c r="K522" s="120" t="s">
        <v>1972</v>
      </c>
      <c r="L522" s="110"/>
      <c r="M522" s="112" t="n">
        <v>59</v>
      </c>
      <c r="N522" s="114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</row>
    <row r="523" customFormat="false" ht="15.75" hidden="false" customHeight="true" outlineLevel="0" collapsed="false">
      <c r="A523" s="108" t="s">
        <v>1977</v>
      </c>
      <c r="B523" s="114"/>
      <c r="C523" s="120" t="s">
        <v>1978</v>
      </c>
      <c r="D523" s="110"/>
      <c r="E523" s="108" t="s">
        <v>844</v>
      </c>
      <c r="F523" s="114"/>
      <c r="G523" s="120" t="s">
        <v>1090</v>
      </c>
      <c r="H523" s="114"/>
      <c r="I523" s="111" t="n">
        <v>5111</v>
      </c>
      <c r="J523" s="110"/>
      <c r="K523" s="120" t="s">
        <v>1972</v>
      </c>
      <c r="L523" s="110"/>
      <c r="M523" s="112" t="n">
        <v>59</v>
      </c>
      <c r="N523" s="114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</row>
    <row r="524" customFormat="false" ht="15.75" hidden="false" customHeight="true" outlineLevel="0" collapsed="false">
      <c r="A524" s="108" t="s">
        <v>1979</v>
      </c>
      <c r="B524" s="114"/>
      <c r="C524" s="120" t="s">
        <v>1980</v>
      </c>
      <c r="D524" s="110"/>
      <c r="E524" s="108" t="s">
        <v>844</v>
      </c>
      <c r="F524" s="114"/>
      <c r="G524" s="120" t="s">
        <v>1090</v>
      </c>
      <c r="H524" s="114"/>
      <c r="I524" s="111" t="n">
        <v>5111</v>
      </c>
      <c r="J524" s="110"/>
      <c r="K524" s="120" t="s">
        <v>1972</v>
      </c>
      <c r="L524" s="110"/>
      <c r="M524" s="112" t="n">
        <v>59</v>
      </c>
      <c r="N524" s="114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</row>
    <row r="525" customFormat="false" ht="15.75" hidden="false" customHeight="true" outlineLevel="0" collapsed="false">
      <c r="A525" s="108" t="s">
        <v>1981</v>
      </c>
      <c r="B525" s="114"/>
      <c r="C525" s="120" t="s">
        <v>1982</v>
      </c>
      <c r="D525" s="110"/>
      <c r="E525" s="108" t="s">
        <v>844</v>
      </c>
      <c r="F525" s="114"/>
      <c r="G525" s="120" t="s">
        <v>1090</v>
      </c>
      <c r="H525" s="114"/>
      <c r="I525" s="111" t="n">
        <v>5111</v>
      </c>
      <c r="J525" s="110"/>
      <c r="K525" s="120" t="s">
        <v>1972</v>
      </c>
      <c r="L525" s="110"/>
      <c r="M525" s="112" t="n">
        <v>59</v>
      </c>
      <c r="N525" s="114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</row>
    <row r="526" customFormat="false" ht="15.75" hidden="false" customHeight="true" outlineLevel="0" collapsed="false">
      <c r="A526" s="108" t="s">
        <v>1983</v>
      </c>
      <c r="B526" s="114"/>
      <c r="C526" s="120" t="s">
        <v>1984</v>
      </c>
      <c r="D526" s="110"/>
      <c r="E526" s="108" t="s">
        <v>844</v>
      </c>
      <c r="F526" s="114"/>
      <c r="G526" s="120" t="s">
        <v>1090</v>
      </c>
      <c r="H526" s="114"/>
      <c r="I526" s="111" t="n">
        <v>5111</v>
      </c>
      <c r="J526" s="110"/>
      <c r="K526" s="120" t="s">
        <v>1972</v>
      </c>
      <c r="L526" s="110"/>
      <c r="M526" s="112" t="n">
        <v>59</v>
      </c>
      <c r="N526" s="114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</row>
    <row r="527" customFormat="false" ht="15.75" hidden="false" customHeight="true" outlineLevel="0" collapsed="false">
      <c r="A527" s="108" t="s">
        <v>1985</v>
      </c>
      <c r="B527" s="114"/>
      <c r="C527" s="120" t="s">
        <v>1986</v>
      </c>
      <c r="D527" s="110"/>
      <c r="E527" s="108" t="s">
        <v>844</v>
      </c>
      <c r="F527" s="114"/>
      <c r="G527" s="120" t="s">
        <v>917</v>
      </c>
      <c r="H527" s="114"/>
      <c r="I527" s="111" t="n">
        <v>5111</v>
      </c>
      <c r="J527" s="110"/>
      <c r="K527" s="120" t="s">
        <v>1972</v>
      </c>
      <c r="L527" s="110"/>
      <c r="M527" s="112" t="n">
        <v>59</v>
      </c>
      <c r="N527" s="114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</row>
    <row r="528" customFormat="false" ht="15.75" hidden="false" customHeight="true" outlineLevel="0" collapsed="false">
      <c r="A528" s="108" t="s">
        <v>1987</v>
      </c>
      <c r="B528" s="114"/>
      <c r="C528" s="120" t="s">
        <v>1988</v>
      </c>
      <c r="D528" s="110"/>
      <c r="E528" s="108" t="s">
        <v>821</v>
      </c>
      <c r="F528" s="114"/>
      <c r="G528" s="120" t="s">
        <v>830</v>
      </c>
      <c r="H528" s="114"/>
      <c r="I528" s="111" t="n">
        <v>5111</v>
      </c>
      <c r="J528" s="110"/>
      <c r="K528" s="120" t="s">
        <v>1972</v>
      </c>
      <c r="L528" s="110"/>
      <c r="M528" s="112" t="n">
        <v>59</v>
      </c>
      <c r="N528" s="114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</row>
    <row r="529" customFormat="false" ht="15.75" hidden="false" customHeight="true" outlineLevel="0" collapsed="false">
      <c r="A529" s="108" t="s">
        <v>1989</v>
      </c>
      <c r="B529" s="114"/>
      <c r="C529" s="120" t="s">
        <v>1990</v>
      </c>
      <c r="D529" s="110"/>
      <c r="E529" s="108" t="s">
        <v>821</v>
      </c>
      <c r="F529" s="114"/>
      <c r="G529" s="120" t="s">
        <v>830</v>
      </c>
      <c r="H529" s="114"/>
      <c r="I529" s="111" t="n">
        <v>5111</v>
      </c>
      <c r="J529" s="110"/>
      <c r="K529" s="120" t="s">
        <v>1972</v>
      </c>
      <c r="L529" s="110"/>
      <c r="M529" s="112" t="n">
        <v>59</v>
      </c>
      <c r="N529" s="114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</row>
    <row r="530" customFormat="false" ht="15.75" hidden="false" customHeight="true" outlineLevel="0" collapsed="false">
      <c r="A530" s="108" t="s">
        <v>1991</v>
      </c>
      <c r="B530" s="114"/>
      <c r="C530" s="120" t="s">
        <v>1992</v>
      </c>
      <c r="D530" s="110"/>
      <c r="E530" s="108" t="s">
        <v>844</v>
      </c>
      <c r="F530" s="114"/>
      <c r="G530" s="120" t="s">
        <v>1181</v>
      </c>
      <c r="H530" s="114"/>
      <c r="I530" s="111" t="n">
        <v>5131</v>
      </c>
      <c r="J530" s="110"/>
      <c r="K530" s="120" t="s">
        <v>1993</v>
      </c>
      <c r="L530" s="110"/>
      <c r="M530" s="112" t="n">
        <v>60</v>
      </c>
      <c r="N530" s="114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</row>
    <row r="531" customFormat="false" ht="15.75" hidden="false" customHeight="true" outlineLevel="0" collapsed="false">
      <c r="A531" s="108" t="s">
        <v>1994</v>
      </c>
      <c r="B531" s="114"/>
      <c r="C531" s="120" t="s">
        <v>1995</v>
      </c>
      <c r="D531" s="110"/>
      <c r="E531" s="108" t="s">
        <v>844</v>
      </c>
      <c r="F531" s="114"/>
      <c r="G531" s="120" t="s">
        <v>1181</v>
      </c>
      <c r="H531" s="114"/>
      <c r="I531" s="111" t="n">
        <v>5131</v>
      </c>
      <c r="J531" s="110"/>
      <c r="K531" s="120" t="s">
        <v>1993</v>
      </c>
      <c r="L531" s="110"/>
      <c r="M531" s="112" t="n">
        <v>60</v>
      </c>
      <c r="N531" s="114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</row>
    <row r="532" customFormat="false" ht="15.75" hidden="false" customHeight="true" outlineLevel="0" collapsed="false">
      <c r="A532" s="108" t="s">
        <v>1996</v>
      </c>
      <c r="B532" s="114"/>
      <c r="C532" s="120" t="s">
        <v>1997</v>
      </c>
      <c r="D532" s="110"/>
      <c r="E532" s="108" t="s">
        <v>844</v>
      </c>
      <c r="F532" s="114"/>
      <c r="G532" s="120" t="s">
        <v>1181</v>
      </c>
      <c r="H532" s="114"/>
      <c r="I532" s="111" t="n">
        <v>5131</v>
      </c>
      <c r="J532" s="110"/>
      <c r="K532" s="120" t="s">
        <v>1993</v>
      </c>
      <c r="L532" s="110"/>
      <c r="M532" s="112" t="n">
        <v>60</v>
      </c>
      <c r="N532" s="114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</row>
    <row r="533" customFormat="false" ht="15.75" hidden="false" customHeight="true" outlineLevel="0" collapsed="false">
      <c r="A533" s="108" t="s">
        <v>1998</v>
      </c>
      <c r="B533" s="114"/>
      <c r="C533" s="120" t="s">
        <v>1999</v>
      </c>
      <c r="D533" s="110"/>
      <c r="E533" s="108" t="s">
        <v>844</v>
      </c>
      <c r="F533" s="114"/>
      <c r="G533" s="120" t="s">
        <v>1181</v>
      </c>
      <c r="H533" s="114"/>
      <c r="I533" s="111" t="n">
        <v>5131</v>
      </c>
      <c r="J533" s="110"/>
      <c r="K533" s="120" t="s">
        <v>1993</v>
      </c>
      <c r="L533" s="110"/>
      <c r="M533" s="112" t="n">
        <v>60</v>
      </c>
      <c r="N533" s="114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</row>
    <row r="534" customFormat="false" ht="15.75" hidden="false" customHeight="true" outlineLevel="0" collapsed="false">
      <c r="A534" s="108" t="s">
        <v>2000</v>
      </c>
      <c r="B534" s="114"/>
      <c r="C534" s="120" t="s">
        <v>2001</v>
      </c>
      <c r="D534" s="110"/>
      <c r="E534" s="108" t="s">
        <v>844</v>
      </c>
      <c r="F534" s="114"/>
      <c r="G534" s="120" t="s">
        <v>1181</v>
      </c>
      <c r="H534" s="114"/>
      <c r="I534" s="111" t="n">
        <v>5131</v>
      </c>
      <c r="J534" s="110"/>
      <c r="K534" s="120" t="s">
        <v>1993</v>
      </c>
      <c r="L534" s="110"/>
      <c r="M534" s="112" t="n">
        <v>60</v>
      </c>
      <c r="N534" s="114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</row>
    <row r="535" customFormat="false" ht="15.75" hidden="false" customHeight="true" outlineLevel="0" collapsed="false">
      <c r="A535" s="108" t="s">
        <v>2002</v>
      </c>
      <c r="B535" s="114"/>
      <c r="C535" s="120" t="s">
        <v>2003</v>
      </c>
      <c r="D535" s="110"/>
      <c r="E535" s="108" t="s">
        <v>844</v>
      </c>
      <c r="F535" s="114"/>
      <c r="G535" s="120" t="s">
        <v>1181</v>
      </c>
      <c r="H535" s="114"/>
      <c r="I535" s="111" t="n">
        <v>5131</v>
      </c>
      <c r="J535" s="110"/>
      <c r="K535" s="120" t="s">
        <v>1993</v>
      </c>
      <c r="L535" s="110"/>
      <c r="M535" s="112" t="n">
        <v>60</v>
      </c>
      <c r="N535" s="114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</row>
    <row r="536" customFormat="false" ht="15.75" hidden="false" customHeight="true" outlineLevel="0" collapsed="false">
      <c r="A536" s="108" t="s">
        <v>2004</v>
      </c>
      <c r="B536" s="114"/>
      <c r="C536" s="120" t="s">
        <v>2005</v>
      </c>
      <c r="D536" s="110"/>
      <c r="E536" s="108" t="s">
        <v>844</v>
      </c>
      <c r="F536" s="114"/>
      <c r="G536" s="120" t="s">
        <v>1181</v>
      </c>
      <c r="H536" s="114"/>
      <c r="I536" s="111" t="n">
        <v>5131</v>
      </c>
      <c r="J536" s="110"/>
      <c r="K536" s="120" t="s">
        <v>1993</v>
      </c>
      <c r="L536" s="110"/>
      <c r="M536" s="112" t="n">
        <v>60</v>
      </c>
      <c r="N536" s="114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</row>
    <row r="537" customFormat="false" ht="15.75" hidden="false" customHeight="true" outlineLevel="0" collapsed="false">
      <c r="A537" s="108" t="s">
        <v>2006</v>
      </c>
      <c r="B537" s="114"/>
      <c r="C537" s="120" t="s">
        <v>2007</v>
      </c>
      <c r="D537" s="110"/>
      <c r="E537" s="108" t="s">
        <v>844</v>
      </c>
      <c r="F537" s="114"/>
      <c r="G537" s="120" t="s">
        <v>1181</v>
      </c>
      <c r="H537" s="114"/>
      <c r="I537" s="111" t="n">
        <v>5131</v>
      </c>
      <c r="J537" s="110"/>
      <c r="K537" s="120" t="s">
        <v>1993</v>
      </c>
      <c r="L537" s="110"/>
      <c r="M537" s="112" t="n">
        <v>60</v>
      </c>
      <c r="N537" s="114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</row>
    <row r="538" customFormat="false" ht="15.75" hidden="false" customHeight="true" outlineLevel="0" collapsed="false">
      <c r="A538" s="108" t="s">
        <v>2008</v>
      </c>
      <c r="B538" s="114"/>
      <c r="C538" s="120" t="s">
        <v>2009</v>
      </c>
      <c r="D538" s="110"/>
      <c r="E538" s="108" t="s">
        <v>844</v>
      </c>
      <c r="F538" s="114"/>
      <c r="G538" s="120" t="s">
        <v>1181</v>
      </c>
      <c r="H538" s="114"/>
      <c r="I538" s="111" t="n">
        <v>5131</v>
      </c>
      <c r="J538" s="110"/>
      <c r="K538" s="120" t="s">
        <v>1993</v>
      </c>
      <c r="L538" s="110"/>
      <c r="M538" s="112" t="n">
        <v>60</v>
      </c>
      <c r="N538" s="114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</row>
    <row r="539" customFormat="false" ht="15.75" hidden="false" customHeight="true" outlineLevel="0" collapsed="false">
      <c r="A539" s="108" t="s">
        <v>2010</v>
      </c>
      <c r="B539" s="114"/>
      <c r="C539" s="120" t="s">
        <v>2011</v>
      </c>
      <c r="D539" s="110"/>
      <c r="E539" s="108" t="s">
        <v>844</v>
      </c>
      <c r="F539" s="114"/>
      <c r="G539" s="120" t="s">
        <v>1181</v>
      </c>
      <c r="H539" s="114"/>
      <c r="I539" s="111" t="n">
        <v>5131</v>
      </c>
      <c r="J539" s="110"/>
      <c r="K539" s="120" t="s">
        <v>1993</v>
      </c>
      <c r="L539" s="110"/>
      <c r="M539" s="112" t="n">
        <v>60</v>
      </c>
      <c r="N539" s="114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</row>
    <row r="540" customFormat="false" ht="15.75" hidden="false" customHeight="true" outlineLevel="0" collapsed="false">
      <c r="A540" s="108" t="s">
        <v>2012</v>
      </c>
      <c r="B540" s="114"/>
      <c r="C540" s="120" t="s">
        <v>2013</v>
      </c>
      <c r="D540" s="110"/>
      <c r="E540" s="108" t="s">
        <v>844</v>
      </c>
      <c r="F540" s="114"/>
      <c r="G540" s="120" t="s">
        <v>1181</v>
      </c>
      <c r="H540" s="114"/>
      <c r="I540" s="111" t="n">
        <v>5131</v>
      </c>
      <c r="J540" s="110"/>
      <c r="K540" s="120" t="s">
        <v>1993</v>
      </c>
      <c r="L540" s="110"/>
      <c r="M540" s="112" t="n">
        <v>60</v>
      </c>
      <c r="N540" s="114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</row>
    <row r="541" customFormat="false" ht="15.75" hidden="false" customHeight="true" outlineLevel="0" collapsed="false">
      <c r="A541" s="108" t="s">
        <v>2014</v>
      </c>
      <c r="B541" s="114"/>
      <c r="C541" s="120" t="s">
        <v>2015</v>
      </c>
      <c r="D541" s="110"/>
      <c r="E541" s="108" t="s">
        <v>844</v>
      </c>
      <c r="F541" s="114"/>
      <c r="G541" s="120" t="s">
        <v>1181</v>
      </c>
      <c r="H541" s="114"/>
      <c r="I541" s="111" t="n">
        <v>5131</v>
      </c>
      <c r="J541" s="110"/>
      <c r="K541" s="120" t="s">
        <v>1993</v>
      </c>
      <c r="L541" s="110"/>
      <c r="M541" s="112" t="n">
        <v>60</v>
      </c>
      <c r="N541" s="114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</row>
    <row r="542" customFormat="false" ht="15.75" hidden="false" customHeight="true" outlineLevel="0" collapsed="false">
      <c r="A542" s="108" t="s">
        <v>2016</v>
      </c>
      <c r="B542" s="114"/>
      <c r="C542" s="120" t="s">
        <v>2017</v>
      </c>
      <c r="D542" s="110"/>
      <c r="E542" s="108" t="s">
        <v>844</v>
      </c>
      <c r="F542" s="114"/>
      <c r="G542" s="120" t="s">
        <v>1181</v>
      </c>
      <c r="H542" s="114"/>
      <c r="I542" s="111" t="n">
        <v>5131</v>
      </c>
      <c r="J542" s="110"/>
      <c r="K542" s="120" t="s">
        <v>1993</v>
      </c>
      <c r="L542" s="110"/>
      <c r="M542" s="112" t="n">
        <v>60</v>
      </c>
      <c r="N542" s="114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</row>
    <row r="543" customFormat="false" ht="15.75" hidden="false" customHeight="true" outlineLevel="0" collapsed="false">
      <c r="A543" s="108" t="s">
        <v>2018</v>
      </c>
      <c r="B543" s="114"/>
      <c r="C543" s="120" t="s">
        <v>2019</v>
      </c>
      <c r="D543" s="110"/>
      <c r="E543" s="108" t="s">
        <v>844</v>
      </c>
      <c r="F543" s="114"/>
      <c r="G543" s="120" t="s">
        <v>1181</v>
      </c>
      <c r="H543" s="114"/>
      <c r="I543" s="111" t="n">
        <v>5131</v>
      </c>
      <c r="J543" s="110"/>
      <c r="K543" s="120" t="s">
        <v>1993</v>
      </c>
      <c r="L543" s="110"/>
      <c r="M543" s="112" t="n">
        <v>60</v>
      </c>
      <c r="N543" s="114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</row>
    <row r="544" customFormat="false" ht="15.75" hidden="false" customHeight="true" outlineLevel="0" collapsed="false">
      <c r="A544" s="108" t="s">
        <v>2020</v>
      </c>
      <c r="B544" s="114"/>
      <c r="C544" s="120" t="s">
        <v>2021</v>
      </c>
      <c r="D544" s="110"/>
      <c r="E544" s="108" t="s">
        <v>844</v>
      </c>
      <c r="F544" s="114"/>
      <c r="G544" s="120" t="s">
        <v>1181</v>
      </c>
      <c r="H544" s="114"/>
      <c r="I544" s="111" t="n">
        <v>5131</v>
      </c>
      <c r="J544" s="110"/>
      <c r="K544" s="120" t="s">
        <v>1993</v>
      </c>
      <c r="L544" s="110"/>
      <c r="M544" s="112" t="n">
        <v>60</v>
      </c>
      <c r="N544" s="114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</row>
    <row r="545" customFormat="false" ht="15.75" hidden="false" customHeight="true" outlineLevel="0" collapsed="false">
      <c r="A545" s="108" t="s">
        <v>2022</v>
      </c>
      <c r="B545" s="114"/>
      <c r="C545" s="120" t="s">
        <v>2023</v>
      </c>
      <c r="D545" s="110"/>
      <c r="E545" s="108" t="s">
        <v>844</v>
      </c>
      <c r="F545" s="114"/>
      <c r="G545" s="120" t="s">
        <v>917</v>
      </c>
      <c r="H545" s="114"/>
      <c r="I545" s="111" t="n">
        <v>5131</v>
      </c>
      <c r="J545" s="110"/>
      <c r="K545" s="120" t="s">
        <v>1993</v>
      </c>
      <c r="L545" s="110"/>
      <c r="M545" s="112" t="n">
        <v>60</v>
      </c>
      <c r="N545" s="114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</row>
    <row r="546" customFormat="false" ht="15.75" hidden="false" customHeight="true" outlineLevel="0" collapsed="false">
      <c r="A546" s="108" t="s">
        <v>2024</v>
      </c>
      <c r="B546" s="114"/>
      <c r="C546" s="120" t="s">
        <v>2025</v>
      </c>
      <c r="D546" s="110"/>
      <c r="E546" s="108" t="s">
        <v>844</v>
      </c>
      <c r="F546" s="114"/>
      <c r="G546" s="120" t="s">
        <v>917</v>
      </c>
      <c r="H546" s="114"/>
      <c r="I546" s="111" t="n">
        <v>5131</v>
      </c>
      <c r="J546" s="110"/>
      <c r="K546" s="120" t="s">
        <v>1993</v>
      </c>
      <c r="L546" s="110"/>
      <c r="M546" s="112" t="n">
        <v>60</v>
      </c>
      <c r="N546" s="114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</row>
    <row r="547" customFormat="false" ht="15.75" hidden="false" customHeight="true" outlineLevel="0" collapsed="false">
      <c r="A547" s="108" t="s">
        <v>2026</v>
      </c>
      <c r="B547" s="114"/>
      <c r="C547" s="120" t="s">
        <v>2027</v>
      </c>
      <c r="D547" s="110"/>
      <c r="E547" s="108" t="s">
        <v>821</v>
      </c>
      <c r="F547" s="114"/>
      <c r="G547" s="120" t="s">
        <v>830</v>
      </c>
      <c r="H547" s="114"/>
      <c r="I547" s="111" t="n">
        <v>5131</v>
      </c>
      <c r="J547" s="110"/>
      <c r="K547" s="120" t="s">
        <v>1993</v>
      </c>
      <c r="L547" s="110"/>
      <c r="M547" s="112" t="n">
        <v>60</v>
      </c>
      <c r="N547" s="114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</row>
    <row r="548" customFormat="false" ht="15.75" hidden="false" customHeight="true" outlineLevel="0" collapsed="false">
      <c r="A548" s="108" t="s">
        <v>2028</v>
      </c>
      <c r="B548" s="114"/>
      <c r="C548" s="120" t="s">
        <v>2029</v>
      </c>
      <c r="D548" s="110"/>
      <c r="E548" s="108" t="s">
        <v>821</v>
      </c>
      <c r="F548" s="114"/>
      <c r="G548" s="120" t="s">
        <v>830</v>
      </c>
      <c r="H548" s="114"/>
      <c r="I548" s="111" t="n">
        <v>5131</v>
      </c>
      <c r="J548" s="110"/>
      <c r="K548" s="120" t="s">
        <v>1993</v>
      </c>
      <c r="L548" s="110"/>
      <c r="M548" s="112" t="n">
        <v>60</v>
      </c>
      <c r="N548" s="114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</row>
    <row r="549" customFormat="false" ht="15.75" hidden="false" customHeight="true" outlineLevel="0" collapsed="false">
      <c r="A549" s="108" t="s">
        <v>2030</v>
      </c>
      <c r="B549" s="114"/>
      <c r="C549" s="120" t="s">
        <v>2031</v>
      </c>
      <c r="D549" s="110"/>
      <c r="E549" s="108" t="s">
        <v>821</v>
      </c>
      <c r="F549" s="114"/>
      <c r="G549" s="120" t="s">
        <v>830</v>
      </c>
      <c r="H549" s="114"/>
      <c r="I549" s="111" t="n">
        <v>5131</v>
      </c>
      <c r="J549" s="110"/>
      <c r="K549" s="120" t="s">
        <v>1993</v>
      </c>
      <c r="L549" s="110"/>
      <c r="M549" s="112" t="n">
        <v>60</v>
      </c>
      <c r="N549" s="114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</row>
    <row r="550" customFormat="false" ht="15.75" hidden="false" customHeight="true" outlineLevel="0" collapsed="false">
      <c r="A550" s="108" t="s">
        <v>2032</v>
      </c>
      <c r="B550" s="114"/>
      <c r="C550" s="120" t="s">
        <v>2033</v>
      </c>
      <c r="D550" s="110"/>
      <c r="E550" s="108" t="s">
        <v>844</v>
      </c>
      <c r="F550" s="114"/>
      <c r="G550" s="120" t="s">
        <v>1185</v>
      </c>
      <c r="H550" s="114"/>
      <c r="I550" s="111" t="n">
        <v>5137</v>
      </c>
      <c r="J550" s="110"/>
      <c r="K550" s="120" t="s">
        <v>2034</v>
      </c>
      <c r="L550" s="110"/>
      <c r="M550" s="112" t="n">
        <v>61</v>
      </c>
      <c r="N550" s="114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</row>
    <row r="551" customFormat="false" ht="15.75" hidden="false" customHeight="true" outlineLevel="0" collapsed="false">
      <c r="A551" s="108" t="s">
        <v>2035</v>
      </c>
      <c r="B551" s="114"/>
      <c r="C551" s="120" t="s">
        <v>2036</v>
      </c>
      <c r="D551" s="110"/>
      <c r="E551" s="108" t="s">
        <v>844</v>
      </c>
      <c r="F551" s="114"/>
      <c r="G551" s="120" t="s">
        <v>1185</v>
      </c>
      <c r="H551" s="114"/>
      <c r="I551" s="111" t="n">
        <v>5137</v>
      </c>
      <c r="J551" s="110"/>
      <c r="K551" s="120" t="s">
        <v>2034</v>
      </c>
      <c r="L551" s="110"/>
      <c r="M551" s="112" t="n">
        <v>61</v>
      </c>
      <c r="N551" s="114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</row>
    <row r="552" customFormat="false" ht="15.75" hidden="false" customHeight="true" outlineLevel="0" collapsed="false">
      <c r="A552" s="108" t="s">
        <v>2037</v>
      </c>
      <c r="B552" s="114"/>
      <c r="C552" s="120" t="s">
        <v>2038</v>
      </c>
      <c r="D552" s="110"/>
      <c r="E552" s="108" t="s">
        <v>844</v>
      </c>
      <c r="F552" s="114"/>
      <c r="G552" s="120" t="s">
        <v>1185</v>
      </c>
      <c r="H552" s="114"/>
      <c r="I552" s="111" t="n">
        <v>5137</v>
      </c>
      <c r="J552" s="110"/>
      <c r="K552" s="120" t="s">
        <v>2034</v>
      </c>
      <c r="L552" s="110"/>
      <c r="M552" s="112" t="n">
        <v>61</v>
      </c>
      <c r="N552" s="114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</row>
    <row r="553" customFormat="false" ht="15.75" hidden="false" customHeight="true" outlineLevel="0" collapsed="false">
      <c r="A553" s="108" t="s">
        <v>2039</v>
      </c>
      <c r="B553" s="114"/>
      <c r="C553" s="120" t="s">
        <v>2040</v>
      </c>
      <c r="D553" s="110"/>
      <c r="E553" s="108" t="s">
        <v>844</v>
      </c>
      <c r="F553" s="114"/>
      <c r="G553" s="120" t="s">
        <v>1185</v>
      </c>
      <c r="H553" s="114"/>
      <c r="I553" s="111" t="n">
        <v>5137</v>
      </c>
      <c r="J553" s="110"/>
      <c r="K553" s="120" t="s">
        <v>2034</v>
      </c>
      <c r="L553" s="110"/>
      <c r="M553" s="112" t="n">
        <v>61</v>
      </c>
      <c r="N553" s="114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</row>
    <row r="554" customFormat="false" ht="15.75" hidden="false" customHeight="true" outlineLevel="0" collapsed="false">
      <c r="A554" s="108" t="s">
        <v>2041</v>
      </c>
      <c r="B554" s="114"/>
      <c r="C554" s="120" t="s">
        <v>2042</v>
      </c>
      <c r="D554" s="110"/>
      <c r="E554" s="108" t="s">
        <v>844</v>
      </c>
      <c r="F554" s="114"/>
      <c r="G554" s="120" t="s">
        <v>1185</v>
      </c>
      <c r="H554" s="114"/>
      <c r="I554" s="111" t="n">
        <v>5137</v>
      </c>
      <c r="J554" s="110"/>
      <c r="K554" s="120" t="s">
        <v>2034</v>
      </c>
      <c r="L554" s="110"/>
      <c r="M554" s="112" t="n">
        <v>61</v>
      </c>
      <c r="N554" s="114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</row>
    <row r="555" customFormat="false" ht="15.75" hidden="false" customHeight="true" outlineLevel="0" collapsed="false">
      <c r="A555" s="108" t="s">
        <v>2043</v>
      </c>
      <c r="B555" s="114"/>
      <c r="C555" s="120" t="s">
        <v>2044</v>
      </c>
      <c r="D555" s="110"/>
      <c r="E555" s="108" t="s">
        <v>844</v>
      </c>
      <c r="F555" s="114"/>
      <c r="G555" s="120" t="s">
        <v>1185</v>
      </c>
      <c r="H555" s="114"/>
      <c r="I555" s="111" t="n">
        <v>5137</v>
      </c>
      <c r="J555" s="110"/>
      <c r="K555" s="120" t="s">
        <v>2034</v>
      </c>
      <c r="L555" s="110"/>
      <c r="M555" s="112" t="n">
        <v>61</v>
      </c>
      <c r="N555" s="114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</row>
    <row r="556" customFormat="false" ht="15.75" hidden="false" customHeight="true" outlineLevel="0" collapsed="false">
      <c r="A556" s="108" t="s">
        <v>2045</v>
      </c>
      <c r="B556" s="114"/>
      <c r="C556" s="120" t="s">
        <v>2046</v>
      </c>
      <c r="D556" s="110"/>
      <c r="E556" s="108" t="s">
        <v>844</v>
      </c>
      <c r="F556" s="114"/>
      <c r="G556" s="120" t="s">
        <v>1185</v>
      </c>
      <c r="H556" s="114"/>
      <c r="I556" s="111" t="n">
        <v>5137</v>
      </c>
      <c r="J556" s="110"/>
      <c r="K556" s="120" t="s">
        <v>2034</v>
      </c>
      <c r="L556" s="110"/>
      <c r="M556" s="112" t="n">
        <v>61</v>
      </c>
      <c r="N556" s="114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</row>
    <row r="557" customFormat="false" ht="15.75" hidden="false" customHeight="true" outlineLevel="0" collapsed="false">
      <c r="A557" s="108" t="s">
        <v>2047</v>
      </c>
      <c r="B557" s="114"/>
      <c r="C557" s="120" t="s">
        <v>2048</v>
      </c>
      <c r="D557" s="110"/>
      <c r="E557" s="108" t="s">
        <v>844</v>
      </c>
      <c r="F557" s="114"/>
      <c r="G557" s="120" t="s">
        <v>1185</v>
      </c>
      <c r="H557" s="114"/>
      <c r="I557" s="111" t="n">
        <v>5137</v>
      </c>
      <c r="J557" s="110"/>
      <c r="K557" s="120" t="s">
        <v>2034</v>
      </c>
      <c r="L557" s="110"/>
      <c r="M557" s="112" t="n">
        <v>61</v>
      </c>
      <c r="N557" s="114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</row>
    <row r="558" customFormat="false" ht="15.75" hidden="false" customHeight="true" outlineLevel="0" collapsed="false">
      <c r="A558" s="108" t="s">
        <v>2049</v>
      </c>
      <c r="B558" s="114"/>
      <c r="C558" s="120" t="s">
        <v>2050</v>
      </c>
      <c r="D558" s="110"/>
      <c r="E558" s="108" t="s">
        <v>844</v>
      </c>
      <c r="F558" s="114"/>
      <c r="G558" s="120" t="s">
        <v>1185</v>
      </c>
      <c r="H558" s="114"/>
      <c r="I558" s="111" t="n">
        <v>5137</v>
      </c>
      <c r="J558" s="110"/>
      <c r="K558" s="120" t="s">
        <v>2034</v>
      </c>
      <c r="L558" s="110"/>
      <c r="M558" s="112" t="n">
        <v>61</v>
      </c>
      <c r="N558" s="114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</row>
    <row r="559" customFormat="false" ht="15.75" hidden="false" customHeight="true" outlineLevel="0" collapsed="false">
      <c r="A559" s="108" t="s">
        <v>2051</v>
      </c>
      <c r="B559" s="114"/>
      <c r="C559" s="120" t="s">
        <v>2052</v>
      </c>
      <c r="D559" s="110"/>
      <c r="E559" s="108" t="s">
        <v>844</v>
      </c>
      <c r="F559" s="114"/>
      <c r="G559" s="120" t="s">
        <v>917</v>
      </c>
      <c r="H559" s="114"/>
      <c r="I559" s="111" t="n">
        <v>5137</v>
      </c>
      <c r="J559" s="110"/>
      <c r="K559" s="120" t="s">
        <v>2034</v>
      </c>
      <c r="L559" s="110"/>
      <c r="M559" s="112" t="n">
        <v>61</v>
      </c>
      <c r="N559" s="114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</row>
    <row r="560" customFormat="false" ht="15.75" hidden="false" customHeight="true" outlineLevel="0" collapsed="false">
      <c r="A560" s="108" t="s">
        <v>2053</v>
      </c>
      <c r="B560" s="114"/>
      <c r="C560" s="120" t="s">
        <v>2054</v>
      </c>
      <c r="D560" s="110"/>
      <c r="E560" s="108" t="s">
        <v>821</v>
      </c>
      <c r="F560" s="114"/>
      <c r="G560" s="120" t="s">
        <v>830</v>
      </c>
      <c r="H560" s="114"/>
      <c r="I560" s="111" t="n">
        <v>5137</v>
      </c>
      <c r="J560" s="110"/>
      <c r="K560" s="120" t="s">
        <v>2034</v>
      </c>
      <c r="L560" s="110"/>
      <c r="M560" s="112" t="n">
        <v>61</v>
      </c>
      <c r="N560" s="114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</row>
    <row r="561" customFormat="false" ht="15.75" hidden="false" customHeight="true" outlineLevel="0" collapsed="false">
      <c r="A561" s="108" t="s">
        <v>2055</v>
      </c>
      <c r="B561" s="114"/>
      <c r="C561" s="120" t="s">
        <v>2056</v>
      </c>
      <c r="D561" s="110"/>
      <c r="E561" s="108" t="s">
        <v>821</v>
      </c>
      <c r="F561" s="114"/>
      <c r="G561" s="120" t="s">
        <v>830</v>
      </c>
      <c r="H561" s="114"/>
      <c r="I561" s="111" t="n">
        <v>5137</v>
      </c>
      <c r="J561" s="110"/>
      <c r="K561" s="120" t="s">
        <v>2034</v>
      </c>
      <c r="L561" s="110"/>
      <c r="M561" s="112" t="n">
        <v>61</v>
      </c>
      <c r="N561" s="114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</row>
    <row r="562" customFormat="false" ht="15.75" hidden="false" customHeight="true" outlineLevel="0" collapsed="false">
      <c r="A562" s="108" t="s">
        <v>2057</v>
      </c>
      <c r="B562" s="114"/>
      <c r="C562" s="120" t="s">
        <v>2058</v>
      </c>
      <c r="D562" s="110"/>
      <c r="E562" s="108" t="s">
        <v>1219</v>
      </c>
      <c r="F562" s="114"/>
      <c r="G562" s="120" t="s">
        <v>1380</v>
      </c>
      <c r="H562" s="114"/>
      <c r="I562" s="111" t="n">
        <v>5169</v>
      </c>
      <c r="J562" s="110"/>
      <c r="K562" s="120" t="s">
        <v>2059</v>
      </c>
      <c r="L562" s="110"/>
      <c r="M562" s="112" t="n">
        <v>62</v>
      </c>
      <c r="N562" s="114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</row>
    <row r="563" customFormat="false" ht="15.75" hidden="false" customHeight="true" outlineLevel="0" collapsed="false">
      <c r="A563" s="108" t="s">
        <v>2060</v>
      </c>
      <c r="B563" s="114"/>
      <c r="C563" s="120" t="s">
        <v>2061</v>
      </c>
      <c r="D563" s="110"/>
      <c r="E563" s="108" t="s">
        <v>1219</v>
      </c>
      <c r="F563" s="114"/>
      <c r="G563" s="120" t="s">
        <v>1380</v>
      </c>
      <c r="H563" s="114"/>
      <c r="I563" s="111" t="n">
        <v>5169</v>
      </c>
      <c r="J563" s="110"/>
      <c r="K563" s="120" t="s">
        <v>2059</v>
      </c>
      <c r="L563" s="110"/>
      <c r="M563" s="112" t="n">
        <v>62</v>
      </c>
      <c r="N563" s="114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</row>
    <row r="564" customFormat="false" ht="15.75" hidden="false" customHeight="true" outlineLevel="0" collapsed="false">
      <c r="A564" s="108" t="s">
        <v>2062</v>
      </c>
      <c r="B564" s="114"/>
      <c r="C564" s="120" t="s">
        <v>2063</v>
      </c>
      <c r="D564" s="110"/>
      <c r="E564" s="108" t="s">
        <v>1198</v>
      </c>
      <c r="F564" s="114"/>
      <c r="G564" s="120" t="s">
        <v>1199</v>
      </c>
      <c r="H564" s="114"/>
      <c r="I564" s="111" t="n">
        <v>5169</v>
      </c>
      <c r="J564" s="110"/>
      <c r="K564" s="120" t="s">
        <v>2059</v>
      </c>
      <c r="L564" s="110"/>
      <c r="M564" s="112" t="n">
        <v>62</v>
      </c>
      <c r="N564" s="114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</row>
    <row r="565" customFormat="false" ht="15.75" hidden="false" customHeight="true" outlineLevel="0" collapsed="false">
      <c r="A565" s="108" t="s">
        <v>2064</v>
      </c>
      <c r="B565" s="114"/>
      <c r="C565" s="120" t="s">
        <v>2065</v>
      </c>
      <c r="D565" s="110"/>
      <c r="E565" s="108" t="s">
        <v>1198</v>
      </c>
      <c r="F565" s="114"/>
      <c r="G565" s="120" t="s">
        <v>1458</v>
      </c>
      <c r="H565" s="114"/>
      <c r="I565" s="111" t="n">
        <v>5169</v>
      </c>
      <c r="J565" s="110"/>
      <c r="K565" s="120" t="s">
        <v>2059</v>
      </c>
      <c r="L565" s="110"/>
      <c r="M565" s="112" t="n">
        <v>62</v>
      </c>
      <c r="N565" s="114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</row>
    <row r="566" customFormat="false" ht="15.75" hidden="false" customHeight="true" outlineLevel="0" collapsed="false">
      <c r="A566" s="108" t="s">
        <v>2066</v>
      </c>
      <c r="B566" s="114"/>
      <c r="C566" s="120" t="s">
        <v>2067</v>
      </c>
      <c r="D566" s="110"/>
      <c r="E566" s="108" t="s">
        <v>1198</v>
      </c>
      <c r="F566" s="114"/>
      <c r="G566" s="120" t="s">
        <v>1458</v>
      </c>
      <c r="H566" s="114"/>
      <c r="I566" s="111" t="n">
        <v>5169</v>
      </c>
      <c r="J566" s="110"/>
      <c r="K566" s="120" t="s">
        <v>2059</v>
      </c>
      <c r="L566" s="110"/>
      <c r="M566" s="112" t="n">
        <v>62</v>
      </c>
      <c r="N566" s="114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</row>
    <row r="567" customFormat="false" ht="15.75" hidden="false" customHeight="true" outlineLevel="0" collapsed="false">
      <c r="A567" s="108" t="s">
        <v>2068</v>
      </c>
      <c r="B567" s="114"/>
      <c r="C567" s="120" t="s">
        <v>2069</v>
      </c>
      <c r="D567" s="110"/>
      <c r="E567" s="108" t="s">
        <v>1198</v>
      </c>
      <c r="F567" s="114"/>
      <c r="G567" s="120" t="s">
        <v>1458</v>
      </c>
      <c r="H567" s="114"/>
      <c r="I567" s="111" t="n">
        <v>5169</v>
      </c>
      <c r="J567" s="110"/>
      <c r="K567" s="120" t="s">
        <v>2059</v>
      </c>
      <c r="L567" s="110"/>
      <c r="M567" s="112" t="n">
        <v>62</v>
      </c>
      <c r="N567" s="114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</row>
    <row r="568" customFormat="false" ht="15.75" hidden="false" customHeight="true" outlineLevel="0" collapsed="false">
      <c r="A568" s="108" t="s">
        <v>2070</v>
      </c>
      <c r="B568" s="114"/>
      <c r="C568" s="120" t="s">
        <v>2071</v>
      </c>
      <c r="D568" s="110"/>
      <c r="E568" s="108" t="s">
        <v>1198</v>
      </c>
      <c r="F568" s="114"/>
      <c r="G568" s="120" t="s">
        <v>1458</v>
      </c>
      <c r="H568" s="114"/>
      <c r="I568" s="111" t="n">
        <v>5169</v>
      </c>
      <c r="J568" s="110"/>
      <c r="K568" s="120" t="s">
        <v>2059</v>
      </c>
      <c r="L568" s="110"/>
      <c r="M568" s="112" t="n">
        <v>62</v>
      </c>
      <c r="N568" s="114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</row>
    <row r="569" customFormat="false" ht="15.75" hidden="false" customHeight="true" outlineLevel="0" collapsed="false">
      <c r="A569" s="108" t="s">
        <v>2072</v>
      </c>
      <c r="B569" s="114"/>
      <c r="C569" s="120" t="s">
        <v>2073</v>
      </c>
      <c r="D569" s="110"/>
      <c r="E569" s="108" t="s">
        <v>1198</v>
      </c>
      <c r="F569" s="114"/>
      <c r="G569" s="120" t="s">
        <v>1458</v>
      </c>
      <c r="H569" s="114"/>
      <c r="I569" s="111" t="n">
        <v>5169</v>
      </c>
      <c r="J569" s="110"/>
      <c r="K569" s="120" t="s">
        <v>2059</v>
      </c>
      <c r="L569" s="110"/>
      <c r="M569" s="112" t="n">
        <v>62</v>
      </c>
      <c r="N569" s="114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</row>
    <row r="570" customFormat="false" ht="15.75" hidden="false" customHeight="true" outlineLevel="0" collapsed="false">
      <c r="A570" s="108" t="s">
        <v>2074</v>
      </c>
      <c r="B570" s="114"/>
      <c r="C570" s="120" t="s">
        <v>2075</v>
      </c>
      <c r="D570" s="110"/>
      <c r="E570" s="108" t="s">
        <v>1198</v>
      </c>
      <c r="F570" s="114"/>
      <c r="G570" s="120" t="s">
        <v>1458</v>
      </c>
      <c r="H570" s="114"/>
      <c r="I570" s="111" t="n">
        <v>5169</v>
      </c>
      <c r="J570" s="110"/>
      <c r="K570" s="120" t="s">
        <v>2059</v>
      </c>
      <c r="L570" s="110"/>
      <c r="M570" s="112" t="n">
        <v>62</v>
      </c>
      <c r="N570" s="114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</row>
    <row r="571" customFormat="false" ht="15.75" hidden="false" customHeight="true" outlineLevel="0" collapsed="false">
      <c r="A571" s="108" t="s">
        <v>2076</v>
      </c>
      <c r="B571" s="114"/>
      <c r="C571" s="120" t="s">
        <v>2077</v>
      </c>
      <c r="D571" s="110"/>
      <c r="E571" s="108" t="s">
        <v>844</v>
      </c>
      <c r="F571" s="114"/>
      <c r="G571" s="120" t="s">
        <v>1936</v>
      </c>
      <c r="H571" s="114"/>
      <c r="I571" s="111" t="n">
        <v>5169</v>
      </c>
      <c r="J571" s="110"/>
      <c r="K571" s="120" t="s">
        <v>2059</v>
      </c>
      <c r="L571" s="110"/>
      <c r="M571" s="112" t="n">
        <v>62</v>
      </c>
      <c r="N571" s="114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</row>
    <row r="572" customFormat="false" ht="15.75" hidden="false" customHeight="true" outlineLevel="0" collapsed="false">
      <c r="A572" s="108" t="s">
        <v>2078</v>
      </c>
      <c r="B572" s="114"/>
      <c r="C572" s="120" t="s">
        <v>2079</v>
      </c>
      <c r="D572" s="110"/>
      <c r="E572" s="108" t="s">
        <v>844</v>
      </c>
      <c r="F572" s="114"/>
      <c r="G572" s="120" t="s">
        <v>1014</v>
      </c>
      <c r="H572" s="114"/>
      <c r="I572" s="111" t="n">
        <v>5169</v>
      </c>
      <c r="J572" s="110"/>
      <c r="K572" s="120" t="s">
        <v>2059</v>
      </c>
      <c r="L572" s="110"/>
      <c r="M572" s="112" t="n">
        <v>62</v>
      </c>
      <c r="N572" s="114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</row>
    <row r="573" customFormat="false" ht="15.75" hidden="false" customHeight="true" outlineLevel="0" collapsed="false">
      <c r="A573" s="108" t="s">
        <v>2080</v>
      </c>
      <c r="B573" s="114"/>
      <c r="C573" s="120" t="s">
        <v>2081</v>
      </c>
      <c r="D573" s="110"/>
      <c r="E573" s="108" t="s">
        <v>844</v>
      </c>
      <c r="F573" s="114"/>
      <c r="G573" s="120" t="s">
        <v>1014</v>
      </c>
      <c r="H573" s="114"/>
      <c r="I573" s="111" t="n">
        <v>5169</v>
      </c>
      <c r="J573" s="110"/>
      <c r="K573" s="120" t="s">
        <v>2059</v>
      </c>
      <c r="L573" s="110"/>
      <c r="M573" s="112" t="n">
        <v>62</v>
      </c>
      <c r="N573" s="114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</row>
    <row r="574" customFormat="false" ht="15.75" hidden="false" customHeight="true" outlineLevel="0" collapsed="false">
      <c r="A574" s="108" t="s">
        <v>2082</v>
      </c>
      <c r="B574" s="114"/>
      <c r="C574" s="120" t="s">
        <v>2083</v>
      </c>
      <c r="D574" s="110"/>
      <c r="E574" s="108" t="s">
        <v>844</v>
      </c>
      <c r="F574" s="114"/>
      <c r="G574" s="120" t="s">
        <v>1014</v>
      </c>
      <c r="H574" s="114"/>
      <c r="I574" s="111" t="n">
        <v>5169</v>
      </c>
      <c r="J574" s="110"/>
      <c r="K574" s="120" t="s">
        <v>2059</v>
      </c>
      <c r="L574" s="110"/>
      <c r="M574" s="112" t="n">
        <v>62</v>
      </c>
      <c r="N574" s="114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</row>
    <row r="575" customFormat="false" ht="15.75" hidden="false" customHeight="true" outlineLevel="0" collapsed="false">
      <c r="A575" s="108" t="s">
        <v>2084</v>
      </c>
      <c r="B575" s="114"/>
      <c r="C575" s="120" t="s">
        <v>2085</v>
      </c>
      <c r="D575" s="110"/>
      <c r="E575" s="108" t="s">
        <v>844</v>
      </c>
      <c r="F575" s="114"/>
      <c r="G575" s="120" t="s">
        <v>1014</v>
      </c>
      <c r="H575" s="114"/>
      <c r="I575" s="111" t="n">
        <v>5169</v>
      </c>
      <c r="J575" s="110"/>
      <c r="K575" s="120" t="s">
        <v>2059</v>
      </c>
      <c r="L575" s="110"/>
      <c r="M575" s="112" t="n">
        <v>62</v>
      </c>
      <c r="N575" s="114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</row>
    <row r="576" customFormat="false" ht="15.75" hidden="false" customHeight="true" outlineLevel="0" collapsed="false">
      <c r="A576" s="108" t="s">
        <v>2086</v>
      </c>
      <c r="B576" s="114"/>
      <c r="C576" s="120" t="s">
        <v>2087</v>
      </c>
      <c r="D576" s="110"/>
      <c r="E576" s="108" t="s">
        <v>844</v>
      </c>
      <c r="F576" s="114"/>
      <c r="G576" s="120" t="s">
        <v>1014</v>
      </c>
      <c r="H576" s="114"/>
      <c r="I576" s="111" t="n">
        <v>5169</v>
      </c>
      <c r="J576" s="110"/>
      <c r="K576" s="120" t="s">
        <v>2059</v>
      </c>
      <c r="L576" s="110"/>
      <c r="M576" s="112" t="n">
        <v>62</v>
      </c>
      <c r="N576" s="114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</row>
    <row r="577" customFormat="false" ht="15.75" hidden="false" customHeight="true" outlineLevel="0" collapsed="false">
      <c r="A577" s="108" t="s">
        <v>2088</v>
      </c>
      <c r="B577" s="114"/>
      <c r="C577" s="120" t="s">
        <v>2089</v>
      </c>
      <c r="D577" s="110"/>
      <c r="E577" s="108" t="s">
        <v>844</v>
      </c>
      <c r="F577" s="114"/>
      <c r="G577" s="120" t="s">
        <v>1014</v>
      </c>
      <c r="H577" s="114"/>
      <c r="I577" s="111" t="n">
        <v>5169</v>
      </c>
      <c r="J577" s="110"/>
      <c r="K577" s="120" t="s">
        <v>2059</v>
      </c>
      <c r="L577" s="110"/>
      <c r="M577" s="112" t="n">
        <v>62</v>
      </c>
      <c r="N577" s="114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</row>
    <row r="578" customFormat="false" ht="15.75" hidden="false" customHeight="true" outlineLevel="0" collapsed="false">
      <c r="A578" s="108" t="s">
        <v>2090</v>
      </c>
      <c r="B578" s="114"/>
      <c r="C578" s="120" t="s">
        <v>2091</v>
      </c>
      <c r="D578" s="110"/>
      <c r="E578" s="108" t="s">
        <v>844</v>
      </c>
      <c r="F578" s="114"/>
      <c r="G578" s="120" t="s">
        <v>1014</v>
      </c>
      <c r="H578" s="114"/>
      <c r="I578" s="111" t="n">
        <v>5169</v>
      </c>
      <c r="J578" s="110"/>
      <c r="K578" s="120" t="s">
        <v>2059</v>
      </c>
      <c r="L578" s="110"/>
      <c r="M578" s="112" t="n">
        <v>62</v>
      </c>
      <c r="N578" s="114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</row>
    <row r="579" customFormat="false" ht="15.75" hidden="false" customHeight="true" outlineLevel="0" collapsed="false">
      <c r="A579" s="108" t="s">
        <v>2092</v>
      </c>
      <c r="B579" s="114"/>
      <c r="C579" s="120" t="s">
        <v>2093</v>
      </c>
      <c r="D579" s="110"/>
      <c r="E579" s="108" t="s">
        <v>844</v>
      </c>
      <c r="F579" s="114"/>
      <c r="G579" s="120" t="s">
        <v>1014</v>
      </c>
      <c r="H579" s="114"/>
      <c r="I579" s="111" t="n">
        <v>5169</v>
      </c>
      <c r="J579" s="110"/>
      <c r="K579" s="120" t="s">
        <v>2059</v>
      </c>
      <c r="L579" s="110"/>
      <c r="M579" s="112" t="n">
        <v>62</v>
      </c>
      <c r="N579" s="114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</row>
    <row r="580" customFormat="false" ht="15.75" hidden="false" customHeight="true" outlineLevel="0" collapsed="false">
      <c r="A580" s="108" t="s">
        <v>2094</v>
      </c>
      <c r="B580" s="114"/>
      <c r="C580" s="120" t="s">
        <v>2095</v>
      </c>
      <c r="D580" s="110"/>
      <c r="E580" s="108" t="s">
        <v>844</v>
      </c>
      <c r="F580" s="114"/>
      <c r="G580" s="120" t="s">
        <v>1014</v>
      </c>
      <c r="H580" s="114"/>
      <c r="I580" s="111" t="n">
        <v>5169</v>
      </c>
      <c r="J580" s="110"/>
      <c r="K580" s="120" t="s">
        <v>2059</v>
      </c>
      <c r="L580" s="110"/>
      <c r="M580" s="112" t="n">
        <v>62</v>
      </c>
      <c r="N580" s="114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</row>
    <row r="581" customFormat="false" ht="15.75" hidden="false" customHeight="true" outlineLevel="0" collapsed="false">
      <c r="A581" s="108" t="s">
        <v>2096</v>
      </c>
      <c r="B581" s="114"/>
      <c r="C581" s="120" t="s">
        <v>2097</v>
      </c>
      <c r="D581" s="110"/>
      <c r="E581" s="108" t="s">
        <v>844</v>
      </c>
      <c r="F581" s="114"/>
      <c r="G581" s="120" t="s">
        <v>1014</v>
      </c>
      <c r="H581" s="114"/>
      <c r="I581" s="111" t="n">
        <v>5169</v>
      </c>
      <c r="J581" s="110"/>
      <c r="K581" s="120" t="s">
        <v>2059</v>
      </c>
      <c r="L581" s="110"/>
      <c r="M581" s="112" t="n">
        <v>62</v>
      </c>
      <c r="N581" s="114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</row>
    <row r="582" customFormat="false" ht="15.75" hidden="false" customHeight="true" outlineLevel="0" collapsed="false">
      <c r="A582" s="108" t="s">
        <v>2098</v>
      </c>
      <c r="B582" s="114"/>
      <c r="C582" s="120" t="s">
        <v>2099</v>
      </c>
      <c r="D582" s="110"/>
      <c r="E582" s="108" t="s">
        <v>844</v>
      </c>
      <c r="F582" s="114"/>
      <c r="G582" s="120" t="s">
        <v>1014</v>
      </c>
      <c r="H582" s="114"/>
      <c r="I582" s="111" t="n">
        <v>5169</v>
      </c>
      <c r="J582" s="110"/>
      <c r="K582" s="120" t="s">
        <v>2059</v>
      </c>
      <c r="L582" s="110"/>
      <c r="M582" s="112" t="n">
        <v>62</v>
      </c>
      <c r="N582" s="114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</row>
    <row r="583" customFormat="false" ht="15.75" hidden="false" customHeight="true" outlineLevel="0" collapsed="false">
      <c r="A583" s="108" t="s">
        <v>2100</v>
      </c>
      <c r="B583" s="114"/>
      <c r="C583" s="120" t="s">
        <v>2101</v>
      </c>
      <c r="D583" s="110"/>
      <c r="E583" s="108" t="s">
        <v>844</v>
      </c>
      <c r="F583" s="114"/>
      <c r="G583" s="120" t="s">
        <v>1014</v>
      </c>
      <c r="H583" s="114"/>
      <c r="I583" s="111" t="n">
        <v>5169</v>
      </c>
      <c r="J583" s="110"/>
      <c r="K583" s="120" t="s">
        <v>2059</v>
      </c>
      <c r="L583" s="110"/>
      <c r="M583" s="112" t="n">
        <v>62</v>
      </c>
      <c r="N583" s="114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</row>
    <row r="584" customFormat="false" ht="15.75" hidden="false" customHeight="true" outlineLevel="0" collapsed="false">
      <c r="A584" s="108" t="s">
        <v>2102</v>
      </c>
      <c r="B584" s="114"/>
      <c r="C584" s="120" t="s">
        <v>2103</v>
      </c>
      <c r="D584" s="110"/>
      <c r="E584" s="108" t="s">
        <v>844</v>
      </c>
      <c r="F584" s="114"/>
      <c r="G584" s="120" t="s">
        <v>1014</v>
      </c>
      <c r="H584" s="114"/>
      <c r="I584" s="111" t="n">
        <v>5169</v>
      </c>
      <c r="J584" s="110"/>
      <c r="K584" s="120" t="s">
        <v>2059</v>
      </c>
      <c r="L584" s="110"/>
      <c r="M584" s="112" t="n">
        <v>62</v>
      </c>
      <c r="N584" s="114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</row>
    <row r="585" customFormat="false" ht="15.75" hidden="false" customHeight="true" outlineLevel="0" collapsed="false">
      <c r="A585" s="108" t="s">
        <v>2104</v>
      </c>
      <c r="B585" s="114"/>
      <c r="C585" s="120" t="s">
        <v>2105</v>
      </c>
      <c r="D585" s="110"/>
      <c r="E585" s="108" t="s">
        <v>844</v>
      </c>
      <c r="F585" s="114"/>
      <c r="G585" s="120" t="s">
        <v>1014</v>
      </c>
      <c r="H585" s="114"/>
      <c r="I585" s="111" t="n">
        <v>5169</v>
      </c>
      <c r="J585" s="110"/>
      <c r="K585" s="120" t="s">
        <v>2059</v>
      </c>
      <c r="L585" s="110"/>
      <c r="M585" s="112" t="n">
        <v>62</v>
      </c>
      <c r="N585" s="114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</row>
    <row r="586" customFormat="false" ht="15.75" hidden="false" customHeight="true" outlineLevel="0" collapsed="false">
      <c r="A586" s="108" t="s">
        <v>2106</v>
      </c>
      <c r="B586" s="114"/>
      <c r="C586" s="120" t="s">
        <v>2107</v>
      </c>
      <c r="D586" s="110"/>
      <c r="E586" s="108" t="s">
        <v>844</v>
      </c>
      <c r="F586" s="114"/>
      <c r="G586" s="120" t="s">
        <v>1014</v>
      </c>
      <c r="H586" s="114"/>
      <c r="I586" s="111" t="n">
        <v>5169</v>
      </c>
      <c r="J586" s="110"/>
      <c r="K586" s="120" t="s">
        <v>2059</v>
      </c>
      <c r="L586" s="110"/>
      <c r="M586" s="112" t="n">
        <v>62</v>
      </c>
      <c r="N586" s="114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</row>
    <row r="587" customFormat="false" ht="15.75" hidden="false" customHeight="true" outlineLevel="0" collapsed="false">
      <c r="A587" s="108" t="s">
        <v>2108</v>
      </c>
      <c r="B587" s="114"/>
      <c r="C587" s="120" t="s">
        <v>2109</v>
      </c>
      <c r="D587" s="110"/>
      <c r="E587" s="108" t="s">
        <v>844</v>
      </c>
      <c r="F587" s="114"/>
      <c r="G587" s="120" t="s">
        <v>1014</v>
      </c>
      <c r="H587" s="114"/>
      <c r="I587" s="111" t="n">
        <v>5169</v>
      </c>
      <c r="J587" s="110"/>
      <c r="K587" s="120" t="s">
        <v>2059</v>
      </c>
      <c r="L587" s="110"/>
      <c r="M587" s="112" t="n">
        <v>62</v>
      </c>
      <c r="N587" s="114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</row>
    <row r="588" customFormat="false" ht="15.75" hidden="false" customHeight="true" outlineLevel="0" collapsed="false">
      <c r="A588" s="108" t="s">
        <v>2110</v>
      </c>
      <c r="B588" s="114"/>
      <c r="C588" s="120" t="s">
        <v>2111</v>
      </c>
      <c r="D588" s="110"/>
      <c r="E588" s="108" t="s">
        <v>844</v>
      </c>
      <c r="F588" s="114"/>
      <c r="G588" s="120" t="s">
        <v>1014</v>
      </c>
      <c r="H588" s="114"/>
      <c r="I588" s="111" t="n">
        <v>5169</v>
      </c>
      <c r="J588" s="110"/>
      <c r="K588" s="120" t="s">
        <v>2059</v>
      </c>
      <c r="L588" s="110"/>
      <c r="M588" s="112" t="n">
        <v>62</v>
      </c>
      <c r="N588" s="114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</row>
    <row r="589" customFormat="false" ht="15.75" hidden="false" customHeight="true" outlineLevel="0" collapsed="false">
      <c r="A589" s="108" t="s">
        <v>2112</v>
      </c>
      <c r="B589" s="114"/>
      <c r="C589" s="120" t="s">
        <v>2113</v>
      </c>
      <c r="D589" s="110"/>
      <c r="E589" s="108" t="s">
        <v>844</v>
      </c>
      <c r="F589" s="114"/>
      <c r="G589" s="120" t="s">
        <v>1014</v>
      </c>
      <c r="H589" s="114"/>
      <c r="I589" s="111" t="n">
        <v>5169</v>
      </c>
      <c r="J589" s="110"/>
      <c r="K589" s="120" t="s">
        <v>2059</v>
      </c>
      <c r="L589" s="110"/>
      <c r="M589" s="112" t="n">
        <v>62</v>
      </c>
      <c r="N589" s="114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</row>
    <row r="590" customFormat="false" ht="15.75" hidden="false" customHeight="true" outlineLevel="0" collapsed="false">
      <c r="A590" s="108" t="s">
        <v>2114</v>
      </c>
      <c r="B590" s="114"/>
      <c r="C590" s="120" t="s">
        <v>2115</v>
      </c>
      <c r="D590" s="110"/>
      <c r="E590" s="108" t="s">
        <v>844</v>
      </c>
      <c r="F590" s="114"/>
      <c r="G590" s="120" t="s">
        <v>1014</v>
      </c>
      <c r="H590" s="114"/>
      <c r="I590" s="111" t="n">
        <v>5169</v>
      </c>
      <c r="J590" s="110"/>
      <c r="K590" s="120" t="s">
        <v>2059</v>
      </c>
      <c r="L590" s="110"/>
      <c r="M590" s="112" t="n">
        <v>62</v>
      </c>
      <c r="N590" s="114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</row>
    <row r="591" customFormat="false" ht="15.75" hidden="false" customHeight="true" outlineLevel="0" collapsed="false">
      <c r="A591" s="108" t="s">
        <v>2116</v>
      </c>
      <c r="B591" s="114"/>
      <c r="C591" s="120" t="s">
        <v>2117</v>
      </c>
      <c r="D591" s="110"/>
      <c r="E591" s="108" t="s">
        <v>844</v>
      </c>
      <c r="F591" s="114"/>
      <c r="G591" s="120" t="s">
        <v>1014</v>
      </c>
      <c r="H591" s="114"/>
      <c r="I591" s="111" t="n">
        <v>5169</v>
      </c>
      <c r="J591" s="110"/>
      <c r="K591" s="120" t="s">
        <v>2059</v>
      </c>
      <c r="L591" s="110"/>
      <c r="M591" s="112" t="n">
        <v>62</v>
      </c>
      <c r="N591" s="114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</row>
    <row r="592" customFormat="false" ht="15.75" hidden="false" customHeight="true" outlineLevel="0" collapsed="false">
      <c r="A592" s="108" t="s">
        <v>2118</v>
      </c>
      <c r="B592" s="114"/>
      <c r="C592" s="120" t="s">
        <v>2119</v>
      </c>
      <c r="D592" s="110"/>
      <c r="E592" s="108" t="s">
        <v>844</v>
      </c>
      <c r="F592" s="114"/>
      <c r="G592" s="120" t="s">
        <v>1014</v>
      </c>
      <c r="H592" s="114"/>
      <c r="I592" s="111" t="n">
        <v>5169</v>
      </c>
      <c r="J592" s="110"/>
      <c r="K592" s="120" t="s">
        <v>2059</v>
      </c>
      <c r="L592" s="110"/>
      <c r="M592" s="112" t="n">
        <v>62</v>
      </c>
      <c r="N592" s="114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</row>
    <row r="593" customFormat="false" ht="15.75" hidden="false" customHeight="true" outlineLevel="0" collapsed="false">
      <c r="A593" s="108" t="s">
        <v>2120</v>
      </c>
      <c r="B593" s="114"/>
      <c r="C593" s="120" t="s">
        <v>2121</v>
      </c>
      <c r="D593" s="110"/>
      <c r="E593" s="108" t="s">
        <v>844</v>
      </c>
      <c r="F593" s="114"/>
      <c r="G593" s="120" t="s">
        <v>1014</v>
      </c>
      <c r="H593" s="114"/>
      <c r="I593" s="111" t="n">
        <v>5169</v>
      </c>
      <c r="J593" s="110"/>
      <c r="K593" s="120" t="s">
        <v>2059</v>
      </c>
      <c r="L593" s="110"/>
      <c r="M593" s="112" t="n">
        <v>62</v>
      </c>
      <c r="N593" s="114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</row>
    <row r="594" customFormat="false" ht="15.75" hidden="false" customHeight="true" outlineLevel="0" collapsed="false">
      <c r="A594" s="108" t="s">
        <v>2122</v>
      </c>
      <c r="B594" s="114"/>
      <c r="C594" s="120" t="s">
        <v>2123</v>
      </c>
      <c r="D594" s="110"/>
      <c r="E594" s="108" t="s">
        <v>844</v>
      </c>
      <c r="F594" s="114"/>
      <c r="G594" s="120" t="s">
        <v>1014</v>
      </c>
      <c r="H594" s="114"/>
      <c r="I594" s="111" t="n">
        <v>5169</v>
      </c>
      <c r="J594" s="110"/>
      <c r="K594" s="120" t="s">
        <v>2059</v>
      </c>
      <c r="L594" s="110"/>
      <c r="M594" s="112" t="n">
        <v>62</v>
      </c>
      <c r="N594" s="114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</row>
    <row r="595" customFormat="false" ht="15.75" hidden="false" customHeight="true" outlineLevel="0" collapsed="false">
      <c r="A595" s="108" t="s">
        <v>2124</v>
      </c>
      <c r="B595" s="114"/>
      <c r="C595" s="120" t="s">
        <v>2125</v>
      </c>
      <c r="D595" s="110"/>
      <c r="E595" s="108" t="s">
        <v>844</v>
      </c>
      <c r="F595" s="114"/>
      <c r="G595" s="120" t="s">
        <v>1046</v>
      </c>
      <c r="H595" s="114"/>
      <c r="I595" s="111" t="n">
        <v>5169</v>
      </c>
      <c r="J595" s="110"/>
      <c r="K595" s="120" t="s">
        <v>2059</v>
      </c>
      <c r="L595" s="110"/>
      <c r="M595" s="112" t="n">
        <v>62</v>
      </c>
      <c r="N595" s="114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</row>
    <row r="596" customFormat="false" ht="15.75" hidden="false" customHeight="true" outlineLevel="0" collapsed="false">
      <c r="A596" s="108" t="s">
        <v>2126</v>
      </c>
      <c r="B596" s="114"/>
      <c r="C596" s="120" t="s">
        <v>2127</v>
      </c>
      <c r="D596" s="110"/>
      <c r="E596" s="108" t="s">
        <v>821</v>
      </c>
      <c r="F596" s="114"/>
      <c r="G596" s="120" t="s">
        <v>830</v>
      </c>
      <c r="H596" s="114"/>
      <c r="I596" s="111" t="n">
        <v>5169</v>
      </c>
      <c r="J596" s="110"/>
      <c r="K596" s="120" t="s">
        <v>2059</v>
      </c>
      <c r="L596" s="110"/>
      <c r="M596" s="112" t="n">
        <v>62</v>
      </c>
      <c r="N596" s="114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</row>
    <row r="597" customFormat="false" ht="15.75" hidden="false" customHeight="true" outlineLevel="0" collapsed="false">
      <c r="A597" s="108" t="s">
        <v>2128</v>
      </c>
      <c r="B597" s="114"/>
      <c r="C597" s="120" t="s">
        <v>2129</v>
      </c>
      <c r="D597" s="110"/>
      <c r="E597" s="108" t="s">
        <v>821</v>
      </c>
      <c r="F597" s="114"/>
      <c r="G597" s="120" t="s">
        <v>830</v>
      </c>
      <c r="H597" s="114"/>
      <c r="I597" s="111" t="n">
        <v>5169</v>
      </c>
      <c r="J597" s="110"/>
      <c r="K597" s="120" t="s">
        <v>2059</v>
      </c>
      <c r="L597" s="110"/>
      <c r="M597" s="112" t="n">
        <v>62</v>
      </c>
      <c r="N597" s="114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</row>
    <row r="598" customFormat="false" ht="15.75" hidden="false" customHeight="true" outlineLevel="0" collapsed="false">
      <c r="A598" s="108" t="s">
        <v>2130</v>
      </c>
      <c r="B598" s="114"/>
      <c r="C598" s="120" t="s">
        <v>2131</v>
      </c>
      <c r="D598" s="110"/>
      <c r="E598" s="108" t="s">
        <v>821</v>
      </c>
      <c r="F598" s="114"/>
      <c r="G598" s="120" t="s">
        <v>830</v>
      </c>
      <c r="H598" s="114"/>
      <c r="I598" s="111" t="n">
        <v>5169</v>
      </c>
      <c r="J598" s="110"/>
      <c r="K598" s="120" t="s">
        <v>2059</v>
      </c>
      <c r="L598" s="110"/>
      <c r="M598" s="112" t="n">
        <v>62</v>
      </c>
      <c r="N598" s="114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</row>
    <row r="599" customFormat="false" ht="15.75" hidden="false" customHeight="true" outlineLevel="0" collapsed="false">
      <c r="A599" s="108" t="s">
        <v>2132</v>
      </c>
      <c r="B599" s="114"/>
      <c r="C599" s="120" t="s">
        <v>2133</v>
      </c>
      <c r="D599" s="110"/>
      <c r="E599" s="108" t="s">
        <v>818</v>
      </c>
      <c r="F599" s="114"/>
      <c r="G599" s="120" t="s">
        <v>818</v>
      </c>
      <c r="H599" s="114"/>
      <c r="I599" s="111" t="n">
        <v>5169</v>
      </c>
      <c r="J599" s="110"/>
      <c r="K599" s="120" t="s">
        <v>2059</v>
      </c>
      <c r="L599" s="110"/>
      <c r="M599" s="112" t="n">
        <v>62</v>
      </c>
      <c r="N599" s="114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</row>
    <row r="600" customFormat="false" ht="15.75" hidden="false" customHeight="true" outlineLevel="0" collapsed="false">
      <c r="A600" s="108" t="s">
        <v>2134</v>
      </c>
      <c r="B600" s="114"/>
      <c r="C600" s="120" t="s">
        <v>2135</v>
      </c>
      <c r="D600" s="110"/>
      <c r="E600" s="108" t="s">
        <v>1198</v>
      </c>
      <c r="F600" s="114"/>
      <c r="G600" s="120" t="s">
        <v>2136</v>
      </c>
      <c r="H600" s="114"/>
      <c r="I600" s="111" t="n">
        <v>5172</v>
      </c>
      <c r="J600" s="110"/>
      <c r="K600" s="120" t="s">
        <v>2137</v>
      </c>
      <c r="L600" s="110"/>
      <c r="M600" s="112" t="n">
        <v>63</v>
      </c>
      <c r="N600" s="114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</row>
    <row r="601" customFormat="false" ht="15.75" hidden="false" customHeight="true" outlineLevel="0" collapsed="false">
      <c r="A601" s="108" t="s">
        <v>2138</v>
      </c>
      <c r="B601" s="114"/>
      <c r="C601" s="120" t="s">
        <v>2139</v>
      </c>
      <c r="D601" s="110"/>
      <c r="E601" s="108" t="s">
        <v>1198</v>
      </c>
      <c r="F601" s="114"/>
      <c r="G601" s="120" t="s">
        <v>2136</v>
      </c>
      <c r="H601" s="114"/>
      <c r="I601" s="111" t="n">
        <v>5172</v>
      </c>
      <c r="J601" s="110"/>
      <c r="K601" s="120" t="s">
        <v>2137</v>
      </c>
      <c r="L601" s="110"/>
      <c r="M601" s="112" t="n">
        <v>63</v>
      </c>
      <c r="N601" s="114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</row>
    <row r="602" customFormat="false" ht="15.75" hidden="false" customHeight="true" outlineLevel="0" collapsed="false">
      <c r="A602" s="108" t="s">
        <v>2140</v>
      </c>
      <c r="B602" s="114"/>
      <c r="C602" s="120" t="s">
        <v>2141</v>
      </c>
      <c r="D602" s="110"/>
      <c r="E602" s="108" t="s">
        <v>1198</v>
      </c>
      <c r="F602" s="114"/>
      <c r="G602" s="120" t="s">
        <v>2136</v>
      </c>
      <c r="H602" s="114"/>
      <c r="I602" s="111" t="n">
        <v>5172</v>
      </c>
      <c r="J602" s="110"/>
      <c r="K602" s="120" t="s">
        <v>2137</v>
      </c>
      <c r="L602" s="110"/>
      <c r="M602" s="112" t="n">
        <v>63</v>
      </c>
      <c r="N602" s="114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</row>
    <row r="603" customFormat="false" ht="15.75" hidden="false" customHeight="true" outlineLevel="0" collapsed="false">
      <c r="A603" s="108" t="s">
        <v>2142</v>
      </c>
      <c r="B603" s="114"/>
      <c r="C603" s="120" t="s">
        <v>2143</v>
      </c>
      <c r="D603" s="110"/>
      <c r="E603" s="108" t="s">
        <v>1198</v>
      </c>
      <c r="F603" s="114"/>
      <c r="G603" s="120" t="s">
        <v>1794</v>
      </c>
      <c r="H603" s="114"/>
      <c r="I603" s="111" t="n">
        <v>5172</v>
      </c>
      <c r="J603" s="110"/>
      <c r="K603" s="120" t="s">
        <v>2137</v>
      </c>
      <c r="L603" s="110"/>
      <c r="M603" s="112" t="n">
        <v>63</v>
      </c>
      <c r="N603" s="114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</row>
    <row r="604" customFormat="false" ht="15.75" hidden="false" customHeight="true" outlineLevel="0" collapsed="false">
      <c r="A604" s="108" t="s">
        <v>2144</v>
      </c>
      <c r="B604" s="114"/>
      <c r="C604" s="120" t="s">
        <v>2145</v>
      </c>
      <c r="D604" s="110"/>
      <c r="E604" s="108" t="s">
        <v>844</v>
      </c>
      <c r="F604" s="114"/>
      <c r="G604" s="120" t="s">
        <v>1936</v>
      </c>
      <c r="H604" s="114"/>
      <c r="I604" s="111" t="n">
        <v>5172</v>
      </c>
      <c r="J604" s="110"/>
      <c r="K604" s="120" t="s">
        <v>2137</v>
      </c>
      <c r="L604" s="110"/>
      <c r="M604" s="112" t="n">
        <v>63</v>
      </c>
      <c r="N604" s="114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</row>
    <row r="605" customFormat="false" ht="15.75" hidden="false" customHeight="true" outlineLevel="0" collapsed="false">
      <c r="A605" s="108" t="s">
        <v>2146</v>
      </c>
      <c r="B605" s="114"/>
      <c r="C605" s="120" t="s">
        <v>2147</v>
      </c>
      <c r="D605" s="110"/>
      <c r="E605" s="108" t="s">
        <v>844</v>
      </c>
      <c r="F605" s="114"/>
      <c r="G605" s="120" t="s">
        <v>1936</v>
      </c>
      <c r="H605" s="114"/>
      <c r="I605" s="111" t="n">
        <v>5172</v>
      </c>
      <c r="J605" s="110"/>
      <c r="K605" s="120" t="s">
        <v>2137</v>
      </c>
      <c r="L605" s="110"/>
      <c r="M605" s="112" t="n">
        <v>63</v>
      </c>
      <c r="N605" s="114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</row>
    <row r="606" customFormat="false" ht="15.75" hidden="false" customHeight="true" outlineLevel="0" collapsed="false">
      <c r="A606" s="108" t="s">
        <v>2148</v>
      </c>
      <c r="B606" s="114"/>
      <c r="C606" s="120" t="s">
        <v>2149</v>
      </c>
      <c r="D606" s="110"/>
      <c r="E606" s="108" t="s">
        <v>844</v>
      </c>
      <c r="F606" s="114"/>
      <c r="G606" s="120" t="s">
        <v>1936</v>
      </c>
      <c r="H606" s="114"/>
      <c r="I606" s="111" t="n">
        <v>5172</v>
      </c>
      <c r="J606" s="110"/>
      <c r="K606" s="120" t="s">
        <v>2137</v>
      </c>
      <c r="L606" s="110"/>
      <c r="M606" s="112" t="n">
        <v>63</v>
      </c>
      <c r="N606" s="114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</row>
    <row r="607" customFormat="false" ht="15.75" hidden="false" customHeight="true" outlineLevel="0" collapsed="false">
      <c r="A607" s="108" t="s">
        <v>2150</v>
      </c>
      <c r="B607" s="114"/>
      <c r="C607" s="120" t="s">
        <v>2151</v>
      </c>
      <c r="D607" s="110"/>
      <c r="E607" s="108" t="s">
        <v>844</v>
      </c>
      <c r="F607" s="114"/>
      <c r="G607" s="120" t="s">
        <v>1936</v>
      </c>
      <c r="H607" s="114"/>
      <c r="I607" s="111" t="n">
        <v>5172</v>
      </c>
      <c r="J607" s="110"/>
      <c r="K607" s="120" t="s">
        <v>2137</v>
      </c>
      <c r="L607" s="110"/>
      <c r="M607" s="112" t="n">
        <v>63</v>
      </c>
      <c r="N607" s="114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</row>
    <row r="608" customFormat="false" ht="15.75" hidden="false" customHeight="true" outlineLevel="0" collapsed="false">
      <c r="A608" s="108" t="s">
        <v>2152</v>
      </c>
      <c r="B608" s="114"/>
      <c r="C608" s="120" t="s">
        <v>2153</v>
      </c>
      <c r="D608" s="110"/>
      <c r="E608" s="108" t="s">
        <v>844</v>
      </c>
      <c r="F608" s="114"/>
      <c r="G608" s="120" t="s">
        <v>1936</v>
      </c>
      <c r="H608" s="114"/>
      <c r="I608" s="111" t="n">
        <v>5172</v>
      </c>
      <c r="J608" s="110"/>
      <c r="K608" s="120" t="s">
        <v>2137</v>
      </c>
      <c r="L608" s="110"/>
      <c r="M608" s="112" t="n">
        <v>63</v>
      </c>
      <c r="N608" s="114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</row>
    <row r="609" customFormat="false" ht="15.75" hidden="false" customHeight="true" outlineLevel="0" collapsed="false">
      <c r="A609" s="108" t="s">
        <v>2154</v>
      </c>
      <c r="B609" s="114"/>
      <c r="C609" s="120" t="s">
        <v>2155</v>
      </c>
      <c r="D609" s="110"/>
      <c r="E609" s="108" t="s">
        <v>821</v>
      </c>
      <c r="F609" s="114"/>
      <c r="G609" s="120" t="s">
        <v>830</v>
      </c>
      <c r="H609" s="114"/>
      <c r="I609" s="111" t="n">
        <v>5172</v>
      </c>
      <c r="J609" s="110"/>
      <c r="K609" s="120" t="s">
        <v>2137</v>
      </c>
      <c r="L609" s="110"/>
      <c r="M609" s="112" t="n">
        <v>63</v>
      </c>
      <c r="N609" s="114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</row>
    <row r="610" customFormat="false" ht="15.75" hidden="false" customHeight="true" outlineLevel="0" collapsed="false">
      <c r="A610" s="108" t="s">
        <v>2156</v>
      </c>
      <c r="B610" s="114"/>
      <c r="C610" s="120" t="s">
        <v>2157</v>
      </c>
      <c r="D610" s="110"/>
      <c r="E610" s="108" t="s">
        <v>821</v>
      </c>
      <c r="F610" s="114"/>
      <c r="G610" s="120" t="s">
        <v>830</v>
      </c>
      <c r="H610" s="114"/>
      <c r="I610" s="111" t="n">
        <v>5172</v>
      </c>
      <c r="J610" s="110"/>
      <c r="K610" s="120" t="s">
        <v>2137</v>
      </c>
      <c r="L610" s="110"/>
      <c r="M610" s="112" t="n">
        <v>63</v>
      </c>
      <c r="N610" s="114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</row>
    <row r="611" customFormat="false" ht="15.75" hidden="false" customHeight="true" outlineLevel="0" collapsed="false">
      <c r="A611" s="108" t="s">
        <v>2158</v>
      </c>
      <c r="B611" s="114"/>
      <c r="C611" s="120" t="s">
        <v>2159</v>
      </c>
      <c r="D611" s="110"/>
      <c r="E611" s="108" t="s">
        <v>821</v>
      </c>
      <c r="F611" s="114"/>
      <c r="G611" s="120" t="s">
        <v>830</v>
      </c>
      <c r="H611" s="114"/>
      <c r="I611" s="111" t="n">
        <v>5172</v>
      </c>
      <c r="J611" s="110"/>
      <c r="K611" s="120" t="s">
        <v>2137</v>
      </c>
      <c r="L611" s="110"/>
      <c r="M611" s="112" t="n">
        <v>63</v>
      </c>
      <c r="N611" s="114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</row>
    <row r="612" customFormat="false" ht="15.75" hidden="false" customHeight="true" outlineLevel="0" collapsed="false">
      <c r="A612" s="108" t="s">
        <v>2160</v>
      </c>
      <c r="B612" s="114"/>
      <c r="C612" s="120" t="s">
        <v>2161</v>
      </c>
      <c r="D612" s="110"/>
      <c r="E612" s="108" t="s">
        <v>821</v>
      </c>
      <c r="F612" s="114"/>
      <c r="G612" s="120" t="s">
        <v>830</v>
      </c>
      <c r="H612" s="114"/>
      <c r="I612" s="111" t="n">
        <v>5172</v>
      </c>
      <c r="J612" s="110"/>
      <c r="K612" s="120" t="s">
        <v>2137</v>
      </c>
      <c r="L612" s="110"/>
      <c r="M612" s="112" t="n">
        <v>63</v>
      </c>
      <c r="N612" s="114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</row>
    <row r="613" customFormat="false" ht="15.75" hidden="false" customHeight="true" outlineLevel="0" collapsed="false">
      <c r="A613" s="108" t="s">
        <v>2162</v>
      </c>
      <c r="B613" s="114"/>
      <c r="C613" s="120" t="s">
        <v>2163</v>
      </c>
      <c r="D613" s="110"/>
      <c r="E613" s="108" t="s">
        <v>821</v>
      </c>
      <c r="F613" s="114"/>
      <c r="G613" s="120" t="s">
        <v>830</v>
      </c>
      <c r="H613" s="114"/>
      <c r="I613" s="111" t="n">
        <v>5172</v>
      </c>
      <c r="J613" s="110"/>
      <c r="K613" s="120" t="s">
        <v>2137</v>
      </c>
      <c r="L613" s="110"/>
      <c r="M613" s="112" t="n">
        <v>63</v>
      </c>
      <c r="N613" s="114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</row>
    <row r="614" customFormat="false" ht="15.75" hidden="false" customHeight="true" outlineLevel="0" collapsed="false">
      <c r="A614" s="108" t="s">
        <v>2164</v>
      </c>
      <c r="B614" s="114"/>
      <c r="C614" s="120" t="s">
        <v>2165</v>
      </c>
      <c r="D614" s="110"/>
      <c r="E614" s="108" t="s">
        <v>821</v>
      </c>
      <c r="F614" s="114"/>
      <c r="G614" s="120" t="s">
        <v>830</v>
      </c>
      <c r="H614" s="114"/>
      <c r="I614" s="111" t="n">
        <v>5172</v>
      </c>
      <c r="J614" s="110"/>
      <c r="K614" s="120" t="s">
        <v>2137</v>
      </c>
      <c r="L614" s="110"/>
      <c r="M614" s="112" t="n">
        <v>63</v>
      </c>
      <c r="N614" s="114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</row>
    <row r="615" customFormat="false" ht="15.75" hidden="false" customHeight="true" outlineLevel="0" collapsed="false">
      <c r="A615" s="108" t="s">
        <v>2166</v>
      </c>
      <c r="B615" s="114"/>
      <c r="C615" s="120" t="s">
        <v>2167</v>
      </c>
      <c r="D615" s="110"/>
      <c r="E615" s="108" t="s">
        <v>821</v>
      </c>
      <c r="F615" s="114"/>
      <c r="G615" s="120" t="s">
        <v>830</v>
      </c>
      <c r="H615" s="114"/>
      <c r="I615" s="111" t="n">
        <v>5172</v>
      </c>
      <c r="J615" s="110"/>
      <c r="K615" s="120" t="s">
        <v>2137</v>
      </c>
      <c r="L615" s="110"/>
      <c r="M615" s="112" t="n">
        <v>63</v>
      </c>
      <c r="N615" s="114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</row>
    <row r="616" customFormat="false" ht="15.75" hidden="false" customHeight="true" outlineLevel="0" collapsed="false">
      <c r="A616" s="108" t="s">
        <v>2168</v>
      </c>
      <c r="B616" s="114"/>
      <c r="C616" s="120" t="s">
        <v>2169</v>
      </c>
      <c r="D616" s="110"/>
      <c r="E616" s="108" t="s">
        <v>821</v>
      </c>
      <c r="F616" s="114"/>
      <c r="G616" s="120" t="s">
        <v>830</v>
      </c>
      <c r="H616" s="114"/>
      <c r="I616" s="111" t="n">
        <v>5192</v>
      </c>
      <c r="J616" s="110"/>
      <c r="K616" s="120" t="s">
        <v>2170</v>
      </c>
      <c r="L616" s="110"/>
      <c r="M616" s="112" t="n">
        <v>64</v>
      </c>
      <c r="N616" s="114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</row>
    <row r="617" customFormat="false" ht="15.75" hidden="false" customHeight="true" outlineLevel="0" collapsed="false">
      <c r="A617" s="108" t="s">
        <v>2171</v>
      </c>
      <c r="B617" s="114"/>
      <c r="C617" s="120" t="s">
        <v>2172</v>
      </c>
      <c r="D617" s="110"/>
      <c r="E617" s="108" t="s">
        <v>821</v>
      </c>
      <c r="F617" s="114"/>
      <c r="G617" s="120" t="s">
        <v>830</v>
      </c>
      <c r="H617" s="114"/>
      <c r="I617" s="111" t="n">
        <v>5192</v>
      </c>
      <c r="J617" s="110"/>
      <c r="K617" s="120" t="s">
        <v>2170</v>
      </c>
      <c r="L617" s="110"/>
      <c r="M617" s="112" t="n">
        <v>64</v>
      </c>
      <c r="N617" s="114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</row>
    <row r="618" customFormat="false" ht="15.75" hidden="false" customHeight="true" outlineLevel="0" collapsed="false">
      <c r="A618" s="108" t="s">
        <v>2173</v>
      </c>
      <c r="B618" s="114"/>
      <c r="C618" s="120" t="s">
        <v>2174</v>
      </c>
      <c r="D618" s="110"/>
      <c r="E618" s="108" t="s">
        <v>808</v>
      </c>
      <c r="F618" s="114"/>
      <c r="G618" s="120" t="s">
        <v>2175</v>
      </c>
      <c r="H618" s="114"/>
      <c r="I618" s="111" t="n">
        <v>5192</v>
      </c>
      <c r="J618" s="110"/>
      <c r="K618" s="120" t="s">
        <v>2170</v>
      </c>
      <c r="L618" s="110"/>
      <c r="M618" s="112" t="n">
        <v>64</v>
      </c>
      <c r="N618" s="114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</row>
    <row r="619" customFormat="false" ht="15.75" hidden="false" customHeight="true" outlineLevel="0" collapsed="false">
      <c r="A619" s="108" t="s">
        <v>2176</v>
      </c>
      <c r="B619" s="114"/>
      <c r="C619" s="120" t="s">
        <v>2177</v>
      </c>
      <c r="D619" s="110"/>
      <c r="E619" s="108" t="s">
        <v>844</v>
      </c>
      <c r="F619" s="114"/>
      <c r="G619" s="120" t="s">
        <v>1014</v>
      </c>
      <c r="H619" s="114"/>
      <c r="I619" s="111" t="n">
        <v>5198</v>
      </c>
      <c r="J619" s="110"/>
      <c r="K619" s="120" t="s">
        <v>2178</v>
      </c>
      <c r="L619" s="110"/>
      <c r="M619" s="112" t="n">
        <v>65</v>
      </c>
      <c r="N619" s="114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</row>
    <row r="620" customFormat="false" ht="15.75" hidden="false" customHeight="true" outlineLevel="0" collapsed="false">
      <c r="A620" s="108" t="s">
        <v>2179</v>
      </c>
      <c r="B620" s="114"/>
      <c r="C620" s="120" t="s">
        <v>2180</v>
      </c>
      <c r="D620" s="110"/>
      <c r="E620" s="108" t="s">
        <v>844</v>
      </c>
      <c r="F620" s="114"/>
      <c r="G620" s="120" t="s">
        <v>1014</v>
      </c>
      <c r="H620" s="114"/>
      <c r="I620" s="111" t="n">
        <v>5198</v>
      </c>
      <c r="J620" s="110"/>
      <c r="K620" s="120" t="s">
        <v>2178</v>
      </c>
      <c r="L620" s="110"/>
      <c r="M620" s="112" t="n">
        <v>65</v>
      </c>
      <c r="N620" s="114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</row>
    <row r="621" customFormat="false" ht="15.75" hidden="false" customHeight="true" outlineLevel="0" collapsed="false">
      <c r="A621" s="108" t="s">
        <v>2181</v>
      </c>
      <c r="B621" s="114"/>
      <c r="C621" s="120" t="s">
        <v>2182</v>
      </c>
      <c r="D621" s="110"/>
      <c r="E621" s="108" t="s">
        <v>821</v>
      </c>
      <c r="F621" s="114"/>
      <c r="G621" s="120" t="s">
        <v>830</v>
      </c>
      <c r="H621" s="114"/>
      <c r="I621" s="111" t="n">
        <v>5198</v>
      </c>
      <c r="J621" s="110"/>
      <c r="K621" s="120" t="s">
        <v>2178</v>
      </c>
      <c r="L621" s="110"/>
      <c r="M621" s="112" t="n">
        <v>65</v>
      </c>
      <c r="N621" s="114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</row>
    <row r="622" customFormat="false" ht="15.75" hidden="false" customHeight="true" outlineLevel="0" collapsed="false">
      <c r="A622" s="108"/>
      <c r="B622" s="114"/>
      <c r="C622" s="120" t="s">
        <v>822</v>
      </c>
      <c r="D622" s="110"/>
      <c r="E622" s="108"/>
      <c r="F622" s="114"/>
      <c r="G622" s="108"/>
      <c r="H622" s="114"/>
      <c r="I622" s="111" t="n">
        <v>5200</v>
      </c>
      <c r="J622" s="110"/>
      <c r="K622" s="108"/>
      <c r="L622" s="110"/>
      <c r="M622" s="112" t="n">
        <v>66</v>
      </c>
      <c r="N622" s="114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</row>
    <row r="623" customFormat="false" ht="15.75" hidden="false" customHeight="true" outlineLevel="0" collapsed="false">
      <c r="A623" s="108" t="s">
        <v>2183</v>
      </c>
      <c r="B623" s="114"/>
      <c r="C623" s="120" t="s">
        <v>2184</v>
      </c>
      <c r="D623" s="110"/>
      <c r="E623" s="108" t="s">
        <v>821</v>
      </c>
      <c r="F623" s="114"/>
      <c r="G623" s="120" t="s">
        <v>822</v>
      </c>
      <c r="H623" s="114"/>
      <c r="I623" s="111" t="n">
        <v>5231</v>
      </c>
      <c r="J623" s="110"/>
      <c r="K623" s="120" t="s">
        <v>2185</v>
      </c>
      <c r="L623" s="110"/>
      <c r="M623" s="112" t="n">
        <v>67</v>
      </c>
      <c r="N623" s="114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</row>
    <row r="624" customFormat="false" ht="15.75" hidden="false" customHeight="true" outlineLevel="0" collapsed="false">
      <c r="A624" s="108" t="s">
        <v>2186</v>
      </c>
      <c r="B624" s="114"/>
      <c r="C624" s="120" t="s">
        <v>2187</v>
      </c>
      <c r="D624" s="110"/>
      <c r="E624" s="108" t="s">
        <v>821</v>
      </c>
      <c r="F624" s="114"/>
      <c r="G624" s="120" t="s">
        <v>822</v>
      </c>
      <c r="H624" s="114"/>
      <c r="I624" s="111" t="n">
        <v>5231</v>
      </c>
      <c r="J624" s="110"/>
      <c r="K624" s="120" t="s">
        <v>2185</v>
      </c>
      <c r="L624" s="110"/>
      <c r="M624" s="112" t="n">
        <v>67</v>
      </c>
      <c r="N624" s="114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</row>
    <row r="625" customFormat="false" ht="15.75" hidden="false" customHeight="true" outlineLevel="0" collapsed="false">
      <c r="A625" s="108" t="s">
        <v>2188</v>
      </c>
      <c r="B625" s="114"/>
      <c r="C625" s="120" t="s">
        <v>2189</v>
      </c>
      <c r="D625" s="110"/>
      <c r="E625" s="108" t="s">
        <v>821</v>
      </c>
      <c r="F625" s="114"/>
      <c r="G625" s="120" t="s">
        <v>822</v>
      </c>
      <c r="H625" s="114"/>
      <c r="I625" s="111" t="n">
        <v>5309</v>
      </c>
      <c r="J625" s="110"/>
      <c r="K625" s="120" t="s">
        <v>2190</v>
      </c>
      <c r="L625" s="110"/>
      <c r="M625" s="112" t="n">
        <v>68</v>
      </c>
      <c r="N625" s="114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</row>
    <row r="626" customFormat="false" ht="15.75" hidden="false" customHeight="true" outlineLevel="0" collapsed="false">
      <c r="A626" s="108" t="s">
        <v>2191</v>
      </c>
      <c r="B626" s="114"/>
      <c r="C626" s="120" t="s">
        <v>2192</v>
      </c>
      <c r="D626" s="110"/>
      <c r="E626" s="108" t="s">
        <v>821</v>
      </c>
      <c r="F626" s="114"/>
      <c r="G626" s="120" t="s">
        <v>822</v>
      </c>
      <c r="H626" s="114"/>
      <c r="I626" s="111" t="n">
        <v>5309</v>
      </c>
      <c r="J626" s="110"/>
      <c r="K626" s="120" t="s">
        <v>2190</v>
      </c>
      <c r="L626" s="110"/>
      <c r="M626" s="112" t="n">
        <v>68</v>
      </c>
      <c r="N626" s="114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</row>
    <row r="627" customFormat="false" ht="15.75" hidden="false" customHeight="true" outlineLevel="0" collapsed="false">
      <c r="A627" s="108" t="s">
        <v>2193</v>
      </c>
      <c r="B627" s="114"/>
      <c r="C627" s="120" t="s">
        <v>2194</v>
      </c>
      <c r="D627" s="110"/>
      <c r="E627" s="108" t="s">
        <v>821</v>
      </c>
      <c r="F627" s="114"/>
      <c r="G627" s="120" t="s">
        <v>822</v>
      </c>
      <c r="H627" s="114"/>
      <c r="I627" s="111" t="n">
        <v>5311</v>
      </c>
      <c r="J627" s="110"/>
      <c r="K627" s="120" t="s">
        <v>2195</v>
      </c>
      <c r="L627" s="110"/>
      <c r="M627" s="112" t="n">
        <v>69</v>
      </c>
      <c r="N627" s="114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</row>
    <row r="628" customFormat="false" ht="15.75" hidden="false" customHeight="true" outlineLevel="0" collapsed="false">
      <c r="A628" s="108" t="s">
        <v>2196</v>
      </c>
      <c r="B628" s="114"/>
      <c r="C628" s="120" t="s">
        <v>2197</v>
      </c>
      <c r="D628" s="110"/>
      <c r="E628" s="108" t="s">
        <v>821</v>
      </c>
      <c r="F628" s="114"/>
      <c r="G628" s="120" t="s">
        <v>822</v>
      </c>
      <c r="H628" s="114"/>
      <c r="I628" s="111" t="n">
        <v>5311</v>
      </c>
      <c r="J628" s="110"/>
      <c r="K628" s="120" t="s">
        <v>2195</v>
      </c>
      <c r="L628" s="110"/>
      <c r="M628" s="112" t="n">
        <v>69</v>
      </c>
      <c r="N628" s="114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</row>
    <row r="629" customFormat="false" ht="15.75" hidden="false" customHeight="true" outlineLevel="0" collapsed="false">
      <c r="A629" s="108" t="s">
        <v>2198</v>
      </c>
      <c r="B629" s="114"/>
      <c r="C629" s="120" t="s">
        <v>2199</v>
      </c>
      <c r="D629" s="110"/>
      <c r="E629" s="108" t="s">
        <v>844</v>
      </c>
      <c r="F629" s="114"/>
      <c r="G629" s="120" t="s">
        <v>972</v>
      </c>
      <c r="H629" s="114"/>
      <c r="I629" s="111" t="n">
        <v>5511</v>
      </c>
      <c r="J629" s="110"/>
      <c r="K629" s="120" t="s">
        <v>2200</v>
      </c>
      <c r="L629" s="110"/>
      <c r="M629" s="112" t="n">
        <v>70</v>
      </c>
      <c r="N629" s="114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</row>
    <row r="630" customFormat="false" ht="15.75" hidden="false" customHeight="true" outlineLevel="0" collapsed="false">
      <c r="A630" s="108" t="s">
        <v>2201</v>
      </c>
      <c r="B630" s="114"/>
      <c r="C630" s="120" t="s">
        <v>2202</v>
      </c>
      <c r="D630" s="110"/>
      <c r="E630" s="108" t="s">
        <v>844</v>
      </c>
      <c r="F630" s="114"/>
      <c r="G630" s="120" t="s">
        <v>972</v>
      </c>
      <c r="H630" s="114"/>
      <c r="I630" s="111" t="n">
        <v>5511</v>
      </c>
      <c r="J630" s="110"/>
      <c r="K630" s="120" t="s">
        <v>2200</v>
      </c>
      <c r="L630" s="110"/>
      <c r="M630" s="112" t="n">
        <v>70</v>
      </c>
      <c r="N630" s="114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</row>
    <row r="631" customFormat="false" ht="15.75" hidden="false" customHeight="true" outlineLevel="0" collapsed="false">
      <c r="A631" s="108" t="s">
        <v>2203</v>
      </c>
      <c r="B631" s="114"/>
      <c r="C631" s="120" t="s">
        <v>2204</v>
      </c>
      <c r="D631" s="110"/>
      <c r="E631" s="108" t="s">
        <v>821</v>
      </c>
      <c r="F631" s="114"/>
      <c r="G631" s="120" t="s">
        <v>995</v>
      </c>
      <c r="H631" s="114"/>
      <c r="I631" s="111" t="n">
        <v>5511</v>
      </c>
      <c r="J631" s="110"/>
      <c r="K631" s="120" t="s">
        <v>2200</v>
      </c>
      <c r="L631" s="110"/>
      <c r="M631" s="112" t="n">
        <v>70</v>
      </c>
      <c r="N631" s="114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</row>
    <row r="632" customFormat="false" ht="15.75" hidden="false" customHeight="true" outlineLevel="0" collapsed="false">
      <c r="A632" s="108" t="s">
        <v>2205</v>
      </c>
      <c r="B632" s="114"/>
      <c r="C632" s="120" t="s">
        <v>2206</v>
      </c>
      <c r="D632" s="110"/>
      <c r="E632" s="108" t="s">
        <v>821</v>
      </c>
      <c r="F632" s="114"/>
      <c r="G632" s="120" t="s">
        <v>995</v>
      </c>
      <c r="H632" s="114"/>
      <c r="I632" s="111" t="n">
        <v>5511</v>
      </c>
      <c r="J632" s="110"/>
      <c r="K632" s="120" t="s">
        <v>2200</v>
      </c>
      <c r="L632" s="110"/>
      <c r="M632" s="112" t="n">
        <v>70</v>
      </c>
      <c r="N632" s="114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</row>
    <row r="633" customFormat="false" ht="15.75" hidden="false" customHeight="true" outlineLevel="0" collapsed="false">
      <c r="A633" s="108" t="s">
        <v>2207</v>
      </c>
      <c r="B633" s="114"/>
      <c r="C633" s="120" t="s">
        <v>2208</v>
      </c>
      <c r="D633" s="110"/>
      <c r="E633" s="108" t="s">
        <v>821</v>
      </c>
      <c r="F633" s="114"/>
      <c r="G633" s="120" t="s">
        <v>995</v>
      </c>
      <c r="H633" s="114"/>
      <c r="I633" s="111" t="n">
        <v>5511</v>
      </c>
      <c r="J633" s="110"/>
      <c r="K633" s="120" t="s">
        <v>2200</v>
      </c>
      <c r="L633" s="110"/>
      <c r="M633" s="112" t="n">
        <v>70</v>
      </c>
      <c r="N633" s="114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</row>
    <row r="634" customFormat="false" ht="15.75" hidden="false" customHeight="true" outlineLevel="0" collapsed="false">
      <c r="A634" s="108" t="s">
        <v>2209</v>
      </c>
      <c r="B634" s="114"/>
      <c r="C634" s="120" t="s">
        <v>2210</v>
      </c>
      <c r="D634" s="110"/>
      <c r="E634" s="108" t="s">
        <v>821</v>
      </c>
      <c r="F634" s="114"/>
      <c r="G634" s="120" t="s">
        <v>995</v>
      </c>
      <c r="H634" s="114"/>
      <c r="I634" s="111" t="n">
        <v>5511</v>
      </c>
      <c r="J634" s="110"/>
      <c r="K634" s="120" t="s">
        <v>2200</v>
      </c>
      <c r="L634" s="110"/>
      <c r="M634" s="112" t="n">
        <v>70</v>
      </c>
      <c r="N634" s="114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</row>
    <row r="635" customFormat="false" ht="15.75" hidden="false" customHeight="true" outlineLevel="0" collapsed="false">
      <c r="A635" s="108" t="s">
        <v>2211</v>
      </c>
      <c r="B635" s="114"/>
      <c r="C635" s="120" t="s">
        <v>2212</v>
      </c>
      <c r="D635" s="110"/>
      <c r="E635" s="108" t="s">
        <v>821</v>
      </c>
      <c r="F635" s="114"/>
      <c r="G635" s="120" t="s">
        <v>995</v>
      </c>
      <c r="H635" s="114"/>
      <c r="I635" s="111" t="n">
        <v>5511</v>
      </c>
      <c r="J635" s="110"/>
      <c r="K635" s="120" t="s">
        <v>2200</v>
      </c>
      <c r="L635" s="110"/>
      <c r="M635" s="112" t="n">
        <v>70</v>
      </c>
      <c r="N635" s="114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</row>
    <row r="636" customFormat="false" ht="15.75" hidden="false" customHeight="true" outlineLevel="0" collapsed="false">
      <c r="A636" s="108" t="s">
        <v>2213</v>
      </c>
      <c r="B636" s="114"/>
      <c r="C636" s="120" t="s">
        <v>2214</v>
      </c>
      <c r="D636" s="110"/>
      <c r="E636" s="108" t="s">
        <v>821</v>
      </c>
      <c r="F636" s="114"/>
      <c r="G636" s="120" t="s">
        <v>995</v>
      </c>
      <c r="H636" s="114"/>
      <c r="I636" s="111" t="n">
        <v>5511</v>
      </c>
      <c r="J636" s="110"/>
      <c r="K636" s="120" t="s">
        <v>2200</v>
      </c>
      <c r="L636" s="110"/>
      <c r="M636" s="112" t="n">
        <v>70</v>
      </c>
      <c r="N636" s="114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</row>
    <row r="637" customFormat="false" ht="15.75" hidden="false" customHeight="true" outlineLevel="0" collapsed="false">
      <c r="A637" s="108" t="s">
        <v>2215</v>
      </c>
      <c r="B637" s="114"/>
      <c r="C637" s="120" t="s">
        <v>2216</v>
      </c>
      <c r="D637" s="110"/>
      <c r="E637" s="108" t="s">
        <v>821</v>
      </c>
      <c r="F637" s="114"/>
      <c r="G637" s="120" t="s">
        <v>995</v>
      </c>
      <c r="H637" s="114"/>
      <c r="I637" s="111" t="n">
        <v>5511</v>
      </c>
      <c r="J637" s="110"/>
      <c r="K637" s="120" t="s">
        <v>2200</v>
      </c>
      <c r="L637" s="110"/>
      <c r="M637" s="112" t="n">
        <v>70</v>
      </c>
      <c r="N637" s="114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</row>
    <row r="638" customFormat="false" ht="15.75" hidden="false" customHeight="true" outlineLevel="0" collapsed="false">
      <c r="A638" s="108" t="s">
        <v>2217</v>
      </c>
      <c r="B638" s="114"/>
      <c r="C638" s="120" t="s">
        <v>2218</v>
      </c>
      <c r="D638" s="110"/>
      <c r="E638" s="108" t="s">
        <v>821</v>
      </c>
      <c r="F638" s="114"/>
      <c r="G638" s="120" t="s">
        <v>995</v>
      </c>
      <c r="H638" s="114"/>
      <c r="I638" s="111" t="n">
        <v>5532</v>
      </c>
      <c r="J638" s="110"/>
      <c r="K638" s="120" t="s">
        <v>2219</v>
      </c>
      <c r="L638" s="110"/>
      <c r="M638" s="112" t="n">
        <v>71</v>
      </c>
      <c r="N638" s="114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</row>
    <row r="639" customFormat="false" ht="15.75" hidden="false" customHeight="true" outlineLevel="0" collapsed="false">
      <c r="A639" s="108" t="s">
        <v>2220</v>
      </c>
      <c r="B639" s="114"/>
      <c r="C639" s="120" t="s">
        <v>2221</v>
      </c>
      <c r="D639" s="110"/>
      <c r="E639" s="108" t="s">
        <v>821</v>
      </c>
      <c r="F639" s="114"/>
      <c r="G639" s="120" t="s">
        <v>995</v>
      </c>
      <c r="H639" s="114"/>
      <c r="I639" s="111" t="n">
        <v>5533</v>
      </c>
      <c r="J639" s="110"/>
      <c r="K639" s="120" t="s">
        <v>2222</v>
      </c>
      <c r="L639" s="110"/>
      <c r="M639" s="112" t="n">
        <v>72</v>
      </c>
      <c r="N639" s="114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</row>
    <row r="640" customFormat="false" ht="15.75" hidden="false" customHeight="true" outlineLevel="0" collapsed="false">
      <c r="A640" s="108" t="s">
        <v>2223</v>
      </c>
      <c r="B640" s="114"/>
      <c r="C640" s="120" t="s">
        <v>2224</v>
      </c>
      <c r="D640" s="110"/>
      <c r="E640" s="108" t="s">
        <v>821</v>
      </c>
      <c r="F640" s="114"/>
      <c r="G640" s="120" t="s">
        <v>995</v>
      </c>
      <c r="H640" s="114"/>
      <c r="I640" s="111" t="n">
        <v>5533</v>
      </c>
      <c r="J640" s="110"/>
      <c r="K640" s="120" t="s">
        <v>2222</v>
      </c>
      <c r="L640" s="110"/>
      <c r="M640" s="112" t="n">
        <v>72</v>
      </c>
      <c r="N640" s="114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</row>
    <row r="641" customFormat="false" ht="15.75" hidden="false" customHeight="true" outlineLevel="0" collapsed="false">
      <c r="A641" s="108" t="s">
        <v>2225</v>
      </c>
      <c r="B641" s="114"/>
      <c r="C641" s="120" t="s">
        <v>2226</v>
      </c>
      <c r="D641" s="110"/>
      <c r="E641" s="108" t="s">
        <v>821</v>
      </c>
      <c r="F641" s="114"/>
      <c r="G641" s="120" t="s">
        <v>995</v>
      </c>
      <c r="H641" s="114"/>
      <c r="I641" s="111" t="n">
        <v>5533</v>
      </c>
      <c r="J641" s="110"/>
      <c r="K641" s="120" t="s">
        <v>2222</v>
      </c>
      <c r="L641" s="110"/>
      <c r="M641" s="112" t="n">
        <v>72</v>
      </c>
      <c r="N641" s="114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</row>
    <row r="642" customFormat="false" ht="15.75" hidden="false" customHeight="true" outlineLevel="0" collapsed="false">
      <c r="A642" s="108" t="s">
        <v>2227</v>
      </c>
      <c r="B642" s="114"/>
      <c r="C642" s="120" t="s">
        <v>2228</v>
      </c>
      <c r="D642" s="110"/>
      <c r="E642" s="108" t="s">
        <v>821</v>
      </c>
      <c r="F642" s="114"/>
      <c r="G642" s="120" t="s">
        <v>995</v>
      </c>
      <c r="H642" s="114"/>
      <c r="I642" s="111" t="n">
        <v>5533</v>
      </c>
      <c r="J642" s="110"/>
      <c r="K642" s="120" t="s">
        <v>2222</v>
      </c>
      <c r="L642" s="110"/>
      <c r="M642" s="112" t="n">
        <v>72</v>
      </c>
      <c r="N642" s="114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</row>
    <row r="643" customFormat="false" ht="15.75" hidden="false" customHeight="true" outlineLevel="0" collapsed="false">
      <c r="A643" s="108" t="s">
        <v>2229</v>
      </c>
      <c r="B643" s="114"/>
      <c r="C643" s="120" t="s">
        <v>2230</v>
      </c>
      <c r="D643" s="110"/>
      <c r="E643" s="108" t="s">
        <v>821</v>
      </c>
      <c r="F643" s="114"/>
      <c r="G643" s="120" t="s">
        <v>995</v>
      </c>
      <c r="H643" s="114"/>
      <c r="I643" s="111" t="n">
        <v>5571</v>
      </c>
      <c r="J643" s="110"/>
      <c r="K643" s="120" t="s">
        <v>2231</v>
      </c>
      <c r="L643" s="110"/>
      <c r="M643" s="112" t="n">
        <v>73</v>
      </c>
      <c r="N643" s="114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</row>
    <row r="644" customFormat="false" ht="15.75" hidden="false" customHeight="true" outlineLevel="0" collapsed="false">
      <c r="A644" s="108" t="s">
        <v>2232</v>
      </c>
      <c r="B644" s="114"/>
      <c r="C644" s="120" t="s">
        <v>2233</v>
      </c>
      <c r="D644" s="110"/>
      <c r="E644" s="108" t="s">
        <v>821</v>
      </c>
      <c r="F644" s="114"/>
      <c r="G644" s="120" t="s">
        <v>995</v>
      </c>
      <c r="H644" s="114"/>
      <c r="I644" s="111" t="n">
        <v>5571</v>
      </c>
      <c r="J644" s="110"/>
      <c r="K644" s="120" t="s">
        <v>2231</v>
      </c>
      <c r="L644" s="110"/>
      <c r="M644" s="112" t="n">
        <v>73</v>
      </c>
      <c r="N644" s="114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</row>
    <row r="645" customFormat="false" ht="15.75" hidden="false" customHeight="true" outlineLevel="0" collapsed="false">
      <c r="A645" s="108" t="s">
        <v>2234</v>
      </c>
      <c r="B645" s="114"/>
      <c r="C645" s="120" t="s">
        <v>2235</v>
      </c>
      <c r="D645" s="110"/>
      <c r="E645" s="108" t="s">
        <v>821</v>
      </c>
      <c r="F645" s="114"/>
      <c r="G645" s="120" t="s">
        <v>995</v>
      </c>
      <c r="H645" s="114"/>
      <c r="I645" s="111" t="n">
        <v>5571</v>
      </c>
      <c r="J645" s="110"/>
      <c r="K645" s="120" t="s">
        <v>2231</v>
      </c>
      <c r="L645" s="110"/>
      <c r="M645" s="112" t="n">
        <v>73</v>
      </c>
      <c r="N645" s="114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</row>
    <row r="646" customFormat="false" ht="15.75" hidden="false" customHeight="true" outlineLevel="0" collapsed="false">
      <c r="A646" s="108" t="s">
        <v>2236</v>
      </c>
      <c r="B646" s="114"/>
      <c r="C646" s="120" t="s">
        <v>2237</v>
      </c>
      <c r="D646" s="110"/>
      <c r="E646" s="108" t="s">
        <v>821</v>
      </c>
      <c r="F646" s="114"/>
      <c r="G646" s="120" t="s">
        <v>995</v>
      </c>
      <c r="H646" s="114"/>
      <c r="I646" s="111" t="n">
        <v>5571</v>
      </c>
      <c r="J646" s="110"/>
      <c r="K646" s="120" t="s">
        <v>2231</v>
      </c>
      <c r="L646" s="110"/>
      <c r="M646" s="112" t="n">
        <v>73</v>
      </c>
      <c r="N646" s="114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</row>
    <row r="647" customFormat="false" ht="15.75" hidden="false" customHeight="true" outlineLevel="0" collapsed="false">
      <c r="A647" s="108" t="s">
        <v>2238</v>
      </c>
      <c r="B647" s="114"/>
      <c r="C647" s="120" t="s">
        <v>2239</v>
      </c>
      <c r="D647" s="110"/>
      <c r="E647" s="108" t="s">
        <v>821</v>
      </c>
      <c r="F647" s="114"/>
      <c r="G647" s="120" t="s">
        <v>995</v>
      </c>
      <c r="H647" s="114"/>
      <c r="I647" s="111" t="n">
        <v>5571</v>
      </c>
      <c r="J647" s="110"/>
      <c r="K647" s="120" t="s">
        <v>2231</v>
      </c>
      <c r="L647" s="110"/>
      <c r="M647" s="112" t="n">
        <v>73</v>
      </c>
      <c r="N647" s="114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</row>
    <row r="648" customFormat="false" ht="15.75" hidden="false" customHeight="true" outlineLevel="0" collapsed="false">
      <c r="A648" s="108" t="s">
        <v>2240</v>
      </c>
      <c r="B648" s="114"/>
      <c r="C648" s="120" t="s">
        <v>2241</v>
      </c>
      <c r="D648" s="110"/>
      <c r="E648" s="108" t="s">
        <v>821</v>
      </c>
      <c r="F648" s="114"/>
      <c r="G648" s="120" t="s">
        <v>995</v>
      </c>
      <c r="H648" s="114"/>
      <c r="I648" s="111" t="n">
        <v>5571</v>
      </c>
      <c r="J648" s="110"/>
      <c r="K648" s="108"/>
      <c r="L648" s="110"/>
      <c r="M648" s="112" t="n">
        <v>73</v>
      </c>
      <c r="N648" s="114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</row>
    <row r="649" customFormat="false" ht="15.75" hidden="false" customHeight="true" outlineLevel="0" collapsed="false">
      <c r="A649" s="108" t="s">
        <v>2242</v>
      </c>
      <c r="B649" s="114"/>
      <c r="C649" s="120" t="s">
        <v>2243</v>
      </c>
      <c r="D649" s="110"/>
      <c r="E649" s="108" t="s">
        <v>821</v>
      </c>
      <c r="F649" s="114"/>
      <c r="G649" s="120" t="s">
        <v>995</v>
      </c>
      <c r="H649" s="114"/>
      <c r="I649" s="111" t="n">
        <v>5571</v>
      </c>
      <c r="J649" s="110"/>
      <c r="K649" s="120" t="s">
        <v>2231</v>
      </c>
      <c r="L649" s="110"/>
      <c r="M649" s="112" t="n">
        <v>73</v>
      </c>
      <c r="N649" s="114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</row>
    <row r="650" customFormat="false" ht="15.75" hidden="false" customHeight="true" outlineLevel="0" collapsed="false">
      <c r="A650" s="108" t="s">
        <v>2244</v>
      </c>
      <c r="B650" s="114"/>
      <c r="C650" s="120" t="s">
        <v>2245</v>
      </c>
      <c r="D650" s="110"/>
      <c r="E650" s="108" t="s">
        <v>821</v>
      </c>
      <c r="F650" s="114"/>
      <c r="G650" s="120" t="s">
        <v>995</v>
      </c>
      <c r="H650" s="114"/>
      <c r="I650" s="111" t="n">
        <v>5571</v>
      </c>
      <c r="J650" s="110"/>
      <c r="K650" s="120" t="s">
        <v>2231</v>
      </c>
      <c r="L650" s="110"/>
      <c r="M650" s="112" t="n">
        <v>73</v>
      </c>
      <c r="N650" s="114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</row>
    <row r="651" customFormat="false" ht="15.75" hidden="false" customHeight="true" outlineLevel="0" collapsed="false">
      <c r="A651" s="108" t="s">
        <v>2246</v>
      </c>
      <c r="B651" s="114"/>
      <c r="C651" s="120" t="s">
        <v>2247</v>
      </c>
      <c r="D651" s="110"/>
      <c r="E651" s="108" t="s">
        <v>818</v>
      </c>
      <c r="F651" s="114"/>
      <c r="G651" s="120" t="s">
        <v>818</v>
      </c>
      <c r="H651" s="114"/>
      <c r="I651" s="111" t="n">
        <v>5571</v>
      </c>
      <c r="J651" s="110"/>
      <c r="K651" s="120" t="s">
        <v>2231</v>
      </c>
      <c r="L651" s="110"/>
      <c r="M651" s="112" t="n">
        <v>73</v>
      </c>
      <c r="N651" s="114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</row>
    <row r="652" customFormat="false" ht="15.75" hidden="false" customHeight="true" outlineLevel="0" collapsed="false">
      <c r="A652" s="108" t="s">
        <v>2248</v>
      </c>
      <c r="B652" s="114"/>
      <c r="C652" s="120" t="s">
        <v>2249</v>
      </c>
      <c r="D652" s="110"/>
      <c r="E652" s="108" t="s">
        <v>844</v>
      </c>
      <c r="F652" s="114"/>
      <c r="G652" s="120" t="s">
        <v>1185</v>
      </c>
      <c r="H652" s="114"/>
      <c r="I652" s="111" t="n">
        <v>5651</v>
      </c>
      <c r="J652" s="110"/>
      <c r="K652" s="120" t="s">
        <v>2250</v>
      </c>
      <c r="L652" s="110"/>
      <c r="M652" s="112" t="n">
        <v>74</v>
      </c>
      <c r="N652" s="114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</row>
    <row r="653" customFormat="false" ht="15.75" hidden="false" customHeight="true" outlineLevel="0" collapsed="false">
      <c r="A653" s="108" t="s">
        <v>2251</v>
      </c>
      <c r="B653" s="114"/>
      <c r="C653" s="120" t="s">
        <v>2252</v>
      </c>
      <c r="D653" s="110"/>
      <c r="E653" s="108" t="s">
        <v>821</v>
      </c>
      <c r="F653" s="114"/>
      <c r="G653" s="120" t="s">
        <v>822</v>
      </c>
      <c r="H653" s="114"/>
      <c r="I653" s="111" t="n">
        <v>5651</v>
      </c>
      <c r="J653" s="110"/>
      <c r="K653" s="120" t="s">
        <v>2250</v>
      </c>
      <c r="L653" s="110"/>
      <c r="M653" s="112" t="n">
        <v>74</v>
      </c>
      <c r="N653" s="114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</row>
    <row r="654" customFormat="false" ht="15.75" hidden="false" customHeight="true" outlineLevel="0" collapsed="false">
      <c r="A654" s="108" t="s">
        <v>2253</v>
      </c>
      <c r="B654" s="114"/>
      <c r="C654" s="120" t="s">
        <v>2254</v>
      </c>
      <c r="D654" s="110"/>
      <c r="E654" s="108" t="s">
        <v>821</v>
      </c>
      <c r="F654" s="114"/>
      <c r="G654" s="120" t="s">
        <v>822</v>
      </c>
      <c r="H654" s="114"/>
      <c r="I654" s="111" t="n">
        <v>5735</v>
      </c>
      <c r="J654" s="110"/>
      <c r="K654" s="120" t="s">
        <v>2255</v>
      </c>
      <c r="L654" s="110"/>
      <c r="M654" s="112" t="n">
        <v>75</v>
      </c>
      <c r="N654" s="114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</row>
    <row r="655" customFormat="false" ht="15.75" hidden="false" customHeight="true" outlineLevel="0" collapsed="false">
      <c r="A655" s="108" t="s">
        <v>2256</v>
      </c>
      <c r="B655" s="114"/>
      <c r="C655" s="120" t="s">
        <v>2257</v>
      </c>
      <c r="D655" s="110"/>
      <c r="E655" s="108" t="s">
        <v>855</v>
      </c>
      <c r="F655" s="114"/>
      <c r="G655" s="120" t="s">
        <v>856</v>
      </c>
      <c r="H655" s="114"/>
      <c r="I655" s="111" t="n">
        <v>5811</v>
      </c>
      <c r="J655" s="110"/>
      <c r="K655" s="120" t="s">
        <v>2258</v>
      </c>
      <c r="L655" s="110"/>
      <c r="M655" s="112" t="n">
        <v>76</v>
      </c>
      <c r="N655" s="114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</row>
    <row r="656" customFormat="false" ht="15.75" hidden="false" customHeight="true" outlineLevel="0" collapsed="false">
      <c r="A656" s="108" t="s">
        <v>2259</v>
      </c>
      <c r="B656" s="114"/>
      <c r="C656" s="120" t="s">
        <v>2260</v>
      </c>
      <c r="D656" s="110"/>
      <c r="E656" s="108" t="s">
        <v>920</v>
      </c>
      <c r="F656" s="114"/>
      <c r="G656" s="120" t="s">
        <v>921</v>
      </c>
      <c r="H656" s="114"/>
      <c r="I656" s="111" t="n">
        <v>5811</v>
      </c>
      <c r="J656" s="110"/>
      <c r="K656" s="120" t="s">
        <v>2258</v>
      </c>
      <c r="L656" s="110"/>
      <c r="M656" s="112" t="n">
        <v>76</v>
      </c>
      <c r="N656" s="114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</row>
    <row r="657" customFormat="false" ht="15.75" hidden="false" customHeight="true" outlineLevel="0" collapsed="false">
      <c r="A657" s="108" t="s">
        <v>2261</v>
      </c>
      <c r="B657" s="114"/>
      <c r="C657" s="120" t="s">
        <v>2262</v>
      </c>
      <c r="D657" s="110"/>
      <c r="E657" s="108" t="s">
        <v>821</v>
      </c>
      <c r="F657" s="114"/>
      <c r="G657" s="120" t="s">
        <v>822</v>
      </c>
      <c r="H657" s="114"/>
      <c r="I657" s="111" t="n">
        <v>5932</v>
      </c>
      <c r="J657" s="110"/>
      <c r="K657" s="120" t="s">
        <v>2263</v>
      </c>
      <c r="L657" s="110"/>
      <c r="M657" s="112" t="n">
        <v>77</v>
      </c>
      <c r="N657" s="114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</row>
    <row r="658" customFormat="false" ht="15.75" hidden="false" customHeight="true" outlineLevel="0" collapsed="false">
      <c r="A658" s="108" t="s">
        <v>2264</v>
      </c>
      <c r="B658" s="114"/>
      <c r="C658" s="120" t="s">
        <v>2265</v>
      </c>
      <c r="D658" s="110"/>
      <c r="E658" s="108" t="s">
        <v>875</v>
      </c>
      <c r="F658" s="114"/>
      <c r="G658" s="120" t="s">
        <v>2266</v>
      </c>
      <c r="H658" s="114"/>
      <c r="I658" s="111" t="n">
        <v>5932</v>
      </c>
      <c r="J658" s="110"/>
      <c r="K658" s="120" t="s">
        <v>2263</v>
      </c>
      <c r="L658" s="110"/>
      <c r="M658" s="112" t="n">
        <v>77</v>
      </c>
      <c r="N658" s="114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</row>
    <row r="659" customFormat="false" ht="15.75" hidden="false" customHeight="true" outlineLevel="0" collapsed="false">
      <c r="A659" s="108" t="s">
        <v>2267</v>
      </c>
      <c r="B659" s="114"/>
      <c r="C659" s="120" t="s">
        <v>2268</v>
      </c>
      <c r="D659" s="110"/>
      <c r="E659" s="108" t="s">
        <v>821</v>
      </c>
      <c r="F659" s="114"/>
      <c r="G659" s="120" t="s">
        <v>830</v>
      </c>
      <c r="H659" s="114"/>
      <c r="I659" s="111" t="n">
        <v>5940</v>
      </c>
      <c r="J659" s="110"/>
      <c r="K659" s="120" t="s">
        <v>2269</v>
      </c>
      <c r="L659" s="110"/>
      <c r="M659" s="112" t="n">
        <v>78</v>
      </c>
      <c r="N659" s="114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</row>
    <row r="660" customFormat="false" ht="15.75" hidden="false" customHeight="true" outlineLevel="0" collapsed="false">
      <c r="A660" s="108" t="s">
        <v>2270</v>
      </c>
      <c r="B660" s="114"/>
      <c r="C660" s="120" t="s">
        <v>2271</v>
      </c>
      <c r="D660" s="110"/>
      <c r="E660" s="108" t="s">
        <v>821</v>
      </c>
      <c r="F660" s="114"/>
      <c r="G660" s="120" t="s">
        <v>822</v>
      </c>
      <c r="H660" s="114"/>
      <c r="I660" s="111" t="n">
        <v>5940</v>
      </c>
      <c r="J660" s="110"/>
      <c r="K660" s="120" t="s">
        <v>2269</v>
      </c>
      <c r="L660" s="110"/>
      <c r="M660" s="112" t="n">
        <v>78</v>
      </c>
      <c r="N660" s="114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</row>
    <row r="661" customFormat="false" ht="15.75" hidden="false" customHeight="true" outlineLevel="0" collapsed="false">
      <c r="A661" s="108" t="s">
        <v>2272</v>
      </c>
      <c r="B661" s="114"/>
      <c r="C661" s="120" t="s">
        <v>2273</v>
      </c>
      <c r="D661" s="110"/>
      <c r="E661" s="108" t="s">
        <v>821</v>
      </c>
      <c r="F661" s="114"/>
      <c r="G661" s="120" t="s">
        <v>822</v>
      </c>
      <c r="H661" s="114"/>
      <c r="I661" s="111" t="n">
        <v>5941</v>
      </c>
      <c r="J661" s="110"/>
      <c r="K661" s="120" t="s">
        <v>2274</v>
      </c>
      <c r="L661" s="110"/>
      <c r="M661" s="112" t="n">
        <v>79</v>
      </c>
      <c r="N661" s="114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</row>
    <row r="662" customFormat="false" ht="15.75" hidden="false" customHeight="true" outlineLevel="0" collapsed="false">
      <c r="A662" s="108" t="s">
        <v>2275</v>
      </c>
      <c r="B662" s="114"/>
      <c r="C662" s="120" t="s">
        <v>2276</v>
      </c>
      <c r="D662" s="110"/>
      <c r="E662" s="108" t="s">
        <v>821</v>
      </c>
      <c r="F662" s="114"/>
      <c r="G662" s="120" t="s">
        <v>822</v>
      </c>
      <c r="H662" s="114"/>
      <c r="I662" s="111" t="n">
        <v>5941</v>
      </c>
      <c r="J662" s="110"/>
      <c r="K662" s="120" t="s">
        <v>2274</v>
      </c>
      <c r="L662" s="110"/>
      <c r="M662" s="112" t="n">
        <v>79</v>
      </c>
      <c r="N662" s="114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</row>
    <row r="663" customFormat="false" ht="15.75" hidden="false" customHeight="true" outlineLevel="0" collapsed="false">
      <c r="A663" s="108" t="s">
        <v>2277</v>
      </c>
      <c r="B663" s="114"/>
      <c r="C663" s="120" t="s">
        <v>2278</v>
      </c>
      <c r="D663" s="110"/>
      <c r="E663" s="108" t="s">
        <v>920</v>
      </c>
      <c r="F663" s="114"/>
      <c r="G663" s="120" t="s">
        <v>1579</v>
      </c>
      <c r="H663" s="114"/>
      <c r="I663" s="111" t="n">
        <v>5941</v>
      </c>
      <c r="J663" s="110"/>
      <c r="K663" s="120" t="s">
        <v>2274</v>
      </c>
      <c r="L663" s="110"/>
      <c r="M663" s="112" t="n">
        <v>79</v>
      </c>
      <c r="N663" s="114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</row>
    <row r="664" customFormat="false" ht="15.75" hidden="false" customHeight="true" outlineLevel="0" collapsed="false">
      <c r="A664" s="108" t="s">
        <v>2279</v>
      </c>
      <c r="B664" s="114"/>
      <c r="C664" s="120" t="s">
        <v>2280</v>
      </c>
      <c r="D664" s="110"/>
      <c r="E664" s="108" t="s">
        <v>821</v>
      </c>
      <c r="F664" s="114"/>
      <c r="G664" s="120" t="s">
        <v>822</v>
      </c>
      <c r="H664" s="114"/>
      <c r="I664" s="111" t="n">
        <v>5942</v>
      </c>
      <c r="J664" s="110"/>
      <c r="K664" s="120" t="s">
        <v>2281</v>
      </c>
      <c r="L664" s="110"/>
      <c r="M664" s="112" t="n">
        <v>80</v>
      </c>
      <c r="N664" s="114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</row>
    <row r="665" customFormat="false" ht="15.75" hidden="false" customHeight="true" outlineLevel="0" collapsed="false">
      <c r="A665" s="108" t="s">
        <v>2282</v>
      </c>
      <c r="B665" s="114"/>
      <c r="C665" s="120" t="s">
        <v>2283</v>
      </c>
      <c r="D665" s="110"/>
      <c r="E665" s="108" t="s">
        <v>844</v>
      </c>
      <c r="F665" s="114"/>
      <c r="G665" s="120" t="s">
        <v>1123</v>
      </c>
      <c r="H665" s="114"/>
      <c r="I665" s="111" t="n">
        <v>5948</v>
      </c>
      <c r="J665" s="110"/>
      <c r="K665" s="120" t="s">
        <v>2284</v>
      </c>
      <c r="L665" s="110"/>
      <c r="M665" s="112" t="n">
        <v>81</v>
      </c>
      <c r="N665" s="114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</row>
    <row r="666" customFormat="false" ht="15.75" hidden="false" customHeight="true" outlineLevel="0" collapsed="false">
      <c r="A666" s="108" t="s">
        <v>2285</v>
      </c>
      <c r="B666" s="114"/>
      <c r="C666" s="120" t="s">
        <v>2286</v>
      </c>
      <c r="D666" s="110"/>
      <c r="E666" s="108" t="s">
        <v>844</v>
      </c>
      <c r="F666" s="114"/>
      <c r="G666" s="120" t="s">
        <v>1123</v>
      </c>
      <c r="H666" s="114"/>
      <c r="I666" s="111" t="n">
        <v>5948</v>
      </c>
      <c r="J666" s="110"/>
      <c r="K666" s="120" t="s">
        <v>2284</v>
      </c>
      <c r="L666" s="110"/>
      <c r="M666" s="112" t="n">
        <v>81</v>
      </c>
      <c r="N666" s="114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</row>
    <row r="667" customFormat="false" ht="15.75" hidden="false" customHeight="true" outlineLevel="0" collapsed="false">
      <c r="A667" s="108" t="s">
        <v>2287</v>
      </c>
      <c r="B667" s="114"/>
      <c r="C667" s="120" t="s">
        <v>2288</v>
      </c>
      <c r="D667" s="110"/>
      <c r="E667" s="108" t="s">
        <v>821</v>
      </c>
      <c r="F667" s="114"/>
      <c r="G667" s="120" t="s">
        <v>822</v>
      </c>
      <c r="H667" s="114"/>
      <c r="I667" s="111" t="n">
        <v>5976</v>
      </c>
      <c r="J667" s="110"/>
      <c r="K667" s="120" t="s">
        <v>2289</v>
      </c>
      <c r="L667" s="110"/>
      <c r="M667" s="112" t="n">
        <v>82</v>
      </c>
      <c r="N667" s="114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</row>
    <row r="668" customFormat="false" ht="15.75" hidden="false" customHeight="true" outlineLevel="0" collapsed="false">
      <c r="A668" s="108" t="s">
        <v>2290</v>
      </c>
      <c r="B668" s="114"/>
      <c r="C668" s="120" t="s">
        <v>2291</v>
      </c>
      <c r="D668" s="110"/>
      <c r="E668" s="108" t="s">
        <v>821</v>
      </c>
      <c r="F668" s="114"/>
      <c r="G668" s="120" t="s">
        <v>822</v>
      </c>
      <c r="H668" s="114"/>
      <c r="I668" s="111" t="n">
        <v>5992</v>
      </c>
      <c r="J668" s="110"/>
      <c r="K668" s="120" t="s">
        <v>2292</v>
      </c>
      <c r="L668" s="110"/>
      <c r="M668" s="112" t="n">
        <v>83</v>
      </c>
      <c r="N668" s="114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</row>
    <row r="669" customFormat="false" ht="15.75" hidden="false" customHeight="true" outlineLevel="0" collapsed="false">
      <c r="A669" s="108" t="s">
        <v>2293</v>
      </c>
      <c r="B669" s="114"/>
      <c r="C669" s="120" t="s">
        <v>2294</v>
      </c>
      <c r="D669" s="110"/>
      <c r="E669" s="108" t="s">
        <v>2295</v>
      </c>
      <c r="F669" s="114"/>
      <c r="G669" s="120" t="s">
        <v>2296</v>
      </c>
      <c r="H669" s="114"/>
      <c r="I669" s="111" t="n">
        <v>6513</v>
      </c>
      <c r="J669" s="110"/>
      <c r="K669" s="120" t="s">
        <v>2297</v>
      </c>
      <c r="L669" s="110"/>
      <c r="M669" s="112" t="n">
        <v>84</v>
      </c>
      <c r="N669" s="114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</row>
    <row r="670" customFormat="false" ht="15.75" hidden="false" customHeight="true" outlineLevel="0" collapsed="false">
      <c r="A670" s="108" t="s">
        <v>2298</v>
      </c>
      <c r="B670" s="114"/>
      <c r="C670" s="120" t="s">
        <v>2299</v>
      </c>
      <c r="D670" s="110"/>
      <c r="E670" s="108" t="s">
        <v>2295</v>
      </c>
      <c r="F670" s="114"/>
      <c r="G670" s="120" t="s">
        <v>2296</v>
      </c>
      <c r="H670" s="114"/>
      <c r="I670" s="111" t="n">
        <v>6513</v>
      </c>
      <c r="J670" s="110"/>
      <c r="K670" s="120" t="s">
        <v>2297</v>
      </c>
      <c r="L670" s="110"/>
      <c r="M670" s="112" t="n">
        <v>84</v>
      </c>
      <c r="N670" s="114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</row>
    <row r="671" customFormat="false" ht="15.75" hidden="false" customHeight="true" outlineLevel="0" collapsed="false">
      <c r="A671" s="108" t="s">
        <v>2300</v>
      </c>
      <c r="B671" s="114"/>
      <c r="C671" s="120" t="s">
        <v>2301</v>
      </c>
      <c r="D671" s="110"/>
      <c r="E671" s="108" t="s">
        <v>2295</v>
      </c>
      <c r="F671" s="114"/>
      <c r="G671" s="120" t="s">
        <v>2296</v>
      </c>
      <c r="H671" s="114"/>
      <c r="I671" s="111" t="n">
        <v>6513</v>
      </c>
      <c r="J671" s="110"/>
      <c r="K671" s="120" t="s">
        <v>2297</v>
      </c>
      <c r="L671" s="110"/>
      <c r="M671" s="112" t="n">
        <v>84</v>
      </c>
      <c r="N671" s="114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</row>
    <row r="672" customFormat="false" ht="15.75" hidden="false" customHeight="true" outlineLevel="0" collapsed="false">
      <c r="A672" s="108" t="s">
        <v>2302</v>
      </c>
      <c r="B672" s="114"/>
      <c r="C672" s="120" t="s">
        <v>2303</v>
      </c>
      <c r="D672" s="110"/>
      <c r="E672" s="108" t="s">
        <v>2295</v>
      </c>
      <c r="F672" s="114"/>
      <c r="G672" s="120" t="s">
        <v>2296</v>
      </c>
      <c r="H672" s="114"/>
      <c r="I672" s="111" t="n">
        <v>6513</v>
      </c>
      <c r="J672" s="110"/>
      <c r="K672" s="120" t="s">
        <v>2297</v>
      </c>
      <c r="L672" s="110"/>
      <c r="M672" s="112" t="n">
        <v>84</v>
      </c>
      <c r="N672" s="114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</row>
    <row r="673" customFormat="false" ht="15.75" hidden="false" customHeight="true" outlineLevel="0" collapsed="false">
      <c r="A673" s="108" t="s">
        <v>2304</v>
      </c>
      <c r="B673" s="114"/>
      <c r="C673" s="120" t="s">
        <v>2305</v>
      </c>
      <c r="D673" s="110"/>
      <c r="E673" s="108" t="s">
        <v>2295</v>
      </c>
      <c r="F673" s="114"/>
      <c r="G673" s="120" t="s">
        <v>2296</v>
      </c>
      <c r="H673" s="114"/>
      <c r="I673" s="111" t="n">
        <v>6513</v>
      </c>
      <c r="J673" s="110"/>
      <c r="K673" s="120" t="s">
        <v>2297</v>
      </c>
      <c r="L673" s="110"/>
      <c r="M673" s="112" t="n">
        <v>84</v>
      </c>
      <c r="N673" s="114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</row>
    <row r="674" customFormat="false" ht="15.75" hidden="false" customHeight="true" outlineLevel="0" collapsed="false">
      <c r="A674" s="108" t="s">
        <v>2306</v>
      </c>
      <c r="B674" s="114"/>
      <c r="C674" s="120" t="s">
        <v>2307</v>
      </c>
      <c r="D674" s="110"/>
      <c r="E674" s="108" t="s">
        <v>2295</v>
      </c>
      <c r="F674" s="114"/>
      <c r="G674" s="120" t="s">
        <v>2296</v>
      </c>
      <c r="H674" s="114"/>
      <c r="I674" s="111" t="n">
        <v>6513</v>
      </c>
      <c r="J674" s="110"/>
      <c r="K674" s="120" t="s">
        <v>2297</v>
      </c>
      <c r="L674" s="110"/>
      <c r="M674" s="112" t="n">
        <v>84</v>
      </c>
      <c r="N674" s="114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</row>
    <row r="675" customFormat="false" ht="15.75" hidden="false" customHeight="true" outlineLevel="0" collapsed="false">
      <c r="A675" s="108" t="s">
        <v>2308</v>
      </c>
      <c r="B675" s="114"/>
      <c r="C675" s="120" t="s">
        <v>2309</v>
      </c>
      <c r="D675" s="110"/>
      <c r="E675" s="108" t="s">
        <v>855</v>
      </c>
      <c r="F675" s="114"/>
      <c r="G675" s="120" t="s">
        <v>882</v>
      </c>
      <c r="H675" s="114"/>
      <c r="I675" s="111" t="n">
        <v>7033</v>
      </c>
      <c r="J675" s="110"/>
      <c r="K675" s="120" t="s">
        <v>2310</v>
      </c>
      <c r="L675" s="110"/>
      <c r="M675" s="112" t="n">
        <v>85</v>
      </c>
      <c r="N675" s="114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</row>
    <row r="676" customFormat="false" ht="15.75" hidden="false" customHeight="true" outlineLevel="0" collapsed="false">
      <c r="A676" s="108" t="s">
        <v>2311</v>
      </c>
      <c r="B676" s="114"/>
      <c r="C676" s="120" t="s">
        <v>2312</v>
      </c>
      <c r="D676" s="110"/>
      <c r="E676" s="108" t="s">
        <v>2313</v>
      </c>
      <c r="F676" s="114"/>
      <c r="G676" s="120" t="s">
        <v>2314</v>
      </c>
      <c r="H676" s="114"/>
      <c r="I676" s="111" t="n">
        <v>7216</v>
      </c>
      <c r="J676" s="110"/>
      <c r="K676" s="120" t="s">
        <v>2315</v>
      </c>
      <c r="L676" s="110"/>
      <c r="M676" s="112" t="n">
        <v>86</v>
      </c>
      <c r="N676" s="114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</row>
    <row r="677" customFormat="false" ht="15.75" hidden="false" customHeight="true" outlineLevel="0" collapsed="false">
      <c r="A677" s="108" t="s">
        <v>2316</v>
      </c>
      <c r="B677" s="114"/>
      <c r="C677" s="120" t="s">
        <v>2317</v>
      </c>
      <c r="D677" s="110"/>
      <c r="E677" s="108" t="s">
        <v>2313</v>
      </c>
      <c r="F677" s="114"/>
      <c r="G677" s="120" t="s">
        <v>2314</v>
      </c>
      <c r="H677" s="114"/>
      <c r="I677" s="111" t="n">
        <v>7216</v>
      </c>
      <c r="J677" s="110"/>
      <c r="K677" s="120" t="s">
        <v>2315</v>
      </c>
      <c r="L677" s="110"/>
      <c r="M677" s="112" t="n">
        <v>86</v>
      </c>
      <c r="N677" s="114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</row>
    <row r="678" customFormat="false" ht="15.75" hidden="false" customHeight="true" outlineLevel="0" collapsed="false">
      <c r="A678" s="108" t="s">
        <v>2318</v>
      </c>
      <c r="B678" s="114"/>
      <c r="C678" s="120" t="s">
        <v>2319</v>
      </c>
      <c r="D678" s="110"/>
      <c r="E678" s="108" t="s">
        <v>1214</v>
      </c>
      <c r="F678" s="114"/>
      <c r="G678" s="120" t="s">
        <v>1215</v>
      </c>
      <c r="H678" s="114"/>
      <c r="I678" s="111" t="n">
        <v>7221</v>
      </c>
      <c r="J678" s="110"/>
      <c r="K678" s="120" t="s">
        <v>2320</v>
      </c>
      <c r="L678" s="110"/>
      <c r="M678" s="112" t="n">
        <v>87</v>
      </c>
      <c r="N678" s="114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</row>
    <row r="679" customFormat="false" ht="15.75" hidden="false" customHeight="true" outlineLevel="0" collapsed="false">
      <c r="A679" s="108" t="s">
        <v>2321</v>
      </c>
      <c r="B679" s="114"/>
      <c r="C679" s="120" t="s">
        <v>2322</v>
      </c>
      <c r="D679" s="110"/>
      <c r="E679" s="108" t="s">
        <v>1214</v>
      </c>
      <c r="F679" s="114"/>
      <c r="G679" s="120" t="s">
        <v>1215</v>
      </c>
      <c r="H679" s="114"/>
      <c r="I679" s="111" t="n">
        <v>7221</v>
      </c>
      <c r="J679" s="110"/>
      <c r="K679" s="120" t="s">
        <v>2320</v>
      </c>
      <c r="L679" s="110"/>
      <c r="M679" s="112" t="n">
        <v>87</v>
      </c>
      <c r="N679" s="114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</row>
    <row r="680" customFormat="false" ht="15.75" hidden="false" customHeight="true" outlineLevel="0" collapsed="false">
      <c r="A680" s="108" t="s">
        <v>2323</v>
      </c>
      <c r="B680" s="114"/>
      <c r="C680" s="120" t="s">
        <v>2324</v>
      </c>
      <c r="D680" s="110"/>
      <c r="E680" s="108" t="s">
        <v>1214</v>
      </c>
      <c r="F680" s="114"/>
      <c r="G680" s="120" t="s">
        <v>1215</v>
      </c>
      <c r="H680" s="114"/>
      <c r="I680" s="111" t="n">
        <v>7221</v>
      </c>
      <c r="J680" s="110"/>
      <c r="K680" s="120" t="s">
        <v>2320</v>
      </c>
      <c r="L680" s="110"/>
      <c r="M680" s="112" t="n">
        <v>87</v>
      </c>
      <c r="N680" s="114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</row>
    <row r="681" customFormat="false" ht="15.75" hidden="false" customHeight="true" outlineLevel="0" collapsed="false">
      <c r="A681" s="108" t="s">
        <v>2325</v>
      </c>
      <c r="B681" s="114"/>
      <c r="C681" s="120" t="s">
        <v>2326</v>
      </c>
      <c r="D681" s="110"/>
      <c r="E681" s="108" t="s">
        <v>2313</v>
      </c>
      <c r="F681" s="114"/>
      <c r="G681" s="120" t="s">
        <v>2314</v>
      </c>
      <c r="H681" s="114"/>
      <c r="I681" s="111" t="n">
        <v>7261</v>
      </c>
      <c r="J681" s="110"/>
      <c r="K681" s="120" t="s">
        <v>2327</v>
      </c>
      <c r="L681" s="110"/>
      <c r="M681" s="112" t="n">
        <v>88</v>
      </c>
      <c r="N681" s="114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</row>
    <row r="682" customFormat="false" ht="15.75" hidden="false" customHeight="true" outlineLevel="0" collapsed="false">
      <c r="A682" s="108" t="s">
        <v>2328</v>
      </c>
      <c r="B682" s="114"/>
      <c r="C682" s="120" t="s">
        <v>2329</v>
      </c>
      <c r="D682" s="110"/>
      <c r="E682" s="108" t="s">
        <v>2313</v>
      </c>
      <c r="F682" s="114"/>
      <c r="G682" s="120" t="s">
        <v>2314</v>
      </c>
      <c r="H682" s="114"/>
      <c r="I682" s="111" t="n">
        <v>7261</v>
      </c>
      <c r="J682" s="110"/>
      <c r="K682" s="120" t="s">
        <v>2327</v>
      </c>
      <c r="L682" s="110"/>
      <c r="M682" s="112" t="n">
        <v>88</v>
      </c>
      <c r="N682" s="114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</row>
    <row r="683" customFormat="false" ht="15.75" hidden="false" customHeight="true" outlineLevel="0" collapsed="false">
      <c r="A683" s="108" t="s">
        <v>2330</v>
      </c>
      <c r="B683" s="114"/>
      <c r="C683" s="120" t="s">
        <v>2331</v>
      </c>
      <c r="D683" s="110"/>
      <c r="E683" s="108" t="s">
        <v>2313</v>
      </c>
      <c r="F683" s="114"/>
      <c r="G683" s="120" t="s">
        <v>2314</v>
      </c>
      <c r="H683" s="114"/>
      <c r="I683" s="111" t="n">
        <v>7261</v>
      </c>
      <c r="J683" s="110"/>
      <c r="K683" s="120" t="s">
        <v>2327</v>
      </c>
      <c r="L683" s="110"/>
      <c r="M683" s="112" t="n">
        <v>88</v>
      </c>
      <c r="N683" s="114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</row>
    <row r="684" customFormat="false" ht="15.75" hidden="false" customHeight="true" outlineLevel="0" collapsed="false">
      <c r="A684" s="108" t="s">
        <v>2332</v>
      </c>
      <c r="B684" s="114"/>
      <c r="C684" s="120" t="s">
        <v>2333</v>
      </c>
      <c r="D684" s="110"/>
      <c r="E684" s="108" t="s">
        <v>2313</v>
      </c>
      <c r="F684" s="114"/>
      <c r="G684" s="120" t="s">
        <v>2314</v>
      </c>
      <c r="H684" s="114"/>
      <c r="I684" s="111" t="n">
        <v>7261</v>
      </c>
      <c r="J684" s="110"/>
      <c r="K684" s="120" t="s">
        <v>2327</v>
      </c>
      <c r="L684" s="110"/>
      <c r="M684" s="112" t="n">
        <v>88</v>
      </c>
      <c r="N684" s="114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</row>
    <row r="685" customFormat="false" ht="15.75" hidden="false" customHeight="true" outlineLevel="0" collapsed="false">
      <c r="A685" s="108" t="s">
        <v>2334</v>
      </c>
      <c r="B685" s="114"/>
      <c r="C685" s="120" t="s">
        <v>2335</v>
      </c>
      <c r="D685" s="110"/>
      <c r="E685" s="108" t="s">
        <v>2313</v>
      </c>
      <c r="F685" s="114"/>
      <c r="G685" s="120" t="s">
        <v>2314</v>
      </c>
      <c r="H685" s="114"/>
      <c r="I685" s="111" t="n">
        <v>7261</v>
      </c>
      <c r="J685" s="110"/>
      <c r="K685" s="120" t="s">
        <v>2327</v>
      </c>
      <c r="L685" s="110"/>
      <c r="M685" s="112" t="n">
        <v>88</v>
      </c>
      <c r="N685" s="114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</row>
    <row r="686" customFormat="false" ht="15.75" hidden="false" customHeight="true" outlineLevel="0" collapsed="false">
      <c r="A686" s="108" t="s">
        <v>2336</v>
      </c>
      <c r="B686" s="114"/>
      <c r="C686" s="120" t="s">
        <v>2337</v>
      </c>
      <c r="D686" s="110"/>
      <c r="E686" s="108" t="s">
        <v>2313</v>
      </c>
      <c r="F686" s="114"/>
      <c r="G686" s="120" t="s">
        <v>2314</v>
      </c>
      <c r="H686" s="114"/>
      <c r="I686" s="111" t="n">
        <v>7261</v>
      </c>
      <c r="J686" s="110"/>
      <c r="K686" s="120" t="s">
        <v>2327</v>
      </c>
      <c r="L686" s="110"/>
      <c r="M686" s="112" t="n">
        <v>88</v>
      </c>
      <c r="N686" s="114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</row>
    <row r="687" customFormat="false" ht="15.75" hidden="false" customHeight="true" outlineLevel="0" collapsed="false">
      <c r="A687" s="108" t="s">
        <v>2338</v>
      </c>
      <c r="B687" s="114"/>
      <c r="C687" s="120" t="s">
        <v>2339</v>
      </c>
      <c r="D687" s="110"/>
      <c r="E687" s="108" t="s">
        <v>920</v>
      </c>
      <c r="F687" s="114"/>
      <c r="G687" s="120" t="s">
        <v>1579</v>
      </c>
      <c r="H687" s="114"/>
      <c r="I687" s="111" t="n">
        <v>7296</v>
      </c>
      <c r="J687" s="110"/>
      <c r="K687" s="120" t="s">
        <v>2340</v>
      </c>
      <c r="L687" s="110"/>
      <c r="M687" s="112" t="n">
        <v>89</v>
      </c>
      <c r="N687" s="114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</row>
    <row r="688" customFormat="false" ht="15.75" hidden="false" customHeight="true" outlineLevel="0" collapsed="false">
      <c r="A688" s="108" t="s">
        <v>2341</v>
      </c>
      <c r="B688" s="114"/>
      <c r="C688" s="120" t="s">
        <v>2342</v>
      </c>
      <c r="D688" s="110"/>
      <c r="E688" s="108" t="s">
        <v>2313</v>
      </c>
      <c r="F688" s="114"/>
      <c r="G688" s="120" t="s">
        <v>2314</v>
      </c>
      <c r="H688" s="114"/>
      <c r="I688" s="111" t="n">
        <v>7297</v>
      </c>
      <c r="J688" s="110"/>
      <c r="K688" s="120" t="s">
        <v>2343</v>
      </c>
      <c r="L688" s="110"/>
      <c r="M688" s="112" t="n">
        <v>90</v>
      </c>
      <c r="N688" s="114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</row>
    <row r="689" customFormat="false" ht="15.75" hidden="false" customHeight="true" outlineLevel="0" collapsed="false">
      <c r="A689" s="108" t="s">
        <v>2344</v>
      </c>
      <c r="B689" s="114"/>
      <c r="C689" s="120" t="s">
        <v>2345</v>
      </c>
      <c r="D689" s="110"/>
      <c r="E689" s="108" t="s">
        <v>844</v>
      </c>
      <c r="F689" s="114"/>
      <c r="G689" s="120" t="s">
        <v>913</v>
      </c>
      <c r="H689" s="114"/>
      <c r="I689" s="111" t="n">
        <v>7299</v>
      </c>
      <c r="J689" s="110"/>
      <c r="K689" s="120" t="s">
        <v>2346</v>
      </c>
      <c r="L689" s="110"/>
      <c r="M689" s="112" t="n">
        <v>91</v>
      </c>
      <c r="N689" s="114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</row>
    <row r="690" customFormat="false" ht="15.75" hidden="false" customHeight="true" outlineLevel="0" collapsed="false">
      <c r="A690" s="108" t="s">
        <v>2347</v>
      </c>
      <c r="B690" s="114"/>
      <c r="C690" s="120" t="s">
        <v>2348</v>
      </c>
      <c r="D690" s="110"/>
      <c r="E690" s="108" t="s">
        <v>844</v>
      </c>
      <c r="F690" s="114"/>
      <c r="G690" s="120" t="s">
        <v>1046</v>
      </c>
      <c r="H690" s="114"/>
      <c r="I690" s="111" t="n">
        <v>7299</v>
      </c>
      <c r="J690" s="110"/>
      <c r="K690" s="120" t="s">
        <v>2349</v>
      </c>
      <c r="L690" s="110"/>
      <c r="M690" s="112" t="n">
        <v>91</v>
      </c>
      <c r="N690" s="114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</row>
    <row r="691" customFormat="false" ht="15.75" hidden="false" customHeight="true" outlineLevel="0" collapsed="false">
      <c r="A691" s="108" t="s">
        <v>2350</v>
      </c>
      <c r="B691" s="114"/>
      <c r="C691" s="120" t="s">
        <v>2351</v>
      </c>
      <c r="D691" s="110"/>
      <c r="E691" s="108" t="s">
        <v>844</v>
      </c>
      <c r="F691" s="114"/>
      <c r="G691" s="120" t="s">
        <v>957</v>
      </c>
      <c r="H691" s="114"/>
      <c r="I691" s="111" t="n">
        <v>7299</v>
      </c>
      <c r="J691" s="110"/>
      <c r="K691" s="120" t="s">
        <v>2349</v>
      </c>
      <c r="L691" s="110"/>
      <c r="M691" s="112" t="n">
        <v>91</v>
      </c>
      <c r="N691" s="114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</row>
    <row r="692" customFormat="false" ht="15.75" hidden="false" customHeight="true" outlineLevel="0" collapsed="false">
      <c r="A692" s="108" t="s">
        <v>2352</v>
      </c>
      <c r="B692" s="114"/>
      <c r="C692" s="120" t="s">
        <v>2353</v>
      </c>
      <c r="D692" s="110"/>
      <c r="E692" s="108" t="s">
        <v>844</v>
      </c>
      <c r="F692" s="114"/>
      <c r="G692" s="120" t="s">
        <v>957</v>
      </c>
      <c r="H692" s="114"/>
      <c r="I692" s="111" t="n">
        <v>7299</v>
      </c>
      <c r="J692" s="110"/>
      <c r="K692" s="120" t="s">
        <v>2349</v>
      </c>
      <c r="L692" s="110"/>
      <c r="M692" s="112" t="n">
        <v>91</v>
      </c>
      <c r="N692" s="114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</row>
    <row r="693" customFormat="false" ht="15.75" hidden="false" customHeight="true" outlineLevel="0" collapsed="false">
      <c r="A693" s="108" t="s">
        <v>2354</v>
      </c>
      <c r="B693" s="114"/>
      <c r="C693" s="120" t="s">
        <v>2355</v>
      </c>
      <c r="D693" s="110"/>
      <c r="E693" s="108" t="s">
        <v>1518</v>
      </c>
      <c r="F693" s="114"/>
      <c r="G693" s="120" t="s">
        <v>1519</v>
      </c>
      <c r="H693" s="114"/>
      <c r="I693" s="111" t="n">
        <v>7299</v>
      </c>
      <c r="J693" s="110"/>
      <c r="K693" s="120" t="s">
        <v>2346</v>
      </c>
      <c r="L693" s="110"/>
      <c r="M693" s="112" t="n">
        <v>91</v>
      </c>
      <c r="N693" s="114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</row>
    <row r="694" customFormat="false" ht="15.75" hidden="false" customHeight="true" outlineLevel="0" collapsed="false">
      <c r="A694" s="108" t="s">
        <v>2356</v>
      </c>
      <c r="B694" s="114"/>
      <c r="C694" s="120" t="s">
        <v>2357</v>
      </c>
      <c r="D694" s="110"/>
      <c r="E694" s="108" t="s">
        <v>1518</v>
      </c>
      <c r="F694" s="114"/>
      <c r="G694" s="120" t="s">
        <v>1519</v>
      </c>
      <c r="H694" s="114"/>
      <c r="I694" s="111" t="n">
        <v>7299</v>
      </c>
      <c r="J694" s="110"/>
      <c r="K694" s="120" t="s">
        <v>2346</v>
      </c>
      <c r="L694" s="110"/>
      <c r="M694" s="112" t="n">
        <v>91</v>
      </c>
      <c r="N694" s="114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</row>
    <row r="695" customFormat="false" ht="15.75" hidden="false" customHeight="true" outlineLevel="0" collapsed="false">
      <c r="A695" s="108" t="s">
        <v>2358</v>
      </c>
      <c r="B695" s="114"/>
      <c r="C695" s="120" t="s">
        <v>2359</v>
      </c>
      <c r="D695" s="110"/>
      <c r="E695" s="108" t="s">
        <v>933</v>
      </c>
      <c r="F695" s="114"/>
      <c r="G695" s="120" t="s">
        <v>945</v>
      </c>
      <c r="H695" s="114"/>
      <c r="I695" s="111" t="n">
        <v>7299</v>
      </c>
      <c r="J695" s="110"/>
      <c r="K695" s="120" t="s">
        <v>2346</v>
      </c>
      <c r="L695" s="110"/>
      <c r="M695" s="112" t="n">
        <v>91</v>
      </c>
      <c r="N695" s="114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</row>
    <row r="696" customFormat="false" ht="15.75" hidden="false" customHeight="true" outlineLevel="0" collapsed="false">
      <c r="A696" s="108" t="s">
        <v>2360</v>
      </c>
      <c r="B696" s="114"/>
      <c r="C696" s="120" t="s">
        <v>2361</v>
      </c>
      <c r="D696" s="110"/>
      <c r="E696" s="108" t="s">
        <v>808</v>
      </c>
      <c r="F696" s="114"/>
      <c r="G696" s="120" t="s">
        <v>896</v>
      </c>
      <c r="H696" s="114"/>
      <c r="I696" s="111" t="n">
        <v>7299</v>
      </c>
      <c r="J696" s="110"/>
      <c r="K696" s="120" t="s">
        <v>2349</v>
      </c>
      <c r="L696" s="110"/>
      <c r="M696" s="112" t="n">
        <v>91</v>
      </c>
      <c r="N696" s="114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</row>
    <row r="697" customFormat="false" ht="15.75" hidden="false" customHeight="true" outlineLevel="0" collapsed="false">
      <c r="A697" s="108" t="s">
        <v>2362</v>
      </c>
      <c r="B697" s="114"/>
      <c r="C697" s="120" t="s">
        <v>2363</v>
      </c>
      <c r="D697" s="110"/>
      <c r="E697" s="108" t="s">
        <v>808</v>
      </c>
      <c r="F697" s="114"/>
      <c r="G697" s="120" t="s">
        <v>2175</v>
      </c>
      <c r="H697" s="114"/>
      <c r="I697" s="111" t="n">
        <v>7299</v>
      </c>
      <c r="J697" s="110"/>
      <c r="K697" s="120" t="s">
        <v>2346</v>
      </c>
      <c r="L697" s="110"/>
      <c r="M697" s="112" t="n">
        <v>91</v>
      </c>
      <c r="N697" s="114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</row>
    <row r="698" customFormat="false" ht="15.75" hidden="false" customHeight="true" outlineLevel="0" collapsed="false">
      <c r="A698" s="108" t="s">
        <v>2364</v>
      </c>
      <c r="B698" s="114"/>
      <c r="C698" s="120" t="s">
        <v>2365</v>
      </c>
      <c r="D698" s="110"/>
      <c r="E698" s="108" t="s">
        <v>1214</v>
      </c>
      <c r="F698" s="114"/>
      <c r="G698" s="120" t="s">
        <v>2366</v>
      </c>
      <c r="H698" s="114"/>
      <c r="I698" s="111" t="n">
        <v>7299</v>
      </c>
      <c r="J698" s="110"/>
      <c r="K698" s="120" t="s">
        <v>2346</v>
      </c>
      <c r="L698" s="110"/>
      <c r="M698" s="112" t="n">
        <v>91</v>
      </c>
      <c r="N698" s="114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</row>
    <row r="699" customFormat="false" ht="15.75" hidden="false" customHeight="true" outlineLevel="0" collapsed="false">
      <c r="A699" s="108" t="s">
        <v>2367</v>
      </c>
      <c r="B699" s="114"/>
      <c r="C699" s="120" t="s">
        <v>2368</v>
      </c>
      <c r="D699" s="110"/>
      <c r="E699" s="108" t="s">
        <v>1214</v>
      </c>
      <c r="F699" s="114"/>
      <c r="G699" s="120" t="s">
        <v>1215</v>
      </c>
      <c r="H699" s="114"/>
      <c r="I699" s="111" t="n">
        <v>7299</v>
      </c>
      <c r="J699" s="110"/>
      <c r="K699" s="120" t="s">
        <v>2346</v>
      </c>
      <c r="L699" s="110"/>
      <c r="M699" s="112" t="n">
        <v>91</v>
      </c>
      <c r="N699" s="114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</row>
    <row r="700" customFormat="false" ht="15.75" hidden="false" customHeight="true" outlineLevel="0" collapsed="false">
      <c r="A700" s="108" t="s">
        <v>2369</v>
      </c>
      <c r="B700" s="114"/>
      <c r="C700" s="120" t="s">
        <v>2370</v>
      </c>
      <c r="D700" s="110"/>
      <c r="E700" s="108" t="s">
        <v>920</v>
      </c>
      <c r="F700" s="114"/>
      <c r="G700" s="120" t="s">
        <v>921</v>
      </c>
      <c r="H700" s="114"/>
      <c r="I700" s="111" t="n">
        <v>7299</v>
      </c>
      <c r="J700" s="110"/>
      <c r="K700" s="120" t="s">
        <v>2346</v>
      </c>
      <c r="L700" s="110"/>
      <c r="M700" s="112" t="n">
        <v>91</v>
      </c>
      <c r="N700" s="114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</row>
    <row r="701" customFormat="false" ht="15.75" hidden="false" customHeight="true" outlineLevel="0" collapsed="false">
      <c r="A701" s="108" t="s">
        <v>2371</v>
      </c>
      <c r="B701" s="114"/>
      <c r="C701" s="120" t="s">
        <v>2372</v>
      </c>
      <c r="D701" s="110"/>
      <c r="E701" s="108" t="s">
        <v>875</v>
      </c>
      <c r="F701" s="114"/>
      <c r="G701" s="120" t="s">
        <v>2266</v>
      </c>
      <c r="H701" s="114"/>
      <c r="I701" s="111" t="n">
        <v>7299</v>
      </c>
      <c r="J701" s="110"/>
      <c r="K701" s="120" t="s">
        <v>2349</v>
      </c>
      <c r="L701" s="110"/>
      <c r="M701" s="112" t="n">
        <v>91</v>
      </c>
      <c r="N701" s="114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</row>
    <row r="702" customFormat="false" ht="15.75" hidden="false" customHeight="true" outlineLevel="0" collapsed="false">
      <c r="A702" s="108" t="s">
        <v>2373</v>
      </c>
      <c r="B702" s="114"/>
      <c r="C702" s="120" t="s">
        <v>2374</v>
      </c>
      <c r="D702" s="110"/>
      <c r="E702" s="108" t="s">
        <v>2313</v>
      </c>
      <c r="F702" s="114"/>
      <c r="G702" s="120" t="s">
        <v>2314</v>
      </c>
      <c r="H702" s="114"/>
      <c r="I702" s="111" t="n">
        <v>7299</v>
      </c>
      <c r="J702" s="110"/>
      <c r="K702" s="120" t="s">
        <v>2349</v>
      </c>
      <c r="L702" s="110"/>
      <c r="M702" s="112" t="n">
        <v>91</v>
      </c>
      <c r="N702" s="114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</row>
    <row r="703" customFormat="false" ht="15.75" hidden="false" customHeight="true" outlineLevel="0" collapsed="false">
      <c r="A703" s="108" t="s">
        <v>2375</v>
      </c>
      <c r="B703" s="114"/>
      <c r="C703" s="120" t="s">
        <v>2376</v>
      </c>
      <c r="D703" s="110"/>
      <c r="E703" s="108" t="s">
        <v>2313</v>
      </c>
      <c r="F703" s="114"/>
      <c r="G703" s="120" t="s">
        <v>2314</v>
      </c>
      <c r="H703" s="114"/>
      <c r="I703" s="111" t="n">
        <v>7299</v>
      </c>
      <c r="J703" s="110"/>
      <c r="K703" s="120" t="s">
        <v>2349</v>
      </c>
      <c r="L703" s="110"/>
      <c r="M703" s="112" t="n">
        <v>91</v>
      </c>
      <c r="N703" s="114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</row>
    <row r="704" customFormat="false" ht="15.75" hidden="false" customHeight="true" outlineLevel="0" collapsed="false">
      <c r="A704" s="108" t="s">
        <v>2377</v>
      </c>
      <c r="B704" s="114"/>
      <c r="C704" s="120" t="s">
        <v>2378</v>
      </c>
      <c r="D704" s="110"/>
      <c r="E704" s="108" t="s">
        <v>2313</v>
      </c>
      <c r="F704" s="114"/>
      <c r="G704" s="120" t="s">
        <v>2314</v>
      </c>
      <c r="H704" s="114"/>
      <c r="I704" s="111" t="n">
        <v>7299</v>
      </c>
      <c r="J704" s="110"/>
      <c r="K704" s="120" t="s">
        <v>2349</v>
      </c>
      <c r="L704" s="110"/>
      <c r="M704" s="112" t="n">
        <v>91</v>
      </c>
      <c r="N704" s="114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</row>
    <row r="705" customFormat="false" ht="15.75" hidden="false" customHeight="true" outlineLevel="0" collapsed="false">
      <c r="A705" s="108" t="s">
        <v>2379</v>
      </c>
      <c r="B705" s="114"/>
      <c r="C705" s="120" t="s">
        <v>2380</v>
      </c>
      <c r="D705" s="110"/>
      <c r="E705" s="108" t="s">
        <v>2313</v>
      </c>
      <c r="F705" s="114"/>
      <c r="G705" s="120" t="s">
        <v>2314</v>
      </c>
      <c r="H705" s="114"/>
      <c r="I705" s="111" t="n">
        <v>7299</v>
      </c>
      <c r="J705" s="110"/>
      <c r="K705" s="120" t="s">
        <v>2349</v>
      </c>
      <c r="L705" s="110"/>
      <c r="M705" s="112" t="n">
        <v>91</v>
      </c>
      <c r="N705" s="114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</row>
    <row r="706" customFormat="false" ht="15.75" hidden="false" customHeight="true" outlineLevel="0" collapsed="false">
      <c r="A706" s="108" t="s">
        <v>2381</v>
      </c>
      <c r="B706" s="114"/>
      <c r="C706" s="120" t="s">
        <v>2382</v>
      </c>
      <c r="D706" s="110"/>
      <c r="E706" s="108" t="s">
        <v>1214</v>
      </c>
      <c r="F706" s="114"/>
      <c r="G706" s="120" t="s">
        <v>2383</v>
      </c>
      <c r="H706" s="114"/>
      <c r="I706" s="111" t="n">
        <v>7311</v>
      </c>
      <c r="J706" s="110"/>
      <c r="K706" s="120" t="s">
        <v>2384</v>
      </c>
      <c r="L706" s="110"/>
      <c r="M706" s="112" t="n">
        <v>92</v>
      </c>
      <c r="N706" s="114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</row>
    <row r="707" customFormat="false" ht="15.75" hidden="false" customHeight="true" outlineLevel="0" collapsed="false">
      <c r="A707" s="108" t="s">
        <v>2385</v>
      </c>
      <c r="B707" s="114"/>
      <c r="C707" s="120" t="s">
        <v>2386</v>
      </c>
      <c r="D707" s="110"/>
      <c r="E707" s="108" t="s">
        <v>1214</v>
      </c>
      <c r="F707" s="114"/>
      <c r="G707" s="120" t="s">
        <v>2383</v>
      </c>
      <c r="H707" s="114"/>
      <c r="I707" s="111" t="n">
        <v>7311</v>
      </c>
      <c r="J707" s="110"/>
      <c r="K707" s="120" t="s">
        <v>2384</v>
      </c>
      <c r="L707" s="110"/>
      <c r="M707" s="112" t="n">
        <v>92</v>
      </c>
      <c r="N707" s="114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</row>
    <row r="708" customFormat="false" ht="15.75" hidden="false" customHeight="true" outlineLevel="0" collapsed="false">
      <c r="A708" s="108" t="s">
        <v>2387</v>
      </c>
      <c r="B708" s="114"/>
      <c r="C708" s="120" t="s">
        <v>2388</v>
      </c>
      <c r="D708" s="110"/>
      <c r="E708" s="108" t="s">
        <v>1214</v>
      </c>
      <c r="F708" s="114"/>
      <c r="G708" s="120" t="s">
        <v>2383</v>
      </c>
      <c r="H708" s="114"/>
      <c r="I708" s="111" t="n">
        <v>7311</v>
      </c>
      <c r="J708" s="110"/>
      <c r="K708" s="120" t="s">
        <v>2384</v>
      </c>
      <c r="L708" s="110"/>
      <c r="M708" s="112" t="n">
        <v>92</v>
      </c>
      <c r="N708" s="114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</row>
    <row r="709" customFormat="false" ht="15.75" hidden="false" customHeight="true" outlineLevel="0" collapsed="false">
      <c r="A709" s="108" t="s">
        <v>2389</v>
      </c>
      <c r="B709" s="114"/>
      <c r="C709" s="120" t="s">
        <v>2390</v>
      </c>
      <c r="D709" s="110"/>
      <c r="E709" s="108" t="s">
        <v>1214</v>
      </c>
      <c r="F709" s="114"/>
      <c r="G709" s="120" t="s">
        <v>2383</v>
      </c>
      <c r="H709" s="114"/>
      <c r="I709" s="111" t="n">
        <v>7311</v>
      </c>
      <c r="J709" s="110"/>
      <c r="K709" s="120" t="s">
        <v>2384</v>
      </c>
      <c r="L709" s="110"/>
      <c r="M709" s="112" t="n">
        <v>92</v>
      </c>
      <c r="N709" s="114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</row>
    <row r="710" customFormat="false" ht="15.75" hidden="false" customHeight="true" outlineLevel="0" collapsed="false">
      <c r="A710" s="108" t="s">
        <v>2391</v>
      </c>
      <c r="B710" s="114"/>
      <c r="C710" s="120" t="s">
        <v>2392</v>
      </c>
      <c r="D710" s="110"/>
      <c r="E710" s="108" t="s">
        <v>1214</v>
      </c>
      <c r="F710" s="114"/>
      <c r="G710" s="120" t="s">
        <v>2383</v>
      </c>
      <c r="H710" s="114"/>
      <c r="I710" s="111" t="n">
        <v>7311</v>
      </c>
      <c r="J710" s="110"/>
      <c r="K710" s="120" t="s">
        <v>2384</v>
      </c>
      <c r="L710" s="110"/>
      <c r="M710" s="112" t="n">
        <v>92</v>
      </c>
      <c r="N710" s="114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</row>
    <row r="711" customFormat="false" ht="15.75" hidden="false" customHeight="true" outlineLevel="0" collapsed="false">
      <c r="A711" s="108" t="s">
        <v>2393</v>
      </c>
      <c r="B711" s="114"/>
      <c r="C711" s="120" t="s">
        <v>2394</v>
      </c>
      <c r="D711" s="110"/>
      <c r="E711" s="108" t="s">
        <v>1214</v>
      </c>
      <c r="F711" s="114"/>
      <c r="G711" s="120" t="s">
        <v>2383</v>
      </c>
      <c r="H711" s="114"/>
      <c r="I711" s="111" t="n">
        <v>7311</v>
      </c>
      <c r="J711" s="110"/>
      <c r="K711" s="120" t="s">
        <v>2384</v>
      </c>
      <c r="L711" s="110"/>
      <c r="M711" s="112" t="n">
        <v>92</v>
      </c>
      <c r="N711" s="114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</row>
    <row r="712" customFormat="false" ht="15.75" hidden="false" customHeight="true" outlineLevel="0" collapsed="false">
      <c r="A712" s="108" t="s">
        <v>2395</v>
      </c>
      <c r="B712" s="114"/>
      <c r="C712" s="120" t="s">
        <v>2396</v>
      </c>
      <c r="D712" s="110"/>
      <c r="E712" s="108" t="s">
        <v>920</v>
      </c>
      <c r="F712" s="114"/>
      <c r="G712" s="120" t="s">
        <v>1210</v>
      </c>
      <c r="H712" s="114"/>
      <c r="I712" s="111" t="n">
        <v>7349</v>
      </c>
      <c r="J712" s="110"/>
      <c r="K712" s="120" t="s">
        <v>2397</v>
      </c>
      <c r="L712" s="110"/>
      <c r="M712" s="112" t="n">
        <v>93</v>
      </c>
      <c r="N712" s="114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</row>
    <row r="713" customFormat="false" ht="15.75" hidden="false" customHeight="true" outlineLevel="0" collapsed="false">
      <c r="A713" s="108" t="s">
        <v>2398</v>
      </c>
      <c r="B713" s="114"/>
      <c r="C713" s="120" t="s">
        <v>2399</v>
      </c>
      <c r="D713" s="110"/>
      <c r="E713" s="108" t="s">
        <v>920</v>
      </c>
      <c r="F713" s="114"/>
      <c r="G713" s="120" t="s">
        <v>1210</v>
      </c>
      <c r="H713" s="114"/>
      <c r="I713" s="111" t="n">
        <v>7349</v>
      </c>
      <c r="J713" s="110"/>
      <c r="K713" s="120" t="s">
        <v>2397</v>
      </c>
      <c r="L713" s="110"/>
      <c r="M713" s="112" t="n">
        <v>93</v>
      </c>
      <c r="N713" s="114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</row>
    <row r="714" customFormat="false" ht="15.75" hidden="false" customHeight="true" outlineLevel="0" collapsed="false">
      <c r="A714" s="108" t="s">
        <v>2400</v>
      </c>
      <c r="B714" s="114"/>
      <c r="C714" s="120" t="s">
        <v>2401</v>
      </c>
      <c r="D714" s="110"/>
      <c r="E714" s="108" t="s">
        <v>920</v>
      </c>
      <c r="F714" s="114"/>
      <c r="G714" s="120" t="s">
        <v>1210</v>
      </c>
      <c r="H714" s="114"/>
      <c r="I714" s="111" t="n">
        <v>7349</v>
      </c>
      <c r="J714" s="110"/>
      <c r="K714" s="120" t="s">
        <v>2397</v>
      </c>
      <c r="L714" s="110"/>
      <c r="M714" s="112" t="n">
        <v>93</v>
      </c>
      <c r="N714" s="114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</row>
    <row r="715" customFormat="false" ht="15.75" hidden="false" customHeight="true" outlineLevel="0" collapsed="false">
      <c r="A715" s="108" t="s">
        <v>2402</v>
      </c>
      <c r="B715" s="114"/>
      <c r="C715" s="120" t="s">
        <v>2403</v>
      </c>
      <c r="D715" s="110"/>
      <c r="E715" s="108" t="s">
        <v>920</v>
      </c>
      <c r="F715" s="114"/>
      <c r="G715" s="120" t="s">
        <v>1210</v>
      </c>
      <c r="H715" s="114"/>
      <c r="I715" s="111" t="n">
        <v>7349</v>
      </c>
      <c r="J715" s="110"/>
      <c r="K715" s="120" t="s">
        <v>2397</v>
      </c>
      <c r="L715" s="110"/>
      <c r="M715" s="112" t="n">
        <v>93</v>
      </c>
      <c r="N715" s="114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</row>
    <row r="716" customFormat="false" ht="15.75" hidden="false" customHeight="true" outlineLevel="0" collapsed="false">
      <c r="A716" s="108" t="s">
        <v>2404</v>
      </c>
      <c r="B716" s="114"/>
      <c r="C716" s="120" t="s">
        <v>2405</v>
      </c>
      <c r="D716" s="110"/>
      <c r="E716" s="108" t="s">
        <v>2406</v>
      </c>
      <c r="F716" s="114"/>
      <c r="G716" s="120" t="s">
        <v>2407</v>
      </c>
      <c r="H716" s="114"/>
      <c r="I716" s="111" t="n">
        <v>7349</v>
      </c>
      <c r="J716" s="110"/>
      <c r="K716" s="120" t="s">
        <v>2397</v>
      </c>
      <c r="L716" s="110"/>
      <c r="M716" s="112" t="n">
        <v>93</v>
      </c>
      <c r="N716" s="114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</row>
    <row r="717" customFormat="false" ht="15.75" hidden="false" customHeight="true" outlineLevel="0" collapsed="false">
      <c r="A717" s="108" t="s">
        <v>2408</v>
      </c>
      <c r="B717" s="114"/>
      <c r="C717" s="120" t="s">
        <v>2409</v>
      </c>
      <c r="D717" s="110"/>
      <c r="E717" s="108" t="s">
        <v>920</v>
      </c>
      <c r="F717" s="114"/>
      <c r="G717" s="120" t="s">
        <v>2410</v>
      </c>
      <c r="H717" s="114"/>
      <c r="I717" s="111" t="n">
        <v>7361</v>
      </c>
      <c r="J717" s="110"/>
      <c r="K717" s="120" t="s">
        <v>2411</v>
      </c>
      <c r="L717" s="110"/>
      <c r="M717" s="112" t="n">
        <v>94</v>
      </c>
      <c r="N717" s="114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</row>
    <row r="718" customFormat="false" ht="15.75" hidden="false" customHeight="true" outlineLevel="0" collapsed="false">
      <c r="A718" s="108" t="s">
        <v>2412</v>
      </c>
      <c r="B718" s="114"/>
      <c r="C718" s="120" t="s">
        <v>2413</v>
      </c>
      <c r="D718" s="110"/>
      <c r="E718" s="108" t="s">
        <v>920</v>
      </c>
      <c r="F718" s="114"/>
      <c r="G718" s="120" t="s">
        <v>2410</v>
      </c>
      <c r="H718" s="114"/>
      <c r="I718" s="111" t="n">
        <v>7361</v>
      </c>
      <c r="J718" s="110"/>
      <c r="K718" s="120" t="s">
        <v>2411</v>
      </c>
      <c r="L718" s="110"/>
      <c r="M718" s="112" t="n">
        <v>94</v>
      </c>
      <c r="N718" s="114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</row>
    <row r="719" customFormat="false" ht="15.75" hidden="false" customHeight="true" outlineLevel="0" collapsed="false">
      <c r="A719" s="108" t="s">
        <v>2414</v>
      </c>
      <c r="B719" s="114"/>
      <c r="C719" s="120" t="s">
        <v>2415</v>
      </c>
      <c r="D719" s="110"/>
      <c r="E719" s="108" t="s">
        <v>920</v>
      </c>
      <c r="F719" s="114"/>
      <c r="G719" s="120" t="s">
        <v>2410</v>
      </c>
      <c r="H719" s="114"/>
      <c r="I719" s="111" t="n">
        <v>7361</v>
      </c>
      <c r="J719" s="110"/>
      <c r="K719" s="120" t="s">
        <v>2411</v>
      </c>
      <c r="L719" s="110"/>
      <c r="M719" s="112" t="n">
        <v>94</v>
      </c>
      <c r="N719" s="114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</row>
    <row r="720" customFormat="false" ht="15.75" hidden="false" customHeight="true" outlineLevel="0" collapsed="false">
      <c r="A720" s="108" t="s">
        <v>2416</v>
      </c>
      <c r="B720" s="114"/>
      <c r="C720" s="120" t="s">
        <v>2417</v>
      </c>
      <c r="D720" s="110"/>
      <c r="E720" s="108" t="s">
        <v>808</v>
      </c>
      <c r="F720" s="114"/>
      <c r="G720" s="120" t="s">
        <v>809</v>
      </c>
      <c r="H720" s="114"/>
      <c r="I720" s="111" t="n">
        <v>7379</v>
      </c>
      <c r="J720" s="110"/>
      <c r="K720" s="120" t="s">
        <v>2418</v>
      </c>
      <c r="L720" s="110"/>
      <c r="M720" s="112" t="n">
        <v>95</v>
      </c>
      <c r="N720" s="114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</row>
    <row r="721" customFormat="false" ht="15.75" hidden="false" customHeight="true" outlineLevel="0" collapsed="false">
      <c r="A721" s="108" t="s">
        <v>2419</v>
      </c>
      <c r="B721" s="114"/>
      <c r="C721" s="120" t="s">
        <v>2420</v>
      </c>
      <c r="D721" s="110"/>
      <c r="E721" s="108" t="s">
        <v>2313</v>
      </c>
      <c r="F721" s="114"/>
      <c r="G721" s="120" t="s">
        <v>2421</v>
      </c>
      <c r="H721" s="114"/>
      <c r="I721" s="111" t="n">
        <v>7379</v>
      </c>
      <c r="J721" s="110"/>
      <c r="K721" s="120" t="s">
        <v>2418</v>
      </c>
      <c r="L721" s="110"/>
      <c r="M721" s="112" t="n">
        <v>95</v>
      </c>
      <c r="N721" s="114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</row>
    <row r="722" customFormat="false" ht="15.75" hidden="false" customHeight="true" outlineLevel="0" collapsed="false">
      <c r="A722" s="108" t="s">
        <v>2422</v>
      </c>
      <c r="B722" s="114"/>
      <c r="C722" s="120" t="s">
        <v>2423</v>
      </c>
      <c r="D722" s="110"/>
      <c r="E722" s="108" t="s">
        <v>920</v>
      </c>
      <c r="F722" s="114"/>
      <c r="G722" s="120" t="s">
        <v>1579</v>
      </c>
      <c r="H722" s="114"/>
      <c r="I722" s="111" t="n">
        <v>7394</v>
      </c>
      <c r="J722" s="110"/>
      <c r="K722" s="120" t="s">
        <v>2424</v>
      </c>
      <c r="L722" s="110"/>
      <c r="M722" s="121" t="n">
        <v>96</v>
      </c>
      <c r="N722" s="114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</row>
    <row r="723" customFormat="false" ht="15.75" hidden="false" customHeight="true" outlineLevel="0" collapsed="false">
      <c r="A723" s="108" t="s">
        <v>2425</v>
      </c>
      <c r="B723" s="114"/>
      <c r="C723" s="120" t="s">
        <v>2426</v>
      </c>
      <c r="D723" s="110"/>
      <c r="E723" s="108" t="s">
        <v>920</v>
      </c>
      <c r="F723" s="114"/>
      <c r="G723" s="120" t="s">
        <v>1579</v>
      </c>
      <c r="H723" s="114"/>
      <c r="I723" s="111" t="n">
        <v>7394</v>
      </c>
      <c r="J723" s="110"/>
      <c r="K723" s="120" t="s">
        <v>2424</v>
      </c>
      <c r="L723" s="110"/>
      <c r="M723" s="121" t="n">
        <v>96</v>
      </c>
      <c r="N723" s="114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</row>
    <row r="724" customFormat="false" ht="15.75" hidden="false" customHeight="true" outlineLevel="0" collapsed="false">
      <c r="A724" s="108" t="s">
        <v>2427</v>
      </c>
      <c r="B724" s="114"/>
      <c r="C724" s="120" t="s">
        <v>2428</v>
      </c>
      <c r="D724" s="110"/>
      <c r="E724" s="108" t="s">
        <v>920</v>
      </c>
      <c r="F724" s="114"/>
      <c r="G724" s="120" t="s">
        <v>1579</v>
      </c>
      <c r="H724" s="114"/>
      <c r="I724" s="111" t="n">
        <v>7394</v>
      </c>
      <c r="J724" s="110"/>
      <c r="K724" s="120" t="s">
        <v>2424</v>
      </c>
      <c r="L724" s="110"/>
      <c r="M724" s="121" t="n">
        <v>96</v>
      </c>
      <c r="N724" s="114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</row>
    <row r="725" customFormat="false" ht="15.75" hidden="false" customHeight="true" outlineLevel="0" collapsed="false">
      <c r="A725" s="108" t="s">
        <v>2429</v>
      </c>
      <c r="B725" s="114"/>
      <c r="C725" s="120" t="s">
        <v>2430</v>
      </c>
      <c r="D725" s="110"/>
      <c r="E725" s="108" t="s">
        <v>920</v>
      </c>
      <c r="F725" s="114"/>
      <c r="G725" s="120" t="s">
        <v>1579</v>
      </c>
      <c r="H725" s="114"/>
      <c r="I725" s="111" t="n">
        <v>7394</v>
      </c>
      <c r="J725" s="110"/>
      <c r="K725" s="120" t="s">
        <v>2424</v>
      </c>
      <c r="L725" s="110"/>
      <c r="M725" s="121" t="n">
        <v>96</v>
      </c>
      <c r="N725" s="114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</row>
    <row r="726" customFormat="false" ht="15.75" hidden="false" customHeight="true" outlineLevel="0" collapsed="false">
      <c r="A726" s="108" t="s">
        <v>2431</v>
      </c>
      <c r="B726" s="114"/>
      <c r="C726" s="120" t="s">
        <v>2432</v>
      </c>
      <c r="D726" s="110"/>
      <c r="E726" s="108" t="s">
        <v>920</v>
      </c>
      <c r="F726" s="114"/>
      <c r="G726" s="120" t="s">
        <v>1579</v>
      </c>
      <c r="H726" s="114"/>
      <c r="I726" s="111" t="n">
        <v>7394</v>
      </c>
      <c r="J726" s="110"/>
      <c r="K726" s="120" t="s">
        <v>2424</v>
      </c>
      <c r="L726" s="110"/>
      <c r="M726" s="121" t="n">
        <v>96</v>
      </c>
      <c r="N726" s="114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</row>
    <row r="727" customFormat="false" ht="15.75" hidden="false" customHeight="true" outlineLevel="0" collapsed="false">
      <c r="A727" s="108" t="s">
        <v>2433</v>
      </c>
      <c r="B727" s="114"/>
      <c r="C727" s="120" t="s">
        <v>2434</v>
      </c>
      <c r="D727" s="110"/>
      <c r="E727" s="108" t="s">
        <v>920</v>
      </c>
      <c r="F727" s="114"/>
      <c r="G727" s="120" t="s">
        <v>1579</v>
      </c>
      <c r="H727" s="114"/>
      <c r="I727" s="111" t="n">
        <v>7394</v>
      </c>
      <c r="J727" s="110"/>
      <c r="K727" s="120" t="s">
        <v>2424</v>
      </c>
      <c r="L727" s="110"/>
      <c r="M727" s="121" t="n">
        <v>96</v>
      </c>
      <c r="N727" s="114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</row>
    <row r="728" customFormat="false" ht="15.75" hidden="false" customHeight="true" outlineLevel="0" collapsed="false">
      <c r="A728" s="108" t="s">
        <v>2435</v>
      </c>
      <c r="B728" s="114"/>
      <c r="C728" s="120" t="s">
        <v>2436</v>
      </c>
      <c r="D728" s="110"/>
      <c r="E728" s="108" t="s">
        <v>920</v>
      </c>
      <c r="F728" s="114"/>
      <c r="G728" s="120" t="s">
        <v>1579</v>
      </c>
      <c r="H728" s="114"/>
      <c r="I728" s="111" t="n">
        <v>7394</v>
      </c>
      <c r="J728" s="110"/>
      <c r="K728" s="120" t="s">
        <v>2424</v>
      </c>
      <c r="L728" s="110"/>
      <c r="M728" s="121" t="n">
        <v>96</v>
      </c>
      <c r="N728" s="114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</row>
    <row r="729" customFormat="false" ht="15.75" hidden="false" customHeight="true" outlineLevel="0" collapsed="false">
      <c r="A729" s="108" t="s">
        <v>2437</v>
      </c>
      <c r="B729" s="114"/>
      <c r="C729" s="120" t="s">
        <v>2438</v>
      </c>
      <c r="D729" s="110"/>
      <c r="E729" s="108" t="s">
        <v>920</v>
      </c>
      <c r="F729" s="114"/>
      <c r="G729" s="120" t="s">
        <v>1579</v>
      </c>
      <c r="H729" s="114"/>
      <c r="I729" s="111" t="n">
        <v>7394</v>
      </c>
      <c r="J729" s="110"/>
      <c r="K729" s="120" t="s">
        <v>2424</v>
      </c>
      <c r="L729" s="110"/>
      <c r="M729" s="121" t="n">
        <v>96</v>
      </c>
      <c r="N729" s="114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</row>
    <row r="730" customFormat="false" ht="15.75" hidden="false" customHeight="true" outlineLevel="0" collapsed="false">
      <c r="A730" s="108" t="s">
        <v>2439</v>
      </c>
      <c r="B730" s="114"/>
      <c r="C730" s="120" t="s">
        <v>2440</v>
      </c>
      <c r="D730" s="110"/>
      <c r="E730" s="108" t="s">
        <v>920</v>
      </c>
      <c r="F730" s="114"/>
      <c r="G730" s="120" t="s">
        <v>1579</v>
      </c>
      <c r="H730" s="114"/>
      <c r="I730" s="111" t="n">
        <v>7394</v>
      </c>
      <c r="J730" s="110"/>
      <c r="K730" s="120" t="s">
        <v>2424</v>
      </c>
      <c r="L730" s="110"/>
      <c r="M730" s="121" t="n">
        <v>96</v>
      </c>
      <c r="N730" s="114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</row>
    <row r="731" customFormat="false" ht="15.75" hidden="false" customHeight="true" outlineLevel="0" collapsed="false">
      <c r="A731" s="108" t="s">
        <v>2441</v>
      </c>
      <c r="B731" s="114"/>
      <c r="C731" s="120" t="s">
        <v>2442</v>
      </c>
      <c r="D731" s="110"/>
      <c r="E731" s="108" t="s">
        <v>920</v>
      </c>
      <c r="F731" s="114"/>
      <c r="G731" s="120" t="s">
        <v>1579</v>
      </c>
      <c r="H731" s="114"/>
      <c r="I731" s="111" t="n">
        <v>7394</v>
      </c>
      <c r="J731" s="110"/>
      <c r="K731" s="120" t="s">
        <v>2424</v>
      </c>
      <c r="L731" s="110"/>
      <c r="M731" s="121" t="n">
        <v>96</v>
      </c>
      <c r="N731" s="114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</row>
    <row r="732" customFormat="false" ht="15.75" hidden="false" customHeight="true" outlineLevel="0" collapsed="false">
      <c r="A732" s="108" t="s">
        <v>2443</v>
      </c>
      <c r="B732" s="114"/>
      <c r="C732" s="120" t="s">
        <v>2444</v>
      </c>
      <c r="D732" s="110"/>
      <c r="E732" s="108" t="s">
        <v>920</v>
      </c>
      <c r="F732" s="114"/>
      <c r="G732" s="120" t="s">
        <v>1579</v>
      </c>
      <c r="H732" s="114"/>
      <c r="I732" s="111" t="n">
        <v>7394</v>
      </c>
      <c r="J732" s="110"/>
      <c r="K732" s="120" t="s">
        <v>2424</v>
      </c>
      <c r="L732" s="110"/>
      <c r="M732" s="121" t="n">
        <v>96</v>
      </c>
      <c r="N732" s="114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</row>
    <row r="733" customFormat="false" ht="15.75" hidden="false" customHeight="true" outlineLevel="0" collapsed="false">
      <c r="A733" s="108" t="s">
        <v>2445</v>
      </c>
      <c r="B733" s="114"/>
      <c r="C733" s="120" t="s">
        <v>2446</v>
      </c>
      <c r="D733" s="110"/>
      <c r="E733" s="108" t="s">
        <v>844</v>
      </c>
      <c r="F733" s="114"/>
      <c r="G733" s="120" t="s">
        <v>957</v>
      </c>
      <c r="H733" s="114"/>
      <c r="I733" s="111" t="n">
        <v>7399</v>
      </c>
      <c r="J733" s="110"/>
      <c r="K733" s="120" t="s">
        <v>2447</v>
      </c>
      <c r="L733" s="110"/>
      <c r="M733" s="121" t="n">
        <v>97</v>
      </c>
      <c r="N733" s="114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</row>
    <row r="734" customFormat="false" ht="15.75" hidden="false" customHeight="true" outlineLevel="0" collapsed="false">
      <c r="A734" s="108" t="s">
        <v>2448</v>
      </c>
      <c r="B734" s="114"/>
      <c r="C734" s="120" t="s">
        <v>2449</v>
      </c>
      <c r="D734" s="110"/>
      <c r="E734" s="108" t="s">
        <v>1188</v>
      </c>
      <c r="F734" s="114"/>
      <c r="G734" s="120" t="s">
        <v>1189</v>
      </c>
      <c r="H734" s="114"/>
      <c r="I734" s="111" t="n">
        <v>7399</v>
      </c>
      <c r="J734" s="110"/>
      <c r="K734" s="120" t="s">
        <v>2447</v>
      </c>
      <c r="L734" s="110"/>
      <c r="M734" s="121" t="n">
        <v>97</v>
      </c>
      <c r="N734" s="114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</row>
    <row r="735" customFormat="false" ht="15.75" hidden="false" customHeight="true" outlineLevel="0" collapsed="false">
      <c r="A735" s="108" t="s">
        <v>2450</v>
      </c>
      <c r="B735" s="114"/>
      <c r="C735" s="120" t="s">
        <v>2451</v>
      </c>
      <c r="D735" s="110"/>
      <c r="E735" s="108" t="s">
        <v>1188</v>
      </c>
      <c r="F735" s="114"/>
      <c r="G735" s="120" t="s">
        <v>1189</v>
      </c>
      <c r="H735" s="114"/>
      <c r="I735" s="111" t="n">
        <v>7399</v>
      </c>
      <c r="J735" s="110"/>
      <c r="K735" s="120" t="s">
        <v>2447</v>
      </c>
      <c r="L735" s="110"/>
      <c r="M735" s="121" t="n">
        <v>97</v>
      </c>
      <c r="N735" s="114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</row>
    <row r="736" customFormat="false" ht="15.75" hidden="false" customHeight="true" outlineLevel="0" collapsed="false">
      <c r="A736" s="108" t="s">
        <v>2452</v>
      </c>
      <c r="B736" s="114"/>
      <c r="C736" s="120" t="s">
        <v>2453</v>
      </c>
      <c r="D736" s="110"/>
      <c r="E736" s="108" t="s">
        <v>1188</v>
      </c>
      <c r="F736" s="114"/>
      <c r="G736" s="120" t="s">
        <v>1189</v>
      </c>
      <c r="H736" s="114"/>
      <c r="I736" s="111" t="n">
        <v>7399</v>
      </c>
      <c r="J736" s="110"/>
      <c r="K736" s="120" t="s">
        <v>2447</v>
      </c>
      <c r="L736" s="110"/>
      <c r="M736" s="121" t="n">
        <v>97</v>
      </c>
      <c r="N736" s="114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</row>
    <row r="737" customFormat="false" ht="15.75" hidden="false" customHeight="true" outlineLevel="0" collapsed="false">
      <c r="A737" s="108" t="s">
        <v>2454</v>
      </c>
      <c r="B737" s="114"/>
      <c r="C737" s="120" t="s">
        <v>2455</v>
      </c>
      <c r="D737" s="110"/>
      <c r="E737" s="108" t="s">
        <v>933</v>
      </c>
      <c r="F737" s="114"/>
      <c r="G737" s="120" t="s">
        <v>1555</v>
      </c>
      <c r="H737" s="114"/>
      <c r="I737" s="111" t="n">
        <v>7399</v>
      </c>
      <c r="J737" s="110"/>
      <c r="K737" s="120" t="s">
        <v>2447</v>
      </c>
      <c r="L737" s="110"/>
      <c r="M737" s="121" t="n">
        <v>97</v>
      </c>
      <c r="N737" s="114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</row>
    <row r="738" customFormat="false" ht="15.75" hidden="false" customHeight="true" outlineLevel="0" collapsed="false">
      <c r="A738" s="108" t="s">
        <v>2456</v>
      </c>
      <c r="B738" s="114"/>
      <c r="C738" s="120" t="s">
        <v>2457</v>
      </c>
      <c r="D738" s="110"/>
      <c r="E738" s="108" t="s">
        <v>933</v>
      </c>
      <c r="F738" s="114"/>
      <c r="G738" s="120" t="s">
        <v>945</v>
      </c>
      <c r="H738" s="114"/>
      <c r="I738" s="111" t="n">
        <v>7399</v>
      </c>
      <c r="J738" s="110"/>
      <c r="K738" s="120" t="s">
        <v>2447</v>
      </c>
      <c r="L738" s="110"/>
      <c r="M738" s="121" t="n">
        <v>97</v>
      </c>
      <c r="N738" s="114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</row>
    <row r="739" customFormat="false" ht="15.75" hidden="false" customHeight="true" outlineLevel="0" collapsed="false">
      <c r="A739" s="108" t="s">
        <v>2458</v>
      </c>
      <c r="B739" s="114"/>
      <c r="C739" s="120" t="s">
        <v>2459</v>
      </c>
      <c r="D739" s="110"/>
      <c r="E739" s="108" t="s">
        <v>933</v>
      </c>
      <c r="F739" s="114"/>
      <c r="G739" s="120" t="s">
        <v>945</v>
      </c>
      <c r="H739" s="114"/>
      <c r="I739" s="111" t="n">
        <v>7399</v>
      </c>
      <c r="J739" s="110"/>
      <c r="K739" s="120" t="s">
        <v>2447</v>
      </c>
      <c r="L739" s="110"/>
      <c r="M739" s="121" t="n">
        <v>97</v>
      </c>
      <c r="N739" s="114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</row>
    <row r="740" customFormat="false" ht="15.75" hidden="false" customHeight="true" outlineLevel="0" collapsed="false">
      <c r="A740" s="108" t="s">
        <v>2460</v>
      </c>
      <c r="B740" s="114"/>
      <c r="C740" s="120" t="s">
        <v>2461</v>
      </c>
      <c r="D740" s="110"/>
      <c r="E740" s="108" t="s">
        <v>933</v>
      </c>
      <c r="F740" s="114"/>
      <c r="G740" s="120" t="s">
        <v>945</v>
      </c>
      <c r="H740" s="114"/>
      <c r="I740" s="111" t="n">
        <v>7399</v>
      </c>
      <c r="J740" s="110"/>
      <c r="K740" s="120" t="s">
        <v>2447</v>
      </c>
      <c r="L740" s="110"/>
      <c r="M740" s="121" t="n">
        <v>97</v>
      </c>
      <c r="N740" s="114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</row>
    <row r="741" customFormat="false" ht="15.75" hidden="false" customHeight="true" outlineLevel="0" collapsed="false">
      <c r="A741" s="108" t="s">
        <v>2462</v>
      </c>
      <c r="B741" s="114"/>
      <c r="C741" s="120" t="s">
        <v>2463</v>
      </c>
      <c r="D741" s="110"/>
      <c r="E741" s="108" t="s">
        <v>933</v>
      </c>
      <c r="F741" s="114"/>
      <c r="G741" s="120" t="s">
        <v>945</v>
      </c>
      <c r="H741" s="114"/>
      <c r="I741" s="111" t="n">
        <v>7399</v>
      </c>
      <c r="J741" s="110"/>
      <c r="K741" s="120" t="s">
        <v>2447</v>
      </c>
      <c r="L741" s="110"/>
      <c r="M741" s="121" t="n">
        <v>97</v>
      </c>
      <c r="N741" s="114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</row>
    <row r="742" customFormat="false" ht="15.75" hidden="false" customHeight="true" outlineLevel="0" collapsed="false">
      <c r="A742" s="108" t="s">
        <v>2464</v>
      </c>
      <c r="B742" s="114"/>
      <c r="C742" s="120" t="s">
        <v>2465</v>
      </c>
      <c r="D742" s="110"/>
      <c r="E742" s="108" t="s">
        <v>933</v>
      </c>
      <c r="F742" s="114"/>
      <c r="G742" s="120" t="s">
        <v>945</v>
      </c>
      <c r="H742" s="114"/>
      <c r="I742" s="111" t="n">
        <v>7399</v>
      </c>
      <c r="J742" s="110"/>
      <c r="K742" s="120" t="s">
        <v>2447</v>
      </c>
      <c r="L742" s="110"/>
      <c r="M742" s="121" t="n">
        <v>97</v>
      </c>
      <c r="N742" s="114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</row>
    <row r="743" customFormat="false" ht="15.75" hidden="false" customHeight="true" outlineLevel="0" collapsed="false">
      <c r="A743" s="108" t="s">
        <v>2466</v>
      </c>
      <c r="B743" s="114"/>
      <c r="C743" s="120" t="s">
        <v>2467</v>
      </c>
      <c r="D743" s="110"/>
      <c r="E743" s="108" t="s">
        <v>933</v>
      </c>
      <c r="F743" s="114"/>
      <c r="G743" s="120" t="s">
        <v>945</v>
      </c>
      <c r="H743" s="114"/>
      <c r="I743" s="111" t="n">
        <v>7399</v>
      </c>
      <c r="J743" s="110"/>
      <c r="K743" s="120" t="s">
        <v>2447</v>
      </c>
      <c r="L743" s="110"/>
      <c r="M743" s="121" t="n">
        <v>97</v>
      </c>
      <c r="N743" s="114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</row>
    <row r="744" customFormat="false" ht="15.75" hidden="false" customHeight="true" outlineLevel="0" collapsed="false">
      <c r="A744" s="108" t="s">
        <v>2468</v>
      </c>
      <c r="B744" s="114"/>
      <c r="C744" s="120" t="s">
        <v>2469</v>
      </c>
      <c r="D744" s="110"/>
      <c r="E744" s="108" t="s">
        <v>1214</v>
      </c>
      <c r="F744" s="114"/>
      <c r="G744" s="120" t="s">
        <v>1215</v>
      </c>
      <c r="H744" s="114"/>
      <c r="I744" s="111" t="n">
        <v>7399</v>
      </c>
      <c r="J744" s="110"/>
      <c r="K744" s="120" t="s">
        <v>2447</v>
      </c>
      <c r="L744" s="110"/>
      <c r="M744" s="121" t="n">
        <v>97</v>
      </c>
      <c r="N744" s="114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</row>
    <row r="745" customFormat="false" ht="15.75" hidden="false" customHeight="true" outlineLevel="0" collapsed="false">
      <c r="A745" s="108" t="s">
        <v>2470</v>
      </c>
      <c r="B745" s="114"/>
      <c r="C745" s="120" t="s">
        <v>2471</v>
      </c>
      <c r="D745" s="110"/>
      <c r="E745" s="108" t="s">
        <v>920</v>
      </c>
      <c r="F745" s="114"/>
      <c r="G745" s="120" t="s">
        <v>1579</v>
      </c>
      <c r="H745" s="114"/>
      <c r="I745" s="111" t="n">
        <v>7399</v>
      </c>
      <c r="J745" s="110"/>
      <c r="K745" s="120" t="s">
        <v>2447</v>
      </c>
      <c r="L745" s="110"/>
      <c r="M745" s="121" t="n">
        <v>97</v>
      </c>
      <c r="N745" s="114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</row>
    <row r="746" customFormat="false" ht="15.75" hidden="false" customHeight="true" outlineLevel="0" collapsed="false">
      <c r="A746" s="108" t="s">
        <v>2472</v>
      </c>
      <c r="B746" s="114"/>
      <c r="C746" s="120" t="s">
        <v>2473</v>
      </c>
      <c r="D746" s="110"/>
      <c r="E746" s="108" t="s">
        <v>920</v>
      </c>
      <c r="F746" s="114"/>
      <c r="G746" s="120" t="s">
        <v>921</v>
      </c>
      <c r="H746" s="114"/>
      <c r="I746" s="111" t="n">
        <v>7399</v>
      </c>
      <c r="J746" s="110"/>
      <c r="K746" s="120" t="s">
        <v>2447</v>
      </c>
      <c r="L746" s="110"/>
      <c r="M746" s="121" t="n">
        <v>97</v>
      </c>
      <c r="N746" s="114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</row>
    <row r="747" customFormat="false" ht="15.75" hidden="false" customHeight="true" outlineLevel="0" collapsed="false">
      <c r="A747" s="108" t="s">
        <v>2474</v>
      </c>
      <c r="B747" s="114"/>
      <c r="C747" s="120" t="s">
        <v>2475</v>
      </c>
      <c r="D747" s="110"/>
      <c r="E747" s="108" t="s">
        <v>920</v>
      </c>
      <c r="F747" s="114"/>
      <c r="G747" s="120" t="s">
        <v>921</v>
      </c>
      <c r="H747" s="114"/>
      <c r="I747" s="111" t="n">
        <v>7399</v>
      </c>
      <c r="J747" s="110"/>
      <c r="K747" s="120" t="s">
        <v>2447</v>
      </c>
      <c r="L747" s="110"/>
      <c r="M747" s="121" t="n">
        <v>97</v>
      </c>
      <c r="N747" s="114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</row>
    <row r="748" customFormat="false" ht="15.75" hidden="false" customHeight="true" outlineLevel="0" collapsed="false">
      <c r="A748" s="108" t="s">
        <v>2476</v>
      </c>
      <c r="B748" s="114"/>
      <c r="C748" s="120" t="s">
        <v>2477</v>
      </c>
      <c r="D748" s="110"/>
      <c r="E748" s="108" t="s">
        <v>920</v>
      </c>
      <c r="F748" s="114"/>
      <c r="G748" s="120" t="s">
        <v>921</v>
      </c>
      <c r="H748" s="114"/>
      <c r="I748" s="111" t="n">
        <v>7399</v>
      </c>
      <c r="J748" s="110"/>
      <c r="K748" s="120" t="s">
        <v>2447</v>
      </c>
      <c r="L748" s="110"/>
      <c r="M748" s="121" t="n">
        <v>97</v>
      </c>
      <c r="N748" s="114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</row>
    <row r="749" customFormat="false" ht="15.75" hidden="false" customHeight="true" outlineLevel="0" collapsed="false">
      <c r="A749" s="108" t="s">
        <v>2478</v>
      </c>
      <c r="B749" s="114"/>
      <c r="C749" s="120" t="s">
        <v>2479</v>
      </c>
      <c r="D749" s="110"/>
      <c r="E749" s="108" t="s">
        <v>2313</v>
      </c>
      <c r="F749" s="114"/>
      <c r="G749" s="120" t="s">
        <v>2421</v>
      </c>
      <c r="H749" s="114"/>
      <c r="I749" s="111" t="n">
        <v>7399</v>
      </c>
      <c r="J749" s="110"/>
      <c r="K749" s="120" t="s">
        <v>2447</v>
      </c>
      <c r="L749" s="110"/>
      <c r="M749" s="121" t="n">
        <v>97</v>
      </c>
      <c r="N749" s="114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</row>
    <row r="750" customFormat="false" ht="15.75" hidden="false" customHeight="true" outlineLevel="0" collapsed="false">
      <c r="A750" s="108" t="s">
        <v>2480</v>
      </c>
      <c r="B750" s="114"/>
      <c r="C750" s="120" t="s">
        <v>2463</v>
      </c>
      <c r="D750" s="110"/>
      <c r="E750" s="108" t="s">
        <v>818</v>
      </c>
      <c r="F750" s="114"/>
      <c r="G750" s="120" t="s">
        <v>818</v>
      </c>
      <c r="H750" s="114"/>
      <c r="I750" s="111" t="n">
        <v>7399</v>
      </c>
      <c r="J750" s="110"/>
      <c r="K750" s="120" t="s">
        <v>2447</v>
      </c>
      <c r="L750" s="110"/>
      <c r="M750" s="121" t="n">
        <v>97</v>
      </c>
      <c r="N750" s="114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</row>
    <row r="751" customFormat="false" ht="15.75" hidden="false" customHeight="true" outlineLevel="0" collapsed="false">
      <c r="A751" s="108" t="s">
        <v>2481</v>
      </c>
      <c r="B751" s="114"/>
      <c r="C751" s="120" t="s">
        <v>2482</v>
      </c>
      <c r="D751" s="110"/>
      <c r="E751" s="108" t="s">
        <v>920</v>
      </c>
      <c r="F751" s="114"/>
      <c r="G751" s="120" t="s">
        <v>1579</v>
      </c>
      <c r="H751" s="114"/>
      <c r="I751" s="111" t="n">
        <v>7512</v>
      </c>
      <c r="J751" s="110"/>
      <c r="K751" s="120" t="s">
        <v>2483</v>
      </c>
      <c r="L751" s="110"/>
      <c r="M751" s="121" t="n">
        <v>98</v>
      </c>
      <c r="N751" s="114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</row>
    <row r="752" customFormat="false" ht="15.75" hidden="false" customHeight="true" outlineLevel="0" collapsed="false">
      <c r="A752" s="108" t="s">
        <v>2484</v>
      </c>
      <c r="B752" s="114"/>
      <c r="C752" s="120" t="s">
        <v>2485</v>
      </c>
      <c r="D752" s="110"/>
      <c r="E752" s="108" t="s">
        <v>920</v>
      </c>
      <c r="F752" s="114"/>
      <c r="G752" s="120" t="s">
        <v>1579</v>
      </c>
      <c r="H752" s="114"/>
      <c r="I752" s="111" t="n">
        <v>7512</v>
      </c>
      <c r="J752" s="110"/>
      <c r="K752" s="120" t="s">
        <v>2483</v>
      </c>
      <c r="L752" s="110"/>
      <c r="M752" s="121" t="n">
        <v>98</v>
      </c>
      <c r="N752" s="114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</row>
    <row r="753" customFormat="false" ht="15.75" hidden="false" customHeight="true" outlineLevel="0" collapsed="false">
      <c r="A753" s="108" t="s">
        <v>2486</v>
      </c>
      <c r="B753" s="114"/>
      <c r="C753" s="120" t="s">
        <v>2487</v>
      </c>
      <c r="D753" s="110"/>
      <c r="E753" s="108" t="s">
        <v>933</v>
      </c>
      <c r="F753" s="114"/>
      <c r="G753" s="120" t="s">
        <v>945</v>
      </c>
      <c r="H753" s="114"/>
      <c r="I753" s="111" t="n">
        <v>7523</v>
      </c>
      <c r="J753" s="110"/>
      <c r="K753" s="120" t="s">
        <v>2488</v>
      </c>
      <c r="L753" s="110"/>
      <c r="M753" s="121" t="n">
        <v>99</v>
      </c>
      <c r="N753" s="114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</row>
    <row r="754" customFormat="false" ht="15.75" hidden="false" customHeight="true" outlineLevel="0" collapsed="false">
      <c r="A754" s="108" t="s">
        <v>2489</v>
      </c>
      <c r="B754" s="114"/>
      <c r="C754" s="120" t="s">
        <v>2490</v>
      </c>
      <c r="D754" s="110"/>
      <c r="E754" s="108" t="s">
        <v>821</v>
      </c>
      <c r="F754" s="114"/>
      <c r="G754" s="120" t="s">
        <v>995</v>
      </c>
      <c r="H754" s="114"/>
      <c r="I754" s="111" t="n">
        <v>7531</v>
      </c>
      <c r="J754" s="110"/>
      <c r="K754" s="120" t="s">
        <v>2491</v>
      </c>
      <c r="L754" s="110"/>
      <c r="M754" s="121" t="n">
        <v>100</v>
      </c>
      <c r="N754" s="114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</row>
    <row r="755" customFormat="false" ht="15.75" hidden="false" customHeight="true" outlineLevel="0" collapsed="false">
      <c r="A755" s="108" t="s">
        <v>2492</v>
      </c>
      <c r="B755" s="114"/>
      <c r="C755" s="120" t="s">
        <v>2493</v>
      </c>
      <c r="D755" s="110"/>
      <c r="E755" s="108" t="s">
        <v>844</v>
      </c>
      <c r="F755" s="114"/>
      <c r="G755" s="120" t="s">
        <v>968</v>
      </c>
      <c r="H755" s="114"/>
      <c r="I755" s="111" t="n">
        <v>7534</v>
      </c>
      <c r="J755" s="110"/>
      <c r="K755" s="120" t="s">
        <v>2494</v>
      </c>
      <c r="L755" s="110"/>
      <c r="M755" s="121" t="n">
        <v>101</v>
      </c>
      <c r="N755" s="114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</row>
    <row r="756" customFormat="false" ht="15.75" hidden="false" customHeight="true" outlineLevel="0" collapsed="false">
      <c r="A756" s="108" t="s">
        <v>2495</v>
      </c>
      <c r="B756" s="114"/>
      <c r="C756" s="120" t="s">
        <v>2496</v>
      </c>
      <c r="D756" s="110"/>
      <c r="E756" s="108" t="s">
        <v>821</v>
      </c>
      <c r="F756" s="114"/>
      <c r="G756" s="120" t="s">
        <v>995</v>
      </c>
      <c r="H756" s="114"/>
      <c r="I756" s="111" t="n">
        <v>7534</v>
      </c>
      <c r="J756" s="110"/>
      <c r="K756" s="120" t="s">
        <v>2494</v>
      </c>
      <c r="L756" s="110"/>
      <c r="M756" s="121" t="n">
        <v>101</v>
      </c>
      <c r="N756" s="114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</row>
    <row r="757" customFormat="false" ht="15.75" hidden="false" customHeight="true" outlineLevel="0" collapsed="false">
      <c r="A757" s="108" t="s">
        <v>2497</v>
      </c>
      <c r="B757" s="114"/>
      <c r="C757" s="120" t="s">
        <v>2498</v>
      </c>
      <c r="D757" s="110"/>
      <c r="E757" s="108" t="s">
        <v>844</v>
      </c>
      <c r="F757" s="114"/>
      <c r="G757" s="120" t="s">
        <v>1688</v>
      </c>
      <c r="H757" s="114"/>
      <c r="I757" s="111" t="n">
        <v>7538</v>
      </c>
      <c r="J757" s="110"/>
      <c r="K757" s="120" t="s">
        <v>2499</v>
      </c>
      <c r="L757" s="110"/>
      <c r="M757" s="121" t="n">
        <v>102</v>
      </c>
      <c r="N757" s="114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</row>
    <row r="758" customFormat="false" ht="15.75" hidden="false" customHeight="true" outlineLevel="0" collapsed="false">
      <c r="A758" s="108" t="s">
        <v>2500</v>
      </c>
      <c r="B758" s="114"/>
      <c r="C758" s="120" t="s">
        <v>2501</v>
      </c>
      <c r="D758" s="110"/>
      <c r="E758" s="108" t="s">
        <v>844</v>
      </c>
      <c r="F758" s="114"/>
      <c r="G758" s="120" t="s">
        <v>972</v>
      </c>
      <c r="H758" s="114"/>
      <c r="I758" s="111" t="n">
        <v>7538</v>
      </c>
      <c r="J758" s="110"/>
      <c r="K758" s="120" t="s">
        <v>2499</v>
      </c>
      <c r="L758" s="110"/>
      <c r="M758" s="121" t="n">
        <v>102</v>
      </c>
      <c r="N758" s="114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</row>
    <row r="759" customFormat="false" ht="15.75" hidden="false" customHeight="true" outlineLevel="0" collapsed="false">
      <c r="A759" s="108" t="s">
        <v>2502</v>
      </c>
      <c r="B759" s="114"/>
      <c r="C759" s="120" t="s">
        <v>2503</v>
      </c>
      <c r="D759" s="110"/>
      <c r="E759" s="108" t="s">
        <v>821</v>
      </c>
      <c r="F759" s="114"/>
      <c r="G759" s="120" t="s">
        <v>995</v>
      </c>
      <c r="H759" s="114"/>
      <c r="I759" s="111" t="n">
        <v>7538</v>
      </c>
      <c r="J759" s="110"/>
      <c r="K759" s="120" t="s">
        <v>2499</v>
      </c>
      <c r="L759" s="110"/>
      <c r="M759" s="121" t="n">
        <v>102</v>
      </c>
      <c r="N759" s="114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</row>
    <row r="760" customFormat="false" ht="15.75" hidden="false" customHeight="true" outlineLevel="0" collapsed="false">
      <c r="A760" s="108" t="s">
        <v>2504</v>
      </c>
      <c r="B760" s="114"/>
      <c r="C760" s="120" t="s">
        <v>2505</v>
      </c>
      <c r="D760" s="110"/>
      <c r="E760" s="108" t="s">
        <v>821</v>
      </c>
      <c r="F760" s="114"/>
      <c r="G760" s="120" t="s">
        <v>995</v>
      </c>
      <c r="H760" s="114"/>
      <c r="I760" s="111" t="n">
        <v>7538</v>
      </c>
      <c r="J760" s="110"/>
      <c r="K760" s="120" t="s">
        <v>2499</v>
      </c>
      <c r="L760" s="110"/>
      <c r="M760" s="121" t="n">
        <v>102</v>
      </c>
      <c r="N760" s="114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</row>
    <row r="761" customFormat="false" ht="15.75" hidden="false" customHeight="true" outlineLevel="0" collapsed="false">
      <c r="A761" s="108" t="s">
        <v>2506</v>
      </c>
      <c r="B761" s="114"/>
      <c r="C761" s="120" t="s">
        <v>2507</v>
      </c>
      <c r="D761" s="110"/>
      <c r="E761" s="108" t="s">
        <v>821</v>
      </c>
      <c r="F761" s="114"/>
      <c r="G761" s="120" t="s">
        <v>995</v>
      </c>
      <c r="H761" s="114"/>
      <c r="I761" s="111" t="n">
        <v>7538</v>
      </c>
      <c r="J761" s="110"/>
      <c r="K761" s="120" t="s">
        <v>2499</v>
      </c>
      <c r="L761" s="110"/>
      <c r="M761" s="121" t="n">
        <v>102</v>
      </c>
      <c r="N761" s="114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</row>
    <row r="762" customFormat="false" ht="15.75" hidden="false" customHeight="true" outlineLevel="0" collapsed="false">
      <c r="A762" s="108" t="s">
        <v>2508</v>
      </c>
      <c r="B762" s="114"/>
      <c r="C762" s="120" t="s">
        <v>2509</v>
      </c>
      <c r="D762" s="110"/>
      <c r="E762" s="108" t="s">
        <v>821</v>
      </c>
      <c r="F762" s="114"/>
      <c r="G762" s="120" t="s">
        <v>995</v>
      </c>
      <c r="H762" s="114"/>
      <c r="I762" s="111" t="n">
        <v>7538</v>
      </c>
      <c r="J762" s="110"/>
      <c r="K762" s="120" t="s">
        <v>2499</v>
      </c>
      <c r="L762" s="110"/>
      <c r="M762" s="121" t="n">
        <v>102</v>
      </c>
      <c r="N762" s="114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</row>
    <row r="763" customFormat="false" ht="15.75" hidden="false" customHeight="true" outlineLevel="0" collapsed="false">
      <c r="A763" s="108" t="s">
        <v>2510</v>
      </c>
      <c r="B763" s="114"/>
      <c r="C763" s="120" t="s">
        <v>2511</v>
      </c>
      <c r="D763" s="110"/>
      <c r="E763" s="108" t="s">
        <v>2313</v>
      </c>
      <c r="F763" s="114"/>
      <c r="G763" s="120" t="s">
        <v>2421</v>
      </c>
      <c r="H763" s="114"/>
      <c r="I763" s="111" t="n">
        <v>7629</v>
      </c>
      <c r="J763" s="110"/>
      <c r="K763" s="120" t="s">
        <v>2512</v>
      </c>
      <c r="L763" s="110"/>
      <c r="M763" s="121" t="n">
        <v>103</v>
      </c>
      <c r="N763" s="114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</row>
    <row r="764" customFormat="false" ht="15.75" hidden="false" customHeight="true" outlineLevel="0" collapsed="false">
      <c r="A764" s="108" t="s">
        <v>2513</v>
      </c>
      <c r="B764" s="114"/>
      <c r="C764" s="120" t="s">
        <v>2514</v>
      </c>
      <c r="D764" s="110"/>
      <c r="E764" s="108" t="s">
        <v>2313</v>
      </c>
      <c r="F764" s="114"/>
      <c r="G764" s="120" t="s">
        <v>2421</v>
      </c>
      <c r="H764" s="114"/>
      <c r="I764" s="111" t="n">
        <v>7641</v>
      </c>
      <c r="J764" s="110"/>
      <c r="K764" s="120" t="s">
        <v>2515</v>
      </c>
      <c r="L764" s="110"/>
      <c r="M764" s="121" t="n">
        <v>104</v>
      </c>
      <c r="N764" s="114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</row>
    <row r="765" customFormat="false" ht="15.75" hidden="false" customHeight="true" outlineLevel="0" collapsed="false">
      <c r="A765" s="108" t="s">
        <v>2516</v>
      </c>
      <c r="B765" s="114"/>
      <c r="C765" s="120" t="s">
        <v>2517</v>
      </c>
      <c r="D765" s="110"/>
      <c r="E765" s="108" t="s">
        <v>920</v>
      </c>
      <c r="F765" s="114"/>
      <c r="G765" s="120" t="s">
        <v>1579</v>
      </c>
      <c r="H765" s="114"/>
      <c r="I765" s="111" t="n">
        <v>7841</v>
      </c>
      <c r="J765" s="110"/>
      <c r="K765" s="120" t="s">
        <v>2518</v>
      </c>
      <c r="L765" s="110"/>
      <c r="M765" s="121" t="n">
        <v>105</v>
      </c>
      <c r="N765" s="114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</row>
    <row r="766" customFormat="false" ht="15.75" hidden="false" customHeight="true" outlineLevel="0" collapsed="false">
      <c r="A766" s="108" t="s">
        <v>2519</v>
      </c>
      <c r="B766" s="114"/>
      <c r="C766" s="120" t="s">
        <v>2520</v>
      </c>
      <c r="D766" s="110"/>
      <c r="E766" s="108" t="s">
        <v>875</v>
      </c>
      <c r="F766" s="114"/>
      <c r="G766" s="120" t="s">
        <v>2266</v>
      </c>
      <c r="H766" s="114"/>
      <c r="I766" s="111" t="n">
        <v>7929</v>
      </c>
      <c r="J766" s="110"/>
      <c r="K766" s="120" t="s">
        <v>2521</v>
      </c>
      <c r="L766" s="110"/>
      <c r="M766" s="121" t="n">
        <v>106</v>
      </c>
      <c r="N766" s="114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</row>
    <row r="767" customFormat="false" ht="15.75" hidden="false" customHeight="true" outlineLevel="0" collapsed="false">
      <c r="A767" s="108" t="s">
        <v>2522</v>
      </c>
      <c r="B767" s="114"/>
      <c r="C767" s="120" t="s">
        <v>2523</v>
      </c>
      <c r="D767" s="110"/>
      <c r="E767" s="108" t="s">
        <v>875</v>
      </c>
      <c r="F767" s="114"/>
      <c r="G767" s="120" t="s">
        <v>876</v>
      </c>
      <c r="H767" s="114"/>
      <c r="I767" s="111" t="n">
        <v>7932</v>
      </c>
      <c r="J767" s="110"/>
      <c r="K767" s="120" t="s">
        <v>2524</v>
      </c>
      <c r="L767" s="110"/>
      <c r="M767" s="121" t="n">
        <v>107</v>
      </c>
      <c r="N767" s="114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</row>
    <row r="768" customFormat="false" ht="15.75" hidden="false" customHeight="true" outlineLevel="0" collapsed="false">
      <c r="A768" s="108" t="s">
        <v>2525</v>
      </c>
      <c r="B768" s="114"/>
      <c r="C768" s="120" t="s">
        <v>2526</v>
      </c>
      <c r="D768" s="110"/>
      <c r="E768" s="108" t="s">
        <v>875</v>
      </c>
      <c r="F768" s="114"/>
      <c r="G768" s="120" t="s">
        <v>876</v>
      </c>
      <c r="H768" s="114"/>
      <c r="I768" s="111" t="n">
        <v>7933</v>
      </c>
      <c r="J768" s="110"/>
      <c r="K768" s="120" t="s">
        <v>2527</v>
      </c>
      <c r="L768" s="110"/>
      <c r="M768" s="121" t="n">
        <v>108</v>
      </c>
      <c r="N768" s="114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</row>
    <row r="769" customFormat="false" ht="15.75" hidden="false" customHeight="true" outlineLevel="0" collapsed="false">
      <c r="A769" s="108" t="s">
        <v>2528</v>
      </c>
      <c r="B769" s="114"/>
      <c r="C769" s="120" t="s">
        <v>2529</v>
      </c>
      <c r="D769" s="110"/>
      <c r="E769" s="108" t="s">
        <v>920</v>
      </c>
      <c r="F769" s="114"/>
      <c r="G769" s="120" t="s">
        <v>921</v>
      </c>
      <c r="H769" s="114"/>
      <c r="I769" s="111" t="n">
        <v>7991</v>
      </c>
      <c r="J769" s="110"/>
      <c r="K769" s="120" t="s">
        <v>2530</v>
      </c>
      <c r="L769" s="110"/>
      <c r="M769" s="121" t="n">
        <v>109</v>
      </c>
      <c r="N769" s="114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</row>
    <row r="770" customFormat="false" ht="15.75" hidden="false" customHeight="true" outlineLevel="0" collapsed="false">
      <c r="A770" s="108" t="s">
        <v>2531</v>
      </c>
      <c r="B770" s="114"/>
      <c r="C770" s="120" t="s">
        <v>2532</v>
      </c>
      <c r="D770" s="110"/>
      <c r="E770" s="108" t="s">
        <v>875</v>
      </c>
      <c r="F770" s="114"/>
      <c r="G770" s="120" t="s">
        <v>2533</v>
      </c>
      <c r="H770" s="114"/>
      <c r="I770" s="111" t="n">
        <v>7991</v>
      </c>
      <c r="J770" s="110"/>
      <c r="K770" s="120" t="s">
        <v>2530</v>
      </c>
      <c r="L770" s="110"/>
      <c r="M770" s="121" t="n">
        <v>109</v>
      </c>
      <c r="N770" s="114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</row>
    <row r="771" customFormat="false" ht="15.75" hidden="false" customHeight="true" outlineLevel="0" collapsed="false">
      <c r="A771" s="108" t="s">
        <v>2534</v>
      </c>
      <c r="B771" s="114"/>
      <c r="C771" s="120" t="s">
        <v>2535</v>
      </c>
      <c r="D771" s="110"/>
      <c r="E771" s="108" t="s">
        <v>875</v>
      </c>
      <c r="F771" s="114"/>
      <c r="G771" s="120" t="s">
        <v>2533</v>
      </c>
      <c r="H771" s="114"/>
      <c r="I771" s="111" t="n">
        <v>7991</v>
      </c>
      <c r="J771" s="110"/>
      <c r="K771" s="120" t="s">
        <v>2530</v>
      </c>
      <c r="L771" s="110"/>
      <c r="M771" s="121" t="n">
        <v>109</v>
      </c>
      <c r="N771" s="114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</row>
    <row r="772" customFormat="false" ht="15.75" hidden="false" customHeight="true" outlineLevel="0" collapsed="false">
      <c r="A772" s="108" t="s">
        <v>2536</v>
      </c>
      <c r="B772" s="114"/>
      <c r="C772" s="120" t="s">
        <v>2537</v>
      </c>
      <c r="D772" s="110"/>
      <c r="E772" s="108" t="s">
        <v>920</v>
      </c>
      <c r="F772" s="114"/>
      <c r="G772" s="120" t="s">
        <v>1579</v>
      </c>
      <c r="H772" s="114"/>
      <c r="I772" s="111" t="n">
        <v>7994</v>
      </c>
      <c r="J772" s="110"/>
      <c r="K772" s="120" t="s">
        <v>2538</v>
      </c>
      <c r="L772" s="110"/>
      <c r="M772" s="121" t="n">
        <v>110</v>
      </c>
      <c r="N772" s="114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</row>
    <row r="773" customFormat="false" ht="15.75" hidden="false" customHeight="true" outlineLevel="0" collapsed="false">
      <c r="A773" s="108" t="s">
        <v>2539</v>
      </c>
      <c r="B773" s="114"/>
      <c r="C773" s="120" t="s">
        <v>2540</v>
      </c>
      <c r="D773" s="110"/>
      <c r="E773" s="108" t="s">
        <v>875</v>
      </c>
      <c r="F773" s="114"/>
      <c r="G773" s="120" t="s">
        <v>876</v>
      </c>
      <c r="H773" s="114"/>
      <c r="I773" s="111" t="n">
        <v>7994</v>
      </c>
      <c r="J773" s="110"/>
      <c r="K773" s="120" t="s">
        <v>2538</v>
      </c>
      <c r="L773" s="110"/>
      <c r="M773" s="121" t="n">
        <v>110</v>
      </c>
      <c r="N773" s="114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</row>
    <row r="774" customFormat="false" ht="15.75" hidden="false" customHeight="true" outlineLevel="0" collapsed="false">
      <c r="A774" s="108" t="s">
        <v>2541</v>
      </c>
      <c r="B774" s="114"/>
      <c r="C774" s="120" t="s">
        <v>2542</v>
      </c>
      <c r="D774" s="110"/>
      <c r="E774" s="108" t="s">
        <v>875</v>
      </c>
      <c r="F774" s="114"/>
      <c r="G774" s="120" t="s">
        <v>2533</v>
      </c>
      <c r="H774" s="114"/>
      <c r="I774" s="111" t="n">
        <v>7998</v>
      </c>
      <c r="J774" s="110"/>
      <c r="K774" s="120" t="s">
        <v>2543</v>
      </c>
      <c r="L774" s="110"/>
      <c r="M774" s="121" t="n">
        <v>111</v>
      </c>
      <c r="N774" s="114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</row>
    <row r="775" customFormat="false" ht="15.75" hidden="false" customHeight="true" outlineLevel="0" collapsed="false">
      <c r="A775" s="108" t="s">
        <v>2544</v>
      </c>
      <c r="B775" s="114"/>
      <c r="C775" s="120" t="s">
        <v>2545</v>
      </c>
      <c r="D775" s="110"/>
      <c r="E775" s="108" t="s">
        <v>844</v>
      </c>
      <c r="F775" s="114"/>
      <c r="G775" s="120" t="s">
        <v>917</v>
      </c>
      <c r="H775" s="114"/>
      <c r="I775" s="111" t="n">
        <v>8071</v>
      </c>
      <c r="J775" s="110"/>
      <c r="K775" s="120" t="s">
        <v>2546</v>
      </c>
      <c r="L775" s="110"/>
      <c r="M775" s="121" t="n">
        <v>112</v>
      </c>
      <c r="N775" s="114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</row>
    <row r="776" customFormat="false" ht="15.75" hidden="false" customHeight="true" outlineLevel="0" collapsed="false">
      <c r="A776" s="108" t="s">
        <v>2547</v>
      </c>
      <c r="B776" s="114"/>
      <c r="C776" s="120" t="s">
        <v>2548</v>
      </c>
      <c r="D776" s="110"/>
      <c r="E776" s="108" t="s">
        <v>924</v>
      </c>
      <c r="F776" s="114"/>
      <c r="G776" s="120" t="s">
        <v>925</v>
      </c>
      <c r="H776" s="114"/>
      <c r="I776" s="111" t="n">
        <v>8071</v>
      </c>
      <c r="J776" s="110"/>
      <c r="K776" s="120" t="s">
        <v>2546</v>
      </c>
      <c r="L776" s="110"/>
      <c r="M776" s="121" t="n">
        <v>112</v>
      </c>
      <c r="N776" s="114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</row>
    <row r="777" customFormat="false" ht="15.75" hidden="false" customHeight="true" outlineLevel="0" collapsed="false">
      <c r="A777" s="108" t="s">
        <v>2549</v>
      </c>
      <c r="B777" s="114"/>
      <c r="C777" s="120" t="s">
        <v>2550</v>
      </c>
      <c r="D777" s="110"/>
      <c r="E777" s="108" t="s">
        <v>924</v>
      </c>
      <c r="F777" s="114"/>
      <c r="G777" s="120" t="s">
        <v>925</v>
      </c>
      <c r="H777" s="114"/>
      <c r="I777" s="111" t="n">
        <v>8071</v>
      </c>
      <c r="J777" s="110"/>
      <c r="K777" s="120" t="s">
        <v>2546</v>
      </c>
      <c r="L777" s="110"/>
      <c r="M777" s="121" t="n">
        <v>112</v>
      </c>
      <c r="N777" s="114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</row>
    <row r="778" customFormat="false" ht="15.75" hidden="false" customHeight="true" outlineLevel="0" collapsed="false">
      <c r="A778" s="108" t="s">
        <v>2551</v>
      </c>
      <c r="B778" s="114"/>
      <c r="C778" s="120" t="s">
        <v>2552</v>
      </c>
      <c r="D778" s="110"/>
      <c r="E778" s="108" t="s">
        <v>924</v>
      </c>
      <c r="F778" s="114"/>
      <c r="G778" s="120" t="s">
        <v>925</v>
      </c>
      <c r="H778" s="114"/>
      <c r="I778" s="111" t="n">
        <v>8071</v>
      </c>
      <c r="J778" s="110"/>
      <c r="K778" s="120" t="s">
        <v>2546</v>
      </c>
      <c r="L778" s="110"/>
      <c r="M778" s="121" t="n">
        <v>112</v>
      </c>
      <c r="N778" s="114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</row>
    <row r="779" customFormat="false" ht="15.75" hidden="false" customHeight="true" outlineLevel="0" collapsed="false">
      <c r="A779" s="108" t="s">
        <v>2553</v>
      </c>
      <c r="B779" s="114"/>
      <c r="C779" s="120" t="s">
        <v>2554</v>
      </c>
      <c r="D779" s="110"/>
      <c r="E779" s="108" t="s">
        <v>924</v>
      </c>
      <c r="F779" s="114"/>
      <c r="G779" s="120" t="s">
        <v>925</v>
      </c>
      <c r="H779" s="114"/>
      <c r="I779" s="111" t="n">
        <v>8071</v>
      </c>
      <c r="J779" s="110"/>
      <c r="K779" s="120" t="s">
        <v>2546</v>
      </c>
      <c r="L779" s="110"/>
      <c r="M779" s="121" t="n">
        <v>112</v>
      </c>
      <c r="N779" s="114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</row>
    <row r="780" customFormat="false" ht="15.75" hidden="false" customHeight="true" outlineLevel="0" collapsed="false">
      <c r="A780" s="108" t="s">
        <v>2555</v>
      </c>
      <c r="B780" s="114"/>
      <c r="C780" s="120" t="s">
        <v>2556</v>
      </c>
      <c r="D780" s="110"/>
      <c r="E780" s="108" t="s">
        <v>924</v>
      </c>
      <c r="F780" s="114"/>
      <c r="G780" s="120" t="s">
        <v>925</v>
      </c>
      <c r="H780" s="114"/>
      <c r="I780" s="111" t="n">
        <v>8071</v>
      </c>
      <c r="J780" s="110"/>
      <c r="K780" s="120" t="s">
        <v>2546</v>
      </c>
      <c r="L780" s="110"/>
      <c r="M780" s="121" t="n">
        <v>112</v>
      </c>
      <c r="N780" s="114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</row>
    <row r="781" customFormat="false" ht="15.75" hidden="false" customHeight="true" outlineLevel="0" collapsed="false">
      <c r="A781" s="108" t="s">
        <v>2557</v>
      </c>
      <c r="B781" s="114"/>
      <c r="C781" s="120" t="s">
        <v>2558</v>
      </c>
      <c r="D781" s="110"/>
      <c r="E781" s="108" t="s">
        <v>924</v>
      </c>
      <c r="F781" s="114"/>
      <c r="G781" s="120" t="s">
        <v>925</v>
      </c>
      <c r="H781" s="114"/>
      <c r="I781" s="111" t="n">
        <v>8071</v>
      </c>
      <c r="J781" s="110"/>
      <c r="K781" s="120" t="s">
        <v>2546</v>
      </c>
      <c r="L781" s="110"/>
      <c r="M781" s="121" t="n">
        <v>112</v>
      </c>
      <c r="N781" s="114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</row>
    <row r="782" customFormat="false" ht="15.75" hidden="false" customHeight="true" outlineLevel="0" collapsed="false">
      <c r="A782" s="108" t="s">
        <v>2559</v>
      </c>
      <c r="B782" s="114"/>
      <c r="C782" s="120" t="s">
        <v>2560</v>
      </c>
      <c r="D782" s="110"/>
      <c r="E782" s="108" t="s">
        <v>924</v>
      </c>
      <c r="F782" s="114"/>
      <c r="G782" s="120" t="s">
        <v>925</v>
      </c>
      <c r="H782" s="114"/>
      <c r="I782" s="111" t="n">
        <v>8071</v>
      </c>
      <c r="J782" s="110"/>
      <c r="K782" s="120" t="s">
        <v>2546</v>
      </c>
      <c r="L782" s="110"/>
      <c r="M782" s="121" t="n">
        <v>112</v>
      </c>
      <c r="N782" s="114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</row>
    <row r="783" customFormat="false" ht="15.75" hidden="false" customHeight="true" outlineLevel="0" collapsed="false">
      <c r="A783" s="108" t="s">
        <v>2561</v>
      </c>
      <c r="B783" s="114"/>
      <c r="C783" s="120" t="s">
        <v>2562</v>
      </c>
      <c r="D783" s="110"/>
      <c r="E783" s="108" t="s">
        <v>924</v>
      </c>
      <c r="F783" s="114"/>
      <c r="G783" s="120" t="s">
        <v>925</v>
      </c>
      <c r="H783" s="114"/>
      <c r="I783" s="111" t="n">
        <v>8071</v>
      </c>
      <c r="J783" s="110"/>
      <c r="K783" s="120" t="s">
        <v>2546</v>
      </c>
      <c r="L783" s="110"/>
      <c r="M783" s="121" t="n">
        <v>112</v>
      </c>
      <c r="N783" s="114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</row>
    <row r="784" customFormat="false" ht="15.75" hidden="false" customHeight="true" outlineLevel="0" collapsed="false">
      <c r="A784" s="108" t="s">
        <v>2563</v>
      </c>
      <c r="B784" s="114"/>
      <c r="C784" s="120" t="s">
        <v>2564</v>
      </c>
      <c r="D784" s="110"/>
      <c r="E784" s="108" t="s">
        <v>924</v>
      </c>
      <c r="F784" s="114"/>
      <c r="G784" s="120" t="s">
        <v>925</v>
      </c>
      <c r="H784" s="114"/>
      <c r="I784" s="111" t="n">
        <v>8071</v>
      </c>
      <c r="J784" s="110"/>
      <c r="K784" s="120" t="s">
        <v>2546</v>
      </c>
      <c r="L784" s="110"/>
      <c r="M784" s="121" t="n">
        <v>112</v>
      </c>
      <c r="N784" s="114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</row>
    <row r="785" customFormat="false" ht="15.75" hidden="false" customHeight="true" outlineLevel="0" collapsed="false">
      <c r="A785" s="108" t="s">
        <v>2565</v>
      </c>
      <c r="B785" s="114"/>
      <c r="C785" s="120" t="s">
        <v>2566</v>
      </c>
      <c r="D785" s="110"/>
      <c r="E785" s="108" t="s">
        <v>924</v>
      </c>
      <c r="F785" s="114"/>
      <c r="G785" s="120" t="s">
        <v>925</v>
      </c>
      <c r="H785" s="114"/>
      <c r="I785" s="111" t="n">
        <v>8071</v>
      </c>
      <c r="J785" s="110"/>
      <c r="K785" s="120" t="s">
        <v>2546</v>
      </c>
      <c r="L785" s="110"/>
      <c r="M785" s="121" t="n">
        <v>112</v>
      </c>
      <c r="N785" s="114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</row>
    <row r="786" customFormat="false" ht="15.75" hidden="false" customHeight="true" outlineLevel="0" collapsed="false">
      <c r="A786" s="108" t="s">
        <v>2567</v>
      </c>
      <c r="B786" s="114"/>
      <c r="C786" s="120" t="s">
        <v>2568</v>
      </c>
      <c r="D786" s="110"/>
      <c r="E786" s="108" t="s">
        <v>924</v>
      </c>
      <c r="F786" s="114"/>
      <c r="G786" s="120" t="s">
        <v>925</v>
      </c>
      <c r="H786" s="114"/>
      <c r="I786" s="111" t="n">
        <v>8071</v>
      </c>
      <c r="J786" s="110"/>
      <c r="K786" s="120" t="s">
        <v>2546</v>
      </c>
      <c r="L786" s="110"/>
      <c r="M786" s="121" t="n">
        <v>112</v>
      </c>
      <c r="N786" s="114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</row>
    <row r="787" customFormat="false" ht="15.75" hidden="false" customHeight="true" outlineLevel="0" collapsed="false">
      <c r="A787" s="108" t="s">
        <v>2569</v>
      </c>
      <c r="B787" s="114"/>
      <c r="C787" s="120" t="s">
        <v>2570</v>
      </c>
      <c r="D787" s="110"/>
      <c r="E787" s="108" t="s">
        <v>924</v>
      </c>
      <c r="F787" s="114"/>
      <c r="G787" s="120" t="s">
        <v>925</v>
      </c>
      <c r="H787" s="114"/>
      <c r="I787" s="111" t="n">
        <v>8071</v>
      </c>
      <c r="J787" s="110"/>
      <c r="K787" s="120" t="s">
        <v>2546</v>
      </c>
      <c r="L787" s="110"/>
      <c r="M787" s="121" t="n">
        <v>112</v>
      </c>
      <c r="N787" s="114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</row>
    <row r="788" customFormat="false" ht="15.75" hidden="false" customHeight="true" outlineLevel="0" collapsed="false">
      <c r="A788" s="108" t="s">
        <v>2571</v>
      </c>
      <c r="B788" s="114"/>
      <c r="C788" s="120" t="s">
        <v>2572</v>
      </c>
      <c r="D788" s="110"/>
      <c r="E788" s="108" t="s">
        <v>924</v>
      </c>
      <c r="F788" s="114"/>
      <c r="G788" s="120" t="s">
        <v>925</v>
      </c>
      <c r="H788" s="114"/>
      <c r="I788" s="111" t="n">
        <v>8071</v>
      </c>
      <c r="J788" s="110"/>
      <c r="K788" s="120" t="s">
        <v>2546</v>
      </c>
      <c r="L788" s="110"/>
      <c r="M788" s="121" t="n">
        <v>112</v>
      </c>
      <c r="N788" s="114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</row>
    <row r="789" customFormat="false" ht="15.75" hidden="false" customHeight="true" outlineLevel="0" collapsed="false">
      <c r="A789" s="108" t="s">
        <v>2573</v>
      </c>
      <c r="B789" s="114"/>
      <c r="C789" s="120" t="s">
        <v>2574</v>
      </c>
      <c r="D789" s="110"/>
      <c r="E789" s="108" t="s">
        <v>924</v>
      </c>
      <c r="F789" s="114"/>
      <c r="G789" s="120" t="s">
        <v>925</v>
      </c>
      <c r="H789" s="114"/>
      <c r="I789" s="111" t="n">
        <v>8071</v>
      </c>
      <c r="J789" s="110"/>
      <c r="K789" s="120" t="s">
        <v>2546</v>
      </c>
      <c r="L789" s="110"/>
      <c r="M789" s="121" t="n">
        <v>112</v>
      </c>
      <c r="N789" s="114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</row>
    <row r="790" customFormat="false" ht="15.75" hidden="false" customHeight="true" outlineLevel="0" collapsed="false">
      <c r="A790" s="108" t="s">
        <v>2575</v>
      </c>
      <c r="B790" s="114"/>
      <c r="C790" s="120" t="s">
        <v>2576</v>
      </c>
      <c r="D790" s="110"/>
      <c r="E790" s="108" t="s">
        <v>924</v>
      </c>
      <c r="F790" s="114"/>
      <c r="G790" s="120" t="s">
        <v>925</v>
      </c>
      <c r="H790" s="114"/>
      <c r="I790" s="111" t="n">
        <v>8071</v>
      </c>
      <c r="J790" s="110"/>
      <c r="K790" s="120" t="s">
        <v>2546</v>
      </c>
      <c r="L790" s="110"/>
      <c r="M790" s="121" t="n">
        <v>112</v>
      </c>
      <c r="N790" s="114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</row>
    <row r="791" customFormat="false" ht="15.75" hidden="false" customHeight="true" outlineLevel="0" collapsed="false">
      <c r="A791" s="108" t="s">
        <v>2577</v>
      </c>
      <c r="B791" s="114"/>
      <c r="C791" s="120" t="s">
        <v>2578</v>
      </c>
      <c r="D791" s="110"/>
      <c r="E791" s="108" t="s">
        <v>2579</v>
      </c>
      <c r="F791" s="114"/>
      <c r="G791" s="120" t="s">
        <v>2579</v>
      </c>
      <c r="H791" s="114"/>
      <c r="I791" s="111" t="n">
        <v>8211</v>
      </c>
      <c r="J791" s="110"/>
      <c r="K791" s="120" t="s">
        <v>2580</v>
      </c>
      <c r="L791" s="110"/>
      <c r="M791" s="121" t="n">
        <v>113</v>
      </c>
      <c r="N791" s="114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</row>
    <row r="792" customFormat="false" ht="15.75" hidden="false" customHeight="true" outlineLevel="0" collapsed="false">
      <c r="A792" s="108" t="s">
        <v>2581</v>
      </c>
      <c r="B792" s="114"/>
      <c r="C792" s="120" t="s">
        <v>2582</v>
      </c>
      <c r="D792" s="110"/>
      <c r="E792" s="108" t="s">
        <v>2579</v>
      </c>
      <c r="F792" s="114"/>
      <c r="G792" s="120" t="s">
        <v>2579</v>
      </c>
      <c r="H792" s="114"/>
      <c r="I792" s="111" t="n">
        <v>8211</v>
      </c>
      <c r="J792" s="110"/>
      <c r="K792" s="120" t="s">
        <v>2580</v>
      </c>
      <c r="L792" s="110"/>
      <c r="M792" s="121" t="n">
        <v>113</v>
      </c>
      <c r="N792" s="114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</row>
    <row r="793" customFormat="false" ht="15.75" hidden="false" customHeight="true" outlineLevel="0" collapsed="false">
      <c r="A793" s="108" t="s">
        <v>2583</v>
      </c>
      <c r="B793" s="114"/>
      <c r="C793" s="120" t="s">
        <v>2584</v>
      </c>
      <c r="D793" s="110"/>
      <c r="E793" s="108" t="s">
        <v>2579</v>
      </c>
      <c r="F793" s="114"/>
      <c r="G793" s="120" t="s">
        <v>2579</v>
      </c>
      <c r="H793" s="114"/>
      <c r="I793" s="111" t="n">
        <v>8220</v>
      </c>
      <c r="J793" s="110"/>
      <c r="K793" s="120" t="s">
        <v>2585</v>
      </c>
      <c r="L793" s="110"/>
      <c r="M793" s="121" t="n">
        <v>114</v>
      </c>
      <c r="N793" s="114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</row>
    <row r="794" customFormat="false" ht="15.75" hidden="false" customHeight="true" outlineLevel="0" collapsed="false">
      <c r="A794" s="108" t="s">
        <v>2586</v>
      </c>
      <c r="B794" s="114"/>
      <c r="C794" s="120" t="s">
        <v>2587</v>
      </c>
      <c r="D794" s="110"/>
      <c r="E794" s="108" t="s">
        <v>2579</v>
      </c>
      <c r="F794" s="114"/>
      <c r="G794" s="120" t="s">
        <v>2579</v>
      </c>
      <c r="H794" s="114"/>
      <c r="I794" s="111" t="n">
        <v>8220</v>
      </c>
      <c r="J794" s="110"/>
      <c r="K794" s="120" t="s">
        <v>2585</v>
      </c>
      <c r="L794" s="110"/>
      <c r="M794" s="121" t="n">
        <v>114</v>
      </c>
      <c r="N794" s="114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</row>
    <row r="795" customFormat="false" ht="15.75" hidden="false" customHeight="true" outlineLevel="0" collapsed="false">
      <c r="A795" s="108" t="s">
        <v>2588</v>
      </c>
      <c r="B795" s="114"/>
      <c r="C795" s="120" t="s">
        <v>2589</v>
      </c>
      <c r="D795" s="110"/>
      <c r="E795" s="108" t="s">
        <v>2579</v>
      </c>
      <c r="F795" s="114"/>
      <c r="G795" s="120" t="s">
        <v>2579</v>
      </c>
      <c r="H795" s="114"/>
      <c r="I795" s="111" t="n">
        <v>8220</v>
      </c>
      <c r="J795" s="110"/>
      <c r="K795" s="120" t="s">
        <v>2585</v>
      </c>
      <c r="L795" s="110"/>
      <c r="M795" s="121" t="n">
        <v>114</v>
      </c>
      <c r="N795" s="114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</row>
    <row r="796" customFormat="false" ht="15.75" hidden="false" customHeight="true" outlineLevel="0" collapsed="false">
      <c r="A796" s="108" t="s">
        <v>2590</v>
      </c>
      <c r="B796" s="114"/>
      <c r="C796" s="120" t="s">
        <v>2591</v>
      </c>
      <c r="D796" s="110"/>
      <c r="E796" s="108" t="s">
        <v>2579</v>
      </c>
      <c r="F796" s="114"/>
      <c r="G796" s="120" t="s">
        <v>2579</v>
      </c>
      <c r="H796" s="114"/>
      <c r="I796" s="111" t="n">
        <v>8244</v>
      </c>
      <c r="J796" s="110"/>
      <c r="K796" s="120" t="s">
        <v>2592</v>
      </c>
      <c r="L796" s="110"/>
      <c r="M796" s="121" t="n">
        <v>115</v>
      </c>
      <c r="N796" s="114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</row>
    <row r="797" customFormat="false" ht="15.75" hidden="false" customHeight="true" outlineLevel="0" collapsed="false">
      <c r="A797" s="108" t="s">
        <v>2593</v>
      </c>
      <c r="B797" s="114"/>
      <c r="C797" s="120" t="s">
        <v>2594</v>
      </c>
      <c r="D797" s="110"/>
      <c r="E797" s="108" t="s">
        <v>2579</v>
      </c>
      <c r="F797" s="114"/>
      <c r="G797" s="120" t="s">
        <v>2579</v>
      </c>
      <c r="H797" s="114"/>
      <c r="I797" s="111" t="n">
        <v>8244</v>
      </c>
      <c r="J797" s="110"/>
      <c r="K797" s="120" t="s">
        <v>2592</v>
      </c>
      <c r="L797" s="110"/>
      <c r="M797" s="121" t="n">
        <v>115</v>
      </c>
      <c r="N797" s="114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</row>
    <row r="798" customFormat="false" ht="15.75" hidden="false" customHeight="true" outlineLevel="0" collapsed="false">
      <c r="A798" s="108" t="s">
        <v>2595</v>
      </c>
      <c r="B798" s="114"/>
      <c r="C798" s="120" t="s">
        <v>2596</v>
      </c>
      <c r="D798" s="110"/>
      <c r="E798" s="108" t="s">
        <v>2579</v>
      </c>
      <c r="F798" s="114"/>
      <c r="G798" s="120" t="s">
        <v>2579</v>
      </c>
      <c r="H798" s="114"/>
      <c r="I798" s="111" t="n">
        <v>8244</v>
      </c>
      <c r="J798" s="110"/>
      <c r="K798" s="120" t="s">
        <v>2597</v>
      </c>
      <c r="L798" s="110"/>
      <c r="M798" s="121" t="n">
        <v>115</v>
      </c>
      <c r="N798" s="114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</row>
    <row r="799" customFormat="false" ht="15.75" hidden="false" customHeight="true" outlineLevel="0" collapsed="false">
      <c r="A799" s="108" t="s">
        <v>2598</v>
      </c>
      <c r="B799" s="114"/>
      <c r="C799" s="120" t="s">
        <v>2599</v>
      </c>
      <c r="D799" s="110"/>
      <c r="E799" s="108" t="s">
        <v>2579</v>
      </c>
      <c r="F799" s="114"/>
      <c r="G799" s="120" t="s">
        <v>2579</v>
      </c>
      <c r="H799" s="114"/>
      <c r="I799" s="111" t="n">
        <v>8249</v>
      </c>
      <c r="J799" s="110"/>
      <c r="K799" s="120" t="s">
        <v>2600</v>
      </c>
      <c r="L799" s="110"/>
      <c r="M799" s="121" t="n">
        <v>116</v>
      </c>
      <c r="N799" s="114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</row>
    <row r="800" customFormat="false" ht="15.75" hidden="false" customHeight="true" outlineLevel="0" collapsed="false">
      <c r="A800" s="108" t="s">
        <v>2601</v>
      </c>
      <c r="B800" s="114"/>
      <c r="C800" s="120" t="s">
        <v>2602</v>
      </c>
      <c r="D800" s="110"/>
      <c r="E800" s="108" t="s">
        <v>2579</v>
      </c>
      <c r="F800" s="114"/>
      <c r="G800" s="120" t="s">
        <v>2579</v>
      </c>
      <c r="H800" s="114"/>
      <c r="I800" s="111" t="n">
        <v>8249</v>
      </c>
      <c r="J800" s="110"/>
      <c r="K800" s="120" t="s">
        <v>2600</v>
      </c>
      <c r="L800" s="110"/>
      <c r="M800" s="121" t="n">
        <v>116</v>
      </c>
      <c r="N800" s="114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</row>
    <row r="801" customFormat="false" ht="15.75" hidden="false" customHeight="true" outlineLevel="0" collapsed="false">
      <c r="A801" s="108" t="s">
        <v>2603</v>
      </c>
      <c r="B801" s="114"/>
      <c r="C801" s="120" t="s">
        <v>2604</v>
      </c>
      <c r="D801" s="110"/>
      <c r="E801" s="108" t="s">
        <v>2579</v>
      </c>
      <c r="F801" s="114"/>
      <c r="G801" s="120" t="s">
        <v>2579</v>
      </c>
      <c r="H801" s="114"/>
      <c r="I801" s="111" t="n">
        <v>8351</v>
      </c>
      <c r="J801" s="110"/>
      <c r="K801" s="120" t="s">
        <v>2605</v>
      </c>
      <c r="L801" s="110"/>
      <c r="M801" s="121" t="n">
        <v>117</v>
      </c>
      <c r="N801" s="114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</row>
    <row r="802" customFormat="false" ht="15.75" hidden="false" customHeight="true" outlineLevel="0" collapsed="false">
      <c r="A802" s="108" t="s">
        <v>2606</v>
      </c>
      <c r="B802" s="114"/>
      <c r="C802" s="120" t="s">
        <v>2607</v>
      </c>
      <c r="D802" s="110"/>
      <c r="E802" s="108" t="s">
        <v>2579</v>
      </c>
      <c r="F802" s="114"/>
      <c r="G802" s="120" t="s">
        <v>2579</v>
      </c>
      <c r="H802" s="114"/>
      <c r="I802" s="111" t="n">
        <v>8351</v>
      </c>
      <c r="J802" s="110"/>
      <c r="K802" s="120" t="s">
        <v>2605</v>
      </c>
      <c r="L802" s="110"/>
      <c r="M802" s="121" t="n">
        <v>117</v>
      </c>
      <c r="N802" s="114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</row>
    <row r="803" customFormat="false" ht="15.75" hidden="false" customHeight="true" outlineLevel="0" collapsed="false">
      <c r="A803" s="108" t="s">
        <v>2608</v>
      </c>
      <c r="B803" s="114"/>
      <c r="C803" s="120" t="s">
        <v>2609</v>
      </c>
      <c r="D803" s="110"/>
      <c r="E803" s="108" t="s">
        <v>924</v>
      </c>
      <c r="F803" s="114"/>
      <c r="G803" s="120" t="s">
        <v>2610</v>
      </c>
      <c r="H803" s="114"/>
      <c r="I803" s="111" t="n">
        <v>8398</v>
      </c>
      <c r="J803" s="110"/>
      <c r="K803" s="120" t="s">
        <v>2611</v>
      </c>
      <c r="L803" s="110"/>
      <c r="M803" s="121" t="n">
        <v>118</v>
      </c>
      <c r="N803" s="114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</row>
    <row r="804" customFormat="false" ht="15.75" hidden="false" customHeight="true" outlineLevel="0" collapsed="false">
      <c r="A804" s="108" t="s">
        <v>2612</v>
      </c>
      <c r="B804" s="114"/>
      <c r="C804" s="120" t="s">
        <v>2613</v>
      </c>
      <c r="D804" s="110"/>
      <c r="E804" s="108" t="s">
        <v>924</v>
      </c>
      <c r="F804" s="114"/>
      <c r="G804" s="120" t="s">
        <v>2610</v>
      </c>
      <c r="H804" s="114"/>
      <c r="I804" s="111" t="n">
        <v>8398</v>
      </c>
      <c r="J804" s="110"/>
      <c r="K804" s="120" t="s">
        <v>2611</v>
      </c>
      <c r="L804" s="110"/>
      <c r="M804" s="121" t="n">
        <v>118</v>
      </c>
      <c r="N804" s="114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</row>
    <row r="805" customFormat="false" ht="15.75" hidden="false" customHeight="true" outlineLevel="0" collapsed="false">
      <c r="A805" s="108" t="s">
        <v>2614</v>
      </c>
      <c r="B805" s="114"/>
      <c r="C805" s="120" t="s">
        <v>2615</v>
      </c>
      <c r="D805" s="110"/>
      <c r="E805" s="108" t="s">
        <v>924</v>
      </c>
      <c r="F805" s="114"/>
      <c r="G805" s="120" t="s">
        <v>2610</v>
      </c>
      <c r="H805" s="114"/>
      <c r="I805" s="111" t="n">
        <v>8398</v>
      </c>
      <c r="J805" s="110"/>
      <c r="K805" s="120" t="s">
        <v>2611</v>
      </c>
      <c r="L805" s="110"/>
      <c r="M805" s="121" t="n">
        <v>118</v>
      </c>
      <c r="N805" s="114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</row>
    <row r="806" customFormat="false" ht="15.75" hidden="false" customHeight="true" outlineLevel="0" collapsed="false">
      <c r="A806" s="108" t="s">
        <v>2616</v>
      </c>
      <c r="B806" s="114"/>
      <c r="C806" s="120" t="s">
        <v>2617</v>
      </c>
      <c r="D806" s="110"/>
      <c r="E806" s="108" t="s">
        <v>924</v>
      </c>
      <c r="F806" s="114"/>
      <c r="G806" s="120" t="s">
        <v>2618</v>
      </c>
      <c r="H806" s="114"/>
      <c r="I806" s="111" t="n">
        <v>8398</v>
      </c>
      <c r="J806" s="110"/>
      <c r="K806" s="120" t="s">
        <v>2611</v>
      </c>
      <c r="L806" s="110"/>
      <c r="M806" s="121" t="n">
        <v>118</v>
      </c>
      <c r="N806" s="114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</row>
    <row r="807" customFormat="false" ht="15.75" hidden="false" customHeight="true" outlineLevel="0" collapsed="false">
      <c r="A807" s="108" t="s">
        <v>2619</v>
      </c>
      <c r="B807" s="114"/>
      <c r="C807" s="120" t="s">
        <v>2620</v>
      </c>
      <c r="D807" s="110"/>
      <c r="E807" s="108" t="s">
        <v>1518</v>
      </c>
      <c r="F807" s="114"/>
      <c r="G807" s="120" t="s">
        <v>1527</v>
      </c>
      <c r="H807" s="114"/>
      <c r="I807" s="111" t="n">
        <v>8911</v>
      </c>
      <c r="J807" s="110"/>
      <c r="K807" s="120" t="s">
        <v>2621</v>
      </c>
      <c r="L807" s="110"/>
      <c r="M807" s="121" t="n">
        <v>119</v>
      </c>
      <c r="N807" s="114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</row>
    <row r="808" customFormat="false" ht="15.75" hidden="false" customHeight="true" outlineLevel="0" collapsed="false">
      <c r="A808" s="108" t="s">
        <v>2622</v>
      </c>
      <c r="B808" s="114"/>
      <c r="C808" s="120" t="s">
        <v>2623</v>
      </c>
      <c r="D808" s="110"/>
      <c r="E808" s="108" t="s">
        <v>1518</v>
      </c>
      <c r="F808" s="114"/>
      <c r="G808" s="120" t="s">
        <v>1527</v>
      </c>
      <c r="H808" s="114"/>
      <c r="I808" s="111" t="n">
        <v>8911</v>
      </c>
      <c r="J808" s="110"/>
      <c r="K808" s="120" t="s">
        <v>2621</v>
      </c>
      <c r="L808" s="110"/>
      <c r="M808" s="121" t="n">
        <v>119</v>
      </c>
      <c r="N808" s="114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</row>
    <row r="809" customFormat="false" ht="15.75" hidden="false" customHeight="true" outlineLevel="0" collapsed="false">
      <c r="A809" s="108" t="s">
        <v>2624</v>
      </c>
      <c r="B809" s="114"/>
      <c r="C809" s="120" t="s">
        <v>2625</v>
      </c>
      <c r="D809" s="110"/>
      <c r="E809" s="108" t="s">
        <v>1518</v>
      </c>
      <c r="F809" s="114"/>
      <c r="G809" s="120" t="s">
        <v>1527</v>
      </c>
      <c r="H809" s="114"/>
      <c r="I809" s="111" t="n">
        <v>8911</v>
      </c>
      <c r="J809" s="110"/>
      <c r="K809" s="120" t="s">
        <v>2621</v>
      </c>
      <c r="L809" s="110"/>
      <c r="M809" s="121" t="n">
        <v>119</v>
      </c>
      <c r="N809" s="114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</row>
    <row r="810" customFormat="false" ht="15.75" hidden="false" customHeight="true" outlineLevel="0" collapsed="false">
      <c r="A810" s="108" t="s">
        <v>2626</v>
      </c>
      <c r="B810" s="114"/>
      <c r="C810" s="120" t="s">
        <v>2627</v>
      </c>
      <c r="D810" s="110"/>
      <c r="E810" s="108" t="s">
        <v>1518</v>
      </c>
      <c r="F810" s="114"/>
      <c r="G810" s="120" t="s">
        <v>1527</v>
      </c>
      <c r="H810" s="114"/>
      <c r="I810" s="111" t="n">
        <v>8911</v>
      </c>
      <c r="J810" s="110"/>
      <c r="K810" s="120" t="s">
        <v>2621</v>
      </c>
      <c r="L810" s="110"/>
      <c r="M810" s="121" t="n">
        <v>119</v>
      </c>
      <c r="N810" s="114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</row>
    <row r="811" customFormat="false" ht="15.75" hidden="false" customHeight="true" outlineLevel="0" collapsed="false">
      <c r="A811" s="108" t="s">
        <v>2628</v>
      </c>
      <c r="B811" s="114"/>
      <c r="C811" s="120" t="s">
        <v>2629</v>
      </c>
      <c r="D811" s="110"/>
      <c r="E811" s="108" t="s">
        <v>1518</v>
      </c>
      <c r="F811" s="114"/>
      <c r="G811" s="120" t="s">
        <v>1519</v>
      </c>
      <c r="H811" s="114"/>
      <c r="I811" s="111" t="n">
        <v>8911</v>
      </c>
      <c r="J811" s="110"/>
      <c r="K811" s="120" t="s">
        <v>2621</v>
      </c>
      <c r="L811" s="110"/>
      <c r="M811" s="121" t="n">
        <v>119</v>
      </c>
      <c r="N811" s="114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</row>
    <row r="812" customFormat="false" ht="15.75" hidden="false" customHeight="true" outlineLevel="0" collapsed="false">
      <c r="A812" s="108" t="s">
        <v>2630</v>
      </c>
      <c r="B812" s="114"/>
      <c r="C812" s="120" t="s">
        <v>2631</v>
      </c>
      <c r="D812" s="110"/>
      <c r="E812" s="108" t="s">
        <v>1518</v>
      </c>
      <c r="F812" s="114"/>
      <c r="G812" s="120" t="s">
        <v>1519</v>
      </c>
      <c r="H812" s="114"/>
      <c r="I812" s="111" t="n">
        <v>8911</v>
      </c>
      <c r="J812" s="110"/>
      <c r="K812" s="120" t="s">
        <v>2621</v>
      </c>
      <c r="L812" s="110"/>
      <c r="M812" s="121" t="n">
        <v>119</v>
      </c>
      <c r="N812" s="114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</row>
    <row r="813" customFormat="false" ht="15.75" hidden="false" customHeight="true" outlineLevel="0" collapsed="false">
      <c r="A813" s="108" t="s">
        <v>2632</v>
      </c>
      <c r="B813" s="114"/>
      <c r="C813" s="120" t="s">
        <v>2633</v>
      </c>
      <c r="D813" s="110"/>
      <c r="E813" s="108" t="s">
        <v>1518</v>
      </c>
      <c r="F813" s="114"/>
      <c r="G813" s="120" t="s">
        <v>1519</v>
      </c>
      <c r="H813" s="114"/>
      <c r="I813" s="111" t="n">
        <v>8911</v>
      </c>
      <c r="J813" s="110"/>
      <c r="K813" s="120" t="s">
        <v>2621</v>
      </c>
      <c r="L813" s="110"/>
      <c r="M813" s="121" t="n">
        <v>119</v>
      </c>
      <c r="N813" s="114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</row>
    <row r="814" customFormat="false" ht="15.75" hidden="false" customHeight="true" outlineLevel="0" collapsed="false">
      <c r="A814" s="108" t="s">
        <v>2634</v>
      </c>
      <c r="B814" s="114"/>
      <c r="C814" s="120" t="s">
        <v>2635</v>
      </c>
      <c r="D814" s="110"/>
      <c r="E814" s="108" t="s">
        <v>1518</v>
      </c>
      <c r="F814" s="114"/>
      <c r="G814" s="120" t="s">
        <v>1519</v>
      </c>
      <c r="H814" s="114"/>
      <c r="I814" s="111" t="n">
        <v>8911</v>
      </c>
      <c r="J814" s="110"/>
      <c r="K814" s="120" t="s">
        <v>2621</v>
      </c>
      <c r="L814" s="110"/>
      <c r="M814" s="121" t="n">
        <v>119</v>
      </c>
      <c r="N814" s="114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</row>
    <row r="815" customFormat="false" ht="15.75" hidden="false" customHeight="true" outlineLevel="0" collapsed="false">
      <c r="A815" s="108" t="s">
        <v>2636</v>
      </c>
      <c r="B815" s="114"/>
      <c r="C815" s="120" t="s">
        <v>2637</v>
      </c>
      <c r="D815" s="110"/>
      <c r="E815" s="108" t="s">
        <v>1214</v>
      </c>
      <c r="F815" s="114"/>
      <c r="G815" s="120" t="s">
        <v>1509</v>
      </c>
      <c r="H815" s="114"/>
      <c r="I815" s="111" t="n">
        <v>8911</v>
      </c>
      <c r="J815" s="110"/>
      <c r="K815" s="120" t="s">
        <v>2621</v>
      </c>
      <c r="L815" s="110"/>
      <c r="M815" s="121" t="n">
        <v>119</v>
      </c>
      <c r="N815" s="114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</row>
    <row r="816" customFormat="false" ht="15.75" hidden="false" customHeight="true" outlineLevel="0" collapsed="false">
      <c r="A816" s="108" t="s">
        <v>2638</v>
      </c>
      <c r="B816" s="114"/>
      <c r="C816" s="120" t="s">
        <v>2639</v>
      </c>
      <c r="D816" s="110"/>
      <c r="E816" s="108" t="s">
        <v>1214</v>
      </c>
      <c r="F816" s="114"/>
      <c r="G816" s="120" t="s">
        <v>1509</v>
      </c>
      <c r="H816" s="114"/>
      <c r="I816" s="111" t="n">
        <v>8911</v>
      </c>
      <c r="J816" s="110"/>
      <c r="K816" s="120" t="s">
        <v>2621</v>
      </c>
      <c r="L816" s="110"/>
      <c r="M816" s="121" t="n">
        <v>119</v>
      </c>
      <c r="N816" s="114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</row>
    <row r="817" customFormat="false" ht="15.75" hidden="false" customHeight="true" outlineLevel="0" collapsed="false">
      <c r="A817" s="108" t="s">
        <v>2640</v>
      </c>
      <c r="B817" s="114"/>
      <c r="C817" s="120" t="s">
        <v>2641</v>
      </c>
      <c r="D817" s="110"/>
      <c r="E817" s="108" t="s">
        <v>1214</v>
      </c>
      <c r="F817" s="114"/>
      <c r="G817" s="120" t="s">
        <v>1509</v>
      </c>
      <c r="H817" s="114"/>
      <c r="I817" s="111" t="n">
        <v>8911</v>
      </c>
      <c r="J817" s="110"/>
      <c r="K817" s="120" t="s">
        <v>2621</v>
      </c>
      <c r="L817" s="110"/>
      <c r="M817" s="121" t="n">
        <v>119</v>
      </c>
      <c r="N817" s="114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</row>
    <row r="818" customFormat="false" ht="15.75" hidden="false" customHeight="true" outlineLevel="0" collapsed="false">
      <c r="A818" s="108" t="s">
        <v>2642</v>
      </c>
      <c r="B818" s="114"/>
      <c r="C818" s="120" t="s">
        <v>2643</v>
      </c>
      <c r="D818" s="110"/>
      <c r="E818" s="108" t="s">
        <v>1214</v>
      </c>
      <c r="F818" s="114"/>
      <c r="G818" s="120" t="s">
        <v>1509</v>
      </c>
      <c r="H818" s="114"/>
      <c r="I818" s="111" t="n">
        <v>8911</v>
      </c>
      <c r="J818" s="110"/>
      <c r="K818" s="120" t="s">
        <v>2621</v>
      </c>
      <c r="L818" s="110"/>
      <c r="M818" s="121" t="n">
        <v>119</v>
      </c>
      <c r="N818" s="114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</row>
    <row r="819" customFormat="false" ht="15.75" hidden="false" customHeight="true" outlineLevel="0" collapsed="false">
      <c r="A819" s="108" t="s">
        <v>2644</v>
      </c>
      <c r="B819" s="114"/>
      <c r="C819" s="120" t="s">
        <v>2645</v>
      </c>
      <c r="D819" s="110"/>
      <c r="E819" s="108" t="s">
        <v>1214</v>
      </c>
      <c r="F819" s="114"/>
      <c r="G819" s="120" t="s">
        <v>1509</v>
      </c>
      <c r="H819" s="114"/>
      <c r="I819" s="111" t="n">
        <v>8911</v>
      </c>
      <c r="J819" s="110"/>
      <c r="K819" s="120" t="s">
        <v>2621</v>
      </c>
      <c r="L819" s="110"/>
      <c r="M819" s="121" t="n">
        <v>119</v>
      </c>
      <c r="N819" s="114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</row>
    <row r="820" customFormat="false" ht="15.75" hidden="false" customHeight="true" outlineLevel="0" collapsed="false">
      <c r="A820" s="108" t="s">
        <v>2646</v>
      </c>
      <c r="B820" s="114"/>
      <c r="C820" s="120" t="s">
        <v>2647</v>
      </c>
      <c r="D820" s="110"/>
      <c r="E820" s="108" t="s">
        <v>1214</v>
      </c>
      <c r="F820" s="114"/>
      <c r="G820" s="120" t="s">
        <v>1509</v>
      </c>
      <c r="H820" s="114"/>
      <c r="I820" s="111" t="n">
        <v>8911</v>
      </c>
      <c r="J820" s="110"/>
      <c r="K820" s="120" t="s">
        <v>2621</v>
      </c>
      <c r="L820" s="110"/>
      <c r="M820" s="121" t="n">
        <v>119</v>
      </c>
      <c r="N820" s="114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</row>
    <row r="821" customFormat="false" ht="15.75" hidden="false" customHeight="true" outlineLevel="0" collapsed="false">
      <c r="A821" s="108" t="s">
        <v>2648</v>
      </c>
      <c r="B821" s="114"/>
      <c r="C821" s="120" t="s">
        <v>2649</v>
      </c>
      <c r="D821" s="110"/>
      <c r="E821" s="108" t="s">
        <v>1214</v>
      </c>
      <c r="F821" s="114"/>
      <c r="G821" s="120" t="s">
        <v>1215</v>
      </c>
      <c r="H821" s="114"/>
      <c r="I821" s="111" t="n">
        <v>8911</v>
      </c>
      <c r="J821" s="110"/>
      <c r="K821" s="120" t="s">
        <v>2621</v>
      </c>
      <c r="L821" s="110"/>
      <c r="M821" s="121" t="n">
        <v>119</v>
      </c>
      <c r="N821" s="114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</row>
    <row r="822" customFormat="false" ht="15.75" hidden="false" customHeight="true" outlineLevel="0" collapsed="false">
      <c r="A822" s="108" t="s">
        <v>2650</v>
      </c>
      <c r="B822" s="114"/>
      <c r="C822" s="120" t="s">
        <v>2651</v>
      </c>
      <c r="D822" s="110"/>
      <c r="E822" s="108" t="s">
        <v>808</v>
      </c>
      <c r="F822" s="114"/>
      <c r="G822" s="120" t="s">
        <v>809</v>
      </c>
      <c r="H822" s="114"/>
      <c r="I822" s="111" t="n">
        <v>8999</v>
      </c>
      <c r="J822" s="110"/>
      <c r="K822" s="120" t="s">
        <v>2652</v>
      </c>
      <c r="L822" s="110"/>
      <c r="M822" s="121" t="n">
        <v>120</v>
      </c>
      <c r="N822" s="114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</row>
    <row r="823" customFormat="false" ht="15.75" hidden="false" customHeight="true" outlineLevel="0" collapsed="false">
      <c r="A823" s="108" t="s">
        <v>2653</v>
      </c>
      <c r="B823" s="114"/>
      <c r="C823" s="120" t="s">
        <v>2654</v>
      </c>
      <c r="D823" s="110"/>
      <c r="E823" s="108" t="s">
        <v>2655</v>
      </c>
      <c r="F823" s="114"/>
      <c r="G823" s="120" t="s">
        <v>2656</v>
      </c>
      <c r="H823" s="114"/>
      <c r="I823" s="111" t="n">
        <v>8999</v>
      </c>
      <c r="J823" s="110"/>
      <c r="K823" s="120" t="s">
        <v>2652</v>
      </c>
      <c r="L823" s="110"/>
      <c r="M823" s="121" t="n">
        <v>120</v>
      </c>
      <c r="N823" s="114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</row>
    <row r="824" customFormat="false" ht="15.75" hidden="false" customHeight="true" outlineLevel="0" collapsed="false">
      <c r="A824" s="108" t="s">
        <v>2657</v>
      </c>
      <c r="B824" s="114"/>
      <c r="C824" s="120" t="s">
        <v>2658</v>
      </c>
      <c r="D824" s="110"/>
      <c r="E824" s="108" t="s">
        <v>2655</v>
      </c>
      <c r="F824" s="114"/>
      <c r="G824" s="120" t="s">
        <v>2656</v>
      </c>
      <c r="H824" s="114"/>
      <c r="I824" s="111" t="n">
        <v>8999</v>
      </c>
      <c r="J824" s="110"/>
      <c r="K824" s="120" t="s">
        <v>2652</v>
      </c>
      <c r="L824" s="110"/>
      <c r="M824" s="121" t="n">
        <v>120</v>
      </c>
      <c r="N824" s="114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</row>
    <row r="825" customFormat="false" ht="15.75" hidden="false" customHeight="true" outlineLevel="0" collapsed="false">
      <c r="A825" s="108" t="s">
        <v>2659</v>
      </c>
      <c r="B825" s="114"/>
      <c r="C825" s="120" t="s">
        <v>2660</v>
      </c>
      <c r="D825" s="110"/>
      <c r="E825" s="108" t="s">
        <v>2655</v>
      </c>
      <c r="F825" s="114"/>
      <c r="G825" s="120" t="s">
        <v>2661</v>
      </c>
      <c r="H825" s="114"/>
      <c r="I825" s="111" t="n">
        <v>8999</v>
      </c>
      <c r="J825" s="110"/>
      <c r="K825" s="120" t="s">
        <v>2652</v>
      </c>
      <c r="L825" s="110"/>
      <c r="M825" s="121" t="n">
        <v>120</v>
      </c>
      <c r="N825" s="114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</row>
    <row r="826" customFormat="false" ht="15.75" hidden="false" customHeight="true" outlineLevel="0" collapsed="false">
      <c r="A826" s="108" t="s">
        <v>2662</v>
      </c>
      <c r="B826" s="114"/>
      <c r="C826" s="120" t="s">
        <v>2663</v>
      </c>
      <c r="D826" s="110"/>
      <c r="E826" s="108" t="s">
        <v>1214</v>
      </c>
      <c r="F826" s="114"/>
      <c r="G826" s="120" t="s">
        <v>1509</v>
      </c>
      <c r="H826" s="114"/>
      <c r="I826" s="111" t="n">
        <v>8999</v>
      </c>
      <c r="J826" s="110"/>
      <c r="K826" s="120" t="s">
        <v>2652</v>
      </c>
      <c r="L826" s="110"/>
      <c r="M826" s="121" t="n">
        <v>120</v>
      </c>
      <c r="N826" s="114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</row>
    <row r="827" customFormat="false" ht="15.75" hidden="false" customHeight="true" outlineLevel="0" collapsed="false">
      <c r="A827" s="108" t="s">
        <v>2664</v>
      </c>
      <c r="B827" s="114"/>
      <c r="C827" s="120" t="s">
        <v>2665</v>
      </c>
      <c r="D827" s="110"/>
      <c r="E827" s="108" t="s">
        <v>1214</v>
      </c>
      <c r="F827" s="114"/>
      <c r="G827" s="120" t="s">
        <v>2666</v>
      </c>
      <c r="H827" s="114"/>
      <c r="I827" s="111" t="n">
        <v>8999</v>
      </c>
      <c r="J827" s="110"/>
      <c r="K827" s="120" t="s">
        <v>2652</v>
      </c>
      <c r="L827" s="110"/>
      <c r="M827" s="121" t="n">
        <v>120</v>
      </c>
      <c r="N827" s="114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</row>
    <row r="828" customFormat="false" ht="15.75" hidden="false" customHeight="true" outlineLevel="0" collapsed="false">
      <c r="A828" s="108" t="s">
        <v>2667</v>
      </c>
      <c r="B828" s="114"/>
      <c r="C828" s="120" t="s">
        <v>2668</v>
      </c>
      <c r="D828" s="110"/>
      <c r="E828" s="108" t="s">
        <v>1214</v>
      </c>
      <c r="F828" s="114"/>
      <c r="G828" s="120" t="s">
        <v>2666</v>
      </c>
      <c r="H828" s="114"/>
      <c r="I828" s="111" t="n">
        <v>8999</v>
      </c>
      <c r="J828" s="110"/>
      <c r="K828" s="120" t="s">
        <v>2652</v>
      </c>
      <c r="L828" s="110"/>
      <c r="M828" s="121" t="n">
        <v>120</v>
      </c>
      <c r="N828" s="114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</row>
    <row r="829" customFormat="false" ht="15.75" hidden="false" customHeight="true" outlineLevel="0" collapsed="false">
      <c r="A829" s="108" t="s">
        <v>2669</v>
      </c>
      <c r="B829" s="114"/>
      <c r="C829" s="120" t="s">
        <v>2670</v>
      </c>
      <c r="D829" s="110"/>
      <c r="E829" s="108" t="s">
        <v>1214</v>
      </c>
      <c r="F829" s="114"/>
      <c r="G829" s="120" t="s">
        <v>2383</v>
      </c>
      <c r="H829" s="114"/>
      <c r="I829" s="111" t="n">
        <v>8999</v>
      </c>
      <c r="J829" s="110"/>
      <c r="K829" s="120" t="s">
        <v>2652</v>
      </c>
      <c r="L829" s="110"/>
      <c r="M829" s="121" t="n">
        <v>120</v>
      </c>
      <c r="N829" s="114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</row>
    <row r="830" customFormat="false" ht="15.75" hidden="false" customHeight="true" outlineLevel="0" collapsed="false">
      <c r="A830" s="108" t="s">
        <v>2671</v>
      </c>
      <c r="B830" s="114"/>
      <c r="C830" s="120" t="s">
        <v>2672</v>
      </c>
      <c r="D830" s="110"/>
      <c r="E830" s="108" t="s">
        <v>1214</v>
      </c>
      <c r="F830" s="114"/>
      <c r="G830" s="120" t="s">
        <v>1215</v>
      </c>
      <c r="H830" s="114"/>
      <c r="I830" s="111" t="n">
        <v>8999</v>
      </c>
      <c r="J830" s="110"/>
      <c r="K830" s="120" t="s">
        <v>2652</v>
      </c>
      <c r="L830" s="110"/>
      <c r="M830" s="121" t="n">
        <v>120</v>
      </c>
      <c r="N830" s="114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</row>
    <row r="831" customFormat="false" ht="15.75" hidden="false" customHeight="true" outlineLevel="0" collapsed="false">
      <c r="A831" s="108" t="s">
        <v>2673</v>
      </c>
      <c r="B831" s="114"/>
      <c r="C831" s="120" t="s">
        <v>2674</v>
      </c>
      <c r="D831" s="110"/>
      <c r="E831" s="108" t="s">
        <v>1214</v>
      </c>
      <c r="F831" s="114"/>
      <c r="G831" s="120" t="s">
        <v>1215</v>
      </c>
      <c r="H831" s="114"/>
      <c r="I831" s="111" t="n">
        <v>8999</v>
      </c>
      <c r="J831" s="110"/>
      <c r="K831" s="120" t="s">
        <v>2652</v>
      </c>
      <c r="L831" s="110"/>
      <c r="M831" s="121" t="n">
        <v>120</v>
      </c>
      <c r="N831" s="114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</row>
    <row r="832" customFormat="false" ht="15.75" hidden="false" customHeight="true" outlineLevel="0" collapsed="false">
      <c r="A832" s="108" t="s">
        <v>2675</v>
      </c>
      <c r="B832" s="114"/>
      <c r="C832" s="120" t="s">
        <v>2676</v>
      </c>
      <c r="D832" s="110"/>
      <c r="E832" s="108" t="s">
        <v>1214</v>
      </c>
      <c r="F832" s="114"/>
      <c r="G832" s="120" t="s">
        <v>1215</v>
      </c>
      <c r="H832" s="114"/>
      <c r="I832" s="111" t="n">
        <v>8999</v>
      </c>
      <c r="J832" s="110"/>
      <c r="K832" s="120" t="s">
        <v>2652</v>
      </c>
      <c r="L832" s="110"/>
      <c r="M832" s="121" t="n">
        <v>120</v>
      </c>
      <c r="N832" s="114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</row>
    <row r="833" customFormat="false" ht="15.75" hidden="false" customHeight="true" outlineLevel="0" collapsed="false">
      <c r="A833" s="108" t="s">
        <v>2677</v>
      </c>
      <c r="B833" s="114"/>
      <c r="C833" s="120" t="s">
        <v>2678</v>
      </c>
      <c r="D833" s="110"/>
      <c r="E833" s="108" t="s">
        <v>1214</v>
      </c>
      <c r="F833" s="114"/>
      <c r="G833" s="120" t="s">
        <v>1215</v>
      </c>
      <c r="H833" s="114"/>
      <c r="I833" s="111" t="n">
        <v>8999</v>
      </c>
      <c r="J833" s="110"/>
      <c r="K833" s="120" t="s">
        <v>2652</v>
      </c>
      <c r="L833" s="110"/>
      <c r="M833" s="121" t="n">
        <v>120</v>
      </c>
      <c r="N833" s="114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</row>
    <row r="834" customFormat="false" ht="15.75" hidden="false" customHeight="true" outlineLevel="0" collapsed="false">
      <c r="A834" s="108" t="s">
        <v>2679</v>
      </c>
      <c r="B834" s="114"/>
      <c r="C834" s="120" t="s">
        <v>2680</v>
      </c>
      <c r="D834" s="110"/>
      <c r="E834" s="108" t="s">
        <v>1214</v>
      </c>
      <c r="F834" s="114"/>
      <c r="G834" s="120" t="s">
        <v>1215</v>
      </c>
      <c r="H834" s="114"/>
      <c r="I834" s="111" t="n">
        <v>8999</v>
      </c>
      <c r="J834" s="110"/>
      <c r="K834" s="120" t="s">
        <v>2652</v>
      </c>
      <c r="L834" s="110"/>
      <c r="M834" s="121" t="n">
        <v>120</v>
      </c>
      <c r="N834" s="114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</row>
    <row r="835" customFormat="false" ht="15.75" hidden="false" customHeight="true" outlineLevel="0" collapsed="false">
      <c r="A835" s="108" t="s">
        <v>2681</v>
      </c>
      <c r="B835" s="114"/>
      <c r="C835" s="120" t="s">
        <v>2682</v>
      </c>
      <c r="D835" s="110"/>
      <c r="E835" s="108" t="s">
        <v>920</v>
      </c>
      <c r="F835" s="114"/>
      <c r="G835" s="120" t="s">
        <v>921</v>
      </c>
      <c r="H835" s="114"/>
      <c r="I835" s="111" t="n">
        <v>8999</v>
      </c>
      <c r="J835" s="110"/>
      <c r="K835" s="120" t="s">
        <v>2652</v>
      </c>
      <c r="L835" s="110"/>
      <c r="M835" s="121" t="n">
        <v>120</v>
      </c>
      <c r="N835" s="114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</row>
    <row r="836" customFormat="false" ht="15.75" hidden="false" customHeight="true" outlineLevel="0" collapsed="false">
      <c r="A836" s="108" t="s">
        <v>2683</v>
      </c>
      <c r="B836" s="114"/>
      <c r="C836" s="120" t="s">
        <v>2684</v>
      </c>
      <c r="D836" s="110"/>
      <c r="E836" s="108" t="s">
        <v>920</v>
      </c>
      <c r="F836" s="114"/>
      <c r="G836" s="120" t="s">
        <v>921</v>
      </c>
      <c r="H836" s="114"/>
      <c r="I836" s="111" t="n">
        <v>8999</v>
      </c>
      <c r="J836" s="110"/>
      <c r="K836" s="120" t="s">
        <v>2652</v>
      </c>
      <c r="L836" s="110"/>
      <c r="M836" s="121" t="n">
        <v>120</v>
      </c>
      <c r="N836" s="114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</row>
    <row r="837" customFormat="false" ht="15.75" hidden="false" customHeight="true" outlineLevel="0" collapsed="false">
      <c r="A837" s="108" t="s">
        <v>2685</v>
      </c>
      <c r="B837" s="114"/>
      <c r="C837" s="120" t="s">
        <v>2686</v>
      </c>
      <c r="D837" s="110"/>
      <c r="E837" s="108" t="s">
        <v>2313</v>
      </c>
      <c r="F837" s="114"/>
      <c r="G837" s="120" t="s">
        <v>2687</v>
      </c>
      <c r="H837" s="114"/>
      <c r="I837" s="111" t="n">
        <v>8999</v>
      </c>
      <c r="J837" s="110"/>
      <c r="K837" s="120" t="s">
        <v>2652</v>
      </c>
      <c r="L837" s="110"/>
      <c r="M837" s="121" t="n">
        <v>120</v>
      </c>
      <c r="N837" s="114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</row>
    <row r="838" customFormat="false" ht="15.75" hidden="false" customHeight="true" outlineLevel="0" collapsed="false">
      <c r="A838" s="108" t="s">
        <v>2688</v>
      </c>
      <c r="B838" s="114"/>
      <c r="C838" s="120" t="s">
        <v>2689</v>
      </c>
      <c r="D838" s="110"/>
      <c r="E838" s="108" t="s">
        <v>2690</v>
      </c>
      <c r="F838" s="114"/>
      <c r="G838" s="120" t="s">
        <v>2691</v>
      </c>
      <c r="H838" s="114"/>
      <c r="I838" s="111" t="n">
        <v>8999</v>
      </c>
      <c r="J838" s="110"/>
      <c r="K838" s="120" t="s">
        <v>2652</v>
      </c>
      <c r="L838" s="110"/>
      <c r="M838" s="121" t="n">
        <v>120</v>
      </c>
      <c r="N838" s="114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</row>
    <row r="839" customFormat="false" ht="15.75" hidden="false" customHeight="true" outlineLevel="0" collapsed="false">
      <c r="A839" s="108" t="s">
        <v>2692</v>
      </c>
      <c r="B839" s="114"/>
      <c r="C839" s="120" t="s">
        <v>2693</v>
      </c>
      <c r="D839" s="110"/>
      <c r="E839" s="108" t="s">
        <v>2655</v>
      </c>
      <c r="F839" s="114"/>
      <c r="G839" s="120" t="s">
        <v>2656</v>
      </c>
      <c r="H839" s="114"/>
      <c r="I839" s="111" t="n">
        <v>9399</v>
      </c>
      <c r="J839" s="110"/>
      <c r="K839" s="120" t="s">
        <v>2694</v>
      </c>
      <c r="L839" s="110"/>
      <c r="M839" s="121" t="n">
        <v>121</v>
      </c>
      <c r="N839" s="114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</row>
    <row r="840" customFormat="false" ht="15.75" hidden="false" customHeight="true" outlineLevel="0" collapsed="false">
      <c r="A840" s="108" t="s">
        <v>2695</v>
      </c>
      <c r="B840" s="114"/>
      <c r="C840" s="120" t="s">
        <v>2696</v>
      </c>
      <c r="D840" s="110"/>
      <c r="E840" s="108" t="s">
        <v>1214</v>
      </c>
      <c r="F840" s="114"/>
      <c r="G840" s="120" t="s">
        <v>2366</v>
      </c>
      <c r="H840" s="114"/>
      <c r="I840" s="111" t="n">
        <v>9399</v>
      </c>
      <c r="J840" s="110"/>
      <c r="K840" s="120" t="s">
        <v>2694</v>
      </c>
      <c r="L840" s="110"/>
      <c r="M840" s="121" t="n">
        <v>121</v>
      </c>
      <c r="N840" s="114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</row>
    <row r="841" customFormat="false" ht="15.75" hidden="false" customHeight="true" outlineLevel="0" collapsed="false">
      <c r="A841" s="108" t="s">
        <v>2697</v>
      </c>
      <c r="B841" s="114"/>
      <c r="C841" s="120" t="s">
        <v>2698</v>
      </c>
      <c r="D841" s="110"/>
      <c r="E841" s="108" t="s">
        <v>2699</v>
      </c>
      <c r="F841" s="114"/>
      <c r="G841" s="120" t="s">
        <v>2700</v>
      </c>
      <c r="H841" s="114"/>
      <c r="I841" s="111" t="n">
        <v>9399</v>
      </c>
      <c r="J841" s="110"/>
      <c r="K841" s="120" t="s">
        <v>2694</v>
      </c>
      <c r="L841" s="110"/>
      <c r="M841" s="121" t="n">
        <v>121</v>
      </c>
      <c r="N841" s="114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</row>
    <row r="842" customFormat="false" ht="15.75" hidden="false" customHeight="true" outlineLevel="0" collapsed="false">
      <c r="A842" s="108" t="s">
        <v>2701</v>
      </c>
      <c r="B842" s="114"/>
      <c r="C842" s="120" t="s">
        <v>2702</v>
      </c>
      <c r="D842" s="110"/>
      <c r="E842" s="108" t="s">
        <v>2699</v>
      </c>
      <c r="F842" s="114"/>
      <c r="G842" s="120" t="s">
        <v>2700</v>
      </c>
      <c r="H842" s="114"/>
      <c r="I842" s="111" t="n">
        <v>9399</v>
      </c>
      <c r="J842" s="110"/>
      <c r="K842" s="120" t="s">
        <v>2694</v>
      </c>
      <c r="L842" s="110"/>
      <c r="M842" s="121" t="n">
        <v>121</v>
      </c>
      <c r="N842" s="114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</row>
    <row r="843" customFormat="false" ht="15.75" hidden="false" customHeight="true" outlineLevel="0" collapsed="false">
      <c r="A843" s="108" t="s">
        <v>2703</v>
      </c>
      <c r="B843" s="114"/>
      <c r="C843" s="120" t="s">
        <v>2704</v>
      </c>
      <c r="D843" s="110"/>
      <c r="E843" s="108" t="s">
        <v>2699</v>
      </c>
      <c r="F843" s="114"/>
      <c r="G843" s="120" t="s">
        <v>2700</v>
      </c>
      <c r="H843" s="114"/>
      <c r="I843" s="111" t="n">
        <v>9399</v>
      </c>
      <c r="J843" s="110"/>
      <c r="K843" s="120" t="s">
        <v>2694</v>
      </c>
      <c r="L843" s="110"/>
      <c r="M843" s="121" t="n">
        <v>121</v>
      </c>
      <c r="N843" s="114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</row>
    <row r="844" customFormat="false" ht="15.75" hidden="false" customHeight="true" outlineLevel="0" collapsed="false">
      <c r="A844" s="108" t="s">
        <v>2705</v>
      </c>
      <c r="B844" s="114"/>
      <c r="C844" s="120" t="s">
        <v>2706</v>
      </c>
      <c r="D844" s="110"/>
      <c r="E844" s="108" t="s">
        <v>2699</v>
      </c>
      <c r="F844" s="114"/>
      <c r="G844" s="120" t="s">
        <v>2700</v>
      </c>
      <c r="H844" s="114"/>
      <c r="I844" s="111" t="n">
        <v>9399</v>
      </c>
      <c r="J844" s="110"/>
      <c r="K844" s="120" t="s">
        <v>2694</v>
      </c>
      <c r="L844" s="110"/>
      <c r="M844" s="121" t="n">
        <v>121</v>
      </c>
      <c r="N844" s="114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</row>
    <row r="845" customFormat="false" ht="15.75" hidden="false" customHeight="true" outlineLevel="0" collapsed="false">
      <c r="A845" s="108" t="s">
        <v>2707</v>
      </c>
      <c r="B845" s="114"/>
      <c r="C845" s="120" t="s">
        <v>2708</v>
      </c>
      <c r="D845" s="110"/>
      <c r="E845" s="108" t="s">
        <v>2699</v>
      </c>
      <c r="F845" s="114"/>
      <c r="G845" s="120" t="s">
        <v>2700</v>
      </c>
      <c r="H845" s="114"/>
      <c r="I845" s="111" t="n">
        <v>9399</v>
      </c>
      <c r="J845" s="110"/>
      <c r="K845" s="120" t="s">
        <v>2694</v>
      </c>
      <c r="L845" s="110"/>
      <c r="M845" s="121" t="n">
        <v>121</v>
      </c>
      <c r="N845" s="114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</row>
    <row r="846" customFormat="false" ht="15.75" hidden="false" customHeight="true" outlineLevel="0" collapsed="false">
      <c r="A846" s="108" t="s">
        <v>2709</v>
      </c>
      <c r="B846" s="114"/>
      <c r="C846" s="120" t="s">
        <v>2710</v>
      </c>
      <c r="D846" s="110"/>
      <c r="E846" s="108" t="s">
        <v>2699</v>
      </c>
      <c r="F846" s="114"/>
      <c r="G846" s="120" t="s">
        <v>2700</v>
      </c>
      <c r="H846" s="114"/>
      <c r="I846" s="111" t="n">
        <v>9399</v>
      </c>
      <c r="J846" s="110"/>
      <c r="K846" s="120" t="s">
        <v>2694</v>
      </c>
      <c r="L846" s="110"/>
      <c r="M846" s="121" t="n">
        <v>121</v>
      </c>
      <c r="N846" s="114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</row>
    <row r="847" customFormat="false" ht="15.75" hidden="false" customHeight="true" outlineLevel="0" collapsed="false">
      <c r="A847" s="108" t="s">
        <v>2711</v>
      </c>
      <c r="B847" s="114"/>
      <c r="C847" s="120" t="s">
        <v>2712</v>
      </c>
      <c r="D847" s="110"/>
      <c r="E847" s="108" t="s">
        <v>2699</v>
      </c>
      <c r="F847" s="114"/>
      <c r="G847" s="120" t="s">
        <v>2700</v>
      </c>
      <c r="H847" s="114"/>
      <c r="I847" s="111" t="n">
        <v>9399</v>
      </c>
      <c r="J847" s="110"/>
      <c r="K847" s="120" t="s">
        <v>2694</v>
      </c>
      <c r="L847" s="110"/>
      <c r="M847" s="121" t="n">
        <v>121</v>
      </c>
      <c r="N847" s="114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</row>
    <row r="848" customFormat="false" ht="15.75" hidden="false" customHeight="true" outlineLevel="0" collapsed="false">
      <c r="A848" s="108" t="s">
        <v>2713</v>
      </c>
      <c r="B848" s="114"/>
      <c r="C848" s="120" t="s">
        <v>2714</v>
      </c>
      <c r="D848" s="110"/>
      <c r="E848" s="108" t="s">
        <v>2699</v>
      </c>
      <c r="F848" s="114"/>
      <c r="G848" s="120" t="s">
        <v>2700</v>
      </c>
      <c r="H848" s="114"/>
      <c r="I848" s="111" t="n">
        <v>9399</v>
      </c>
      <c r="J848" s="110"/>
      <c r="K848" s="120" t="s">
        <v>2694</v>
      </c>
      <c r="L848" s="110"/>
      <c r="M848" s="121" t="n">
        <v>121</v>
      </c>
      <c r="N848" s="114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</row>
    <row r="849" customFormat="false" ht="15.75" hidden="false" customHeight="true" outlineLevel="0" collapsed="false">
      <c r="A849" s="108" t="s">
        <v>2715</v>
      </c>
      <c r="B849" s="114"/>
      <c r="C849" s="120" t="s">
        <v>2716</v>
      </c>
      <c r="D849" s="110"/>
      <c r="E849" s="108" t="s">
        <v>2699</v>
      </c>
      <c r="F849" s="114"/>
      <c r="G849" s="120" t="s">
        <v>2700</v>
      </c>
      <c r="H849" s="114"/>
      <c r="I849" s="111" t="n">
        <v>9399</v>
      </c>
      <c r="J849" s="110"/>
      <c r="K849" s="120" t="s">
        <v>2694</v>
      </c>
      <c r="L849" s="110"/>
      <c r="M849" s="121" t="n">
        <v>121</v>
      </c>
      <c r="N849" s="114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</row>
    <row r="850" customFormat="false" ht="15.75" hidden="false" customHeight="true" outlineLevel="0" collapsed="false">
      <c r="A850" s="108" t="s">
        <v>2717</v>
      </c>
      <c r="B850" s="114"/>
      <c r="C850" s="120" t="s">
        <v>2718</v>
      </c>
      <c r="D850" s="110"/>
      <c r="E850" s="108" t="s">
        <v>933</v>
      </c>
      <c r="F850" s="114"/>
      <c r="G850" s="120" t="s">
        <v>1574</v>
      </c>
      <c r="H850" s="114"/>
      <c r="I850" s="111" t="n">
        <v>9402</v>
      </c>
      <c r="J850" s="110"/>
      <c r="K850" s="120" t="s">
        <v>2719</v>
      </c>
      <c r="L850" s="110"/>
      <c r="M850" s="121" t="n">
        <v>122</v>
      </c>
      <c r="N850" s="114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</row>
    <row r="851" customFormat="false" ht="15.75" hidden="false" customHeight="true" outlineLevel="0" collapsed="false">
      <c r="A851" s="108" t="s">
        <v>2720</v>
      </c>
      <c r="B851" s="114"/>
      <c r="C851" s="120" t="s">
        <v>2721</v>
      </c>
      <c r="D851" s="110"/>
      <c r="E851" s="108" t="s">
        <v>933</v>
      </c>
      <c r="F851" s="114"/>
      <c r="G851" s="120" t="s">
        <v>1574</v>
      </c>
      <c r="H851" s="114"/>
      <c r="I851" s="111" t="n">
        <v>9402</v>
      </c>
      <c r="J851" s="110"/>
      <c r="K851" s="120" t="s">
        <v>2719</v>
      </c>
      <c r="L851" s="110"/>
      <c r="M851" s="121" t="n">
        <v>122</v>
      </c>
      <c r="N851" s="114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</row>
    <row r="852" customFormat="false" ht="15.75" hidden="false" customHeight="true" outlineLevel="0" collapsed="false">
      <c r="A852" s="108" t="s">
        <v>2722</v>
      </c>
      <c r="B852" s="114"/>
      <c r="C852" s="120" t="s">
        <v>2723</v>
      </c>
      <c r="D852" s="110"/>
      <c r="E852" s="108" t="s">
        <v>1198</v>
      </c>
      <c r="F852" s="114"/>
      <c r="G852" s="120" t="s">
        <v>1458</v>
      </c>
      <c r="H852" s="114"/>
      <c r="I852" s="111" t="n">
        <v>1740</v>
      </c>
      <c r="J852" s="110"/>
      <c r="K852" s="120" t="s">
        <v>2724</v>
      </c>
      <c r="L852" s="110"/>
      <c r="M852" s="112" t="n">
        <v>123</v>
      </c>
      <c r="N852" s="114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</row>
    <row r="853" customFormat="false" ht="15.75" hidden="false" customHeight="true" outlineLevel="0" collapsed="false">
      <c r="A853" s="108" t="s">
        <v>2725</v>
      </c>
      <c r="B853" s="114"/>
      <c r="C853" s="120" t="s">
        <v>2726</v>
      </c>
      <c r="D853" s="110"/>
      <c r="E853" s="108" t="s">
        <v>1198</v>
      </c>
      <c r="F853" s="114"/>
      <c r="G853" s="120" t="s">
        <v>1458</v>
      </c>
      <c r="H853" s="114"/>
      <c r="I853" s="111" t="n">
        <v>1740</v>
      </c>
      <c r="J853" s="110"/>
      <c r="K853" s="120" t="s">
        <v>2724</v>
      </c>
      <c r="L853" s="110"/>
      <c r="M853" s="112" t="n">
        <v>123</v>
      </c>
      <c r="N853" s="114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</row>
    <row r="854" customFormat="false" ht="15.75" hidden="false" customHeight="true" outlineLevel="0" collapsed="false">
      <c r="A854" s="108" t="s">
        <v>2727</v>
      </c>
      <c r="B854" s="114"/>
      <c r="C854" s="120" t="s">
        <v>2728</v>
      </c>
      <c r="D854" s="110"/>
      <c r="E854" s="108" t="s">
        <v>1198</v>
      </c>
      <c r="F854" s="114"/>
      <c r="G854" s="120" t="s">
        <v>1458</v>
      </c>
      <c r="H854" s="114"/>
      <c r="I854" s="111" t="n">
        <v>1740</v>
      </c>
      <c r="J854" s="110"/>
      <c r="K854" s="120" t="s">
        <v>2724</v>
      </c>
      <c r="L854" s="110"/>
      <c r="M854" s="112" t="n">
        <v>123</v>
      </c>
      <c r="N854" s="114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</row>
    <row r="855" customFormat="false" ht="15.75" hidden="false" customHeight="true" outlineLevel="0" collapsed="false">
      <c r="A855" s="108" t="s">
        <v>2729</v>
      </c>
      <c r="B855" s="114"/>
      <c r="C855" s="120" t="s">
        <v>2730</v>
      </c>
      <c r="D855" s="110"/>
      <c r="E855" s="108" t="s">
        <v>1198</v>
      </c>
      <c r="F855" s="114"/>
      <c r="G855" s="120" t="s">
        <v>1458</v>
      </c>
      <c r="H855" s="114"/>
      <c r="I855" s="111" t="n">
        <v>1740</v>
      </c>
      <c r="J855" s="110"/>
      <c r="K855" s="120" t="s">
        <v>2724</v>
      </c>
      <c r="L855" s="110"/>
      <c r="M855" s="112" t="n">
        <v>123</v>
      </c>
      <c r="N855" s="114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</row>
    <row r="856" customFormat="false" ht="15.75" hidden="false" customHeight="true" outlineLevel="0" collapsed="false">
      <c r="A856" s="108" t="s">
        <v>2731</v>
      </c>
      <c r="B856" s="114"/>
      <c r="C856" s="120" t="s">
        <v>2732</v>
      </c>
      <c r="D856" s="110"/>
      <c r="E856" s="108" t="s">
        <v>1198</v>
      </c>
      <c r="F856" s="114"/>
      <c r="G856" s="120" t="s">
        <v>1458</v>
      </c>
      <c r="H856" s="114"/>
      <c r="I856" s="111" t="n">
        <v>1740</v>
      </c>
      <c r="J856" s="110"/>
      <c r="K856" s="120" t="s">
        <v>2724</v>
      </c>
      <c r="L856" s="110"/>
      <c r="M856" s="112" t="n">
        <v>123</v>
      </c>
      <c r="N856" s="114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</row>
    <row r="857" customFormat="false" ht="15.75" hidden="false" customHeight="true" outlineLevel="0" collapsed="false">
      <c r="A857" s="108" t="s">
        <v>2733</v>
      </c>
      <c r="B857" s="114"/>
      <c r="C857" s="120" t="s">
        <v>2734</v>
      </c>
      <c r="D857" s="110"/>
      <c r="E857" s="108" t="s">
        <v>1198</v>
      </c>
      <c r="F857" s="114"/>
      <c r="G857" s="120" t="s">
        <v>1458</v>
      </c>
      <c r="H857" s="114"/>
      <c r="I857" s="111" t="n">
        <v>1740</v>
      </c>
      <c r="J857" s="110"/>
      <c r="K857" s="120" t="s">
        <v>2724</v>
      </c>
      <c r="L857" s="110"/>
      <c r="M857" s="112" t="n">
        <v>123</v>
      </c>
      <c r="N857" s="114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</row>
    <row r="858" customFormat="false" ht="15.75" hidden="false" customHeight="true" outlineLevel="0" collapsed="false">
      <c r="A858" s="108" t="s">
        <v>2735</v>
      </c>
      <c r="B858" s="114"/>
      <c r="C858" s="120" t="s">
        <v>2736</v>
      </c>
      <c r="D858" s="110"/>
      <c r="E858" s="108" t="s">
        <v>1198</v>
      </c>
      <c r="F858" s="114"/>
      <c r="G858" s="120" t="s">
        <v>1458</v>
      </c>
      <c r="H858" s="114"/>
      <c r="I858" s="111" t="n">
        <v>1740</v>
      </c>
      <c r="J858" s="110"/>
      <c r="K858" s="120" t="s">
        <v>2724</v>
      </c>
      <c r="L858" s="110"/>
      <c r="M858" s="112" t="n">
        <v>123</v>
      </c>
      <c r="N858" s="114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</row>
    <row r="859" customFormat="false" ht="15.75" hidden="false" customHeight="true" outlineLevel="0" collapsed="false">
      <c r="A859" s="108" t="s">
        <v>2737</v>
      </c>
      <c r="B859" s="114"/>
      <c r="C859" s="120" t="s">
        <v>2738</v>
      </c>
      <c r="D859" s="110"/>
      <c r="E859" s="108" t="s">
        <v>1198</v>
      </c>
      <c r="F859" s="114"/>
      <c r="G859" s="120" t="s">
        <v>1458</v>
      </c>
      <c r="H859" s="114"/>
      <c r="I859" s="111" t="n">
        <v>1740</v>
      </c>
      <c r="J859" s="110"/>
      <c r="K859" s="120" t="s">
        <v>2724</v>
      </c>
      <c r="L859" s="110"/>
      <c r="M859" s="112" t="n">
        <v>123</v>
      </c>
      <c r="N859" s="114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</row>
    <row r="860" customFormat="false" ht="15.75" hidden="false" customHeight="true" outlineLevel="0" collapsed="false">
      <c r="A860" s="108" t="s">
        <v>2739</v>
      </c>
      <c r="B860" s="114"/>
      <c r="C860" s="120" t="s">
        <v>2740</v>
      </c>
      <c r="D860" s="110"/>
      <c r="E860" s="108" t="s">
        <v>1198</v>
      </c>
      <c r="F860" s="114"/>
      <c r="G860" s="120" t="s">
        <v>1458</v>
      </c>
      <c r="H860" s="114"/>
      <c r="I860" s="111" t="n">
        <v>1740</v>
      </c>
      <c r="J860" s="110"/>
      <c r="K860" s="120" t="s">
        <v>2724</v>
      </c>
      <c r="L860" s="110"/>
      <c r="M860" s="112" t="n">
        <v>123</v>
      </c>
      <c r="N860" s="114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</row>
    <row r="861" customFormat="false" ht="15.75" hidden="false" customHeight="true" outlineLevel="0" collapsed="false">
      <c r="A861" s="108" t="s">
        <v>2741</v>
      </c>
      <c r="B861" s="114"/>
      <c r="C861" s="120" t="s">
        <v>2742</v>
      </c>
      <c r="D861" s="110"/>
      <c r="E861" s="108" t="s">
        <v>1198</v>
      </c>
      <c r="F861" s="114"/>
      <c r="G861" s="120" t="s">
        <v>1458</v>
      </c>
      <c r="H861" s="114"/>
      <c r="I861" s="111" t="n">
        <v>1740</v>
      </c>
      <c r="J861" s="110"/>
      <c r="K861" s="120" t="s">
        <v>2724</v>
      </c>
      <c r="L861" s="110"/>
      <c r="M861" s="112" t="n">
        <v>123</v>
      </c>
      <c r="N861" s="114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</row>
    <row r="862" customFormat="false" ht="15.75" hidden="false" customHeight="true" outlineLevel="0" collapsed="false">
      <c r="A862" s="108" t="s">
        <v>2743</v>
      </c>
      <c r="B862" s="114"/>
      <c r="C862" s="120" t="s">
        <v>2744</v>
      </c>
      <c r="D862" s="110"/>
      <c r="E862" s="108" t="s">
        <v>1198</v>
      </c>
      <c r="F862" s="114"/>
      <c r="G862" s="120" t="s">
        <v>1458</v>
      </c>
      <c r="H862" s="114"/>
      <c r="I862" s="111" t="n">
        <v>1740</v>
      </c>
      <c r="J862" s="110"/>
      <c r="K862" s="120" t="s">
        <v>2724</v>
      </c>
      <c r="L862" s="110"/>
      <c r="M862" s="112" t="n">
        <v>123</v>
      </c>
      <c r="N862" s="114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</row>
    <row r="863" customFormat="false" ht="15.75" hidden="false" customHeight="true" outlineLevel="0" collapsed="false">
      <c r="A863" s="108" t="s">
        <v>2745</v>
      </c>
      <c r="B863" s="114"/>
      <c r="C863" s="120" t="s">
        <v>2746</v>
      </c>
      <c r="D863" s="110"/>
      <c r="E863" s="108" t="s">
        <v>1198</v>
      </c>
      <c r="F863" s="114"/>
      <c r="G863" s="120" t="s">
        <v>1458</v>
      </c>
      <c r="H863" s="114"/>
      <c r="I863" s="111" t="n">
        <v>1740</v>
      </c>
      <c r="J863" s="110"/>
      <c r="K863" s="120" t="s">
        <v>2747</v>
      </c>
      <c r="L863" s="110"/>
      <c r="M863" s="112" t="n">
        <v>123</v>
      </c>
      <c r="N863" s="114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</row>
    <row r="864" customFormat="false" ht="15.75" hidden="false" customHeight="true" outlineLevel="0" collapsed="false">
      <c r="A864" s="108" t="s">
        <v>2748</v>
      </c>
      <c r="B864" s="114"/>
      <c r="C864" s="120" t="s">
        <v>2749</v>
      </c>
      <c r="D864" s="110"/>
      <c r="E864" s="108" t="s">
        <v>1198</v>
      </c>
      <c r="F864" s="114"/>
      <c r="G864" s="120" t="s">
        <v>1794</v>
      </c>
      <c r="H864" s="114"/>
      <c r="I864" s="111" t="n">
        <v>1740</v>
      </c>
      <c r="J864" s="110"/>
      <c r="K864" s="120" t="s">
        <v>2724</v>
      </c>
      <c r="L864" s="110"/>
      <c r="M864" s="112" t="n">
        <v>123</v>
      </c>
      <c r="N864" s="114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</row>
    <row r="865" customFormat="false" ht="15.75" hidden="false" customHeight="true" outlineLevel="0" collapsed="false">
      <c r="A865" s="108" t="s">
        <v>2750</v>
      </c>
      <c r="B865" s="114"/>
      <c r="C865" s="120" t="s">
        <v>2751</v>
      </c>
      <c r="D865" s="110"/>
      <c r="E865" s="108" t="s">
        <v>844</v>
      </c>
      <c r="F865" s="114"/>
      <c r="G865" s="120" t="s">
        <v>1046</v>
      </c>
      <c r="H865" s="114"/>
      <c r="I865" s="111" t="n">
        <v>1740</v>
      </c>
      <c r="J865" s="110"/>
      <c r="K865" s="120" t="s">
        <v>2724</v>
      </c>
      <c r="L865" s="110"/>
      <c r="M865" s="112" t="n">
        <v>123</v>
      </c>
      <c r="N865" s="114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</row>
    <row r="866" customFormat="false" ht="15.75" hidden="false" customHeight="true" outlineLevel="0" collapsed="false">
      <c r="A866" s="108" t="s">
        <v>2752</v>
      </c>
      <c r="B866" s="114"/>
      <c r="C866" s="120" t="s">
        <v>2753</v>
      </c>
      <c r="D866" s="110"/>
      <c r="E866" s="108" t="s">
        <v>1518</v>
      </c>
      <c r="F866" s="114"/>
      <c r="G866" s="120" t="s">
        <v>1519</v>
      </c>
      <c r="H866" s="114"/>
      <c r="I866" s="111" t="n">
        <v>1740</v>
      </c>
      <c r="J866" s="110"/>
      <c r="K866" s="120" t="s">
        <v>2747</v>
      </c>
      <c r="L866" s="110"/>
      <c r="M866" s="112" t="n">
        <v>123</v>
      </c>
      <c r="N866" s="114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</row>
    <row r="867" customFormat="false" ht="15.75" hidden="false" customHeight="true" outlineLevel="0" collapsed="false">
      <c r="A867" s="108" t="s">
        <v>2754</v>
      </c>
      <c r="B867" s="114"/>
      <c r="C867" s="120" t="s">
        <v>2755</v>
      </c>
      <c r="D867" s="110"/>
      <c r="E867" s="108" t="s">
        <v>1518</v>
      </c>
      <c r="F867" s="114"/>
      <c r="G867" s="120" t="s">
        <v>1519</v>
      </c>
      <c r="H867" s="114"/>
      <c r="I867" s="111" t="n">
        <v>1740</v>
      </c>
      <c r="J867" s="110"/>
      <c r="K867" s="120" t="s">
        <v>2747</v>
      </c>
      <c r="L867" s="110"/>
      <c r="M867" s="112" t="n">
        <v>123</v>
      </c>
      <c r="N867" s="114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</row>
    <row r="868" customFormat="false" ht="15.75" hidden="false" customHeight="true" outlineLevel="0" collapsed="false">
      <c r="A868" s="108" t="s">
        <v>2756</v>
      </c>
      <c r="B868" s="114"/>
      <c r="C868" s="120" t="s">
        <v>2757</v>
      </c>
      <c r="D868" s="110"/>
      <c r="E868" s="108" t="s">
        <v>1518</v>
      </c>
      <c r="F868" s="114"/>
      <c r="G868" s="120" t="s">
        <v>1519</v>
      </c>
      <c r="H868" s="114"/>
      <c r="I868" s="111" t="n">
        <v>1740</v>
      </c>
      <c r="J868" s="110"/>
      <c r="K868" s="120" t="s">
        <v>2724</v>
      </c>
      <c r="L868" s="110"/>
      <c r="M868" s="112" t="n">
        <v>123</v>
      </c>
      <c r="N868" s="114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</row>
    <row r="869" customFormat="false" ht="15.75" hidden="false" customHeight="true" outlineLevel="0" collapsed="false">
      <c r="A869" s="108" t="s">
        <v>2758</v>
      </c>
      <c r="B869" s="114"/>
      <c r="C869" s="120" t="s">
        <v>2759</v>
      </c>
      <c r="D869" s="110"/>
      <c r="E869" s="108" t="s">
        <v>1518</v>
      </c>
      <c r="F869" s="114"/>
      <c r="G869" s="120" t="s">
        <v>1519</v>
      </c>
      <c r="H869" s="114"/>
      <c r="I869" s="111" t="n">
        <v>1740</v>
      </c>
      <c r="J869" s="110"/>
      <c r="K869" s="120" t="s">
        <v>2724</v>
      </c>
      <c r="L869" s="110"/>
      <c r="M869" s="112" t="n">
        <v>123</v>
      </c>
      <c r="N869" s="114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</row>
    <row r="870" customFormat="false" ht="15.75" hidden="false" customHeight="true" outlineLevel="0" collapsed="false">
      <c r="A870" s="108" t="s">
        <v>2760</v>
      </c>
      <c r="B870" s="114"/>
      <c r="C870" s="120" t="s">
        <v>2761</v>
      </c>
      <c r="D870" s="110"/>
      <c r="E870" s="108" t="s">
        <v>844</v>
      </c>
      <c r="F870" s="114"/>
      <c r="G870" s="120" t="s">
        <v>1026</v>
      </c>
      <c r="H870" s="114"/>
      <c r="I870" s="111" t="n">
        <v>1799</v>
      </c>
      <c r="J870" s="110"/>
      <c r="K870" s="120" t="s">
        <v>2762</v>
      </c>
      <c r="L870" s="110"/>
      <c r="M870" s="112" t="n">
        <v>124</v>
      </c>
      <c r="N870" s="114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</row>
    <row r="871" customFormat="false" ht="15.75" hidden="false" customHeight="true" outlineLevel="0" collapsed="false">
      <c r="A871" s="108" t="s">
        <v>2763</v>
      </c>
      <c r="B871" s="114"/>
      <c r="C871" s="120" t="s">
        <v>2764</v>
      </c>
      <c r="D871" s="110"/>
      <c r="E871" s="108" t="s">
        <v>1518</v>
      </c>
      <c r="F871" s="114"/>
      <c r="G871" s="120" t="s">
        <v>1527</v>
      </c>
      <c r="H871" s="114"/>
      <c r="I871" s="111" t="n">
        <v>1799</v>
      </c>
      <c r="J871" s="110"/>
      <c r="K871" s="120" t="s">
        <v>2762</v>
      </c>
      <c r="L871" s="110"/>
      <c r="M871" s="112" t="n">
        <v>124</v>
      </c>
      <c r="N871" s="114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</row>
    <row r="872" customFormat="false" ht="15.75" hidden="false" customHeight="true" outlineLevel="0" collapsed="false">
      <c r="A872" s="108" t="s">
        <v>2765</v>
      </c>
      <c r="B872" s="114"/>
      <c r="C872" s="120" t="s">
        <v>2766</v>
      </c>
      <c r="D872" s="110"/>
      <c r="E872" s="108" t="s">
        <v>1518</v>
      </c>
      <c r="F872" s="114"/>
      <c r="G872" s="120" t="s">
        <v>1527</v>
      </c>
      <c r="H872" s="114"/>
      <c r="I872" s="111" t="n">
        <v>1799</v>
      </c>
      <c r="J872" s="110"/>
      <c r="K872" s="120" t="s">
        <v>2762</v>
      </c>
      <c r="L872" s="110"/>
      <c r="M872" s="112" t="n">
        <v>124</v>
      </c>
      <c r="N872" s="114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</row>
    <row r="873" customFormat="false" ht="15.75" hidden="false" customHeight="true" outlineLevel="0" collapsed="false">
      <c r="A873" s="108" t="s">
        <v>2767</v>
      </c>
      <c r="B873" s="114"/>
      <c r="C873" s="120" t="s">
        <v>2768</v>
      </c>
      <c r="D873" s="110"/>
      <c r="E873" s="108" t="s">
        <v>1518</v>
      </c>
      <c r="F873" s="114"/>
      <c r="G873" s="120" t="s">
        <v>1519</v>
      </c>
      <c r="H873" s="114"/>
      <c r="I873" s="111" t="n">
        <v>1799</v>
      </c>
      <c r="J873" s="110"/>
      <c r="K873" s="120" t="s">
        <v>2769</v>
      </c>
      <c r="L873" s="110"/>
      <c r="M873" s="112" t="n">
        <v>124</v>
      </c>
      <c r="N873" s="114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</row>
    <row r="874" customFormat="false" ht="15.75" hidden="false" customHeight="true" outlineLevel="0" collapsed="false">
      <c r="A874" s="108" t="s">
        <v>2770</v>
      </c>
      <c r="B874" s="114"/>
      <c r="C874" s="120" t="s">
        <v>2771</v>
      </c>
      <c r="D874" s="110"/>
      <c r="E874" s="108" t="s">
        <v>1518</v>
      </c>
      <c r="F874" s="114"/>
      <c r="G874" s="120" t="s">
        <v>1519</v>
      </c>
      <c r="H874" s="114"/>
      <c r="I874" s="111" t="n">
        <v>1799</v>
      </c>
      <c r="J874" s="110"/>
      <c r="K874" s="120" t="s">
        <v>2769</v>
      </c>
      <c r="L874" s="110"/>
      <c r="M874" s="112" t="n">
        <v>124</v>
      </c>
      <c r="N874" s="114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</row>
    <row r="875" customFormat="false" ht="15.75" hidden="false" customHeight="true" outlineLevel="0" collapsed="false">
      <c r="A875" s="108" t="s">
        <v>2772</v>
      </c>
      <c r="B875" s="114"/>
      <c r="C875" s="120" t="s">
        <v>2773</v>
      </c>
      <c r="D875" s="110"/>
      <c r="E875" s="108" t="s">
        <v>1518</v>
      </c>
      <c r="F875" s="114"/>
      <c r="G875" s="120" t="s">
        <v>1519</v>
      </c>
      <c r="H875" s="114"/>
      <c r="I875" s="111" t="n">
        <v>1799</v>
      </c>
      <c r="J875" s="110"/>
      <c r="K875" s="120" t="s">
        <v>2762</v>
      </c>
      <c r="L875" s="110"/>
      <c r="M875" s="112" t="n">
        <v>124</v>
      </c>
      <c r="N875" s="114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</row>
    <row r="876" customFormat="false" ht="15.75" hidden="false" customHeight="true" outlineLevel="0" collapsed="false">
      <c r="A876" s="108" t="s">
        <v>2774</v>
      </c>
      <c r="B876" s="114"/>
      <c r="C876" s="120" t="s">
        <v>2775</v>
      </c>
      <c r="D876" s="110"/>
      <c r="E876" s="108" t="s">
        <v>1518</v>
      </c>
      <c r="F876" s="114"/>
      <c r="G876" s="120" t="s">
        <v>1519</v>
      </c>
      <c r="H876" s="114"/>
      <c r="I876" s="111" t="n">
        <v>1799</v>
      </c>
      <c r="J876" s="110"/>
      <c r="K876" s="120" t="s">
        <v>2769</v>
      </c>
      <c r="L876" s="110"/>
      <c r="M876" s="112" t="n">
        <v>124</v>
      </c>
      <c r="N876" s="114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</row>
    <row r="877" customFormat="false" ht="15.75" hidden="false" customHeight="true" outlineLevel="0" collapsed="false">
      <c r="A877" s="108" t="s">
        <v>2776</v>
      </c>
      <c r="B877" s="114"/>
      <c r="C877" s="120" t="s">
        <v>2777</v>
      </c>
      <c r="D877" s="110"/>
      <c r="E877" s="108" t="s">
        <v>1518</v>
      </c>
      <c r="F877" s="114"/>
      <c r="G877" s="120" t="s">
        <v>1519</v>
      </c>
      <c r="H877" s="114"/>
      <c r="I877" s="111" t="n">
        <v>1799</v>
      </c>
      <c r="J877" s="110"/>
      <c r="K877" s="120" t="s">
        <v>2769</v>
      </c>
      <c r="L877" s="110"/>
      <c r="M877" s="112" t="n">
        <v>124</v>
      </c>
      <c r="N877" s="114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</row>
    <row r="878" customFormat="false" ht="15.75" hidden="false" customHeight="true" outlineLevel="0" collapsed="false">
      <c r="A878" s="108" t="s">
        <v>2778</v>
      </c>
      <c r="B878" s="114"/>
      <c r="C878" s="120" t="s">
        <v>2779</v>
      </c>
      <c r="D878" s="110"/>
      <c r="E878" s="108" t="s">
        <v>844</v>
      </c>
      <c r="F878" s="114"/>
      <c r="G878" s="120" t="s">
        <v>913</v>
      </c>
      <c r="H878" s="114"/>
      <c r="I878" s="111" t="n">
        <v>2741</v>
      </c>
      <c r="J878" s="110"/>
      <c r="K878" s="120" t="s">
        <v>2780</v>
      </c>
      <c r="L878" s="110"/>
      <c r="M878" s="112" t="n">
        <v>125</v>
      </c>
      <c r="N878" s="114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</row>
    <row r="879" customFormat="false" ht="15.75" hidden="false" customHeight="true" outlineLevel="0" collapsed="false">
      <c r="A879" s="108" t="s">
        <v>2781</v>
      </c>
      <c r="B879" s="114"/>
      <c r="C879" s="120" t="s">
        <v>2782</v>
      </c>
      <c r="D879" s="110"/>
      <c r="E879" s="108" t="s">
        <v>844</v>
      </c>
      <c r="F879" s="114"/>
      <c r="G879" s="120" t="s">
        <v>913</v>
      </c>
      <c r="H879" s="114"/>
      <c r="I879" s="111" t="n">
        <v>2741</v>
      </c>
      <c r="J879" s="110"/>
      <c r="K879" s="120" t="s">
        <v>2780</v>
      </c>
      <c r="L879" s="110"/>
      <c r="M879" s="112" t="n">
        <v>125</v>
      </c>
      <c r="N879" s="114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</row>
    <row r="880" customFormat="false" ht="15.75" hidden="false" customHeight="true" outlineLevel="0" collapsed="false">
      <c r="A880" s="108" t="s">
        <v>2783</v>
      </c>
      <c r="B880" s="114"/>
      <c r="C880" s="120" t="s">
        <v>2784</v>
      </c>
      <c r="D880" s="110"/>
      <c r="E880" s="108" t="s">
        <v>844</v>
      </c>
      <c r="F880" s="114"/>
      <c r="G880" s="120" t="s">
        <v>913</v>
      </c>
      <c r="H880" s="114"/>
      <c r="I880" s="111" t="n">
        <v>2741</v>
      </c>
      <c r="J880" s="110"/>
      <c r="K880" s="120" t="s">
        <v>2780</v>
      </c>
      <c r="L880" s="110"/>
      <c r="M880" s="112" t="n">
        <v>125</v>
      </c>
      <c r="N880" s="114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</row>
    <row r="881" customFormat="false" ht="15.75" hidden="false" customHeight="true" outlineLevel="0" collapsed="false">
      <c r="A881" s="108" t="s">
        <v>2785</v>
      </c>
      <c r="B881" s="114"/>
      <c r="C881" s="120" t="s">
        <v>2786</v>
      </c>
      <c r="D881" s="110"/>
      <c r="E881" s="108" t="s">
        <v>844</v>
      </c>
      <c r="F881" s="114"/>
      <c r="G881" s="120" t="s">
        <v>913</v>
      </c>
      <c r="H881" s="114"/>
      <c r="I881" s="111" t="n">
        <v>2741</v>
      </c>
      <c r="J881" s="110"/>
      <c r="K881" s="120" t="s">
        <v>2780</v>
      </c>
      <c r="L881" s="110"/>
      <c r="M881" s="112" t="n">
        <v>125</v>
      </c>
      <c r="N881" s="114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</row>
    <row r="882" customFormat="false" ht="15.75" hidden="false" customHeight="true" outlineLevel="0" collapsed="false">
      <c r="A882" s="108" t="s">
        <v>2787</v>
      </c>
      <c r="B882" s="114"/>
      <c r="C882" s="120" t="s">
        <v>2788</v>
      </c>
      <c r="D882" s="110"/>
      <c r="E882" s="108" t="s">
        <v>844</v>
      </c>
      <c r="F882" s="114"/>
      <c r="G882" s="120" t="s">
        <v>913</v>
      </c>
      <c r="H882" s="114"/>
      <c r="I882" s="111" t="n">
        <v>2741</v>
      </c>
      <c r="J882" s="110"/>
      <c r="K882" s="120" t="s">
        <v>2780</v>
      </c>
      <c r="L882" s="110"/>
      <c r="M882" s="112" t="n">
        <v>125</v>
      </c>
      <c r="N882" s="114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</row>
    <row r="883" customFormat="false" ht="15.75" hidden="false" customHeight="true" outlineLevel="0" collapsed="false">
      <c r="A883" s="108" t="s">
        <v>2789</v>
      </c>
      <c r="B883" s="114"/>
      <c r="C883" s="120" t="s">
        <v>2790</v>
      </c>
      <c r="D883" s="110"/>
      <c r="E883" s="108" t="s">
        <v>808</v>
      </c>
      <c r="F883" s="114"/>
      <c r="G883" s="120" t="s">
        <v>2791</v>
      </c>
      <c r="H883" s="114"/>
      <c r="I883" s="111" t="n">
        <v>2741</v>
      </c>
      <c r="J883" s="110"/>
      <c r="K883" s="120" t="s">
        <v>2780</v>
      </c>
      <c r="L883" s="110"/>
      <c r="M883" s="112" t="n">
        <v>125</v>
      </c>
      <c r="N883" s="114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</row>
    <row r="884" customFormat="false" ht="15.75" hidden="false" customHeight="true" outlineLevel="0" collapsed="false">
      <c r="A884" s="108" t="s">
        <v>2792</v>
      </c>
      <c r="B884" s="114"/>
      <c r="C884" s="120" t="s">
        <v>2793</v>
      </c>
      <c r="D884" s="110"/>
      <c r="E884" s="108" t="s">
        <v>808</v>
      </c>
      <c r="F884" s="114"/>
      <c r="G884" s="120" t="s">
        <v>2791</v>
      </c>
      <c r="H884" s="114"/>
      <c r="I884" s="111" t="n">
        <v>2741</v>
      </c>
      <c r="J884" s="110"/>
      <c r="K884" s="120" t="s">
        <v>2780</v>
      </c>
      <c r="L884" s="110"/>
      <c r="M884" s="112" t="n">
        <v>125</v>
      </c>
      <c r="N884" s="114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</row>
    <row r="885" customFormat="false" ht="15.75" hidden="false" customHeight="true" outlineLevel="0" collapsed="false">
      <c r="A885" s="108" t="s">
        <v>2794</v>
      </c>
      <c r="B885" s="114"/>
      <c r="C885" s="120" t="s">
        <v>2795</v>
      </c>
      <c r="D885" s="110"/>
      <c r="E885" s="108" t="s">
        <v>808</v>
      </c>
      <c r="F885" s="114"/>
      <c r="G885" s="120" t="s">
        <v>2791</v>
      </c>
      <c r="H885" s="114"/>
      <c r="I885" s="111" t="n">
        <v>2741</v>
      </c>
      <c r="J885" s="110"/>
      <c r="K885" s="120" t="s">
        <v>2780</v>
      </c>
      <c r="L885" s="110"/>
      <c r="M885" s="112" t="n">
        <v>125</v>
      </c>
      <c r="N885" s="114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</row>
    <row r="886" customFormat="false" ht="15.75" hidden="false" customHeight="true" outlineLevel="0" collapsed="false">
      <c r="A886" s="108" t="s">
        <v>2796</v>
      </c>
      <c r="B886" s="114"/>
      <c r="C886" s="120" t="s">
        <v>2797</v>
      </c>
      <c r="D886" s="110"/>
      <c r="E886" s="108" t="s">
        <v>808</v>
      </c>
      <c r="F886" s="114"/>
      <c r="G886" s="120" t="s">
        <v>2791</v>
      </c>
      <c r="H886" s="114"/>
      <c r="I886" s="111" t="n">
        <v>2741</v>
      </c>
      <c r="J886" s="110"/>
      <c r="K886" s="120" t="s">
        <v>2780</v>
      </c>
      <c r="L886" s="110"/>
      <c r="M886" s="112" t="n">
        <v>125</v>
      </c>
      <c r="N886" s="114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</row>
    <row r="887" customFormat="false" ht="15.75" hidden="false" customHeight="true" outlineLevel="0" collapsed="false">
      <c r="A887" s="108" t="s">
        <v>2798</v>
      </c>
      <c r="B887" s="114"/>
      <c r="C887" s="120" t="s">
        <v>2799</v>
      </c>
      <c r="D887" s="110"/>
      <c r="E887" s="108" t="s">
        <v>808</v>
      </c>
      <c r="F887" s="114"/>
      <c r="G887" s="120" t="s">
        <v>2791</v>
      </c>
      <c r="H887" s="114"/>
      <c r="I887" s="111" t="n">
        <v>2741</v>
      </c>
      <c r="J887" s="110"/>
      <c r="K887" s="120" t="s">
        <v>2780</v>
      </c>
      <c r="L887" s="110"/>
      <c r="M887" s="112" t="n">
        <v>125</v>
      </c>
      <c r="N887" s="114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</row>
    <row r="888" customFormat="false" ht="15.75" hidden="false" customHeight="true" outlineLevel="0" collapsed="false">
      <c r="A888" s="108" t="s">
        <v>2800</v>
      </c>
      <c r="B888" s="114"/>
      <c r="C888" s="120" t="s">
        <v>2801</v>
      </c>
      <c r="D888" s="110"/>
      <c r="E888" s="108" t="s">
        <v>808</v>
      </c>
      <c r="F888" s="114"/>
      <c r="G888" s="120" t="s">
        <v>2791</v>
      </c>
      <c r="H888" s="114"/>
      <c r="I888" s="111" t="n">
        <v>2741</v>
      </c>
      <c r="J888" s="110"/>
      <c r="K888" s="120" t="s">
        <v>2780</v>
      </c>
      <c r="L888" s="110"/>
      <c r="M888" s="112" t="n">
        <v>125</v>
      </c>
      <c r="N888" s="114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</row>
    <row r="889" customFormat="false" ht="15.75" hidden="false" customHeight="true" outlineLevel="0" collapsed="false">
      <c r="A889" s="108" t="s">
        <v>2802</v>
      </c>
      <c r="B889" s="114"/>
      <c r="C889" s="120" t="s">
        <v>2803</v>
      </c>
      <c r="D889" s="110"/>
      <c r="E889" s="108" t="s">
        <v>808</v>
      </c>
      <c r="F889" s="114"/>
      <c r="G889" s="120" t="s">
        <v>2791</v>
      </c>
      <c r="H889" s="114"/>
      <c r="I889" s="111" t="n">
        <v>2741</v>
      </c>
      <c r="J889" s="110"/>
      <c r="K889" s="120" t="s">
        <v>2780</v>
      </c>
      <c r="L889" s="110"/>
      <c r="M889" s="112" t="n">
        <v>125</v>
      </c>
      <c r="N889" s="114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</row>
    <row r="890" customFormat="false" ht="15.75" hidden="false" customHeight="true" outlineLevel="0" collapsed="false">
      <c r="A890" s="108" t="s">
        <v>2804</v>
      </c>
      <c r="B890" s="114"/>
      <c r="C890" s="120" t="s">
        <v>2805</v>
      </c>
      <c r="D890" s="110"/>
      <c r="E890" s="108" t="s">
        <v>808</v>
      </c>
      <c r="F890" s="114"/>
      <c r="G890" s="120" t="s">
        <v>2791</v>
      </c>
      <c r="H890" s="114"/>
      <c r="I890" s="111" t="n">
        <v>2741</v>
      </c>
      <c r="J890" s="110"/>
      <c r="K890" s="120" t="s">
        <v>2780</v>
      </c>
      <c r="L890" s="110"/>
      <c r="M890" s="112" t="n">
        <v>125</v>
      </c>
      <c r="N890" s="114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</row>
    <row r="891" customFormat="false" ht="15.75" hidden="false" customHeight="true" outlineLevel="0" collapsed="false">
      <c r="A891" s="108" t="s">
        <v>2806</v>
      </c>
      <c r="B891" s="114"/>
      <c r="C891" s="120" t="s">
        <v>2807</v>
      </c>
      <c r="D891" s="110"/>
      <c r="E891" s="108" t="s">
        <v>808</v>
      </c>
      <c r="F891" s="114"/>
      <c r="G891" s="120" t="s">
        <v>2791</v>
      </c>
      <c r="H891" s="114"/>
      <c r="I891" s="111" t="n">
        <v>2741</v>
      </c>
      <c r="J891" s="110"/>
      <c r="K891" s="120" t="s">
        <v>2780</v>
      </c>
      <c r="L891" s="110"/>
      <c r="M891" s="112" t="n">
        <v>125</v>
      </c>
      <c r="N891" s="114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</row>
    <row r="892" customFormat="false" ht="15.75" hidden="false" customHeight="true" outlineLevel="0" collapsed="false">
      <c r="A892" s="108" t="s">
        <v>2808</v>
      </c>
      <c r="B892" s="114"/>
      <c r="C892" s="120" t="s">
        <v>2809</v>
      </c>
      <c r="D892" s="110"/>
      <c r="E892" s="108" t="s">
        <v>808</v>
      </c>
      <c r="F892" s="114"/>
      <c r="G892" s="120" t="s">
        <v>2791</v>
      </c>
      <c r="H892" s="114"/>
      <c r="I892" s="111" t="n">
        <v>2741</v>
      </c>
      <c r="J892" s="110"/>
      <c r="K892" s="120" t="s">
        <v>2780</v>
      </c>
      <c r="L892" s="110"/>
      <c r="M892" s="112" t="n">
        <v>125</v>
      </c>
      <c r="N892" s="114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</row>
    <row r="893" customFormat="false" ht="15.75" hidden="false" customHeight="true" outlineLevel="0" collapsed="false">
      <c r="A893" s="108" t="s">
        <v>2810</v>
      </c>
      <c r="B893" s="114"/>
      <c r="C893" s="120" t="s">
        <v>2811</v>
      </c>
      <c r="D893" s="110"/>
      <c r="E893" s="108" t="s">
        <v>818</v>
      </c>
      <c r="F893" s="114"/>
      <c r="G893" s="120" t="s">
        <v>818</v>
      </c>
      <c r="H893" s="114"/>
      <c r="I893" s="111" t="n">
        <v>2741</v>
      </c>
      <c r="J893" s="110"/>
      <c r="K893" s="120" t="s">
        <v>2780</v>
      </c>
      <c r="L893" s="110"/>
      <c r="M893" s="112" t="n">
        <v>125</v>
      </c>
      <c r="N893" s="114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</row>
    <row r="894" customFormat="false" ht="15.75" hidden="false" customHeight="true" outlineLevel="0" collapsed="false">
      <c r="A894" s="108" t="s">
        <v>2812</v>
      </c>
      <c r="B894" s="114"/>
      <c r="C894" s="120" t="s">
        <v>2813</v>
      </c>
      <c r="D894" s="110"/>
      <c r="E894" s="108" t="s">
        <v>818</v>
      </c>
      <c r="F894" s="114"/>
      <c r="G894" s="120" t="s">
        <v>818</v>
      </c>
      <c r="H894" s="114"/>
      <c r="I894" s="111" t="n">
        <v>2741</v>
      </c>
      <c r="J894" s="110"/>
      <c r="K894" s="120" t="s">
        <v>2780</v>
      </c>
      <c r="L894" s="110"/>
      <c r="M894" s="112" t="n">
        <v>125</v>
      </c>
      <c r="N894" s="114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</row>
    <row r="895" customFormat="false" ht="15.75" hidden="false" customHeight="true" outlineLevel="0" collapsed="false">
      <c r="A895" s="108" t="s">
        <v>2814</v>
      </c>
      <c r="B895" s="114"/>
      <c r="C895" s="120" t="s">
        <v>2815</v>
      </c>
      <c r="D895" s="110"/>
      <c r="E895" s="108" t="s">
        <v>844</v>
      </c>
      <c r="F895" s="114"/>
      <c r="G895" s="120" t="s">
        <v>913</v>
      </c>
      <c r="H895" s="114"/>
      <c r="I895" s="111" t="n">
        <v>5045</v>
      </c>
      <c r="J895" s="110"/>
      <c r="K895" s="120" t="s">
        <v>2816</v>
      </c>
      <c r="L895" s="110"/>
      <c r="M895" s="112" t="n">
        <v>126</v>
      </c>
      <c r="N895" s="114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</row>
    <row r="896" customFormat="false" ht="15.75" hidden="false" customHeight="true" outlineLevel="0" collapsed="false">
      <c r="A896" s="108" t="s">
        <v>2817</v>
      </c>
      <c r="B896" s="114"/>
      <c r="C896" s="120" t="s">
        <v>2818</v>
      </c>
      <c r="D896" s="110"/>
      <c r="E896" s="108" t="s">
        <v>844</v>
      </c>
      <c r="F896" s="114"/>
      <c r="G896" s="120" t="s">
        <v>1018</v>
      </c>
      <c r="H896" s="114"/>
      <c r="I896" s="111" t="n">
        <v>5045</v>
      </c>
      <c r="J896" s="110"/>
      <c r="K896" s="120" t="s">
        <v>2816</v>
      </c>
      <c r="L896" s="110"/>
      <c r="M896" s="112" t="n">
        <v>126</v>
      </c>
      <c r="N896" s="114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</row>
    <row r="897" customFormat="false" ht="15.75" hidden="false" customHeight="true" outlineLevel="0" collapsed="false">
      <c r="A897" s="108" t="s">
        <v>2819</v>
      </c>
      <c r="B897" s="114"/>
      <c r="C897" s="120" t="s">
        <v>2820</v>
      </c>
      <c r="D897" s="110"/>
      <c r="E897" s="108" t="s">
        <v>844</v>
      </c>
      <c r="F897" s="114"/>
      <c r="G897" s="120" t="s">
        <v>1018</v>
      </c>
      <c r="H897" s="114"/>
      <c r="I897" s="111" t="n">
        <v>5045</v>
      </c>
      <c r="J897" s="110"/>
      <c r="K897" s="120" t="s">
        <v>2816</v>
      </c>
      <c r="L897" s="110"/>
      <c r="M897" s="112" t="n">
        <v>126</v>
      </c>
      <c r="N897" s="114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</row>
    <row r="898" customFormat="false" ht="15.75" hidden="false" customHeight="true" outlineLevel="0" collapsed="false">
      <c r="A898" s="108" t="s">
        <v>2821</v>
      </c>
      <c r="B898" s="114"/>
      <c r="C898" s="120" t="s">
        <v>2822</v>
      </c>
      <c r="D898" s="110"/>
      <c r="E898" s="108" t="s">
        <v>821</v>
      </c>
      <c r="F898" s="114"/>
      <c r="G898" s="120" t="s">
        <v>830</v>
      </c>
      <c r="H898" s="114"/>
      <c r="I898" s="111" t="n">
        <v>5045</v>
      </c>
      <c r="J898" s="110"/>
      <c r="K898" s="120" t="s">
        <v>2816</v>
      </c>
      <c r="L898" s="110"/>
      <c r="M898" s="112" t="n">
        <v>126</v>
      </c>
      <c r="N898" s="114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</row>
    <row r="899" customFormat="false" ht="15.75" hidden="false" customHeight="true" outlineLevel="0" collapsed="false">
      <c r="A899" s="108" t="s">
        <v>2823</v>
      </c>
      <c r="B899" s="114"/>
      <c r="C899" s="120" t="s">
        <v>2824</v>
      </c>
      <c r="D899" s="110"/>
      <c r="E899" s="108" t="s">
        <v>821</v>
      </c>
      <c r="F899" s="114"/>
      <c r="G899" s="120" t="s">
        <v>830</v>
      </c>
      <c r="H899" s="114"/>
      <c r="I899" s="111" t="n">
        <v>5045</v>
      </c>
      <c r="J899" s="110"/>
      <c r="K899" s="120" t="s">
        <v>2816</v>
      </c>
      <c r="L899" s="110"/>
      <c r="M899" s="112" t="n">
        <v>126</v>
      </c>
      <c r="N899" s="114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</row>
    <row r="900" customFormat="false" ht="15.75" hidden="false" customHeight="true" outlineLevel="0" collapsed="false">
      <c r="A900" s="108" t="s">
        <v>2825</v>
      </c>
      <c r="B900" s="114"/>
      <c r="C900" s="120" t="s">
        <v>2826</v>
      </c>
      <c r="D900" s="110"/>
      <c r="E900" s="108" t="s">
        <v>1198</v>
      </c>
      <c r="F900" s="114"/>
      <c r="G900" s="120" t="s">
        <v>1764</v>
      </c>
      <c r="H900" s="114"/>
      <c r="I900" s="111" t="n">
        <v>5094</v>
      </c>
      <c r="J900" s="110"/>
      <c r="K900" s="120" t="s">
        <v>2827</v>
      </c>
      <c r="L900" s="110"/>
      <c r="M900" s="112" t="n">
        <v>127</v>
      </c>
      <c r="N900" s="114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</row>
    <row r="901" customFormat="false" ht="15.75" hidden="false" customHeight="true" outlineLevel="0" collapsed="false">
      <c r="A901" s="108" t="s">
        <v>2828</v>
      </c>
      <c r="B901" s="114"/>
      <c r="C901" s="120" t="s">
        <v>2829</v>
      </c>
      <c r="D901" s="110"/>
      <c r="E901" s="108" t="s">
        <v>1198</v>
      </c>
      <c r="F901" s="114"/>
      <c r="G901" s="120" t="s">
        <v>1764</v>
      </c>
      <c r="H901" s="114"/>
      <c r="I901" s="111" t="n">
        <v>5094</v>
      </c>
      <c r="J901" s="110"/>
      <c r="K901" s="120" t="s">
        <v>2827</v>
      </c>
      <c r="L901" s="110"/>
      <c r="M901" s="112" t="n">
        <v>127</v>
      </c>
      <c r="N901" s="114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</row>
    <row r="902" customFormat="false" ht="15.75" hidden="false" customHeight="true" outlineLevel="0" collapsed="false">
      <c r="A902" s="108" t="s">
        <v>2830</v>
      </c>
      <c r="B902" s="114"/>
      <c r="C902" s="120" t="s">
        <v>2831</v>
      </c>
      <c r="D902" s="110"/>
      <c r="E902" s="108" t="s">
        <v>1198</v>
      </c>
      <c r="F902" s="114"/>
      <c r="G902" s="120" t="s">
        <v>1458</v>
      </c>
      <c r="H902" s="114"/>
      <c r="I902" s="111" t="n">
        <v>5094</v>
      </c>
      <c r="J902" s="110"/>
      <c r="K902" s="120" t="s">
        <v>2827</v>
      </c>
      <c r="L902" s="110"/>
      <c r="M902" s="112" t="n">
        <v>127</v>
      </c>
      <c r="N902" s="114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</row>
    <row r="903" customFormat="false" ht="15.75" hidden="false" customHeight="true" outlineLevel="0" collapsed="false">
      <c r="A903" s="108" t="s">
        <v>2832</v>
      </c>
      <c r="B903" s="114"/>
      <c r="C903" s="120" t="s">
        <v>2833</v>
      </c>
      <c r="D903" s="110"/>
      <c r="E903" s="108" t="s">
        <v>844</v>
      </c>
      <c r="F903" s="114"/>
      <c r="G903" s="120" t="s">
        <v>1018</v>
      </c>
      <c r="H903" s="114"/>
      <c r="I903" s="111" t="n">
        <v>5094</v>
      </c>
      <c r="J903" s="110"/>
      <c r="K903" s="120" t="s">
        <v>2827</v>
      </c>
      <c r="L903" s="110"/>
      <c r="M903" s="112" t="n">
        <v>127</v>
      </c>
      <c r="N903" s="114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</row>
    <row r="904" customFormat="false" ht="15.75" hidden="false" customHeight="true" outlineLevel="0" collapsed="false">
      <c r="A904" s="108" t="s">
        <v>2834</v>
      </c>
      <c r="B904" s="114"/>
      <c r="C904" s="120" t="s">
        <v>2835</v>
      </c>
      <c r="D904" s="110"/>
      <c r="E904" s="108" t="s">
        <v>844</v>
      </c>
      <c r="F904" s="114"/>
      <c r="G904" s="120" t="s">
        <v>917</v>
      </c>
      <c r="H904" s="114"/>
      <c r="I904" s="111" t="n">
        <v>5094</v>
      </c>
      <c r="J904" s="110"/>
      <c r="K904" s="120" t="s">
        <v>2827</v>
      </c>
      <c r="L904" s="110"/>
      <c r="M904" s="112" t="n">
        <v>127</v>
      </c>
      <c r="N904" s="114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</row>
    <row r="905" customFormat="false" ht="15.75" hidden="false" customHeight="true" outlineLevel="0" collapsed="false">
      <c r="A905" s="108" t="s">
        <v>2836</v>
      </c>
      <c r="B905" s="114"/>
      <c r="C905" s="120" t="s">
        <v>2837</v>
      </c>
      <c r="D905" s="110"/>
      <c r="E905" s="108" t="s">
        <v>844</v>
      </c>
      <c r="F905" s="114"/>
      <c r="G905" s="120" t="s">
        <v>917</v>
      </c>
      <c r="H905" s="114"/>
      <c r="I905" s="111" t="n">
        <v>5094</v>
      </c>
      <c r="J905" s="110"/>
      <c r="K905" s="120" t="s">
        <v>2827</v>
      </c>
      <c r="L905" s="110"/>
      <c r="M905" s="112" t="n">
        <v>127</v>
      </c>
      <c r="N905" s="114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</row>
    <row r="906" customFormat="false" ht="15.75" hidden="false" customHeight="true" outlineLevel="0" collapsed="false">
      <c r="A906" s="108" t="s">
        <v>2838</v>
      </c>
      <c r="B906" s="114"/>
      <c r="C906" s="120" t="s">
        <v>2839</v>
      </c>
      <c r="D906" s="110"/>
      <c r="E906" s="108" t="s">
        <v>844</v>
      </c>
      <c r="F906" s="114"/>
      <c r="G906" s="120" t="s">
        <v>917</v>
      </c>
      <c r="H906" s="114"/>
      <c r="I906" s="111" t="n">
        <v>5094</v>
      </c>
      <c r="J906" s="110"/>
      <c r="K906" s="120" t="s">
        <v>2827</v>
      </c>
      <c r="L906" s="110"/>
      <c r="M906" s="112" t="n">
        <v>127</v>
      </c>
      <c r="N906" s="114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</row>
    <row r="907" customFormat="false" ht="15.75" hidden="false" customHeight="true" outlineLevel="0" collapsed="false">
      <c r="A907" s="108" t="s">
        <v>2840</v>
      </c>
      <c r="B907" s="114"/>
      <c r="C907" s="120" t="s">
        <v>2841</v>
      </c>
      <c r="D907" s="110"/>
      <c r="E907" s="108" t="s">
        <v>844</v>
      </c>
      <c r="F907" s="114"/>
      <c r="G907" s="120" t="s">
        <v>917</v>
      </c>
      <c r="H907" s="114"/>
      <c r="I907" s="111" t="n">
        <v>5094</v>
      </c>
      <c r="J907" s="110"/>
      <c r="K907" s="120" t="s">
        <v>2827</v>
      </c>
      <c r="L907" s="110"/>
      <c r="M907" s="112" t="n">
        <v>127</v>
      </c>
      <c r="N907" s="114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</row>
    <row r="908" customFormat="false" ht="15.75" hidden="false" customHeight="true" outlineLevel="0" collapsed="false">
      <c r="A908" s="108" t="s">
        <v>2842</v>
      </c>
      <c r="B908" s="114"/>
      <c r="C908" s="120" t="s">
        <v>2843</v>
      </c>
      <c r="D908" s="110"/>
      <c r="E908" s="108" t="s">
        <v>821</v>
      </c>
      <c r="F908" s="114"/>
      <c r="G908" s="120" t="s">
        <v>830</v>
      </c>
      <c r="H908" s="114"/>
      <c r="I908" s="111" t="n">
        <v>5094</v>
      </c>
      <c r="J908" s="110"/>
      <c r="K908" s="120" t="s">
        <v>2827</v>
      </c>
      <c r="L908" s="110"/>
      <c r="M908" s="112" t="n">
        <v>127</v>
      </c>
      <c r="N908" s="114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</row>
    <row r="909" customFormat="false" ht="15.75" hidden="false" customHeight="true" outlineLevel="0" collapsed="false">
      <c r="A909" s="108" t="s">
        <v>2844</v>
      </c>
      <c r="B909" s="114"/>
      <c r="C909" s="120" t="s">
        <v>2845</v>
      </c>
      <c r="D909" s="110"/>
      <c r="E909" s="108" t="s">
        <v>844</v>
      </c>
      <c r="F909" s="114"/>
      <c r="G909" s="120" t="s">
        <v>1034</v>
      </c>
      <c r="H909" s="114"/>
      <c r="I909" s="111" t="n">
        <v>5211</v>
      </c>
      <c r="J909" s="110"/>
      <c r="K909" s="120" t="s">
        <v>2846</v>
      </c>
      <c r="L909" s="110"/>
      <c r="M909" s="112" t="n">
        <v>128</v>
      </c>
      <c r="N909" s="114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</row>
    <row r="910" customFormat="false" ht="15.75" hidden="false" customHeight="true" outlineLevel="0" collapsed="false">
      <c r="A910" s="108" t="s">
        <v>2847</v>
      </c>
      <c r="B910" s="114"/>
      <c r="C910" s="120" t="s">
        <v>2848</v>
      </c>
      <c r="D910" s="110"/>
      <c r="E910" s="108" t="s">
        <v>844</v>
      </c>
      <c r="F910" s="114"/>
      <c r="G910" s="120" t="s">
        <v>1034</v>
      </c>
      <c r="H910" s="114"/>
      <c r="I910" s="111" t="n">
        <v>5211</v>
      </c>
      <c r="J910" s="110"/>
      <c r="K910" s="120" t="s">
        <v>2846</v>
      </c>
      <c r="L910" s="110"/>
      <c r="M910" s="112" t="n">
        <v>128</v>
      </c>
      <c r="N910" s="114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</row>
    <row r="911" customFormat="false" ht="15.75" hidden="false" customHeight="true" outlineLevel="0" collapsed="false">
      <c r="A911" s="108" t="s">
        <v>2849</v>
      </c>
      <c r="B911" s="114"/>
      <c r="C911" s="120" t="s">
        <v>2850</v>
      </c>
      <c r="D911" s="110"/>
      <c r="E911" s="108" t="s">
        <v>844</v>
      </c>
      <c r="F911" s="114"/>
      <c r="G911" s="120" t="s">
        <v>1034</v>
      </c>
      <c r="H911" s="114"/>
      <c r="I911" s="111" t="n">
        <v>5211</v>
      </c>
      <c r="J911" s="110"/>
      <c r="K911" s="120" t="s">
        <v>2846</v>
      </c>
      <c r="L911" s="110"/>
      <c r="M911" s="112" t="n">
        <v>128</v>
      </c>
      <c r="N911" s="114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</row>
    <row r="912" customFormat="false" ht="15.75" hidden="false" customHeight="true" outlineLevel="0" collapsed="false">
      <c r="A912" s="108" t="s">
        <v>2851</v>
      </c>
      <c r="B912" s="114"/>
      <c r="C912" s="120" t="s">
        <v>2852</v>
      </c>
      <c r="D912" s="110"/>
      <c r="E912" s="108" t="s">
        <v>844</v>
      </c>
      <c r="F912" s="114"/>
      <c r="G912" s="120" t="s">
        <v>1034</v>
      </c>
      <c r="H912" s="114"/>
      <c r="I912" s="111" t="n">
        <v>5211</v>
      </c>
      <c r="J912" s="110"/>
      <c r="K912" s="120" t="s">
        <v>2846</v>
      </c>
      <c r="L912" s="110"/>
      <c r="M912" s="112" t="n">
        <v>128</v>
      </c>
      <c r="N912" s="114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</row>
    <row r="913" customFormat="false" ht="15.75" hidden="false" customHeight="true" outlineLevel="0" collapsed="false">
      <c r="A913" s="108" t="s">
        <v>2853</v>
      </c>
      <c r="B913" s="114"/>
      <c r="C913" s="120" t="s">
        <v>2854</v>
      </c>
      <c r="D913" s="110"/>
      <c r="E913" s="108" t="s">
        <v>844</v>
      </c>
      <c r="F913" s="114"/>
      <c r="G913" s="120" t="s">
        <v>1034</v>
      </c>
      <c r="H913" s="114"/>
      <c r="I913" s="111" t="n">
        <v>5211</v>
      </c>
      <c r="J913" s="110"/>
      <c r="K913" s="120" t="s">
        <v>2846</v>
      </c>
      <c r="L913" s="110"/>
      <c r="M913" s="112" t="n">
        <v>128</v>
      </c>
      <c r="N913" s="114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</row>
    <row r="914" customFormat="false" ht="15.75" hidden="false" customHeight="true" outlineLevel="0" collapsed="false">
      <c r="A914" s="108" t="s">
        <v>2855</v>
      </c>
      <c r="B914" s="114"/>
      <c r="C914" s="120" t="s">
        <v>2856</v>
      </c>
      <c r="D914" s="110"/>
      <c r="E914" s="108" t="s">
        <v>821</v>
      </c>
      <c r="F914" s="114"/>
      <c r="G914" s="120" t="s">
        <v>822</v>
      </c>
      <c r="H914" s="114"/>
      <c r="I914" s="111" t="n">
        <v>5211</v>
      </c>
      <c r="J914" s="110"/>
      <c r="K914" s="120" t="s">
        <v>2857</v>
      </c>
      <c r="L914" s="110"/>
      <c r="M914" s="112" t="n">
        <v>128</v>
      </c>
      <c r="N914" s="114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</row>
    <row r="915" customFormat="false" ht="15.75" hidden="false" customHeight="true" outlineLevel="0" collapsed="false">
      <c r="A915" s="108" t="s">
        <v>2858</v>
      </c>
      <c r="B915" s="114"/>
      <c r="C915" s="120" t="s">
        <v>2859</v>
      </c>
      <c r="D915" s="110"/>
      <c r="E915" s="108" t="s">
        <v>821</v>
      </c>
      <c r="F915" s="114"/>
      <c r="G915" s="120" t="s">
        <v>822</v>
      </c>
      <c r="H915" s="114"/>
      <c r="I915" s="111" t="n">
        <v>5211</v>
      </c>
      <c r="J915" s="110"/>
      <c r="K915" s="120" t="s">
        <v>2857</v>
      </c>
      <c r="L915" s="110"/>
      <c r="M915" s="112" t="n">
        <v>128</v>
      </c>
      <c r="N915" s="114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</row>
    <row r="916" customFormat="false" ht="15.75" hidden="false" customHeight="true" outlineLevel="0" collapsed="false">
      <c r="A916" s="108" t="s">
        <v>2860</v>
      </c>
      <c r="B916" s="114"/>
      <c r="C916" s="120" t="s">
        <v>2861</v>
      </c>
      <c r="D916" s="110"/>
      <c r="E916" s="108" t="s">
        <v>821</v>
      </c>
      <c r="F916" s="114"/>
      <c r="G916" s="120" t="s">
        <v>822</v>
      </c>
      <c r="H916" s="114"/>
      <c r="I916" s="111" t="n">
        <v>5211</v>
      </c>
      <c r="J916" s="110"/>
      <c r="K916" s="120" t="s">
        <v>2857</v>
      </c>
      <c r="L916" s="110"/>
      <c r="M916" s="112" t="n">
        <v>128</v>
      </c>
      <c r="N916" s="114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</row>
    <row r="917" customFormat="false" ht="15.75" hidden="false" customHeight="true" outlineLevel="0" collapsed="false">
      <c r="A917" s="108" t="s">
        <v>2862</v>
      </c>
      <c r="B917" s="114"/>
      <c r="C917" s="120" t="s">
        <v>2863</v>
      </c>
      <c r="D917" s="110"/>
      <c r="E917" s="108" t="s">
        <v>821</v>
      </c>
      <c r="F917" s="114"/>
      <c r="G917" s="120" t="s">
        <v>822</v>
      </c>
      <c r="H917" s="114"/>
      <c r="I917" s="111" t="n">
        <v>5211</v>
      </c>
      <c r="J917" s="110"/>
      <c r="K917" s="120" t="s">
        <v>2857</v>
      </c>
      <c r="L917" s="110"/>
      <c r="M917" s="112" t="n">
        <v>128</v>
      </c>
      <c r="N917" s="114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</row>
    <row r="918" customFormat="false" ht="15.75" hidden="false" customHeight="true" outlineLevel="0" collapsed="false">
      <c r="A918" s="108" t="s">
        <v>2864</v>
      </c>
      <c r="B918" s="114"/>
      <c r="C918" s="120" t="s">
        <v>2865</v>
      </c>
      <c r="D918" s="110"/>
      <c r="E918" s="108" t="s">
        <v>821</v>
      </c>
      <c r="F918" s="114"/>
      <c r="G918" s="120" t="s">
        <v>822</v>
      </c>
      <c r="H918" s="114"/>
      <c r="I918" s="111" t="n">
        <v>5211</v>
      </c>
      <c r="J918" s="110"/>
      <c r="K918" s="120" t="s">
        <v>2857</v>
      </c>
      <c r="L918" s="110"/>
      <c r="M918" s="112" t="n">
        <v>128</v>
      </c>
      <c r="N918" s="114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</row>
    <row r="919" customFormat="false" ht="15.75" hidden="false" customHeight="true" outlineLevel="0" collapsed="false">
      <c r="A919" s="108" t="s">
        <v>2866</v>
      </c>
      <c r="B919" s="114"/>
      <c r="C919" s="120" t="s">
        <v>2867</v>
      </c>
      <c r="D919" s="110"/>
      <c r="E919" s="108" t="s">
        <v>821</v>
      </c>
      <c r="F919" s="114"/>
      <c r="G919" s="120" t="s">
        <v>822</v>
      </c>
      <c r="H919" s="114"/>
      <c r="I919" s="111" t="n">
        <v>5211</v>
      </c>
      <c r="J919" s="110"/>
      <c r="K919" s="120" t="s">
        <v>2857</v>
      </c>
      <c r="L919" s="110"/>
      <c r="M919" s="112" t="n">
        <v>128</v>
      </c>
      <c r="N919" s="114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</row>
    <row r="920" customFormat="false" ht="15.75" hidden="false" customHeight="true" outlineLevel="0" collapsed="false">
      <c r="A920" s="108" t="s">
        <v>2868</v>
      </c>
      <c r="B920" s="114"/>
      <c r="C920" s="120" t="s">
        <v>2869</v>
      </c>
      <c r="D920" s="110"/>
      <c r="E920" s="108" t="s">
        <v>821</v>
      </c>
      <c r="F920" s="114"/>
      <c r="G920" s="120" t="s">
        <v>822</v>
      </c>
      <c r="H920" s="114"/>
      <c r="I920" s="111" t="n">
        <v>5211</v>
      </c>
      <c r="J920" s="110"/>
      <c r="K920" s="120" t="s">
        <v>2857</v>
      </c>
      <c r="L920" s="110"/>
      <c r="M920" s="112" t="n">
        <v>128</v>
      </c>
      <c r="N920" s="114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</row>
    <row r="921" customFormat="false" ht="15.75" hidden="false" customHeight="true" outlineLevel="0" collapsed="false">
      <c r="A921" s="108" t="s">
        <v>2870</v>
      </c>
      <c r="B921" s="114"/>
      <c r="C921" s="120" t="s">
        <v>2871</v>
      </c>
      <c r="D921" s="110"/>
      <c r="E921" s="108" t="s">
        <v>821</v>
      </c>
      <c r="F921" s="114"/>
      <c r="G921" s="120" t="s">
        <v>822</v>
      </c>
      <c r="H921" s="114"/>
      <c r="I921" s="111" t="n">
        <v>5541</v>
      </c>
      <c r="J921" s="110"/>
      <c r="K921" s="120" t="s">
        <v>2872</v>
      </c>
      <c r="L921" s="110"/>
      <c r="M921" s="112" t="n">
        <v>129</v>
      </c>
      <c r="N921" s="114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</row>
    <row r="922" customFormat="false" ht="15.75" hidden="false" customHeight="true" outlineLevel="0" collapsed="false">
      <c r="A922" s="108" t="s">
        <v>2873</v>
      </c>
      <c r="B922" s="114"/>
      <c r="C922" s="120" t="s">
        <v>2874</v>
      </c>
      <c r="D922" s="110"/>
      <c r="E922" s="108" t="s">
        <v>821</v>
      </c>
      <c r="F922" s="114"/>
      <c r="G922" s="120" t="s">
        <v>822</v>
      </c>
      <c r="H922" s="114"/>
      <c r="I922" s="111" t="n">
        <v>5631</v>
      </c>
      <c r="J922" s="110"/>
      <c r="K922" s="108"/>
      <c r="L922" s="110"/>
      <c r="M922" s="112" t="n">
        <v>130</v>
      </c>
      <c r="N922" s="114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</row>
    <row r="923" customFormat="false" ht="15.75" hidden="false" customHeight="true" outlineLevel="0" collapsed="false">
      <c r="A923" s="108" t="s">
        <v>2875</v>
      </c>
      <c r="B923" s="114"/>
      <c r="C923" s="120" t="s">
        <v>2876</v>
      </c>
      <c r="D923" s="110"/>
      <c r="E923" s="108" t="s">
        <v>821</v>
      </c>
      <c r="F923" s="114"/>
      <c r="G923" s="120" t="s">
        <v>822</v>
      </c>
      <c r="H923" s="114"/>
      <c r="I923" s="111" t="n">
        <v>5661</v>
      </c>
      <c r="J923" s="110"/>
      <c r="K923" s="120" t="s">
        <v>2877</v>
      </c>
      <c r="L923" s="110"/>
      <c r="M923" s="112" t="n">
        <v>131</v>
      </c>
      <c r="N923" s="114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</row>
    <row r="924" customFormat="false" ht="15.75" hidden="false" customHeight="true" outlineLevel="0" collapsed="false">
      <c r="A924" s="108" t="s">
        <v>2878</v>
      </c>
      <c r="B924" s="114"/>
      <c r="C924" s="120" t="s">
        <v>2879</v>
      </c>
      <c r="D924" s="110"/>
      <c r="E924" s="108" t="s">
        <v>821</v>
      </c>
      <c r="F924" s="114"/>
      <c r="G924" s="120" t="s">
        <v>822</v>
      </c>
      <c r="H924" s="114"/>
      <c r="I924" s="111" t="n">
        <v>5719</v>
      </c>
      <c r="J924" s="110"/>
      <c r="K924" s="120" t="s">
        <v>2880</v>
      </c>
      <c r="L924" s="110"/>
      <c r="M924" s="112" t="n">
        <v>132</v>
      </c>
      <c r="N924" s="114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</row>
    <row r="925" customFormat="false" ht="15.75" hidden="false" customHeight="true" outlineLevel="0" collapsed="false">
      <c r="A925" s="108" t="s">
        <v>2881</v>
      </c>
      <c r="B925" s="114"/>
      <c r="C925" s="120" t="s">
        <v>2882</v>
      </c>
      <c r="D925" s="110"/>
      <c r="E925" s="108" t="s">
        <v>821</v>
      </c>
      <c r="F925" s="114"/>
      <c r="G925" s="120" t="s">
        <v>822</v>
      </c>
      <c r="H925" s="114"/>
      <c r="I925" s="111" t="n">
        <v>5722</v>
      </c>
      <c r="J925" s="110"/>
      <c r="K925" s="120" t="s">
        <v>2883</v>
      </c>
      <c r="L925" s="110"/>
      <c r="M925" s="112" t="n">
        <v>133</v>
      </c>
      <c r="N925" s="114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</row>
    <row r="926" customFormat="false" ht="15.75" hidden="false" customHeight="true" outlineLevel="0" collapsed="false">
      <c r="A926" s="108" t="s">
        <v>2884</v>
      </c>
      <c r="B926" s="114"/>
      <c r="C926" s="120" t="s">
        <v>2885</v>
      </c>
      <c r="D926" s="110"/>
      <c r="E926" s="108" t="s">
        <v>821</v>
      </c>
      <c r="F926" s="114"/>
      <c r="G926" s="120" t="s">
        <v>822</v>
      </c>
      <c r="H926" s="114"/>
      <c r="I926" s="111" t="n">
        <v>5732</v>
      </c>
      <c r="J926" s="110"/>
      <c r="K926" s="120" t="s">
        <v>2886</v>
      </c>
      <c r="L926" s="110"/>
      <c r="M926" s="112" t="n">
        <v>134</v>
      </c>
      <c r="N926" s="114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</row>
    <row r="927" customFormat="false" ht="15.75" hidden="false" customHeight="true" outlineLevel="0" collapsed="false">
      <c r="A927" s="108" t="s">
        <v>2887</v>
      </c>
      <c r="B927" s="114"/>
      <c r="C927" s="120" t="s">
        <v>2888</v>
      </c>
      <c r="D927" s="110"/>
      <c r="E927" s="108" t="s">
        <v>821</v>
      </c>
      <c r="F927" s="114"/>
      <c r="G927" s="120" t="s">
        <v>822</v>
      </c>
      <c r="H927" s="114"/>
      <c r="I927" s="111" t="n">
        <v>5733</v>
      </c>
      <c r="J927" s="110"/>
      <c r="K927" s="120" t="s">
        <v>2889</v>
      </c>
      <c r="L927" s="110"/>
      <c r="M927" s="112" t="n">
        <v>135</v>
      </c>
      <c r="N927" s="114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</row>
    <row r="928" customFormat="false" ht="15.75" hidden="false" customHeight="true" outlineLevel="0" collapsed="false">
      <c r="A928" s="108" t="s">
        <v>2890</v>
      </c>
      <c r="B928" s="114"/>
      <c r="C928" s="120" t="s">
        <v>2891</v>
      </c>
      <c r="D928" s="110"/>
      <c r="E928" s="108" t="s">
        <v>821</v>
      </c>
      <c r="F928" s="114"/>
      <c r="G928" s="120" t="s">
        <v>822</v>
      </c>
      <c r="H928" s="114"/>
      <c r="I928" s="111" t="n">
        <v>5912</v>
      </c>
      <c r="J928" s="110"/>
      <c r="K928" s="120" t="s">
        <v>2892</v>
      </c>
      <c r="L928" s="110"/>
      <c r="M928" s="112" t="n">
        <v>136</v>
      </c>
      <c r="N928" s="114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</row>
    <row r="929" customFormat="false" ht="15.75" hidden="false" customHeight="true" outlineLevel="0" collapsed="false">
      <c r="A929" s="108" t="s">
        <v>2893</v>
      </c>
      <c r="B929" s="114"/>
      <c r="C929" s="120" t="s">
        <v>2894</v>
      </c>
      <c r="D929" s="110"/>
      <c r="E929" s="108" t="s">
        <v>821</v>
      </c>
      <c r="F929" s="114"/>
      <c r="G929" s="120" t="s">
        <v>822</v>
      </c>
      <c r="H929" s="114"/>
      <c r="I929" s="111" t="n">
        <v>5912</v>
      </c>
      <c r="J929" s="110"/>
      <c r="K929" s="120" t="s">
        <v>2892</v>
      </c>
      <c r="L929" s="110"/>
      <c r="M929" s="112" t="n">
        <v>136</v>
      </c>
      <c r="N929" s="114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</row>
    <row r="930" customFormat="false" ht="15.75" hidden="false" customHeight="true" outlineLevel="0" collapsed="false">
      <c r="A930" s="108" t="s">
        <v>2895</v>
      </c>
      <c r="B930" s="114"/>
      <c r="C930" s="120" t="s">
        <v>2896</v>
      </c>
      <c r="D930" s="110"/>
      <c r="E930" s="108" t="s">
        <v>821</v>
      </c>
      <c r="F930" s="114"/>
      <c r="G930" s="120" t="s">
        <v>822</v>
      </c>
      <c r="H930" s="114"/>
      <c r="I930" s="111" t="n">
        <v>5912</v>
      </c>
      <c r="J930" s="110"/>
      <c r="K930" s="120" t="s">
        <v>2892</v>
      </c>
      <c r="L930" s="110"/>
      <c r="M930" s="112" t="n">
        <v>136</v>
      </c>
      <c r="N930" s="114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</row>
    <row r="931" customFormat="false" ht="15.75" hidden="false" customHeight="true" outlineLevel="0" collapsed="false">
      <c r="A931" s="108" t="s">
        <v>2897</v>
      </c>
      <c r="B931" s="114"/>
      <c r="C931" s="120" t="s">
        <v>2898</v>
      </c>
      <c r="D931" s="110"/>
      <c r="E931" s="108" t="s">
        <v>821</v>
      </c>
      <c r="F931" s="114"/>
      <c r="G931" s="120" t="s">
        <v>822</v>
      </c>
      <c r="H931" s="114"/>
      <c r="I931" s="111" t="n">
        <v>5912</v>
      </c>
      <c r="J931" s="110"/>
      <c r="K931" s="120" t="s">
        <v>2892</v>
      </c>
      <c r="L931" s="110"/>
      <c r="M931" s="112" t="n">
        <v>136</v>
      </c>
      <c r="N931" s="114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</row>
    <row r="932" customFormat="false" ht="15.75" hidden="false" customHeight="true" outlineLevel="0" collapsed="false">
      <c r="A932" s="108" t="s">
        <v>2899</v>
      </c>
      <c r="B932" s="114"/>
      <c r="C932" s="120" t="s">
        <v>2900</v>
      </c>
      <c r="D932" s="110"/>
      <c r="E932" s="108" t="s">
        <v>821</v>
      </c>
      <c r="F932" s="114"/>
      <c r="G932" s="120" t="s">
        <v>822</v>
      </c>
      <c r="H932" s="114"/>
      <c r="I932" s="111" t="n">
        <v>5945</v>
      </c>
      <c r="J932" s="110"/>
      <c r="K932" s="120" t="s">
        <v>2901</v>
      </c>
      <c r="L932" s="110"/>
      <c r="M932" s="112" t="n">
        <v>137</v>
      </c>
      <c r="N932" s="114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</row>
    <row r="933" customFormat="false" ht="15.75" hidden="false" customHeight="true" outlineLevel="0" collapsed="false">
      <c r="A933" s="108" t="s">
        <v>2902</v>
      </c>
      <c r="B933" s="114"/>
      <c r="C933" s="120" t="s">
        <v>2903</v>
      </c>
      <c r="D933" s="110"/>
      <c r="E933" s="108" t="s">
        <v>821</v>
      </c>
      <c r="F933" s="114"/>
      <c r="G933" s="120" t="s">
        <v>822</v>
      </c>
      <c r="H933" s="114"/>
      <c r="I933" s="111" t="n">
        <v>5947</v>
      </c>
      <c r="J933" s="110"/>
      <c r="K933" s="120" t="s">
        <v>2904</v>
      </c>
      <c r="L933" s="110"/>
      <c r="M933" s="112" t="n">
        <v>138</v>
      </c>
      <c r="N933" s="114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</row>
    <row r="934" customFormat="false" ht="15.75" hidden="false" customHeight="true" outlineLevel="0" collapsed="false">
      <c r="A934" s="108" t="s">
        <v>2873</v>
      </c>
      <c r="B934" s="114"/>
      <c r="C934" s="120" t="s">
        <v>2874</v>
      </c>
      <c r="D934" s="110"/>
      <c r="E934" s="108" t="s">
        <v>821</v>
      </c>
      <c r="F934" s="114"/>
      <c r="G934" s="120" t="s">
        <v>822</v>
      </c>
      <c r="H934" s="114"/>
      <c r="I934" s="111" t="n">
        <v>5947</v>
      </c>
      <c r="J934" s="110"/>
      <c r="K934" s="120" t="s">
        <v>2904</v>
      </c>
      <c r="L934" s="110"/>
      <c r="M934" s="112" t="n">
        <v>138</v>
      </c>
      <c r="N934" s="114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</row>
    <row r="935" customFormat="false" ht="15.75" hidden="false" customHeight="true" outlineLevel="0" collapsed="false">
      <c r="A935" s="108" t="s">
        <v>2905</v>
      </c>
      <c r="B935" s="114"/>
      <c r="C935" s="120" t="s">
        <v>2906</v>
      </c>
      <c r="D935" s="110"/>
      <c r="E935" s="108" t="s">
        <v>821</v>
      </c>
      <c r="F935" s="114"/>
      <c r="G935" s="120" t="s">
        <v>822</v>
      </c>
      <c r="H935" s="114"/>
      <c r="I935" s="111" t="n">
        <v>5949</v>
      </c>
      <c r="J935" s="110"/>
      <c r="K935" s="120" t="s">
        <v>2907</v>
      </c>
      <c r="L935" s="110"/>
      <c r="M935" s="112" t="n">
        <v>139</v>
      </c>
      <c r="N935" s="114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</row>
    <row r="936" customFormat="false" ht="15.75" hidden="false" customHeight="true" outlineLevel="0" collapsed="false">
      <c r="A936" s="108" t="s">
        <v>2908</v>
      </c>
      <c r="B936" s="114"/>
      <c r="C936" s="120" t="s">
        <v>2909</v>
      </c>
      <c r="D936" s="110"/>
      <c r="E936" s="108" t="s">
        <v>821</v>
      </c>
      <c r="F936" s="114"/>
      <c r="G936" s="120" t="s">
        <v>822</v>
      </c>
      <c r="H936" s="114"/>
      <c r="I936" s="111" t="n">
        <v>5949</v>
      </c>
      <c r="J936" s="110"/>
      <c r="K936" s="120" t="s">
        <v>2907</v>
      </c>
      <c r="L936" s="110"/>
      <c r="M936" s="112" t="n">
        <v>139</v>
      </c>
      <c r="N936" s="114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</row>
    <row r="937" customFormat="false" ht="15.75" hidden="false" customHeight="true" outlineLevel="0" collapsed="false">
      <c r="A937" s="108" t="s">
        <v>2910</v>
      </c>
      <c r="B937" s="114"/>
      <c r="C937" s="120" t="s">
        <v>2911</v>
      </c>
      <c r="D937" s="110"/>
      <c r="E937" s="108" t="s">
        <v>821</v>
      </c>
      <c r="F937" s="114"/>
      <c r="G937" s="120" t="s">
        <v>822</v>
      </c>
      <c r="H937" s="114"/>
      <c r="I937" s="111" t="n">
        <v>5977</v>
      </c>
      <c r="J937" s="110"/>
      <c r="K937" s="120" t="s">
        <v>2912</v>
      </c>
      <c r="L937" s="110"/>
      <c r="M937" s="112" t="n">
        <v>140</v>
      </c>
      <c r="N937" s="114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</row>
    <row r="938" customFormat="false" ht="15.75" hidden="false" customHeight="true" outlineLevel="0" collapsed="false">
      <c r="A938" s="108" t="s">
        <v>2913</v>
      </c>
      <c r="B938" s="114"/>
      <c r="C938" s="120" t="s">
        <v>2914</v>
      </c>
      <c r="D938" s="110"/>
      <c r="E938" s="108" t="s">
        <v>2313</v>
      </c>
      <c r="F938" s="114"/>
      <c r="G938" s="120" t="s">
        <v>2314</v>
      </c>
      <c r="H938" s="114"/>
      <c r="I938" s="111" t="n">
        <v>7230</v>
      </c>
      <c r="J938" s="110"/>
      <c r="K938" s="120" t="s">
        <v>2915</v>
      </c>
      <c r="L938" s="110"/>
      <c r="M938" s="112" t="n">
        <v>141</v>
      </c>
      <c r="N938" s="114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</row>
    <row r="939" customFormat="false" ht="15.75" hidden="false" customHeight="true" outlineLevel="0" collapsed="false">
      <c r="A939" s="108" t="s">
        <v>2916</v>
      </c>
      <c r="B939" s="114"/>
      <c r="C939" s="120" t="s">
        <v>2917</v>
      </c>
      <c r="D939" s="110"/>
      <c r="E939" s="108" t="s">
        <v>2313</v>
      </c>
      <c r="F939" s="114"/>
      <c r="G939" s="120" t="s">
        <v>2421</v>
      </c>
      <c r="H939" s="114"/>
      <c r="I939" s="111" t="n">
        <v>7251</v>
      </c>
      <c r="J939" s="110"/>
      <c r="K939" s="120" t="s">
        <v>2918</v>
      </c>
      <c r="L939" s="110"/>
      <c r="M939" s="112" t="n">
        <v>142</v>
      </c>
      <c r="N939" s="114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</row>
    <row r="940" customFormat="false" ht="15.75" hidden="false" customHeight="true" outlineLevel="0" collapsed="false">
      <c r="A940" s="108" t="s">
        <v>2919</v>
      </c>
      <c r="B940" s="114"/>
      <c r="C940" s="120" t="s">
        <v>2920</v>
      </c>
      <c r="D940" s="110"/>
      <c r="E940" s="108" t="s">
        <v>844</v>
      </c>
      <c r="F940" s="114"/>
      <c r="G940" s="120" t="s">
        <v>913</v>
      </c>
      <c r="H940" s="114"/>
      <c r="I940" s="111" t="n">
        <v>7338</v>
      </c>
      <c r="J940" s="110"/>
      <c r="K940" s="120" t="s">
        <v>2921</v>
      </c>
      <c r="L940" s="110"/>
      <c r="M940" s="112" t="n">
        <v>143</v>
      </c>
      <c r="N940" s="114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</row>
    <row r="941" customFormat="false" ht="15.75" hidden="false" customHeight="true" outlineLevel="0" collapsed="false">
      <c r="A941" s="108" t="s">
        <v>2922</v>
      </c>
      <c r="B941" s="114"/>
      <c r="C941" s="120" t="s">
        <v>2923</v>
      </c>
      <c r="D941" s="110"/>
      <c r="E941" s="108" t="s">
        <v>844</v>
      </c>
      <c r="F941" s="114"/>
      <c r="G941" s="120" t="s">
        <v>913</v>
      </c>
      <c r="H941" s="114"/>
      <c r="I941" s="111" t="n">
        <v>7338</v>
      </c>
      <c r="J941" s="110"/>
      <c r="K941" s="120" t="s">
        <v>2921</v>
      </c>
      <c r="L941" s="110"/>
      <c r="M941" s="112" t="n">
        <v>143</v>
      </c>
      <c r="N941" s="114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</row>
    <row r="942" customFormat="false" ht="15.75" hidden="false" customHeight="true" outlineLevel="0" collapsed="false">
      <c r="A942" s="108" t="s">
        <v>2924</v>
      </c>
      <c r="B942" s="114"/>
      <c r="C942" s="120" t="s">
        <v>2925</v>
      </c>
      <c r="D942" s="110"/>
      <c r="E942" s="108" t="s">
        <v>920</v>
      </c>
      <c r="F942" s="114"/>
      <c r="G942" s="120" t="s">
        <v>921</v>
      </c>
      <c r="H942" s="114"/>
      <c r="I942" s="111" t="n">
        <v>7338</v>
      </c>
      <c r="J942" s="110"/>
      <c r="K942" s="120" t="s">
        <v>2921</v>
      </c>
      <c r="L942" s="110"/>
      <c r="M942" s="112" t="n">
        <v>143</v>
      </c>
      <c r="N942" s="114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</row>
    <row r="943" customFormat="false" ht="15.75" hidden="false" customHeight="true" outlineLevel="0" collapsed="false">
      <c r="A943" s="108" t="s">
        <v>2926</v>
      </c>
      <c r="B943" s="114"/>
      <c r="C943" s="120" t="s">
        <v>2927</v>
      </c>
      <c r="D943" s="110"/>
      <c r="E943" s="108" t="s">
        <v>818</v>
      </c>
      <c r="F943" s="114"/>
      <c r="G943" s="120" t="s">
        <v>818</v>
      </c>
      <c r="H943" s="114"/>
      <c r="I943" s="111" t="n">
        <v>7338</v>
      </c>
      <c r="J943" s="110"/>
      <c r="K943" s="120" t="s">
        <v>2921</v>
      </c>
      <c r="L943" s="110"/>
      <c r="M943" s="112" t="n">
        <v>143</v>
      </c>
      <c r="N943" s="114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</row>
    <row r="944" customFormat="false" ht="15.75" hidden="false" customHeight="true" outlineLevel="0" collapsed="false">
      <c r="A944" s="108" t="s">
        <v>2928</v>
      </c>
      <c r="B944" s="114"/>
      <c r="C944" s="120" t="s">
        <v>2929</v>
      </c>
      <c r="D944" s="110"/>
      <c r="E944" s="108" t="s">
        <v>1219</v>
      </c>
      <c r="F944" s="114"/>
      <c r="G944" s="120" t="s">
        <v>1220</v>
      </c>
      <c r="H944" s="114"/>
      <c r="I944" s="111" t="n">
        <v>742</v>
      </c>
      <c r="J944" s="110"/>
      <c r="K944" s="120" t="s">
        <v>2930</v>
      </c>
      <c r="L944" s="110"/>
      <c r="M944" s="112" t="n">
        <v>144</v>
      </c>
      <c r="N944" s="114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</row>
    <row r="945" customFormat="false" ht="15.75" hidden="false" customHeight="true" outlineLevel="0" collapsed="false">
      <c r="A945" s="108" t="s">
        <v>2931</v>
      </c>
      <c r="B945" s="114"/>
      <c r="C945" s="120" t="s">
        <v>2932</v>
      </c>
      <c r="D945" s="110"/>
      <c r="E945" s="108" t="s">
        <v>1214</v>
      </c>
      <c r="F945" s="114"/>
      <c r="G945" s="120" t="s">
        <v>2933</v>
      </c>
      <c r="H945" s="114"/>
      <c r="I945" s="111" t="n">
        <v>742</v>
      </c>
      <c r="J945" s="110"/>
      <c r="K945" s="120" t="s">
        <v>2930</v>
      </c>
      <c r="L945" s="110"/>
      <c r="M945" s="112" t="n">
        <v>144</v>
      </c>
      <c r="N945" s="114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</row>
    <row r="946" customFormat="false" ht="15.75" hidden="false" customHeight="true" outlineLevel="0" collapsed="false">
      <c r="A946" s="108" t="s">
        <v>2934</v>
      </c>
      <c r="B946" s="114"/>
      <c r="C946" s="120" t="s">
        <v>2935</v>
      </c>
      <c r="D946" s="110"/>
      <c r="E946" s="108" t="s">
        <v>2313</v>
      </c>
      <c r="F946" s="114"/>
      <c r="G946" s="120" t="s">
        <v>2421</v>
      </c>
      <c r="H946" s="114"/>
      <c r="I946" s="111" t="n">
        <v>7631</v>
      </c>
      <c r="J946" s="110"/>
      <c r="K946" s="120" t="s">
        <v>2936</v>
      </c>
      <c r="L946" s="110"/>
      <c r="M946" s="121" t="n">
        <v>145</v>
      </c>
      <c r="N946" s="114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</row>
    <row r="947" customFormat="false" ht="15.75" hidden="false" customHeight="true" outlineLevel="0" collapsed="false">
      <c r="A947" s="108" t="s">
        <v>2937</v>
      </c>
      <c r="B947" s="114"/>
      <c r="C947" s="120" t="s">
        <v>2938</v>
      </c>
      <c r="D947" s="110"/>
      <c r="E947" s="108" t="s">
        <v>2313</v>
      </c>
      <c r="F947" s="114"/>
      <c r="G947" s="120" t="s">
        <v>2421</v>
      </c>
      <c r="H947" s="114"/>
      <c r="I947" s="111" t="n">
        <v>7631</v>
      </c>
      <c r="J947" s="110"/>
      <c r="K947" s="120" t="s">
        <v>2936</v>
      </c>
      <c r="L947" s="110"/>
      <c r="M947" s="121" t="n">
        <v>145</v>
      </c>
      <c r="N947" s="114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</row>
    <row r="948" customFormat="false" ht="15.75" hidden="false" customHeight="true" outlineLevel="0" collapsed="false">
      <c r="A948" s="108" t="s">
        <v>2939</v>
      </c>
      <c r="B948" s="114"/>
      <c r="C948" s="120" t="s">
        <v>2940</v>
      </c>
      <c r="D948" s="110"/>
      <c r="E948" s="108" t="s">
        <v>844</v>
      </c>
      <c r="F948" s="114"/>
      <c r="G948" s="120" t="s">
        <v>917</v>
      </c>
      <c r="H948" s="114"/>
      <c r="I948" s="111" t="n">
        <v>8021</v>
      </c>
      <c r="J948" s="110"/>
      <c r="K948" s="120" t="s">
        <v>2941</v>
      </c>
      <c r="L948" s="110"/>
      <c r="M948" s="121" t="n">
        <v>146</v>
      </c>
      <c r="N948" s="114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</row>
    <row r="949" customFormat="false" ht="15.75" hidden="false" customHeight="true" outlineLevel="0" collapsed="false">
      <c r="A949" s="108" t="s">
        <v>2942</v>
      </c>
      <c r="B949" s="114"/>
      <c r="C949" s="120" t="s">
        <v>2943</v>
      </c>
      <c r="D949" s="110"/>
      <c r="E949" s="108" t="s">
        <v>924</v>
      </c>
      <c r="F949" s="114"/>
      <c r="G949" s="120" t="s">
        <v>925</v>
      </c>
      <c r="H949" s="114"/>
      <c r="I949" s="111" t="n">
        <v>8021</v>
      </c>
      <c r="J949" s="110"/>
      <c r="K949" s="120" t="s">
        <v>2941</v>
      </c>
      <c r="L949" s="110"/>
      <c r="M949" s="121" t="n">
        <v>146</v>
      </c>
      <c r="N949" s="114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</row>
    <row r="950" customFormat="false" ht="15.75" hidden="false" customHeight="true" outlineLevel="0" collapsed="false">
      <c r="A950" s="108" t="s">
        <v>2944</v>
      </c>
      <c r="B950" s="114"/>
      <c r="C950" s="120" t="s">
        <v>2945</v>
      </c>
      <c r="D950" s="110"/>
      <c r="E950" s="108" t="s">
        <v>821</v>
      </c>
      <c r="F950" s="114"/>
      <c r="G950" s="120" t="s">
        <v>822</v>
      </c>
      <c r="H950" s="114"/>
      <c r="I950" s="111" t="n">
        <v>8043</v>
      </c>
      <c r="J950" s="110"/>
      <c r="K950" s="120" t="s">
        <v>2946</v>
      </c>
      <c r="L950" s="110"/>
      <c r="M950" s="121" t="n">
        <v>147</v>
      </c>
      <c r="N950" s="114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</row>
    <row r="951" customFormat="false" ht="15.75" hidden="false" customHeight="true" outlineLevel="0" collapsed="false">
      <c r="A951" s="108" t="s">
        <v>2947</v>
      </c>
      <c r="B951" s="114"/>
      <c r="C951" s="120" t="s">
        <v>2948</v>
      </c>
      <c r="D951" s="110"/>
      <c r="E951" s="108" t="s">
        <v>924</v>
      </c>
      <c r="F951" s="114"/>
      <c r="G951" s="120" t="s">
        <v>2610</v>
      </c>
      <c r="H951" s="114"/>
      <c r="I951" s="111" t="n">
        <v>8050</v>
      </c>
      <c r="J951" s="110"/>
      <c r="K951" s="120" t="s">
        <v>2949</v>
      </c>
      <c r="L951" s="110"/>
      <c r="M951" s="121" t="n">
        <v>148</v>
      </c>
      <c r="N951" s="114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</row>
    <row r="952" customFormat="false" ht="15.75" hidden="false" customHeight="true" outlineLevel="0" collapsed="false">
      <c r="A952" s="108" t="s">
        <v>2950</v>
      </c>
      <c r="B952" s="114"/>
      <c r="C952" s="120" t="s">
        <v>2951</v>
      </c>
      <c r="D952" s="110"/>
      <c r="E952" s="108" t="s">
        <v>924</v>
      </c>
      <c r="F952" s="114"/>
      <c r="G952" s="120" t="s">
        <v>2610</v>
      </c>
      <c r="H952" s="114"/>
      <c r="I952" s="111" t="n">
        <v>8050</v>
      </c>
      <c r="J952" s="110"/>
      <c r="K952" s="120" t="s">
        <v>2949</v>
      </c>
      <c r="L952" s="110"/>
      <c r="M952" s="121" t="n">
        <v>148</v>
      </c>
      <c r="N952" s="114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</row>
    <row r="953" customFormat="false" ht="15.75" hidden="false" customHeight="true" outlineLevel="0" collapsed="false">
      <c r="A953" s="108" t="s">
        <v>2952</v>
      </c>
      <c r="B953" s="114"/>
      <c r="C953" s="120" t="s">
        <v>2953</v>
      </c>
      <c r="D953" s="110"/>
      <c r="E953" s="108" t="s">
        <v>924</v>
      </c>
      <c r="F953" s="114"/>
      <c r="G953" s="120" t="s">
        <v>2610</v>
      </c>
      <c r="H953" s="114"/>
      <c r="I953" s="111" t="n">
        <v>8050</v>
      </c>
      <c r="J953" s="110"/>
      <c r="K953" s="120" t="s">
        <v>2949</v>
      </c>
      <c r="L953" s="110"/>
      <c r="M953" s="121" t="n">
        <v>148</v>
      </c>
      <c r="N953" s="114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</row>
    <row r="954" customFormat="false" ht="15.75" hidden="false" customHeight="true" outlineLevel="0" collapsed="false">
      <c r="A954" s="108" t="s">
        <v>2954</v>
      </c>
      <c r="B954" s="114"/>
      <c r="C954" s="120" t="s">
        <v>2955</v>
      </c>
      <c r="D954" s="110"/>
      <c r="E954" s="108" t="s">
        <v>924</v>
      </c>
      <c r="F954" s="114"/>
      <c r="G954" s="120" t="s">
        <v>2610</v>
      </c>
      <c r="H954" s="114"/>
      <c r="I954" s="111" t="n">
        <v>8050</v>
      </c>
      <c r="J954" s="110"/>
      <c r="K954" s="120" t="s">
        <v>2949</v>
      </c>
      <c r="L954" s="110"/>
      <c r="M954" s="121" t="n">
        <v>148</v>
      </c>
      <c r="N954" s="114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</row>
    <row r="955" customFormat="false" ht="15.75" hidden="false" customHeight="true" outlineLevel="0" collapsed="false">
      <c r="A955" s="108" t="s">
        <v>2956</v>
      </c>
      <c r="B955" s="114"/>
      <c r="C955" s="120" t="s">
        <v>2957</v>
      </c>
      <c r="D955" s="110"/>
      <c r="E955" s="108" t="s">
        <v>924</v>
      </c>
      <c r="F955" s="114"/>
      <c r="G955" s="120" t="s">
        <v>2610</v>
      </c>
      <c r="H955" s="114"/>
      <c r="I955" s="111" t="n">
        <v>8050</v>
      </c>
      <c r="J955" s="110"/>
      <c r="K955" s="120" t="s">
        <v>2949</v>
      </c>
      <c r="L955" s="110"/>
      <c r="M955" s="121" t="n">
        <v>148</v>
      </c>
      <c r="N955" s="114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</row>
    <row r="956" customFormat="false" ht="15.75" hidden="false" customHeight="true" outlineLevel="0" collapsed="false">
      <c r="A956" s="108" t="s">
        <v>2958</v>
      </c>
      <c r="B956" s="114"/>
      <c r="C956" s="120" t="s">
        <v>2959</v>
      </c>
      <c r="D956" s="110"/>
      <c r="E956" s="108" t="s">
        <v>924</v>
      </c>
      <c r="F956" s="114"/>
      <c r="G956" s="120" t="s">
        <v>925</v>
      </c>
      <c r="H956" s="114"/>
      <c r="I956" s="111" t="n">
        <v>8062</v>
      </c>
      <c r="J956" s="110"/>
      <c r="K956" s="120" t="s">
        <v>2960</v>
      </c>
      <c r="L956" s="110"/>
      <c r="M956" s="121" t="n">
        <v>149</v>
      </c>
      <c r="N956" s="114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</row>
    <row r="957" customFormat="false" ht="15.75" hidden="false" customHeight="true" outlineLevel="0" collapsed="false">
      <c r="A957" s="108" t="s">
        <v>2961</v>
      </c>
      <c r="B957" s="114"/>
      <c r="C957" s="120" t="s">
        <v>2962</v>
      </c>
      <c r="D957" s="110"/>
      <c r="E957" s="108" t="s">
        <v>924</v>
      </c>
      <c r="F957" s="114"/>
      <c r="G957" s="120" t="s">
        <v>925</v>
      </c>
      <c r="H957" s="114"/>
      <c r="I957" s="111" t="n">
        <v>8062</v>
      </c>
      <c r="J957" s="110"/>
      <c r="K957" s="120" t="s">
        <v>2960</v>
      </c>
      <c r="L957" s="110"/>
      <c r="M957" s="121" t="n">
        <v>149</v>
      </c>
      <c r="N957" s="114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</row>
    <row r="958" customFormat="false" ht="15.75" hidden="false" customHeight="true" outlineLevel="0" collapsed="false">
      <c r="A958" s="108" t="s">
        <v>2963</v>
      </c>
      <c r="B958" s="114"/>
      <c r="C958" s="120" t="s">
        <v>2964</v>
      </c>
      <c r="D958" s="110"/>
      <c r="E958" s="108" t="s">
        <v>924</v>
      </c>
      <c r="F958" s="114"/>
      <c r="G958" s="120" t="s">
        <v>925</v>
      </c>
      <c r="H958" s="114"/>
      <c r="I958" s="111" t="n">
        <v>8099</v>
      </c>
      <c r="J958" s="110"/>
      <c r="K958" s="120" t="s">
        <v>2965</v>
      </c>
      <c r="L958" s="110"/>
      <c r="M958" s="121" t="n">
        <v>150</v>
      </c>
      <c r="N958" s="114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</row>
    <row r="959" customFormat="false" ht="15.75" hidden="false" customHeight="true" outlineLevel="0" collapsed="false">
      <c r="A959" s="108" t="s">
        <v>2966</v>
      </c>
      <c r="B959" s="114"/>
      <c r="C959" s="120" t="s">
        <v>2967</v>
      </c>
      <c r="D959" s="110"/>
      <c r="E959" s="108" t="s">
        <v>924</v>
      </c>
      <c r="F959" s="114"/>
      <c r="G959" s="120" t="s">
        <v>925</v>
      </c>
      <c r="H959" s="114"/>
      <c r="I959" s="111" t="n">
        <v>8099</v>
      </c>
      <c r="J959" s="110"/>
      <c r="K959" s="120" t="s">
        <v>2965</v>
      </c>
      <c r="L959" s="110"/>
      <c r="M959" s="121" t="n">
        <v>150</v>
      </c>
      <c r="N959" s="114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</row>
    <row r="960" customFormat="false" ht="15.75" hidden="false" customHeight="true" outlineLevel="0" collapsed="false">
      <c r="A960" s="108" t="s">
        <v>2968</v>
      </c>
      <c r="B960" s="114"/>
      <c r="C960" s="120" t="s">
        <v>2969</v>
      </c>
      <c r="D960" s="110"/>
      <c r="E960" s="108" t="s">
        <v>924</v>
      </c>
      <c r="F960" s="114"/>
      <c r="G960" s="120" t="s">
        <v>925</v>
      </c>
      <c r="H960" s="114"/>
      <c r="I960" s="111" t="n">
        <v>8099</v>
      </c>
      <c r="J960" s="110"/>
      <c r="K960" s="120" t="s">
        <v>2965</v>
      </c>
      <c r="L960" s="110"/>
      <c r="M960" s="121" t="n">
        <v>150</v>
      </c>
      <c r="N960" s="114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</row>
    <row r="961" customFormat="false" ht="15.75" hidden="false" customHeight="true" outlineLevel="0" collapsed="false">
      <c r="A961" s="108" t="s">
        <v>2970</v>
      </c>
      <c r="B961" s="114"/>
      <c r="C961" s="120" t="s">
        <v>2971</v>
      </c>
      <c r="D961" s="110"/>
      <c r="E961" s="108" t="s">
        <v>924</v>
      </c>
      <c r="F961" s="114"/>
      <c r="G961" s="120" t="s">
        <v>925</v>
      </c>
      <c r="H961" s="114"/>
      <c r="I961" s="111" t="n">
        <v>8099</v>
      </c>
      <c r="J961" s="110"/>
      <c r="K961" s="120" t="s">
        <v>2965</v>
      </c>
      <c r="L961" s="110"/>
      <c r="M961" s="121" t="n">
        <v>150</v>
      </c>
      <c r="N961" s="114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</row>
    <row r="962" customFormat="false" ht="15.75" hidden="false" customHeight="true" outlineLevel="0" collapsed="false">
      <c r="A962" s="108" t="s">
        <v>2972</v>
      </c>
      <c r="B962" s="114"/>
      <c r="C962" s="120" t="s">
        <v>2973</v>
      </c>
      <c r="D962" s="110"/>
      <c r="E962" s="108" t="s">
        <v>924</v>
      </c>
      <c r="F962" s="114"/>
      <c r="G962" s="120" t="s">
        <v>925</v>
      </c>
      <c r="H962" s="114"/>
      <c r="I962" s="111" t="n">
        <v>8099</v>
      </c>
      <c r="J962" s="110"/>
      <c r="K962" s="120" t="s">
        <v>2965</v>
      </c>
      <c r="L962" s="110"/>
      <c r="M962" s="121" t="n">
        <v>150</v>
      </c>
      <c r="N962" s="114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</row>
    <row r="963" customFormat="false" ht="15.75" hidden="false" customHeight="true" outlineLevel="0" collapsed="false">
      <c r="A963" s="108" t="s">
        <v>2974</v>
      </c>
      <c r="B963" s="114"/>
      <c r="C963" s="120" t="s">
        <v>2975</v>
      </c>
      <c r="D963" s="110"/>
      <c r="E963" s="108" t="s">
        <v>924</v>
      </c>
      <c r="F963" s="114"/>
      <c r="G963" s="120" t="s">
        <v>925</v>
      </c>
      <c r="H963" s="114"/>
      <c r="I963" s="111" t="n">
        <v>8099</v>
      </c>
      <c r="J963" s="110"/>
      <c r="K963" s="120" t="s">
        <v>2965</v>
      </c>
      <c r="L963" s="110"/>
      <c r="M963" s="121" t="n">
        <v>150</v>
      </c>
      <c r="N963" s="114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</row>
    <row r="964" customFormat="false" ht="15.75" hidden="false" customHeight="true" outlineLevel="0" collapsed="false">
      <c r="A964" s="108" t="s">
        <v>2976</v>
      </c>
      <c r="B964" s="114"/>
      <c r="C964" s="120" t="s">
        <v>2977</v>
      </c>
      <c r="D964" s="110"/>
      <c r="E964" s="108" t="s">
        <v>924</v>
      </c>
      <c r="F964" s="114"/>
      <c r="G964" s="120" t="s">
        <v>925</v>
      </c>
      <c r="H964" s="114"/>
      <c r="I964" s="111" t="n">
        <v>8099</v>
      </c>
      <c r="J964" s="110"/>
      <c r="K964" s="120" t="s">
        <v>2965</v>
      </c>
      <c r="L964" s="110"/>
      <c r="M964" s="121" t="n">
        <v>150</v>
      </c>
      <c r="N964" s="114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</row>
    <row r="965" customFormat="false" ht="15.75" hidden="false" customHeight="true" outlineLevel="0" collapsed="false">
      <c r="A965" s="108" t="s">
        <v>2978</v>
      </c>
      <c r="B965" s="114"/>
      <c r="C965" s="120" t="s">
        <v>2979</v>
      </c>
      <c r="D965" s="110"/>
      <c r="E965" s="108" t="s">
        <v>924</v>
      </c>
      <c r="F965" s="114"/>
      <c r="G965" s="120" t="s">
        <v>925</v>
      </c>
      <c r="H965" s="114"/>
      <c r="I965" s="111" t="n">
        <v>8099</v>
      </c>
      <c r="J965" s="110"/>
      <c r="K965" s="120" t="s">
        <v>2965</v>
      </c>
      <c r="L965" s="110"/>
      <c r="M965" s="121" t="n">
        <v>150</v>
      </c>
      <c r="N965" s="114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</row>
    <row r="966" customFormat="false" ht="15.75" hidden="false" customHeight="true" outlineLevel="0" collapsed="false">
      <c r="A966" s="108" t="s">
        <v>2980</v>
      </c>
      <c r="B966" s="114"/>
      <c r="C966" s="120" t="s">
        <v>2981</v>
      </c>
      <c r="D966" s="110"/>
      <c r="E966" s="108" t="s">
        <v>924</v>
      </c>
      <c r="F966" s="114"/>
      <c r="G966" s="120" t="s">
        <v>925</v>
      </c>
      <c r="H966" s="114"/>
      <c r="I966" s="111" t="n">
        <v>8099</v>
      </c>
      <c r="J966" s="110"/>
      <c r="K966" s="120" t="s">
        <v>2965</v>
      </c>
      <c r="L966" s="110"/>
      <c r="M966" s="121" t="n">
        <v>150</v>
      </c>
      <c r="N966" s="114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</row>
    <row r="967" customFormat="false" ht="15.75" hidden="false" customHeight="true" outlineLevel="0" collapsed="false">
      <c r="A967" s="108" t="s">
        <v>2982</v>
      </c>
      <c r="B967" s="114"/>
      <c r="C967" s="120" t="s">
        <v>2983</v>
      </c>
      <c r="D967" s="110"/>
      <c r="E967" s="108" t="s">
        <v>924</v>
      </c>
      <c r="F967" s="114"/>
      <c r="G967" s="120" t="s">
        <v>925</v>
      </c>
      <c r="H967" s="114"/>
      <c r="I967" s="111" t="n">
        <v>8099</v>
      </c>
      <c r="J967" s="110"/>
      <c r="K967" s="120" t="s">
        <v>2965</v>
      </c>
      <c r="L967" s="110"/>
      <c r="M967" s="121" t="n">
        <v>150</v>
      </c>
      <c r="N967" s="114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</row>
    <row r="968" customFormat="false" ht="15.75" hidden="false" customHeight="true" outlineLevel="0" collapsed="false">
      <c r="A968" s="108" t="s">
        <v>2984</v>
      </c>
      <c r="B968" s="114"/>
      <c r="C968" s="120" t="s">
        <v>2985</v>
      </c>
      <c r="D968" s="110"/>
      <c r="E968" s="108" t="s">
        <v>924</v>
      </c>
      <c r="F968" s="114"/>
      <c r="G968" s="120" t="s">
        <v>925</v>
      </c>
      <c r="H968" s="114"/>
      <c r="I968" s="111" t="n">
        <v>8099</v>
      </c>
      <c r="J968" s="110"/>
      <c r="K968" s="120" t="s">
        <v>2965</v>
      </c>
      <c r="L968" s="110"/>
      <c r="M968" s="121" t="n">
        <v>150</v>
      </c>
      <c r="N968" s="114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</row>
    <row r="969" customFormat="false" ht="15.75" hidden="false" customHeight="true" outlineLevel="0" collapsed="false">
      <c r="A969" s="108" t="s">
        <v>2986</v>
      </c>
      <c r="B969" s="114"/>
      <c r="C969" s="120" t="s">
        <v>2987</v>
      </c>
      <c r="D969" s="110"/>
      <c r="E969" s="108" t="s">
        <v>924</v>
      </c>
      <c r="F969" s="114"/>
      <c r="G969" s="120" t="s">
        <v>925</v>
      </c>
      <c r="H969" s="114"/>
      <c r="I969" s="111" t="n">
        <v>8099</v>
      </c>
      <c r="J969" s="110"/>
      <c r="K969" s="120" t="s">
        <v>2965</v>
      </c>
      <c r="L969" s="110"/>
      <c r="M969" s="121" t="n">
        <v>150</v>
      </c>
      <c r="N969" s="114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</row>
    <row r="970" customFormat="false" ht="15.75" hidden="false" customHeight="true" outlineLevel="0" collapsed="false">
      <c r="A970" s="108" t="s">
        <v>2988</v>
      </c>
      <c r="B970" s="114"/>
      <c r="C970" s="120" t="s">
        <v>2989</v>
      </c>
      <c r="D970" s="110"/>
      <c r="E970" s="108" t="s">
        <v>924</v>
      </c>
      <c r="F970" s="114"/>
      <c r="G970" s="120" t="s">
        <v>925</v>
      </c>
      <c r="H970" s="114"/>
      <c r="I970" s="111" t="n">
        <v>8099</v>
      </c>
      <c r="J970" s="110"/>
      <c r="K970" s="120" t="s">
        <v>2965</v>
      </c>
      <c r="L970" s="110"/>
      <c r="M970" s="121" t="n">
        <v>150</v>
      </c>
      <c r="N970" s="114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</row>
    <row r="971" customFormat="false" ht="15.75" hidden="false" customHeight="true" outlineLevel="0" collapsed="false">
      <c r="A971" s="108" t="s">
        <v>2990</v>
      </c>
      <c r="B971" s="114"/>
      <c r="C971" s="120" t="s">
        <v>2991</v>
      </c>
      <c r="D971" s="110"/>
      <c r="E971" s="108" t="s">
        <v>924</v>
      </c>
      <c r="F971" s="114"/>
      <c r="G971" s="120" t="s">
        <v>925</v>
      </c>
      <c r="H971" s="114"/>
      <c r="I971" s="111" t="n">
        <v>8099</v>
      </c>
      <c r="J971" s="110"/>
      <c r="K971" s="120" t="s">
        <v>2965</v>
      </c>
      <c r="L971" s="110"/>
      <c r="M971" s="121" t="n">
        <v>150</v>
      </c>
      <c r="N971" s="114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</row>
    <row r="972" customFormat="false" ht="15.75" hidden="false" customHeight="true" outlineLevel="0" collapsed="false">
      <c r="A972" s="108" t="s">
        <v>2992</v>
      </c>
      <c r="B972" s="114"/>
      <c r="C972" s="120" t="s">
        <v>2993</v>
      </c>
      <c r="D972" s="110"/>
      <c r="E972" s="108" t="s">
        <v>924</v>
      </c>
      <c r="F972" s="114"/>
      <c r="G972" s="120" t="s">
        <v>925</v>
      </c>
      <c r="H972" s="114"/>
      <c r="I972" s="111" t="n">
        <v>8099</v>
      </c>
      <c r="J972" s="110"/>
      <c r="K972" s="120" t="s">
        <v>2965</v>
      </c>
      <c r="L972" s="110"/>
      <c r="M972" s="121" t="n">
        <v>150</v>
      </c>
      <c r="N972" s="114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</row>
    <row r="973" customFormat="false" ht="15.75" hidden="false" customHeight="true" outlineLevel="0" collapsed="false">
      <c r="A973" s="108" t="s">
        <v>2994</v>
      </c>
      <c r="B973" s="114"/>
      <c r="C973" s="120" t="s">
        <v>2995</v>
      </c>
      <c r="D973" s="110"/>
      <c r="E973" s="108" t="s">
        <v>924</v>
      </c>
      <c r="F973" s="114"/>
      <c r="G973" s="120" t="s">
        <v>925</v>
      </c>
      <c r="H973" s="114"/>
      <c r="I973" s="111" t="n">
        <v>8099</v>
      </c>
      <c r="J973" s="110"/>
      <c r="K973" s="120" t="s">
        <v>2965</v>
      </c>
      <c r="L973" s="110"/>
      <c r="M973" s="121" t="n">
        <v>150</v>
      </c>
      <c r="N973" s="114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</row>
    <row r="974" customFormat="false" ht="15.75" hidden="false" customHeight="true" outlineLevel="0" collapsed="false">
      <c r="A974" s="108" t="s">
        <v>2996</v>
      </c>
      <c r="B974" s="114"/>
      <c r="C974" s="120" t="s">
        <v>2997</v>
      </c>
      <c r="D974" s="110"/>
      <c r="E974" s="108" t="s">
        <v>924</v>
      </c>
      <c r="F974" s="114"/>
      <c r="G974" s="120" t="s">
        <v>925</v>
      </c>
      <c r="H974" s="114"/>
      <c r="I974" s="111" t="n">
        <v>8099</v>
      </c>
      <c r="J974" s="110"/>
      <c r="K974" s="120" t="s">
        <v>2965</v>
      </c>
      <c r="L974" s="110"/>
      <c r="M974" s="121" t="n">
        <v>150</v>
      </c>
      <c r="N974" s="114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</row>
    <row r="975" customFormat="false" ht="15.75" hidden="false" customHeight="true" outlineLevel="0" collapsed="false">
      <c r="A975" s="108" t="s">
        <v>2998</v>
      </c>
      <c r="B975" s="114"/>
      <c r="C975" s="120" t="s">
        <v>2999</v>
      </c>
      <c r="D975" s="110"/>
      <c r="E975" s="108" t="s">
        <v>924</v>
      </c>
      <c r="F975" s="114"/>
      <c r="G975" s="120" t="s">
        <v>2610</v>
      </c>
      <c r="H975" s="114"/>
      <c r="I975" s="111" t="n">
        <v>8099</v>
      </c>
      <c r="J975" s="110"/>
      <c r="K975" s="120" t="s">
        <v>3000</v>
      </c>
      <c r="L975" s="110"/>
      <c r="M975" s="121" t="n">
        <v>150</v>
      </c>
      <c r="N975" s="114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</row>
    <row r="976" customFormat="false" ht="15.75" hidden="false" customHeight="true" outlineLevel="0" collapsed="false">
      <c r="A976" s="108" t="s">
        <v>3001</v>
      </c>
      <c r="B976" s="114"/>
      <c r="C976" s="120" t="s">
        <v>3002</v>
      </c>
      <c r="D976" s="110"/>
      <c r="E976" s="108" t="s">
        <v>924</v>
      </c>
      <c r="F976" s="114"/>
      <c r="G976" s="120" t="s">
        <v>2610</v>
      </c>
      <c r="H976" s="114"/>
      <c r="I976" s="111" t="n">
        <v>8099</v>
      </c>
      <c r="J976" s="110"/>
      <c r="K976" s="120" t="s">
        <v>2965</v>
      </c>
      <c r="L976" s="110"/>
      <c r="M976" s="121" t="n">
        <v>150</v>
      </c>
      <c r="N976" s="114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</row>
    <row r="977" customFormat="false" ht="15.75" hidden="false" customHeight="true" outlineLevel="0" collapsed="false">
      <c r="A977" s="108" t="s">
        <v>3003</v>
      </c>
      <c r="B977" s="114"/>
      <c r="C977" s="120" t="s">
        <v>3004</v>
      </c>
      <c r="D977" s="110"/>
      <c r="E977" s="108" t="s">
        <v>924</v>
      </c>
      <c r="F977" s="114"/>
      <c r="G977" s="120" t="s">
        <v>2610</v>
      </c>
      <c r="H977" s="114"/>
      <c r="I977" s="111" t="n">
        <v>8099</v>
      </c>
      <c r="J977" s="110"/>
      <c r="K977" s="120" t="s">
        <v>2965</v>
      </c>
      <c r="L977" s="110"/>
      <c r="M977" s="121" t="n">
        <v>150</v>
      </c>
      <c r="N977" s="114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</row>
    <row r="978" customFormat="false" ht="15.75" hidden="false" customHeight="true" outlineLevel="0" collapsed="false">
      <c r="A978" s="108" t="s">
        <v>3005</v>
      </c>
      <c r="B978" s="114"/>
      <c r="C978" s="120" t="s">
        <v>3006</v>
      </c>
      <c r="D978" s="110"/>
      <c r="E978" s="108" t="s">
        <v>1214</v>
      </c>
      <c r="F978" s="114"/>
      <c r="G978" s="120" t="s">
        <v>2366</v>
      </c>
      <c r="H978" s="114"/>
      <c r="I978" s="111" t="n">
        <v>8111</v>
      </c>
      <c r="J978" s="110"/>
      <c r="K978" s="120" t="s">
        <v>3007</v>
      </c>
      <c r="L978" s="110"/>
      <c r="M978" s="121" t="n">
        <v>151</v>
      </c>
      <c r="N978" s="114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</row>
    <row r="979" customFormat="false" ht="15.75" hidden="false" customHeight="true" outlineLevel="0" collapsed="false">
      <c r="A979" s="108" t="s">
        <v>3008</v>
      </c>
      <c r="B979" s="114"/>
      <c r="C979" s="120" t="s">
        <v>3009</v>
      </c>
      <c r="D979" s="110"/>
      <c r="E979" s="108" t="s">
        <v>1214</v>
      </c>
      <c r="F979" s="114"/>
      <c r="G979" s="120" t="s">
        <v>2366</v>
      </c>
      <c r="H979" s="114"/>
      <c r="I979" s="111" t="n">
        <v>8111</v>
      </c>
      <c r="J979" s="110"/>
      <c r="K979" s="120" t="s">
        <v>3007</v>
      </c>
      <c r="L979" s="110"/>
      <c r="M979" s="121" t="n">
        <v>151</v>
      </c>
      <c r="N979" s="114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</row>
    <row r="980" customFormat="false" ht="15.75" hidden="false" customHeight="true" outlineLevel="0" collapsed="false">
      <c r="A980" s="108" t="s">
        <v>3010</v>
      </c>
      <c r="B980" s="114"/>
      <c r="C980" s="120" t="s">
        <v>3011</v>
      </c>
      <c r="D980" s="110"/>
      <c r="E980" s="108" t="s">
        <v>2655</v>
      </c>
      <c r="F980" s="114"/>
      <c r="G980" s="120" t="s">
        <v>2661</v>
      </c>
      <c r="H980" s="114"/>
      <c r="I980" s="111" t="n">
        <v>8931</v>
      </c>
      <c r="J980" s="110"/>
      <c r="K980" s="120" t="s">
        <v>3012</v>
      </c>
      <c r="L980" s="110"/>
      <c r="M980" s="121" t="n">
        <v>152</v>
      </c>
      <c r="N980" s="114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</row>
    <row r="981" customFormat="false" ht="15.75" hidden="false" customHeight="true" outlineLevel="0" collapsed="false">
      <c r="A981" s="108" t="s">
        <v>3013</v>
      </c>
      <c r="B981" s="114"/>
      <c r="C981" s="120" t="s">
        <v>3014</v>
      </c>
      <c r="D981" s="110"/>
      <c r="E981" s="108" t="s">
        <v>1214</v>
      </c>
      <c r="F981" s="114"/>
      <c r="G981" s="120" t="s">
        <v>2366</v>
      </c>
      <c r="H981" s="114"/>
      <c r="I981" s="111" t="n">
        <v>8931</v>
      </c>
      <c r="J981" s="110"/>
      <c r="K981" s="120" t="s">
        <v>3012</v>
      </c>
      <c r="L981" s="110"/>
      <c r="M981" s="121" t="n">
        <v>152</v>
      </c>
      <c r="N981" s="114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</row>
    <row r="982" customFormat="false" ht="15.75" hidden="false" customHeight="true" outlineLevel="0" collapsed="false">
      <c r="A982" s="108" t="s">
        <v>3015</v>
      </c>
      <c r="B982" s="114"/>
      <c r="C982" s="120" t="s">
        <v>3016</v>
      </c>
      <c r="D982" s="110"/>
      <c r="E982" s="108" t="s">
        <v>1214</v>
      </c>
      <c r="F982" s="114"/>
      <c r="G982" s="120" t="s">
        <v>2366</v>
      </c>
      <c r="H982" s="114"/>
      <c r="I982" s="111" t="n">
        <v>8931</v>
      </c>
      <c r="J982" s="110"/>
      <c r="K982" s="120" t="s">
        <v>3012</v>
      </c>
      <c r="L982" s="110"/>
      <c r="M982" s="121" t="n">
        <v>152</v>
      </c>
      <c r="N982" s="114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</row>
    <row r="983" customFormat="false" ht="15.75" hidden="false" customHeight="true" outlineLevel="0" collapsed="false">
      <c r="A983" s="108" t="s">
        <v>3017</v>
      </c>
      <c r="B983" s="114"/>
      <c r="C983" s="120" t="s">
        <v>3018</v>
      </c>
      <c r="D983" s="110"/>
      <c r="E983" s="108" t="s">
        <v>808</v>
      </c>
      <c r="F983" s="114"/>
      <c r="G983" s="120" t="s">
        <v>1630</v>
      </c>
      <c r="H983" s="114"/>
      <c r="I983" s="111" t="n">
        <v>4816</v>
      </c>
      <c r="J983" s="110"/>
      <c r="K983" s="120" t="s">
        <v>3019</v>
      </c>
      <c r="L983" s="110"/>
      <c r="M983" s="112" t="n">
        <v>153</v>
      </c>
      <c r="N983" s="114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</row>
    <row r="984" customFormat="false" ht="15.75" hidden="false" customHeight="true" outlineLevel="0" collapsed="false">
      <c r="A984" s="108" t="s">
        <v>3020</v>
      </c>
      <c r="B984" s="114"/>
      <c r="C984" s="120" t="s">
        <v>3021</v>
      </c>
      <c r="D984" s="110"/>
      <c r="E984" s="108" t="s">
        <v>808</v>
      </c>
      <c r="F984" s="114"/>
      <c r="G984" s="120" t="s">
        <v>2175</v>
      </c>
      <c r="H984" s="114"/>
      <c r="I984" s="111" t="n">
        <v>4816</v>
      </c>
      <c r="J984" s="110"/>
      <c r="K984" s="120" t="s">
        <v>3019</v>
      </c>
      <c r="L984" s="110"/>
      <c r="M984" s="112" t="n">
        <v>153</v>
      </c>
      <c r="N984" s="114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</row>
    <row r="985" customFormat="false" ht="15.75" hidden="false" customHeight="true" outlineLevel="0" collapsed="false">
      <c r="A985" s="108" t="s">
        <v>3022</v>
      </c>
      <c r="B985" s="114"/>
      <c r="C985" s="120" t="s">
        <v>3023</v>
      </c>
      <c r="D985" s="110"/>
      <c r="E985" s="108" t="s">
        <v>808</v>
      </c>
      <c r="F985" s="114"/>
      <c r="G985" s="120" t="s">
        <v>2175</v>
      </c>
      <c r="H985" s="114"/>
      <c r="I985" s="111" t="n">
        <v>4816</v>
      </c>
      <c r="J985" s="110"/>
      <c r="K985" s="120" t="s">
        <v>3019</v>
      </c>
      <c r="L985" s="110"/>
      <c r="M985" s="112" t="n">
        <v>153</v>
      </c>
      <c r="N985" s="114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</row>
    <row r="986" customFormat="false" ht="15.75" hidden="false" customHeight="true" outlineLevel="0" collapsed="false">
      <c r="A986" s="108" t="s">
        <v>3024</v>
      </c>
      <c r="B986" s="114"/>
      <c r="C986" s="120" t="s">
        <v>3025</v>
      </c>
      <c r="D986" s="110"/>
      <c r="E986" s="108" t="s">
        <v>920</v>
      </c>
      <c r="F986" s="114"/>
      <c r="G986" s="120" t="s">
        <v>921</v>
      </c>
      <c r="H986" s="114"/>
      <c r="I986" s="111" t="n">
        <v>4816</v>
      </c>
      <c r="J986" s="110"/>
      <c r="K986" s="120" t="s">
        <v>3019</v>
      </c>
      <c r="L986" s="110"/>
      <c r="M986" s="112" t="n">
        <v>153</v>
      </c>
      <c r="N986" s="114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</row>
    <row r="987" customFormat="false" ht="15.75" hidden="false" customHeight="true" outlineLevel="0" collapsed="false">
      <c r="A987" s="108" t="s">
        <v>3026</v>
      </c>
      <c r="B987" s="114"/>
      <c r="C987" s="120" t="s">
        <v>3027</v>
      </c>
      <c r="D987" s="110"/>
      <c r="E987" s="108" t="s">
        <v>844</v>
      </c>
      <c r="F987" s="114"/>
      <c r="G987" s="120" t="s">
        <v>1004</v>
      </c>
      <c r="H987" s="114"/>
      <c r="I987" s="111" t="n">
        <v>5712</v>
      </c>
      <c r="J987" s="110"/>
      <c r="K987" s="120" t="s">
        <v>3028</v>
      </c>
      <c r="L987" s="110"/>
      <c r="M987" s="112" t="n">
        <v>154</v>
      </c>
      <c r="N987" s="114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</row>
    <row r="988" customFormat="false" ht="15.75" hidden="false" customHeight="true" outlineLevel="0" collapsed="false">
      <c r="A988" s="108" t="s">
        <v>3029</v>
      </c>
      <c r="B988" s="114"/>
      <c r="C988" s="120" t="s">
        <v>3030</v>
      </c>
      <c r="D988" s="110"/>
      <c r="E988" s="108" t="s">
        <v>821</v>
      </c>
      <c r="F988" s="114"/>
      <c r="G988" s="120" t="s">
        <v>822</v>
      </c>
      <c r="H988" s="114"/>
      <c r="I988" s="111" t="n">
        <v>5712</v>
      </c>
      <c r="J988" s="110"/>
      <c r="K988" s="120" t="s">
        <v>3031</v>
      </c>
      <c r="L988" s="110"/>
      <c r="M988" s="112" t="n">
        <v>154</v>
      </c>
      <c r="N988" s="114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</row>
    <row r="989" customFormat="false" ht="15.75" hidden="false" customHeight="true" outlineLevel="0" collapsed="false">
      <c r="A989" s="108" t="s">
        <v>3032</v>
      </c>
      <c r="B989" s="114"/>
      <c r="C989" s="120" t="s">
        <v>3033</v>
      </c>
      <c r="D989" s="110"/>
      <c r="E989" s="108" t="s">
        <v>821</v>
      </c>
      <c r="F989" s="114"/>
      <c r="G989" s="120" t="s">
        <v>822</v>
      </c>
      <c r="H989" s="114"/>
      <c r="I989" s="111" t="n">
        <v>5712</v>
      </c>
      <c r="J989" s="110"/>
      <c r="K989" s="120" t="s">
        <v>3031</v>
      </c>
      <c r="L989" s="110"/>
      <c r="M989" s="112" t="n">
        <v>154</v>
      </c>
      <c r="N989" s="114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</row>
    <row r="990" customFormat="false" ht="15.75" hidden="false" customHeight="true" outlineLevel="0" collapsed="false">
      <c r="A990" s="108" t="s">
        <v>3034</v>
      </c>
      <c r="B990" s="114"/>
      <c r="C990" s="120" t="s">
        <v>3035</v>
      </c>
      <c r="D990" s="110"/>
      <c r="E990" s="108" t="s">
        <v>821</v>
      </c>
      <c r="F990" s="114"/>
      <c r="G990" s="120" t="s">
        <v>822</v>
      </c>
      <c r="H990" s="114"/>
      <c r="I990" s="111" t="n">
        <v>5712</v>
      </c>
      <c r="J990" s="110"/>
      <c r="K990" s="120" t="s">
        <v>3031</v>
      </c>
      <c r="L990" s="110"/>
      <c r="M990" s="112" t="n">
        <v>154</v>
      </c>
      <c r="N990" s="114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</row>
    <row r="991" customFormat="false" ht="15.75" hidden="false" customHeight="true" outlineLevel="0" collapsed="false">
      <c r="A991" s="108" t="s">
        <v>3036</v>
      </c>
      <c r="B991" s="114"/>
      <c r="C991" s="120" t="s">
        <v>3037</v>
      </c>
      <c r="D991" s="110"/>
      <c r="E991" s="108" t="s">
        <v>844</v>
      </c>
      <c r="F991" s="114"/>
      <c r="G991" s="120" t="s">
        <v>1034</v>
      </c>
      <c r="H991" s="114"/>
      <c r="I991" s="111" t="n">
        <v>1520</v>
      </c>
      <c r="J991" s="110"/>
      <c r="K991" s="120" t="s">
        <v>3038</v>
      </c>
      <c r="L991" s="110"/>
      <c r="M991" s="112" t="n">
        <v>155</v>
      </c>
      <c r="N991" s="114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</row>
    <row r="992" customFormat="false" ht="15.75" hidden="false" customHeight="true" outlineLevel="0" collapsed="false">
      <c r="A992" s="108" t="s">
        <v>3039</v>
      </c>
      <c r="B992" s="114"/>
      <c r="C992" s="120" t="s">
        <v>3040</v>
      </c>
      <c r="D992" s="110"/>
      <c r="E992" s="108" t="s">
        <v>1518</v>
      </c>
      <c r="F992" s="114"/>
      <c r="G992" s="120" t="s">
        <v>3041</v>
      </c>
      <c r="H992" s="114"/>
      <c r="I992" s="111" t="n">
        <v>1520</v>
      </c>
      <c r="J992" s="110"/>
      <c r="K992" s="120" t="s">
        <v>3038</v>
      </c>
      <c r="L992" s="110"/>
      <c r="M992" s="112" t="n">
        <v>155</v>
      </c>
      <c r="N992" s="114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</row>
    <row r="993" customFormat="false" ht="15.75" hidden="false" customHeight="true" outlineLevel="0" collapsed="false">
      <c r="A993" s="108" t="s">
        <v>3042</v>
      </c>
      <c r="B993" s="114"/>
      <c r="C993" s="120" t="s">
        <v>3043</v>
      </c>
      <c r="D993" s="110"/>
      <c r="E993" s="108" t="s">
        <v>1518</v>
      </c>
      <c r="F993" s="114"/>
      <c r="G993" s="120" t="s">
        <v>3041</v>
      </c>
      <c r="H993" s="114"/>
      <c r="I993" s="111" t="n">
        <v>1520</v>
      </c>
      <c r="J993" s="110"/>
      <c r="K993" s="120" t="s">
        <v>3038</v>
      </c>
      <c r="L993" s="110"/>
      <c r="M993" s="112" t="n">
        <v>155</v>
      </c>
      <c r="N993" s="114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</row>
    <row r="994" customFormat="false" ht="15.75" hidden="false" customHeight="true" outlineLevel="0" collapsed="false">
      <c r="A994" s="108" t="s">
        <v>3044</v>
      </c>
      <c r="B994" s="114"/>
      <c r="C994" s="120" t="s">
        <v>3045</v>
      </c>
      <c r="D994" s="110"/>
      <c r="E994" s="108" t="s">
        <v>1518</v>
      </c>
      <c r="F994" s="114"/>
      <c r="G994" s="120" t="s">
        <v>1527</v>
      </c>
      <c r="H994" s="114"/>
      <c r="I994" s="111" t="n">
        <v>1520</v>
      </c>
      <c r="J994" s="110"/>
      <c r="K994" s="120" t="s">
        <v>3038</v>
      </c>
      <c r="L994" s="110"/>
      <c r="M994" s="112" t="n">
        <v>155</v>
      </c>
      <c r="N994" s="114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</row>
    <row r="995" customFormat="false" ht="15.75" hidden="false" customHeight="true" outlineLevel="0" collapsed="false">
      <c r="A995" s="108" t="s">
        <v>3046</v>
      </c>
      <c r="B995" s="114"/>
      <c r="C995" s="120" t="s">
        <v>3047</v>
      </c>
      <c r="D995" s="110"/>
      <c r="E995" s="108" t="s">
        <v>1518</v>
      </c>
      <c r="F995" s="114"/>
      <c r="G995" s="120" t="s">
        <v>1527</v>
      </c>
      <c r="H995" s="114"/>
      <c r="I995" s="111" t="n">
        <v>1520</v>
      </c>
      <c r="J995" s="110"/>
      <c r="K995" s="120" t="s">
        <v>3038</v>
      </c>
      <c r="L995" s="110"/>
      <c r="M995" s="112" t="n">
        <v>155</v>
      </c>
      <c r="N995" s="114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</row>
    <row r="996" customFormat="false" ht="15.75" hidden="false" customHeight="true" outlineLevel="0" collapsed="false">
      <c r="A996" s="108" t="s">
        <v>3048</v>
      </c>
      <c r="B996" s="82"/>
      <c r="C996" s="120" t="s">
        <v>3049</v>
      </c>
      <c r="D996" s="121"/>
      <c r="E996" s="108" t="s">
        <v>1518</v>
      </c>
      <c r="F996" s="114"/>
      <c r="G996" s="120" t="s">
        <v>1527</v>
      </c>
      <c r="H996" s="82"/>
      <c r="I996" s="111" t="n">
        <v>1520</v>
      </c>
      <c r="J996" s="110"/>
      <c r="K996" s="120" t="s">
        <v>3038</v>
      </c>
      <c r="L996" s="110"/>
      <c r="M996" s="112" t="n">
        <v>155</v>
      </c>
      <c r="N996" s="82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</row>
    <row r="997" customFormat="false" ht="15.75" hidden="false" customHeight="true" outlineLevel="0" collapsed="false">
      <c r="A997" s="108" t="s">
        <v>3050</v>
      </c>
      <c r="B997" s="82"/>
      <c r="C997" s="120" t="s">
        <v>3051</v>
      </c>
      <c r="D997" s="121"/>
      <c r="E997" s="108" t="s">
        <v>1518</v>
      </c>
      <c r="F997" s="114"/>
      <c r="G997" s="120" t="s">
        <v>1527</v>
      </c>
      <c r="H997" s="82"/>
      <c r="I997" s="111" t="n">
        <v>1520</v>
      </c>
      <c r="J997" s="110"/>
      <c r="K997" s="120" t="s">
        <v>3038</v>
      </c>
      <c r="L997" s="110"/>
      <c r="M997" s="112" t="n">
        <v>155</v>
      </c>
      <c r="N997" s="82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</row>
    <row r="998" customFormat="false" ht="15.75" hidden="false" customHeight="true" outlineLevel="0" collapsed="false">
      <c r="A998" s="108" t="s">
        <v>3052</v>
      </c>
      <c r="B998" s="82"/>
      <c r="C998" s="120" t="s">
        <v>3053</v>
      </c>
      <c r="D998" s="121"/>
      <c r="E998" s="108" t="s">
        <v>1518</v>
      </c>
      <c r="F998" s="114"/>
      <c r="G998" s="120" t="s">
        <v>1527</v>
      </c>
      <c r="H998" s="82"/>
      <c r="I998" s="111" t="n">
        <v>1520</v>
      </c>
      <c r="J998" s="110"/>
      <c r="K998" s="120" t="s">
        <v>3038</v>
      </c>
      <c r="L998" s="110"/>
      <c r="M998" s="112" t="n">
        <v>155</v>
      </c>
      <c r="N998" s="82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</row>
    <row r="999" customFormat="false" ht="15.75" hidden="false" customHeight="true" outlineLevel="0" collapsed="false">
      <c r="A999" s="108" t="s">
        <v>3054</v>
      </c>
      <c r="B999" s="82"/>
      <c r="C999" s="120" t="s">
        <v>3055</v>
      </c>
      <c r="D999" s="121"/>
      <c r="E999" s="108" t="s">
        <v>1518</v>
      </c>
      <c r="F999" s="114"/>
      <c r="G999" s="120" t="s">
        <v>1527</v>
      </c>
      <c r="H999" s="82"/>
      <c r="I999" s="111" t="n">
        <v>1520</v>
      </c>
      <c r="J999" s="110"/>
      <c r="K999" s="120" t="s">
        <v>3038</v>
      </c>
      <c r="L999" s="110"/>
      <c r="M999" s="112" t="n">
        <v>155</v>
      </c>
      <c r="N999" s="82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</row>
    <row r="1000" customFormat="false" ht="15.75" hidden="false" customHeight="true" outlineLevel="0" collapsed="false">
      <c r="A1000" s="108" t="s">
        <v>3056</v>
      </c>
      <c r="B1000" s="82"/>
      <c r="C1000" s="120" t="s">
        <v>3057</v>
      </c>
      <c r="D1000" s="121"/>
      <c r="E1000" s="108" t="s">
        <v>1518</v>
      </c>
      <c r="F1000" s="114"/>
      <c r="G1000" s="120" t="s">
        <v>1519</v>
      </c>
      <c r="H1000" s="82"/>
      <c r="I1000" s="111" t="n">
        <v>1520</v>
      </c>
      <c r="J1000" s="110"/>
      <c r="K1000" s="120" t="s">
        <v>3038</v>
      </c>
      <c r="L1000" s="110"/>
      <c r="M1000" s="112" t="n">
        <v>155</v>
      </c>
      <c r="N1000" s="82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</row>
    <row r="1001" customFormat="false" ht="15.75" hidden="false" customHeight="true" outlineLevel="0" collapsed="false">
      <c r="A1001" s="108" t="s">
        <v>3058</v>
      </c>
      <c r="B1001" s="82"/>
      <c r="C1001" s="120" t="s">
        <v>3059</v>
      </c>
      <c r="D1001" s="121"/>
      <c r="E1001" s="108" t="s">
        <v>1518</v>
      </c>
      <c r="F1001" s="114"/>
      <c r="G1001" s="120" t="s">
        <v>1519</v>
      </c>
      <c r="H1001" s="82"/>
      <c r="I1001" s="111" t="n">
        <v>1520</v>
      </c>
      <c r="J1001" s="110"/>
      <c r="K1001" s="120" t="s">
        <v>3038</v>
      </c>
      <c r="L1001" s="110"/>
      <c r="M1001" s="112" t="n">
        <v>155</v>
      </c>
      <c r="N1001" s="82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</row>
    <row r="1002" customFormat="false" ht="15.75" hidden="false" customHeight="true" outlineLevel="0" collapsed="false">
      <c r="A1002" s="108" t="s">
        <v>3060</v>
      </c>
      <c r="B1002" s="82"/>
      <c r="C1002" s="120" t="s">
        <v>3061</v>
      </c>
      <c r="D1002" s="121"/>
      <c r="E1002" s="108" t="s">
        <v>1518</v>
      </c>
      <c r="F1002" s="114"/>
      <c r="G1002" s="120" t="s">
        <v>1519</v>
      </c>
      <c r="H1002" s="82"/>
      <c r="I1002" s="111" t="n">
        <v>1520</v>
      </c>
      <c r="J1002" s="110"/>
      <c r="K1002" s="120" t="s">
        <v>3038</v>
      </c>
      <c r="L1002" s="110"/>
      <c r="M1002" s="112" t="n">
        <v>155</v>
      </c>
      <c r="N1002" s="82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</row>
    <row r="1003" customFormat="false" ht="15.75" hidden="false" customHeight="true" outlineLevel="0" collapsed="false">
      <c r="A1003" s="108" t="s">
        <v>3062</v>
      </c>
      <c r="B1003" s="82"/>
      <c r="C1003" s="120" t="s">
        <v>3063</v>
      </c>
      <c r="D1003" s="121"/>
      <c r="E1003" s="108" t="s">
        <v>875</v>
      </c>
      <c r="F1003" s="114"/>
      <c r="G1003" s="120" t="s">
        <v>2533</v>
      </c>
      <c r="H1003" s="82"/>
      <c r="I1003" s="111" t="n">
        <v>1520</v>
      </c>
      <c r="J1003" s="110"/>
      <c r="K1003" s="120" t="s">
        <v>3038</v>
      </c>
      <c r="L1003" s="110"/>
      <c r="M1003" s="112" t="n">
        <v>155</v>
      </c>
      <c r="N1003" s="82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</row>
    <row r="1004" customFormat="false" ht="15.75" hidden="false" customHeight="true" outlineLevel="0" collapsed="false">
      <c r="A1004" s="108" t="s">
        <v>3064</v>
      </c>
      <c r="B1004" s="82"/>
      <c r="C1004" s="120" t="s">
        <v>3065</v>
      </c>
      <c r="D1004" s="121"/>
      <c r="E1004" s="108" t="s">
        <v>933</v>
      </c>
      <c r="F1004" s="114"/>
      <c r="G1004" s="120" t="s">
        <v>934</v>
      </c>
      <c r="H1004" s="82"/>
      <c r="I1004" s="111" t="n">
        <v>4112</v>
      </c>
      <c r="J1004" s="110"/>
      <c r="K1004" s="120" t="s">
        <v>3066</v>
      </c>
      <c r="L1004" s="110"/>
      <c r="M1004" s="112" t="n">
        <v>156</v>
      </c>
      <c r="N1004" s="82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</row>
    <row r="1005" customFormat="false" ht="15.75" hidden="false" customHeight="true" outlineLevel="0" collapsed="false">
      <c r="A1005" s="108" t="s">
        <v>3067</v>
      </c>
      <c r="B1005" s="82"/>
      <c r="C1005" s="120" t="s">
        <v>3068</v>
      </c>
      <c r="D1005" s="121"/>
      <c r="E1005" s="108" t="s">
        <v>933</v>
      </c>
      <c r="F1005" s="114"/>
      <c r="G1005" s="120" t="s">
        <v>934</v>
      </c>
      <c r="H1005" s="82"/>
      <c r="I1005" s="111" t="n">
        <v>4121</v>
      </c>
      <c r="J1005" s="110"/>
      <c r="K1005" s="120" t="s">
        <v>3069</v>
      </c>
      <c r="L1005" s="110"/>
      <c r="M1005" s="112" t="n">
        <v>157</v>
      </c>
      <c r="N1005" s="82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</row>
    <row r="1006" customFormat="false" ht="15.75" hidden="false" customHeight="true" outlineLevel="0" collapsed="false">
      <c r="A1006" s="108" t="s">
        <v>3070</v>
      </c>
      <c r="B1006" s="82"/>
      <c r="C1006" s="120" t="s">
        <v>3071</v>
      </c>
      <c r="D1006" s="121"/>
      <c r="E1006" s="108" t="s">
        <v>933</v>
      </c>
      <c r="F1006" s="114"/>
      <c r="G1006" s="120" t="s">
        <v>934</v>
      </c>
      <c r="H1006" s="82"/>
      <c r="I1006" s="111" t="n">
        <v>4121</v>
      </c>
      <c r="J1006" s="110"/>
      <c r="K1006" s="120" t="s">
        <v>3069</v>
      </c>
      <c r="L1006" s="110"/>
      <c r="M1006" s="112" t="n">
        <v>157</v>
      </c>
      <c r="N1006" s="82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</row>
    <row r="1007" customFormat="false" ht="15.75" hidden="false" customHeight="true" outlineLevel="0" collapsed="false">
      <c r="A1007" s="108" t="s">
        <v>3072</v>
      </c>
      <c r="B1007" s="82"/>
      <c r="C1007" s="120" t="s">
        <v>3073</v>
      </c>
      <c r="D1007" s="121"/>
      <c r="E1007" s="108" t="s">
        <v>933</v>
      </c>
      <c r="F1007" s="114"/>
      <c r="G1007" s="120" t="s">
        <v>945</v>
      </c>
      <c r="H1007" s="82"/>
      <c r="I1007" s="111" t="n">
        <v>4121</v>
      </c>
      <c r="J1007" s="110"/>
      <c r="K1007" s="120" t="s">
        <v>3069</v>
      </c>
      <c r="L1007" s="110"/>
      <c r="M1007" s="112" t="n">
        <v>157</v>
      </c>
      <c r="N1007" s="82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</row>
    <row r="1008" customFormat="false" ht="15.75" hidden="false" customHeight="true" outlineLevel="0" collapsed="false">
      <c r="A1008" s="108" t="s">
        <v>3074</v>
      </c>
      <c r="B1008" s="82"/>
      <c r="C1008" s="120" t="s">
        <v>3075</v>
      </c>
      <c r="D1008" s="121"/>
      <c r="E1008" s="108" t="s">
        <v>933</v>
      </c>
      <c r="F1008" s="114"/>
      <c r="G1008" s="120" t="s">
        <v>934</v>
      </c>
      <c r="H1008" s="82"/>
      <c r="I1008" s="111" t="n">
        <v>4131</v>
      </c>
      <c r="J1008" s="110"/>
      <c r="K1008" s="120" t="s">
        <v>3076</v>
      </c>
      <c r="L1008" s="110"/>
      <c r="M1008" s="112" t="n">
        <v>158</v>
      </c>
      <c r="N1008" s="82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</row>
    <row r="1009" customFormat="false" ht="15.75" hidden="false" customHeight="true" outlineLevel="0" collapsed="false">
      <c r="A1009" s="108" t="s">
        <v>3077</v>
      </c>
      <c r="B1009" s="82"/>
      <c r="C1009" s="120" t="s">
        <v>3078</v>
      </c>
      <c r="D1009" s="121"/>
      <c r="E1009" s="108" t="s">
        <v>933</v>
      </c>
      <c r="F1009" s="114"/>
      <c r="G1009" s="120" t="s">
        <v>934</v>
      </c>
      <c r="H1009" s="82"/>
      <c r="I1009" s="111" t="n">
        <v>4131</v>
      </c>
      <c r="J1009" s="110"/>
      <c r="K1009" s="120" t="s">
        <v>3076</v>
      </c>
      <c r="L1009" s="110"/>
      <c r="M1009" s="112" t="n">
        <v>158</v>
      </c>
      <c r="N1009" s="82"/>
      <c r="O1009" s="108"/>
      <c r="P1009" s="108"/>
      <c r="Q1009" s="108"/>
      <c r="R1009" s="108"/>
      <c r="S1009" s="108"/>
      <c r="T1009" s="108"/>
      <c r="U1009" s="108"/>
      <c r="V1009" s="108"/>
      <c r="W1009" s="108"/>
      <c r="X1009" s="108"/>
      <c r="Y1009" s="108"/>
      <c r="Z1009" s="108"/>
      <c r="AA1009" s="108"/>
      <c r="AB1009" s="108"/>
      <c r="AC1009" s="108"/>
    </row>
    <row r="1010" customFormat="false" ht="15.75" hidden="false" customHeight="true" outlineLevel="0" collapsed="false">
      <c r="A1010" s="108" t="s">
        <v>3079</v>
      </c>
      <c r="B1010" s="82"/>
      <c r="C1010" s="120" t="s">
        <v>3080</v>
      </c>
      <c r="D1010" s="121"/>
      <c r="E1010" s="108" t="s">
        <v>933</v>
      </c>
      <c r="F1010" s="114"/>
      <c r="G1010" s="120" t="s">
        <v>934</v>
      </c>
      <c r="H1010" s="82"/>
      <c r="I1010" s="111" t="n">
        <v>4131</v>
      </c>
      <c r="J1010" s="110"/>
      <c r="K1010" s="120" t="s">
        <v>3076</v>
      </c>
      <c r="L1010" s="110"/>
      <c r="M1010" s="112" t="n">
        <v>158</v>
      </c>
      <c r="N1010" s="82"/>
      <c r="O1010" s="108"/>
      <c r="P1010" s="108"/>
      <c r="Q1010" s="108"/>
      <c r="R1010" s="108"/>
      <c r="S1010" s="108"/>
      <c r="T1010" s="108"/>
      <c r="U1010" s="108"/>
      <c r="V1010" s="108"/>
      <c r="W1010" s="108"/>
      <c r="X1010" s="108"/>
      <c r="Y1010" s="108"/>
      <c r="Z1010" s="108"/>
      <c r="AA1010" s="108"/>
      <c r="AB1010" s="108"/>
      <c r="AC1010" s="108"/>
    </row>
    <row r="1011" customFormat="false" ht="15.75" hidden="false" customHeight="true" outlineLevel="0" collapsed="false">
      <c r="A1011" s="108" t="s">
        <v>3081</v>
      </c>
      <c r="B1011" s="82"/>
      <c r="C1011" s="120" t="s">
        <v>3082</v>
      </c>
      <c r="D1011" s="121"/>
      <c r="E1011" s="108" t="s">
        <v>933</v>
      </c>
      <c r="F1011" s="114"/>
      <c r="G1011" s="120" t="s">
        <v>934</v>
      </c>
      <c r="H1011" s="82"/>
      <c r="I1011" s="111" t="n">
        <v>4131</v>
      </c>
      <c r="J1011" s="110"/>
      <c r="K1011" s="120" t="s">
        <v>3076</v>
      </c>
      <c r="L1011" s="110"/>
      <c r="M1011" s="112" t="n">
        <v>158</v>
      </c>
      <c r="N1011" s="82"/>
      <c r="O1011" s="108"/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/>
      <c r="AB1011" s="108"/>
      <c r="AC1011" s="108"/>
    </row>
    <row r="1012" customFormat="false" ht="15.75" hidden="false" customHeight="true" outlineLevel="0" collapsed="false">
      <c r="A1012" s="108" t="s">
        <v>3083</v>
      </c>
      <c r="B1012" s="82"/>
      <c r="C1012" s="120" t="s">
        <v>3084</v>
      </c>
      <c r="D1012" s="121"/>
      <c r="E1012" s="108" t="s">
        <v>933</v>
      </c>
      <c r="F1012" s="114"/>
      <c r="G1012" s="120" t="s">
        <v>934</v>
      </c>
      <c r="H1012" s="82"/>
      <c r="I1012" s="111" t="n">
        <v>4131</v>
      </c>
      <c r="J1012" s="110"/>
      <c r="K1012" s="120" t="s">
        <v>3076</v>
      </c>
      <c r="L1012" s="110"/>
      <c r="M1012" s="112" t="n">
        <v>158</v>
      </c>
      <c r="N1012" s="82"/>
      <c r="O1012" s="108"/>
      <c r="P1012" s="108"/>
      <c r="Q1012" s="108"/>
      <c r="R1012" s="108"/>
      <c r="S1012" s="108"/>
      <c r="T1012" s="108"/>
      <c r="U1012" s="108"/>
      <c r="V1012" s="108"/>
      <c r="W1012" s="108"/>
      <c r="X1012" s="108"/>
      <c r="Y1012" s="108"/>
      <c r="Z1012" s="108"/>
      <c r="AA1012" s="108"/>
      <c r="AB1012" s="108"/>
      <c r="AC1012" s="108"/>
    </row>
    <row r="1013" customFormat="false" ht="15.75" hidden="false" customHeight="true" outlineLevel="0" collapsed="false">
      <c r="A1013" s="108" t="s">
        <v>3085</v>
      </c>
      <c r="B1013" s="82"/>
      <c r="C1013" s="120" t="s">
        <v>3086</v>
      </c>
      <c r="D1013" s="121"/>
      <c r="E1013" s="108" t="s">
        <v>933</v>
      </c>
      <c r="F1013" s="114"/>
      <c r="G1013" s="120" t="s">
        <v>934</v>
      </c>
      <c r="H1013" s="82"/>
      <c r="I1013" s="111" t="n">
        <v>4131</v>
      </c>
      <c r="J1013" s="110"/>
      <c r="K1013" s="120" t="s">
        <v>3076</v>
      </c>
      <c r="L1013" s="110"/>
      <c r="M1013" s="112" t="n">
        <v>158</v>
      </c>
      <c r="N1013" s="82"/>
      <c r="O1013" s="108"/>
      <c r="P1013" s="108"/>
      <c r="Q1013" s="108"/>
      <c r="R1013" s="108"/>
      <c r="S1013" s="108"/>
      <c r="T1013" s="108"/>
      <c r="U1013" s="108"/>
      <c r="V1013" s="108"/>
      <c r="W1013" s="108"/>
      <c r="X1013" s="108"/>
      <c r="Y1013" s="108"/>
      <c r="Z1013" s="108"/>
      <c r="AA1013" s="108"/>
      <c r="AB1013" s="108"/>
      <c r="AC1013" s="108"/>
    </row>
    <row r="1014" customFormat="false" ht="15.75" hidden="false" customHeight="true" outlineLevel="0" collapsed="false">
      <c r="A1014" s="108" t="s">
        <v>3087</v>
      </c>
      <c r="B1014" s="82"/>
      <c r="C1014" s="120" t="s">
        <v>3088</v>
      </c>
      <c r="D1014" s="121"/>
      <c r="E1014" s="108" t="s">
        <v>933</v>
      </c>
      <c r="F1014" s="114"/>
      <c r="G1014" s="120" t="s">
        <v>934</v>
      </c>
      <c r="H1014" s="82"/>
      <c r="I1014" s="111" t="n">
        <v>4131</v>
      </c>
      <c r="J1014" s="110"/>
      <c r="K1014" s="120" t="s">
        <v>3076</v>
      </c>
      <c r="L1014" s="110"/>
      <c r="M1014" s="112" t="n">
        <v>158</v>
      </c>
      <c r="N1014" s="82"/>
      <c r="O1014" s="108"/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/>
      <c r="AB1014" s="108"/>
      <c r="AC1014" s="108"/>
    </row>
    <row r="1015" customFormat="false" ht="15.75" hidden="false" customHeight="true" outlineLevel="0" collapsed="false">
      <c r="A1015" s="108" t="s">
        <v>3089</v>
      </c>
      <c r="B1015" s="82"/>
      <c r="C1015" s="120" t="s">
        <v>3090</v>
      </c>
      <c r="D1015" s="121"/>
      <c r="E1015" s="108" t="s">
        <v>933</v>
      </c>
      <c r="F1015" s="114"/>
      <c r="G1015" s="120" t="s">
        <v>934</v>
      </c>
      <c r="H1015" s="82"/>
      <c r="I1015" s="111" t="n">
        <v>4131</v>
      </c>
      <c r="J1015" s="110"/>
      <c r="K1015" s="120" t="s">
        <v>3076</v>
      </c>
      <c r="L1015" s="110"/>
      <c r="M1015" s="112" t="n">
        <v>158</v>
      </c>
      <c r="N1015" s="82"/>
      <c r="O1015" s="108"/>
      <c r="P1015" s="108"/>
      <c r="Q1015" s="108"/>
      <c r="R1015" s="108"/>
      <c r="S1015" s="108"/>
      <c r="T1015" s="108"/>
      <c r="U1015" s="108"/>
      <c r="V1015" s="108"/>
      <c r="W1015" s="108"/>
      <c r="X1015" s="108"/>
      <c r="Y1015" s="108"/>
      <c r="Z1015" s="108"/>
      <c r="AA1015" s="108"/>
      <c r="AB1015" s="108"/>
      <c r="AC1015" s="108"/>
    </row>
    <row r="1016" customFormat="false" ht="15.75" hidden="false" customHeight="true" outlineLevel="0" collapsed="false">
      <c r="A1016" s="108" t="s">
        <v>3091</v>
      </c>
      <c r="B1016" s="82"/>
      <c r="C1016" s="120" t="s">
        <v>3092</v>
      </c>
      <c r="D1016" s="121"/>
      <c r="E1016" s="108" t="s">
        <v>933</v>
      </c>
      <c r="F1016" s="114"/>
      <c r="G1016" s="120" t="s">
        <v>934</v>
      </c>
      <c r="H1016" s="82"/>
      <c r="I1016" s="111" t="n">
        <v>4131</v>
      </c>
      <c r="J1016" s="110"/>
      <c r="K1016" s="120" t="s">
        <v>3076</v>
      </c>
      <c r="L1016" s="110"/>
      <c r="M1016" s="112" t="n">
        <v>158</v>
      </c>
      <c r="N1016" s="82"/>
      <c r="O1016" s="108"/>
      <c r="P1016" s="108"/>
      <c r="Q1016" s="108"/>
      <c r="R1016" s="108"/>
      <c r="S1016" s="108"/>
      <c r="T1016" s="108"/>
      <c r="U1016" s="108"/>
      <c r="V1016" s="108"/>
      <c r="W1016" s="108"/>
      <c r="X1016" s="108"/>
      <c r="Y1016" s="108"/>
      <c r="Z1016" s="108"/>
      <c r="AA1016" s="108"/>
      <c r="AB1016" s="108"/>
      <c r="AC1016" s="108"/>
    </row>
    <row r="1017" customFormat="false" ht="15.75" hidden="false" customHeight="true" outlineLevel="0" collapsed="false">
      <c r="A1017" s="108" t="s">
        <v>3093</v>
      </c>
      <c r="B1017" s="82"/>
      <c r="C1017" s="120" t="s">
        <v>3094</v>
      </c>
      <c r="D1017" s="121"/>
      <c r="E1017" s="108" t="s">
        <v>808</v>
      </c>
      <c r="F1017" s="114"/>
      <c r="G1017" s="120" t="s">
        <v>1630</v>
      </c>
      <c r="H1017" s="82"/>
      <c r="I1017" s="111" t="n">
        <v>4814</v>
      </c>
      <c r="J1017" s="110"/>
      <c r="K1017" s="120" t="s">
        <v>3095</v>
      </c>
      <c r="L1017" s="110"/>
      <c r="M1017" s="112" t="n">
        <v>159</v>
      </c>
      <c r="N1017" s="82"/>
      <c r="O1017" s="108"/>
      <c r="P1017" s="108"/>
      <c r="Q1017" s="108"/>
      <c r="R1017" s="108"/>
      <c r="S1017" s="108"/>
      <c r="T1017" s="108"/>
      <c r="U1017" s="108"/>
      <c r="V1017" s="108"/>
      <c r="W1017" s="108"/>
      <c r="X1017" s="108"/>
      <c r="Y1017" s="108"/>
      <c r="Z1017" s="108"/>
      <c r="AA1017" s="108"/>
      <c r="AB1017" s="108"/>
      <c r="AC1017" s="108"/>
    </row>
    <row r="1018" customFormat="false" ht="15.75" hidden="false" customHeight="true" outlineLevel="0" collapsed="false">
      <c r="A1018" s="108" t="s">
        <v>3096</v>
      </c>
      <c r="B1018" s="82"/>
      <c r="C1018" s="120" t="s">
        <v>3097</v>
      </c>
      <c r="D1018" s="121"/>
      <c r="E1018" s="108" t="s">
        <v>808</v>
      </c>
      <c r="F1018" s="114"/>
      <c r="G1018" s="120" t="s">
        <v>1630</v>
      </c>
      <c r="H1018" s="82"/>
      <c r="I1018" s="111" t="n">
        <v>4814</v>
      </c>
      <c r="J1018" s="110"/>
      <c r="K1018" s="120" t="s">
        <v>3095</v>
      </c>
      <c r="L1018" s="110"/>
      <c r="M1018" s="112" t="n">
        <v>159</v>
      </c>
      <c r="N1018" s="82"/>
      <c r="O1018" s="108"/>
      <c r="P1018" s="108"/>
      <c r="Q1018" s="108"/>
      <c r="R1018" s="108"/>
      <c r="S1018" s="108"/>
      <c r="T1018" s="108"/>
      <c r="U1018" s="108"/>
      <c r="V1018" s="108"/>
      <c r="W1018" s="108"/>
      <c r="X1018" s="108"/>
      <c r="Y1018" s="108"/>
      <c r="Z1018" s="108"/>
      <c r="AA1018" s="108"/>
      <c r="AB1018" s="108"/>
      <c r="AC1018" s="108"/>
    </row>
    <row r="1019" customFormat="false" ht="15.75" hidden="false" customHeight="true" outlineLevel="0" collapsed="false">
      <c r="A1019" s="108" t="s">
        <v>3098</v>
      </c>
      <c r="B1019" s="82"/>
      <c r="C1019" s="120" t="s">
        <v>3099</v>
      </c>
      <c r="D1019" s="121"/>
      <c r="E1019" s="108" t="s">
        <v>808</v>
      </c>
      <c r="F1019" s="114"/>
      <c r="G1019" s="120" t="s">
        <v>1630</v>
      </c>
      <c r="H1019" s="82"/>
      <c r="I1019" s="111" t="n">
        <v>4814</v>
      </c>
      <c r="J1019" s="110"/>
      <c r="K1019" s="120" t="s">
        <v>3095</v>
      </c>
      <c r="L1019" s="110"/>
      <c r="M1019" s="112" t="n">
        <v>159</v>
      </c>
      <c r="N1019" s="82"/>
      <c r="O1019" s="108"/>
      <c r="P1019" s="108"/>
      <c r="Q1019" s="108"/>
      <c r="R1019" s="108"/>
      <c r="S1019" s="108"/>
      <c r="T1019" s="108"/>
      <c r="U1019" s="108"/>
      <c r="V1019" s="108"/>
      <c r="W1019" s="108"/>
      <c r="X1019" s="108"/>
      <c r="Y1019" s="108"/>
      <c r="Z1019" s="108"/>
      <c r="AA1019" s="108"/>
      <c r="AB1019" s="108"/>
      <c r="AC1019" s="108"/>
    </row>
    <row r="1020" customFormat="false" ht="15.75" hidden="false" customHeight="true" outlineLevel="0" collapsed="false">
      <c r="A1020" s="108" t="s">
        <v>3100</v>
      </c>
      <c r="B1020" s="82"/>
      <c r="C1020" s="120" t="s">
        <v>3101</v>
      </c>
      <c r="D1020" s="121"/>
      <c r="E1020" s="108" t="s">
        <v>808</v>
      </c>
      <c r="F1020" s="114"/>
      <c r="G1020" s="120" t="s">
        <v>1630</v>
      </c>
      <c r="H1020" s="82"/>
      <c r="I1020" s="111" t="n">
        <v>4814</v>
      </c>
      <c r="J1020" s="110"/>
      <c r="K1020" s="120" t="s">
        <v>3095</v>
      </c>
      <c r="L1020" s="110"/>
      <c r="M1020" s="112" t="n">
        <v>159</v>
      </c>
      <c r="N1020" s="82"/>
      <c r="O1020" s="108"/>
      <c r="P1020" s="108"/>
      <c r="Q1020" s="108"/>
      <c r="R1020" s="108"/>
      <c r="S1020" s="108"/>
      <c r="T1020" s="108"/>
      <c r="U1020" s="108"/>
      <c r="V1020" s="108"/>
      <c r="W1020" s="108"/>
      <c r="X1020" s="108"/>
      <c r="Y1020" s="108"/>
      <c r="Z1020" s="108"/>
      <c r="AA1020" s="108"/>
      <c r="AB1020" s="108"/>
      <c r="AC1020" s="108"/>
    </row>
    <row r="1021" customFormat="false" ht="15.75" hidden="false" customHeight="true" outlineLevel="0" collapsed="false">
      <c r="A1021" s="108" t="s">
        <v>3102</v>
      </c>
      <c r="B1021" s="82"/>
      <c r="C1021" s="120" t="s">
        <v>3103</v>
      </c>
      <c r="D1021" s="121"/>
      <c r="E1021" s="108" t="s">
        <v>808</v>
      </c>
      <c r="F1021" s="114"/>
      <c r="G1021" s="120" t="s">
        <v>1630</v>
      </c>
      <c r="H1021" s="82"/>
      <c r="I1021" s="111" t="n">
        <v>4814</v>
      </c>
      <c r="J1021" s="110"/>
      <c r="K1021" s="120" t="s">
        <v>3095</v>
      </c>
      <c r="L1021" s="110"/>
      <c r="M1021" s="112" t="n">
        <v>159</v>
      </c>
      <c r="N1021" s="82"/>
      <c r="O1021" s="108"/>
      <c r="P1021" s="108"/>
      <c r="Q1021" s="108"/>
      <c r="R1021" s="108"/>
      <c r="S1021" s="108"/>
      <c r="T1021" s="108"/>
      <c r="U1021" s="108"/>
      <c r="V1021" s="108"/>
      <c r="W1021" s="108"/>
      <c r="X1021" s="108"/>
      <c r="Y1021" s="108"/>
      <c r="Z1021" s="108"/>
      <c r="AA1021" s="108"/>
      <c r="AB1021" s="108"/>
      <c r="AC1021" s="108"/>
    </row>
    <row r="1022" customFormat="false" ht="15.75" hidden="false" customHeight="true" outlineLevel="0" collapsed="false">
      <c r="A1022" s="108" t="s">
        <v>3104</v>
      </c>
      <c r="B1022" s="82"/>
      <c r="C1022" s="120" t="s">
        <v>3105</v>
      </c>
      <c r="D1022" s="121"/>
      <c r="E1022" s="108" t="s">
        <v>808</v>
      </c>
      <c r="F1022" s="114"/>
      <c r="G1022" s="120" t="s">
        <v>1630</v>
      </c>
      <c r="H1022" s="82"/>
      <c r="I1022" s="111" t="n">
        <v>4814</v>
      </c>
      <c r="J1022" s="110"/>
      <c r="K1022" s="120" t="s">
        <v>3095</v>
      </c>
      <c r="L1022" s="110"/>
      <c r="M1022" s="112" t="n">
        <v>159</v>
      </c>
      <c r="N1022" s="82"/>
      <c r="O1022" s="108"/>
      <c r="P1022" s="108"/>
      <c r="Q1022" s="108"/>
      <c r="R1022" s="108"/>
      <c r="S1022" s="108"/>
      <c r="T1022" s="108"/>
      <c r="U1022" s="108"/>
      <c r="V1022" s="108"/>
      <c r="W1022" s="108"/>
      <c r="X1022" s="108"/>
      <c r="Y1022" s="108"/>
      <c r="Z1022" s="108"/>
      <c r="AA1022" s="108"/>
      <c r="AB1022" s="108"/>
      <c r="AC1022" s="108"/>
    </row>
    <row r="1023" customFormat="false" ht="15.75" hidden="false" customHeight="true" outlineLevel="0" collapsed="false">
      <c r="A1023" s="108" t="s">
        <v>3106</v>
      </c>
      <c r="B1023" s="82"/>
      <c r="C1023" s="120" t="s">
        <v>3107</v>
      </c>
      <c r="D1023" s="121"/>
      <c r="E1023" s="108" t="s">
        <v>808</v>
      </c>
      <c r="F1023" s="114"/>
      <c r="G1023" s="120" t="s">
        <v>1630</v>
      </c>
      <c r="H1023" s="82"/>
      <c r="I1023" s="111" t="n">
        <v>4814</v>
      </c>
      <c r="J1023" s="110"/>
      <c r="K1023" s="120" t="s">
        <v>3095</v>
      </c>
      <c r="L1023" s="110"/>
      <c r="M1023" s="112" t="n">
        <v>159</v>
      </c>
      <c r="N1023" s="82"/>
      <c r="O1023" s="108"/>
      <c r="P1023" s="108"/>
      <c r="Q1023" s="108"/>
      <c r="R1023" s="108"/>
      <c r="S1023" s="108"/>
      <c r="T1023" s="108"/>
      <c r="U1023" s="108"/>
      <c r="V1023" s="108"/>
      <c r="W1023" s="108"/>
      <c r="X1023" s="108"/>
      <c r="Y1023" s="108"/>
      <c r="Z1023" s="108"/>
      <c r="AA1023" s="108"/>
      <c r="AB1023" s="108"/>
      <c r="AC1023" s="108"/>
    </row>
    <row r="1024" customFormat="false" ht="15.75" hidden="false" customHeight="true" outlineLevel="0" collapsed="false">
      <c r="A1024" s="108" t="s">
        <v>3108</v>
      </c>
      <c r="B1024" s="82"/>
      <c r="C1024" s="120" t="s">
        <v>3109</v>
      </c>
      <c r="D1024" s="121"/>
      <c r="E1024" s="108" t="s">
        <v>808</v>
      </c>
      <c r="F1024" s="114"/>
      <c r="G1024" s="120" t="s">
        <v>1630</v>
      </c>
      <c r="H1024" s="82"/>
      <c r="I1024" s="111" t="n">
        <v>4814</v>
      </c>
      <c r="J1024" s="110"/>
      <c r="K1024" s="120" t="s">
        <v>3095</v>
      </c>
      <c r="L1024" s="110"/>
      <c r="M1024" s="112" t="n">
        <v>159</v>
      </c>
      <c r="N1024" s="82"/>
      <c r="O1024" s="108"/>
      <c r="P1024" s="108"/>
      <c r="Q1024" s="108"/>
      <c r="R1024" s="108"/>
      <c r="S1024" s="108"/>
      <c r="T1024" s="108"/>
      <c r="U1024" s="108"/>
      <c r="V1024" s="108"/>
      <c r="W1024" s="108"/>
      <c r="X1024" s="108"/>
      <c r="Y1024" s="108"/>
      <c r="Z1024" s="108"/>
      <c r="AA1024" s="108"/>
      <c r="AB1024" s="108"/>
      <c r="AC1024" s="108"/>
    </row>
    <row r="1025" customFormat="false" ht="15.75" hidden="false" customHeight="true" outlineLevel="0" collapsed="false">
      <c r="A1025" s="108" t="s">
        <v>3110</v>
      </c>
      <c r="B1025" s="82"/>
      <c r="C1025" s="120" t="s">
        <v>3111</v>
      </c>
      <c r="D1025" s="121"/>
      <c r="E1025" s="108" t="s">
        <v>808</v>
      </c>
      <c r="F1025" s="114"/>
      <c r="G1025" s="120" t="s">
        <v>1630</v>
      </c>
      <c r="H1025" s="82"/>
      <c r="I1025" s="111" t="n">
        <v>4814</v>
      </c>
      <c r="J1025" s="110"/>
      <c r="K1025" s="120" t="s">
        <v>3095</v>
      </c>
      <c r="L1025" s="110"/>
      <c r="M1025" s="112" t="n">
        <v>159</v>
      </c>
      <c r="N1025" s="82"/>
      <c r="O1025" s="108"/>
      <c r="P1025" s="108"/>
      <c r="Q1025" s="108"/>
      <c r="R1025" s="108"/>
      <c r="S1025" s="108"/>
      <c r="T1025" s="108"/>
      <c r="U1025" s="108"/>
      <c r="V1025" s="108"/>
      <c r="W1025" s="108"/>
      <c r="X1025" s="108"/>
      <c r="Y1025" s="108"/>
      <c r="Z1025" s="108"/>
      <c r="AA1025" s="108"/>
      <c r="AB1025" s="108"/>
      <c r="AC1025" s="108"/>
    </row>
    <row r="1026" customFormat="false" ht="15.75" hidden="false" customHeight="true" outlineLevel="0" collapsed="false">
      <c r="A1026" s="108" t="s">
        <v>3112</v>
      </c>
      <c r="B1026" s="82"/>
      <c r="C1026" s="120" t="s">
        <v>3113</v>
      </c>
      <c r="D1026" s="121"/>
      <c r="E1026" s="108" t="s">
        <v>808</v>
      </c>
      <c r="F1026" s="114"/>
      <c r="G1026" s="120" t="s">
        <v>1630</v>
      </c>
      <c r="H1026" s="82"/>
      <c r="I1026" s="111" t="n">
        <v>4814</v>
      </c>
      <c r="J1026" s="110"/>
      <c r="K1026" s="120" t="s">
        <v>3095</v>
      </c>
      <c r="L1026" s="110"/>
      <c r="M1026" s="112" t="n">
        <v>159</v>
      </c>
      <c r="N1026" s="82"/>
      <c r="O1026" s="108"/>
      <c r="P1026" s="108"/>
      <c r="Q1026" s="108"/>
      <c r="R1026" s="108"/>
      <c r="S1026" s="108"/>
      <c r="T1026" s="108"/>
      <c r="U1026" s="108"/>
      <c r="V1026" s="108"/>
      <c r="W1026" s="108"/>
      <c r="X1026" s="108"/>
      <c r="Y1026" s="108"/>
      <c r="Z1026" s="108"/>
      <c r="AA1026" s="108"/>
      <c r="AB1026" s="108"/>
      <c r="AC1026" s="108"/>
    </row>
    <row r="1027" customFormat="false" ht="15.75" hidden="false" customHeight="true" outlineLevel="0" collapsed="false">
      <c r="A1027" s="108" t="s">
        <v>3114</v>
      </c>
      <c r="B1027" s="82"/>
      <c r="C1027" s="120" t="s">
        <v>3115</v>
      </c>
      <c r="D1027" s="121"/>
      <c r="E1027" s="108" t="s">
        <v>1513</v>
      </c>
      <c r="F1027" s="114"/>
      <c r="G1027" s="120" t="s">
        <v>1514</v>
      </c>
      <c r="H1027" s="82"/>
      <c r="I1027" s="111" t="n">
        <v>4900</v>
      </c>
      <c r="J1027" s="110"/>
      <c r="K1027" s="120" t="s">
        <v>3116</v>
      </c>
      <c r="L1027" s="110"/>
      <c r="M1027" s="112" t="n">
        <v>160</v>
      </c>
      <c r="N1027" s="82"/>
      <c r="O1027" s="108"/>
      <c r="P1027" s="108"/>
      <c r="Q1027" s="108"/>
      <c r="R1027" s="108"/>
      <c r="S1027" s="108"/>
      <c r="T1027" s="108"/>
      <c r="U1027" s="108"/>
      <c r="V1027" s="108"/>
      <c r="W1027" s="108"/>
      <c r="X1027" s="108"/>
      <c r="Y1027" s="108"/>
      <c r="Z1027" s="108"/>
      <c r="AA1027" s="108"/>
      <c r="AB1027" s="108"/>
      <c r="AC1027" s="108"/>
    </row>
    <row r="1028" customFormat="false" ht="15.75" hidden="false" customHeight="true" outlineLevel="0" collapsed="false">
      <c r="A1028" s="108" t="s">
        <v>3117</v>
      </c>
      <c r="B1028" s="82"/>
      <c r="C1028" s="120" t="s">
        <v>3118</v>
      </c>
      <c r="D1028" s="121"/>
      <c r="E1028" s="108" t="s">
        <v>1513</v>
      </c>
      <c r="F1028" s="114"/>
      <c r="G1028" s="120" t="s">
        <v>1514</v>
      </c>
      <c r="H1028" s="82"/>
      <c r="I1028" s="111" t="n">
        <v>4900</v>
      </c>
      <c r="J1028" s="110"/>
      <c r="K1028" s="120" t="s">
        <v>3116</v>
      </c>
      <c r="L1028" s="110"/>
      <c r="M1028" s="112" t="n">
        <v>160</v>
      </c>
      <c r="N1028" s="82"/>
      <c r="O1028" s="108"/>
      <c r="P1028" s="108"/>
      <c r="Q1028" s="108"/>
      <c r="R1028" s="108"/>
      <c r="S1028" s="108"/>
      <c r="T1028" s="108"/>
      <c r="U1028" s="108"/>
      <c r="V1028" s="108"/>
      <c r="W1028" s="108"/>
      <c r="X1028" s="108"/>
      <c r="Y1028" s="108"/>
      <c r="Z1028" s="108"/>
      <c r="AA1028" s="108"/>
      <c r="AB1028" s="108"/>
      <c r="AC1028" s="108"/>
    </row>
    <row r="1029" customFormat="false" ht="15.75" hidden="false" customHeight="true" outlineLevel="0" collapsed="false">
      <c r="A1029" s="108" t="s">
        <v>3119</v>
      </c>
      <c r="B1029" s="82"/>
      <c r="C1029" s="120" t="s">
        <v>3120</v>
      </c>
      <c r="D1029" s="121"/>
      <c r="E1029" s="108" t="s">
        <v>1513</v>
      </c>
      <c r="F1029" s="114"/>
      <c r="G1029" s="120" t="s">
        <v>1514</v>
      </c>
      <c r="H1029" s="82"/>
      <c r="I1029" s="111" t="n">
        <v>4900</v>
      </c>
      <c r="J1029" s="110"/>
      <c r="K1029" s="120" t="s">
        <v>3116</v>
      </c>
      <c r="L1029" s="110"/>
      <c r="M1029" s="112" t="n">
        <v>160</v>
      </c>
      <c r="N1029" s="82"/>
      <c r="O1029" s="108"/>
      <c r="P1029" s="108"/>
      <c r="Q1029" s="108"/>
      <c r="R1029" s="108"/>
      <c r="S1029" s="108"/>
      <c r="T1029" s="108"/>
      <c r="U1029" s="108"/>
      <c r="V1029" s="108"/>
      <c r="W1029" s="108"/>
      <c r="X1029" s="108"/>
      <c r="Y1029" s="108"/>
      <c r="Z1029" s="108"/>
      <c r="AA1029" s="108"/>
      <c r="AB1029" s="108"/>
      <c r="AC1029" s="108"/>
    </row>
    <row r="1030" customFormat="false" ht="15.75" hidden="false" customHeight="true" outlineLevel="0" collapsed="false">
      <c r="A1030" s="108" t="s">
        <v>3121</v>
      </c>
      <c r="B1030" s="82"/>
      <c r="C1030" s="120" t="s">
        <v>3122</v>
      </c>
      <c r="D1030" s="121"/>
      <c r="E1030" s="108" t="s">
        <v>1513</v>
      </c>
      <c r="F1030" s="114"/>
      <c r="G1030" s="120" t="s">
        <v>1514</v>
      </c>
      <c r="H1030" s="82"/>
      <c r="I1030" s="111" t="n">
        <v>4900</v>
      </c>
      <c r="J1030" s="110"/>
      <c r="K1030" s="120" t="s">
        <v>3116</v>
      </c>
      <c r="L1030" s="110"/>
      <c r="M1030" s="112" t="n">
        <v>160</v>
      </c>
      <c r="N1030" s="82"/>
      <c r="O1030" s="108"/>
      <c r="P1030" s="108"/>
      <c r="Q1030" s="108"/>
      <c r="R1030" s="108"/>
      <c r="S1030" s="108"/>
      <c r="T1030" s="108"/>
      <c r="U1030" s="108"/>
      <c r="V1030" s="108"/>
      <c r="W1030" s="108"/>
      <c r="X1030" s="108"/>
      <c r="Y1030" s="108"/>
      <c r="Z1030" s="108"/>
      <c r="AA1030" s="108"/>
      <c r="AB1030" s="108"/>
      <c r="AC1030" s="108"/>
    </row>
    <row r="1031" customFormat="false" ht="15.75" hidden="false" customHeight="true" outlineLevel="0" collapsed="false">
      <c r="A1031" s="108" t="s">
        <v>3123</v>
      </c>
      <c r="B1031" s="82"/>
      <c r="C1031" s="120" t="s">
        <v>3124</v>
      </c>
      <c r="D1031" s="121"/>
      <c r="E1031" s="108" t="s">
        <v>1513</v>
      </c>
      <c r="F1031" s="114"/>
      <c r="G1031" s="120" t="s">
        <v>1514</v>
      </c>
      <c r="H1031" s="82"/>
      <c r="I1031" s="111" t="n">
        <v>4900</v>
      </c>
      <c r="J1031" s="110"/>
      <c r="K1031" s="120" t="s">
        <v>3116</v>
      </c>
      <c r="L1031" s="110"/>
      <c r="M1031" s="112" t="n">
        <v>160</v>
      </c>
      <c r="N1031" s="82"/>
      <c r="O1031" s="108"/>
      <c r="P1031" s="108"/>
      <c r="Q1031" s="108"/>
      <c r="R1031" s="108"/>
      <c r="S1031" s="108"/>
      <c r="T1031" s="108"/>
      <c r="U1031" s="108"/>
      <c r="V1031" s="108"/>
      <c r="W1031" s="108"/>
      <c r="X1031" s="108"/>
      <c r="Y1031" s="108"/>
      <c r="Z1031" s="108"/>
      <c r="AA1031" s="108"/>
      <c r="AB1031" s="108"/>
      <c r="AC1031" s="108"/>
    </row>
    <row r="1032" customFormat="false" ht="15.75" hidden="false" customHeight="true" outlineLevel="0" collapsed="false">
      <c r="A1032" s="108" t="s">
        <v>3125</v>
      </c>
      <c r="B1032" s="82"/>
      <c r="C1032" s="120" t="s">
        <v>3126</v>
      </c>
      <c r="D1032" s="121"/>
      <c r="E1032" s="108" t="s">
        <v>1513</v>
      </c>
      <c r="F1032" s="114"/>
      <c r="G1032" s="120" t="s">
        <v>1514</v>
      </c>
      <c r="H1032" s="82"/>
      <c r="I1032" s="111" t="n">
        <v>4900</v>
      </c>
      <c r="J1032" s="110"/>
      <c r="K1032" s="120" t="s">
        <v>3116</v>
      </c>
      <c r="L1032" s="110"/>
      <c r="M1032" s="112" t="n">
        <v>160</v>
      </c>
      <c r="N1032" s="82"/>
      <c r="O1032" s="108"/>
      <c r="P1032" s="108"/>
      <c r="Q1032" s="108"/>
      <c r="R1032" s="108"/>
      <c r="S1032" s="108"/>
      <c r="T1032" s="108"/>
      <c r="U1032" s="108"/>
      <c r="V1032" s="108"/>
      <c r="W1032" s="108"/>
      <c r="X1032" s="108"/>
      <c r="Y1032" s="108"/>
      <c r="Z1032" s="108"/>
      <c r="AA1032" s="108"/>
      <c r="AB1032" s="108"/>
      <c r="AC1032" s="108"/>
    </row>
    <row r="1033" customFormat="false" ht="15.75" hidden="false" customHeight="true" outlineLevel="0" collapsed="false">
      <c r="A1033" s="108" t="s">
        <v>3127</v>
      </c>
      <c r="B1033" s="82"/>
      <c r="C1033" s="120" t="s">
        <v>3128</v>
      </c>
      <c r="D1033" s="121"/>
      <c r="E1033" s="108" t="s">
        <v>1513</v>
      </c>
      <c r="F1033" s="114"/>
      <c r="G1033" s="120" t="s">
        <v>1514</v>
      </c>
      <c r="H1033" s="82"/>
      <c r="I1033" s="111" t="n">
        <v>4900</v>
      </c>
      <c r="J1033" s="110"/>
      <c r="K1033" s="120" t="s">
        <v>3116</v>
      </c>
      <c r="L1033" s="110"/>
      <c r="M1033" s="112" t="n">
        <v>160</v>
      </c>
      <c r="N1033" s="82"/>
      <c r="O1033" s="108"/>
      <c r="P1033" s="108"/>
      <c r="Q1033" s="108"/>
      <c r="R1033" s="108"/>
      <c r="S1033" s="108"/>
      <c r="T1033" s="108"/>
      <c r="U1033" s="108"/>
      <c r="V1033" s="108"/>
      <c r="W1033" s="108"/>
      <c r="X1033" s="108"/>
      <c r="Y1033" s="108"/>
      <c r="Z1033" s="108"/>
      <c r="AA1033" s="108"/>
      <c r="AB1033" s="108"/>
      <c r="AC1033" s="108"/>
    </row>
    <row r="1034" customFormat="false" ht="15.75" hidden="false" customHeight="true" outlineLevel="0" collapsed="false">
      <c r="A1034" s="108" t="s">
        <v>3129</v>
      </c>
      <c r="B1034" s="82"/>
      <c r="C1034" s="120" t="s">
        <v>3130</v>
      </c>
      <c r="D1034" s="121"/>
      <c r="E1034" s="108" t="s">
        <v>1188</v>
      </c>
      <c r="F1034" s="114"/>
      <c r="G1034" s="120" t="s">
        <v>3131</v>
      </c>
      <c r="H1034" s="82"/>
      <c r="I1034" s="111" t="n">
        <v>4900</v>
      </c>
      <c r="J1034" s="110"/>
      <c r="K1034" s="120" t="s">
        <v>3116</v>
      </c>
      <c r="L1034" s="110"/>
      <c r="M1034" s="112" t="n">
        <v>160</v>
      </c>
      <c r="N1034" s="82"/>
      <c r="O1034" s="108"/>
      <c r="P1034" s="108"/>
      <c r="Q1034" s="108"/>
      <c r="R1034" s="108"/>
      <c r="S1034" s="108"/>
      <c r="T1034" s="108"/>
      <c r="U1034" s="108"/>
      <c r="V1034" s="108"/>
      <c r="W1034" s="108"/>
      <c r="X1034" s="108"/>
      <c r="Y1034" s="108"/>
      <c r="Z1034" s="108"/>
      <c r="AA1034" s="108"/>
      <c r="AB1034" s="108"/>
      <c r="AC1034" s="108"/>
    </row>
    <row r="1035" customFormat="false" ht="15.75" hidden="false" customHeight="true" outlineLevel="0" collapsed="false">
      <c r="A1035" s="108" t="s">
        <v>3132</v>
      </c>
      <c r="B1035" s="82"/>
      <c r="C1035" s="120" t="s">
        <v>3133</v>
      </c>
      <c r="D1035" s="121"/>
      <c r="E1035" s="108" t="s">
        <v>1188</v>
      </c>
      <c r="F1035" s="114"/>
      <c r="G1035" s="120" t="s">
        <v>3131</v>
      </c>
      <c r="H1035" s="82"/>
      <c r="I1035" s="111" t="n">
        <v>4900</v>
      </c>
      <c r="J1035" s="110"/>
      <c r="K1035" s="120" t="s">
        <v>3116</v>
      </c>
      <c r="L1035" s="110"/>
      <c r="M1035" s="112" t="n">
        <v>160</v>
      </c>
      <c r="N1035" s="82"/>
      <c r="O1035" s="108"/>
      <c r="P1035" s="108"/>
      <c r="Q1035" s="108"/>
      <c r="R1035" s="108"/>
      <c r="S1035" s="108"/>
      <c r="T1035" s="108"/>
      <c r="U1035" s="108"/>
      <c r="V1035" s="108"/>
      <c r="W1035" s="108"/>
      <c r="X1035" s="108"/>
      <c r="Y1035" s="108"/>
      <c r="Z1035" s="108"/>
      <c r="AA1035" s="108"/>
      <c r="AB1035" s="108"/>
      <c r="AC1035" s="108"/>
    </row>
    <row r="1036" customFormat="false" ht="15.75" hidden="false" customHeight="true" outlineLevel="0" collapsed="false">
      <c r="A1036" s="108" t="s">
        <v>3134</v>
      </c>
      <c r="B1036" s="82"/>
      <c r="C1036" s="120" t="s">
        <v>3135</v>
      </c>
      <c r="D1036" s="121"/>
      <c r="E1036" s="108" t="s">
        <v>1188</v>
      </c>
      <c r="F1036" s="114"/>
      <c r="G1036" s="120" t="s">
        <v>3136</v>
      </c>
      <c r="H1036" s="82"/>
      <c r="I1036" s="111" t="n">
        <v>4900</v>
      </c>
      <c r="J1036" s="110"/>
      <c r="K1036" s="120" t="s">
        <v>3116</v>
      </c>
      <c r="L1036" s="110"/>
      <c r="M1036" s="112" t="n">
        <v>160</v>
      </c>
      <c r="N1036" s="82"/>
      <c r="O1036" s="108"/>
      <c r="P1036" s="108"/>
      <c r="Q1036" s="108"/>
      <c r="R1036" s="108"/>
      <c r="S1036" s="108"/>
      <c r="T1036" s="108"/>
      <c r="U1036" s="108"/>
      <c r="V1036" s="108"/>
      <c r="W1036" s="108"/>
      <c r="X1036" s="108"/>
      <c r="Y1036" s="108"/>
      <c r="Z1036" s="108"/>
      <c r="AA1036" s="108"/>
      <c r="AB1036" s="108"/>
      <c r="AC1036" s="108"/>
    </row>
    <row r="1037" customFormat="false" ht="15.75" hidden="false" customHeight="true" outlineLevel="0" collapsed="false">
      <c r="A1037" s="108" t="s">
        <v>3137</v>
      </c>
      <c r="B1037" s="82"/>
      <c r="C1037" s="120" t="s">
        <v>3138</v>
      </c>
      <c r="D1037" s="121"/>
      <c r="E1037" s="108" t="s">
        <v>1188</v>
      </c>
      <c r="F1037" s="114"/>
      <c r="G1037" s="120" t="s">
        <v>3136</v>
      </c>
      <c r="H1037" s="82"/>
      <c r="I1037" s="111" t="n">
        <v>4900</v>
      </c>
      <c r="J1037" s="110"/>
      <c r="K1037" s="120" t="s">
        <v>3116</v>
      </c>
      <c r="L1037" s="110"/>
      <c r="M1037" s="112" t="n">
        <v>160</v>
      </c>
      <c r="N1037" s="82"/>
      <c r="O1037" s="108"/>
      <c r="P1037" s="108"/>
      <c r="Q1037" s="108"/>
      <c r="R1037" s="108"/>
      <c r="S1037" s="108"/>
      <c r="T1037" s="108"/>
      <c r="U1037" s="108"/>
      <c r="V1037" s="108"/>
      <c r="W1037" s="108"/>
      <c r="X1037" s="108"/>
      <c r="Y1037" s="108"/>
      <c r="Z1037" s="108"/>
      <c r="AA1037" s="108"/>
      <c r="AB1037" s="108"/>
      <c r="AC1037" s="108"/>
    </row>
    <row r="1038" customFormat="false" ht="15.75" hidden="false" customHeight="true" outlineLevel="0" collapsed="false">
      <c r="A1038" s="108" t="s">
        <v>3139</v>
      </c>
      <c r="B1038" s="82"/>
      <c r="C1038" s="120" t="s">
        <v>3140</v>
      </c>
      <c r="D1038" s="121"/>
      <c r="E1038" s="108" t="s">
        <v>1188</v>
      </c>
      <c r="F1038" s="114"/>
      <c r="G1038" s="120" t="s">
        <v>1189</v>
      </c>
      <c r="H1038" s="82"/>
      <c r="I1038" s="111" t="n">
        <v>4900</v>
      </c>
      <c r="J1038" s="110"/>
      <c r="K1038" s="120" t="s">
        <v>3116</v>
      </c>
      <c r="L1038" s="110"/>
      <c r="M1038" s="112" t="n">
        <v>160</v>
      </c>
      <c r="N1038" s="82"/>
      <c r="O1038" s="108"/>
      <c r="P1038" s="108"/>
      <c r="Q1038" s="108"/>
      <c r="R1038" s="108"/>
      <c r="S1038" s="108"/>
      <c r="T1038" s="108"/>
      <c r="U1038" s="108"/>
      <c r="V1038" s="108"/>
      <c r="W1038" s="108"/>
      <c r="X1038" s="108"/>
      <c r="Y1038" s="108"/>
      <c r="Z1038" s="108"/>
      <c r="AA1038" s="108"/>
      <c r="AB1038" s="108"/>
      <c r="AC1038" s="108"/>
    </row>
    <row r="1039" customFormat="false" ht="15.75" hidden="false" customHeight="true" outlineLevel="0" collapsed="false">
      <c r="A1039" s="108" t="s">
        <v>3141</v>
      </c>
      <c r="B1039" s="82"/>
      <c r="C1039" s="120" t="s">
        <v>3142</v>
      </c>
      <c r="D1039" s="121"/>
      <c r="E1039" s="108" t="s">
        <v>1188</v>
      </c>
      <c r="F1039" s="114"/>
      <c r="G1039" s="120" t="s">
        <v>1189</v>
      </c>
      <c r="H1039" s="82"/>
      <c r="I1039" s="111" t="n">
        <v>4900</v>
      </c>
      <c r="J1039" s="110"/>
      <c r="K1039" s="120" t="s">
        <v>3116</v>
      </c>
      <c r="L1039" s="110"/>
      <c r="M1039" s="112" t="n">
        <v>160</v>
      </c>
      <c r="N1039" s="82"/>
      <c r="O1039" s="108"/>
      <c r="P1039" s="108"/>
      <c r="Q1039" s="108"/>
      <c r="R1039" s="108"/>
      <c r="S1039" s="108"/>
      <c r="T1039" s="108"/>
      <c r="U1039" s="108"/>
      <c r="V1039" s="108"/>
      <c r="W1039" s="108"/>
      <c r="X1039" s="108"/>
      <c r="Y1039" s="108"/>
      <c r="Z1039" s="108"/>
      <c r="AA1039" s="108"/>
      <c r="AB1039" s="108"/>
      <c r="AC1039" s="108"/>
    </row>
    <row r="1040" customFormat="false" ht="15.75" hidden="false" customHeight="true" outlineLevel="0" collapsed="false">
      <c r="A1040" s="108" t="s">
        <v>3143</v>
      </c>
      <c r="B1040" s="82"/>
      <c r="C1040" s="120" t="s">
        <v>3144</v>
      </c>
      <c r="D1040" s="121"/>
      <c r="E1040" s="108" t="s">
        <v>1188</v>
      </c>
      <c r="F1040" s="114"/>
      <c r="G1040" s="120" t="s">
        <v>1189</v>
      </c>
      <c r="H1040" s="82"/>
      <c r="I1040" s="111" t="n">
        <v>4900</v>
      </c>
      <c r="J1040" s="110"/>
      <c r="K1040" s="120" t="s">
        <v>3116</v>
      </c>
      <c r="L1040" s="110"/>
      <c r="M1040" s="112" t="n">
        <v>160</v>
      </c>
      <c r="N1040" s="82"/>
      <c r="O1040" s="108"/>
      <c r="P1040" s="108"/>
      <c r="Q1040" s="108"/>
      <c r="R1040" s="108"/>
      <c r="S1040" s="108"/>
      <c r="T1040" s="108"/>
      <c r="U1040" s="108"/>
      <c r="V1040" s="108"/>
      <c r="W1040" s="108"/>
      <c r="X1040" s="108"/>
      <c r="Y1040" s="108"/>
      <c r="Z1040" s="108"/>
      <c r="AA1040" s="108"/>
      <c r="AB1040" s="108"/>
      <c r="AC1040" s="108"/>
    </row>
    <row r="1041" customFormat="false" ht="15.75" hidden="false" customHeight="true" outlineLevel="0" collapsed="false">
      <c r="A1041" s="108" t="s">
        <v>3145</v>
      </c>
      <c r="B1041" s="82"/>
      <c r="C1041" s="120" t="s">
        <v>3146</v>
      </c>
      <c r="D1041" s="121"/>
      <c r="E1041" s="108" t="s">
        <v>1188</v>
      </c>
      <c r="F1041" s="114"/>
      <c r="G1041" s="120" t="s">
        <v>1189</v>
      </c>
      <c r="H1041" s="82"/>
      <c r="I1041" s="111" t="n">
        <v>4900</v>
      </c>
      <c r="J1041" s="110"/>
      <c r="K1041" s="120" t="s">
        <v>3116</v>
      </c>
      <c r="L1041" s="110"/>
      <c r="M1041" s="112" t="n">
        <v>160</v>
      </c>
      <c r="N1041" s="82"/>
      <c r="O1041" s="108"/>
      <c r="P1041" s="108"/>
      <c r="Q1041" s="108"/>
      <c r="R1041" s="108"/>
      <c r="S1041" s="108"/>
      <c r="T1041" s="108"/>
      <c r="U1041" s="108"/>
      <c r="V1041" s="108"/>
      <c r="W1041" s="108"/>
      <c r="X1041" s="108"/>
      <c r="Y1041" s="108"/>
      <c r="Z1041" s="108"/>
      <c r="AA1041" s="108"/>
      <c r="AB1041" s="108"/>
      <c r="AC1041" s="108"/>
    </row>
    <row r="1042" customFormat="false" ht="15.75" hidden="false" customHeight="true" outlineLevel="0" collapsed="false">
      <c r="A1042" s="108" t="s">
        <v>3147</v>
      </c>
      <c r="B1042" s="82"/>
      <c r="C1042" s="120" t="s">
        <v>3148</v>
      </c>
      <c r="D1042" s="121"/>
      <c r="E1042" s="108" t="s">
        <v>1188</v>
      </c>
      <c r="F1042" s="114"/>
      <c r="G1042" s="120" t="s">
        <v>3149</v>
      </c>
      <c r="H1042" s="82"/>
      <c r="I1042" s="111" t="n">
        <v>4900</v>
      </c>
      <c r="J1042" s="110"/>
      <c r="K1042" s="120" t="s">
        <v>3116</v>
      </c>
      <c r="L1042" s="110"/>
      <c r="M1042" s="112" t="n">
        <v>160</v>
      </c>
      <c r="N1042" s="82"/>
      <c r="O1042" s="108"/>
      <c r="P1042" s="108"/>
      <c r="Q1042" s="108"/>
      <c r="R1042" s="108"/>
      <c r="S1042" s="108"/>
      <c r="T1042" s="108"/>
      <c r="U1042" s="108"/>
      <c r="V1042" s="108"/>
      <c r="W1042" s="108"/>
      <c r="X1042" s="108"/>
      <c r="Y1042" s="108"/>
      <c r="Z1042" s="108"/>
      <c r="AA1042" s="108"/>
      <c r="AB1042" s="108"/>
      <c r="AC1042" s="108"/>
    </row>
    <row r="1043" customFormat="false" ht="15.75" hidden="false" customHeight="true" outlineLevel="0" collapsed="false">
      <c r="A1043" s="108" t="s">
        <v>3150</v>
      </c>
      <c r="B1043" s="82"/>
      <c r="C1043" s="120" t="s">
        <v>3151</v>
      </c>
      <c r="D1043" s="121"/>
      <c r="E1043" s="108" t="s">
        <v>1518</v>
      </c>
      <c r="F1043" s="114"/>
      <c r="G1043" s="120" t="s">
        <v>1527</v>
      </c>
      <c r="H1043" s="82"/>
      <c r="I1043" s="111" t="n">
        <v>4900</v>
      </c>
      <c r="J1043" s="110"/>
      <c r="K1043" s="120" t="s">
        <v>3116</v>
      </c>
      <c r="L1043" s="110"/>
      <c r="M1043" s="112" t="n">
        <v>160</v>
      </c>
      <c r="N1043" s="82"/>
      <c r="O1043" s="108"/>
      <c r="P1043" s="108"/>
      <c r="Q1043" s="108"/>
      <c r="R1043" s="108"/>
      <c r="S1043" s="108"/>
      <c r="T1043" s="108"/>
      <c r="U1043" s="108"/>
      <c r="V1043" s="108"/>
      <c r="W1043" s="108"/>
      <c r="X1043" s="108"/>
      <c r="Y1043" s="108"/>
      <c r="Z1043" s="108"/>
      <c r="AA1043" s="108"/>
      <c r="AB1043" s="108"/>
      <c r="AC1043" s="108"/>
    </row>
    <row r="1044" customFormat="false" ht="15.75" hidden="false" customHeight="true" outlineLevel="0" collapsed="false">
      <c r="A1044" s="108" t="s">
        <v>3152</v>
      </c>
      <c r="B1044" s="82"/>
      <c r="C1044" s="120" t="s">
        <v>3153</v>
      </c>
      <c r="D1044" s="121"/>
      <c r="E1044" s="108" t="s">
        <v>920</v>
      </c>
      <c r="F1044" s="114"/>
      <c r="G1044" s="120" t="s">
        <v>921</v>
      </c>
      <c r="H1044" s="82"/>
      <c r="I1044" s="111" t="n">
        <v>4900</v>
      </c>
      <c r="J1044" s="110"/>
      <c r="K1044" s="120" t="s">
        <v>3116</v>
      </c>
      <c r="L1044" s="110"/>
      <c r="M1044" s="112" t="n">
        <v>160</v>
      </c>
      <c r="N1044" s="82"/>
      <c r="O1044" s="108"/>
      <c r="P1044" s="108"/>
      <c r="Q1044" s="108"/>
      <c r="R1044" s="108"/>
      <c r="S1044" s="108"/>
      <c r="T1044" s="108"/>
      <c r="U1044" s="108"/>
      <c r="V1044" s="108"/>
      <c r="W1044" s="108"/>
      <c r="X1044" s="108"/>
      <c r="Y1044" s="108"/>
      <c r="Z1044" s="108"/>
      <c r="AA1044" s="108"/>
      <c r="AB1044" s="108"/>
      <c r="AC1044" s="108"/>
    </row>
    <row r="1045" customFormat="false" ht="15.75" hidden="false" customHeight="true" outlineLevel="0" collapsed="false">
      <c r="A1045" s="108" t="s">
        <v>3154</v>
      </c>
      <c r="B1045" s="82"/>
      <c r="C1045" s="120" t="s">
        <v>3115</v>
      </c>
      <c r="D1045" s="121"/>
      <c r="E1045" s="108" t="s">
        <v>818</v>
      </c>
      <c r="F1045" s="114"/>
      <c r="G1045" s="120" t="s">
        <v>818</v>
      </c>
      <c r="H1045" s="82"/>
      <c r="I1045" s="111" t="n">
        <v>4900</v>
      </c>
      <c r="J1045" s="110"/>
      <c r="K1045" s="120" t="s">
        <v>3116</v>
      </c>
      <c r="L1045" s="110"/>
      <c r="M1045" s="112" t="n">
        <v>160</v>
      </c>
      <c r="N1045" s="82"/>
      <c r="O1045" s="108"/>
      <c r="P1045" s="108"/>
      <c r="Q1045" s="108"/>
      <c r="R1045" s="108"/>
      <c r="S1045" s="108"/>
      <c r="T1045" s="108"/>
      <c r="U1045" s="108"/>
      <c r="V1045" s="108"/>
      <c r="W1045" s="108"/>
      <c r="X1045" s="108"/>
      <c r="Y1045" s="108"/>
      <c r="Z1045" s="108"/>
      <c r="AA1045" s="108"/>
      <c r="AB1045" s="108"/>
      <c r="AC1045" s="108"/>
    </row>
    <row r="1046" customFormat="false" ht="15.75" hidden="false" customHeight="true" outlineLevel="0" collapsed="false">
      <c r="A1046" s="108" t="s">
        <v>3155</v>
      </c>
      <c r="B1046" s="82"/>
      <c r="C1046" s="120" t="s">
        <v>3156</v>
      </c>
      <c r="D1046" s="121"/>
      <c r="E1046" s="108" t="s">
        <v>844</v>
      </c>
      <c r="F1046" s="114"/>
      <c r="G1046" s="120" t="s">
        <v>845</v>
      </c>
      <c r="H1046" s="82"/>
      <c r="I1046" s="111" t="n">
        <v>5199</v>
      </c>
      <c r="J1046" s="110"/>
      <c r="K1046" s="120" t="s">
        <v>3157</v>
      </c>
      <c r="L1046" s="110"/>
      <c r="M1046" s="112" t="n">
        <v>161</v>
      </c>
      <c r="N1046" s="82"/>
      <c r="O1046" s="108"/>
      <c r="P1046" s="108"/>
      <c r="Q1046" s="108"/>
      <c r="R1046" s="108"/>
      <c r="S1046" s="108"/>
      <c r="T1046" s="108"/>
      <c r="U1046" s="108"/>
      <c r="V1046" s="108"/>
      <c r="W1046" s="108"/>
      <c r="X1046" s="108"/>
      <c r="Y1046" s="108"/>
      <c r="Z1046" s="108"/>
      <c r="AA1046" s="108"/>
      <c r="AB1046" s="108"/>
      <c r="AC1046" s="108"/>
    </row>
    <row r="1047" customFormat="false" ht="15.75" hidden="false" customHeight="true" outlineLevel="0" collapsed="false">
      <c r="A1047" s="108" t="s">
        <v>3158</v>
      </c>
      <c r="B1047" s="82"/>
      <c r="C1047" s="120" t="s">
        <v>3159</v>
      </c>
      <c r="D1047" s="121"/>
      <c r="E1047" s="108" t="s">
        <v>844</v>
      </c>
      <c r="F1047" s="114"/>
      <c r="G1047" s="120" t="s">
        <v>845</v>
      </c>
      <c r="H1047" s="82"/>
      <c r="I1047" s="111" t="n">
        <v>5199</v>
      </c>
      <c r="J1047" s="110"/>
      <c r="K1047" s="120" t="s">
        <v>3157</v>
      </c>
      <c r="L1047" s="110"/>
      <c r="M1047" s="112" t="n">
        <v>161</v>
      </c>
      <c r="N1047" s="82"/>
      <c r="O1047" s="108"/>
      <c r="P1047" s="108"/>
      <c r="Q1047" s="108"/>
      <c r="R1047" s="108"/>
      <c r="S1047" s="108"/>
      <c r="T1047" s="108"/>
      <c r="U1047" s="108"/>
      <c r="V1047" s="108"/>
      <c r="W1047" s="108"/>
      <c r="X1047" s="108"/>
      <c r="Y1047" s="108"/>
      <c r="Z1047" s="108"/>
      <c r="AA1047" s="108"/>
      <c r="AB1047" s="108"/>
      <c r="AC1047" s="108"/>
    </row>
    <row r="1048" customFormat="false" ht="15.75" hidden="false" customHeight="true" outlineLevel="0" collapsed="false">
      <c r="A1048" s="108" t="s">
        <v>3160</v>
      </c>
      <c r="B1048" s="82"/>
      <c r="C1048" s="120" t="s">
        <v>3161</v>
      </c>
      <c r="D1048" s="121"/>
      <c r="E1048" s="108" t="s">
        <v>844</v>
      </c>
      <c r="F1048" s="114"/>
      <c r="G1048" s="120" t="s">
        <v>845</v>
      </c>
      <c r="H1048" s="82"/>
      <c r="I1048" s="111" t="n">
        <v>5199</v>
      </c>
      <c r="J1048" s="110"/>
      <c r="K1048" s="120" t="s">
        <v>3157</v>
      </c>
      <c r="L1048" s="110"/>
      <c r="M1048" s="112" t="n">
        <v>161</v>
      </c>
      <c r="N1048" s="82"/>
      <c r="O1048" s="108"/>
      <c r="P1048" s="108"/>
      <c r="Q1048" s="108"/>
      <c r="R1048" s="108"/>
      <c r="S1048" s="108"/>
      <c r="T1048" s="108"/>
      <c r="U1048" s="108"/>
      <c r="V1048" s="108"/>
      <c r="W1048" s="108"/>
      <c r="X1048" s="108"/>
      <c r="Y1048" s="108"/>
      <c r="Z1048" s="108"/>
      <c r="AA1048" s="108"/>
      <c r="AB1048" s="108"/>
      <c r="AC1048" s="108"/>
    </row>
    <row r="1049" customFormat="false" ht="15.75" hidden="false" customHeight="true" outlineLevel="0" collapsed="false">
      <c r="A1049" s="108" t="s">
        <v>3162</v>
      </c>
      <c r="B1049" s="82"/>
      <c r="C1049" s="120" t="s">
        <v>3163</v>
      </c>
      <c r="D1049" s="121"/>
      <c r="E1049" s="108" t="s">
        <v>844</v>
      </c>
      <c r="F1049" s="114"/>
      <c r="G1049" s="120" t="s">
        <v>845</v>
      </c>
      <c r="H1049" s="82"/>
      <c r="I1049" s="111" t="n">
        <v>5199</v>
      </c>
      <c r="J1049" s="110"/>
      <c r="K1049" s="120" t="s">
        <v>3157</v>
      </c>
      <c r="L1049" s="110"/>
      <c r="M1049" s="112" t="n">
        <v>161</v>
      </c>
      <c r="N1049" s="82"/>
      <c r="O1049" s="108"/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/>
      <c r="AB1049" s="108"/>
      <c r="AC1049" s="108"/>
    </row>
    <row r="1050" customFormat="false" ht="15.75" hidden="false" customHeight="true" outlineLevel="0" collapsed="false">
      <c r="A1050" s="108" t="s">
        <v>3164</v>
      </c>
      <c r="B1050" s="82"/>
      <c r="C1050" s="120" t="s">
        <v>3165</v>
      </c>
      <c r="D1050" s="121"/>
      <c r="E1050" s="108" t="s">
        <v>844</v>
      </c>
      <c r="F1050" s="114"/>
      <c r="G1050" s="120" t="s">
        <v>845</v>
      </c>
      <c r="H1050" s="82"/>
      <c r="I1050" s="111" t="n">
        <v>5199</v>
      </c>
      <c r="J1050" s="110"/>
      <c r="K1050" s="120" t="s">
        <v>3157</v>
      </c>
      <c r="L1050" s="110"/>
      <c r="M1050" s="112" t="n">
        <v>161</v>
      </c>
      <c r="N1050" s="82"/>
      <c r="O1050" s="108"/>
      <c r="P1050" s="108"/>
      <c r="Q1050" s="108"/>
      <c r="R1050" s="108"/>
      <c r="S1050" s="108"/>
      <c r="T1050" s="108"/>
      <c r="U1050" s="108"/>
      <c r="V1050" s="108"/>
      <c r="W1050" s="108"/>
      <c r="X1050" s="108"/>
      <c r="Y1050" s="108"/>
      <c r="Z1050" s="108"/>
      <c r="AA1050" s="108"/>
      <c r="AB1050" s="108"/>
      <c r="AC1050" s="108"/>
    </row>
    <row r="1051" customFormat="false" ht="15.75" hidden="false" customHeight="true" outlineLevel="0" collapsed="false">
      <c r="A1051" s="108" t="s">
        <v>3166</v>
      </c>
      <c r="B1051" s="82"/>
      <c r="C1051" s="120" t="s">
        <v>3167</v>
      </c>
      <c r="D1051" s="121"/>
      <c r="E1051" s="108" t="s">
        <v>844</v>
      </c>
      <c r="F1051" s="114"/>
      <c r="G1051" s="120" t="s">
        <v>845</v>
      </c>
      <c r="H1051" s="82"/>
      <c r="I1051" s="111" t="n">
        <v>5199</v>
      </c>
      <c r="J1051" s="110"/>
      <c r="K1051" s="120" t="s">
        <v>3157</v>
      </c>
      <c r="L1051" s="110"/>
      <c r="M1051" s="112" t="n">
        <v>161</v>
      </c>
      <c r="N1051" s="82"/>
      <c r="O1051" s="108"/>
      <c r="P1051" s="108"/>
      <c r="Q1051" s="108"/>
      <c r="R1051" s="108"/>
      <c r="S1051" s="108"/>
      <c r="T1051" s="108"/>
      <c r="U1051" s="108"/>
      <c r="V1051" s="108"/>
      <c r="W1051" s="108"/>
      <c r="X1051" s="108"/>
      <c r="Y1051" s="108"/>
      <c r="Z1051" s="108"/>
      <c r="AA1051" s="108"/>
      <c r="AB1051" s="108"/>
      <c r="AC1051" s="108"/>
    </row>
    <row r="1052" customFormat="false" ht="15.75" hidden="false" customHeight="true" outlineLevel="0" collapsed="false">
      <c r="A1052" s="108" t="s">
        <v>3168</v>
      </c>
      <c r="B1052" s="82"/>
      <c r="C1052" s="120" t="s">
        <v>3169</v>
      </c>
      <c r="D1052" s="121"/>
      <c r="E1052" s="108" t="s">
        <v>844</v>
      </c>
      <c r="F1052" s="114"/>
      <c r="G1052" s="120" t="s">
        <v>845</v>
      </c>
      <c r="H1052" s="82"/>
      <c r="I1052" s="111" t="n">
        <v>5199</v>
      </c>
      <c r="J1052" s="110"/>
      <c r="K1052" s="120" t="s">
        <v>3157</v>
      </c>
      <c r="L1052" s="110"/>
      <c r="M1052" s="112" t="n">
        <v>161</v>
      </c>
      <c r="N1052" s="82"/>
      <c r="O1052" s="108"/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/>
      <c r="AB1052" s="108"/>
      <c r="AC1052" s="108"/>
    </row>
    <row r="1053" customFormat="false" ht="15.75" hidden="false" customHeight="true" outlineLevel="0" collapsed="false">
      <c r="A1053" s="108" t="s">
        <v>3170</v>
      </c>
      <c r="B1053" s="82"/>
      <c r="C1053" s="120" t="s">
        <v>3171</v>
      </c>
      <c r="D1053" s="121"/>
      <c r="E1053" s="108" t="s">
        <v>844</v>
      </c>
      <c r="F1053" s="114"/>
      <c r="G1053" s="120" t="s">
        <v>845</v>
      </c>
      <c r="H1053" s="82"/>
      <c r="I1053" s="111" t="n">
        <v>5199</v>
      </c>
      <c r="J1053" s="110"/>
      <c r="K1053" s="120" t="s">
        <v>3157</v>
      </c>
      <c r="L1053" s="110"/>
      <c r="M1053" s="112" t="n">
        <v>161</v>
      </c>
      <c r="N1053" s="82"/>
      <c r="O1053" s="108"/>
      <c r="P1053" s="108"/>
      <c r="Q1053" s="108"/>
      <c r="R1053" s="108"/>
      <c r="S1053" s="108"/>
      <c r="T1053" s="108"/>
      <c r="U1053" s="108"/>
      <c r="V1053" s="108"/>
      <c r="W1053" s="108"/>
      <c r="X1053" s="108"/>
      <c r="Y1053" s="108"/>
      <c r="Z1053" s="108"/>
      <c r="AA1053" s="108"/>
      <c r="AB1053" s="108"/>
      <c r="AC1053" s="108"/>
    </row>
    <row r="1054" customFormat="false" ht="15.75" hidden="false" customHeight="true" outlineLevel="0" collapsed="false">
      <c r="A1054" s="108" t="s">
        <v>3172</v>
      </c>
      <c r="B1054" s="82"/>
      <c r="C1054" s="120" t="s">
        <v>3173</v>
      </c>
      <c r="D1054" s="121"/>
      <c r="E1054" s="108" t="s">
        <v>844</v>
      </c>
      <c r="F1054" s="114"/>
      <c r="G1054" s="120" t="s">
        <v>845</v>
      </c>
      <c r="H1054" s="82"/>
      <c r="I1054" s="111" t="n">
        <v>5199</v>
      </c>
      <c r="J1054" s="110"/>
      <c r="K1054" s="120" t="s">
        <v>3157</v>
      </c>
      <c r="L1054" s="110"/>
      <c r="M1054" s="112" t="n">
        <v>161</v>
      </c>
      <c r="N1054" s="82"/>
      <c r="O1054" s="108"/>
      <c r="P1054" s="108"/>
      <c r="Q1054" s="108"/>
      <c r="R1054" s="108"/>
      <c r="S1054" s="108"/>
      <c r="T1054" s="108"/>
      <c r="U1054" s="108"/>
      <c r="V1054" s="108"/>
      <c r="W1054" s="108"/>
      <c r="X1054" s="108"/>
      <c r="Y1054" s="108"/>
      <c r="Z1054" s="108"/>
      <c r="AA1054" s="108"/>
      <c r="AB1054" s="108"/>
      <c r="AC1054" s="108"/>
    </row>
    <row r="1055" customFormat="false" ht="15.75" hidden="false" customHeight="true" outlineLevel="0" collapsed="false">
      <c r="A1055" s="108" t="s">
        <v>3174</v>
      </c>
      <c r="B1055" s="82"/>
      <c r="C1055" s="120" t="s">
        <v>3175</v>
      </c>
      <c r="D1055" s="121"/>
      <c r="E1055" s="108" t="s">
        <v>844</v>
      </c>
      <c r="F1055" s="114"/>
      <c r="G1055" s="120" t="s">
        <v>845</v>
      </c>
      <c r="H1055" s="82"/>
      <c r="I1055" s="111" t="n">
        <v>5199</v>
      </c>
      <c r="J1055" s="110"/>
      <c r="K1055" s="120" t="s">
        <v>3157</v>
      </c>
      <c r="L1055" s="110"/>
      <c r="M1055" s="112" t="n">
        <v>161</v>
      </c>
      <c r="N1055" s="82"/>
      <c r="O1055" s="108"/>
      <c r="P1055" s="108"/>
      <c r="Q1055" s="108"/>
      <c r="R1055" s="108"/>
      <c r="S1055" s="108"/>
      <c r="T1055" s="108"/>
      <c r="U1055" s="108"/>
      <c r="V1055" s="108"/>
      <c r="W1055" s="108"/>
      <c r="X1055" s="108"/>
      <c r="Y1055" s="108"/>
      <c r="Z1055" s="108"/>
      <c r="AA1055" s="108"/>
      <c r="AB1055" s="108"/>
      <c r="AC1055" s="108"/>
    </row>
    <row r="1056" customFormat="false" ht="15.75" hidden="false" customHeight="true" outlineLevel="0" collapsed="false">
      <c r="A1056" s="108" t="s">
        <v>3176</v>
      </c>
      <c r="B1056" s="82"/>
      <c r="C1056" s="120" t="s">
        <v>3177</v>
      </c>
      <c r="D1056" s="121"/>
      <c r="E1056" s="108" t="s">
        <v>844</v>
      </c>
      <c r="F1056" s="114"/>
      <c r="G1056" s="120" t="s">
        <v>845</v>
      </c>
      <c r="H1056" s="82"/>
      <c r="I1056" s="111" t="n">
        <v>5199</v>
      </c>
      <c r="J1056" s="110"/>
      <c r="K1056" s="120" t="s">
        <v>3157</v>
      </c>
      <c r="L1056" s="110"/>
      <c r="M1056" s="112" t="n">
        <v>161</v>
      </c>
      <c r="N1056" s="82"/>
      <c r="O1056" s="108"/>
      <c r="P1056" s="108"/>
      <c r="Q1056" s="108"/>
      <c r="R1056" s="108"/>
      <c r="S1056" s="108"/>
      <c r="T1056" s="108"/>
      <c r="U1056" s="108"/>
      <c r="V1056" s="108"/>
      <c r="W1056" s="108"/>
      <c r="X1056" s="108"/>
      <c r="Y1056" s="108"/>
      <c r="Z1056" s="108"/>
      <c r="AA1056" s="108"/>
      <c r="AB1056" s="108"/>
      <c r="AC1056" s="108"/>
    </row>
    <row r="1057" customFormat="false" ht="15.75" hidden="false" customHeight="true" outlineLevel="0" collapsed="false">
      <c r="A1057" s="108" t="s">
        <v>3178</v>
      </c>
      <c r="B1057" s="82"/>
      <c r="C1057" s="120" t="s">
        <v>3179</v>
      </c>
      <c r="D1057" s="121"/>
      <c r="E1057" s="108" t="s">
        <v>844</v>
      </c>
      <c r="F1057" s="114"/>
      <c r="G1057" s="120" t="s">
        <v>845</v>
      </c>
      <c r="H1057" s="82"/>
      <c r="I1057" s="111" t="n">
        <v>5199</v>
      </c>
      <c r="J1057" s="110"/>
      <c r="K1057" s="120" t="s">
        <v>3157</v>
      </c>
      <c r="L1057" s="110"/>
      <c r="M1057" s="112" t="n">
        <v>161</v>
      </c>
      <c r="N1057" s="82"/>
      <c r="O1057" s="108"/>
      <c r="P1057" s="108"/>
      <c r="Q1057" s="108"/>
      <c r="R1057" s="108"/>
      <c r="S1057" s="108"/>
      <c r="T1057" s="108"/>
      <c r="U1057" s="108"/>
      <c r="V1057" s="108"/>
      <c r="W1057" s="108"/>
      <c r="X1057" s="108"/>
      <c r="Y1057" s="108"/>
      <c r="Z1057" s="108"/>
      <c r="AA1057" s="108"/>
      <c r="AB1057" s="108"/>
      <c r="AC1057" s="108"/>
    </row>
    <row r="1058" customFormat="false" ht="15.75" hidden="false" customHeight="true" outlineLevel="0" collapsed="false">
      <c r="A1058" s="108" t="s">
        <v>3180</v>
      </c>
      <c r="B1058" s="82"/>
      <c r="C1058" s="120" t="s">
        <v>3181</v>
      </c>
      <c r="D1058" s="121"/>
      <c r="E1058" s="108" t="s">
        <v>844</v>
      </c>
      <c r="F1058" s="114"/>
      <c r="G1058" s="120" t="s">
        <v>845</v>
      </c>
      <c r="H1058" s="82"/>
      <c r="I1058" s="111" t="n">
        <v>5199</v>
      </c>
      <c r="J1058" s="110"/>
      <c r="K1058" s="120" t="s">
        <v>3157</v>
      </c>
      <c r="L1058" s="110"/>
      <c r="M1058" s="112" t="n">
        <v>161</v>
      </c>
      <c r="N1058" s="82"/>
      <c r="O1058" s="108"/>
      <c r="P1058" s="108"/>
      <c r="Q1058" s="108"/>
      <c r="R1058" s="108"/>
      <c r="S1058" s="108"/>
      <c r="T1058" s="108"/>
      <c r="U1058" s="108"/>
      <c r="V1058" s="108"/>
      <c r="W1058" s="108"/>
      <c r="X1058" s="108"/>
      <c r="Y1058" s="108"/>
      <c r="Z1058" s="108"/>
      <c r="AA1058" s="108"/>
      <c r="AB1058" s="108"/>
      <c r="AC1058" s="108"/>
    </row>
    <row r="1059" customFormat="false" ht="15.75" hidden="false" customHeight="true" outlineLevel="0" collapsed="false">
      <c r="A1059" s="108" t="s">
        <v>3182</v>
      </c>
      <c r="B1059" s="82"/>
      <c r="C1059" s="120" t="s">
        <v>3183</v>
      </c>
      <c r="D1059" s="121"/>
      <c r="E1059" s="108" t="s">
        <v>844</v>
      </c>
      <c r="F1059" s="114"/>
      <c r="G1059" s="120" t="s">
        <v>845</v>
      </c>
      <c r="H1059" s="82"/>
      <c r="I1059" s="111" t="n">
        <v>5199</v>
      </c>
      <c r="J1059" s="110"/>
      <c r="K1059" s="120" t="s">
        <v>3157</v>
      </c>
      <c r="L1059" s="110"/>
      <c r="M1059" s="112" t="n">
        <v>161</v>
      </c>
      <c r="N1059" s="82"/>
      <c r="O1059" s="108"/>
      <c r="P1059" s="108"/>
      <c r="Q1059" s="108"/>
      <c r="R1059" s="108"/>
      <c r="S1059" s="108"/>
      <c r="T1059" s="108"/>
      <c r="U1059" s="108"/>
      <c r="V1059" s="108"/>
      <c r="W1059" s="108"/>
      <c r="X1059" s="108"/>
      <c r="Y1059" s="108"/>
      <c r="Z1059" s="108"/>
      <c r="AA1059" s="108"/>
      <c r="AB1059" s="108"/>
      <c r="AC1059" s="108"/>
    </row>
    <row r="1060" customFormat="false" ht="15.75" hidden="false" customHeight="true" outlineLevel="0" collapsed="false">
      <c r="A1060" s="108" t="s">
        <v>3184</v>
      </c>
      <c r="B1060" s="82"/>
      <c r="C1060" s="120" t="s">
        <v>3185</v>
      </c>
      <c r="D1060" s="121"/>
      <c r="E1060" s="108" t="s">
        <v>844</v>
      </c>
      <c r="F1060" s="114"/>
      <c r="G1060" s="120" t="s">
        <v>845</v>
      </c>
      <c r="H1060" s="82"/>
      <c r="I1060" s="111" t="n">
        <v>5199</v>
      </c>
      <c r="J1060" s="110"/>
      <c r="K1060" s="120" t="s">
        <v>3157</v>
      </c>
      <c r="L1060" s="110"/>
      <c r="M1060" s="112" t="n">
        <v>161</v>
      </c>
      <c r="N1060" s="82"/>
      <c r="O1060" s="108"/>
      <c r="P1060" s="108"/>
      <c r="Q1060" s="108"/>
      <c r="R1060" s="108"/>
      <c r="S1060" s="108"/>
      <c r="T1060" s="108"/>
      <c r="U1060" s="108"/>
      <c r="V1060" s="108"/>
      <c r="W1060" s="108"/>
      <c r="X1060" s="108"/>
      <c r="Y1060" s="108"/>
      <c r="Z1060" s="108"/>
      <c r="AA1060" s="108"/>
      <c r="AB1060" s="108"/>
      <c r="AC1060" s="108"/>
    </row>
    <row r="1061" customFormat="false" ht="15.75" hidden="false" customHeight="true" outlineLevel="0" collapsed="false">
      <c r="A1061" s="108" t="s">
        <v>3186</v>
      </c>
      <c r="B1061" s="82"/>
      <c r="C1061" s="120" t="s">
        <v>3187</v>
      </c>
      <c r="D1061" s="121"/>
      <c r="E1061" s="108" t="s">
        <v>844</v>
      </c>
      <c r="F1061" s="114"/>
      <c r="G1061" s="120" t="s">
        <v>845</v>
      </c>
      <c r="H1061" s="82"/>
      <c r="I1061" s="111" t="n">
        <v>5199</v>
      </c>
      <c r="J1061" s="110"/>
      <c r="K1061" s="120" t="s">
        <v>3157</v>
      </c>
      <c r="L1061" s="110"/>
      <c r="M1061" s="112" t="n">
        <v>161</v>
      </c>
      <c r="N1061" s="82"/>
      <c r="O1061" s="108"/>
      <c r="P1061" s="108"/>
      <c r="Q1061" s="108"/>
      <c r="R1061" s="108"/>
      <c r="S1061" s="108"/>
      <c r="T1061" s="108"/>
      <c r="U1061" s="108"/>
      <c r="V1061" s="108"/>
      <c r="W1061" s="108"/>
      <c r="X1061" s="108"/>
      <c r="Y1061" s="108"/>
      <c r="Z1061" s="108"/>
      <c r="AA1061" s="108"/>
      <c r="AB1061" s="108"/>
      <c r="AC1061" s="108"/>
    </row>
    <row r="1062" customFormat="false" ht="15.75" hidden="false" customHeight="true" outlineLevel="0" collapsed="false">
      <c r="A1062" s="108" t="s">
        <v>3188</v>
      </c>
      <c r="B1062" s="82"/>
      <c r="C1062" s="120" t="s">
        <v>3189</v>
      </c>
      <c r="D1062" s="121"/>
      <c r="E1062" s="108" t="s">
        <v>844</v>
      </c>
      <c r="F1062" s="114"/>
      <c r="G1062" s="120" t="s">
        <v>845</v>
      </c>
      <c r="H1062" s="82"/>
      <c r="I1062" s="111" t="n">
        <v>5199</v>
      </c>
      <c r="J1062" s="110"/>
      <c r="K1062" s="120" t="s">
        <v>3157</v>
      </c>
      <c r="L1062" s="110"/>
      <c r="M1062" s="112" t="n">
        <v>161</v>
      </c>
      <c r="N1062" s="82"/>
      <c r="O1062" s="108"/>
      <c r="P1062" s="108"/>
      <c r="Q1062" s="108"/>
      <c r="R1062" s="108"/>
      <c r="S1062" s="108"/>
      <c r="T1062" s="108"/>
      <c r="U1062" s="108"/>
      <c r="V1062" s="108"/>
      <c r="W1062" s="108"/>
      <c r="X1062" s="108"/>
      <c r="Y1062" s="108"/>
      <c r="Z1062" s="108"/>
      <c r="AA1062" s="108"/>
      <c r="AB1062" s="108"/>
      <c r="AC1062" s="108"/>
    </row>
    <row r="1063" customFormat="false" ht="15.75" hidden="false" customHeight="true" outlineLevel="0" collapsed="false">
      <c r="A1063" s="108" t="s">
        <v>3190</v>
      </c>
      <c r="B1063" s="82"/>
      <c r="C1063" s="120" t="s">
        <v>3191</v>
      </c>
      <c r="D1063" s="121"/>
      <c r="E1063" s="108" t="s">
        <v>844</v>
      </c>
      <c r="F1063" s="114"/>
      <c r="G1063" s="120" t="s">
        <v>845</v>
      </c>
      <c r="H1063" s="82"/>
      <c r="I1063" s="111" t="n">
        <v>5199</v>
      </c>
      <c r="J1063" s="110"/>
      <c r="K1063" s="120" t="s">
        <v>3157</v>
      </c>
      <c r="L1063" s="110"/>
      <c r="M1063" s="112" t="n">
        <v>161</v>
      </c>
      <c r="N1063" s="82"/>
      <c r="O1063" s="108"/>
      <c r="P1063" s="108"/>
      <c r="Q1063" s="108"/>
      <c r="R1063" s="108"/>
      <c r="S1063" s="108"/>
      <c r="T1063" s="108"/>
      <c r="U1063" s="108"/>
      <c r="V1063" s="108"/>
      <c r="W1063" s="108"/>
      <c r="X1063" s="108"/>
      <c r="Y1063" s="108"/>
      <c r="Z1063" s="108"/>
      <c r="AA1063" s="108"/>
      <c r="AB1063" s="108"/>
      <c r="AC1063" s="108"/>
    </row>
    <row r="1064" customFormat="false" ht="15.75" hidden="false" customHeight="true" outlineLevel="0" collapsed="false">
      <c r="A1064" s="108" t="s">
        <v>3192</v>
      </c>
      <c r="B1064" s="82"/>
      <c r="C1064" s="120" t="s">
        <v>3193</v>
      </c>
      <c r="D1064" s="121"/>
      <c r="E1064" s="108" t="s">
        <v>844</v>
      </c>
      <c r="F1064" s="114"/>
      <c r="G1064" s="120" t="s">
        <v>845</v>
      </c>
      <c r="H1064" s="82"/>
      <c r="I1064" s="111" t="n">
        <v>5199</v>
      </c>
      <c r="J1064" s="110"/>
      <c r="K1064" s="120" t="s">
        <v>3157</v>
      </c>
      <c r="L1064" s="110"/>
      <c r="M1064" s="112" t="n">
        <v>161</v>
      </c>
      <c r="N1064" s="82"/>
      <c r="O1064" s="108"/>
      <c r="P1064" s="108"/>
      <c r="Q1064" s="108"/>
      <c r="R1064" s="108"/>
      <c r="S1064" s="108"/>
      <c r="T1064" s="108"/>
      <c r="U1064" s="108"/>
      <c r="V1064" s="108"/>
      <c r="W1064" s="108"/>
      <c r="X1064" s="108"/>
      <c r="Y1064" s="108"/>
      <c r="Z1064" s="108"/>
      <c r="AA1064" s="108"/>
      <c r="AB1064" s="108"/>
      <c r="AC1064" s="108"/>
    </row>
    <row r="1065" customFormat="false" ht="15.75" hidden="false" customHeight="true" outlineLevel="0" collapsed="false">
      <c r="A1065" s="108" t="s">
        <v>3194</v>
      </c>
      <c r="B1065" s="82"/>
      <c r="C1065" s="120" t="s">
        <v>3195</v>
      </c>
      <c r="D1065" s="121"/>
      <c r="E1065" s="108" t="s">
        <v>844</v>
      </c>
      <c r="F1065" s="114"/>
      <c r="G1065" s="120" t="s">
        <v>845</v>
      </c>
      <c r="H1065" s="82"/>
      <c r="I1065" s="111" t="n">
        <v>5199</v>
      </c>
      <c r="J1065" s="110"/>
      <c r="K1065" s="120" t="s">
        <v>3157</v>
      </c>
      <c r="L1065" s="110"/>
      <c r="M1065" s="112" t="n">
        <v>161</v>
      </c>
      <c r="N1065" s="82"/>
      <c r="O1065" s="108"/>
      <c r="P1065" s="108"/>
      <c r="Q1065" s="108"/>
      <c r="R1065" s="108"/>
      <c r="S1065" s="108"/>
      <c r="T1065" s="108"/>
      <c r="U1065" s="108"/>
      <c r="V1065" s="108"/>
      <c r="W1065" s="108"/>
      <c r="X1065" s="108"/>
      <c r="Y1065" s="108"/>
      <c r="Z1065" s="108"/>
      <c r="AA1065" s="108"/>
      <c r="AB1065" s="108"/>
      <c r="AC1065" s="108"/>
    </row>
    <row r="1066" customFormat="false" ht="15.75" hidden="false" customHeight="true" outlineLevel="0" collapsed="false">
      <c r="A1066" s="108" t="s">
        <v>3196</v>
      </c>
      <c r="B1066" s="82"/>
      <c r="C1066" s="120" t="s">
        <v>3197</v>
      </c>
      <c r="D1066" s="121"/>
      <c r="E1066" s="108" t="s">
        <v>844</v>
      </c>
      <c r="F1066" s="114"/>
      <c r="G1066" s="120" t="s">
        <v>845</v>
      </c>
      <c r="H1066" s="82"/>
      <c r="I1066" s="111" t="n">
        <v>5199</v>
      </c>
      <c r="J1066" s="110"/>
      <c r="K1066" s="120" t="s">
        <v>3157</v>
      </c>
      <c r="L1066" s="110"/>
      <c r="M1066" s="112" t="n">
        <v>161</v>
      </c>
      <c r="N1066" s="82"/>
      <c r="O1066" s="108"/>
      <c r="P1066" s="108"/>
      <c r="Q1066" s="108"/>
      <c r="R1066" s="108"/>
      <c r="S1066" s="108"/>
      <c r="T1066" s="108"/>
      <c r="U1066" s="108"/>
      <c r="V1066" s="108"/>
      <c r="W1066" s="108"/>
      <c r="X1066" s="108"/>
      <c r="Y1066" s="108"/>
      <c r="Z1066" s="108"/>
      <c r="AA1066" s="108"/>
      <c r="AB1066" s="108"/>
      <c r="AC1066" s="108"/>
    </row>
    <row r="1067" customFormat="false" ht="15.75" hidden="false" customHeight="true" outlineLevel="0" collapsed="false">
      <c r="A1067" s="108" t="s">
        <v>3198</v>
      </c>
      <c r="B1067" s="82"/>
      <c r="C1067" s="120" t="s">
        <v>3199</v>
      </c>
      <c r="D1067" s="121"/>
      <c r="E1067" s="108" t="s">
        <v>844</v>
      </c>
      <c r="F1067" s="114"/>
      <c r="G1067" s="120" t="s">
        <v>845</v>
      </c>
      <c r="H1067" s="82"/>
      <c r="I1067" s="111" t="n">
        <v>5199</v>
      </c>
      <c r="J1067" s="110"/>
      <c r="K1067" s="120" t="s">
        <v>3157</v>
      </c>
      <c r="L1067" s="110"/>
      <c r="M1067" s="112" t="n">
        <v>161</v>
      </c>
      <c r="N1067" s="82"/>
      <c r="O1067" s="108"/>
      <c r="P1067" s="108"/>
      <c r="Q1067" s="108"/>
      <c r="R1067" s="108"/>
      <c r="S1067" s="108"/>
      <c r="T1067" s="108"/>
      <c r="U1067" s="108"/>
      <c r="V1067" s="108"/>
      <c r="W1067" s="108"/>
      <c r="X1067" s="108"/>
      <c r="Y1067" s="108"/>
      <c r="Z1067" s="108"/>
      <c r="AA1067" s="108"/>
      <c r="AB1067" s="108"/>
      <c r="AC1067" s="108"/>
    </row>
    <row r="1068" customFormat="false" ht="15.75" hidden="false" customHeight="true" outlineLevel="0" collapsed="false">
      <c r="A1068" s="108" t="s">
        <v>3200</v>
      </c>
      <c r="B1068" s="82"/>
      <c r="C1068" s="120" t="s">
        <v>3201</v>
      </c>
      <c r="D1068" s="121"/>
      <c r="E1068" s="108" t="s">
        <v>844</v>
      </c>
      <c r="F1068" s="114"/>
      <c r="G1068" s="120" t="s">
        <v>845</v>
      </c>
      <c r="H1068" s="82"/>
      <c r="I1068" s="111" t="n">
        <v>5199</v>
      </c>
      <c r="J1068" s="110"/>
      <c r="K1068" s="120" t="s">
        <v>3157</v>
      </c>
      <c r="L1068" s="110"/>
      <c r="M1068" s="112" t="n">
        <v>161</v>
      </c>
      <c r="N1068" s="82"/>
      <c r="O1068" s="108"/>
      <c r="P1068" s="108"/>
      <c r="Q1068" s="108"/>
      <c r="R1068" s="108"/>
      <c r="S1068" s="108"/>
      <c r="T1068" s="108"/>
      <c r="U1068" s="108"/>
      <c r="V1068" s="108"/>
      <c r="W1068" s="108"/>
      <c r="X1068" s="108"/>
      <c r="Y1068" s="108"/>
      <c r="Z1068" s="108"/>
      <c r="AA1068" s="108"/>
      <c r="AB1068" s="108"/>
      <c r="AC1068" s="108"/>
    </row>
    <row r="1069" customFormat="false" ht="15.75" hidden="false" customHeight="true" outlineLevel="0" collapsed="false">
      <c r="A1069" s="108" t="s">
        <v>3202</v>
      </c>
      <c r="B1069" s="82"/>
      <c r="C1069" s="120" t="s">
        <v>3203</v>
      </c>
      <c r="D1069" s="121"/>
      <c r="E1069" s="108" t="s">
        <v>844</v>
      </c>
      <c r="F1069" s="114"/>
      <c r="G1069" s="120" t="s">
        <v>845</v>
      </c>
      <c r="H1069" s="82"/>
      <c r="I1069" s="111" t="n">
        <v>5199</v>
      </c>
      <c r="J1069" s="110"/>
      <c r="K1069" s="120" t="s">
        <v>3157</v>
      </c>
      <c r="L1069" s="110"/>
      <c r="M1069" s="112" t="n">
        <v>161</v>
      </c>
      <c r="N1069" s="82"/>
      <c r="O1069" s="108"/>
      <c r="P1069" s="108"/>
      <c r="Q1069" s="108"/>
      <c r="R1069" s="108"/>
      <c r="S1069" s="108"/>
      <c r="T1069" s="108"/>
      <c r="U1069" s="108"/>
      <c r="V1069" s="108"/>
      <c r="W1069" s="108"/>
      <c r="X1069" s="108"/>
      <c r="Y1069" s="108"/>
      <c r="Z1069" s="108"/>
      <c r="AA1069" s="108"/>
      <c r="AB1069" s="108"/>
      <c r="AC1069" s="108"/>
    </row>
    <row r="1070" customFormat="false" ht="15.75" hidden="false" customHeight="true" outlineLevel="0" collapsed="false">
      <c r="A1070" s="108" t="s">
        <v>3204</v>
      </c>
      <c r="B1070" s="82"/>
      <c r="C1070" s="120" t="s">
        <v>3205</v>
      </c>
      <c r="D1070" s="121"/>
      <c r="E1070" s="108" t="s">
        <v>844</v>
      </c>
      <c r="F1070" s="114"/>
      <c r="G1070" s="120" t="s">
        <v>845</v>
      </c>
      <c r="H1070" s="82"/>
      <c r="I1070" s="111" t="n">
        <v>5199</v>
      </c>
      <c r="J1070" s="110"/>
      <c r="K1070" s="120" t="s">
        <v>3157</v>
      </c>
      <c r="L1070" s="110"/>
      <c r="M1070" s="112" t="n">
        <v>161</v>
      </c>
      <c r="N1070" s="82"/>
      <c r="O1070" s="108"/>
      <c r="P1070" s="108"/>
      <c r="Q1070" s="108"/>
      <c r="R1070" s="108"/>
      <c r="S1070" s="108"/>
      <c r="T1070" s="108"/>
      <c r="U1070" s="108"/>
      <c r="V1070" s="108"/>
      <c r="W1070" s="108"/>
      <c r="X1070" s="108"/>
      <c r="Y1070" s="108"/>
      <c r="Z1070" s="108"/>
      <c r="AA1070" s="108"/>
      <c r="AB1070" s="108"/>
      <c r="AC1070" s="108"/>
    </row>
    <row r="1071" customFormat="false" ht="15.75" hidden="false" customHeight="true" outlineLevel="0" collapsed="false">
      <c r="A1071" s="108" t="s">
        <v>3206</v>
      </c>
      <c r="B1071" s="82"/>
      <c r="C1071" s="120" t="s">
        <v>3207</v>
      </c>
      <c r="D1071" s="121"/>
      <c r="E1071" s="108" t="s">
        <v>844</v>
      </c>
      <c r="F1071" s="114"/>
      <c r="G1071" s="120" t="s">
        <v>845</v>
      </c>
      <c r="H1071" s="82"/>
      <c r="I1071" s="111" t="n">
        <v>5199</v>
      </c>
      <c r="J1071" s="110"/>
      <c r="K1071" s="120" t="s">
        <v>3157</v>
      </c>
      <c r="L1071" s="110"/>
      <c r="M1071" s="112" t="n">
        <v>161</v>
      </c>
      <c r="N1071" s="82"/>
      <c r="O1071" s="108"/>
      <c r="P1071" s="108"/>
      <c r="Q1071" s="108"/>
      <c r="R1071" s="108"/>
      <c r="S1071" s="108"/>
      <c r="T1071" s="108"/>
      <c r="U1071" s="108"/>
      <c r="V1071" s="108"/>
      <c r="W1071" s="108"/>
      <c r="X1071" s="108"/>
      <c r="Y1071" s="108"/>
      <c r="Z1071" s="108"/>
      <c r="AA1071" s="108"/>
      <c r="AB1071" s="108"/>
      <c r="AC1071" s="108"/>
    </row>
    <row r="1072" customFormat="false" ht="15.75" hidden="false" customHeight="true" outlineLevel="0" collapsed="false">
      <c r="A1072" s="108" t="s">
        <v>3208</v>
      </c>
      <c r="B1072" s="82"/>
      <c r="C1072" s="120" t="s">
        <v>3209</v>
      </c>
      <c r="D1072" s="121"/>
      <c r="E1072" s="108" t="s">
        <v>844</v>
      </c>
      <c r="F1072" s="114"/>
      <c r="G1072" s="120" t="s">
        <v>845</v>
      </c>
      <c r="H1072" s="82"/>
      <c r="I1072" s="111" t="n">
        <v>5199</v>
      </c>
      <c r="J1072" s="110"/>
      <c r="K1072" s="120" t="s">
        <v>3157</v>
      </c>
      <c r="L1072" s="110"/>
      <c r="M1072" s="112" t="n">
        <v>161</v>
      </c>
      <c r="N1072" s="82"/>
      <c r="O1072" s="108"/>
      <c r="P1072" s="108"/>
      <c r="Q1072" s="108"/>
      <c r="R1072" s="108"/>
      <c r="S1072" s="108"/>
      <c r="T1072" s="108"/>
      <c r="U1072" s="108"/>
      <c r="V1072" s="108"/>
      <c r="W1072" s="108"/>
      <c r="X1072" s="108"/>
      <c r="Y1072" s="108"/>
      <c r="Z1072" s="108"/>
      <c r="AA1072" s="108"/>
      <c r="AB1072" s="108"/>
      <c r="AC1072" s="108"/>
    </row>
    <row r="1073" customFormat="false" ht="15.75" hidden="false" customHeight="true" outlineLevel="0" collapsed="false">
      <c r="A1073" s="108" t="s">
        <v>3210</v>
      </c>
      <c r="B1073" s="82"/>
      <c r="C1073" s="120" t="s">
        <v>3211</v>
      </c>
      <c r="D1073" s="121"/>
      <c r="E1073" s="108" t="s">
        <v>844</v>
      </c>
      <c r="F1073" s="114"/>
      <c r="G1073" s="120" t="s">
        <v>845</v>
      </c>
      <c r="H1073" s="82"/>
      <c r="I1073" s="111" t="n">
        <v>5199</v>
      </c>
      <c r="J1073" s="110"/>
      <c r="K1073" s="120" t="s">
        <v>3157</v>
      </c>
      <c r="L1073" s="110"/>
      <c r="M1073" s="112" t="n">
        <v>161</v>
      </c>
      <c r="N1073" s="82"/>
      <c r="O1073" s="108"/>
      <c r="P1073" s="108"/>
      <c r="Q1073" s="108"/>
      <c r="R1073" s="108"/>
      <c r="S1073" s="108"/>
      <c r="T1073" s="108"/>
      <c r="U1073" s="108"/>
      <c r="V1073" s="108"/>
      <c r="W1073" s="108"/>
      <c r="X1073" s="108"/>
      <c r="Y1073" s="108"/>
      <c r="Z1073" s="108"/>
      <c r="AA1073" s="108"/>
      <c r="AB1073" s="108"/>
      <c r="AC1073" s="108"/>
    </row>
    <row r="1074" customFormat="false" ht="15.75" hidden="false" customHeight="true" outlineLevel="0" collapsed="false">
      <c r="A1074" s="108" t="s">
        <v>3212</v>
      </c>
      <c r="B1074" s="82"/>
      <c r="C1074" s="120" t="s">
        <v>3213</v>
      </c>
      <c r="D1074" s="121"/>
      <c r="E1074" s="108" t="s">
        <v>844</v>
      </c>
      <c r="F1074" s="114"/>
      <c r="G1074" s="120" t="s">
        <v>845</v>
      </c>
      <c r="H1074" s="82"/>
      <c r="I1074" s="111" t="n">
        <v>5199</v>
      </c>
      <c r="J1074" s="110"/>
      <c r="K1074" s="120" t="s">
        <v>3157</v>
      </c>
      <c r="L1074" s="110"/>
      <c r="M1074" s="112" t="n">
        <v>161</v>
      </c>
      <c r="N1074" s="82"/>
      <c r="O1074" s="108"/>
      <c r="P1074" s="108"/>
      <c r="Q1074" s="108"/>
      <c r="R1074" s="108"/>
      <c r="S1074" s="108"/>
      <c r="T1074" s="108"/>
      <c r="U1074" s="108"/>
      <c r="V1074" s="108"/>
      <c r="W1074" s="108"/>
      <c r="X1074" s="108"/>
      <c r="Y1074" s="108"/>
      <c r="Z1074" s="108"/>
      <c r="AA1074" s="108"/>
      <c r="AB1074" s="108"/>
      <c r="AC1074" s="108"/>
    </row>
    <row r="1075" customFormat="false" ht="15.75" hidden="false" customHeight="true" outlineLevel="0" collapsed="false">
      <c r="A1075" s="108" t="s">
        <v>3214</v>
      </c>
      <c r="B1075" s="82"/>
      <c r="C1075" s="120" t="s">
        <v>3215</v>
      </c>
      <c r="D1075" s="121"/>
      <c r="E1075" s="108" t="s">
        <v>844</v>
      </c>
      <c r="F1075" s="114"/>
      <c r="G1075" s="120" t="s">
        <v>845</v>
      </c>
      <c r="H1075" s="82"/>
      <c r="I1075" s="111" t="n">
        <v>5199</v>
      </c>
      <c r="J1075" s="110"/>
      <c r="K1075" s="120" t="s">
        <v>3157</v>
      </c>
      <c r="L1075" s="110"/>
      <c r="M1075" s="112" t="n">
        <v>161</v>
      </c>
      <c r="N1075" s="82"/>
      <c r="O1075" s="108"/>
      <c r="P1075" s="108"/>
      <c r="Q1075" s="108"/>
      <c r="R1075" s="108"/>
      <c r="S1075" s="108"/>
      <c r="T1075" s="108"/>
      <c r="U1075" s="108"/>
      <c r="V1075" s="108"/>
      <c r="W1075" s="108"/>
      <c r="X1075" s="108"/>
      <c r="Y1075" s="108"/>
      <c r="Z1075" s="108"/>
      <c r="AA1075" s="108"/>
      <c r="AB1075" s="108"/>
      <c r="AC1075" s="108"/>
    </row>
    <row r="1076" customFormat="false" ht="15.75" hidden="false" customHeight="true" outlineLevel="0" collapsed="false">
      <c r="A1076" s="108" t="s">
        <v>3216</v>
      </c>
      <c r="B1076" s="82"/>
      <c r="C1076" s="120" t="s">
        <v>3217</v>
      </c>
      <c r="D1076" s="121"/>
      <c r="E1076" s="108" t="s">
        <v>844</v>
      </c>
      <c r="F1076" s="114"/>
      <c r="G1076" s="120" t="s">
        <v>845</v>
      </c>
      <c r="H1076" s="82"/>
      <c r="I1076" s="111" t="n">
        <v>5199</v>
      </c>
      <c r="J1076" s="110"/>
      <c r="K1076" s="120" t="s">
        <v>3157</v>
      </c>
      <c r="L1076" s="110"/>
      <c r="M1076" s="112" t="n">
        <v>161</v>
      </c>
      <c r="N1076" s="82"/>
      <c r="O1076" s="108"/>
      <c r="P1076" s="108"/>
      <c r="Q1076" s="108"/>
      <c r="R1076" s="108"/>
      <c r="S1076" s="108"/>
      <c r="T1076" s="108"/>
      <c r="U1076" s="108"/>
      <c r="V1076" s="108"/>
      <c r="W1076" s="108"/>
      <c r="X1076" s="108"/>
      <c r="Y1076" s="108"/>
      <c r="Z1076" s="108"/>
      <c r="AA1076" s="108"/>
      <c r="AB1076" s="108"/>
      <c r="AC1076" s="108"/>
    </row>
    <row r="1077" customFormat="false" ht="15.75" hidden="false" customHeight="true" outlineLevel="0" collapsed="false">
      <c r="A1077" s="108" t="s">
        <v>3218</v>
      </c>
      <c r="B1077" s="82"/>
      <c r="C1077" s="120" t="s">
        <v>3219</v>
      </c>
      <c r="D1077" s="121"/>
      <c r="E1077" s="108" t="s">
        <v>844</v>
      </c>
      <c r="F1077" s="114"/>
      <c r="G1077" s="120" t="s">
        <v>845</v>
      </c>
      <c r="H1077" s="82"/>
      <c r="I1077" s="111" t="n">
        <v>5199</v>
      </c>
      <c r="J1077" s="110"/>
      <c r="K1077" s="120" t="s">
        <v>3157</v>
      </c>
      <c r="L1077" s="110"/>
      <c r="M1077" s="112" t="n">
        <v>161</v>
      </c>
      <c r="N1077" s="82"/>
      <c r="O1077" s="108"/>
      <c r="P1077" s="108"/>
      <c r="Q1077" s="108"/>
      <c r="R1077" s="108"/>
      <c r="S1077" s="108"/>
      <c r="T1077" s="108"/>
      <c r="U1077" s="108"/>
      <c r="V1077" s="108"/>
      <c r="W1077" s="108"/>
      <c r="X1077" s="108"/>
      <c r="Y1077" s="108"/>
      <c r="Z1077" s="108"/>
      <c r="AA1077" s="108"/>
      <c r="AB1077" s="108"/>
      <c r="AC1077" s="108"/>
    </row>
    <row r="1078" customFormat="false" ht="15.75" hidden="false" customHeight="true" outlineLevel="0" collapsed="false">
      <c r="A1078" s="108" t="s">
        <v>3220</v>
      </c>
      <c r="B1078" s="82"/>
      <c r="C1078" s="120" t="s">
        <v>3221</v>
      </c>
      <c r="D1078" s="121"/>
      <c r="E1078" s="108" t="s">
        <v>844</v>
      </c>
      <c r="F1078" s="114"/>
      <c r="G1078" s="120" t="s">
        <v>845</v>
      </c>
      <c r="H1078" s="82"/>
      <c r="I1078" s="111" t="n">
        <v>5199</v>
      </c>
      <c r="J1078" s="110"/>
      <c r="K1078" s="120" t="s">
        <v>3157</v>
      </c>
      <c r="L1078" s="110"/>
      <c r="M1078" s="112" t="n">
        <v>161</v>
      </c>
      <c r="N1078" s="82"/>
      <c r="O1078" s="108"/>
      <c r="P1078" s="108"/>
      <c r="Q1078" s="108"/>
      <c r="R1078" s="108"/>
      <c r="S1078" s="108"/>
      <c r="T1078" s="108"/>
      <c r="U1078" s="108"/>
      <c r="V1078" s="108"/>
      <c r="W1078" s="108"/>
      <c r="X1078" s="108"/>
      <c r="Y1078" s="108"/>
      <c r="Z1078" s="108"/>
      <c r="AA1078" s="108"/>
      <c r="AB1078" s="108"/>
      <c r="AC1078" s="108"/>
    </row>
    <row r="1079" customFormat="false" ht="15.75" hidden="false" customHeight="true" outlineLevel="0" collapsed="false">
      <c r="A1079" s="108" t="s">
        <v>3222</v>
      </c>
      <c r="B1079" s="82"/>
      <c r="C1079" s="120" t="s">
        <v>3223</v>
      </c>
      <c r="D1079" s="121"/>
      <c r="E1079" s="108" t="s">
        <v>844</v>
      </c>
      <c r="F1079" s="114"/>
      <c r="G1079" s="120" t="s">
        <v>845</v>
      </c>
      <c r="H1079" s="82"/>
      <c r="I1079" s="111" t="n">
        <v>5199</v>
      </c>
      <c r="J1079" s="110"/>
      <c r="K1079" s="120" t="s">
        <v>3157</v>
      </c>
      <c r="L1079" s="110"/>
      <c r="M1079" s="112" t="n">
        <v>161</v>
      </c>
      <c r="N1079" s="82"/>
      <c r="O1079" s="108"/>
      <c r="P1079" s="108"/>
      <c r="Q1079" s="108"/>
      <c r="R1079" s="108"/>
      <c r="S1079" s="108"/>
      <c r="T1079" s="108"/>
      <c r="U1079" s="108"/>
      <c r="V1079" s="108"/>
      <c r="W1079" s="108"/>
      <c r="X1079" s="108"/>
      <c r="Y1079" s="108"/>
      <c r="Z1079" s="108"/>
      <c r="AA1079" s="108"/>
      <c r="AB1079" s="108"/>
      <c r="AC1079" s="108"/>
    </row>
    <row r="1080" customFormat="false" ht="15.75" hidden="false" customHeight="true" outlineLevel="0" collapsed="false">
      <c r="A1080" s="108" t="s">
        <v>3224</v>
      </c>
      <c r="B1080" s="82"/>
      <c r="C1080" s="120" t="s">
        <v>3225</v>
      </c>
      <c r="D1080" s="121"/>
      <c r="E1080" s="108" t="s">
        <v>844</v>
      </c>
      <c r="F1080" s="114"/>
      <c r="G1080" s="120" t="s">
        <v>845</v>
      </c>
      <c r="H1080" s="82"/>
      <c r="I1080" s="111" t="n">
        <v>5199</v>
      </c>
      <c r="J1080" s="110"/>
      <c r="K1080" s="120" t="s">
        <v>3157</v>
      </c>
      <c r="L1080" s="110"/>
      <c r="M1080" s="112" t="n">
        <v>161</v>
      </c>
      <c r="N1080" s="82"/>
      <c r="O1080" s="108"/>
      <c r="P1080" s="108"/>
      <c r="Q1080" s="108"/>
      <c r="R1080" s="108"/>
      <c r="S1080" s="108"/>
      <c r="T1080" s="108"/>
      <c r="U1080" s="108"/>
      <c r="V1080" s="108"/>
      <c r="W1080" s="108"/>
      <c r="X1080" s="108"/>
      <c r="Y1080" s="108"/>
      <c r="Z1080" s="108"/>
      <c r="AA1080" s="108"/>
      <c r="AB1080" s="108"/>
      <c r="AC1080" s="108"/>
    </row>
    <row r="1081" customFormat="false" ht="15.75" hidden="false" customHeight="true" outlineLevel="0" collapsed="false">
      <c r="A1081" s="108" t="s">
        <v>3226</v>
      </c>
      <c r="B1081" s="82"/>
      <c r="C1081" s="120" t="s">
        <v>3227</v>
      </c>
      <c r="D1081" s="121"/>
      <c r="E1081" s="108" t="s">
        <v>844</v>
      </c>
      <c r="F1081" s="114"/>
      <c r="G1081" s="120" t="s">
        <v>845</v>
      </c>
      <c r="H1081" s="82"/>
      <c r="I1081" s="111" t="n">
        <v>5199</v>
      </c>
      <c r="J1081" s="110"/>
      <c r="K1081" s="120" t="s">
        <v>3157</v>
      </c>
      <c r="L1081" s="110"/>
      <c r="M1081" s="112" t="n">
        <v>161</v>
      </c>
      <c r="N1081" s="82"/>
      <c r="O1081" s="108"/>
      <c r="P1081" s="108"/>
      <c r="Q1081" s="108"/>
      <c r="R1081" s="108"/>
      <c r="S1081" s="108"/>
      <c r="T1081" s="108"/>
      <c r="U1081" s="108"/>
      <c r="V1081" s="108"/>
      <c r="W1081" s="108"/>
      <c r="X1081" s="108"/>
      <c r="Y1081" s="108"/>
      <c r="Z1081" s="108"/>
      <c r="AA1081" s="108"/>
      <c r="AB1081" s="108"/>
      <c r="AC1081" s="108"/>
    </row>
    <row r="1082" customFormat="false" ht="15.75" hidden="false" customHeight="true" outlineLevel="0" collapsed="false">
      <c r="A1082" s="108" t="s">
        <v>3228</v>
      </c>
      <c r="B1082" s="82"/>
      <c r="C1082" s="120" t="s">
        <v>3229</v>
      </c>
      <c r="D1082" s="121"/>
      <c r="E1082" s="108" t="s">
        <v>844</v>
      </c>
      <c r="F1082" s="114"/>
      <c r="G1082" s="120" t="s">
        <v>845</v>
      </c>
      <c r="H1082" s="82"/>
      <c r="I1082" s="111" t="n">
        <v>5199</v>
      </c>
      <c r="J1082" s="110"/>
      <c r="K1082" s="120" t="s">
        <v>3157</v>
      </c>
      <c r="L1082" s="110"/>
      <c r="M1082" s="112" t="n">
        <v>161</v>
      </c>
      <c r="N1082" s="82"/>
      <c r="O1082" s="108"/>
      <c r="P1082" s="108"/>
      <c r="Q1082" s="108"/>
      <c r="R1082" s="108"/>
      <c r="S1082" s="108"/>
      <c r="T1082" s="108"/>
      <c r="U1082" s="108"/>
      <c r="V1082" s="108"/>
      <c r="W1082" s="108"/>
      <c r="X1082" s="108"/>
      <c r="Y1082" s="108"/>
      <c r="Z1082" s="108"/>
      <c r="AA1082" s="108"/>
      <c r="AB1082" s="108"/>
      <c r="AC1082" s="108"/>
    </row>
    <row r="1083" customFormat="false" ht="15.75" hidden="false" customHeight="true" outlineLevel="0" collapsed="false">
      <c r="A1083" s="108" t="s">
        <v>3230</v>
      </c>
      <c r="B1083" s="82"/>
      <c r="C1083" s="120" t="s">
        <v>3231</v>
      </c>
      <c r="D1083" s="121"/>
      <c r="E1083" s="108" t="s">
        <v>844</v>
      </c>
      <c r="F1083" s="114"/>
      <c r="G1083" s="120" t="s">
        <v>845</v>
      </c>
      <c r="H1083" s="82"/>
      <c r="I1083" s="111" t="n">
        <v>5199</v>
      </c>
      <c r="J1083" s="110"/>
      <c r="K1083" s="120" t="s">
        <v>3157</v>
      </c>
      <c r="L1083" s="110"/>
      <c r="M1083" s="112" t="n">
        <v>161</v>
      </c>
      <c r="N1083" s="82"/>
      <c r="O1083" s="108"/>
      <c r="P1083" s="108"/>
      <c r="Q1083" s="108"/>
      <c r="R1083" s="108"/>
      <c r="S1083" s="108"/>
      <c r="T1083" s="108"/>
      <c r="U1083" s="108"/>
      <c r="V1083" s="108"/>
      <c r="W1083" s="108"/>
      <c r="X1083" s="108"/>
      <c r="Y1083" s="108"/>
      <c r="Z1083" s="108"/>
      <c r="AA1083" s="108"/>
      <c r="AB1083" s="108"/>
      <c r="AC1083" s="108"/>
    </row>
    <row r="1084" customFormat="false" ht="15.75" hidden="false" customHeight="true" outlineLevel="0" collapsed="false">
      <c r="A1084" s="108" t="s">
        <v>3232</v>
      </c>
      <c r="B1084" s="82"/>
      <c r="C1084" s="120" t="s">
        <v>3233</v>
      </c>
      <c r="D1084" s="121"/>
      <c r="E1084" s="108" t="s">
        <v>844</v>
      </c>
      <c r="F1084" s="114"/>
      <c r="G1084" s="120" t="s">
        <v>845</v>
      </c>
      <c r="H1084" s="82"/>
      <c r="I1084" s="111" t="n">
        <v>5199</v>
      </c>
      <c r="J1084" s="110"/>
      <c r="K1084" s="120" t="s">
        <v>3157</v>
      </c>
      <c r="L1084" s="110"/>
      <c r="M1084" s="112" t="n">
        <v>161</v>
      </c>
      <c r="N1084" s="82"/>
      <c r="O1084" s="108"/>
      <c r="P1084" s="108"/>
      <c r="Q1084" s="108"/>
      <c r="R1084" s="108"/>
      <c r="S1084" s="108"/>
      <c r="T1084" s="108"/>
      <c r="U1084" s="108"/>
      <c r="V1084" s="108"/>
      <c r="W1084" s="108"/>
      <c r="X1084" s="108"/>
      <c r="Y1084" s="108"/>
      <c r="Z1084" s="108"/>
      <c r="AA1084" s="108"/>
      <c r="AB1084" s="108"/>
      <c r="AC1084" s="108"/>
    </row>
    <row r="1085" customFormat="false" ht="15.75" hidden="false" customHeight="true" outlineLevel="0" collapsed="false">
      <c r="A1085" s="108" t="s">
        <v>3234</v>
      </c>
      <c r="B1085" s="82"/>
      <c r="C1085" s="120" t="s">
        <v>3235</v>
      </c>
      <c r="D1085" s="121"/>
      <c r="E1085" s="108" t="s">
        <v>844</v>
      </c>
      <c r="F1085" s="114"/>
      <c r="G1085" s="120" t="s">
        <v>845</v>
      </c>
      <c r="H1085" s="82"/>
      <c r="I1085" s="111" t="n">
        <v>5199</v>
      </c>
      <c r="J1085" s="110"/>
      <c r="K1085" s="120" t="s">
        <v>3157</v>
      </c>
      <c r="L1085" s="110"/>
      <c r="M1085" s="112" t="n">
        <v>161</v>
      </c>
      <c r="N1085" s="82"/>
      <c r="O1085" s="108"/>
      <c r="P1085" s="108"/>
      <c r="Q1085" s="108"/>
      <c r="R1085" s="108"/>
      <c r="S1085" s="108"/>
      <c r="T1085" s="108"/>
      <c r="U1085" s="108"/>
      <c r="V1085" s="108"/>
      <c r="W1085" s="108"/>
      <c r="X1085" s="108"/>
      <c r="Y1085" s="108"/>
      <c r="Z1085" s="108"/>
      <c r="AA1085" s="108"/>
      <c r="AB1085" s="108"/>
      <c r="AC1085" s="108"/>
    </row>
    <row r="1086" customFormat="false" ht="15.75" hidden="false" customHeight="true" outlineLevel="0" collapsed="false">
      <c r="A1086" s="108" t="s">
        <v>3236</v>
      </c>
      <c r="B1086" s="82"/>
      <c r="C1086" s="120" t="s">
        <v>3237</v>
      </c>
      <c r="D1086" s="121"/>
      <c r="E1086" s="108" t="s">
        <v>844</v>
      </c>
      <c r="F1086" s="114"/>
      <c r="G1086" s="120" t="s">
        <v>3238</v>
      </c>
      <c r="H1086" s="82"/>
      <c r="I1086" s="111" t="n">
        <v>5199</v>
      </c>
      <c r="J1086" s="110"/>
      <c r="K1086" s="120" t="s">
        <v>3157</v>
      </c>
      <c r="L1086" s="110"/>
      <c r="M1086" s="112" t="n">
        <v>161</v>
      </c>
      <c r="N1086" s="82"/>
      <c r="O1086" s="108"/>
      <c r="P1086" s="108"/>
      <c r="Q1086" s="108"/>
      <c r="R1086" s="108"/>
      <c r="S1086" s="108"/>
      <c r="T1086" s="108"/>
      <c r="U1086" s="108"/>
      <c r="V1086" s="108"/>
      <c r="W1086" s="108"/>
      <c r="X1086" s="108"/>
      <c r="Y1086" s="108"/>
      <c r="Z1086" s="108"/>
      <c r="AA1086" s="108"/>
      <c r="AB1086" s="108"/>
      <c r="AC1086" s="108"/>
    </row>
    <row r="1087" customFormat="false" ht="15.75" hidden="false" customHeight="true" outlineLevel="0" collapsed="false">
      <c r="A1087" s="108" t="s">
        <v>3239</v>
      </c>
      <c r="B1087" s="82"/>
      <c r="C1087" s="120" t="s">
        <v>3240</v>
      </c>
      <c r="D1087" s="121"/>
      <c r="E1087" s="108" t="s">
        <v>844</v>
      </c>
      <c r="F1087" s="114"/>
      <c r="G1087" s="120" t="s">
        <v>3238</v>
      </c>
      <c r="H1087" s="82"/>
      <c r="I1087" s="111" t="n">
        <v>5199</v>
      </c>
      <c r="J1087" s="110"/>
      <c r="K1087" s="120" t="s">
        <v>3157</v>
      </c>
      <c r="L1087" s="110"/>
      <c r="M1087" s="112" t="n">
        <v>161</v>
      </c>
      <c r="N1087" s="82"/>
      <c r="O1087" s="108"/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/>
      <c r="AB1087" s="108"/>
      <c r="AC1087" s="108"/>
    </row>
    <row r="1088" customFormat="false" ht="15.75" hidden="false" customHeight="true" outlineLevel="0" collapsed="false">
      <c r="A1088" s="108" t="s">
        <v>3241</v>
      </c>
      <c r="B1088" s="82"/>
      <c r="C1088" s="120" t="s">
        <v>3242</v>
      </c>
      <c r="D1088" s="121"/>
      <c r="E1088" s="108" t="s">
        <v>844</v>
      </c>
      <c r="F1088" s="114"/>
      <c r="G1088" s="120" t="s">
        <v>3238</v>
      </c>
      <c r="H1088" s="82"/>
      <c r="I1088" s="111" t="n">
        <v>5199</v>
      </c>
      <c r="J1088" s="110"/>
      <c r="K1088" s="120" t="s">
        <v>3157</v>
      </c>
      <c r="L1088" s="110"/>
      <c r="M1088" s="112" t="n">
        <v>161</v>
      </c>
      <c r="N1088" s="82"/>
      <c r="O1088" s="108"/>
      <c r="P1088" s="108"/>
      <c r="Q1088" s="108"/>
      <c r="R1088" s="108"/>
      <c r="S1088" s="108"/>
      <c r="T1088" s="108"/>
      <c r="U1088" s="108"/>
      <c r="V1088" s="108"/>
      <c r="W1088" s="108"/>
      <c r="X1088" s="108"/>
      <c r="Y1088" s="108"/>
      <c r="Z1088" s="108"/>
      <c r="AA1088" s="108"/>
      <c r="AB1088" s="108"/>
      <c r="AC1088" s="108"/>
    </row>
    <row r="1089" customFormat="false" ht="15.75" hidden="false" customHeight="true" outlineLevel="0" collapsed="false">
      <c r="A1089" s="108" t="s">
        <v>3243</v>
      </c>
      <c r="B1089" s="82"/>
      <c r="C1089" s="120" t="s">
        <v>3244</v>
      </c>
      <c r="D1089" s="121"/>
      <c r="E1089" s="108" t="s">
        <v>844</v>
      </c>
      <c r="F1089" s="114"/>
      <c r="G1089" s="120" t="s">
        <v>3238</v>
      </c>
      <c r="H1089" s="82"/>
      <c r="I1089" s="111" t="n">
        <v>5199</v>
      </c>
      <c r="J1089" s="110"/>
      <c r="K1089" s="120" t="s">
        <v>3157</v>
      </c>
      <c r="L1089" s="110"/>
      <c r="M1089" s="112" t="n">
        <v>161</v>
      </c>
      <c r="N1089" s="82"/>
      <c r="O1089" s="108"/>
      <c r="P1089" s="108"/>
      <c r="Q1089" s="108"/>
      <c r="R1089" s="108"/>
      <c r="S1089" s="108"/>
      <c r="T1089" s="108"/>
      <c r="U1089" s="108"/>
      <c r="V1089" s="108"/>
      <c r="W1089" s="108"/>
      <c r="X1089" s="108"/>
      <c r="Y1089" s="108"/>
      <c r="Z1089" s="108"/>
      <c r="AA1089" s="108"/>
      <c r="AB1089" s="108"/>
      <c r="AC1089" s="108"/>
    </row>
    <row r="1090" customFormat="false" ht="15.75" hidden="false" customHeight="true" outlineLevel="0" collapsed="false">
      <c r="A1090" s="108" t="s">
        <v>3245</v>
      </c>
      <c r="B1090" s="82"/>
      <c r="C1090" s="120" t="s">
        <v>3246</v>
      </c>
      <c r="D1090" s="121"/>
      <c r="E1090" s="108" t="s">
        <v>844</v>
      </c>
      <c r="F1090" s="114"/>
      <c r="G1090" s="120" t="s">
        <v>3238</v>
      </c>
      <c r="H1090" s="82"/>
      <c r="I1090" s="111" t="n">
        <v>5199</v>
      </c>
      <c r="J1090" s="110"/>
      <c r="K1090" s="120" t="s">
        <v>3157</v>
      </c>
      <c r="L1090" s="110"/>
      <c r="M1090" s="112" t="n">
        <v>161</v>
      </c>
      <c r="N1090" s="82"/>
      <c r="O1090" s="108"/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/>
      <c r="AB1090" s="108"/>
      <c r="AC1090" s="108"/>
    </row>
    <row r="1091" customFormat="false" ht="15.75" hidden="false" customHeight="true" outlineLevel="0" collapsed="false">
      <c r="A1091" s="108" t="s">
        <v>3247</v>
      </c>
      <c r="B1091" s="82"/>
      <c r="C1091" s="120" t="s">
        <v>3248</v>
      </c>
      <c r="D1091" s="121"/>
      <c r="E1091" s="108" t="s">
        <v>844</v>
      </c>
      <c r="F1091" s="114"/>
      <c r="G1091" s="120" t="s">
        <v>3238</v>
      </c>
      <c r="H1091" s="82"/>
      <c r="I1091" s="111" t="n">
        <v>5199</v>
      </c>
      <c r="J1091" s="110"/>
      <c r="K1091" s="120" t="s">
        <v>3157</v>
      </c>
      <c r="L1091" s="110"/>
      <c r="M1091" s="112" t="n">
        <v>161</v>
      </c>
      <c r="N1091" s="82"/>
      <c r="O1091" s="108"/>
      <c r="P1091" s="108"/>
      <c r="Q1091" s="108"/>
      <c r="R1091" s="108"/>
      <c r="S1091" s="108"/>
      <c r="T1091" s="108"/>
      <c r="U1091" s="108"/>
      <c r="V1091" s="108"/>
      <c r="W1091" s="108"/>
      <c r="X1091" s="108"/>
      <c r="Y1091" s="108"/>
      <c r="Z1091" s="108"/>
      <c r="AA1091" s="108"/>
      <c r="AB1091" s="108"/>
      <c r="AC1091" s="108"/>
    </row>
    <row r="1092" customFormat="false" ht="15.75" hidden="false" customHeight="true" outlineLevel="0" collapsed="false">
      <c r="A1092" s="108" t="s">
        <v>3249</v>
      </c>
      <c r="B1092" s="82"/>
      <c r="C1092" s="120" t="s">
        <v>3250</v>
      </c>
      <c r="D1092" s="121"/>
      <c r="E1092" s="108" t="s">
        <v>844</v>
      </c>
      <c r="F1092" s="114"/>
      <c r="G1092" s="120" t="s">
        <v>3238</v>
      </c>
      <c r="H1092" s="82"/>
      <c r="I1092" s="111" t="n">
        <v>5199</v>
      </c>
      <c r="J1092" s="110"/>
      <c r="K1092" s="120" t="s">
        <v>3157</v>
      </c>
      <c r="L1092" s="110"/>
      <c r="M1092" s="112" t="n">
        <v>161</v>
      </c>
      <c r="N1092" s="82"/>
      <c r="O1092" s="108"/>
      <c r="P1092" s="108"/>
      <c r="Q1092" s="108"/>
      <c r="R1092" s="108"/>
      <c r="S1092" s="108"/>
      <c r="T1092" s="108"/>
      <c r="U1092" s="108"/>
      <c r="V1092" s="108"/>
      <c r="W1092" s="108"/>
      <c r="X1092" s="108"/>
      <c r="Y1092" s="108"/>
      <c r="Z1092" s="108"/>
      <c r="AA1092" s="108"/>
      <c r="AB1092" s="108"/>
      <c r="AC1092" s="108"/>
    </row>
    <row r="1093" customFormat="false" ht="15.75" hidden="false" customHeight="true" outlineLevel="0" collapsed="false">
      <c r="A1093" s="108" t="s">
        <v>3251</v>
      </c>
      <c r="B1093" s="82"/>
      <c r="C1093" s="120" t="s">
        <v>3252</v>
      </c>
      <c r="D1093" s="121"/>
      <c r="E1093" s="108" t="s">
        <v>844</v>
      </c>
      <c r="F1093" s="114"/>
      <c r="G1093" s="120" t="s">
        <v>3238</v>
      </c>
      <c r="H1093" s="82"/>
      <c r="I1093" s="111" t="n">
        <v>5199</v>
      </c>
      <c r="J1093" s="110"/>
      <c r="K1093" s="120" t="s">
        <v>3157</v>
      </c>
      <c r="L1093" s="110"/>
      <c r="M1093" s="112" t="n">
        <v>161</v>
      </c>
      <c r="N1093" s="82"/>
      <c r="O1093" s="108"/>
      <c r="P1093" s="108"/>
      <c r="Q1093" s="108"/>
      <c r="R1093" s="108"/>
      <c r="S1093" s="108"/>
      <c r="T1093" s="108"/>
      <c r="U1093" s="108"/>
      <c r="V1093" s="108"/>
      <c r="W1093" s="108"/>
      <c r="X1093" s="108"/>
      <c r="Y1093" s="108"/>
      <c r="Z1093" s="108"/>
      <c r="AA1093" s="108"/>
      <c r="AB1093" s="108"/>
      <c r="AC1093" s="108"/>
    </row>
    <row r="1094" customFormat="false" ht="15.75" hidden="false" customHeight="true" outlineLevel="0" collapsed="false">
      <c r="A1094" s="108" t="s">
        <v>3253</v>
      </c>
      <c r="B1094" s="82"/>
      <c r="C1094" s="120" t="s">
        <v>3254</v>
      </c>
      <c r="D1094" s="121"/>
      <c r="E1094" s="108" t="s">
        <v>844</v>
      </c>
      <c r="F1094" s="114"/>
      <c r="G1094" s="120" t="s">
        <v>3238</v>
      </c>
      <c r="H1094" s="82"/>
      <c r="I1094" s="111" t="n">
        <v>5199</v>
      </c>
      <c r="J1094" s="110"/>
      <c r="K1094" s="120" t="s">
        <v>3157</v>
      </c>
      <c r="L1094" s="110"/>
      <c r="M1094" s="112" t="n">
        <v>161</v>
      </c>
      <c r="N1094" s="82"/>
      <c r="O1094" s="108"/>
      <c r="P1094" s="108"/>
      <c r="Q1094" s="108"/>
      <c r="R1094" s="108"/>
      <c r="S1094" s="108"/>
      <c r="T1094" s="108"/>
      <c r="U1094" s="108"/>
      <c r="V1094" s="108"/>
      <c r="W1094" s="108"/>
      <c r="X1094" s="108"/>
      <c r="Y1094" s="108"/>
      <c r="Z1094" s="108"/>
      <c r="AA1094" s="108"/>
      <c r="AB1094" s="108"/>
      <c r="AC1094" s="108"/>
    </row>
    <row r="1095" customFormat="false" ht="15.75" hidden="false" customHeight="true" outlineLevel="0" collapsed="false">
      <c r="A1095" s="108" t="s">
        <v>3255</v>
      </c>
      <c r="B1095" s="82"/>
      <c r="C1095" s="120" t="s">
        <v>3256</v>
      </c>
      <c r="D1095" s="121"/>
      <c r="E1095" s="108" t="s">
        <v>844</v>
      </c>
      <c r="F1095" s="114"/>
      <c r="G1095" s="120" t="s">
        <v>3238</v>
      </c>
      <c r="H1095" s="82"/>
      <c r="I1095" s="111" t="n">
        <v>5199</v>
      </c>
      <c r="J1095" s="110"/>
      <c r="K1095" s="120" t="s">
        <v>3157</v>
      </c>
      <c r="L1095" s="110"/>
      <c r="M1095" s="112" t="n">
        <v>161</v>
      </c>
      <c r="N1095" s="82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</row>
    <row r="1096" customFormat="false" ht="15.75" hidden="false" customHeight="true" outlineLevel="0" collapsed="false">
      <c r="A1096" s="108" t="s">
        <v>3257</v>
      </c>
      <c r="B1096" s="82"/>
      <c r="C1096" s="120" t="s">
        <v>3258</v>
      </c>
      <c r="D1096" s="121"/>
      <c r="E1096" s="108" t="s">
        <v>844</v>
      </c>
      <c r="F1096" s="114"/>
      <c r="G1096" s="120" t="s">
        <v>3238</v>
      </c>
      <c r="H1096" s="82"/>
      <c r="I1096" s="111" t="n">
        <v>5199</v>
      </c>
      <c r="J1096" s="110"/>
      <c r="K1096" s="120" t="s">
        <v>3157</v>
      </c>
      <c r="L1096" s="110"/>
      <c r="M1096" s="112" t="n">
        <v>161</v>
      </c>
      <c r="N1096" s="82"/>
      <c r="O1096" s="108"/>
      <c r="P1096" s="108"/>
      <c r="Q1096" s="108"/>
      <c r="R1096" s="108"/>
      <c r="S1096" s="108"/>
      <c r="T1096" s="108"/>
      <c r="U1096" s="108"/>
      <c r="V1096" s="108"/>
      <c r="W1096" s="108"/>
      <c r="X1096" s="108"/>
      <c r="Y1096" s="108"/>
      <c r="Z1096" s="108"/>
      <c r="AA1096" s="108"/>
      <c r="AB1096" s="108"/>
      <c r="AC1096" s="108"/>
    </row>
    <row r="1097" customFormat="false" ht="15.75" hidden="false" customHeight="true" outlineLevel="0" collapsed="false">
      <c r="A1097" s="108" t="s">
        <v>3259</v>
      </c>
      <c r="B1097" s="82"/>
      <c r="C1097" s="120" t="s">
        <v>3260</v>
      </c>
      <c r="D1097" s="121"/>
      <c r="E1097" s="108" t="s">
        <v>844</v>
      </c>
      <c r="F1097" s="114"/>
      <c r="G1097" s="120" t="s">
        <v>1467</v>
      </c>
      <c r="H1097" s="82"/>
      <c r="I1097" s="111" t="n">
        <v>5199</v>
      </c>
      <c r="J1097" s="110"/>
      <c r="K1097" s="120" t="s">
        <v>3157</v>
      </c>
      <c r="L1097" s="110"/>
      <c r="M1097" s="112" t="n">
        <v>161</v>
      </c>
      <c r="N1097" s="82"/>
      <c r="O1097" s="108"/>
      <c r="P1097" s="108"/>
      <c r="Q1097" s="108"/>
      <c r="R1097" s="108"/>
      <c r="S1097" s="108"/>
      <c r="T1097" s="108"/>
      <c r="U1097" s="108"/>
      <c r="V1097" s="108"/>
      <c r="W1097" s="108"/>
      <c r="X1097" s="108"/>
      <c r="Y1097" s="108"/>
      <c r="Z1097" s="108"/>
      <c r="AA1097" s="108"/>
      <c r="AB1097" s="108"/>
      <c r="AC1097" s="108"/>
    </row>
    <row r="1098" customFormat="false" ht="15.75" hidden="false" customHeight="true" outlineLevel="0" collapsed="false">
      <c r="A1098" s="108" t="s">
        <v>3261</v>
      </c>
      <c r="B1098" s="82"/>
      <c r="C1098" s="120" t="s">
        <v>3262</v>
      </c>
      <c r="D1098" s="121"/>
      <c r="E1098" s="108" t="s">
        <v>844</v>
      </c>
      <c r="F1098" s="114"/>
      <c r="G1098" s="120" t="s">
        <v>1467</v>
      </c>
      <c r="H1098" s="82"/>
      <c r="I1098" s="111" t="n">
        <v>5199</v>
      </c>
      <c r="J1098" s="110"/>
      <c r="K1098" s="120" t="s">
        <v>3157</v>
      </c>
      <c r="L1098" s="110"/>
      <c r="M1098" s="112" t="n">
        <v>161</v>
      </c>
      <c r="N1098" s="82"/>
      <c r="O1098" s="108"/>
      <c r="P1098" s="108"/>
      <c r="Q1098" s="108"/>
      <c r="R1098" s="108"/>
      <c r="S1098" s="108"/>
      <c r="T1098" s="108"/>
      <c r="U1098" s="108"/>
      <c r="V1098" s="108"/>
      <c r="W1098" s="108"/>
      <c r="X1098" s="108"/>
      <c r="Y1098" s="108"/>
      <c r="Z1098" s="108"/>
      <c r="AA1098" s="108"/>
      <c r="AB1098" s="108"/>
      <c r="AC1098" s="108"/>
    </row>
    <row r="1099" customFormat="false" ht="15.75" hidden="false" customHeight="true" outlineLevel="0" collapsed="false">
      <c r="A1099" s="108" t="s">
        <v>3263</v>
      </c>
      <c r="B1099" s="82"/>
      <c r="C1099" s="120" t="s">
        <v>3264</v>
      </c>
      <c r="D1099" s="121"/>
      <c r="E1099" s="108" t="s">
        <v>844</v>
      </c>
      <c r="F1099" s="114"/>
      <c r="G1099" s="120" t="s">
        <v>1467</v>
      </c>
      <c r="H1099" s="82"/>
      <c r="I1099" s="111" t="n">
        <v>5199</v>
      </c>
      <c r="J1099" s="110"/>
      <c r="K1099" s="120" t="s">
        <v>3157</v>
      </c>
      <c r="L1099" s="110"/>
      <c r="M1099" s="112" t="n">
        <v>161</v>
      </c>
      <c r="N1099" s="82"/>
      <c r="O1099" s="108"/>
      <c r="P1099" s="108"/>
      <c r="Q1099" s="108"/>
      <c r="R1099" s="108"/>
      <c r="S1099" s="108"/>
      <c r="T1099" s="108"/>
      <c r="U1099" s="108"/>
      <c r="V1099" s="108"/>
      <c r="W1099" s="108"/>
      <c r="X1099" s="108"/>
      <c r="Y1099" s="108"/>
      <c r="Z1099" s="108"/>
      <c r="AA1099" s="108"/>
      <c r="AB1099" s="108"/>
      <c r="AC1099" s="108"/>
    </row>
    <row r="1100" customFormat="false" ht="15.75" hidden="false" customHeight="true" outlineLevel="0" collapsed="false">
      <c r="A1100" s="108" t="s">
        <v>3265</v>
      </c>
      <c r="B1100" s="82"/>
      <c r="C1100" s="120" t="s">
        <v>3266</v>
      </c>
      <c r="D1100" s="121"/>
      <c r="E1100" s="108" t="s">
        <v>844</v>
      </c>
      <c r="F1100" s="114"/>
      <c r="G1100" s="120" t="s">
        <v>1467</v>
      </c>
      <c r="H1100" s="82"/>
      <c r="I1100" s="111" t="n">
        <v>5199</v>
      </c>
      <c r="J1100" s="110"/>
      <c r="K1100" s="120" t="s">
        <v>3157</v>
      </c>
      <c r="L1100" s="110"/>
      <c r="M1100" s="112" t="n">
        <v>161</v>
      </c>
      <c r="N1100" s="82"/>
      <c r="O1100" s="108"/>
      <c r="P1100" s="108"/>
      <c r="Q1100" s="108"/>
      <c r="R1100" s="108"/>
      <c r="S1100" s="108"/>
      <c r="T1100" s="108"/>
      <c r="U1100" s="108"/>
      <c r="V1100" s="108"/>
      <c r="W1100" s="108"/>
      <c r="X1100" s="108"/>
      <c r="Y1100" s="108"/>
      <c r="Z1100" s="108"/>
      <c r="AA1100" s="108"/>
      <c r="AB1100" s="108"/>
      <c r="AC1100" s="108"/>
    </row>
    <row r="1101" customFormat="false" ht="15.75" hidden="false" customHeight="true" outlineLevel="0" collapsed="false">
      <c r="A1101" s="108" t="s">
        <v>3267</v>
      </c>
      <c r="B1101" s="82"/>
      <c r="C1101" s="120" t="s">
        <v>3268</v>
      </c>
      <c r="D1101" s="121"/>
      <c r="E1101" s="108" t="s">
        <v>844</v>
      </c>
      <c r="F1101" s="114"/>
      <c r="G1101" s="120" t="s">
        <v>1123</v>
      </c>
      <c r="H1101" s="82"/>
      <c r="I1101" s="111" t="n">
        <v>5199</v>
      </c>
      <c r="J1101" s="110"/>
      <c r="K1101" s="120" t="s">
        <v>3157</v>
      </c>
      <c r="L1101" s="110"/>
      <c r="M1101" s="112" t="n">
        <v>161</v>
      </c>
      <c r="N1101" s="82"/>
      <c r="O1101" s="108"/>
      <c r="P1101" s="108"/>
      <c r="Q1101" s="108"/>
      <c r="R1101" s="108"/>
      <c r="S1101" s="108"/>
      <c r="T1101" s="108"/>
      <c r="U1101" s="108"/>
      <c r="V1101" s="108"/>
      <c r="W1101" s="108"/>
      <c r="X1101" s="108"/>
      <c r="Y1101" s="108"/>
      <c r="Z1101" s="108"/>
      <c r="AA1101" s="108"/>
      <c r="AB1101" s="108"/>
      <c r="AC1101" s="108"/>
    </row>
    <row r="1102" customFormat="false" ht="15.75" hidden="false" customHeight="true" outlineLevel="0" collapsed="false">
      <c r="A1102" s="108" t="s">
        <v>3269</v>
      </c>
      <c r="B1102" s="82"/>
      <c r="C1102" s="120" t="s">
        <v>3270</v>
      </c>
      <c r="D1102" s="121"/>
      <c r="E1102" s="108" t="s">
        <v>844</v>
      </c>
      <c r="F1102" s="114"/>
      <c r="G1102" s="120" t="s">
        <v>1090</v>
      </c>
      <c r="H1102" s="82"/>
      <c r="I1102" s="111" t="n">
        <v>5199</v>
      </c>
      <c r="J1102" s="110"/>
      <c r="K1102" s="120" t="s">
        <v>3157</v>
      </c>
      <c r="L1102" s="110"/>
      <c r="M1102" s="112" t="n">
        <v>161</v>
      </c>
      <c r="N1102" s="82"/>
      <c r="O1102" s="108"/>
      <c r="P1102" s="108"/>
      <c r="Q1102" s="108"/>
      <c r="R1102" s="108"/>
      <c r="S1102" s="108"/>
      <c r="T1102" s="108"/>
      <c r="U1102" s="108"/>
      <c r="V1102" s="108"/>
      <c r="W1102" s="108"/>
      <c r="X1102" s="108"/>
      <c r="Y1102" s="108"/>
      <c r="Z1102" s="108"/>
      <c r="AA1102" s="108"/>
      <c r="AB1102" s="108"/>
      <c r="AC1102" s="108"/>
    </row>
    <row r="1103" customFormat="false" ht="15.75" hidden="false" customHeight="true" outlineLevel="0" collapsed="false">
      <c r="A1103" s="108" t="s">
        <v>3271</v>
      </c>
      <c r="B1103" s="82"/>
      <c r="C1103" s="120" t="s">
        <v>3272</v>
      </c>
      <c r="D1103" s="121"/>
      <c r="E1103" s="108" t="s">
        <v>844</v>
      </c>
      <c r="F1103" s="114"/>
      <c r="G1103" s="120" t="s">
        <v>1090</v>
      </c>
      <c r="H1103" s="82"/>
      <c r="I1103" s="111" t="n">
        <v>5199</v>
      </c>
      <c r="J1103" s="110"/>
      <c r="K1103" s="120" t="s">
        <v>3157</v>
      </c>
      <c r="L1103" s="110"/>
      <c r="M1103" s="112" t="n">
        <v>161</v>
      </c>
      <c r="N1103" s="82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</row>
    <row r="1104" customFormat="false" ht="15.75" hidden="false" customHeight="true" outlineLevel="0" collapsed="false">
      <c r="A1104" s="108" t="s">
        <v>3273</v>
      </c>
      <c r="B1104" s="82"/>
      <c r="C1104" s="120" t="s">
        <v>3274</v>
      </c>
      <c r="D1104" s="121"/>
      <c r="E1104" s="108" t="s">
        <v>844</v>
      </c>
      <c r="F1104" s="114"/>
      <c r="G1104" s="120" t="s">
        <v>968</v>
      </c>
      <c r="H1104" s="82"/>
      <c r="I1104" s="111" t="n">
        <v>5199</v>
      </c>
      <c r="J1104" s="110"/>
      <c r="K1104" s="120" t="s">
        <v>3157</v>
      </c>
      <c r="L1104" s="110"/>
      <c r="M1104" s="112" t="n">
        <v>161</v>
      </c>
      <c r="N1104" s="82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</row>
    <row r="1105" customFormat="false" ht="15.75" hidden="false" customHeight="true" outlineLevel="0" collapsed="false">
      <c r="A1105" s="108" t="s">
        <v>3275</v>
      </c>
      <c r="B1105" s="82"/>
      <c r="C1105" s="120" t="s">
        <v>3276</v>
      </c>
      <c r="D1105" s="121"/>
      <c r="E1105" s="108" t="s">
        <v>844</v>
      </c>
      <c r="F1105" s="114"/>
      <c r="G1105" s="120" t="s">
        <v>917</v>
      </c>
      <c r="H1105" s="82"/>
      <c r="I1105" s="111" t="n">
        <v>5199</v>
      </c>
      <c r="J1105" s="110"/>
      <c r="K1105" s="120" t="s">
        <v>3157</v>
      </c>
      <c r="L1105" s="110"/>
      <c r="M1105" s="112" t="n">
        <v>161</v>
      </c>
      <c r="N1105" s="82"/>
      <c r="O1105" s="108"/>
      <c r="P1105" s="108"/>
      <c r="Q1105" s="108"/>
      <c r="R1105" s="108"/>
      <c r="S1105" s="108"/>
      <c r="T1105" s="108"/>
      <c r="U1105" s="108"/>
      <c r="V1105" s="108"/>
      <c r="W1105" s="108"/>
      <c r="X1105" s="108"/>
      <c r="Y1105" s="108"/>
      <c r="Z1105" s="108"/>
      <c r="AA1105" s="108"/>
      <c r="AB1105" s="108"/>
      <c r="AC1105" s="108"/>
    </row>
    <row r="1106" customFormat="false" ht="15.75" hidden="false" customHeight="true" outlineLevel="0" collapsed="false">
      <c r="A1106" s="108" t="s">
        <v>3277</v>
      </c>
      <c r="B1106" s="82"/>
      <c r="C1106" s="120" t="s">
        <v>3278</v>
      </c>
      <c r="D1106" s="121"/>
      <c r="E1106" s="108" t="s">
        <v>844</v>
      </c>
      <c r="F1106" s="114"/>
      <c r="G1106" s="120" t="s">
        <v>917</v>
      </c>
      <c r="H1106" s="82"/>
      <c r="I1106" s="111" t="n">
        <v>5199</v>
      </c>
      <c r="J1106" s="110"/>
      <c r="K1106" s="120" t="s">
        <v>3157</v>
      </c>
      <c r="L1106" s="110"/>
      <c r="M1106" s="112" t="n">
        <v>161</v>
      </c>
      <c r="N1106" s="82"/>
      <c r="O1106" s="108"/>
      <c r="P1106" s="108"/>
      <c r="Q1106" s="108"/>
      <c r="R1106" s="108"/>
      <c r="S1106" s="108"/>
      <c r="T1106" s="108"/>
      <c r="U1106" s="108"/>
      <c r="V1106" s="108"/>
      <c r="W1106" s="108"/>
      <c r="X1106" s="108"/>
      <c r="Y1106" s="108"/>
      <c r="Z1106" s="108"/>
      <c r="AA1106" s="108"/>
      <c r="AB1106" s="108"/>
      <c r="AC1106" s="108"/>
    </row>
    <row r="1107" customFormat="false" ht="15.75" hidden="false" customHeight="true" outlineLevel="0" collapsed="false">
      <c r="A1107" s="108" t="s">
        <v>3279</v>
      </c>
      <c r="B1107" s="82"/>
      <c r="C1107" s="120" t="s">
        <v>3280</v>
      </c>
      <c r="D1107" s="121"/>
      <c r="E1107" s="108" t="s">
        <v>844</v>
      </c>
      <c r="F1107" s="114"/>
      <c r="G1107" s="120" t="s">
        <v>917</v>
      </c>
      <c r="H1107" s="82"/>
      <c r="I1107" s="111" t="n">
        <v>5199</v>
      </c>
      <c r="J1107" s="110"/>
      <c r="K1107" s="120" t="s">
        <v>3157</v>
      </c>
      <c r="L1107" s="110"/>
      <c r="M1107" s="112" t="n">
        <v>161</v>
      </c>
      <c r="N1107" s="82"/>
      <c r="O1107" s="108"/>
      <c r="P1107" s="108"/>
      <c r="Q1107" s="108"/>
      <c r="R1107" s="108"/>
      <c r="S1107" s="108"/>
      <c r="T1107" s="108"/>
      <c r="U1107" s="108"/>
      <c r="V1107" s="108"/>
      <c r="W1107" s="108"/>
      <c r="X1107" s="108"/>
      <c r="Y1107" s="108"/>
      <c r="Z1107" s="108"/>
      <c r="AA1107" s="108"/>
      <c r="AB1107" s="108"/>
      <c r="AC1107" s="108"/>
    </row>
    <row r="1108" customFormat="false" ht="15.75" hidden="false" customHeight="true" outlineLevel="0" collapsed="false">
      <c r="A1108" s="108" t="s">
        <v>3281</v>
      </c>
      <c r="B1108" s="82"/>
      <c r="C1108" s="120" t="s">
        <v>3282</v>
      </c>
      <c r="D1108" s="121"/>
      <c r="E1108" s="108" t="s">
        <v>844</v>
      </c>
      <c r="F1108" s="114"/>
      <c r="G1108" s="120" t="s">
        <v>917</v>
      </c>
      <c r="H1108" s="82"/>
      <c r="I1108" s="111" t="n">
        <v>5199</v>
      </c>
      <c r="J1108" s="110"/>
      <c r="K1108" s="120" t="s">
        <v>3157</v>
      </c>
      <c r="L1108" s="110"/>
      <c r="M1108" s="112" t="n">
        <v>161</v>
      </c>
      <c r="N1108" s="82"/>
      <c r="O1108" s="108"/>
      <c r="P1108" s="108"/>
      <c r="Q1108" s="108"/>
      <c r="R1108" s="108"/>
      <c r="S1108" s="108"/>
      <c r="T1108" s="108"/>
      <c r="U1108" s="108"/>
      <c r="V1108" s="108"/>
      <c r="W1108" s="108"/>
      <c r="X1108" s="108"/>
      <c r="Y1108" s="108"/>
      <c r="Z1108" s="108"/>
      <c r="AA1108" s="108"/>
      <c r="AB1108" s="108"/>
      <c r="AC1108" s="108"/>
    </row>
    <row r="1109" customFormat="false" ht="15.75" hidden="false" customHeight="true" outlineLevel="0" collapsed="false">
      <c r="A1109" s="108" t="s">
        <v>3283</v>
      </c>
      <c r="B1109" s="82"/>
      <c r="C1109" s="120" t="s">
        <v>3284</v>
      </c>
      <c r="D1109" s="121"/>
      <c r="E1109" s="108" t="s">
        <v>844</v>
      </c>
      <c r="F1109" s="114"/>
      <c r="G1109" s="120" t="s">
        <v>917</v>
      </c>
      <c r="H1109" s="82"/>
      <c r="I1109" s="111" t="n">
        <v>5199</v>
      </c>
      <c r="J1109" s="110"/>
      <c r="K1109" s="120" t="s">
        <v>3157</v>
      </c>
      <c r="L1109" s="110"/>
      <c r="M1109" s="112" t="n">
        <v>161</v>
      </c>
      <c r="N1109" s="82"/>
      <c r="O1109" s="108"/>
      <c r="P1109" s="108"/>
      <c r="Q1109" s="108"/>
      <c r="R1109" s="108"/>
      <c r="S1109" s="108"/>
      <c r="T1109" s="108"/>
      <c r="U1109" s="108"/>
      <c r="V1109" s="108"/>
      <c r="W1109" s="108"/>
      <c r="X1109" s="108"/>
      <c r="Y1109" s="108"/>
      <c r="Z1109" s="108"/>
      <c r="AA1109" s="108"/>
      <c r="AB1109" s="108"/>
      <c r="AC1109" s="108"/>
    </row>
    <row r="1110" customFormat="false" ht="15.75" hidden="false" customHeight="true" outlineLevel="0" collapsed="false">
      <c r="A1110" s="108" t="s">
        <v>3285</v>
      </c>
      <c r="B1110" s="82"/>
      <c r="C1110" s="120" t="s">
        <v>3286</v>
      </c>
      <c r="D1110" s="121"/>
      <c r="E1110" s="108" t="s">
        <v>844</v>
      </c>
      <c r="F1110" s="114"/>
      <c r="G1110" s="120" t="s">
        <v>917</v>
      </c>
      <c r="H1110" s="82"/>
      <c r="I1110" s="111" t="n">
        <v>5199</v>
      </c>
      <c r="J1110" s="110"/>
      <c r="K1110" s="120" t="s">
        <v>3157</v>
      </c>
      <c r="L1110" s="110"/>
      <c r="M1110" s="112" t="n">
        <v>161</v>
      </c>
      <c r="N1110" s="82"/>
      <c r="O1110" s="108"/>
      <c r="P1110" s="108"/>
      <c r="Q1110" s="108"/>
      <c r="R1110" s="108"/>
      <c r="S1110" s="108"/>
      <c r="T1110" s="108"/>
      <c r="U1110" s="108"/>
      <c r="V1110" s="108"/>
      <c r="W1110" s="108"/>
      <c r="X1110" s="108"/>
      <c r="Y1110" s="108"/>
      <c r="Z1110" s="108"/>
      <c r="AA1110" s="108"/>
      <c r="AB1110" s="108"/>
      <c r="AC1110" s="108"/>
    </row>
    <row r="1111" customFormat="false" ht="15.75" hidden="false" customHeight="true" outlineLevel="0" collapsed="false">
      <c r="A1111" s="108" t="s">
        <v>3287</v>
      </c>
      <c r="B1111" s="82"/>
      <c r="C1111" s="120" t="s">
        <v>3288</v>
      </c>
      <c r="D1111" s="121"/>
      <c r="E1111" s="108" t="s">
        <v>821</v>
      </c>
      <c r="F1111" s="114"/>
      <c r="G1111" s="120" t="s">
        <v>830</v>
      </c>
      <c r="H1111" s="82"/>
      <c r="I1111" s="111" t="n">
        <v>5199</v>
      </c>
      <c r="J1111" s="110"/>
      <c r="K1111" s="120" t="s">
        <v>3157</v>
      </c>
      <c r="L1111" s="110"/>
      <c r="M1111" s="112" t="n">
        <v>161</v>
      </c>
      <c r="N1111" s="82"/>
      <c r="O1111" s="108"/>
      <c r="P1111" s="108"/>
      <c r="Q1111" s="108"/>
      <c r="R1111" s="108"/>
      <c r="S1111" s="108"/>
      <c r="T1111" s="108"/>
      <c r="U1111" s="108"/>
      <c r="V1111" s="108"/>
      <c r="W1111" s="108"/>
      <c r="X1111" s="108"/>
      <c r="Y1111" s="108"/>
      <c r="Z1111" s="108"/>
      <c r="AA1111" s="108"/>
      <c r="AB1111" s="108"/>
      <c r="AC1111" s="108"/>
    </row>
    <row r="1112" customFormat="false" ht="15.75" hidden="false" customHeight="true" outlineLevel="0" collapsed="false">
      <c r="A1112" s="108" t="s">
        <v>3289</v>
      </c>
      <c r="B1112" s="82"/>
      <c r="C1112" s="120" t="s">
        <v>3290</v>
      </c>
      <c r="D1112" s="121"/>
      <c r="E1112" s="108" t="s">
        <v>821</v>
      </c>
      <c r="F1112" s="114"/>
      <c r="G1112" s="120" t="s">
        <v>830</v>
      </c>
      <c r="H1112" s="82"/>
      <c r="I1112" s="111" t="n">
        <v>5199</v>
      </c>
      <c r="J1112" s="110"/>
      <c r="K1112" s="120" t="s">
        <v>3157</v>
      </c>
      <c r="L1112" s="110"/>
      <c r="M1112" s="112" t="n">
        <v>161</v>
      </c>
      <c r="N1112" s="82"/>
      <c r="O1112" s="108"/>
      <c r="P1112" s="108"/>
      <c r="Q1112" s="108"/>
      <c r="R1112" s="108"/>
      <c r="S1112" s="108"/>
      <c r="T1112" s="108"/>
      <c r="U1112" s="108"/>
      <c r="V1112" s="108"/>
      <c r="W1112" s="108"/>
      <c r="X1112" s="108"/>
      <c r="Y1112" s="108"/>
      <c r="Z1112" s="108"/>
      <c r="AA1112" s="108"/>
      <c r="AB1112" s="108"/>
      <c r="AC1112" s="108"/>
    </row>
    <row r="1113" customFormat="false" ht="15.75" hidden="false" customHeight="true" outlineLevel="0" collapsed="false">
      <c r="A1113" s="108" t="s">
        <v>3291</v>
      </c>
      <c r="B1113" s="82"/>
      <c r="C1113" s="120" t="s">
        <v>3292</v>
      </c>
      <c r="D1113" s="121"/>
      <c r="E1113" s="108" t="s">
        <v>821</v>
      </c>
      <c r="F1113" s="114"/>
      <c r="G1113" s="120" t="s">
        <v>830</v>
      </c>
      <c r="H1113" s="82"/>
      <c r="I1113" s="111" t="n">
        <v>5199</v>
      </c>
      <c r="J1113" s="110"/>
      <c r="K1113" s="120" t="s">
        <v>3157</v>
      </c>
      <c r="L1113" s="110"/>
      <c r="M1113" s="112" t="n">
        <v>161</v>
      </c>
      <c r="N1113" s="82"/>
      <c r="O1113" s="108"/>
      <c r="P1113" s="108"/>
      <c r="Q1113" s="108"/>
      <c r="R1113" s="108"/>
      <c r="S1113" s="108"/>
      <c r="T1113" s="108"/>
      <c r="U1113" s="108"/>
      <c r="V1113" s="108"/>
      <c r="W1113" s="108"/>
      <c r="X1113" s="108"/>
      <c r="Y1113" s="108"/>
      <c r="Z1113" s="108"/>
      <c r="AA1113" s="108"/>
      <c r="AB1113" s="108"/>
      <c r="AC1113" s="108"/>
    </row>
    <row r="1114" customFormat="false" ht="15.75" hidden="false" customHeight="true" outlineLevel="0" collapsed="false">
      <c r="A1114" s="108" t="s">
        <v>3293</v>
      </c>
      <c r="B1114" s="82"/>
      <c r="C1114" s="120" t="s">
        <v>3294</v>
      </c>
      <c r="D1114" s="121"/>
      <c r="E1114" s="108" t="s">
        <v>821</v>
      </c>
      <c r="F1114" s="114"/>
      <c r="G1114" s="120" t="s">
        <v>830</v>
      </c>
      <c r="H1114" s="82"/>
      <c r="I1114" s="111" t="n">
        <v>5199</v>
      </c>
      <c r="J1114" s="110"/>
      <c r="K1114" s="120" t="s">
        <v>3157</v>
      </c>
      <c r="L1114" s="110"/>
      <c r="M1114" s="112" t="n">
        <v>161</v>
      </c>
      <c r="N1114" s="82"/>
      <c r="O1114" s="108"/>
      <c r="P1114" s="108"/>
      <c r="Q1114" s="108"/>
      <c r="R1114" s="108"/>
      <c r="S1114" s="108"/>
      <c r="T1114" s="108"/>
      <c r="U1114" s="108"/>
      <c r="V1114" s="108"/>
      <c r="W1114" s="108"/>
      <c r="X1114" s="108"/>
      <c r="Y1114" s="108"/>
      <c r="Z1114" s="108"/>
      <c r="AA1114" s="108"/>
      <c r="AB1114" s="108"/>
      <c r="AC1114" s="108"/>
    </row>
    <row r="1115" customFormat="false" ht="15.75" hidden="false" customHeight="true" outlineLevel="0" collapsed="false">
      <c r="A1115" s="108" t="s">
        <v>3295</v>
      </c>
      <c r="B1115" s="82"/>
      <c r="C1115" s="120" t="s">
        <v>3296</v>
      </c>
      <c r="D1115" s="121"/>
      <c r="E1115" s="108" t="s">
        <v>821</v>
      </c>
      <c r="F1115" s="114"/>
      <c r="G1115" s="120" t="s">
        <v>830</v>
      </c>
      <c r="H1115" s="82"/>
      <c r="I1115" s="111" t="n">
        <v>5199</v>
      </c>
      <c r="J1115" s="110"/>
      <c r="K1115" s="120" t="s">
        <v>3157</v>
      </c>
      <c r="L1115" s="110"/>
      <c r="M1115" s="112" t="n">
        <v>161</v>
      </c>
      <c r="N1115" s="82"/>
      <c r="O1115" s="108"/>
      <c r="P1115" s="108"/>
      <c r="Q1115" s="108"/>
      <c r="R1115" s="108"/>
      <c r="S1115" s="108"/>
      <c r="T1115" s="108"/>
      <c r="U1115" s="108"/>
      <c r="V1115" s="108"/>
      <c r="W1115" s="108"/>
      <c r="X1115" s="108"/>
      <c r="Y1115" s="108"/>
      <c r="Z1115" s="108"/>
      <c r="AA1115" s="108"/>
      <c r="AB1115" s="108"/>
      <c r="AC1115" s="108"/>
    </row>
    <row r="1116" customFormat="false" ht="15.75" hidden="false" customHeight="true" outlineLevel="0" collapsed="false">
      <c r="A1116" s="108" t="s">
        <v>3297</v>
      </c>
      <c r="B1116" s="82"/>
      <c r="C1116" s="120" t="s">
        <v>3298</v>
      </c>
      <c r="D1116" s="121"/>
      <c r="E1116" s="108" t="s">
        <v>821</v>
      </c>
      <c r="F1116" s="114"/>
      <c r="G1116" s="120" t="s">
        <v>830</v>
      </c>
      <c r="H1116" s="82"/>
      <c r="I1116" s="111" t="n">
        <v>5199</v>
      </c>
      <c r="J1116" s="110"/>
      <c r="K1116" s="120" t="s">
        <v>3157</v>
      </c>
      <c r="L1116" s="110"/>
      <c r="M1116" s="112" t="n">
        <v>161</v>
      </c>
      <c r="N1116" s="82"/>
      <c r="O1116" s="108"/>
      <c r="P1116" s="108"/>
      <c r="Q1116" s="108"/>
      <c r="R1116" s="108"/>
      <c r="S1116" s="108"/>
      <c r="T1116" s="108"/>
      <c r="U1116" s="108"/>
      <c r="V1116" s="108"/>
      <c r="W1116" s="108"/>
      <c r="X1116" s="108"/>
      <c r="Y1116" s="108"/>
      <c r="Z1116" s="108"/>
      <c r="AA1116" s="108"/>
      <c r="AB1116" s="108"/>
      <c r="AC1116" s="108"/>
    </row>
    <row r="1117" customFormat="false" ht="15.75" hidden="false" customHeight="true" outlineLevel="0" collapsed="false">
      <c r="A1117" s="108" t="s">
        <v>3299</v>
      </c>
      <c r="B1117" s="82"/>
      <c r="C1117" s="120" t="s">
        <v>3300</v>
      </c>
      <c r="D1117" s="121"/>
      <c r="E1117" s="108" t="s">
        <v>821</v>
      </c>
      <c r="F1117" s="114"/>
      <c r="G1117" s="120" t="s">
        <v>830</v>
      </c>
      <c r="H1117" s="82"/>
      <c r="I1117" s="111" t="n">
        <v>5199</v>
      </c>
      <c r="J1117" s="110"/>
      <c r="K1117" s="120" t="s">
        <v>3157</v>
      </c>
      <c r="L1117" s="110"/>
      <c r="M1117" s="112" t="n">
        <v>161</v>
      </c>
      <c r="N1117" s="82"/>
      <c r="O1117" s="108"/>
      <c r="P1117" s="108"/>
      <c r="Q1117" s="108"/>
      <c r="R1117" s="108"/>
      <c r="S1117" s="108"/>
      <c r="T1117" s="108"/>
      <c r="U1117" s="108"/>
      <c r="V1117" s="108"/>
      <c r="W1117" s="108"/>
      <c r="X1117" s="108"/>
      <c r="Y1117" s="108"/>
      <c r="Z1117" s="108"/>
      <c r="AA1117" s="108"/>
      <c r="AB1117" s="108"/>
      <c r="AC1117" s="108"/>
    </row>
    <row r="1118" customFormat="false" ht="15.75" hidden="false" customHeight="true" outlineLevel="0" collapsed="false">
      <c r="A1118" s="108" t="s">
        <v>3301</v>
      </c>
      <c r="B1118" s="82"/>
      <c r="C1118" s="120" t="s">
        <v>3302</v>
      </c>
      <c r="D1118" s="121"/>
      <c r="E1118" s="108" t="s">
        <v>821</v>
      </c>
      <c r="F1118" s="114"/>
      <c r="G1118" s="120" t="s">
        <v>830</v>
      </c>
      <c r="H1118" s="82"/>
      <c r="I1118" s="111" t="n">
        <v>5199</v>
      </c>
      <c r="J1118" s="110"/>
      <c r="K1118" s="120" t="s">
        <v>3157</v>
      </c>
      <c r="L1118" s="110"/>
      <c r="M1118" s="112" t="n">
        <v>161</v>
      </c>
      <c r="N1118" s="82"/>
      <c r="O1118" s="108"/>
      <c r="P1118" s="108"/>
      <c r="Q1118" s="108"/>
      <c r="R1118" s="108"/>
      <c r="S1118" s="108"/>
      <c r="T1118" s="108"/>
      <c r="U1118" s="108"/>
      <c r="V1118" s="108"/>
      <c r="W1118" s="108"/>
      <c r="X1118" s="108"/>
      <c r="Y1118" s="108"/>
      <c r="Z1118" s="108"/>
      <c r="AA1118" s="108"/>
      <c r="AB1118" s="108"/>
      <c r="AC1118" s="108"/>
    </row>
    <row r="1119" customFormat="false" ht="15.75" hidden="false" customHeight="true" outlineLevel="0" collapsed="false">
      <c r="A1119" s="108" t="s">
        <v>3303</v>
      </c>
      <c r="B1119" s="82"/>
      <c r="C1119" s="120" t="s">
        <v>3304</v>
      </c>
      <c r="D1119" s="121"/>
      <c r="E1119" s="108" t="s">
        <v>821</v>
      </c>
      <c r="F1119" s="114"/>
      <c r="G1119" s="120" t="s">
        <v>830</v>
      </c>
      <c r="H1119" s="82"/>
      <c r="I1119" s="111" t="n">
        <v>5199</v>
      </c>
      <c r="J1119" s="110"/>
      <c r="K1119" s="120" t="s">
        <v>3157</v>
      </c>
      <c r="L1119" s="110"/>
      <c r="M1119" s="112" t="n">
        <v>161</v>
      </c>
      <c r="N1119" s="82"/>
      <c r="O1119" s="108"/>
      <c r="P1119" s="108"/>
      <c r="Q1119" s="108"/>
      <c r="R1119" s="108"/>
      <c r="S1119" s="108"/>
      <c r="T1119" s="108"/>
      <c r="U1119" s="108"/>
      <c r="V1119" s="108"/>
      <c r="W1119" s="108"/>
      <c r="X1119" s="108"/>
      <c r="Y1119" s="108"/>
      <c r="Z1119" s="108"/>
      <c r="AA1119" s="108"/>
      <c r="AB1119" s="108"/>
      <c r="AC1119" s="108"/>
    </row>
    <row r="1120" customFormat="false" ht="15.75" hidden="false" customHeight="true" outlineLevel="0" collapsed="false">
      <c r="A1120" s="108" t="s">
        <v>3305</v>
      </c>
      <c r="B1120" s="82"/>
      <c r="C1120" s="120" t="s">
        <v>3306</v>
      </c>
      <c r="D1120" s="121"/>
      <c r="E1120" s="108" t="s">
        <v>821</v>
      </c>
      <c r="F1120" s="114"/>
      <c r="G1120" s="120" t="s">
        <v>830</v>
      </c>
      <c r="H1120" s="82"/>
      <c r="I1120" s="111" t="n">
        <v>5199</v>
      </c>
      <c r="J1120" s="110"/>
      <c r="K1120" s="120" t="s">
        <v>3157</v>
      </c>
      <c r="L1120" s="110"/>
      <c r="M1120" s="112" t="n">
        <v>161</v>
      </c>
      <c r="N1120" s="82"/>
      <c r="O1120" s="108"/>
      <c r="P1120" s="108"/>
      <c r="Q1120" s="108"/>
      <c r="R1120" s="108"/>
      <c r="S1120" s="108"/>
      <c r="T1120" s="108"/>
      <c r="U1120" s="108"/>
      <c r="V1120" s="108"/>
      <c r="W1120" s="108"/>
      <c r="X1120" s="108"/>
      <c r="Y1120" s="108"/>
      <c r="Z1120" s="108"/>
      <c r="AA1120" s="108"/>
      <c r="AB1120" s="108"/>
      <c r="AC1120" s="108"/>
    </row>
    <row r="1121" customFormat="false" ht="15.75" hidden="false" customHeight="true" outlineLevel="0" collapsed="false">
      <c r="A1121" s="108" t="s">
        <v>3307</v>
      </c>
      <c r="B1121" s="82"/>
      <c r="C1121" s="120" t="s">
        <v>3308</v>
      </c>
      <c r="D1121" s="121"/>
      <c r="E1121" s="108" t="s">
        <v>821</v>
      </c>
      <c r="F1121" s="114"/>
      <c r="G1121" s="120" t="s">
        <v>830</v>
      </c>
      <c r="H1121" s="82"/>
      <c r="I1121" s="111" t="n">
        <v>5199</v>
      </c>
      <c r="J1121" s="110"/>
      <c r="K1121" s="120" t="s">
        <v>3157</v>
      </c>
      <c r="L1121" s="110"/>
      <c r="M1121" s="112" t="n">
        <v>161</v>
      </c>
      <c r="N1121" s="82"/>
      <c r="O1121" s="108"/>
      <c r="P1121" s="108"/>
      <c r="Q1121" s="108"/>
      <c r="R1121" s="108"/>
      <c r="S1121" s="108"/>
      <c r="T1121" s="108"/>
      <c r="U1121" s="108"/>
      <c r="V1121" s="108"/>
      <c r="W1121" s="108"/>
      <c r="X1121" s="108"/>
      <c r="Y1121" s="108"/>
      <c r="Z1121" s="108"/>
      <c r="AA1121" s="108"/>
      <c r="AB1121" s="108"/>
      <c r="AC1121" s="108"/>
    </row>
    <row r="1122" customFormat="false" ht="15.75" hidden="false" customHeight="true" outlineLevel="0" collapsed="false">
      <c r="A1122" s="108" t="s">
        <v>3309</v>
      </c>
      <c r="B1122" s="82"/>
      <c r="C1122" s="120" t="s">
        <v>3310</v>
      </c>
      <c r="D1122" s="121"/>
      <c r="E1122" s="108" t="s">
        <v>821</v>
      </c>
      <c r="F1122" s="114"/>
      <c r="G1122" s="120" t="s">
        <v>830</v>
      </c>
      <c r="H1122" s="82"/>
      <c r="I1122" s="111" t="n">
        <v>5199</v>
      </c>
      <c r="J1122" s="110"/>
      <c r="K1122" s="120" t="s">
        <v>3157</v>
      </c>
      <c r="L1122" s="110"/>
      <c r="M1122" s="112" t="n">
        <v>161</v>
      </c>
      <c r="N1122" s="82"/>
      <c r="O1122" s="108"/>
      <c r="P1122" s="108"/>
      <c r="Q1122" s="108"/>
      <c r="R1122" s="108"/>
      <c r="S1122" s="108"/>
      <c r="T1122" s="108"/>
      <c r="U1122" s="108"/>
      <c r="V1122" s="108"/>
      <c r="W1122" s="108"/>
      <c r="X1122" s="108"/>
      <c r="Y1122" s="108"/>
      <c r="Z1122" s="108"/>
      <c r="AA1122" s="108"/>
      <c r="AB1122" s="108"/>
      <c r="AC1122" s="108"/>
    </row>
    <row r="1123" customFormat="false" ht="15.75" hidden="false" customHeight="true" outlineLevel="0" collapsed="false">
      <c r="A1123" s="108" t="s">
        <v>3311</v>
      </c>
      <c r="B1123" s="82"/>
      <c r="C1123" s="120" t="s">
        <v>3312</v>
      </c>
      <c r="D1123" s="121"/>
      <c r="E1123" s="108" t="s">
        <v>821</v>
      </c>
      <c r="F1123" s="114"/>
      <c r="G1123" s="120" t="s">
        <v>830</v>
      </c>
      <c r="H1123" s="82"/>
      <c r="I1123" s="111" t="n">
        <v>5199</v>
      </c>
      <c r="J1123" s="110"/>
      <c r="K1123" s="120" t="s">
        <v>3157</v>
      </c>
      <c r="L1123" s="110"/>
      <c r="M1123" s="112" t="n">
        <v>161</v>
      </c>
      <c r="N1123" s="82"/>
      <c r="O1123" s="108"/>
      <c r="P1123" s="108"/>
      <c r="Q1123" s="108"/>
      <c r="R1123" s="108"/>
      <c r="S1123" s="108"/>
      <c r="T1123" s="108"/>
      <c r="U1123" s="108"/>
      <c r="V1123" s="108"/>
      <c r="W1123" s="108"/>
      <c r="X1123" s="108"/>
      <c r="Y1123" s="108"/>
      <c r="Z1123" s="108"/>
      <c r="AA1123" s="108"/>
      <c r="AB1123" s="108"/>
      <c r="AC1123" s="108"/>
    </row>
    <row r="1124" customFormat="false" ht="15.75" hidden="false" customHeight="true" outlineLevel="0" collapsed="false">
      <c r="A1124" s="108" t="s">
        <v>3313</v>
      </c>
      <c r="B1124" s="82"/>
      <c r="C1124" s="120" t="s">
        <v>3314</v>
      </c>
      <c r="D1124" s="121"/>
      <c r="E1124" s="108" t="s">
        <v>821</v>
      </c>
      <c r="F1124" s="114"/>
      <c r="G1124" s="120" t="s">
        <v>830</v>
      </c>
      <c r="H1124" s="82"/>
      <c r="I1124" s="111" t="n">
        <v>5199</v>
      </c>
      <c r="J1124" s="110"/>
      <c r="K1124" s="120" t="s">
        <v>3157</v>
      </c>
      <c r="L1124" s="110"/>
      <c r="M1124" s="112" t="n">
        <v>161</v>
      </c>
      <c r="N1124" s="82"/>
      <c r="O1124" s="108"/>
      <c r="P1124" s="108"/>
      <c r="Q1124" s="108"/>
      <c r="R1124" s="108"/>
      <c r="S1124" s="108"/>
      <c r="T1124" s="108"/>
      <c r="U1124" s="108"/>
      <c r="V1124" s="108"/>
      <c r="W1124" s="108"/>
      <c r="X1124" s="108"/>
      <c r="Y1124" s="108"/>
      <c r="Z1124" s="108"/>
      <c r="AA1124" s="108"/>
      <c r="AB1124" s="108"/>
      <c r="AC1124" s="108"/>
    </row>
    <row r="1125" customFormat="false" ht="15.75" hidden="false" customHeight="true" outlineLevel="0" collapsed="false">
      <c r="A1125" s="108" t="s">
        <v>3315</v>
      </c>
      <c r="B1125" s="82"/>
      <c r="C1125" s="120" t="s">
        <v>3316</v>
      </c>
      <c r="D1125" s="121"/>
      <c r="E1125" s="108" t="s">
        <v>821</v>
      </c>
      <c r="F1125" s="114"/>
      <c r="G1125" s="120" t="s">
        <v>830</v>
      </c>
      <c r="H1125" s="82"/>
      <c r="I1125" s="111" t="n">
        <v>5199</v>
      </c>
      <c r="J1125" s="110"/>
      <c r="K1125" s="120" t="s">
        <v>3157</v>
      </c>
      <c r="L1125" s="110"/>
      <c r="M1125" s="112" t="n">
        <v>161</v>
      </c>
      <c r="N1125" s="82"/>
      <c r="O1125" s="108"/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/>
      <c r="AB1125" s="108"/>
      <c r="AC1125" s="108"/>
    </row>
    <row r="1126" customFormat="false" ht="15.75" hidden="false" customHeight="true" outlineLevel="0" collapsed="false">
      <c r="A1126" s="108" t="s">
        <v>3317</v>
      </c>
      <c r="B1126" s="82"/>
      <c r="C1126" s="120" t="s">
        <v>3318</v>
      </c>
      <c r="D1126" s="121"/>
      <c r="E1126" s="108" t="s">
        <v>821</v>
      </c>
      <c r="F1126" s="114"/>
      <c r="G1126" s="120" t="s">
        <v>830</v>
      </c>
      <c r="H1126" s="82"/>
      <c r="I1126" s="111" t="n">
        <v>5199</v>
      </c>
      <c r="J1126" s="110"/>
      <c r="K1126" s="120" t="s">
        <v>3157</v>
      </c>
      <c r="L1126" s="110"/>
      <c r="M1126" s="112" t="n">
        <v>161</v>
      </c>
      <c r="N1126" s="82"/>
      <c r="O1126" s="108"/>
      <c r="P1126" s="108"/>
      <c r="Q1126" s="108"/>
      <c r="R1126" s="108"/>
      <c r="S1126" s="108"/>
      <c r="T1126" s="108"/>
      <c r="U1126" s="108"/>
      <c r="V1126" s="108"/>
      <c r="W1126" s="108"/>
      <c r="X1126" s="108"/>
      <c r="Y1126" s="108"/>
      <c r="Z1126" s="108"/>
      <c r="AA1126" s="108"/>
      <c r="AB1126" s="108"/>
      <c r="AC1126" s="108"/>
    </row>
    <row r="1127" customFormat="false" ht="15.75" hidden="false" customHeight="true" outlineLevel="0" collapsed="false">
      <c r="A1127" s="108" t="s">
        <v>3319</v>
      </c>
      <c r="B1127" s="82"/>
      <c r="C1127" s="120" t="s">
        <v>3320</v>
      </c>
      <c r="D1127" s="121"/>
      <c r="E1127" s="108" t="s">
        <v>821</v>
      </c>
      <c r="F1127" s="114"/>
      <c r="G1127" s="120" t="s">
        <v>830</v>
      </c>
      <c r="H1127" s="82"/>
      <c r="I1127" s="111" t="n">
        <v>5199</v>
      </c>
      <c r="J1127" s="110"/>
      <c r="K1127" s="120" t="s">
        <v>3157</v>
      </c>
      <c r="L1127" s="110"/>
      <c r="M1127" s="112" t="n">
        <v>161</v>
      </c>
      <c r="N1127" s="82"/>
      <c r="O1127" s="108"/>
      <c r="P1127" s="108"/>
      <c r="Q1127" s="108"/>
      <c r="R1127" s="108"/>
      <c r="S1127" s="108"/>
      <c r="T1127" s="108"/>
      <c r="U1127" s="108"/>
      <c r="V1127" s="108"/>
      <c r="W1127" s="108"/>
      <c r="X1127" s="108"/>
      <c r="Y1127" s="108"/>
      <c r="Z1127" s="108"/>
      <c r="AA1127" s="108"/>
      <c r="AB1127" s="108"/>
      <c r="AC1127" s="108"/>
    </row>
    <row r="1128" customFormat="false" ht="15.75" hidden="false" customHeight="true" outlineLevel="0" collapsed="false">
      <c r="A1128" s="108" t="s">
        <v>3321</v>
      </c>
      <c r="B1128" s="82"/>
      <c r="C1128" s="120" t="s">
        <v>3322</v>
      </c>
      <c r="D1128" s="121"/>
      <c r="E1128" s="108" t="s">
        <v>821</v>
      </c>
      <c r="F1128" s="114"/>
      <c r="G1128" s="120" t="s">
        <v>830</v>
      </c>
      <c r="H1128" s="82"/>
      <c r="I1128" s="111" t="n">
        <v>5199</v>
      </c>
      <c r="J1128" s="110"/>
      <c r="K1128" s="120" t="s">
        <v>3157</v>
      </c>
      <c r="L1128" s="110"/>
      <c r="M1128" s="112" t="n">
        <v>161</v>
      </c>
      <c r="N1128" s="82"/>
      <c r="O1128" s="108"/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/>
      <c r="AB1128" s="108"/>
      <c r="AC1128" s="108"/>
    </row>
    <row r="1129" customFormat="false" ht="15.75" hidden="false" customHeight="true" outlineLevel="0" collapsed="false">
      <c r="A1129" s="108" t="s">
        <v>3323</v>
      </c>
      <c r="B1129" s="82"/>
      <c r="C1129" s="120" t="s">
        <v>3324</v>
      </c>
      <c r="D1129" s="121"/>
      <c r="E1129" s="108" t="s">
        <v>821</v>
      </c>
      <c r="F1129" s="114"/>
      <c r="G1129" s="120" t="s">
        <v>830</v>
      </c>
      <c r="H1129" s="82"/>
      <c r="I1129" s="111" t="n">
        <v>5199</v>
      </c>
      <c r="J1129" s="110"/>
      <c r="K1129" s="120" t="s">
        <v>3157</v>
      </c>
      <c r="L1129" s="110"/>
      <c r="M1129" s="112" t="n">
        <v>161</v>
      </c>
      <c r="N1129" s="82"/>
      <c r="O1129" s="108"/>
      <c r="P1129" s="108"/>
      <c r="Q1129" s="108"/>
      <c r="R1129" s="108"/>
      <c r="S1129" s="108"/>
      <c r="T1129" s="108"/>
      <c r="U1129" s="108"/>
      <c r="V1129" s="108"/>
      <c r="W1129" s="108"/>
      <c r="X1129" s="108"/>
      <c r="Y1129" s="108"/>
      <c r="Z1129" s="108"/>
      <c r="AA1129" s="108"/>
      <c r="AB1129" s="108"/>
      <c r="AC1129" s="108"/>
    </row>
    <row r="1130" customFormat="false" ht="15.75" hidden="false" customHeight="true" outlineLevel="0" collapsed="false">
      <c r="A1130" s="108" t="s">
        <v>3325</v>
      </c>
      <c r="B1130" s="82"/>
      <c r="C1130" s="120" t="s">
        <v>3326</v>
      </c>
      <c r="D1130" s="121"/>
      <c r="E1130" s="108" t="s">
        <v>821</v>
      </c>
      <c r="F1130" s="114"/>
      <c r="G1130" s="120" t="s">
        <v>830</v>
      </c>
      <c r="H1130" s="82"/>
      <c r="I1130" s="111" t="n">
        <v>5199</v>
      </c>
      <c r="J1130" s="110"/>
      <c r="K1130" s="120" t="s">
        <v>3157</v>
      </c>
      <c r="L1130" s="110"/>
      <c r="M1130" s="112" t="n">
        <v>161</v>
      </c>
      <c r="N1130" s="82"/>
      <c r="O1130" s="108"/>
      <c r="P1130" s="108"/>
      <c r="Q1130" s="108"/>
      <c r="R1130" s="108"/>
      <c r="S1130" s="108"/>
      <c r="T1130" s="108"/>
      <c r="U1130" s="108"/>
      <c r="V1130" s="108"/>
      <c r="W1130" s="108"/>
      <c r="X1130" s="108"/>
      <c r="Y1130" s="108"/>
      <c r="Z1130" s="108"/>
      <c r="AA1130" s="108"/>
      <c r="AB1130" s="108"/>
      <c r="AC1130" s="108"/>
    </row>
    <row r="1131" customFormat="false" ht="15.75" hidden="false" customHeight="true" outlineLevel="0" collapsed="false">
      <c r="A1131" s="108" t="s">
        <v>3327</v>
      </c>
      <c r="B1131" s="82"/>
      <c r="C1131" s="120" t="s">
        <v>3328</v>
      </c>
      <c r="D1131" s="121"/>
      <c r="E1131" s="108" t="s">
        <v>821</v>
      </c>
      <c r="F1131" s="114"/>
      <c r="G1131" s="120" t="s">
        <v>830</v>
      </c>
      <c r="H1131" s="82"/>
      <c r="I1131" s="111" t="n">
        <v>5199</v>
      </c>
      <c r="J1131" s="110"/>
      <c r="K1131" s="120" t="s">
        <v>3157</v>
      </c>
      <c r="L1131" s="110"/>
      <c r="M1131" s="112" t="n">
        <v>161</v>
      </c>
      <c r="N1131" s="82"/>
      <c r="O1131" s="108"/>
      <c r="P1131" s="108"/>
      <c r="Q1131" s="108"/>
      <c r="R1131" s="108"/>
      <c r="S1131" s="108"/>
      <c r="T1131" s="108"/>
      <c r="U1131" s="108"/>
      <c r="V1131" s="108"/>
      <c r="W1131" s="108"/>
      <c r="X1131" s="108"/>
      <c r="Y1131" s="108"/>
      <c r="Z1131" s="108"/>
      <c r="AA1131" s="108"/>
      <c r="AB1131" s="108"/>
      <c r="AC1131" s="108"/>
    </row>
    <row r="1132" customFormat="false" ht="15.75" hidden="false" customHeight="true" outlineLevel="0" collapsed="false">
      <c r="A1132" s="108" t="s">
        <v>3329</v>
      </c>
      <c r="B1132" s="82"/>
      <c r="C1132" s="120" t="s">
        <v>3330</v>
      </c>
      <c r="D1132" s="121"/>
      <c r="E1132" s="108" t="s">
        <v>821</v>
      </c>
      <c r="F1132" s="114"/>
      <c r="G1132" s="120" t="s">
        <v>830</v>
      </c>
      <c r="H1132" s="82"/>
      <c r="I1132" s="111" t="n">
        <v>5199</v>
      </c>
      <c r="J1132" s="110"/>
      <c r="K1132" s="120" t="s">
        <v>3157</v>
      </c>
      <c r="L1132" s="110"/>
      <c r="M1132" s="112" t="n">
        <v>161</v>
      </c>
      <c r="N1132" s="82"/>
      <c r="O1132" s="108"/>
      <c r="P1132" s="108"/>
      <c r="Q1132" s="108"/>
      <c r="R1132" s="108"/>
      <c r="S1132" s="108"/>
      <c r="T1132" s="108"/>
      <c r="U1132" s="108"/>
      <c r="V1132" s="108"/>
      <c r="W1132" s="108"/>
      <c r="X1132" s="108"/>
      <c r="Y1132" s="108"/>
      <c r="Z1132" s="108"/>
      <c r="AA1132" s="108"/>
      <c r="AB1132" s="108"/>
      <c r="AC1132" s="108"/>
    </row>
    <row r="1133" customFormat="false" ht="15.75" hidden="false" customHeight="true" outlineLevel="0" collapsed="false">
      <c r="A1133" s="108" t="s">
        <v>3331</v>
      </c>
      <c r="B1133" s="82"/>
      <c r="C1133" s="120" t="s">
        <v>3332</v>
      </c>
      <c r="D1133" s="121"/>
      <c r="E1133" s="108" t="s">
        <v>821</v>
      </c>
      <c r="F1133" s="114"/>
      <c r="G1133" s="120" t="s">
        <v>830</v>
      </c>
      <c r="H1133" s="82"/>
      <c r="I1133" s="111" t="n">
        <v>5199</v>
      </c>
      <c r="J1133" s="110"/>
      <c r="K1133" s="120" t="s">
        <v>3157</v>
      </c>
      <c r="L1133" s="110"/>
      <c r="M1133" s="112" t="n">
        <v>161</v>
      </c>
      <c r="N1133" s="82"/>
      <c r="O1133" s="108"/>
      <c r="P1133" s="108"/>
      <c r="Q1133" s="108"/>
      <c r="R1133" s="108"/>
      <c r="S1133" s="108"/>
      <c r="T1133" s="108"/>
      <c r="U1133" s="108"/>
      <c r="V1133" s="108"/>
      <c r="W1133" s="108"/>
      <c r="X1133" s="108"/>
      <c r="Y1133" s="108"/>
      <c r="Z1133" s="108"/>
      <c r="AA1133" s="108"/>
      <c r="AB1133" s="108"/>
      <c r="AC1133" s="108"/>
    </row>
    <row r="1134" customFormat="false" ht="15.75" hidden="false" customHeight="true" outlineLevel="0" collapsed="false">
      <c r="A1134" s="108" t="s">
        <v>3333</v>
      </c>
      <c r="B1134" s="82"/>
      <c r="C1134" s="120" t="s">
        <v>3334</v>
      </c>
      <c r="D1134" s="121"/>
      <c r="E1134" s="108" t="s">
        <v>821</v>
      </c>
      <c r="F1134" s="114"/>
      <c r="G1134" s="120" t="s">
        <v>830</v>
      </c>
      <c r="H1134" s="82"/>
      <c r="I1134" s="111" t="n">
        <v>5199</v>
      </c>
      <c r="J1134" s="110"/>
      <c r="K1134" s="120" t="s">
        <v>3157</v>
      </c>
      <c r="L1134" s="110"/>
      <c r="M1134" s="112" t="n">
        <v>161</v>
      </c>
      <c r="N1134" s="82"/>
      <c r="O1134" s="108"/>
      <c r="P1134" s="108"/>
      <c r="Q1134" s="108"/>
      <c r="R1134" s="108"/>
      <c r="S1134" s="108"/>
      <c r="T1134" s="108"/>
      <c r="U1134" s="108"/>
      <c r="V1134" s="108"/>
      <c r="W1134" s="108"/>
      <c r="X1134" s="108"/>
      <c r="Y1134" s="108"/>
      <c r="Z1134" s="108"/>
      <c r="AA1134" s="108"/>
      <c r="AB1134" s="108"/>
      <c r="AC1134" s="108"/>
    </row>
    <row r="1135" customFormat="false" ht="15.75" hidden="false" customHeight="true" outlineLevel="0" collapsed="false">
      <c r="A1135" s="108" t="s">
        <v>3335</v>
      </c>
      <c r="B1135" s="82"/>
      <c r="C1135" s="120" t="s">
        <v>3336</v>
      </c>
      <c r="D1135" s="121"/>
      <c r="E1135" s="108" t="s">
        <v>821</v>
      </c>
      <c r="F1135" s="114"/>
      <c r="G1135" s="120" t="s">
        <v>830</v>
      </c>
      <c r="H1135" s="82"/>
      <c r="I1135" s="111" t="n">
        <v>5199</v>
      </c>
      <c r="J1135" s="110"/>
      <c r="K1135" s="120" t="s">
        <v>3157</v>
      </c>
      <c r="L1135" s="110"/>
      <c r="M1135" s="112" t="n">
        <v>161</v>
      </c>
      <c r="N1135" s="82"/>
      <c r="O1135" s="108"/>
      <c r="P1135" s="108"/>
      <c r="Q1135" s="108"/>
      <c r="R1135" s="108"/>
      <c r="S1135" s="108"/>
      <c r="T1135" s="108"/>
      <c r="U1135" s="108"/>
      <c r="V1135" s="108"/>
      <c r="W1135" s="108"/>
      <c r="X1135" s="108"/>
      <c r="Y1135" s="108"/>
      <c r="Z1135" s="108"/>
      <c r="AA1135" s="108"/>
      <c r="AB1135" s="108"/>
      <c r="AC1135" s="108"/>
    </row>
    <row r="1136" customFormat="false" ht="15.75" hidden="false" customHeight="true" outlineLevel="0" collapsed="false">
      <c r="A1136" s="108" t="s">
        <v>3337</v>
      </c>
      <c r="B1136" s="82"/>
      <c r="C1136" s="120" t="s">
        <v>3338</v>
      </c>
      <c r="D1136" s="121"/>
      <c r="E1136" s="108" t="s">
        <v>821</v>
      </c>
      <c r="F1136" s="114"/>
      <c r="G1136" s="120" t="s">
        <v>830</v>
      </c>
      <c r="H1136" s="82"/>
      <c r="I1136" s="111" t="n">
        <v>5199</v>
      </c>
      <c r="J1136" s="110"/>
      <c r="K1136" s="120" t="s">
        <v>3157</v>
      </c>
      <c r="L1136" s="110"/>
      <c r="M1136" s="112" t="n">
        <v>161</v>
      </c>
      <c r="N1136" s="82"/>
      <c r="O1136" s="108"/>
      <c r="P1136" s="108"/>
      <c r="Q1136" s="108"/>
      <c r="R1136" s="108"/>
      <c r="S1136" s="108"/>
      <c r="T1136" s="108"/>
      <c r="U1136" s="108"/>
      <c r="V1136" s="108"/>
      <c r="W1136" s="108"/>
      <c r="X1136" s="108"/>
      <c r="Y1136" s="108"/>
      <c r="Z1136" s="108"/>
      <c r="AA1136" s="108"/>
      <c r="AB1136" s="108"/>
      <c r="AC1136" s="108"/>
    </row>
    <row r="1137" customFormat="false" ht="15.75" hidden="false" customHeight="true" outlineLevel="0" collapsed="false">
      <c r="A1137" s="108" t="s">
        <v>3339</v>
      </c>
      <c r="B1137" s="82"/>
      <c r="C1137" s="120" t="s">
        <v>3340</v>
      </c>
      <c r="D1137" s="121"/>
      <c r="E1137" s="108" t="s">
        <v>821</v>
      </c>
      <c r="F1137" s="114"/>
      <c r="G1137" s="120" t="s">
        <v>830</v>
      </c>
      <c r="H1137" s="82"/>
      <c r="I1137" s="111" t="n">
        <v>5199</v>
      </c>
      <c r="J1137" s="110"/>
      <c r="K1137" s="120" t="s">
        <v>3157</v>
      </c>
      <c r="L1137" s="110"/>
      <c r="M1137" s="112" t="n">
        <v>161</v>
      </c>
      <c r="N1137" s="82"/>
      <c r="O1137" s="108"/>
      <c r="P1137" s="108"/>
      <c r="Q1137" s="108"/>
      <c r="R1137" s="108"/>
      <c r="S1137" s="108"/>
      <c r="T1137" s="108"/>
      <c r="U1137" s="108"/>
      <c r="V1137" s="108"/>
      <c r="W1137" s="108"/>
      <c r="X1137" s="108"/>
      <c r="Y1137" s="108"/>
      <c r="Z1137" s="108"/>
      <c r="AA1137" s="108"/>
      <c r="AB1137" s="108"/>
      <c r="AC1137" s="108"/>
    </row>
    <row r="1138" customFormat="false" ht="15.75" hidden="false" customHeight="true" outlineLevel="0" collapsed="false">
      <c r="A1138" s="108" t="s">
        <v>3341</v>
      </c>
      <c r="B1138" s="82"/>
      <c r="C1138" s="120" t="s">
        <v>3342</v>
      </c>
      <c r="D1138" s="121"/>
      <c r="E1138" s="108" t="s">
        <v>821</v>
      </c>
      <c r="F1138" s="114"/>
      <c r="G1138" s="120" t="s">
        <v>830</v>
      </c>
      <c r="H1138" s="82"/>
      <c r="I1138" s="111" t="n">
        <v>5199</v>
      </c>
      <c r="J1138" s="110"/>
      <c r="K1138" s="120" t="s">
        <v>3157</v>
      </c>
      <c r="L1138" s="110"/>
      <c r="M1138" s="112" t="n">
        <v>161</v>
      </c>
      <c r="N1138" s="82"/>
      <c r="O1138" s="108"/>
      <c r="P1138" s="108"/>
      <c r="Q1138" s="108"/>
      <c r="R1138" s="108"/>
      <c r="S1138" s="108"/>
      <c r="T1138" s="108"/>
      <c r="U1138" s="108"/>
      <c r="V1138" s="108"/>
      <c r="W1138" s="108"/>
      <c r="X1138" s="108"/>
      <c r="Y1138" s="108"/>
      <c r="Z1138" s="108"/>
      <c r="AA1138" s="108"/>
      <c r="AB1138" s="108"/>
      <c r="AC1138" s="108"/>
    </row>
    <row r="1139" customFormat="false" ht="15.75" hidden="false" customHeight="true" outlineLevel="0" collapsed="false">
      <c r="A1139" s="108" t="s">
        <v>3343</v>
      </c>
      <c r="B1139" s="82"/>
      <c r="C1139" s="120" t="s">
        <v>3344</v>
      </c>
      <c r="D1139" s="121"/>
      <c r="E1139" s="108" t="s">
        <v>821</v>
      </c>
      <c r="F1139" s="114"/>
      <c r="G1139" s="120" t="s">
        <v>830</v>
      </c>
      <c r="H1139" s="82"/>
      <c r="I1139" s="111" t="n">
        <v>5199</v>
      </c>
      <c r="J1139" s="110"/>
      <c r="K1139" s="120" t="s">
        <v>3157</v>
      </c>
      <c r="L1139" s="110"/>
      <c r="M1139" s="112" t="n">
        <v>161</v>
      </c>
      <c r="N1139" s="82"/>
      <c r="O1139" s="108"/>
      <c r="P1139" s="108"/>
      <c r="Q1139" s="108"/>
      <c r="R1139" s="108"/>
      <c r="S1139" s="108"/>
      <c r="T1139" s="108"/>
      <c r="U1139" s="108"/>
      <c r="V1139" s="108"/>
      <c r="W1139" s="108"/>
      <c r="X1139" s="108"/>
      <c r="Y1139" s="108"/>
      <c r="Z1139" s="108"/>
      <c r="AA1139" s="108"/>
      <c r="AB1139" s="108"/>
      <c r="AC1139" s="108"/>
    </row>
    <row r="1140" customFormat="false" ht="15.75" hidden="false" customHeight="true" outlineLevel="0" collapsed="false">
      <c r="A1140" s="108" t="s">
        <v>3345</v>
      </c>
      <c r="B1140" s="82"/>
      <c r="C1140" s="120" t="s">
        <v>3346</v>
      </c>
      <c r="D1140" s="121"/>
      <c r="E1140" s="108" t="s">
        <v>821</v>
      </c>
      <c r="F1140" s="114"/>
      <c r="G1140" s="120" t="s">
        <v>830</v>
      </c>
      <c r="H1140" s="82"/>
      <c r="I1140" s="111" t="n">
        <v>5199</v>
      </c>
      <c r="J1140" s="110"/>
      <c r="K1140" s="120" t="s">
        <v>3157</v>
      </c>
      <c r="L1140" s="110"/>
      <c r="M1140" s="112" t="n">
        <v>161</v>
      </c>
      <c r="N1140" s="82"/>
      <c r="O1140" s="108"/>
      <c r="P1140" s="108"/>
      <c r="Q1140" s="108"/>
      <c r="R1140" s="108"/>
      <c r="S1140" s="108"/>
      <c r="T1140" s="108"/>
      <c r="U1140" s="108"/>
      <c r="V1140" s="108"/>
      <c r="W1140" s="108"/>
      <c r="X1140" s="108"/>
      <c r="Y1140" s="108"/>
      <c r="Z1140" s="108"/>
      <c r="AA1140" s="108"/>
      <c r="AB1140" s="108"/>
      <c r="AC1140" s="108"/>
    </row>
    <row r="1141" customFormat="false" ht="15.75" hidden="false" customHeight="true" outlineLevel="0" collapsed="false">
      <c r="A1141" s="108" t="s">
        <v>3347</v>
      </c>
      <c r="B1141" s="82"/>
      <c r="C1141" s="120" t="s">
        <v>3348</v>
      </c>
      <c r="D1141" s="121"/>
      <c r="E1141" s="108" t="s">
        <v>821</v>
      </c>
      <c r="F1141" s="114"/>
      <c r="G1141" s="120" t="s">
        <v>830</v>
      </c>
      <c r="H1141" s="82"/>
      <c r="I1141" s="111" t="n">
        <v>5199</v>
      </c>
      <c r="J1141" s="110"/>
      <c r="K1141" s="120" t="s">
        <v>3157</v>
      </c>
      <c r="L1141" s="110"/>
      <c r="M1141" s="112" t="n">
        <v>161</v>
      </c>
      <c r="N1141" s="82"/>
      <c r="O1141" s="108"/>
      <c r="P1141" s="108"/>
      <c r="Q1141" s="108"/>
      <c r="R1141" s="108"/>
      <c r="S1141" s="108"/>
      <c r="T1141" s="108"/>
      <c r="U1141" s="108"/>
      <c r="V1141" s="108"/>
      <c r="W1141" s="108"/>
      <c r="X1141" s="108"/>
      <c r="Y1141" s="108"/>
      <c r="Z1141" s="108"/>
      <c r="AA1141" s="108"/>
      <c r="AB1141" s="108"/>
      <c r="AC1141" s="108"/>
    </row>
    <row r="1142" customFormat="false" ht="15.75" hidden="false" customHeight="true" outlineLevel="0" collapsed="false">
      <c r="A1142" s="108" t="s">
        <v>3349</v>
      </c>
      <c r="B1142" s="82"/>
      <c r="C1142" s="120" t="s">
        <v>3350</v>
      </c>
      <c r="D1142" s="121"/>
      <c r="E1142" s="108" t="s">
        <v>821</v>
      </c>
      <c r="F1142" s="114"/>
      <c r="G1142" s="120" t="s">
        <v>830</v>
      </c>
      <c r="H1142" s="82"/>
      <c r="I1142" s="111" t="n">
        <v>5199</v>
      </c>
      <c r="J1142" s="110"/>
      <c r="K1142" s="120" t="s">
        <v>3157</v>
      </c>
      <c r="L1142" s="110"/>
      <c r="M1142" s="112" t="n">
        <v>161</v>
      </c>
      <c r="N1142" s="82"/>
      <c r="O1142" s="108"/>
      <c r="P1142" s="108"/>
      <c r="Q1142" s="108"/>
      <c r="R1142" s="108"/>
      <c r="S1142" s="108"/>
      <c r="T1142" s="108"/>
      <c r="U1142" s="108"/>
      <c r="V1142" s="108"/>
      <c r="W1142" s="108"/>
      <c r="X1142" s="108"/>
      <c r="Y1142" s="108"/>
      <c r="Z1142" s="108"/>
      <c r="AA1142" s="108"/>
      <c r="AB1142" s="108"/>
      <c r="AC1142" s="108"/>
    </row>
    <row r="1143" customFormat="false" ht="15.75" hidden="false" customHeight="true" outlineLevel="0" collapsed="false">
      <c r="A1143" s="108" t="s">
        <v>3351</v>
      </c>
      <c r="B1143" s="82"/>
      <c r="C1143" s="120" t="s">
        <v>3352</v>
      </c>
      <c r="D1143" s="121"/>
      <c r="E1143" s="108" t="s">
        <v>821</v>
      </c>
      <c r="F1143" s="114"/>
      <c r="G1143" s="120" t="s">
        <v>830</v>
      </c>
      <c r="H1143" s="82"/>
      <c r="I1143" s="111" t="n">
        <v>5199</v>
      </c>
      <c r="J1143" s="110"/>
      <c r="K1143" s="120" t="s">
        <v>3157</v>
      </c>
      <c r="L1143" s="110"/>
      <c r="M1143" s="112" t="n">
        <v>161</v>
      </c>
      <c r="N1143" s="82"/>
      <c r="O1143" s="108"/>
      <c r="P1143" s="108"/>
      <c r="Q1143" s="108"/>
      <c r="R1143" s="108"/>
      <c r="S1143" s="108"/>
      <c r="T1143" s="108"/>
      <c r="U1143" s="108"/>
      <c r="V1143" s="108"/>
      <c r="W1143" s="108"/>
      <c r="X1143" s="108"/>
      <c r="Y1143" s="108"/>
      <c r="Z1143" s="108"/>
      <c r="AA1143" s="108"/>
      <c r="AB1143" s="108"/>
      <c r="AC1143" s="108"/>
    </row>
    <row r="1144" customFormat="false" ht="15.75" hidden="false" customHeight="true" outlineLevel="0" collapsed="false">
      <c r="A1144" s="108" t="s">
        <v>3353</v>
      </c>
      <c r="B1144" s="82"/>
      <c r="C1144" s="120" t="s">
        <v>3354</v>
      </c>
      <c r="D1144" s="121"/>
      <c r="E1144" s="108" t="s">
        <v>821</v>
      </c>
      <c r="F1144" s="114"/>
      <c r="G1144" s="120" t="s">
        <v>830</v>
      </c>
      <c r="H1144" s="82"/>
      <c r="I1144" s="111" t="n">
        <v>5199</v>
      </c>
      <c r="J1144" s="110"/>
      <c r="K1144" s="120" t="s">
        <v>3157</v>
      </c>
      <c r="L1144" s="110"/>
      <c r="M1144" s="112" t="n">
        <v>161</v>
      </c>
      <c r="N1144" s="82"/>
      <c r="O1144" s="108"/>
      <c r="P1144" s="108"/>
      <c r="Q1144" s="108"/>
      <c r="R1144" s="108"/>
      <c r="S1144" s="108"/>
      <c r="T1144" s="108"/>
      <c r="U1144" s="108"/>
      <c r="V1144" s="108"/>
      <c r="W1144" s="108"/>
      <c r="X1144" s="108"/>
      <c r="Y1144" s="108"/>
      <c r="Z1144" s="108"/>
      <c r="AA1144" s="108"/>
      <c r="AB1144" s="108"/>
      <c r="AC1144" s="108"/>
    </row>
    <row r="1145" customFormat="false" ht="15.75" hidden="false" customHeight="true" outlineLevel="0" collapsed="false">
      <c r="A1145" s="108" t="s">
        <v>3355</v>
      </c>
      <c r="B1145" s="82"/>
      <c r="C1145" s="120" t="s">
        <v>3356</v>
      </c>
      <c r="D1145" s="121"/>
      <c r="E1145" s="108" t="s">
        <v>844</v>
      </c>
      <c r="F1145" s="114"/>
      <c r="G1145" s="120" t="s">
        <v>845</v>
      </c>
      <c r="H1145" s="82"/>
      <c r="I1145" s="111" t="n">
        <v>5422</v>
      </c>
      <c r="J1145" s="110"/>
      <c r="K1145" s="120" t="s">
        <v>3357</v>
      </c>
      <c r="L1145" s="110"/>
      <c r="M1145" s="112" t="n">
        <v>162</v>
      </c>
      <c r="N1145" s="82"/>
      <c r="O1145" s="108"/>
      <c r="P1145" s="108"/>
      <c r="Q1145" s="108"/>
      <c r="R1145" s="108"/>
      <c r="S1145" s="108"/>
      <c r="T1145" s="108"/>
      <c r="U1145" s="108"/>
      <c r="V1145" s="108"/>
      <c r="W1145" s="108"/>
      <c r="X1145" s="108"/>
      <c r="Y1145" s="108"/>
      <c r="Z1145" s="108"/>
      <c r="AA1145" s="108"/>
      <c r="AB1145" s="108"/>
      <c r="AC1145" s="108"/>
    </row>
    <row r="1146" customFormat="false" ht="15.75" hidden="false" customHeight="true" outlineLevel="0" collapsed="false">
      <c r="A1146" s="108" t="s">
        <v>3358</v>
      </c>
      <c r="B1146" s="82"/>
      <c r="C1146" s="120" t="s">
        <v>3359</v>
      </c>
      <c r="D1146" s="121"/>
      <c r="E1146" s="108" t="s">
        <v>844</v>
      </c>
      <c r="F1146" s="114"/>
      <c r="G1146" s="120" t="s">
        <v>845</v>
      </c>
      <c r="H1146" s="82"/>
      <c r="I1146" s="111" t="n">
        <v>5422</v>
      </c>
      <c r="J1146" s="110"/>
      <c r="K1146" s="120" t="s">
        <v>3357</v>
      </c>
      <c r="L1146" s="110"/>
      <c r="M1146" s="112" t="n">
        <v>162</v>
      </c>
      <c r="N1146" s="82"/>
      <c r="O1146" s="108"/>
      <c r="P1146" s="108"/>
      <c r="Q1146" s="108"/>
      <c r="R1146" s="108"/>
      <c r="S1146" s="108"/>
      <c r="T1146" s="108"/>
      <c r="U1146" s="108"/>
      <c r="V1146" s="108"/>
      <c r="W1146" s="108"/>
      <c r="X1146" s="108"/>
      <c r="Y1146" s="108"/>
      <c r="Z1146" s="108"/>
      <c r="AA1146" s="108"/>
      <c r="AB1146" s="108"/>
      <c r="AC1146" s="108"/>
    </row>
    <row r="1147" customFormat="false" ht="15.75" hidden="false" customHeight="true" outlineLevel="0" collapsed="false">
      <c r="A1147" s="108" t="s">
        <v>3360</v>
      </c>
      <c r="B1147" s="82"/>
      <c r="C1147" s="120" t="s">
        <v>3361</v>
      </c>
      <c r="D1147" s="121"/>
      <c r="E1147" s="108" t="s">
        <v>844</v>
      </c>
      <c r="F1147" s="114"/>
      <c r="G1147" s="120" t="s">
        <v>845</v>
      </c>
      <c r="H1147" s="82"/>
      <c r="I1147" s="111" t="n">
        <v>5422</v>
      </c>
      <c r="J1147" s="110"/>
      <c r="K1147" s="120" t="s">
        <v>3357</v>
      </c>
      <c r="L1147" s="110"/>
      <c r="M1147" s="112" t="n">
        <v>162</v>
      </c>
      <c r="N1147" s="82"/>
      <c r="O1147" s="108"/>
      <c r="P1147" s="108"/>
      <c r="Q1147" s="108"/>
      <c r="R1147" s="108"/>
      <c r="S1147" s="108"/>
      <c r="T1147" s="108"/>
      <c r="U1147" s="108"/>
      <c r="V1147" s="108"/>
      <c r="W1147" s="108"/>
      <c r="X1147" s="108"/>
      <c r="Y1147" s="108"/>
      <c r="Z1147" s="108"/>
      <c r="AA1147" s="108"/>
      <c r="AB1147" s="108"/>
      <c r="AC1147" s="108"/>
    </row>
    <row r="1148" customFormat="false" ht="15.75" hidden="false" customHeight="true" outlineLevel="0" collapsed="false">
      <c r="A1148" s="108" t="s">
        <v>3362</v>
      </c>
      <c r="B1148" s="82"/>
      <c r="C1148" s="120" t="s">
        <v>3363</v>
      </c>
      <c r="D1148" s="121"/>
      <c r="E1148" s="108" t="s">
        <v>844</v>
      </c>
      <c r="F1148" s="114"/>
      <c r="G1148" s="120" t="s">
        <v>845</v>
      </c>
      <c r="H1148" s="82"/>
      <c r="I1148" s="111" t="n">
        <v>5422</v>
      </c>
      <c r="J1148" s="110"/>
      <c r="K1148" s="120" t="s">
        <v>3357</v>
      </c>
      <c r="L1148" s="110"/>
      <c r="M1148" s="112" t="n">
        <v>162</v>
      </c>
      <c r="N1148" s="82"/>
      <c r="O1148" s="108"/>
      <c r="P1148" s="108"/>
      <c r="Q1148" s="108"/>
      <c r="R1148" s="108"/>
      <c r="S1148" s="108"/>
      <c r="T1148" s="108"/>
      <c r="U1148" s="108"/>
      <c r="V1148" s="108"/>
      <c r="W1148" s="108"/>
      <c r="X1148" s="108"/>
      <c r="Y1148" s="108"/>
      <c r="Z1148" s="108"/>
      <c r="AA1148" s="108"/>
      <c r="AB1148" s="108"/>
      <c r="AC1148" s="108"/>
    </row>
    <row r="1149" customFormat="false" ht="15.75" hidden="false" customHeight="true" outlineLevel="0" collapsed="false">
      <c r="A1149" s="108" t="s">
        <v>3364</v>
      </c>
      <c r="B1149" s="82"/>
      <c r="C1149" s="120" t="s">
        <v>3365</v>
      </c>
      <c r="D1149" s="121"/>
      <c r="E1149" s="108" t="s">
        <v>844</v>
      </c>
      <c r="F1149" s="114"/>
      <c r="G1149" s="120" t="s">
        <v>845</v>
      </c>
      <c r="H1149" s="82"/>
      <c r="I1149" s="111" t="n">
        <v>5422</v>
      </c>
      <c r="J1149" s="110"/>
      <c r="K1149" s="120" t="s">
        <v>3357</v>
      </c>
      <c r="L1149" s="110"/>
      <c r="M1149" s="112" t="n">
        <v>162</v>
      </c>
      <c r="N1149" s="82"/>
      <c r="O1149" s="108"/>
      <c r="P1149" s="108"/>
      <c r="Q1149" s="108"/>
      <c r="R1149" s="108"/>
      <c r="S1149" s="108"/>
      <c r="T1149" s="108"/>
      <c r="U1149" s="108"/>
      <c r="V1149" s="108"/>
      <c r="W1149" s="108"/>
      <c r="X1149" s="108"/>
      <c r="Y1149" s="108"/>
      <c r="Z1149" s="108"/>
      <c r="AA1149" s="108"/>
      <c r="AB1149" s="108"/>
      <c r="AC1149" s="108"/>
    </row>
    <row r="1150" customFormat="false" ht="15.75" hidden="false" customHeight="true" outlineLevel="0" collapsed="false">
      <c r="A1150" s="108" t="s">
        <v>3366</v>
      </c>
      <c r="B1150" s="82"/>
      <c r="C1150" s="120" t="s">
        <v>3367</v>
      </c>
      <c r="D1150" s="121"/>
      <c r="E1150" s="108" t="s">
        <v>844</v>
      </c>
      <c r="F1150" s="114"/>
      <c r="G1150" s="120" t="s">
        <v>845</v>
      </c>
      <c r="H1150" s="82"/>
      <c r="I1150" s="111" t="n">
        <v>5422</v>
      </c>
      <c r="J1150" s="110"/>
      <c r="K1150" s="120" t="s">
        <v>3357</v>
      </c>
      <c r="L1150" s="110"/>
      <c r="M1150" s="112" t="n">
        <v>162</v>
      </c>
      <c r="N1150" s="82"/>
      <c r="O1150" s="108"/>
      <c r="P1150" s="108"/>
      <c r="Q1150" s="108"/>
      <c r="R1150" s="108"/>
      <c r="S1150" s="108"/>
      <c r="T1150" s="108"/>
      <c r="U1150" s="108"/>
      <c r="V1150" s="108"/>
      <c r="W1150" s="108"/>
      <c r="X1150" s="108"/>
      <c r="Y1150" s="108"/>
      <c r="Z1150" s="108"/>
      <c r="AA1150" s="108"/>
      <c r="AB1150" s="108"/>
      <c r="AC1150" s="108"/>
    </row>
    <row r="1151" customFormat="false" ht="15.75" hidden="false" customHeight="true" outlineLevel="0" collapsed="false">
      <c r="A1151" s="108" t="s">
        <v>3368</v>
      </c>
      <c r="B1151" s="82"/>
      <c r="C1151" s="120" t="s">
        <v>3369</v>
      </c>
      <c r="D1151" s="121"/>
      <c r="E1151" s="108" t="s">
        <v>844</v>
      </c>
      <c r="F1151" s="114"/>
      <c r="G1151" s="120" t="s">
        <v>845</v>
      </c>
      <c r="H1151" s="82"/>
      <c r="I1151" s="111" t="n">
        <v>5422</v>
      </c>
      <c r="J1151" s="110"/>
      <c r="K1151" s="120" t="s">
        <v>3357</v>
      </c>
      <c r="L1151" s="110"/>
      <c r="M1151" s="112" t="n">
        <v>162</v>
      </c>
      <c r="N1151" s="82"/>
      <c r="O1151" s="108"/>
      <c r="P1151" s="108"/>
      <c r="Q1151" s="108"/>
      <c r="R1151" s="108"/>
      <c r="S1151" s="108"/>
      <c r="T1151" s="108"/>
      <c r="U1151" s="108"/>
      <c r="V1151" s="108"/>
      <c r="W1151" s="108"/>
      <c r="X1151" s="108"/>
      <c r="Y1151" s="108"/>
      <c r="Z1151" s="108"/>
      <c r="AA1151" s="108"/>
      <c r="AB1151" s="108"/>
      <c r="AC1151" s="108"/>
    </row>
    <row r="1152" customFormat="false" ht="15.75" hidden="false" customHeight="true" outlineLevel="0" collapsed="false">
      <c r="A1152" s="108" t="s">
        <v>3370</v>
      </c>
      <c r="B1152" s="82"/>
      <c r="C1152" s="120" t="s">
        <v>3371</v>
      </c>
      <c r="D1152" s="121"/>
      <c r="E1152" s="108" t="s">
        <v>844</v>
      </c>
      <c r="F1152" s="114"/>
      <c r="G1152" s="120" t="s">
        <v>845</v>
      </c>
      <c r="H1152" s="82"/>
      <c r="I1152" s="111" t="n">
        <v>5422</v>
      </c>
      <c r="J1152" s="110"/>
      <c r="K1152" s="120" t="s">
        <v>3357</v>
      </c>
      <c r="L1152" s="110"/>
      <c r="M1152" s="112" t="n">
        <v>162</v>
      </c>
      <c r="N1152" s="82"/>
      <c r="O1152" s="108"/>
      <c r="P1152" s="108"/>
      <c r="Q1152" s="108"/>
      <c r="R1152" s="108"/>
      <c r="S1152" s="108"/>
      <c r="T1152" s="108"/>
      <c r="U1152" s="108"/>
      <c r="V1152" s="108"/>
      <c r="W1152" s="108"/>
      <c r="X1152" s="108"/>
      <c r="Y1152" s="108"/>
      <c r="Z1152" s="108"/>
      <c r="AA1152" s="108"/>
      <c r="AB1152" s="108"/>
      <c r="AC1152" s="108"/>
    </row>
    <row r="1153" customFormat="false" ht="15.75" hidden="false" customHeight="true" outlineLevel="0" collapsed="false">
      <c r="A1153" s="108" t="s">
        <v>3372</v>
      </c>
      <c r="B1153" s="82"/>
      <c r="C1153" s="120" t="s">
        <v>3373</v>
      </c>
      <c r="D1153" s="121"/>
      <c r="E1153" s="108" t="s">
        <v>844</v>
      </c>
      <c r="F1153" s="114"/>
      <c r="G1153" s="120" t="s">
        <v>845</v>
      </c>
      <c r="H1153" s="82"/>
      <c r="I1153" s="111" t="n">
        <v>5422</v>
      </c>
      <c r="J1153" s="110"/>
      <c r="K1153" s="120" t="s">
        <v>3357</v>
      </c>
      <c r="L1153" s="110"/>
      <c r="M1153" s="112" t="n">
        <v>162</v>
      </c>
      <c r="N1153" s="82"/>
      <c r="O1153" s="108"/>
      <c r="P1153" s="108"/>
      <c r="Q1153" s="108"/>
      <c r="R1153" s="108"/>
      <c r="S1153" s="108"/>
      <c r="T1153" s="108"/>
      <c r="U1153" s="108"/>
      <c r="V1153" s="108"/>
      <c r="W1153" s="108"/>
      <c r="X1153" s="108"/>
      <c r="Y1153" s="108"/>
      <c r="Z1153" s="108"/>
      <c r="AA1153" s="108"/>
      <c r="AB1153" s="108"/>
      <c r="AC1153" s="108"/>
    </row>
    <row r="1154" customFormat="false" ht="15.75" hidden="false" customHeight="true" outlineLevel="0" collapsed="false">
      <c r="A1154" s="108" t="s">
        <v>3374</v>
      </c>
      <c r="B1154" s="82"/>
      <c r="C1154" s="120" t="s">
        <v>3375</v>
      </c>
      <c r="D1154" s="121"/>
      <c r="E1154" s="108" t="s">
        <v>844</v>
      </c>
      <c r="F1154" s="114"/>
      <c r="G1154" s="120" t="s">
        <v>845</v>
      </c>
      <c r="H1154" s="82"/>
      <c r="I1154" s="111" t="n">
        <v>5422</v>
      </c>
      <c r="J1154" s="110"/>
      <c r="K1154" s="120" t="s">
        <v>3357</v>
      </c>
      <c r="L1154" s="110"/>
      <c r="M1154" s="112" t="n">
        <v>162</v>
      </c>
      <c r="N1154" s="82"/>
      <c r="O1154" s="108"/>
      <c r="P1154" s="108"/>
      <c r="Q1154" s="108"/>
      <c r="R1154" s="108"/>
      <c r="S1154" s="108"/>
      <c r="T1154" s="108"/>
      <c r="U1154" s="108"/>
      <c r="V1154" s="108"/>
      <c r="W1154" s="108"/>
      <c r="X1154" s="108"/>
      <c r="Y1154" s="108"/>
      <c r="Z1154" s="108"/>
      <c r="AA1154" s="108"/>
      <c r="AB1154" s="108"/>
      <c r="AC1154" s="108"/>
    </row>
    <row r="1155" customFormat="false" ht="15.75" hidden="false" customHeight="true" outlineLevel="0" collapsed="false">
      <c r="A1155" s="108" t="s">
        <v>3376</v>
      </c>
      <c r="B1155" s="82"/>
      <c r="C1155" s="120" t="s">
        <v>3377</v>
      </c>
      <c r="D1155" s="121"/>
      <c r="E1155" s="108" t="s">
        <v>821</v>
      </c>
      <c r="F1155" s="114"/>
      <c r="G1155" s="120" t="s">
        <v>822</v>
      </c>
      <c r="H1155" s="82"/>
      <c r="I1155" s="111" t="n">
        <v>5422</v>
      </c>
      <c r="J1155" s="110"/>
      <c r="K1155" s="120" t="s">
        <v>3357</v>
      </c>
      <c r="L1155" s="110"/>
      <c r="M1155" s="112" t="n">
        <v>162</v>
      </c>
      <c r="N1155" s="82"/>
      <c r="O1155" s="108"/>
      <c r="P1155" s="108"/>
      <c r="Q1155" s="108"/>
      <c r="R1155" s="108"/>
      <c r="S1155" s="108"/>
      <c r="T1155" s="108"/>
      <c r="U1155" s="108"/>
      <c r="V1155" s="108"/>
      <c r="W1155" s="108"/>
      <c r="X1155" s="108"/>
      <c r="Y1155" s="108"/>
      <c r="Z1155" s="108"/>
      <c r="AA1155" s="108"/>
      <c r="AB1155" s="108"/>
      <c r="AC1155" s="108"/>
    </row>
    <row r="1156" customFormat="false" ht="15.75" hidden="false" customHeight="true" outlineLevel="0" collapsed="false">
      <c r="A1156" s="108" t="s">
        <v>3378</v>
      </c>
      <c r="B1156" s="82"/>
      <c r="C1156" s="120" t="s">
        <v>3379</v>
      </c>
      <c r="D1156" s="121"/>
      <c r="E1156" s="108" t="s">
        <v>821</v>
      </c>
      <c r="F1156" s="114"/>
      <c r="G1156" s="120" t="s">
        <v>822</v>
      </c>
      <c r="H1156" s="82"/>
      <c r="I1156" s="111" t="n">
        <v>5422</v>
      </c>
      <c r="J1156" s="110"/>
      <c r="K1156" s="120" t="s">
        <v>3357</v>
      </c>
      <c r="L1156" s="110"/>
      <c r="M1156" s="112" t="n">
        <v>162</v>
      </c>
      <c r="N1156" s="82"/>
      <c r="O1156" s="108"/>
      <c r="P1156" s="108"/>
      <c r="Q1156" s="108"/>
      <c r="R1156" s="108"/>
      <c r="S1156" s="108"/>
      <c r="T1156" s="108"/>
      <c r="U1156" s="108"/>
      <c r="V1156" s="108"/>
      <c r="W1156" s="108"/>
      <c r="X1156" s="108"/>
      <c r="Y1156" s="108"/>
      <c r="Z1156" s="108"/>
      <c r="AA1156" s="108"/>
      <c r="AB1156" s="108"/>
      <c r="AC1156" s="108"/>
    </row>
    <row r="1157" customFormat="false" ht="15.75" hidden="false" customHeight="true" outlineLevel="0" collapsed="false">
      <c r="A1157" s="108" t="s">
        <v>3380</v>
      </c>
      <c r="B1157" s="82"/>
      <c r="C1157" s="120" t="s">
        <v>3381</v>
      </c>
      <c r="D1157" s="121"/>
      <c r="E1157" s="108" t="s">
        <v>821</v>
      </c>
      <c r="F1157" s="114"/>
      <c r="G1157" s="120" t="s">
        <v>822</v>
      </c>
      <c r="H1157" s="82"/>
      <c r="I1157" s="111" t="n">
        <v>5441</v>
      </c>
      <c r="J1157" s="110"/>
      <c r="K1157" s="120" t="s">
        <v>3382</v>
      </c>
      <c r="L1157" s="110"/>
      <c r="M1157" s="112" t="n">
        <v>163</v>
      </c>
      <c r="N1157" s="82"/>
      <c r="O1157" s="108"/>
      <c r="P1157" s="108"/>
      <c r="Q1157" s="108"/>
      <c r="R1157" s="108"/>
      <c r="S1157" s="108"/>
      <c r="T1157" s="108"/>
      <c r="U1157" s="108"/>
      <c r="V1157" s="108"/>
      <c r="W1157" s="108"/>
      <c r="X1157" s="108"/>
      <c r="Y1157" s="108"/>
      <c r="Z1157" s="108"/>
      <c r="AA1157" s="108"/>
      <c r="AB1157" s="108"/>
      <c r="AC1157" s="108"/>
    </row>
    <row r="1158" customFormat="false" ht="15.75" hidden="false" customHeight="true" outlineLevel="0" collapsed="false">
      <c r="A1158" s="108" t="s">
        <v>3383</v>
      </c>
      <c r="B1158" s="82"/>
      <c r="C1158" s="120" t="s">
        <v>3384</v>
      </c>
      <c r="D1158" s="121"/>
      <c r="E1158" s="108" t="s">
        <v>821</v>
      </c>
      <c r="F1158" s="114"/>
      <c r="G1158" s="120" t="s">
        <v>822</v>
      </c>
      <c r="H1158" s="82"/>
      <c r="I1158" s="111" t="n">
        <v>5944</v>
      </c>
      <c r="J1158" s="110"/>
      <c r="K1158" s="120" t="s">
        <v>3385</v>
      </c>
      <c r="L1158" s="110"/>
      <c r="M1158" s="112" t="n">
        <v>164</v>
      </c>
      <c r="N1158" s="82"/>
      <c r="O1158" s="108"/>
      <c r="P1158" s="108"/>
      <c r="Q1158" s="108"/>
      <c r="R1158" s="108"/>
      <c r="S1158" s="108"/>
      <c r="T1158" s="108"/>
      <c r="U1158" s="108"/>
      <c r="V1158" s="108"/>
      <c r="W1158" s="108"/>
      <c r="X1158" s="108"/>
      <c r="Y1158" s="108"/>
      <c r="Z1158" s="108"/>
      <c r="AA1158" s="108"/>
      <c r="AB1158" s="108"/>
      <c r="AC1158" s="108"/>
    </row>
    <row r="1159" customFormat="false" ht="15.75" hidden="false" customHeight="true" outlineLevel="0" collapsed="false">
      <c r="A1159" s="108" t="s">
        <v>3386</v>
      </c>
      <c r="B1159" s="82"/>
      <c r="C1159" s="120" t="s">
        <v>3387</v>
      </c>
      <c r="D1159" s="121"/>
      <c r="E1159" s="108" t="s">
        <v>821</v>
      </c>
      <c r="F1159" s="114"/>
      <c r="G1159" s="120" t="s">
        <v>822</v>
      </c>
      <c r="H1159" s="82"/>
      <c r="I1159" s="111" t="n">
        <v>5944</v>
      </c>
      <c r="J1159" s="110"/>
      <c r="K1159" s="120" t="s">
        <v>3385</v>
      </c>
      <c r="L1159" s="110"/>
      <c r="M1159" s="112" t="n">
        <v>164</v>
      </c>
      <c r="N1159" s="82"/>
      <c r="O1159" s="108"/>
      <c r="P1159" s="108"/>
      <c r="Q1159" s="108"/>
      <c r="R1159" s="108"/>
      <c r="S1159" s="108"/>
      <c r="T1159" s="108"/>
      <c r="U1159" s="108"/>
      <c r="V1159" s="108"/>
      <c r="W1159" s="108"/>
      <c r="X1159" s="108"/>
      <c r="Y1159" s="108"/>
      <c r="Z1159" s="108"/>
      <c r="AA1159" s="108"/>
      <c r="AB1159" s="108"/>
      <c r="AC1159" s="108"/>
    </row>
    <row r="1160" customFormat="false" ht="15.75" hidden="false" customHeight="true" outlineLevel="0" collapsed="false">
      <c r="A1160" s="108" t="s">
        <v>3388</v>
      </c>
      <c r="B1160" s="82"/>
      <c r="C1160" s="120" t="s">
        <v>3389</v>
      </c>
      <c r="D1160" s="121"/>
      <c r="E1160" s="108" t="s">
        <v>1518</v>
      </c>
      <c r="F1160" s="114"/>
      <c r="G1160" s="120" t="s">
        <v>1527</v>
      </c>
      <c r="H1160" s="82"/>
      <c r="I1160" s="111" t="n">
        <v>5971</v>
      </c>
      <c r="J1160" s="110"/>
      <c r="K1160" s="120" t="s">
        <v>3390</v>
      </c>
      <c r="L1160" s="110"/>
      <c r="M1160" s="112" t="n">
        <v>165</v>
      </c>
      <c r="N1160" s="82"/>
      <c r="O1160" s="108"/>
      <c r="P1160" s="108"/>
      <c r="Q1160" s="108"/>
      <c r="R1160" s="108"/>
      <c r="S1160" s="108"/>
      <c r="T1160" s="108"/>
      <c r="U1160" s="108"/>
      <c r="V1160" s="108"/>
      <c r="W1160" s="108"/>
      <c r="X1160" s="108"/>
      <c r="Y1160" s="108"/>
      <c r="Z1160" s="108"/>
      <c r="AA1160" s="108"/>
      <c r="AB1160" s="108"/>
      <c r="AC1160" s="108"/>
    </row>
    <row r="1161" customFormat="false" ht="15.75" hidden="false" customHeight="true" outlineLevel="0" collapsed="false">
      <c r="A1161" s="108" t="s">
        <v>3391</v>
      </c>
      <c r="B1161" s="82"/>
      <c r="C1161" s="120" t="s">
        <v>3392</v>
      </c>
      <c r="D1161" s="121"/>
      <c r="E1161" s="108" t="s">
        <v>821</v>
      </c>
      <c r="F1161" s="114"/>
      <c r="G1161" s="120" t="s">
        <v>822</v>
      </c>
      <c r="H1161" s="82"/>
      <c r="I1161" s="111" t="n">
        <v>5971</v>
      </c>
      <c r="J1161" s="110"/>
      <c r="K1161" s="120" t="s">
        <v>3390</v>
      </c>
      <c r="L1161" s="110"/>
      <c r="M1161" s="112" t="n">
        <v>165</v>
      </c>
      <c r="N1161" s="82"/>
      <c r="O1161" s="108"/>
      <c r="P1161" s="108"/>
      <c r="Q1161" s="108"/>
      <c r="R1161" s="108"/>
      <c r="S1161" s="108"/>
      <c r="T1161" s="108"/>
      <c r="U1161" s="108"/>
      <c r="V1161" s="108"/>
      <c r="W1161" s="108"/>
      <c r="X1161" s="108"/>
      <c r="Y1161" s="108"/>
      <c r="Z1161" s="108"/>
      <c r="AA1161" s="108"/>
      <c r="AB1161" s="108"/>
      <c r="AC1161" s="108"/>
    </row>
    <row r="1162" customFormat="false" ht="15.75" hidden="false" customHeight="true" outlineLevel="0" collapsed="false">
      <c r="A1162" s="108" t="s">
        <v>3393</v>
      </c>
      <c r="B1162" s="82"/>
      <c r="C1162" s="120" t="s">
        <v>3394</v>
      </c>
      <c r="D1162" s="121"/>
      <c r="E1162" s="108" t="s">
        <v>821</v>
      </c>
      <c r="F1162" s="114"/>
      <c r="G1162" s="120" t="s">
        <v>822</v>
      </c>
      <c r="H1162" s="82"/>
      <c r="I1162" s="111" t="n">
        <v>5995</v>
      </c>
      <c r="J1162" s="110"/>
      <c r="K1162" s="120" t="s">
        <v>3395</v>
      </c>
      <c r="L1162" s="110"/>
      <c r="M1162" s="112" t="n">
        <v>166</v>
      </c>
      <c r="N1162" s="82"/>
      <c r="O1162" s="108"/>
      <c r="P1162" s="108"/>
      <c r="Q1162" s="108"/>
      <c r="R1162" s="108"/>
      <c r="S1162" s="108"/>
      <c r="T1162" s="108"/>
      <c r="U1162" s="108"/>
      <c r="V1162" s="108"/>
      <c r="W1162" s="108"/>
      <c r="X1162" s="108"/>
      <c r="Y1162" s="108"/>
      <c r="Z1162" s="108"/>
      <c r="AA1162" s="108"/>
      <c r="AB1162" s="108"/>
      <c r="AC1162" s="108"/>
    </row>
    <row r="1163" customFormat="false" ht="15.75" hidden="false" customHeight="true" outlineLevel="0" collapsed="false">
      <c r="A1163" s="108" t="s">
        <v>3396</v>
      </c>
      <c r="B1163" s="82"/>
      <c r="C1163" s="120" t="s">
        <v>3397</v>
      </c>
      <c r="D1163" s="121"/>
      <c r="E1163" s="108" t="s">
        <v>2313</v>
      </c>
      <c r="F1163" s="114"/>
      <c r="G1163" s="120" t="s">
        <v>2314</v>
      </c>
      <c r="H1163" s="82"/>
      <c r="I1163" s="111" t="n">
        <v>5995</v>
      </c>
      <c r="J1163" s="110"/>
      <c r="K1163" s="120" t="s">
        <v>3395</v>
      </c>
      <c r="L1163" s="110"/>
      <c r="M1163" s="112" t="n">
        <v>166</v>
      </c>
      <c r="N1163" s="82"/>
      <c r="O1163" s="108"/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/>
      <c r="AB1163" s="108"/>
      <c r="AC1163" s="108"/>
    </row>
    <row r="1164" customFormat="false" ht="15.75" hidden="false" customHeight="true" outlineLevel="0" collapsed="false">
      <c r="A1164" s="108" t="s">
        <v>3398</v>
      </c>
      <c r="B1164" s="82"/>
      <c r="C1164" s="120" t="s">
        <v>3399</v>
      </c>
      <c r="D1164" s="121"/>
      <c r="E1164" s="108" t="s">
        <v>818</v>
      </c>
      <c r="F1164" s="114"/>
      <c r="G1164" s="120" t="s">
        <v>818</v>
      </c>
      <c r="H1164" s="82"/>
      <c r="I1164" s="111" t="n">
        <v>5995</v>
      </c>
      <c r="J1164" s="110"/>
      <c r="K1164" s="120" t="s">
        <v>3395</v>
      </c>
      <c r="L1164" s="110"/>
      <c r="M1164" s="112" t="n">
        <v>166</v>
      </c>
      <c r="N1164" s="82"/>
      <c r="O1164" s="108"/>
      <c r="P1164" s="108"/>
      <c r="Q1164" s="108"/>
      <c r="R1164" s="108"/>
      <c r="S1164" s="108"/>
      <c r="T1164" s="108"/>
      <c r="U1164" s="108"/>
      <c r="V1164" s="108"/>
      <c r="W1164" s="108"/>
      <c r="X1164" s="108"/>
      <c r="Y1164" s="108"/>
      <c r="Z1164" s="108"/>
      <c r="AA1164" s="108"/>
      <c r="AB1164" s="108"/>
      <c r="AC1164" s="108"/>
    </row>
    <row r="1165" customFormat="false" ht="15.75" hidden="false" customHeight="true" outlineLevel="0" collapsed="false">
      <c r="A1165" s="108" t="s">
        <v>3400</v>
      </c>
      <c r="B1165" s="82"/>
      <c r="C1165" s="120" t="s">
        <v>3401</v>
      </c>
      <c r="D1165" s="121"/>
      <c r="E1165" s="108" t="s">
        <v>2313</v>
      </c>
      <c r="F1165" s="114"/>
      <c r="G1165" s="120" t="s">
        <v>2314</v>
      </c>
      <c r="H1165" s="82"/>
      <c r="I1165" s="111" t="n">
        <v>7210</v>
      </c>
      <c r="J1165" s="110"/>
      <c r="K1165" s="120" t="s">
        <v>3402</v>
      </c>
      <c r="L1165" s="110"/>
      <c r="M1165" s="112" t="n">
        <v>167</v>
      </c>
      <c r="N1165" s="82"/>
      <c r="O1165" s="108"/>
      <c r="P1165" s="108"/>
      <c r="Q1165" s="108"/>
      <c r="R1165" s="108"/>
      <c r="S1165" s="108"/>
      <c r="T1165" s="108"/>
      <c r="U1165" s="108"/>
      <c r="V1165" s="108"/>
      <c r="W1165" s="108"/>
      <c r="X1165" s="108"/>
      <c r="Y1165" s="108"/>
      <c r="Z1165" s="108"/>
      <c r="AA1165" s="108"/>
      <c r="AB1165" s="108"/>
      <c r="AC1165" s="108"/>
    </row>
    <row r="1166" customFormat="false" ht="15.75" hidden="false" customHeight="true" outlineLevel="0" collapsed="false">
      <c r="A1166" s="108" t="s">
        <v>3403</v>
      </c>
      <c r="B1166" s="82"/>
      <c r="C1166" s="120" t="s">
        <v>3404</v>
      </c>
      <c r="D1166" s="121"/>
      <c r="E1166" s="108" t="s">
        <v>920</v>
      </c>
      <c r="F1166" s="114"/>
      <c r="G1166" s="120" t="s">
        <v>3405</v>
      </c>
      <c r="H1166" s="82"/>
      <c r="I1166" s="111" t="n">
        <v>7393</v>
      </c>
      <c r="J1166" s="110"/>
      <c r="K1166" s="120" t="s">
        <v>3406</v>
      </c>
      <c r="L1166" s="110"/>
      <c r="M1166" s="121" t="n">
        <v>168</v>
      </c>
      <c r="N1166" s="82"/>
      <c r="O1166" s="108"/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/>
      <c r="AB1166" s="108"/>
      <c r="AC1166" s="108"/>
    </row>
    <row r="1167" customFormat="false" ht="15.75" hidden="false" customHeight="true" outlineLevel="0" collapsed="false">
      <c r="A1167" s="108" t="s">
        <v>3407</v>
      </c>
      <c r="B1167" s="82"/>
      <c r="C1167" s="120" t="s">
        <v>3408</v>
      </c>
      <c r="D1167" s="121"/>
      <c r="E1167" s="108" t="s">
        <v>920</v>
      </c>
      <c r="F1167" s="114"/>
      <c r="G1167" s="120" t="s">
        <v>3405</v>
      </c>
      <c r="H1167" s="82"/>
      <c r="I1167" s="111" t="n">
        <v>7393</v>
      </c>
      <c r="J1167" s="110"/>
      <c r="K1167" s="120" t="s">
        <v>3406</v>
      </c>
      <c r="L1167" s="110"/>
      <c r="M1167" s="121" t="n">
        <v>168</v>
      </c>
      <c r="N1167" s="82"/>
      <c r="O1167" s="108"/>
      <c r="P1167" s="108"/>
      <c r="Q1167" s="108"/>
      <c r="R1167" s="108"/>
      <c r="S1167" s="108"/>
      <c r="T1167" s="108"/>
      <c r="U1167" s="108"/>
      <c r="V1167" s="108"/>
      <c r="W1167" s="108"/>
      <c r="X1167" s="108"/>
      <c r="Y1167" s="108"/>
      <c r="Z1167" s="108"/>
      <c r="AA1167" s="108"/>
      <c r="AB1167" s="108"/>
      <c r="AC1167" s="108"/>
    </row>
    <row r="1168" customFormat="false" ht="15.75" hidden="false" customHeight="true" outlineLevel="0" collapsed="false">
      <c r="A1168" s="108" t="s">
        <v>3409</v>
      </c>
      <c r="B1168" s="82"/>
      <c r="C1168" s="120" t="s">
        <v>3410</v>
      </c>
      <c r="D1168" s="121"/>
      <c r="E1168" s="108" t="s">
        <v>920</v>
      </c>
      <c r="F1168" s="114"/>
      <c r="G1168" s="120" t="s">
        <v>3405</v>
      </c>
      <c r="H1168" s="82"/>
      <c r="I1168" s="111" t="n">
        <v>7393</v>
      </c>
      <c r="J1168" s="110"/>
      <c r="K1168" s="120" t="s">
        <v>3406</v>
      </c>
      <c r="L1168" s="110"/>
      <c r="M1168" s="121" t="n">
        <v>168</v>
      </c>
      <c r="N1168" s="82"/>
      <c r="O1168" s="108"/>
      <c r="P1168" s="108"/>
      <c r="Q1168" s="108"/>
      <c r="R1168" s="108"/>
      <c r="S1168" s="108"/>
      <c r="T1168" s="108"/>
      <c r="U1168" s="108"/>
      <c r="V1168" s="108"/>
      <c r="W1168" s="108"/>
      <c r="X1168" s="108"/>
      <c r="Y1168" s="108"/>
      <c r="Z1168" s="108"/>
      <c r="AA1168" s="108"/>
      <c r="AB1168" s="108"/>
      <c r="AC1168" s="108"/>
    </row>
    <row r="1169" customFormat="false" ht="15.75" hidden="false" customHeight="true" outlineLevel="0" collapsed="false">
      <c r="A1169" s="108" t="s">
        <v>3411</v>
      </c>
      <c r="B1169" s="82"/>
      <c r="C1169" s="120" t="s">
        <v>3412</v>
      </c>
      <c r="D1169" s="121"/>
      <c r="E1169" s="108" t="s">
        <v>920</v>
      </c>
      <c r="F1169" s="114"/>
      <c r="G1169" s="120" t="s">
        <v>3405</v>
      </c>
      <c r="H1169" s="82"/>
      <c r="I1169" s="111" t="n">
        <v>7393</v>
      </c>
      <c r="J1169" s="110"/>
      <c r="K1169" s="120" t="s">
        <v>3406</v>
      </c>
      <c r="L1169" s="110"/>
      <c r="M1169" s="121" t="n">
        <v>168</v>
      </c>
      <c r="N1169" s="82"/>
      <c r="O1169" s="108"/>
      <c r="P1169" s="108"/>
      <c r="Q1169" s="108"/>
      <c r="R1169" s="108"/>
      <c r="S1169" s="108"/>
      <c r="T1169" s="108"/>
      <c r="U1169" s="108"/>
      <c r="V1169" s="108"/>
      <c r="W1169" s="108"/>
      <c r="X1169" s="108"/>
      <c r="Y1169" s="108"/>
      <c r="Z1169" s="108"/>
      <c r="AA1169" s="108"/>
      <c r="AB1169" s="108"/>
      <c r="AC1169" s="108"/>
    </row>
    <row r="1170" customFormat="false" ht="15.75" hidden="false" customHeight="true" outlineLevel="0" collapsed="false">
      <c r="A1170" s="108" t="s">
        <v>3413</v>
      </c>
      <c r="B1170" s="82"/>
      <c r="C1170" s="120" t="s">
        <v>3414</v>
      </c>
      <c r="D1170" s="121"/>
      <c r="E1170" s="108" t="s">
        <v>920</v>
      </c>
      <c r="F1170" s="114"/>
      <c r="G1170" s="120" t="s">
        <v>3405</v>
      </c>
      <c r="H1170" s="82"/>
      <c r="I1170" s="111" t="n">
        <v>7393</v>
      </c>
      <c r="J1170" s="110"/>
      <c r="K1170" s="120" t="s">
        <v>3406</v>
      </c>
      <c r="L1170" s="110"/>
      <c r="M1170" s="121" t="n">
        <v>168</v>
      </c>
      <c r="N1170" s="82"/>
      <c r="O1170" s="108"/>
      <c r="P1170" s="108"/>
      <c r="Q1170" s="108"/>
      <c r="R1170" s="108"/>
      <c r="S1170" s="108"/>
      <c r="T1170" s="108"/>
      <c r="U1170" s="108"/>
      <c r="V1170" s="108"/>
      <c r="W1170" s="108"/>
      <c r="X1170" s="108"/>
      <c r="Y1170" s="108"/>
      <c r="Z1170" s="108"/>
      <c r="AA1170" s="108"/>
      <c r="AB1170" s="108"/>
      <c r="AC1170" s="108"/>
    </row>
    <row r="1171" customFormat="false" ht="15.75" hidden="false" customHeight="true" outlineLevel="0" collapsed="false">
      <c r="A1171" s="108" t="s">
        <v>3415</v>
      </c>
      <c r="B1171" s="82"/>
      <c r="C1171" s="120" t="s">
        <v>3416</v>
      </c>
      <c r="D1171" s="121"/>
      <c r="E1171" s="108" t="s">
        <v>920</v>
      </c>
      <c r="F1171" s="114"/>
      <c r="G1171" s="120" t="s">
        <v>3405</v>
      </c>
      <c r="H1171" s="82"/>
      <c r="I1171" s="111" t="n">
        <v>7393</v>
      </c>
      <c r="J1171" s="110"/>
      <c r="K1171" s="120" t="s">
        <v>3406</v>
      </c>
      <c r="L1171" s="110"/>
      <c r="M1171" s="121" t="n">
        <v>168</v>
      </c>
      <c r="N1171" s="82"/>
      <c r="O1171" s="108"/>
      <c r="P1171" s="108"/>
      <c r="Q1171" s="108"/>
      <c r="R1171" s="108"/>
      <c r="S1171" s="108"/>
      <c r="T1171" s="108"/>
      <c r="U1171" s="108"/>
      <c r="V1171" s="108"/>
      <c r="W1171" s="108"/>
      <c r="X1171" s="108"/>
      <c r="Y1171" s="108"/>
      <c r="Z1171" s="108"/>
      <c r="AA1171" s="108"/>
      <c r="AB1171" s="108"/>
      <c r="AC1171" s="108"/>
    </row>
    <row r="1172" customFormat="false" ht="15.75" hidden="false" customHeight="true" outlineLevel="0" collapsed="false">
      <c r="A1172" s="108" t="s">
        <v>3417</v>
      </c>
      <c r="B1172" s="82"/>
      <c r="C1172" s="120" t="s">
        <v>3418</v>
      </c>
      <c r="D1172" s="121"/>
      <c r="E1172" s="108" t="s">
        <v>818</v>
      </c>
      <c r="F1172" s="114"/>
      <c r="G1172" s="120" t="s">
        <v>818</v>
      </c>
      <c r="H1172" s="82"/>
      <c r="I1172" s="111" t="n">
        <v>7393</v>
      </c>
      <c r="J1172" s="110"/>
      <c r="K1172" s="120" t="s">
        <v>3406</v>
      </c>
      <c r="L1172" s="110"/>
      <c r="M1172" s="121" t="n">
        <v>168</v>
      </c>
      <c r="N1172" s="82"/>
      <c r="O1172" s="108"/>
      <c r="P1172" s="108"/>
      <c r="Q1172" s="108"/>
      <c r="R1172" s="108"/>
      <c r="S1172" s="108"/>
      <c r="T1172" s="108"/>
      <c r="U1172" s="108"/>
      <c r="V1172" s="108"/>
      <c r="W1172" s="108"/>
      <c r="X1172" s="108"/>
      <c r="Y1172" s="108"/>
      <c r="Z1172" s="108"/>
      <c r="AA1172" s="108"/>
      <c r="AB1172" s="108"/>
      <c r="AC1172" s="108"/>
    </row>
    <row r="1173" customFormat="false" ht="15.75" hidden="false" customHeight="true" outlineLevel="0" collapsed="false">
      <c r="A1173" s="108" t="s">
        <v>3419</v>
      </c>
      <c r="B1173" s="82"/>
      <c r="C1173" s="120" t="s">
        <v>3420</v>
      </c>
      <c r="D1173" s="121"/>
      <c r="E1173" s="108" t="s">
        <v>933</v>
      </c>
      <c r="F1173" s="114"/>
      <c r="G1173" s="120" t="s">
        <v>945</v>
      </c>
      <c r="H1173" s="82"/>
      <c r="I1173" s="111" t="n">
        <v>7549</v>
      </c>
      <c r="J1173" s="110"/>
      <c r="K1173" s="120" t="s">
        <v>3421</v>
      </c>
      <c r="L1173" s="110"/>
      <c r="M1173" s="121" t="n">
        <v>169</v>
      </c>
      <c r="N1173" s="82"/>
      <c r="O1173" s="108"/>
      <c r="P1173" s="108"/>
      <c r="Q1173" s="108"/>
      <c r="R1173" s="108"/>
      <c r="S1173" s="108"/>
      <c r="T1173" s="108"/>
      <c r="U1173" s="108"/>
      <c r="V1173" s="108"/>
      <c r="W1173" s="108"/>
      <c r="X1173" s="108"/>
      <c r="Y1173" s="108"/>
      <c r="Z1173" s="108"/>
      <c r="AA1173" s="108"/>
      <c r="AB1173" s="108"/>
      <c r="AC1173" s="108"/>
    </row>
    <row r="1174" customFormat="false" ht="15.75" hidden="false" customHeight="true" outlineLevel="0" collapsed="false">
      <c r="A1174" s="108" t="s">
        <v>3422</v>
      </c>
      <c r="B1174" s="82"/>
      <c r="C1174" s="120" t="s">
        <v>3423</v>
      </c>
      <c r="D1174" s="121"/>
      <c r="E1174" s="108" t="s">
        <v>2579</v>
      </c>
      <c r="F1174" s="114"/>
      <c r="G1174" s="120" t="s">
        <v>2579</v>
      </c>
      <c r="H1174" s="82"/>
      <c r="I1174" s="111" t="n">
        <v>7911</v>
      </c>
      <c r="J1174" s="110"/>
      <c r="K1174" s="120" t="s">
        <v>3424</v>
      </c>
      <c r="L1174" s="110"/>
      <c r="M1174" s="121" t="n">
        <v>170</v>
      </c>
      <c r="N1174" s="82"/>
      <c r="O1174" s="108"/>
      <c r="P1174" s="108"/>
      <c r="Q1174" s="108"/>
      <c r="R1174" s="108"/>
      <c r="S1174" s="108"/>
      <c r="T1174" s="108"/>
      <c r="U1174" s="108"/>
      <c r="V1174" s="108"/>
      <c r="W1174" s="108"/>
      <c r="X1174" s="108"/>
      <c r="Y1174" s="108"/>
      <c r="Z1174" s="108"/>
      <c r="AA1174" s="108"/>
      <c r="AB1174" s="108"/>
      <c r="AC1174" s="108"/>
    </row>
    <row r="1175" customFormat="false" ht="15.75" hidden="false" customHeight="true" outlineLevel="0" collapsed="false">
      <c r="A1175" s="108" t="s">
        <v>3425</v>
      </c>
      <c r="B1175" s="82"/>
      <c r="C1175" s="120" t="s">
        <v>3426</v>
      </c>
      <c r="D1175" s="121"/>
      <c r="E1175" s="108" t="s">
        <v>875</v>
      </c>
      <c r="F1175" s="114"/>
      <c r="G1175" s="120" t="s">
        <v>2266</v>
      </c>
      <c r="H1175" s="82"/>
      <c r="I1175" s="111" t="n">
        <v>7922</v>
      </c>
      <c r="J1175" s="110"/>
      <c r="K1175" s="120" t="s">
        <v>3427</v>
      </c>
      <c r="L1175" s="110"/>
      <c r="M1175" s="121" t="n">
        <v>171</v>
      </c>
      <c r="N1175" s="82"/>
      <c r="O1175" s="108"/>
      <c r="P1175" s="108"/>
      <c r="Q1175" s="108"/>
      <c r="R1175" s="108"/>
      <c r="S1175" s="108"/>
      <c r="T1175" s="108"/>
      <c r="U1175" s="108"/>
      <c r="V1175" s="108"/>
      <c r="W1175" s="108"/>
      <c r="X1175" s="108"/>
      <c r="Y1175" s="108"/>
      <c r="Z1175" s="108"/>
      <c r="AA1175" s="108"/>
      <c r="AB1175" s="108"/>
      <c r="AC1175" s="108"/>
    </row>
    <row r="1176" customFormat="false" ht="15.75" hidden="false" customHeight="true" outlineLevel="0" collapsed="false">
      <c r="A1176" s="108" t="s">
        <v>3428</v>
      </c>
      <c r="B1176" s="82"/>
      <c r="C1176" s="120" t="s">
        <v>3429</v>
      </c>
      <c r="D1176" s="121"/>
      <c r="E1176" s="108" t="s">
        <v>875</v>
      </c>
      <c r="F1176" s="114"/>
      <c r="G1176" s="120" t="s">
        <v>2266</v>
      </c>
      <c r="H1176" s="82"/>
      <c r="I1176" s="111" t="n">
        <v>7922</v>
      </c>
      <c r="J1176" s="110"/>
      <c r="K1176" s="120" t="s">
        <v>3427</v>
      </c>
      <c r="L1176" s="110"/>
      <c r="M1176" s="121" t="n">
        <v>171</v>
      </c>
      <c r="N1176" s="82"/>
      <c r="O1176" s="108"/>
      <c r="P1176" s="108"/>
      <c r="Q1176" s="108"/>
      <c r="R1176" s="108"/>
      <c r="S1176" s="108"/>
      <c r="T1176" s="108"/>
      <c r="U1176" s="108"/>
      <c r="V1176" s="108"/>
      <c r="W1176" s="108"/>
      <c r="X1176" s="108"/>
      <c r="Y1176" s="108"/>
      <c r="Z1176" s="108"/>
      <c r="AA1176" s="108"/>
      <c r="AB1176" s="108"/>
      <c r="AC1176" s="108"/>
    </row>
    <row r="1177" customFormat="false" ht="15.75" hidden="false" customHeight="true" outlineLevel="0" collapsed="false">
      <c r="A1177" s="108" t="s">
        <v>3430</v>
      </c>
      <c r="B1177" s="82"/>
      <c r="C1177" s="120" t="s">
        <v>3431</v>
      </c>
      <c r="D1177" s="121"/>
      <c r="E1177" s="108" t="s">
        <v>875</v>
      </c>
      <c r="F1177" s="114"/>
      <c r="G1177" s="120" t="s">
        <v>2266</v>
      </c>
      <c r="H1177" s="82"/>
      <c r="I1177" s="111" t="n">
        <v>7922</v>
      </c>
      <c r="J1177" s="110"/>
      <c r="K1177" s="120" t="s">
        <v>3427</v>
      </c>
      <c r="L1177" s="110"/>
      <c r="M1177" s="121" t="n">
        <v>171</v>
      </c>
      <c r="N1177" s="82"/>
      <c r="O1177" s="108"/>
      <c r="P1177" s="108"/>
      <c r="Q1177" s="108"/>
      <c r="R1177" s="108"/>
      <c r="S1177" s="108"/>
      <c r="T1177" s="108"/>
      <c r="U1177" s="108"/>
      <c r="V1177" s="108"/>
      <c r="W1177" s="108"/>
      <c r="X1177" s="108"/>
      <c r="Y1177" s="108"/>
      <c r="Z1177" s="108"/>
      <c r="AA1177" s="108"/>
      <c r="AB1177" s="108"/>
      <c r="AC1177" s="108"/>
    </row>
    <row r="1178" customFormat="false" ht="15.75" hidden="false" customHeight="true" outlineLevel="0" collapsed="false">
      <c r="A1178" s="108" t="s">
        <v>3432</v>
      </c>
      <c r="B1178" s="82"/>
      <c r="C1178" s="120" t="s">
        <v>3433</v>
      </c>
      <c r="D1178" s="121"/>
      <c r="E1178" s="108" t="s">
        <v>875</v>
      </c>
      <c r="F1178" s="114"/>
      <c r="G1178" s="120" t="s">
        <v>2266</v>
      </c>
      <c r="H1178" s="82"/>
      <c r="I1178" s="111" t="n">
        <v>7922</v>
      </c>
      <c r="J1178" s="110"/>
      <c r="K1178" s="120" t="s">
        <v>3427</v>
      </c>
      <c r="L1178" s="110"/>
      <c r="M1178" s="121" t="n">
        <v>171</v>
      </c>
      <c r="N1178" s="82"/>
      <c r="O1178" s="108"/>
      <c r="P1178" s="108"/>
      <c r="Q1178" s="108"/>
      <c r="R1178" s="108"/>
      <c r="S1178" s="108"/>
      <c r="T1178" s="108"/>
      <c r="U1178" s="108"/>
      <c r="V1178" s="108"/>
      <c r="W1178" s="108"/>
      <c r="X1178" s="108"/>
      <c r="Y1178" s="108"/>
      <c r="Z1178" s="108"/>
      <c r="AA1178" s="108"/>
      <c r="AB1178" s="108"/>
      <c r="AC1178" s="108"/>
    </row>
    <row r="1179" customFormat="false" ht="15.75" hidden="false" customHeight="true" outlineLevel="0" collapsed="false">
      <c r="A1179" s="108" t="s">
        <v>3434</v>
      </c>
      <c r="B1179" s="82"/>
      <c r="C1179" s="120" t="s">
        <v>3435</v>
      </c>
      <c r="D1179" s="121"/>
      <c r="E1179" s="108" t="s">
        <v>875</v>
      </c>
      <c r="F1179" s="114"/>
      <c r="G1179" s="120" t="s">
        <v>2266</v>
      </c>
      <c r="H1179" s="82"/>
      <c r="I1179" s="111" t="n">
        <v>7922</v>
      </c>
      <c r="J1179" s="110"/>
      <c r="K1179" s="120" t="s">
        <v>3427</v>
      </c>
      <c r="L1179" s="110"/>
      <c r="M1179" s="121" t="n">
        <v>171</v>
      </c>
      <c r="N1179" s="82"/>
      <c r="O1179" s="108"/>
      <c r="P1179" s="108"/>
      <c r="Q1179" s="108"/>
      <c r="R1179" s="108"/>
      <c r="S1179" s="108"/>
      <c r="T1179" s="108"/>
      <c r="U1179" s="108"/>
      <c r="V1179" s="108"/>
      <c r="W1179" s="108"/>
      <c r="X1179" s="108"/>
      <c r="Y1179" s="108"/>
      <c r="Z1179" s="108"/>
      <c r="AA1179" s="108"/>
      <c r="AB1179" s="108"/>
      <c r="AC1179" s="108"/>
    </row>
    <row r="1180" customFormat="false" ht="15.75" hidden="false" customHeight="true" outlineLevel="0" collapsed="false">
      <c r="A1180" s="108" t="s">
        <v>3436</v>
      </c>
      <c r="B1180" s="82"/>
      <c r="C1180" s="120" t="s">
        <v>3437</v>
      </c>
      <c r="D1180" s="121"/>
      <c r="E1180" s="108" t="s">
        <v>875</v>
      </c>
      <c r="F1180" s="114"/>
      <c r="G1180" s="120" t="s">
        <v>2266</v>
      </c>
      <c r="H1180" s="82"/>
      <c r="I1180" s="111" t="n">
        <v>7922</v>
      </c>
      <c r="J1180" s="110"/>
      <c r="K1180" s="120" t="s">
        <v>3427</v>
      </c>
      <c r="L1180" s="110"/>
      <c r="M1180" s="121" t="n">
        <v>171</v>
      </c>
      <c r="N1180" s="82"/>
      <c r="O1180" s="108"/>
      <c r="P1180" s="108"/>
      <c r="Q1180" s="108"/>
      <c r="R1180" s="108"/>
      <c r="S1180" s="108"/>
      <c r="T1180" s="108"/>
      <c r="U1180" s="108"/>
      <c r="V1180" s="108"/>
      <c r="W1180" s="108"/>
      <c r="X1180" s="108"/>
      <c r="Y1180" s="108"/>
      <c r="Z1180" s="108"/>
      <c r="AA1180" s="108"/>
      <c r="AB1180" s="108"/>
      <c r="AC1180" s="108"/>
    </row>
    <row r="1181" customFormat="false" ht="15.75" hidden="false" customHeight="true" outlineLevel="0" collapsed="false">
      <c r="A1181" s="108" t="s">
        <v>3438</v>
      </c>
      <c r="B1181" s="82"/>
      <c r="C1181" s="120" t="s">
        <v>3439</v>
      </c>
      <c r="D1181" s="121"/>
      <c r="E1181" s="108" t="s">
        <v>1214</v>
      </c>
      <c r="F1181" s="114"/>
      <c r="G1181" s="120" t="s">
        <v>1215</v>
      </c>
      <c r="H1181" s="82"/>
      <c r="I1181" s="111" t="n">
        <v>7941</v>
      </c>
      <c r="J1181" s="110"/>
      <c r="K1181" s="120" t="s">
        <v>3440</v>
      </c>
      <c r="L1181" s="110"/>
      <c r="M1181" s="121" t="n">
        <v>172</v>
      </c>
      <c r="N1181" s="82"/>
      <c r="O1181" s="108"/>
      <c r="P1181" s="108"/>
      <c r="Q1181" s="108"/>
      <c r="R1181" s="108"/>
      <c r="S1181" s="108"/>
      <c r="T1181" s="108"/>
      <c r="U1181" s="108"/>
      <c r="V1181" s="108"/>
      <c r="W1181" s="108"/>
      <c r="X1181" s="108"/>
      <c r="Y1181" s="108"/>
      <c r="Z1181" s="108"/>
      <c r="AA1181" s="108"/>
      <c r="AB1181" s="108"/>
      <c r="AC1181" s="108"/>
    </row>
    <row r="1182" customFormat="false" ht="15.75" hidden="false" customHeight="true" outlineLevel="0" collapsed="false">
      <c r="A1182" s="108" t="s">
        <v>3441</v>
      </c>
      <c r="B1182" s="82"/>
      <c r="C1182" s="120" t="s">
        <v>3442</v>
      </c>
      <c r="D1182" s="121"/>
      <c r="E1182" s="108" t="s">
        <v>875</v>
      </c>
      <c r="F1182" s="114"/>
      <c r="G1182" s="120" t="s">
        <v>876</v>
      </c>
      <c r="H1182" s="82"/>
      <c r="I1182" s="111" t="n">
        <v>7941</v>
      </c>
      <c r="J1182" s="110"/>
      <c r="K1182" s="120" t="s">
        <v>3443</v>
      </c>
      <c r="L1182" s="110"/>
      <c r="M1182" s="121" t="n">
        <v>172</v>
      </c>
      <c r="N1182" s="82"/>
      <c r="O1182" s="108"/>
      <c r="P1182" s="108"/>
      <c r="Q1182" s="108"/>
      <c r="R1182" s="108"/>
      <c r="S1182" s="108"/>
      <c r="T1182" s="108"/>
      <c r="U1182" s="108"/>
      <c r="V1182" s="108"/>
      <c r="W1182" s="108"/>
      <c r="X1182" s="108"/>
      <c r="Y1182" s="108"/>
      <c r="Z1182" s="108"/>
      <c r="AA1182" s="108"/>
      <c r="AB1182" s="108"/>
      <c r="AC1182" s="108"/>
    </row>
    <row r="1183" customFormat="false" ht="15.75" hidden="false" customHeight="true" outlineLevel="0" collapsed="false">
      <c r="A1183" s="108" t="s">
        <v>3444</v>
      </c>
      <c r="B1183" s="82"/>
      <c r="C1183" s="120" t="s">
        <v>3445</v>
      </c>
      <c r="D1183" s="121"/>
      <c r="E1183" s="108" t="s">
        <v>875</v>
      </c>
      <c r="F1183" s="114"/>
      <c r="G1183" s="120" t="s">
        <v>876</v>
      </c>
      <c r="H1183" s="82"/>
      <c r="I1183" s="111" t="n">
        <v>7996</v>
      </c>
      <c r="J1183" s="110"/>
      <c r="K1183" s="120" t="s">
        <v>3446</v>
      </c>
      <c r="L1183" s="110"/>
      <c r="M1183" s="121" t="n">
        <v>173</v>
      </c>
      <c r="N1183" s="82"/>
      <c r="O1183" s="108"/>
      <c r="P1183" s="108"/>
      <c r="Q1183" s="108"/>
      <c r="R1183" s="108"/>
      <c r="S1183" s="108"/>
      <c r="T1183" s="108"/>
      <c r="U1183" s="108"/>
      <c r="V1183" s="108"/>
      <c r="W1183" s="108"/>
      <c r="X1183" s="108"/>
      <c r="Y1183" s="108"/>
      <c r="Z1183" s="108"/>
      <c r="AA1183" s="108"/>
      <c r="AB1183" s="108"/>
      <c r="AC1183" s="108"/>
    </row>
    <row r="1184" customFormat="false" ht="15.75" hidden="false" customHeight="true" outlineLevel="0" collapsed="false">
      <c r="A1184" s="108" t="s">
        <v>3447</v>
      </c>
      <c r="B1184" s="82"/>
      <c r="C1184" s="120" t="s">
        <v>3448</v>
      </c>
      <c r="D1184" s="121"/>
      <c r="E1184" s="108" t="s">
        <v>875</v>
      </c>
      <c r="F1184" s="114"/>
      <c r="G1184" s="120" t="s">
        <v>876</v>
      </c>
      <c r="H1184" s="82"/>
      <c r="I1184" s="111" t="n">
        <v>7997</v>
      </c>
      <c r="J1184" s="110"/>
      <c r="K1184" s="120" t="s">
        <v>3449</v>
      </c>
      <c r="L1184" s="110"/>
      <c r="M1184" s="121" t="n">
        <v>174</v>
      </c>
      <c r="N1184" s="82"/>
      <c r="O1184" s="108"/>
      <c r="P1184" s="108"/>
      <c r="Q1184" s="108"/>
      <c r="R1184" s="108"/>
      <c r="S1184" s="108"/>
      <c r="T1184" s="108"/>
      <c r="U1184" s="108"/>
      <c r="V1184" s="108"/>
      <c r="W1184" s="108"/>
      <c r="X1184" s="108"/>
      <c r="Y1184" s="108"/>
      <c r="Z1184" s="108"/>
      <c r="AA1184" s="108"/>
      <c r="AB1184" s="108"/>
      <c r="AC1184" s="108"/>
    </row>
    <row r="1185" customFormat="false" ht="15.75" hidden="false" customHeight="true" outlineLevel="0" collapsed="false">
      <c r="A1185" s="108" t="s">
        <v>3450</v>
      </c>
      <c r="B1185" s="82"/>
      <c r="C1185" s="120" t="s">
        <v>3451</v>
      </c>
      <c r="D1185" s="121"/>
      <c r="E1185" s="108" t="s">
        <v>875</v>
      </c>
      <c r="F1185" s="114"/>
      <c r="G1185" s="120" t="s">
        <v>876</v>
      </c>
      <c r="H1185" s="82"/>
      <c r="I1185" s="111" t="n">
        <v>7997</v>
      </c>
      <c r="J1185" s="110"/>
      <c r="K1185" s="120" t="s">
        <v>3449</v>
      </c>
      <c r="L1185" s="110"/>
      <c r="M1185" s="121" t="n">
        <v>174</v>
      </c>
      <c r="N1185" s="82"/>
      <c r="O1185" s="108"/>
      <c r="P1185" s="108"/>
      <c r="Q1185" s="108"/>
      <c r="R1185" s="108"/>
      <c r="S1185" s="108"/>
      <c r="T1185" s="108"/>
      <c r="U1185" s="108"/>
      <c r="V1185" s="108"/>
      <c r="W1185" s="108"/>
      <c r="X1185" s="108"/>
      <c r="Y1185" s="108"/>
      <c r="Z1185" s="108"/>
      <c r="AA1185" s="108"/>
      <c r="AB1185" s="108"/>
      <c r="AC1185" s="108"/>
    </row>
    <row r="1186" customFormat="false" ht="15.75" hidden="false" customHeight="true" outlineLevel="0" collapsed="false">
      <c r="A1186" s="108" t="s">
        <v>3452</v>
      </c>
      <c r="B1186" s="82"/>
      <c r="C1186" s="120" t="s">
        <v>3453</v>
      </c>
      <c r="D1186" s="121"/>
      <c r="E1186" s="108" t="s">
        <v>875</v>
      </c>
      <c r="F1186" s="114"/>
      <c r="G1186" s="120" t="s">
        <v>2266</v>
      </c>
      <c r="H1186" s="82"/>
      <c r="I1186" s="111" t="n">
        <v>7999</v>
      </c>
      <c r="J1186" s="110"/>
      <c r="K1186" s="120" t="s">
        <v>3454</v>
      </c>
      <c r="L1186" s="110"/>
      <c r="M1186" s="121" t="n">
        <v>175</v>
      </c>
      <c r="N1186" s="82"/>
      <c r="O1186" s="108"/>
      <c r="P1186" s="108"/>
      <c r="Q1186" s="108"/>
      <c r="R1186" s="108"/>
      <c r="S1186" s="108"/>
      <c r="T1186" s="108"/>
      <c r="U1186" s="108"/>
      <c r="V1186" s="108"/>
      <c r="W1186" s="108"/>
      <c r="X1186" s="108"/>
      <c r="Y1186" s="108"/>
      <c r="Z1186" s="108"/>
      <c r="AA1186" s="108"/>
      <c r="AB1186" s="108"/>
      <c r="AC1186" s="108"/>
    </row>
    <row r="1187" customFormat="false" ht="15.75" hidden="false" customHeight="true" outlineLevel="0" collapsed="false">
      <c r="A1187" s="108" t="s">
        <v>3455</v>
      </c>
      <c r="B1187" s="82"/>
      <c r="C1187" s="120" t="s">
        <v>3456</v>
      </c>
      <c r="D1187" s="121"/>
      <c r="E1187" s="108" t="s">
        <v>875</v>
      </c>
      <c r="F1187" s="114"/>
      <c r="G1187" s="120" t="s">
        <v>876</v>
      </c>
      <c r="H1187" s="82"/>
      <c r="I1187" s="111" t="n">
        <v>7999</v>
      </c>
      <c r="J1187" s="110"/>
      <c r="K1187" s="120" t="s">
        <v>3454</v>
      </c>
      <c r="L1187" s="110"/>
      <c r="M1187" s="121" t="n">
        <v>175</v>
      </c>
      <c r="N1187" s="82"/>
      <c r="O1187" s="108"/>
      <c r="P1187" s="108"/>
      <c r="Q1187" s="108"/>
      <c r="R1187" s="108"/>
      <c r="S1187" s="108"/>
      <c r="T1187" s="108"/>
      <c r="U1187" s="108"/>
      <c r="V1187" s="108"/>
      <c r="W1187" s="108"/>
      <c r="X1187" s="108"/>
      <c r="Y1187" s="108"/>
      <c r="Z1187" s="108"/>
      <c r="AA1187" s="108"/>
      <c r="AB1187" s="108"/>
      <c r="AC1187" s="108"/>
    </row>
    <row r="1188" customFormat="false" ht="15.75" hidden="false" customHeight="true" outlineLevel="0" collapsed="false">
      <c r="A1188" s="108" t="s">
        <v>3457</v>
      </c>
      <c r="B1188" s="82"/>
      <c r="C1188" s="120" t="s">
        <v>3458</v>
      </c>
      <c r="D1188" s="121"/>
      <c r="E1188" s="108" t="s">
        <v>875</v>
      </c>
      <c r="F1188" s="114"/>
      <c r="G1188" s="120" t="s">
        <v>876</v>
      </c>
      <c r="H1188" s="82"/>
      <c r="I1188" s="111" t="n">
        <v>7999</v>
      </c>
      <c r="J1188" s="110"/>
      <c r="K1188" s="120" t="s">
        <v>3454</v>
      </c>
      <c r="L1188" s="110"/>
      <c r="M1188" s="121" t="n">
        <v>175</v>
      </c>
      <c r="N1188" s="82"/>
      <c r="O1188" s="108"/>
      <c r="P1188" s="108"/>
      <c r="Q1188" s="108"/>
      <c r="R1188" s="108"/>
      <c r="S1188" s="108"/>
      <c r="T1188" s="108"/>
      <c r="U1188" s="108"/>
      <c r="V1188" s="108"/>
      <c r="W1188" s="108"/>
      <c r="X1188" s="108"/>
      <c r="Y1188" s="108"/>
      <c r="Z1188" s="108"/>
      <c r="AA1188" s="108"/>
      <c r="AB1188" s="108"/>
      <c r="AC1188" s="108"/>
    </row>
    <row r="1189" customFormat="false" ht="15.75" hidden="false" customHeight="true" outlineLevel="0" collapsed="false">
      <c r="A1189" s="108" t="s">
        <v>3459</v>
      </c>
      <c r="B1189" s="82"/>
      <c r="C1189" s="120" t="s">
        <v>3460</v>
      </c>
      <c r="D1189" s="121"/>
      <c r="E1189" s="108" t="s">
        <v>875</v>
      </c>
      <c r="F1189" s="114"/>
      <c r="G1189" s="120" t="s">
        <v>876</v>
      </c>
      <c r="H1189" s="82"/>
      <c r="I1189" s="111" t="n">
        <v>7999</v>
      </c>
      <c r="J1189" s="110"/>
      <c r="K1189" s="120" t="s">
        <v>3454</v>
      </c>
      <c r="L1189" s="110"/>
      <c r="M1189" s="121" t="n">
        <v>175</v>
      </c>
      <c r="N1189" s="82"/>
      <c r="O1189" s="108"/>
      <c r="P1189" s="108"/>
      <c r="Q1189" s="108"/>
      <c r="R1189" s="108"/>
      <c r="S1189" s="108"/>
      <c r="T1189" s="108"/>
      <c r="U1189" s="108"/>
      <c r="V1189" s="108"/>
      <c r="W1189" s="108"/>
      <c r="X1189" s="108"/>
      <c r="Y1189" s="108"/>
      <c r="Z1189" s="108"/>
      <c r="AA1189" s="108"/>
      <c r="AB1189" s="108"/>
      <c r="AC1189" s="108"/>
    </row>
    <row r="1190" customFormat="false" ht="15.75" hidden="false" customHeight="true" outlineLevel="0" collapsed="false">
      <c r="A1190" s="108" t="s">
        <v>3461</v>
      </c>
      <c r="B1190" s="82"/>
      <c r="C1190" s="120" t="s">
        <v>3462</v>
      </c>
      <c r="D1190" s="121"/>
      <c r="E1190" s="108" t="s">
        <v>2579</v>
      </c>
      <c r="F1190" s="114"/>
      <c r="G1190" s="120" t="s">
        <v>2579</v>
      </c>
      <c r="H1190" s="82"/>
      <c r="I1190" s="111" t="n">
        <v>8299</v>
      </c>
      <c r="J1190" s="110"/>
      <c r="K1190" s="120" t="s">
        <v>3463</v>
      </c>
      <c r="L1190" s="110"/>
      <c r="M1190" s="121" t="n">
        <v>176</v>
      </c>
      <c r="N1190" s="82"/>
      <c r="O1190" s="108"/>
      <c r="P1190" s="108"/>
      <c r="Q1190" s="108"/>
      <c r="R1190" s="108"/>
      <c r="S1190" s="108"/>
      <c r="T1190" s="108"/>
      <c r="U1190" s="108"/>
      <c r="V1190" s="108"/>
      <c r="W1190" s="108"/>
      <c r="X1190" s="108"/>
      <c r="Y1190" s="108"/>
      <c r="Z1190" s="108"/>
      <c r="AA1190" s="108"/>
      <c r="AB1190" s="108"/>
      <c r="AC1190" s="108"/>
    </row>
    <row r="1191" customFormat="false" ht="15.75" hidden="false" customHeight="true" outlineLevel="0" collapsed="false">
      <c r="A1191" s="108" t="s">
        <v>3464</v>
      </c>
      <c r="B1191" s="82"/>
      <c r="C1191" s="120" t="s">
        <v>3465</v>
      </c>
      <c r="D1191" s="121"/>
      <c r="E1191" s="108" t="s">
        <v>2579</v>
      </c>
      <c r="F1191" s="114"/>
      <c r="G1191" s="120" t="s">
        <v>2579</v>
      </c>
      <c r="H1191" s="82"/>
      <c r="I1191" s="111" t="n">
        <v>8299</v>
      </c>
      <c r="J1191" s="110"/>
      <c r="K1191" s="120" t="s">
        <v>3463</v>
      </c>
      <c r="L1191" s="110"/>
      <c r="M1191" s="121" t="n">
        <v>176</v>
      </c>
      <c r="N1191" s="82"/>
      <c r="O1191" s="108"/>
      <c r="P1191" s="108"/>
      <c r="Q1191" s="108"/>
      <c r="R1191" s="108"/>
      <c r="S1191" s="108"/>
      <c r="T1191" s="108"/>
      <c r="U1191" s="108"/>
      <c r="V1191" s="108"/>
      <c r="W1191" s="108"/>
      <c r="X1191" s="108"/>
      <c r="Y1191" s="108"/>
      <c r="Z1191" s="108"/>
      <c r="AA1191" s="108"/>
      <c r="AB1191" s="108"/>
      <c r="AC1191" s="108"/>
    </row>
    <row r="1192" customFormat="false" ht="15.75" hidden="false" customHeight="true" outlineLevel="0" collapsed="false">
      <c r="A1192" s="108" t="s">
        <v>3466</v>
      </c>
      <c r="B1192" s="82"/>
      <c r="C1192" s="120" t="s">
        <v>3467</v>
      </c>
      <c r="D1192" s="121"/>
      <c r="E1192" s="108" t="s">
        <v>2579</v>
      </c>
      <c r="F1192" s="114"/>
      <c r="G1192" s="120" t="s">
        <v>2579</v>
      </c>
      <c r="H1192" s="82"/>
      <c r="I1192" s="111" t="n">
        <v>8299</v>
      </c>
      <c r="J1192" s="110"/>
      <c r="K1192" s="120" t="s">
        <v>3463</v>
      </c>
      <c r="L1192" s="110"/>
      <c r="M1192" s="121" t="n">
        <v>176</v>
      </c>
      <c r="N1192" s="82"/>
      <c r="O1192" s="108"/>
      <c r="P1192" s="108"/>
      <c r="Q1192" s="108"/>
      <c r="R1192" s="108"/>
      <c r="S1192" s="108"/>
      <c r="T1192" s="108"/>
      <c r="U1192" s="108"/>
      <c r="V1192" s="108"/>
      <c r="W1192" s="108"/>
      <c r="X1192" s="108"/>
      <c r="Y1192" s="108"/>
      <c r="Z1192" s="108"/>
      <c r="AA1192" s="108"/>
      <c r="AB1192" s="108"/>
      <c r="AC1192" s="108"/>
    </row>
    <row r="1193" customFormat="false" ht="15.75" hidden="false" customHeight="true" outlineLevel="0" collapsed="false">
      <c r="A1193" s="108" t="s">
        <v>3468</v>
      </c>
      <c r="B1193" s="82"/>
      <c r="C1193" s="120" t="s">
        <v>3469</v>
      </c>
      <c r="D1193" s="121"/>
      <c r="E1193" s="108" t="s">
        <v>2579</v>
      </c>
      <c r="F1193" s="114"/>
      <c r="G1193" s="120" t="s">
        <v>2579</v>
      </c>
      <c r="H1193" s="82"/>
      <c r="I1193" s="111" t="n">
        <v>8299</v>
      </c>
      <c r="J1193" s="110"/>
      <c r="K1193" s="120" t="s">
        <v>3463</v>
      </c>
      <c r="L1193" s="110"/>
      <c r="M1193" s="121" t="n">
        <v>176</v>
      </c>
      <c r="N1193" s="82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</row>
    <row r="1194" customFormat="false" ht="15.75" hidden="false" customHeight="true" outlineLevel="0" collapsed="false">
      <c r="A1194" s="108" t="s">
        <v>3470</v>
      </c>
      <c r="B1194" s="82"/>
      <c r="C1194" s="120" t="s">
        <v>3471</v>
      </c>
      <c r="D1194" s="121"/>
      <c r="E1194" s="108" t="s">
        <v>2579</v>
      </c>
      <c r="F1194" s="114"/>
      <c r="G1194" s="120" t="s">
        <v>2579</v>
      </c>
      <c r="H1194" s="82"/>
      <c r="I1194" s="111" t="n">
        <v>8299</v>
      </c>
      <c r="J1194" s="110"/>
      <c r="K1194" s="120" t="s">
        <v>3463</v>
      </c>
      <c r="L1194" s="110"/>
      <c r="M1194" s="121" t="n">
        <v>176</v>
      </c>
      <c r="N1194" s="82"/>
      <c r="O1194" s="108"/>
      <c r="P1194" s="108"/>
      <c r="Q1194" s="108"/>
      <c r="R1194" s="108"/>
      <c r="S1194" s="108"/>
      <c r="T1194" s="108"/>
      <c r="U1194" s="108"/>
      <c r="V1194" s="108"/>
      <c r="W1194" s="108"/>
      <c r="X1194" s="108"/>
      <c r="Y1194" s="108"/>
      <c r="Z1194" s="108"/>
      <c r="AA1194" s="108"/>
      <c r="AB1194" s="108"/>
      <c r="AC1194" s="108"/>
    </row>
    <row r="1195" customFormat="false" ht="15.75" hidden="false" customHeight="true" outlineLevel="0" collapsed="false">
      <c r="A1195" s="108" t="s">
        <v>3472</v>
      </c>
      <c r="B1195" s="82"/>
      <c r="C1195" s="120" t="s">
        <v>3473</v>
      </c>
      <c r="D1195" s="121"/>
      <c r="E1195" s="108" t="s">
        <v>2579</v>
      </c>
      <c r="F1195" s="114"/>
      <c r="G1195" s="120" t="s">
        <v>2579</v>
      </c>
      <c r="H1195" s="82"/>
      <c r="I1195" s="111" t="n">
        <v>8299</v>
      </c>
      <c r="J1195" s="110"/>
      <c r="K1195" s="120" t="s">
        <v>3463</v>
      </c>
      <c r="L1195" s="110"/>
      <c r="M1195" s="121" t="n">
        <v>176</v>
      </c>
      <c r="N1195" s="82"/>
      <c r="O1195" s="108"/>
      <c r="P1195" s="108"/>
      <c r="Q1195" s="108"/>
      <c r="R1195" s="108"/>
      <c r="S1195" s="108"/>
      <c r="T1195" s="108"/>
      <c r="U1195" s="108"/>
      <c r="V1195" s="108"/>
      <c r="W1195" s="108"/>
      <c r="X1195" s="108"/>
      <c r="Y1195" s="108"/>
      <c r="Z1195" s="108"/>
      <c r="AA1195" s="108"/>
      <c r="AB1195" s="108"/>
      <c r="AC1195" s="108"/>
    </row>
    <row r="1196" customFormat="false" ht="15.75" hidden="false" customHeight="true" outlineLevel="0" collapsed="false">
      <c r="A1196" s="108" t="s">
        <v>3474</v>
      </c>
      <c r="B1196" s="82"/>
      <c r="C1196" s="120" t="s">
        <v>3475</v>
      </c>
      <c r="D1196" s="121"/>
      <c r="E1196" s="108" t="s">
        <v>2579</v>
      </c>
      <c r="F1196" s="114"/>
      <c r="G1196" s="120" t="s">
        <v>2579</v>
      </c>
      <c r="H1196" s="82"/>
      <c r="I1196" s="111" t="n">
        <v>8299</v>
      </c>
      <c r="J1196" s="110"/>
      <c r="K1196" s="120" t="s">
        <v>3463</v>
      </c>
      <c r="L1196" s="110"/>
      <c r="M1196" s="121" t="n">
        <v>176</v>
      </c>
      <c r="N1196" s="82"/>
      <c r="O1196" s="108"/>
      <c r="P1196" s="108"/>
      <c r="Q1196" s="108"/>
      <c r="R1196" s="108"/>
      <c r="S1196" s="108"/>
      <c r="T1196" s="108"/>
      <c r="U1196" s="108"/>
      <c r="V1196" s="108"/>
      <c r="W1196" s="108"/>
      <c r="X1196" s="108"/>
      <c r="Y1196" s="108"/>
      <c r="Z1196" s="108"/>
      <c r="AA1196" s="108"/>
      <c r="AB1196" s="108"/>
      <c r="AC1196" s="108"/>
    </row>
    <row r="1197" customFormat="false" ht="15.75" hidden="false" customHeight="true" outlineLevel="0" collapsed="false">
      <c r="A1197" s="108" t="s">
        <v>3476</v>
      </c>
      <c r="B1197" s="82"/>
      <c r="C1197" s="120" t="s">
        <v>3477</v>
      </c>
      <c r="D1197" s="121"/>
      <c r="E1197" s="108" t="s">
        <v>2579</v>
      </c>
      <c r="F1197" s="114"/>
      <c r="G1197" s="120" t="s">
        <v>2579</v>
      </c>
      <c r="H1197" s="82"/>
      <c r="I1197" s="111" t="n">
        <v>8299</v>
      </c>
      <c r="J1197" s="110"/>
      <c r="K1197" s="120" t="s">
        <v>3463</v>
      </c>
      <c r="L1197" s="110"/>
      <c r="M1197" s="121" t="n">
        <v>176</v>
      </c>
      <c r="N1197" s="82"/>
      <c r="O1197" s="108"/>
      <c r="P1197" s="108"/>
      <c r="Q1197" s="108"/>
      <c r="R1197" s="108"/>
      <c r="S1197" s="108"/>
      <c r="T1197" s="108"/>
      <c r="U1197" s="108"/>
      <c r="V1197" s="108"/>
      <c r="W1197" s="108"/>
      <c r="X1197" s="108"/>
      <c r="Y1197" s="108"/>
      <c r="Z1197" s="108"/>
      <c r="AA1197" s="108"/>
      <c r="AB1197" s="108"/>
      <c r="AC1197" s="108"/>
    </row>
    <row r="1198" customFormat="false" ht="15.75" hidden="false" customHeight="true" outlineLevel="0" collapsed="false">
      <c r="A1198" s="108" t="s">
        <v>3478</v>
      </c>
      <c r="B1198" s="82"/>
      <c r="C1198" s="120" t="s">
        <v>3479</v>
      </c>
      <c r="D1198" s="121"/>
      <c r="E1198" s="108" t="s">
        <v>2579</v>
      </c>
      <c r="F1198" s="114"/>
      <c r="G1198" s="120" t="s">
        <v>2579</v>
      </c>
      <c r="H1198" s="82"/>
      <c r="I1198" s="111" t="n">
        <v>8299</v>
      </c>
      <c r="J1198" s="110"/>
      <c r="K1198" s="120" t="s">
        <v>3463</v>
      </c>
      <c r="L1198" s="110"/>
      <c r="M1198" s="121" t="n">
        <v>176</v>
      </c>
      <c r="N1198" s="82"/>
      <c r="O1198" s="108"/>
      <c r="P1198" s="108"/>
      <c r="Q1198" s="108"/>
      <c r="R1198" s="108"/>
      <c r="S1198" s="108"/>
      <c r="T1198" s="108"/>
      <c r="U1198" s="108"/>
      <c r="V1198" s="108"/>
      <c r="W1198" s="108"/>
      <c r="X1198" s="108"/>
      <c r="Y1198" s="108"/>
      <c r="Z1198" s="108"/>
      <c r="AA1198" s="108"/>
      <c r="AB1198" s="108"/>
      <c r="AC1198" s="108"/>
    </row>
    <row r="1199" customFormat="false" ht="15.75" hidden="false" customHeight="true" outlineLevel="0" collapsed="false">
      <c r="A1199" s="108" t="s">
        <v>3480</v>
      </c>
      <c r="B1199" s="82"/>
      <c r="C1199" s="120" t="s">
        <v>3481</v>
      </c>
      <c r="D1199" s="121"/>
      <c r="E1199" s="108" t="s">
        <v>2579</v>
      </c>
      <c r="F1199" s="114"/>
      <c r="G1199" s="120" t="s">
        <v>2579</v>
      </c>
      <c r="H1199" s="82"/>
      <c r="I1199" s="111" t="n">
        <v>8299</v>
      </c>
      <c r="J1199" s="110"/>
      <c r="K1199" s="120" t="s">
        <v>3463</v>
      </c>
      <c r="L1199" s="110"/>
      <c r="M1199" s="121" t="n">
        <v>176</v>
      </c>
      <c r="N1199" s="82"/>
      <c r="O1199" s="108"/>
      <c r="P1199" s="108"/>
      <c r="Q1199" s="108"/>
      <c r="R1199" s="108"/>
      <c r="S1199" s="108"/>
      <c r="T1199" s="108"/>
      <c r="U1199" s="108"/>
      <c r="V1199" s="108"/>
      <c r="W1199" s="108"/>
      <c r="X1199" s="108"/>
      <c r="Y1199" s="108"/>
      <c r="Z1199" s="108"/>
      <c r="AA1199" s="108"/>
      <c r="AB1199" s="108"/>
      <c r="AC1199" s="108"/>
    </row>
    <row r="1200" customFormat="false" ht="15.75" hidden="false" customHeight="true" outlineLevel="0" collapsed="false">
      <c r="A1200" s="108" t="s">
        <v>3482</v>
      </c>
      <c r="B1200" s="82"/>
      <c r="C1200" s="120" t="s">
        <v>3483</v>
      </c>
      <c r="D1200" s="121"/>
      <c r="E1200" s="108" t="s">
        <v>2313</v>
      </c>
      <c r="F1200" s="114"/>
      <c r="G1200" s="120" t="s">
        <v>2687</v>
      </c>
      <c r="H1200" s="82"/>
      <c r="I1200" s="111" t="n">
        <v>8641</v>
      </c>
      <c r="J1200" s="110"/>
      <c r="K1200" s="120" t="s">
        <v>3484</v>
      </c>
      <c r="L1200" s="110"/>
      <c r="M1200" s="121" t="n">
        <v>177</v>
      </c>
      <c r="N1200" s="82"/>
      <c r="O1200" s="108"/>
      <c r="P1200" s="108"/>
      <c r="Q1200" s="108"/>
      <c r="R1200" s="108"/>
      <c r="S1200" s="108"/>
      <c r="T1200" s="108"/>
      <c r="U1200" s="108"/>
      <c r="V1200" s="108"/>
      <c r="W1200" s="108"/>
      <c r="X1200" s="108"/>
      <c r="Y1200" s="108"/>
      <c r="Z1200" s="108"/>
      <c r="AA1200" s="108"/>
      <c r="AB1200" s="108"/>
      <c r="AC1200" s="108"/>
    </row>
    <row r="1201" customFormat="false" ht="15.75" hidden="false" customHeight="true" outlineLevel="0" collapsed="false">
      <c r="A1201" s="108" t="s">
        <v>3485</v>
      </c>
      <c r="B1201" s="82"/>
      <c r="C1201" s="120" t="s">
        <v>3486</v>
      </c>
      <c r="D1201" s="121"/>
      <c r="E1201" s="108" t="s">
        <v>2313</v>
      </c>
      <c r="F1201" s="114"/>
      <c r="G1201" s="120" t="s">
        <v>2687</v>
      </c>
      <c r="H1201" s="82"/>
      <c r="I1201" s="111" t="n">
        <v>8699</v>
      </c>
      <c r="J1201" s="110"/>
      <c r="K1201" s="120" t="s">
        <v>3487</v>
      </c>
      <c r="L1201" s="110"/>
      <c r="M1201" s="121" t="n">
        <v>178</v>
      </c>
      <c r="N1201" s="82"/>
      <c r="O1201" s="108"/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/>
      <c r="AB1201" s="108"/>
      <c r="AC1201" s="108"/>
    </row>
    <row r="1202" customFormat="false" ht="15.75" hidden="false" customHeight="true" outlineLevel="0" collapsed="false">
      <c r="A1202" s="108" t="s">
        <v>3488</v>
      </c>
      <c r="B1202" s="82"/>
      <c r="C1202" s="120" t="s">
        <v>3489</v>
      </c>
      <c r="D1202" s="121"/>
      <c r="E1202" s="108" t="s">
        <v>2313</v>
      </c>
      <c r="F1202" s="114"/>
      <c r="G1202" s="120" t="s">
        <v>2687</v>
      </c>
      <c r="H1202" s="82"/>
      <c r="I1202" s="111" t="n">
        <v>8699</v>
      </c>
      <c r="J1202" s="110"/>
      <c r="K1202" s="120" t="s">
        <v>3487</v>
      </c>
      <c r="L1202" s="110"/>
      <c r="M1202" s="121" t="n">
        <v>178</v>
      </c>
      <c r="N1202" s="82"/>
      <c r="O1202" s="108"/>
      <c r="P1202" s="108"/>
      <c r="Q1202" s="108"/>
      <c r="R1202" s="108"/>
      <c r="S1202" s="108"/>
      <c r="T1202" s="108"/>
      <c r="U1202" s="108"/>
      <c r="V1202" s="108"/>
      <c r="W1202" s="108"/>
      <c r="X1202" s="108"/>
      <c r="Y1202" s="108"/>
      <c r="Z1202" s="108"/>
      <c r="AA1202" s="108"/>
      <c r="AB1202" s="108"/>
      <c r="AC1202" s="108"/>
    </row>
    <row r="1203" customFormat="false" ht="15.75" hidden="false" customHeight="true" outlineLevel="0" collapsed="false">
      <c r="A1203" s="108" t="s">
        <v>3490</v>
      </c>
      <c r="B1203" s="82"/>
      <c r="C1203" s="120" t="s">
        <v>3491</v>
      </c>
      <c r="D1203" s="121"/>
      <c r="E1203" s="108" t="s">
        <v>2313</v>
      </c>
      <c r="F1203" s="114"/>
      <c r="G1203" s="120" t="s">
        <v>2687</v>
      </c>
      <c r="H1203" s="82"/>
      <c r="I1203" s="111" t="n">
        <v>8699</v>
      </c>
      <c r="J1203" s="110"/>
      <c r="K1203" s="120" t="s">
        <v>3487</v>
      </c>
      <c r="L1203" s="110"/>
      <c r="M1203" s="121" t="n">
        <v>178</v>
      </c>
      <c r="N1203" s="82"/>
      <c r="O1203" s="108"/>
      <c r="P1203" s="108"/>
      <c r="Q1203" s="108"/>
      <c r="R1203" s="108"/>
      <c r="S1203" s="108"/>
      <c r="T1203" s="108"/>
      <c r="U1203" s="108"/>
      <c r="V1203" s="108"/>
      <c r="W1203" s="108"/>
      <c r="X1203" s="108"/>
      <c r="Y1203" s="108"/>
      <c r="Z1203" s="108"/>
      <c r="AA1203" s="108"/>
      <c r="AB1203" s="108"/>
      <c r="AC1203" s="108"/>
    </row>
    <row r="1204" customFormat="false" ht="15.75" hidden="false" customHeight="true" outlineLevel="0" collapsed="false">
      <c r="A1204" s="108" t="s">
        <v>3492</v>
      </c>
      <c r="B1204" s="82"/>
      <c r="C1204" s="120" t="s">
        <v>3493</v>
      </c>
      <c r="D1204" s="121"/>
      <c r="E1204" s="108" t="s">
        <v>2313</v>
      </c>
      <c r="F1204" s="114"/>
      <c r="G1204" s="120" t="s">
        <v>2687</v>
      </c>
      <c r="H1204" s="82"/>
      <c r="I1204" s="111" t="n">
        <v>8699</v>
      </c>
      <c r="J1204" s="110"/>
      <c r="K1204" s="120" t="s">
        <v>3487</v>
      </c>
      <c r="L1204" s="110"/>
      <c r="M1204" s="121" t="n">
        <v>178</v>
      </c>
      <c r="N1204" s="82"/>
      <c r="O1204" s="108"/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/>
      <c r="AB1204" s="108"/>
      <c r="AC1204" s="108"/>
    </row>
    <row r="1205" customFormat="false" ht="15.75" hidden="false" customHeight="true" outlineLevel="0" collapsed="false">
      <c r="A1205" s="108" t="s">
        <v>3494</v>
      </c>
      <c r="B1205" s="82"/>
      <c r="C1205" s="120" t="s">
        <v>3495</v>
      </c>
      <c r="D1205" s="121"/>
      <c r="E1205" s="108" t="s">
        <v>2313</v>
      </c>
      <c r="F1205" s="114"/>
      <c r="G1205" s="120" t="s">
        <v>2687</v>
      </c>
      <c r="H1205" s="82"/>
      <c r="I1205" s="111" t="n">
        <v>8699</v>
      </c>
      <c r="J1205" s="110"/>
      <c r="K1205" s="120" t="s">
        <v>3487</v>
      </c>
      <c r="L1205" s="110"/>
      <c r="M1205" s="121" t="n">
        <v>178</v>
      </c>
      <c r="N1205" s="82"/>
      <c r="O1205" s="108"/>
      <c r="P1205" s="108"/>
      <c r="Q1205" s="108"/>
      <c r="R1205" s="108"/>
      <c r="S1205" s="108"/>
      <c r="T1205" s="108"/>
      <c r="U1205" s="108"/>
      <c r="V1205" s="108"/>
      <c r="W1205" s="108"/>
      <c r="X1205" s="108"/>
      <c r="Y1205" s="108"/>
      <c r="Z1205" s="108"/>
      <c r="AA1205" s="108"/>
      <c r="AB1205" s="108"/>
      <c r="AC1205" s="108"/>
    </row>
    <row r="1206" customFormat="false" ht="15.75" hidden="false" customHeight="true" outlineLevel="0" collapsed="false">
      <c r="A1206" s="108" t="s">
        <v>3496</v>
      </c>
      <c r="B1206" s="82"/>
      <c r="C1206" s="120" t="s">
        <v>3497</v>
      </c>
      <c r="D1206" s="121"/>
      <c r="E1206" s="108" t="s">
        <v>818</v>
      </c>
      <c r="F1206" s="114"/>
      <c r="G1206" s="120" t="s">
        <v>818</v>
      </c>
      <c r="H1206" s="82"/>
      <c r="I1206" s="111" t="n">
        <v>8699</v>
      </c>
      <c r="J1206" s="110"/>
      <c r="K1206" s="120" t="s">
        <v>3487</v>
      </c>
      <c r="L1206" s="110"/>
      <c r="M1206" s="121" t="n">
        <v>178</v>
      </c>
      <c r="N1206" s="82"/>
      <c r="O1206" s="108"/>
      <c r="P1206" s="108"/>
      <c r="Q1206" s="108"/>
      <c r="R1206" s="108"/>
      <c r="S1206" s="108"/>
      <c r="T1206" s="108"/>
      <c r="U1206" s="108"/>
      <c r="V1206" s="108"/>
      <c r="W1206" s="108"/>
      <c r="X1206" s="108"/>
      <c r="Y1206" s="108"/>
      <c r="Z1206" s="108"/>
      <c r="AA1206" s="108"/>
      <c r="AB1206" s="108"/>
      <c r="AC1206" s="108"/>
    </row>
    <row r="1207" customFormat="false" ht="15.75" hidden="false" customHeight="true" outlineLevel="0" collapsed="false">
      <c r="A1207" s="108" t="s">
        <v>3498</v>
      </c>
      <c r="B1207" s="82"/>
      <c r="C1207" s="120" t="s">
        <v>3499</v>
      </c>
      <c r="D1207" s="121"/>
      <c r="E1207" s="108" t="s">
        <v>821</v>
      </c>
      <c r="F1207" s="114"/>
      <c r="G1207" s="120" t="s">
        <v>822</v>
      </c>
      <c r="H1207" s="82"/>
      <c r="I1207" s="111" t="n">
        <v>5251</v>
      </c>
      <c r="J1207" s="110"/>
      <c r="K1207" s="120" t="s">
        <v>3500</v>
      </c>
      <c r="L1207" s="110"/>
      <c r="M1207" s="112" t="n">
        <v>179</v>
      </c>
      <c r="N1207" s="82"/>
      <c r="O1207" s="108"/>
      <c r="P1207" s="108"/>
      <c r="Q1207" s="108"/>
      <c r="R1207" s="108"/>
      <c r="S1207" s="108"/>
      <c r="T1207" s="108"/>
      <c r="U1207" s="108"/>
      <c r="V1207" s="108"/>
      <c r="W1207" s="108"/>
      <c r="X1207" s="108"/>
      <c r="Y1207" s="108"/>
      <c r="Z1207" s="108"/>
      <c r="AA1207" s="108"/>
      <c r="AB1207" s="108"/>
      <c r="AC1207" s="108"/>
    </row>
    <row r="1208" customFormat="false" ht="15.75" hidden="false" customHeight="true" outlineLevel="0" collapsed="false">
      <c r="A1208" s="108" t="s">
        <v>3501</v>
      </c>
      <c r="B1208" s="82"/>
      <c r="C1208" s="120" t="s">
        <v>3502</v>
      </c>
      <c r="D1208" s="121"/>
      <c r="E1208" s="108" t="s">
        <v>821</v>
      </c>
      <c r="F1208" s="114"/>
      <c r="G1208" s="120" t="s">
        <v>822</v>
      </c>
      <c r="H1208" s="82"/>
      <c r="I1208" s="111" t="n">
        <v>5943</v>
      </c>
      <c r="J1208" s="110"/>
      <c r="K1208" s="120" t="s">
        <v>3503</v>
      </c>
      <c r="L1208" s="110"/>
      <c r="M1208" s="112" t="n">
        <v>180</v>
      </c>
      <c r="N1208" s="82"/>
      <c r="O1208" s="108"/>
      <c r="P1208" s="108"/>
      <c r="Q1208" s="108"/>
      <c r="R1208" s="108"/>
      <c r="S1208" s="108"/>
      <c r="T1208" s="108"/>
      <c r="U1208" s="108"/>
      <c r="V1208" s="108"/>
      <c r="W1208" s="108"/>
      <c r="X1208" s="108"/>
      <c r="Y1208" s="108"/>
      <c r="Z1208" s="108"/>
      <c r="AA1208" s="108"/>
      <c r="AB1208" s="108"/>
      <c r="AC1208" s="108"/>
    </row>
    <row r="1209" customFormat="false" ht="15.75" hidden="false" customHeight="true" outlineLevel="0" collapsed="false">
      <c r="A1209" s="108" t="s">
        <v>3504</v>
      </c>
      <c r="B1209" s="82"/>
      <c r="C1209" s="120" t="s">
        <v>3505</v>
      </c>
      <c r="D1209" s="121"/>
      <c r="E1209" s="108" t="s">
        <v>821</v>
      </c>
      <c r="F1209" s="114"/>
      <c r="G1209" s="120" t="s">
        <v>822</v>
      </c>
      <c r="H1209" s="82"/>
      <c r="I1209" s="111" t="n">
        <v>5943</v>
      </c>
      <c r="J1209" s="110"/>
      <c r="K1209" s="120" t="s">
        <v>3506</v>
      </c>
      <c r="L1209" s="110"/>
      <c r="M1209" s="112" t="n">
        <v>180</v>
      </c>
      <c r="N1209" s="82"/>
      <c r="O1209" s="108"/>
      <c r="P1209" s="108"/>
      <c r="Q1209" s="108"/>
      <c r="R1209" s="108"/>
      <c r="S1209" s="108"/>
      <c r="T1209" s="108"/>
      <c r="U1209" s="108"/>
      <c r="V1209" s="108"/>
      <c r="W1209" s="108"/>
      <c r="X1209" s="108"/>
      <c r="Y1209" s="108"/>
      <c r="Z1209" s="108"/>
      <c r="AA1209" s="108"/>
      <c r="AB1209" s="108"/>
      <c r="AC1209" s="108"/>
    </row>
    <row r="1210" customFormat="false" ht="15.75" hidden="false" customHeight="true" outlineLevel="0" collapsed="false">
      <c r="A1210" s="108" t="s">
        <v>3507</v>
      </c>
      <c r="B1210" s="82"/>
      <c r="C1210" s="120" t="s">
        <v>3508</v>
      </c>
      <c r="D1210" s="121"/>
      <c r="E1210" s="108" t="s">
        <v>2313</v>
      </c>
      <c r="F1210" s="114"/>
      <c r="G1210" s="120" t="s">
        <v>2314</v>
      </c>
      <c r="H1210" s="82"/>
      <c r="I1210" s="111" t="n">
        <v>7298</v>
      </c>
      <c r="J1210" s="110"/>
      <c r="K1210" s="120" t="s">
        <v>3509</v>
      </c>
      <c r="L1210" s="110"/>
      <c r="M1210" s="112" t="n">
        <v>181</v>
      </c>
      <c r="N1210" s="82"/>
      <c r="O1210" s="108"/>
      <c r="P1210" s="108"/>
      <c r="Q1210" s="108"/>
      <c r="R1210" s="108"/>
      <c r="S1210" s="108"/>
      <c r="T1210" s="108"/>
      <c r="U1210" s="108"/>
      <c r="V1210" s="108"/>
      <c r="W1210" s="108"/>
      <c r="X1210" s="108"/>
      <c r="Y1210" s="108"/>
      <c r="Z1210" s="108"/>
      <c r="AA1210" s="108"/>
      <c r="AB1210" s="108"/>
      <c r="AC1210" s="108"/>
    </row>
    <row r="1211" customFormat="false" ht="15.75" hidden="false" customHeight="true" outlineLevel="0" collapsed="false">
      <c r="A1211" s="108" t="s">
        <v>3510</v>
      </c>
      <c r="B1211" s="82"/>
      <c r="C1211" s="120" t="s">
        <v>3511</v>
      </c>
      <c r="D1211" s="121"/>
      <c r="E1211" s="108" t="s">
        <v>818</v>
      </c>
      <c r="F1211" s="114"/>
      <c r="G1211" s="120" t="s">
        <v>818</v>
      </c>
      <c r="H1211" s="82"/>
      <c r="I1211" s="111" t="n">
        <v>7298</v>
      </c>
      <c r="J1211" s="110"/>
      <c r="K1211" s="120" t="s">
        <v>3509</v>
      </c>
      <c r="L1211" s="110"/>
      <c r="M1211" s="112" t="n">
        <v>181</v>
      </c>
      <c r="N1211" s="82"/>
      <c r="O1211" s="108"/>
      <c r="P1211" s="108"/>
      <c r="Q1211" s="108"/>
      <c r="R1211" s="108"/>
      <c r="S1211" s="108"/>
      <c r="T1211" s="108"/>
      <c r="U1211" s="108"/>
      <c r="V1211" s="108"/>
      <c r="W1211" s="108"/>
      <c r="X1211" s="108"/>
      <c r="Y1211" s="108"/>
      <c r="Z1211" s="108"/>
      <c r="AA1211" s="108"/>
      <c r="AB1211" s="108"/>
      <c r="AC1211" s="108"/>
    </row>
    <row r="1212" customFormat="false" ht="15.75" hidden="false" customHeight="true" outlineLevel="0" collapsed="false">
      <c r="A1212" s="108" t="s">
        <v>3512</v>
      </c>
      <c r="B1212" s="82"/>
      <c r="C1212" s="120" t="s">
        <v>3513</v>
      </c>
      <c r="D1212" s="121"/>
      <c r="E1212" s="108" t="s">
        <v>821</v>
      </c>
      <c r="F1212" s="114"/>
      <c r="G1212" s="120" t="s">
        <v>995</v>
      </c>
      <c r="H1212" s="82"/>
      <c r="I1212" s="111" t="n">
        <v>7542</v>
      </c>
      <c r="J1212" s="110"/>
      <c r="K1212" s="120" t="s">
        <v>3514</v>
      </c>
      <c r="L1212" s="110"/>
      <c r="M1212" s="121" t="n">
        <v>182</v>
      </c>
      <c r="N1212" s="82"/>
      <c r="O1212" s="108"/>
      <c r="P1212" s="108"/>
      <c r="Q1212" s="108"/>
      <c r="R1212" s="108"/>
      <c r="S1212" s="108"/>
      <c r="T1212" s="108"/>
      <c r="U1212" s="108"/>
      <c r="V1212" s="108"/>
      <c r="W1212" s="108"/>
      <c r="X1212" s="108"/>
      <c r="Y1212" s="108"/>
      <c r="Z1212" s="108"/>
      <c r="AA1212" s="108"/>
      <c r="AB1212" s="108"/>
      <c r="AC1212" s="108"/>
    </row>
    <row r="1213" customFormat="false" ht="15.75" hidden="false" customHeight="true" outlineLevel="0" collapsed="false">
      <c r="A1213" s="108" t="s">
        <v>3515</v>
      </c>
      <c r="B1213" s="82"/>
      <c r="C1213" s="120" t="s">
        <v>3516</v>
      </c>
      <c r="D1213" s="121"/>
      <c r="E1213" s="108" t="s">
        <v>1518</v>
      </c>
      <c r="F1213" s="114"/>
      <c r="G1213" s="120" t="s">
        <v>1519</v>
      </c>
      <c r="H1213" s="82"/>
      <c r="I1213" s="111" t="n">
        <v>1750</v>
      </c>
      <c r="J1213" s="110"/>
      <c r="K1213" s="120" t="s">
        <v>3517</v>
      </c>
      <c r="L1213" s="110"/>
      <c r="M1213" s="112" t="n">
        <v>183</v>
      </c>
      <c r="N1213" s="82"/>
      <c r="O1213" s="108"/>
      <c r="P1213" s="108"/>
      <c r="Q1213" s="108"/>
      <c r="R1213" s="108"/>
      <c r="S1213" s="108"/>
      <c r="T1213" s="108"/>
      <c r="U1213" s="108"/>
      <c r="V1213" s="108"/>
      <c r="W1213" s="108"/>
      <c r="X1213" s="108"/>
      <c r="Y1213" s="108"/>
      <c r="Z1213" s="108"/>
      <c r="AA1213" s="108"/>
      <c r="AB1213" s="108"/>
      <c r="AC1213" s="108"/>
    </row>
    <row r="1214" customFormat="false" ht="15.75" hidden="false" customHeight="true" outlineLevel="0" collapsed="false">
      <c r="A1214" s="108" t="s">
        <v>3518</v>
      </c>
      <c r="B1214" s="82"/>
      <c r="C1214" s="120" t="s">
        <v>3519</v>
      </c>
      <c r="D1214" s="121"/>
      <c r="E1214" s="108" t="s">
        <v>1518</v>
      </c>
      <c r="F1214" s="114"/>
      <c r="G1214" s="120" t="s">
        <v>1519</v>
      </c>
      <c r="H1214" s="82"/>
      <c r="I1214" s="111" t="n">
        <v>1761</v>
      </c>
      <c r="J1214" s="110"/>
      <c r="K1214" s="120" t="s">
        <v>3520</v>
      </c>
      <c r="L1214" s="110"/>
      <c r="M1214" s="112" t="n">
        <v>184</v>
      </c>
      <c r="N1214" s="82"/>
      <c r="O1214" s="108"/>
      <c r="P1214" s="108"/>
      <c r="Q1214" s="108"/>
      <c r="R1214" s="108"/>
      <c r="S1214" s="108"/>
      <c r="T1214" s="108"/>
      <c r="U1214" s="108"/>
      <c r="V1214" s="108"/>
      <c r="W1214" s="108"/>
      <c r="X1214" s="108"/>
      <c r="Y1214" s="108"/>
      <c r="Z1214" s="108"/>
      <c r="AA1214" s="108"/>
      <c r="AB1214" s="108"/>
      <c r="AC1214" s="108"/>
    </row>
    <row r="1215" customFormat="false" ht="15.75" hidden="false" customHeight="true" outlineLevel="0" collapsed="false">
      <c r="A1215" s="108" t="s">
        <v>3521</v>
      </c>
      <c r="B1215" s="82"/>
      <c r="C1215" s="120" t="s">
        <v>3522</v>
      </c>
      <c r="D1215" s="121"/>
      <c r="E1215" s="108" t="s">
        <v>821</v>
      </c>
      <c r="F1215" s="114"/>
      <c r="G1215" s="120" t="s">
        <v>830</v>
      </c>
      <c r="H1215" s="82"/>
      <c r="I1215" s="111" t="n">
        <v>5399</v>
      </c>
      <c r="J1215" s="110"/>
      <c r="K1215" s="120" t="s">
        <v>3523</v>
      </c>
      <c r="L1215" s="110"/>
      <c r="M1215" s="112" t="n">
        <v>185</v>
      </c>
      <c r="N1215" s="82"/>
      <c r="O1215" s="108"/>
      <c r="P1215" s="108"/>
      <c r="Q1215" s="108"/>
      <c r="R1215" s="108"/>
      <c r="S1215" s="108"/>
      <c r="T1215" s="108"/>
      <c r="U1215" s="108"/>
      <c r="V1215" s="108"/>
      <c r="W1215" s="108"/>
      <c r="X1215" s="108"/>
      <c r="Y1215" s="108"/>
      <c r="Z1215" s="108"/>
      <c r="AA1215" s="108"/>
      <c r="AB1215" s="108"/>
      <c r="AC1215" s="108"/>
    </row>
    <row r="1216" customFormat="false" ht="15.75" hidden="false" customHeight="true" outlineLevel="0" collapsed="false">
      <c r="A1216" s="108" t="s">
        <v>3524</v>
      </c>
      <c r="B1216" s="82"/>
      <c r="C1216" s="120" t="s">
        <v>3525</v>
      </c>
      <c r="D1216" s="121"/>
      <c r="E1216" s="108" t="s">
        <v>821</v>
      </c>
      <c r="F1216" s="114"/>
      <c r="G1216" s="120" t="s">
        <v>822</v>
      </c>
      <c r="H1216" s="82"/>
      <c r="I1216" s="111" t="n">
        <v>5451</v>
      </c>
      <c r="J1216" s="110"/>
      <c r="K1216" s="120" t="s">
        <v>3526</v>
      </c>
      <c r="L1216" s="110"/>
      <c r="M1216" s="112" t="n">
        <v>186</v>
      </c>
      <c r="N1216" s="82"/>
      <c r="O1216" s="108"/>
      <c r="P1216" s="108"/>
      <c r="Q1216" s="108"/>
      <c r="R1216" s="108"/>
      <c r="S1216" s="108"/>
      <c r="T1216" s="108"/>
      <c r="U1216" s="108"/>
      <c r="V1216" s="108"/>
      <c r="W1216" s="108"/>
      <c r="X1216" s="108"/>
      <c r="Y1216" s="108"/>
      <c r="Z1216" s="108"/>
      <c r="AA1216" s="108"/>
      <c r="AB1216" s="108"/>
      <c r="AC1216" s="108"/>
    </row>
    <row r="1217" customFormat="false" ht="15.75" hidden="false" customHeight="true" outlineLevel="0" collapsed="false">
      <c r="A1217" s="108" t="s">
        <v>3527</v>
      </c>
      <c r="B1217" s="82"/>
      <c r="C1217" s="120" t="s">
        <v>3528</v>
      </c>
      <c r="D1217" s="121"/>
      <c r="E1217" s="108" t="s">
        <v>821</v>
      </c>
      <c r="F1217" s="114"/>
      <c r="G1217" s="120" t="s">
        <v>995</v>
      </c>
      <c r="H1217" s="82"/>
      <c r="I1217" s="111" t="n">
        <v>5521</v>
      </c>
      <c r="J1217" s="110"/>
      <c r="K1217" s="120" t="s">
        <v>3529</v>
      </c>
      <c r="L1217" s="110"/>
      <c r="M1217" s="112" t="n">
        <v>187</v>
      </c>
      <c r="N1217" s="82"/>
      <c r="O1217" s="108"/>
      <c r="P1217" s="108"/>
      <c r="Q1217" s="108"/>
      <c r="R1217" s="108"/>
      <c r="S1217" s="108"/>
      <c r="T1217" s="108"/>
      <c r="U1217" s="108"/>
      <c r="V1217" s="108"/>
      <c r="W1217" s="108"/>
      <c r="X1217" s="108"/>
      <c r="Y1217" s="108"/>
      <c r="Z1217" s="108"/>
      <c r="AA1217" s="108"/>
      <c r="AB1217" s="108"/>
      <c r="AC1217" s="108"/>
    </row>
    <row r="1218" customFormat="false" ht="15.75" hidden="false" customHeight="true" outlineLevel="0" collapsed="false">
      <c r="A1218" s="108" t="s">
        <v>3530</v>
      </c>
      <c r="B1218" s="82"/>
      <c r="C1218" s="120" t="s">
        <v>3531</v>
      </c>
      <c r="D1218" s="121"/>
      <c r="E1218" s="108" t="s">
        <v>821</v>
      </c>
      <c r="F1218" s="114"/>
      <c r="G1218" s="120" t="s">
        <v>830</v>
      </c>
      <c r="H1218" s="82"/>
      <c r="I1218" s="111" t="n">
        <v>5699</v>
      </c>
      <c r="J1218" s="110"/>
      <c r="K1218" s="120" t="s">
        <v>3532</v>
      </c>
      <c r="L1218" s="110"/>
      <c r="M1218" s="112" t="n">
        <v>188</v>
      </c>
      <c r="N1218" s="82"/>
      <c r="O1218" s="108"/>
      <c r="P1218" s="108"/>
      <c r="Q1218" s="108"/>
      <c r="R1218" s="108"/>
      <c r="S1218" s="108"/>
      <c r="T1218" s="108"/>
      <c r="U1218" s="108"/>
      <c r="V1218" s="108"/>
      <c r="W1218" s="108"/>
      <c r="X1218" s="108"/>
      <c r="Y1218" s="108"/>
      <c r="Z1218" s="108"/>
      <c r="AA1218" s="108"/>
      <c r="AB1218" s="108"/>
      <c r="AC1218" s="108"/>
    </row>
    <row r="1219" customFormat="false" ht="15.75" hidden="false" customHeight="true" outlineLevel="0" collapsed="false">
      <c r="A1219" s="108" t="s">
        <v>3533</v>
      </c>
      <c r="B1219" s="82"/>
      <c r="C1219" s="120" t="s">
        <v>3534</v>
      </c>
      <c r="D1219" s="121"/>
      <c r="E1219" s="108" t="s">
        <v>821</v>
      </c>
      <c r="F1219" s="114"/>
      <c r="G1219" s="120" t="s">
        <v>822</v>
      </c>
      <c r="H1219" s="82"/>
      <c r="I1219" s="111" t="n">
        <v>5714</v>
      </c>
      <c r="J1219" s="110"/>
      <c r="K1219" s="120" t="s">
        <v>3535</v>
      </c>
      <c r="L1219" s="110"/>
      <c r="M1219" s="112" t="n">
        <v>189</v>
      </c>
      <c r="N1219" s="82"/>
      <c r="O1219" s="108"/>
      <c r="P1219" s="108"/>
      <c r="Q1219" s="108"/>
      <c r="R1219" s="108"/>
      <c r="S1219" s="108"/>
      <c r="T1219" s="108"/>
      <c r="U1219" s="108"/>
      <c r="V1219" s="108"/>
      <c r="W1219" s="108"/>
      <c r="X1219" s="108"/>
      <c r="Y1219" s="108"/>
      <c r="Z1219" s="108"/>
      <c r="AA1219" s="108"/>
      <c r="AB1219" s="108"/>
      <c r="AC1219" s="108"/>
    </row>
    <row r="1220" customFormat="false" ht="15.75" hidden="false" customHeight="true" outlineLevel="0" collapsed="false">
      <c r="A1220" s="108" t="s">
        <v>3536</v>
      </c>
      <c r="B1220" s="82"/>
      <c r="C1220" s="120" t="s">
        <v>3537</v>
      </c>
      <c r="D1220" s="121"/>
      <c r="E1220" s="108" t="s">
        <v>821</v>
      </c>
      <c r="F1220" s="114"/>
      <c r="G1220" s="120" t="s">
        <v>822</v>
      </c>
      <c r="H1220" s="82"/>
      <c r="I1220" s="111" t="n">
        <v>5734</v>
      </c>
      <c r="J1220" s="110"/>
      <c r="K1220" s="120" t="s">
        <v>3538</v>
      </c>
      <c r="L1220" s="110"/>
      <c r="M1220" s="112" t="n">
        <v>190</v>
      </c>
      <c r="N1220" s="82"/>
      <c r="O1220" s="108"/>
      <c r="P1220" s="108"/>
      <c r="Q1220" s="108"/>
      <c r="R1220" s="108"/>
      <c r="S1220" s="108"/>
      <c r="T1220" s="108"/>
      <c r="U1220" s="108"/>
      <c r="V1220" s="108"/>
      <c r="W1220" s="108"/>
      <c r="X1220" s="108"/>
      <c r="Y1220" s="108"/>
      <c r="Z1220" s="108"/>
      <c r="AA1220" s="108"/>
      <c r="AB1220" s="108"/>
      <c r="AC1220" s="108"/>
    </row>
    <row r="1221" customFormat="false" ht="15.75" hidden="false" customHeight="true" outlineLevel="0" collapsed="false">
      <c r="A1221" s="108" t="s">
        <v>3539</v>
      </c>
      <c r="B1221" s="82"/>
      <c r="C1221" s="120" t="s">
        <v>3540</v>
      </c>
      <c r="D1221" s="121"/>
      <c r="E1221" s="108" t="s">
        <v>821</v>
      </c>
      <c r="F1221" s="114"/>
      <c r="G1221" s="120" t="s">
        <v>822</v>
      </c>
      <c r="H1221" s="82"/>
      <c r="I1221" s="111" t="n">
        <v>5734</v>
      </c>
      <c r="J1221" s="110"/>
      <c r="K1221" s="120" t="s">
        <v>3538</v>
      </c>
      <c r="L1221" s="110"/>
      <c r="M1221" s="112" t="n">
        <v>190</v>
      </c>
      <c r="N1221" s="82"/>
      <c r="O1221" s="108"/>
      <c r="P1221" s="108"/>
      <c r="Q1221" s="108"/>
      <c r="R1221" s="108"/>
      <c r="S1221" s="108"/>
      <c r="T1221" s="108"/>
      <c r="U1221" s="108"/>
      <c r="V1221" s="108"/>
      <c r="W1221" s="108"/>
      <c r="X1221" s="108"/>
      <c r="Y1221" s="108"/>
      <c r="Z1221" s="108"/>
      <c r="AA1221" s="108"/>
      <c r="AB1221" s="108"/>
      <c r="AC1221" s="108"/>
    </row>
    <row r="1222" customFormat="false" ht="15.75" hidden="false" customHeight="true" outlineLevel="0" collapsed="false">
      <c r="A1222" s="108" t="s">
        <v>3541</v>
      </c>
      <c r="B1222" s="82"/>
      <c r="C1222" s="120" t="s">
        <v>3537</v>
      </c>
      <c r="D1222" s="121"/>
      <c r="E1222" s="108" t="s">
        <v>818</v>
      </c>
      <c r="F1222" s="114"/>
      <c r="G1222" s="120" t="s">
        <v>818</v>
      </c>
      <c r="H1222" s="82"/>
      <c r="I1222" s="111" t="n">
        <v>5734</v>
      </c>
      <c r="J1222" s="110"/>
      <c r="K1222" s="120" t="s">
        <v>3538</v>
      </c>
      <c r="L1222" s="110"/>
      <c r="M1222" s="112" t="n">
        <v>190</v>
      </c>
      <c r="N1222" s="82"/>
      <c r="O1222" s="108"/>
      <c r="P1222" s="108"/>
      <c r="Q1222" s="108"/>
      <c r="R1222" s="108"/>
      <c r="S1222" s="108"/>
      <c r="T1222" s="108"/>
      <c r="U1222" s="108"/>
      <c r="V1222" s="108"/>
      <c r="W1222" s="108"/>
      <c r="X1222" s="108"/>
      <c r="Y1222" s="108"/>
      <c r="Z1222" s="108"/>
      <c r="AA1222" s="108"/>
      <c r="AB1222" s="108"/>
      <c r="AC1222" s="108"/>
    </row>
    <row r="1223" customFormat="false" ht="15.75" hidden="false" customHeight="true" outlineLevel="0" collapsed="false">
      <c r="A1223" s="108" t="s">
        <v>3542</v>
      </c>
      <c r="B1223" s="82"/>
      <c r="C1223" s="120" t="s">
        <v>3543</v>
      </c>
      <c r="D1223" s="121"/>
      <c r="E1223" s="108" t="s">
        <v>821</v>
      </c>
      <c r="F1223" s="114"/>
      <c r="G1223" s="120" t="s">
        <v>822</v>
      </c>
      <c r="H1223" s="82"/>
      <c r="I1223" s="111" t="n">
        <v>5921</v>
      </c>
      <c r="J1223" s="110"/>
      <c r="K1223" s="120" t="s">
        <v>3544</v>
      </c>
      <c r="L1223" s="110"/>
      <c r="M1223" s="112" t="n">
        <v>191</v>
      </c>
      <c r="N1223" s="82"/>
      <c r="O1223" s="108"/>
      <c r="P1223" s="108"/>
      <c r="Q1223" s="108"/>
      <c r="R1223" s="108"/>
      <c r="S1223" s="108"/>
      <c r="T1223" s="108"/>
      <c r="U1223" s="108"/>
      <c r="V1223" s="108"/>
      <c r="W1223" s="108"/>
      <c r="X1223" s="108"/>
      <c r="Y1223" s="108"/>
      <c r="Z1223" s="108"/>
      <c r="AA1223" s="108"/>
      <c r="AB1223" s="108"/>
      <c r="AC1223" s="108"/>
    </row>
    <row r="1224" customFormat="false" ht="15.75" hidden="false" customHeight="true" outlineLevel="0" collapsed="false">
      <c r="A1224" s="108" t="s">
        <v>3545</v>
      </c>
      <c r="B1224" s="82"/>
      <c r="C1224" s="120" t="s">
        <v>3546</v>
      </c>
      <c r="D1224" s="121"/>
      <c r="E1224" s="108" t="s">
        <v>821</v>
      </c>
      <c r="F1224" s="114"/>
      <c r="G1224" s="120" t="s">
        <v>822</v>
      </c>
      <c r="H1224" s="82"/>
      <c r="I1224" s="111" t="n">
        <v>5931</v>
      </c>
      <c r="J1224" s="110"/>
      <c r="K1224" s="120" t="s">
        <v>3547</v>
      </c>
      <c r="L1224" s="110"/>
      <c r="M1224" s="112" t="n">
        <v>192</v>
      </c>
      <c r="N1224" s="82"/>
      <c r="O1224" s="108"/>
      <c r="P1224" s="108"/>
      <c r="Q1224" s="108"/>
      <c r="R1224" s="108"/>
      <c r="S1224" s="108"/>
      <c r="T1224" s="108"/>
      <c r="U1224" s="108"/>
      <c r="V1224" s="108"/>
      <c r="W1224" s="108"/>
      <c r="X1224" s="108"/>
      <c r="Y1224" s="108"/>
      <c r="Z1224" s="108"/>
      <c r="AA1224" s="108"/>
      <c r="AB1224" s="108"/>
      <c r="AC1224" s="108"/>
    </row>
    <row r="1225" customFormat="false" ht="15.75" hidden="false" customHeight="true" outlineLevel="0" collapsed="false">
      <c r="A1225" s="108" t="s">
        <v>3548</v>
      </c>
      <c r="B1225" s="82"/>
      <c r="C1225" s="120" t="s">
        <v>3549</v>
      </c>
      <c r="D1225" s="121"/>
      <c r="E1225" s="108" t="s">
        <v>924</v>
      </c>
      <c r="F1225" s="114"/>
      <c r="G1225" s="120" t="s">
        <v>925</v>
      </c>
      <c r="H1225" s="82"/>
      <c r="I1225" s="111" t="n">
        <v>8011</v>
      </c>
      <c r="J1225" s="110"/>
      <c r="K1225" s="120" t="s">
        <v>3550</v>
      </c>
      <c r="L1225" s="110"/>
      <c r="M1225" s="121" t="n">
        <v>193</v>
      </c>
      <c r="N1225" s="82"/>
      <c r="O1225" s="108"/>
      <c r="P1225" s="108"/>
      <c r="Q1225" s="108"/>
      <c r="R1225" s="108"/>
      <c r="S1225" s="108"/>
      <c r="T1225" s="108"/>
      <c r="U1225" s="108"/>
      <c r="V1225" s="108"/>
      <c r="W1225" s="108"/>
      <c r="X1225" s="108"/>
      <c r="Y1225" s="108"/>
      <c r="Z1225" s="108"/>
      <c r="AA1225" s="108"/>
      <c r="AB1225" s="108"/>
      <c r="AC1225" s="108"/>
    </row>
    <row r="1226" customFormat="false" ht="15.75" hidden="false" customHeight="true" outlineLevel="0" collapsed="false">
      <c r="A1226" s="108"/>
      <c r="B1226" s="82"/>
      <c r="C1226" s="120" t="s">
        <v>3551</v>
      </c>
      <c r="D1226" s="121"/>
      <c r="E1226" s="108"/>
      <c r="F1226" s="114"/>
      <c r="G1226" s="108"/>
      <c r="H1226" s="82"/>
      <c r="I1226" s="111" t="n">
        <v>5963</v>
      </c>
      <c r="J1226" s="110"/>
      <c r="K1226" s="120" t="s">
        <v>3552</v>
      </c>
      <c r="L1226" s="110"/>
      <c r="M1226" s="112" t="n">
        <v>194</v>
      </c>
      <c r="N1226" s="82"/>
      <c r="O1226" s="108"/>
      <c r="P1226" s="108"/>
      <c r="Q1226" s="108"/>
      <c r="R1226" s="108"/>
      <c r="S1226" s="108"/>
      <c r="T1226" s="108"/>
      <c r="U1226" s="108"/>
      <c r="V1226" s="108"/>
      <c r="W1226" s="108"/>
      <c r="X1226" s="108"/>
      <c r="Y1226" s="108"/>
      <c r="Z1226" s="108"/>
      <c r="AA1226" s="108"/>
      <c r="AB1226" s="108"/>
      <c r="AC1226" s="108"/>
    </row>
    <row r="1227" customFormat="false" ht="15.75" hidden="false" customHeight="true" outlineLevel="0" collapsed="false">
      <c r="A1227" s="108" t="s">
        <v>3553</v>
      </c>
      <c r="B1227" s="82"/>
      <c r="C1227" s="120" t="s">
        <v>3554</v>
      </c>
      <c r="D1227" s="121"/>
      <c r="E1227" s="108" t="s">
        <v>818</v>
      </c>
      <c r="F1227" s="114"/>
      <c r="G1227" s="120" t="s">
        <v>818</v>
      </c>
      <c r="H1227" s="82"/>
      <c r="I1227" s="111" t="n">
        <v>7333</v>
      </c>
      <c r="J1227" s="110"/>
      <c r="K1227" s="120" t="s">
        <v>3555</v>
      </c>
      <c r="L1227" s="110"/>
      <c r="M1227" s="112" t="n">
        <v>195</v>
      </c>
      <c r="N1227" s="82"/>
      <c r="O1227" s="108"/>
      <c r="P1227" s="108"/>
      <c r="Q1227" s="108"/>
      <c r="R1227" s="108"/>
      <c r="S1227" s="108"/>
      <c r="T1227" s="108"/>
      <c r="U1227" s="108"/>
      <c r="V1227" s="108"/>
      <c r="W1227" s="108"/>
      <c r="X1227" s="108"/>
      <c r="Y1227" s="108"/>
      <c r="Z1227" s="108"/>
      <c r="AA1227" s="108"/>
      <c r="AB1227" s="108"/>
      <c r="AC1227" s="108"/>
    </row>
    <row r="1228" customFormat="false" ht="15.75" hidden="false" customHeight="true" outlineLevel="0" collapsed="false">
      <c r="A1228" s="108" t="s">
        <v>3556</v>
      </c>
      <c r="B1228" s="82"/>
      <c r="C1228" s="120" t="s">
        <v>3557</v>
      </c>
      <c r="D1228" s="121"/>
      <c r="E1228" s="108" t="s">
        <v>821</v>
      </c>
      <c r="F1228" s="114"/>
      <c r="G1228" s="120" t="s">
        <v>822</v>
      </c>
      <c r="H1228" s="82"/>
      <c r="I1228" s="111" t="n">
        <v>5999</v>
      </c>
      <c r="J1228" s="110"/>
      <c r="K1228" s="120" t="s">
        <v>3558</v>
      </c>
      <c r="L1228" s="110"/>
      <c r="M1228" s="112" t="n">
        <v>196</v>
      </c>
      <c r="N1228" s="82"/>
      <c r="O1228" s="108"/>
      <c r="P1228" s="108"/>
      <c r="Q1228" s="108"/>
      <c r="R1228" s="108"/>
      <c r="S1228" s="108"/>
      <c r="T1228" s="108"/>
      <c r="U1228" s="108"/>
      <c r="V1228" s="108"/>
      <c r="W1228" s="108"/>
      <c r="X1228" s="108"/>
      <c r="Y1228" s="108"/>
      <c r="Z1228" s="108"/>
      <c r="AA1228" s="108"/>
      <c r="AB1228" s="108"/>
      <c r="AC1228" s="108"/>
    </row>
    <row r="1229" customFormat="false" ht="15.75" hidden="false" customHeight="true" outlineLevel="0" collapsed="false">
      <c r="A1229" s="108" t="s">
        <v>3559</v>
      </c>
      <c r="B1229" s="82"/>
      <c r="C1229" s="120" t="s">
        <v>3560</v>
      </c>
      <c r="D1229" s="121"/>
      <c r="E1229" s="108" t="s">
        <v>821</v>
      </c>
      <c r="F1229" s="114"/>
      <c r="G1229" s="120" t="s">
        <v>822</v>
      </c>
      <c r="H1229" s="82"/>
      <c r="I1229" s="111" t="n">
        <v>5999</v>
      </c>
      <c r="J1229" s="110"/>
      <c r="K1229" s="120" t="s">
        <v>3558</v>
      </c>
      <c r="L1229" s="110"/>
      <c r="M1229" s="112" t="n">
        <v>196</v>
      </c>
      <c r="N1229" s="82"/>
      <c r="O1229" s="108"/>
      <c r="P1229" s="108"/>
      <c r="Q1229" s="108"/>
      <c r="R1229" s="108"/>
      <c r="S1229" s="108"/>
      <c r="T1229" s="108"/>
      <c r="U1229" s="108"/>
      <c r="V1229" s="108"/>
      <c r="W1229" s="108"/>
      <c r="X1229" s="108"/>
      <c r="Y1229" s="108"/>
      <c r="Z1229" s="108"/>
      <c r="AA1229" s="108"/>
      <c r="AB1229" s="108"/>
      <c r="AC1229" s="108"/>
    </row>
    <row r="1230" customFormat="false" ht="15.75" hidden="false" customHeight="true" outlineLevel="0" collapsed="false">
      <c r="A1230" s="108" t="s">
        <v>3561</v>
      </c>
      <c r="B1230" s="82"/>
      <c r="C1230" s="120" t="s">
        <v>3562</v>
      </c>
      <c r="D1230" s="121"/>
      <c r="E1230" s="108" t="s">
        <v>821</v>
      </c>
      <c r="F1230" s="114"/>
      <c r="G1230" s="120" t="s">
        <v>822</v>
      </c>
      <c r="H1230" s="82"/>
      <c r="I1230" s="111" t="n">
        <v>5999</v>
      </c>
      <c r="J1230" s="110"/>
      <c r="K1230" s="120" t="s">
        <v>3558</v>
      </c>
      <c r="L1230" s="110"/>
      <c r="M1230" s="112" t="n">
        <v>196</v>
      </c>
      <c r="N1230" s="82"/>
      <c r="O1230" s="108"/>
      <c r="P1230" s="108"/>
      <c r="Q1230" s="108"/>
      <c r="R1230" s="108"/>
      <c r="S1230" s="108"/>
      <c r="T1230" s="108"/>
      <c r="U1230" s="108"/>
      <c r="V1230" s="108"/>
      <c r="W1230" s="108"/>
      <c r="X1230" s="108"/>
      <c r="Y1230" s="108"/>
      <c r="Z1230" s="108"/>
      <c r="AA1230" s="108"/>
      <c r="AB1230" s="108"/>
      <c r="AC1230" s="108"/>
    </row>
    <row r="1231" customFormat="false" ht="15.75" hidden="false" customHeight="true" outlineLevel="0" collapsed="false">
      <c r="A1231" s="108" t="s">
        <v>3563</v>
      </c>
      <c r="B1231" s="82"/>
      <c r="C1231" s="120" t="s">
        <v>3564</v>
      </c>
      <c r="D1231" s="121"/>
      <c r="E1231" s="108" t="s">
        <v>821</v>
      </c>
      <c r="F1231" s="114"/>
      <c r="G1231" s="120" t="s">
        <v>822</v>
      </c>
      <c r="H1231" s="82"/>
      <c r="I1231" s="111" t="n">
        <v>5999</v>
      </c>
      <c r="J1231" s="110"/>
      <c r="K1231" s="120" t="s">
        <v>3558</v>
      </c>
      <c r="L1231" s="110"/>
      <c r="M1231" s="112" t="n">
        <v>196</v>
      </c>
      <c r="N1231" s="82"/>
      <c r="O1231" s="108"/>
      <c r="P1231" s="108"/>
      <c r="Q1231" s="108"/>
      <c r="R1231" s="108"/>
      <c r="S1231" s="108"/>
      <c r="T1231" s="108"/>
      <c r="U1231" s="108"/>
      <c r="V1231" s="108"/>
      <c r="W1231" s="108"/>
      <c r="X1231" s="108"/>
      <c r="Y1231" s="108"/>
      <c r="Z1231" s="108"/>
      <c r="AA1231" s="108"/>
      <c r="AB1231" s="108"/>
      <c r="AC1231" s="108"/>
    </row>
    <row r="1232" customFormat="false" ht="15.75" hidden="false" customHeight="true" outlineLevel="0" collapsed="false">
      <c r="A1232" s="108" t="s">
        <v>3565</v>
      </c>
      <c r="B1232" s="82"/>
      <c r="C1232" s="120" t="s">
        <v>3566</v>
      </c>
      <c r="D1232" s="121"/>
      <c r="E1232" s="108" t="s">
        <v>821</v>
      </c>
      <c r="F1232" s="114"/>
      <c r="G1232" s="120" t="s">
        <v>822</v>
      </c>
      <c r="H1232" s="82"/>
      <c r="I1232" s="111" t="n">
        <v>5999</v>
      </c>
      <c r="J1232" s="110"/>
      <c r="K1232" s="120" t="s">
        <v>3558</v>
      </c>
      <c r="L1232" s="110"/>
      <c r="M1232" s="112" t="n">
        <v>196</v>
      </c>
      <c r="N1232" s="82"/>
      <c r="O1232" s="108"/>
      <c r="P1232" s="108"/>
      <c r="Q1232" s="108"/>
      <c r="R1232" s="108"/>
      <c r="S1232" s="108"/>
      <c r="T1232" s="108"/>
      <c r="U1232" s="108"/>
      <c r="V1232" s="108"/>
      <c r="W1232" s="108"/>
      <c r="X1232" s="108"/>
      <c r="Y1232" s="108"/>
      <c r="Z1232" s="108"/>
      <c r="AA1232" s="108"/>
      <c r="AB1232" s="108"/>
      <c r="AC1232" s="108"/>
    </row>
    <row r="1233" customFormat="false" ht="15.75" hidden="false" customHeight="true" outlineLevel="0" collapsed="false">
      <c r="A1233" s="108" t="s">
        <v>3567</v>
      </c>
      <c r="B1233" s="82"/>
      <c r="C1233" s="120" t="s">
        <v>3568</v>
      </c>
      <c r="D1233" s="121"/>
      <c r="E1233" s="108" t="s">
        <v>844</v>
      </c>
      <c r="F1233" s="114"/>
      <c r="G1233" s="120" t="s">
        <v>1046</v>
      </c>
      <c r="H1233" s="82"/>
      <c r="I1233" s="111" t="n">
        <v>1771</v>
      </c>
      <c r="J1233" s="110"/>
      <c r="K1233" s="120" t="s">
        <v>3569</v>
      </c>
      <c r="L1233" s="110"/>
      <c r="M1233" s="112"/>
      <c r="N1233" s="82"/>
      <c r="O1233" s="108"/>
      <c r="P1233" s="108"/>
      <c r="Q1233" s="108"/>
      <c r="R1233" s="108"/>
      <c r="S1233" s="108"/>
      <c r="T1233" s="108"/>
      <c r="U1233" s="108"/>
      <c r="V1233" s="108"/>
      <c r="W1233" s="108"/>
      <c r="X1233" s="108"/>
      <c r="Y1233" s="108"/>
      <c r="Z1233" s="108"/>
      <c r="AA1233" s="108"/>
      <c r="AB1233" s="108"/>
      <c r="AC1233" s="108"/>
    </row>
    <row r="1234" customFormat="false" ht="15.75" hidden="false" customHeight="true" outlineLevel="0" collapsed="false">
      <c r="A1234" s="108" t="s">
        <v>3570</v>
      </c>
      <c r="B1234" s="82"/>
      <c r="C1234" s="120" t="s">
        <v>3571</v>
      </c>
      <c r="D1234" s="121"/>
      <c r="E1234" s="108" t="s">
        <v>1518</v>
      </c>
      <c r="F1234" s="114"/>
      <c r="G1234" s="120" t="s">
        <v>1527</v>
      </c>
      <c r="H1234" s="82"/>
      <c r="I1234" s="111" t="n">
        <v>1771</v>
      </c>
      <c r="J1234" s="110"/>
      <c r="K1234" s="120" t="s">
        <v>3569</v>
      </c>
      <c r="L1234" s="110"/>
      <c r="M1234" s="112"/>
      <c r="N1234" s="82"/>
      <c r="O1234" s="108"/>
      <c r="P1234" s="108"/>
      <c r="Q1234" s="108"/>
      <c r="R1234" s="108"/>
      <c r="S1234" s="108"/>
      <c r="T1234" s="108"/>
      <c r="U1234" s="108"/>
      <c r="V1234" s="108"/>
      <c r="W1234" s="108"/>
      <c r="X1234" s="108"/>
      <c r="Y1234" s="108"/>
      <c r="Z1234" s="108"/>
      <c r="AA1234" s="108"/>
      <c r="AB1234" s="108"/>
      <c r="AC1234" s="108"/>
    </row>
    <row r="1235" customFormat="false" ht="15.75" hidden="false" customHeight="true" outlineLevel="0" collapsed="false">
      <c r="A1235" s="108" t="s">
        <v>3572</v>
      </c>
      <c r="B1235" s="82"/>
      <c r="C1235" s="120" t="s">
        <v>3573</v>
      </c>
      <c r="D1235" s="121"/>
      <c r="E1235" s="108" t="s">
        <v>1518</v>
      </c>
      <c r="F1235" s="114"/>
      <c r="G1235" s="120" t="s">
        <v>1527</v>
      </c>
      <c r="H1235" s="82"/>
      <c r="I1235" s="111" t="n">
        <v>1771</v>
      </c>
      <c r="J1235" s="110"/>
      <c r="K1235" s="120" t="s">
        <v>3569</v>
      </c>
      <c r="L1235" s="110"/>
      <c r="M1235" s="112"/>
      <c r="N1235" s="82"/>
      <c r="O1235" s="108"/>
      <c r="P1235" s="108"/>
      <c r="Q1235" s="108"/>
      <c r="R1235" s="108"/>
      <c r="S1235" s="108"/>
      <c r="T1235" s="108"/>
      <c r="U1235" s="108"/>
      <c r="V1235" s="108"/>
      <c r="W1235" s="108"/>
      <c r="X1235" s="108"/>
      <c r="Y1235" s="108"/>
      <c r="Z1235" s="108"/>
      <c r="AA1235" s="108"/>
      <c r="AB1235" s="108"/>
      <c r="AC1235" s="108"/>
    </row>
    <row r="1236" customFormat="false" ht="15.75" hidden="false" customHeight="true" outlineLevel="0" collapsed="false">
      <c r="A1236" s="108" t="s">
        <v>3574</v>
      </c>
      <c r="B1236" s="82"/>
      <c r="C1236" s="120" t="s">
        <v>3575</v>
      </c>
      <c r="D1236" s="121"/>
      <c r="E1236" s="108" t="s">
        <v>1518</v>
      </c>
      <c r="F1236" s="114"/>
      <c r="G1236" s="120" t="s">
        <v>1519</v>
      </c>
      <c r="H1236" s="82"/>
      <c r="I1236" s="111" t="n">
        <v>1771</v>
      </c>
      <c r="J1236" s="110"/>
      <c r="K1236" s="120" t="s">
        <v>3569</v>
      </c>
      <c r="L1236" s="110"/>
      <c r="M1236" s="112"/>
      <c r="N1236" s="82"/>
      <c r="O1236" s="108"/>
      <c r="P1236" s="108"/>
      <c r="Q1236" s="108"/>
      <c r="R1236" s="108"/>
      <c r="S1236" s="108"/>
      <c r="T1236" s="108"/>
      <c r="U1236" s="108"/>
      <c r="V1236" s="108"/>
      <c r="W1236" s="108"/>
      <c r="X1236" s="108"/>
      <c r="Y1236" s="108"/>
      <c r="Z1236" s="108"/>
      <c r="AA1236" s="108"/>
      <c r="AB1236" s="108"/>
      <c r="AC1236" s="108"/>
    </row>
    <row r="1237" customFormat="false" ht="15.75" hidden="false" customHeight="true" outlineLevel="0" collapsed="false">
      <c r="A1237" s="108" t="s">
        <v>3576</v>
      </c>
      <c r="B1237" s="82"/>
      <c r="C1237" s="120" t="s">
        <v>3577</v>
      </c>
      <c r="D1237" s="121"/>
      <c r="E1237" s="108" t="s">
        <v>1518</v>
      </c>
      <c r="F1237" s="114"/>
      <c r="G1237" s="120" t="s">
        <v>1519</v>
      </c>
      <c r="H1237" s="82"/>
      <c r="I1237" s="111" t="n">
        <v>1771</v>
      </c>
      <c r="J1237" s="110"/>
      <c r="K1237" s="120" t="s">
        <v>3569</v>
      </c>
      <c r="L1237" s="110"/>
      <c r="M1237" s="112"/>
      <c r="N1237" s="82"/>
      <c r="O1237" s="108"/>
      <c r="P1237" s="108"/>
      <c r="Q1237" s="108"/>
      <c r="R1237" s="108"/>
      <c r="S1237" s="108"/>
      <c r="T1237" s="108"/>
      <c r="U1237" s="108"/>
      <c r="V1237" s="108"/>
      <c r="W1237" s="108"/>
      <c r="X1237" s="108"/>
      <c r="Y1237" s="108"/>
      <c r="Z1237" s="108"/>
      <c r="AA1237" s="108"/>
      <c r="AB1237" s="108"/>
      <c r="AC1237" s="108"/>
    </row>
    <row r="1238" customFormat="false" ht="15.75" hidden="false" customHeight="true" outlineLevel="0" collapsed="false">
      <c r="A1238" s="108" t="s">
        <v>3578</v>
      </c>
      <c r="B1238" s="82"/>
      <c r="C1238" s="120" t="s">
        <v>3579</v>
      </c>
      <c r="D1238" s="121"/>
      <c r="E1238" s="108" t="s">
        <v>933</v>
      </c>
      <c r="F1238" s="114"/>
      <c r="G1238" s="120" t="s">
        <v>1555</v>
      </c>
      <c r="H1238" s="82"/>
      <c r="I1238" s="111" t="n">
        <v>4411</v>
      </c>
      <c r="J1238" s="110"/>
      <c r="K1238" s="120" t="s">
        <v>3580</v>
      </c>
      <c r="L1238" s="110"/>
      <c r="M1238" s="112"/>
      <c r="N1238" s="82"/>
      <c r="O1238" s="108"/>
      <c r="P1238" s="108"/>
      <c r="Q1238" s="108"/>
      <c r="R1238" s="108"/>
      <c r="S1238" s="108"/>
      <c r="T1238" s="108"/>
      <c r="U1238" s="108"/>
      <c r="V1238" s="108"/>
      <c r="W1238" s="108"/>
      <c r="X1238" s="108"/>
      <c r="Y1238" s="108"/>
      <c r="Z1238" s="108"/>
      <c r="AA1238" s="108"/>
      <c r="AB1238" s="108"/>
      <c r="AC1238" s="108"/>
    </row>
    <row r="1239" customFormat="false" ht="15.75" hidden="false" customHeight="true" outlineLevel="0" collapsed="false">
      <c r="A1239" s="108" t="s">
        <v>3581</v>
      </c>
      <c r="B1239" s="82"/>
      <c r="C1239" s="120" t="s">
        <v>3582</v>
      </c>
      <c r="D1239" s="121"/>
      <c r="E1239" s="108" t="s">
        <v>933</v>
      </c>
      <c r="F1239" s="114"/>
      <c r="G1239" s="120" t="s">
        <v>945</v>
      </c>
      <c r="H1239" s="82"/>
      <c r="I1239" s="111" t="n">
        <v>4411</v>
      </c>
      <c r="J1239" s="110"/>
      <c r="K1239" s="120" t="s">
        <v>3580</v>
      </c>
      <c r="L1239" s="110"/>
      <c r="M1239" s="112"/>
      <c r="N1239" s="82"/>
      <c r="O1239" s="108"/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/>
      <c r="AB1239" s="108"/>
      <c r="AC1239" s="108"/>
    </row>
    <row r="1240" customFormat="false" ht="15.75" hidden="false" customHeight="true" outlineLevel="0" collapsed="false">
      <c r="A1240" s="108" t="s">
        <v>3583</v>
      </c>
      <c r="B1240" s="82"/>
      <c r="C1240" s="120" t="s">
        <v>3584</v>
      </c>
      <c r="D1240" s="121"/>
      <c r="E1240" s="108" t="s">
        <v>933</v>
      </c>
      <c r="F1240" s="114"/>
      <c r="G1240" s="120" t="s">
        <v>1612</v>
      </c>
      <c r="H1240" s="82"/>
      <c r="I1240" s="111" t="n">
        <v>4511</v>
      </c>
      <c r="J1240" s="110"/>
      <c r="K1240" s="120" t="s">
        <v>3585</v>
      </c>
      <c r="L1240" s="110"/>
      <c r="M1240" s="112"/>
      <c r="N1240" s="82"/>
      <c r="O1240" s="108"/>
      <c r="P1240" s="108"/>
      <c r="Q1240" s="108"/>
      <c r="R1240" s="108"/>
      <c r="S1240" s="108"/>
      <c r="T1240" s="108"/>
      <c r="U1240" s="108"/>
      <c r="V1240" s="108"/>
      <c r="W1240" s="108"/>
      <c r="X1240" s="108"/>
      <c r="Y1240" s="108"/>
      <c r="Z1240" s="108"/>
      <c r="AA1240" s="108"/>
      <c r="AB1240" s="108"/>
      <c r="AC1240" s="108"/>
    </row>
    <row r="1241" customFormat="false" ht="15.75" hidden="false" customHeight="true" outlineLevel="0" collapsed="false">
      <c r="A1241" s="108" t="s">
        <v>3586</v>
      </c>
      <c r="B1241" s="82"/>
      <c r="C1241" s="120" t="s">
        <v>3587</v>
      </c>
      <c r="D1241" s="121"/>
      <c r="E1241" s="108" t="s">
        <v>933</v>
      </c>
      <c r="F1241" s="114"/>
      <c r="G1241" s="120" t="s">
        <v>1612</v>
      </c>
      <c r="H1241" s="82"/>
      <c r="I1241" s="111" t="n">
        <v>4511</v>
      </c>
      <c r="J1241" s="110"/>
      <c r="K1241" s="120" t="s">
        <v>3585</v>
      </c>
      <c r="L1241" s="110"/>
      <c r="M1241" s="112"/>
      <c r="N1241" s="82"/>
      <c r="O1241" s="108"/>
      <c r="P1241" s="108"/>
      <c r="Q1241" s="108"/>
      <c r="R1241" s="108"/>
      <c r="S1241" s="108"/>
      <c r="T1241" s="108"/>
      <c r="U1241" s="108"/>
      <c r="V1241" s="108"/>
      <c r="W1241" s="108"/>
      <c r="X1241" s="108"/>
      <c r="Y1241" s="108"/>
      <c r="Z1241" s="108"/>
      <c r="AA1241" s="108"/>
      <c r="AB1241" s="108"/>
      <c r="AC1241" s="108"/>
    </row>
    <row r="1242" customFormat="false" ht="15.75" hidden="false" customHeight="true" outlineLevel="0" collapsed="false">
      <c r="A1242" s="108" t="s">
        <v>3588</v>
      </c>
      <c r="B1242" s="82"/>
      <c r="C1242" s="120" t="s">
        <v>3589</v>
      </c>
      <c r="D1242" s="121"/>
      <c r="E1242" s="108" t="s">
        <v>933</v>
      </c>
      <c r="F1242" s="114"/>
      <c r="G1242" s="120" t="s">
        <v>1612</v>
      </c>
      <c r="H1242" s="82"/>
      <c r="I1242" s="111" t="n">
        <v>4511</v>
      </c>
      <c r="J1242" s="110"/>
      <c r="K1242" s="120" t="s">
        <v>3585</v>
      </c>
      <c r="L1242" s="110"/>
      <c r="M1242" s="112"/>
      <c r="N1242" s="82"/>
      <c r="O1242" s="108"/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/>
      <c r="AB1242" s="108"/>
      <c r="AC1242" s="108"/>
    </row>
    <row r="1243" customFormat="false" ht="15.75" hidden="false" customHeight="true" outlineLevel="0" collapsed="false">
      <c r="A1243" s="108" t="s">
        <v>3590</v>
      </c>
      <c r="B1243" s="82"/>
      <c r="C1243" s="120" t="s">
        <v>3591</v>
      </c>
      <c r="D1243" s="121"/>
      <c r="E1243" s="108" t="s">
        <v>933</v>
      </c>
      <c r="F1243" s="114"/>
      <c r="G1243" s="120" t="s">
        <v>1612</v>
      </c>
      <c r="H1243" s="82"/>
      <c r="I1243" s="111" t="n">
        <v>4511</v>
      </c>
      <c r="J1243" s="110"/>
      <c r="K1243" s="120" t="s">
        <v>3585</v>
      </c>
      <c r="L1243" s="110"/>
      <c r="M1243" s="112"/>
      <c r="N1243" s="82"/>
      <c r="O1243" s="108"/>
      <c r="P1243" s="108"/>
      <c r="Q1243" s="108"/>
      <c r="R1243" s="108"/>
      <c r="S1243" s="108"/>
      <c r="T1243" s="108"/>
      <c r="U1243" s="108"/>
      <c r="V1243" s="108"/>
      <c r="W1243" s="108"/>
      <c r="X1243" s="108"/>
      <c r="Y1243" s="108"/>
      <c r="Z1243" s="108"/>
      <c r="AA1243" s="108"/>
      <c r="AB1243" s="108"/>
      <c r="AC1243" s="108"/>
    </row>
    <row r="1244" customFormat="false" ht="15.75" hidden="false" customHeight="true" outlineLevel="0" collapsed="false">
      <c r="A1244" s="108" t="s">
        <v>3592</v>
      </c>
      <c r="B1244" s="82"/>
      <c r="C1244" s="120" t="s">
        <v>3593</v>
      </c>
      <c r="D1244" s="121"/>
      <c r="E1244" s="108" t="s">
        <v>920</v>
      </c>
      <c r="F1244" s="114"/>
      <c r="G1244" s="120" t="s">
        <v>3594</v>
      </c>
      <c r="H1244" s="82"/>
      <c r="I1244" s="111" t="n">
        <v>4722</v>
      </c>
      <c r="J1244" s="110"/>
      <c r="K1244" s="120" t="s">
        <v>3595</v>
      </c>
      <c r="L1244" s="110"/>
      <c r="M1244" s="112"/>
      <c r="N1244" s="82"/>
      <c r="O1244" s="108"/>
      <c r="P1244" s="108"/>
      <c r="Q1244" s="108"/>
      <c r="R1244" s="108"/>
      <c r="S1244" s="108"/>
      <c r="T1244" s="108"/>
      <c r="U1244" s="108"/>
      <c r="V1244" s="108"/>
      <c r="W1244" s="108"/>
      <c r="X1244" s="108"/>
      <c r="Y1244" s="108"/>
      <c r="Z1244" s="108"/>
      <c r="AA1244" s="108"/>
      <c r="AB1244" s="108"/>
      <c r="AC1244" s="108"/>
    </row>
    <row r="1245" customFormat="false" ht="15.75" hidden="false" customHeight="true" outlineLevel="0" collapsed="false">
      <c r="A1245" s="108" t="s">
        <v>3596</v>
      </c>
      <c r="B1245" s="82"/>
      <c r="C1245" s="120" t="s">
        <v>3597</v>
      </c>
      <c r="D1245" s="121"/>
      <c r="E1245" s="108" t="s">
        <v>920</v>
      </c>
      <c r="F1245" s="114"/>
      <c r="G1245" s="120" t="s">
        <v>3594</v>
      </c>
      <c r="H1245" s="82"/>
      <c r="I1245" s="111" t="n">
        <v>4722</v>
      </c>
      <c r="J1245" s="110"/>
      <c r="K1245" s="120" t="s">
        <v>3595</v>
      </c>
      <c r="L1245" s="110"/>
      <c r="M1245" s="112"/>
      <c r="N1245" s="82"/>
      <c r="O1245" s="108"/>
      <c r="P1245" s="108"/>
      <c r="Q1245" s="108"/>
      <c r="R1245" s="108"/>
      <c r="S1245" s="108"/>
      <c r="T1245" s="108"/>
      <c r="U1245" s="108"/>
      <c r="V1245" s="108"/>
      <c r="W1245" s="108"/>
      <c r="X1245" s="108"/>
      <c r="Y1245" s="108"/>
      <c r="Z1245" s="108"/>
      <c r="AA1245" s="108"/>
      <c r="AB1245" s="108"/>
      <c r="AC1245" s="108"/>
    </row>
    <row r="1246" customFormat="false" ht="15.75" hidden="false" customHeight="true" outlineLevel="0" collapsed="false">
      <c r="A1246" s="108" t="s">
        <v>3598</v>
      </c>
      <c r="B1246" s="82"/>
      <c r="C1246" s="120" t="s">
        <v>3599</v>
      </c>
      <c r="D1246" s="121"/>
      <c r="E1246" s="108" t="s">
        <v>920</v>
      </c>
      <c r="F1246" s="114"/>
      <c r="G1246" s="120" t="s">
        <v>3594</v>
      </c>
      <c r="H1246" s="82"/>
      <c r="I1246" s="111" t="n">
        <v>4722</v>
      </c>
      <c r="J1246" s="110"/>
      <c r="K1246" s="120" t="s">
        <v>3595</v>
      </c>
      <c r="L1246" s="110"/>
      <c r="M1246" s="112"/>
      <c r="N1246" s="82"/>
      <c r="O1246" s="108"/>
      <c r="P1246" s="108"/>
      <c r="Q1246" s="108"/>
      <c r="R1246" s="108"/>
      <c r="S1246" s="108"/>
      <c r="T1246" s="108"/>
      <c r="U1246" s="108"/>
      <c r="V1246" s="108"/>
      <c r="W1246" s="108"/>
      <c r="X1246" s="108"/>
      <c r="Y1246" s="108"/>
      <c r="Z1246" s="108"/>
      <c r="AA1246" s="108"/>
      <c r="AB1246" s="108"/>
      <c r="AC1246" s="108"/>
    </row>
    <row r="1247" customFormat="false" ht="15.75" hidden="false" customHeight="true" outlineLevel="0" collapsed="false">
      <c r="A1247" s="108" t="s">
        <v>3600</v>
      </c>
      <c r="B1247" s="82"/>
      <c r="C1247" s="120" t="s">
        <v>3601</v>
      </c>
      <c r="D1247" s="121"/>
      <c r="E1247" s="108" t="s">
        <v>844</v>
      </c>
      <c r="F1247" s="114"/>
      <c r="G1247" s="120" t="s">
        <v>1023</v>
      </c>
      <c r="H1247" s="82"/>
      <c r="I1247" s="111" t="n">
        <v>5074</v>
      </c>
      <c r="J1247" s="110"/>
      <c r="K1247" s="120" t="s">
        <v>3602</v>
      </c>
      <c r="L1247" s="110"/>
      <c r="M1247" s="112"/>
      <c r="N1247" s="82"/>
      <c r="O1247" s="108"/>
      <c r="P1247" s="108"/>
      <c r="Q1247" s="108"/>
      <c r="R1247" s="108"/>
      <c r="S1247" s="108"/>
      <c r="T1247" s="108"/>
      <c r="U1247" s="108"/>
      <c r="V1247" s="108"/>
      <c r="W1247" s="108"/>
      <c r="X1247" s="108"/>
      <c r="Y1247" s="108"/>
      <c r="Z1247" s="108"/>
      <c r="AA1247" s="108"/>
      <c r="AB1247" s="108"/>
      <c r="AC1247" s="108"/>
    </row>
    <row r="1248" customFormat="false" ht="15.75" hidden="false" customHeight="true" outlineLevel="0" collapsed="false">
      <c r="A1248" s="108" t="s">
        <v>3603</v>
      </c>
      <c r="B1248" s="82"/>
      <c r="C1248" s="120" t="s">
        <v>3604</v>
      </c>
      <c r="D1248" s="121"/>
      <c r="E1248" s="108" t="s">
        <v>1219</v>
      </c>
      <c r="F1248" s="114"/>
      <c r="G1248" s="120" t="s">
        <v>1220</v>
      </c>
      <c r="H1248" s="82"/>
      <c r="I1248" s="111" t="n">
        <v>5261</v>
      </c>
      <c r="J1248" s="110"/>
      <c r="K1248" s="120" t="s">
        <v>3605</v>
      </c>
      <c r="L1248" s="110"/>
      <c r="M1248" s="112"/>
      <c r="N1248" s="82"/>
      <c r="O1248" s="108"/>
      <c r="P1248" s="108"/>
      <c r="Q1248" s="108"/>
      <c r="R1248" s="108"/>
      <c r="S1248" s="108"/>
      <c r="T1248" s="108"/>
      <c r="U1248" s="108"/>
      <c r="V1248" s="108"/>
      <c r="W1248" s="108"/>
      <c r="X1248" s="108"/>
      <c r="Y1248" s="108"/>
      <c r="Z1248" s="108"/>
      <c r="AA1248" s="108"/>
      <c r="AB1248" s="108"/>
      <c r="AC1248" s="108"/>
    </row>
    <row r="1249" customFormat="false" ht="15.75" hidden="false" customHeight="true" outlineLevel="0" collapsed="false">
      <c r="A1249" s="108" t="s">
        <v>3606</v>
      </c>
      <c r="B1249" s="82"/>
      <c r="C1249" s="120" t="s">
        <v>3607</v>
      </c>
      <c r="D1249" s="121"/>
      <c r="E1249" s="108" t="s">
        <v>1214</v>
      </c>
      <c r="F1249" s="114"/>
      <c r="G1249" s="120" t="s">
        <v>2383</v>
      </c>
      <c r="H1249" s="82"/>
      <c r="I1249" s="111" t="n">
        <v>5969</v>
      </c>
      <c r="J1249" s="110"/>
      <c r="K1249" s="120" t="s">
        <v>3608</v>
      </c>
      <c r="L1249" s="110"/>
      <c r="M1249" s="112"/>
      <c r="N1249" s="82"/>
      <c r="O1249" s="108"/>
      <c r="P1249" s="108"/>
      <c r="Q1249" s="108"/>
      <c r="R1249" s="108"/>
      <c r="S1249" s="108"/>
      <c r="T1249" s="108"/>
      <c r="U1249" s="108"/>
      <c r="V1249" s="108"/>
      <c r="W1249" s="108"/>
      <c r="X1249" s="108"/>
      <c r="Y1249" s="108"/>
      <c r="Z1249" s="108"/>
      <c r="AA1249" s="108"/>
      <c r="AB1249" s="108"/>
      <c r="AC1249" s="108"/>
    </row>
    <row r="1250" customFormat="false" ht="15.75" hidden="false" customHeight="true" outlineLevel="0" collapsed="false">
      <c r="A1250" s="108" t="s">
        <v>3609</v>
      </c>
      <c r="B1250" s="82"/>
      <c r="C1250" s="120" t="s">
        <v>3610</v>
      </c>
      <c r="D1250" s="121"/>
      <c r="E1250" s="108" t="s">
        <v>920</v>
      </c>
      <c r="F1250" s="114"/>
      <c r="G1250" s="120" t="s">
        <v>921</v>
      </c>
      <c r="H1250" s="82"/>
      <c r="I1250" s="111" t="n">
        <v>5969</v>
      </c>
      <c r="J1250" s="110"/>
      <c r="K1250" s="120" t="s">
        <v>3608</v>
      </c>
      <c r="L1250" s="110"/>
      <c r="M1250" s="112"/>
      <c r="N1250" s="82"/>
      <c r="O1250" s="108"/>
      <c r="P1250" s="108"/>
      <c r="Q1250" s="108"/>
      <c r="R1250" s="108"/>
      <c r="S1250" s="108"/>
      <c r="T1250" s="108"/>
      <c r="U1250" s="108"/>
      <c r="V1250" s="108"/>
      <c r="W1250" s="108"/>
      <c r="X1250" s="108"/>
      <c r="Y1250" s="108"/>
      <c r="Z1250" s="108"/>
      <c r="AA1250" s="108"/>
      <c r="AB1250" s="108"/>
      <c r="AC1250" s="108"/>
    </row>
    <row r="1251" customFormat="false" ht="15.75" hidden="false" customHeight="true" outlineLevel="0" collapsed="false">
      <c r="A1251" s="108" t="s">
        <v>3611</v>
      </c>
      <c r="B1251" s="82"/>
      <c r="C1251" s="120" t="s">
        <v>3612</v>
      </c>
      <c r="D1251" s="121"/>
      <c r="E1251" s="108" t="s">
        <v>821</v>
      </c>
      <c r="F1251" s="114"/>
      <c r="G1251" s="120" t="s">
        <v>822</v>
      </c>
      <c r="H1251" s="82"/>
      <c r="I1251" s="111" t="n">
        <v>5993</v>
      </c>
      <c r="J1251" s="110"/>
      <c r="K1251" s="120" t="s">
        <v>3613</v>
      </c>
      <c r="L1251" s="110"/>
      <c r="M1251" s="112"/>
      <c r="N1251" s="82"/>
      <c r="O1251" s="108"/>
      <c r="P1251" s="108"/>
      <c r="Q1251" s="108"/>
      <c r="R1251" s="108"/>
      <c r="S1251" s="108"/>
      <c r="T1251" s="108"/>
      <c r="U1251" s="108"/>
      <c r="V1251" s="108"/>
      <c r="W1251" s="108"/>
      <c r="X1251" s="108"/>
      <c r="Y1251" s="108"/>
      <c r="Z1251" s="108"/>
      <c r="AA1251" s="108"/>
      <c r="AB1251" s="108"/>
      <c r="AC1251" s="108"/>
    </row>
    <row r="1252" customFormat="false" ht="15.75" hidden="false" customHeight="true" outlineLevel="0" collapsed="false">
      <c r="A1252" s="108" t="s">
        <v>3614</v>
      </c>
      <c r="B1252" s="82"/>
      <c r="C1252" s="120" t="s">
        <v>3615</v>
      </c>
      <c r="D1252" s="121"/>
      <c r="E1252" s="108" t="s">
        <v>2655</v>
      </c>
      <c r="F1252" s="114"/>
      <c r="G1252" s="120" t="s">
        <v>2661</v>
      </c>
      <c r="H1252" s="82"/>
      <c r="I1252" s="111" t="n">
        <v>6011</v>
      </c>
      <c r="J1252" s="110"/>
      <c r="K1252" s="120" t="s">
        <v>3616</v>
      </c>
      <c r="L1252" s="110"/>
      <c r="M1252" s="112"/>
      <c r="N1252" s="82"/>
      <c r="O1252" s="108"/>
      <c r="P1252" s="108"/>
      <c r="Q1252" s="108"/>
      <c r="R1252" s="108"/>
      <c r="S1252" s="108"/>
      <c r="T1252" s="108"/>
      <c r="U1252" s="108"/>
      <c r="V1252" s="108"/>
      <c r="W1252" s="108"/>
      <c r="X1252" s="108"/>
      <c r="Y1252" s="108"/>
      <c r="Z1252" s="108"/>
      <c r="AA1252" s="108"/>
      <c r="AB1252" s="108"/>
      <c r="AC1252" s="108"/>
    </row>
    <row r="1253" customFormat="false" ht="15.75" hidden="false" customHeight="true" outlineLevel="0" collapsed="false">
      <c r="A1253" s="108" t="s">
        <v>3617</v>
      </c>
      <c r="B1253" s="82"/>
      <c r="C1253" s="120" t="s">
        <v>3618</v>
      </c>
      <c r="D1253" s="121"/>
      <c r="E1253" s="108" t="s">
        <v>2655</v>
      </c>
      <c r="F1253" s="114"/>
      <c r="G1253" s="120" t="s">
        <v>2656</v>
      </c>
      <c r="H1253" s="82"/>
      <c r="I1253" s="111" t="n">
        <v>6012</v>
      </c>
      <c r="J1253" s="110"/>
      <c r="K1253" s="120" t="s">
        <v>3619</v>
      </c>
      <c r="L1253" s="110"/>
      <c r="M1253" s="112"/>
      <c r="N1253" s="82"/>
      <c r="O1253" s="108"/>
      <c r="P1253" s="108"/>
      <c r="Q1253" s="108"/>
      <c r="R1253" s="108"/>
      <c r="S1253" s="108"/>
      <c r="T1253" s="108"/>
      <c r="U1253" s="108"/>
      <c r="V1253" s="108"/>
      <c r="W1253" s="108"/>
      <c r="X1253" s="108"/>
      <c r="Y1253" s="108"/>
      <c r="Z1253" s="108"/>
      <c r="AA1253" s="108"/>
      <c r="AB1253" s="108"/>
      <c r="AC1253" s="108"/>
    </row>
    <row r="1254" customFormat="false" ht="15.75" hidden="false" customHeight="true" outlineLevel="0" collapsed="false">
      <c r="A1254" s="108" t="s">
        <v>3620</v>
      </c>
      <c r="B1254" s="82"/>
      <c r="C1254" s="120" t="s">
        <v>3621</v>
      </c>
      <c r="D1254" s="121"/>
      <c r="E1254" s="108" t="s">
        <v>2655</v>
      </c>
      <c r="F1254" s="114"/>
      <c r="G1254" s="120" t="s">
        <v>2656</v>
      </c>
      <c r="H1254" s="82"/>
      <c r="I1254" s="111" t="n">
        <v>6012</v>
      </c>
      <c r="J1254" s="110"/>
      <c r="K1254" s="120" t="s">
        <v>3619</v>
      </c>
      <c r="L1254" s="110"/>
      <c r="M1254" s="112"/>
      <c r="N1254" s="82"/>
      <c r="O1254" s="108"/>
      <c r="P1254" s="108"/>
      <c r="Q1254" s="108"/>
      <c r="R1254" s="108"/>
      <c r="S1254" s="108"/>
      <c r="T1254" s="108"/>
      <c r="U1254" s="108"/>
      <c r="V1254" s="108"/>
      <c r="W1254" s="108"/>
      <c r="X1254" s="108"/>
      <c r="Y1254" s="108"/>
      <c r="Z1254" s="108"/>
      <c r="AA1254" s="108"/>
      <c r="AB1254" s="108"/>
      <c r="AC1254" s="108"/>
    </row>
    <row r="1255" customFormat="false" ht="15.75" hidden="false" customHeight="true" outlineLevel="0" collapsed="false">
      <c r="A1255" s="108" t="s">
        <v>3622</v>
      </c>
      <c r="B1255" s="82"/>
      <c r="C1255" s="120" t="s">
        <v>3623</v>
      </c>
      <c r="D1255" s="121"/>
      <c r="E1255" s="108" t="s">
        <v>2655</v>
      </c>
      <c r="F1255" s="114"/>
      <c r="G1255" s="120" t="s">
        <v>2656</v>
      </c>
      <c r="H1255" s="82"/>
      <c r="I1255" s="111" t="n">
        <v>6012</v>
      </c>
      <c r="J1255" s="110"/>
      <c r="K1255" s="120" t="s">
        <v>3619</v>
      </c>
      <c r="L1255" s="110"/>
      <c r="M1255" s="112"/>
      <c r="N1255" s="82"/>
      <c r="O1255" s="108"/>
      <c r="P1255" s="108"/>
      <c r="Q1255" s="108"/>
      <c r="R1255" s="108"/>
      <c r="S1255" s="108"/>
      <c r="T1255" s="108"/>
      <c r="U1255" s="108"/>
      <c r="V1255" s="108"/>
      <c r="W1255" s="108"/>
      <c r="X1255" s="108"/>
      <c r="Y1255" s="108"/>
      <c r="Z1255" s="108"/>
      <c r="AA1255" s="108"/>
      <c r="AB1255" s="108"/>
      <c r="AC1255" s="108"/>
    </row>
    <row r="1256" customFormat="false" ht="15.75" hidden="false" customHeight="true" outlineLevel="0" collapsed="false">
      <c r="A1256" s="108" t="s">
        <v>3624</v>
      </c>
      <c r="B1256" s="82"/>
      <c r="C1256" s="120" t="s">
        <v>3625</v>
      </c>
      <c r="D1256" s="121"/>
      <c r="E1256" s="108" t="s">
        <v>2655</v>
      </c>
      <c r="F1256" s="114"/>
      <c r="G1256" s="120" t="s">
        <v>2656</v>
      </c>
      <c r="H1256" s="82"/>
      <c r="I1256" s="111" t="n">
        <v>6012</v>
      </c>
      <c r="J1256" s="110"/>
      <c r="K1256" s="120" t="s">
        <v>3619</v>
      </c>
      <c r="L1256" s="110"/>
      <c r="M1256" s="112"/>
      <c r="N1256" s="82"/>
      <c r="O1256" s="108"/>
      <c r="P1256" s="108"/>
      <c r="Q1256" s="108"/>
      <c r="R1256" s="108"/>
      <c r="S1256" s="108"/>
      <c r="T1256" s="108"/>
      <c r="U1256" s="108"/>
      <c r="V1256" s="108"/>
      <c r="W1256" s="108"/>
      <c r="X1256" s="108"/>
      <c r="Y1256" s="108"/>
      <c r="Z1256" s="108"/>
      <c r="AA1256" s="108"/>
      <c r="AB1256" s="108"/>
      <c r="AC1256" s="108"/>
    </row>
    <row r="1257" customFormat="false" ht="15.75" hidden="false" customHeight="true" outlineLevel="0" collapsed="false">
      <c r="A1257" s="108" t="s">
        <v>3626</v>
      </c>
      <c r="B1257" s="82"/>
      <c r="C1257" s="120" t="s">
        <v>3627</v>
      </c>
      <c r="D1257" s="121"/>
      <c r="E1257" s="108" t="s">
        <v>2655</v>
      </c>
      <c r="F1257" s="114"/>
      <c r="G1257" s="120" t="s">
        <v>2656</v>
      </c>
      <c r="H1257" s="82"/>
      <c r="I1257" s="111" t="n">
        <v>6012</v>
      </c>
      <c r="J1257" s="110"/>
      <c r="K1257" s="120" t="s">
        <v>3619</v>
      </c>
      <c r="L1257" s="110"/>
      <c r="M1257" s="112"/>
      <c r="N1257" s="82"/>
      <c r="O1257" s="108"/>
      <c r="P1257" s="108"/>
      <c r="Q1257" s="108"/>
      <c r="R1257" s="108"/>
      <c r="S1257" s="108"/>
      <c r="T1257" s="108"/>
      <c r="U1257" s="108"/>
      <c r="V1257" s="108"/>
      <c r="W1257" s="108"/>
      <c r="X1257" s="108"/>
      <c r="Y1257" s="108"/>
      <c r="Z1257" s="108"/>
      <c r="AA1257" s="108"/>
      <c r="AB1257" s="108"/>
      <c r="AC1257" s="108"/>
    </row>
    <row r="1258" customFormat="false" ht="15.75" hidden="false" customHeight="true" outlineLevel="0" collapsed="false">
      <c r="A1258" s="108" t="s">
        <v>3628</v>
      </c>
      <c r="B1258" s="82"/>
      <c r="C1258" s="120" t="s">
        <v>3629</v>
      </c>
      <c r="D1258" s="121"/>
      <c r="E1258" s="108" t="s">
        <v>2655</v>
      </c>
      <c r="F1258" s="114"/>
      <c r="G1258" s="120" t="s">
        <v>2656</v>
      </c>
      <c r="H1258" s="82"/>
      <c r="I1258" s="111" t="n">
        <v>6012</v>
      </c>
      <c r="J1258" s="110"/>
      <c r="K1258" s="120" t="s">
        <v>3619</v>
      </c>
      <c r="L1258" s="110"/>
      <c r="M1258" s="112"/>
      <c r="N1258" s="82"/>
      <c r="O1258" s="108"/>
      <c r="P1258" s="108"/>
      <c r="Q1258" s="108"/>
      <c r="R1258" s="108"/>
      <c r="S1258" s="108"/>
      <c r="T1258" s="108"/>
      <c r="U1258" s="108"/>
      <c r="V1258" s="108"/>
      <c r="W1258" s="108"/>
      <c r="X1258" s="108"/>
      <c r="Y1258" s="108"/>
      <c r="Z1258" s="108"/>
      <c r="AA1258" s="108"/>
      <c r="AB1258" s="108"/>
      <c r="AC1258" s="108"/>
    </row>
    <row r="1259" customFormat="false" ht="15.75" hidden="false" customHeight="true" outlineLevel="0" collapsed="false">
      <c r="A1259" s="108" t="s">
        <v>3630</v>
      </c>
      <c r="B1259" s="82"/>
      <c r="C1259" s="120" t="s">
        <v>3631</v>
      </c>
      <c r="D1259" s="121"/>
      <c r="E1259" s="108" t="s">
        <v>2655</v>
      </c>
      <c r="F1259" s="114"/>
      <c r="G1259" s="120" t="s">
        <v>2656</v>
      </c>
      <c r="H1259" s="82"/>
      <c r="I1259" s="111" t="n">
        <v>6012</v>
      </c>
      <c r="J1259" s="110"/>
      <c r="K1259" s="120" t="s">
        <v>3619</v>
      </c>
      <c r="L1259" s="110"/>
      <c r="M1259" s="112"/>
      <c r="N1259" s="82"/>
      <c r="O1259" s="108"/>
      <c r="P1259" s="108"/>
      <c r="Q1259" s="108"/>
      <c r="R1259" s="108"/>
      <c r="S1259" s="108"/>
      <c r="T1259" s="108"/>
      <c r="U1259" s="108"/>
      <c r="V1259" s="108"/>
      <c r="W1259" s="108"/>
      <c r="X1259" s="108"/>
      <c r="Y1259" s="108"/>
      <c r="Z1259" s="108"/>
      <c r="AA1259" s="108"/>
      <c r="AB1259" s="108"/>
      <c r="AC1259" s="108"/>
    </row>
    <row r="1260" customFormat="false" ht="15.75" hidden="false" customHeight="true" outlineLevel="0" collapsed="false">
      <c r="A1260" s="108" t="s">
        <v>3632</v>
      </c>
      <c r="B1260" s="82"/>
      <c r="C1260" s="120" t="s">
        <v>3633</v>
      </c>
      <c r="D1260" s="121"/>
      <c r="E1260" s="108" t="s">
        <v>2655</v>
      </c>
      <c r="F1260" s="114"/>
      <c r="G1260" s="120" t="s">
        <v>2656</v>
      </c>
      <c r="H1260" s="82"/>
      <c r="I1260" s="111" t="n">
        <v>6012</v>
      </c>
      <c r="J1260" s="110"/>
      <c r="K1260" s="120" t="s">
        <v>3619</v>
      </c>
      <c r="L1260" s="110"/>
      <c r="M1260" s="112"/>
      <c r="N1260" s="82"/>
      <c r="O1260" s="108"/>
      <c r="P1260" s="108"/>
      <c r="Q1260" s="108"/>
      <c r="R1260" s="108"/>
      <c r="S1260" s="108"/>
      <c r="T1260" s="108"/>
      <c r="U1260" s="108"/>
      <c r="V1260" s="108"/>
      <c r="W1260" s="108"/>
      <c r="X1260" s="108"/>
      <c r="Y1260" s="108"/>
      <c r="Z1260" s="108"/>
      <c r="AA1260" s="108"/>
      <c r="AB1260" s="108"/>
      <c r="AC1260" s="108"/>
    </row>
    <row r="1261" customFormat="false" ht="15.75" hidden="false" customHeight="true" outlineLevel="0" collapsed="false">
      <c r="A1261" s="108" t="s">
        <v>3634</v>
      </c>
      <c r="B1261" s="82"/>
      <c r="C1261" s="120" t="s">
        <v>3635</v>
      </c>
      <c r="D1261" s="121"/>
      <c r="E1261" s="108" t="s">
        <v>2655</v>
      </c>
      <c r="F1261" s="114"/>
      <c r="G1261" s="120" t="s">
        <v>2656</v>
      </c>
      <c r="H1261" s="82"/>
      <c r="I1261" s="111" t="n">
        <v>6012</v>
      </c>
      <c r="J1261" s="110"/>
      <c r="K1261" s="120" t="s">
        <v>3619</v>
      </c>
      <c r="L1261" s="110"/>
      <c r="M1261" s="112"/>
      <c r="N1261" s="82"/>
      <c r="O1261" s="108"/>
      <c r="P1261" s="108"/>
      <c r="Q1261" s="108"/>
      <c r="R1261" s="108"/>
      <c r="S1261" s="108"/>
      <c r="T1261" s="108"/>
      <c r="U1261" s="108"/>
      <c r="V1261" s="108"/>
      <c r="W1261" s="108"/>
      <c r="X1261" s="108"/>
      <c r="Y1261" s="108"/>
      <c r="Z1261" s="108"/>
      <c r="AA1261" s="108"/>
      <c r="AB1261" s="108"/>
      <c r="AC1261" s="108"/>
    </row>
    <row r="1262" customFormat="false" ht="15.75" hidden="false" customHeight="true" outlineLevel="0" collapsed="false">
      <c r="A1262" s="108" t="s">
        <v>3636</v>
      </c>
      <c r="B1262" s="82"/>
      <c r="C1262" s="120" t="s">
        <v>3637</v>
      </c>
      <c r="D1262" s="121"/>
      <c r="E1262" s="108" t="s">
        <v>2655</v>
      </c>
      <c r="F1262" s="114"/>
      <c r="G1262" s="120" t="s">
        <v>2656</v>
      </c>
      <c r="H1262" s="82"/>
      <c r="I1262" s="111" t="n">
        <v>6012</v>
      </c>
      <c r="J1262" s="110"/>
      <c r="K1262" s="120" t="s">
        <v>3619</v>
      </c>
      <c r="L1262" s="110"/>
      <c r="M1262" s="112"/>
      <c r="N1262" s="82"/>
      <c r="O1262" s="108"/>
      <c r="P1262" s="108"/>
      <c r="Q1262" s="108"/>
      <c r="R1262" s="108"/>
      <c r="S1262" s="108"/>
      <c r="T1262" s="108"/>
      <c r="U1262" s="108"/>
      <c r="V1262" s="108"/>
      <c r="W1262" s="108"/>
      <c r="X1262" s="108"/>
      <c r="Y1262" s="108"/>
      <c r="Z1262" s="108"/>
      <c r="AA1262" s="108"/>
      <c r="AB1262" s="108"/>
      <c r="AC1262" s="108"/>
    </row>
    <row r="1263" customFormat="false" ht="15.75" hidden="false" customHeight="true" outlineLevel="0" collapsed="false">
      <c r="A1263" s="108" t="s">
        <v>3638</v>
      </c>
      <c r="B1263" s="82"/>
      <c r="C1263" s="120" t="s">
        <v>3639</v>
      </c>
      <c r="D1263" s="121"/>
      <c r="E1263" s="108" t="s">
        <v>2655</v>
      </c>
      <c r="F1263" s="114"/>
      <c r="G1263" s="120" t="s">
        <v>2656</v>
      </c>
      <c r="H1263" s="82"/>
      <c r="I1263" s="111" t="n">
        <v>6012</v>
      </c>
      <c r="J1263" s="110"/>
      <c r="K1263" s="120" t="s">
        <v>3619</v>
      </c>
      <c r="L1263" s="110"/>
      <c r="M1263" s="112"/>
      <c r="N1263" s="82"/>
      <c r="O1263" s="108"/>
      <c r="P1263" s="108"/>
      <c r="Q1263" s="108"/>
      <c r="R1263" s="108"/>
      <c r="S1263" s="108"/>
      <c r="T1263" s="108"/>
      <c r="U1263" s="108"/>
      <c r="V1263" s="108"/>
      <c r="W1263" s="108"/>
      <c r="X1263" s="108"/>
      <c r="Y1263" s="108"/>
      <c r="Z1263" s="108"/>
      <c r="AA1263" s="108"/>
      <c r="AB1263" s="108"/>
      <c r="AC1263" s="108"/>
    </row>
    <row r="1264" customFormat="false" ht="15.75" hidden="false" customHeight="true" outlineLevel="0" collapsed="false">
      <c r="A1264" s="108" t="s">
        <v>3640</v>
      </c>
      <c r="B1264" s="82"/>
      <c r="C1264" s="120" t="s">
        <v>3641</v>
      </c>
      <c r="D1264" s="121"/>
      <c r="E1264" s="108" t="s">
        <v>2655</v>
      </c>
      <c r="F1264" s="114"/>
      <c r="G1264" s="120" t="s">
        <v>2656</v>
      </c>
      <c r="H1264" s="82"/>
      <c r="I1264" s="111" t="n">
        <v>6012</v>
      </c>
      <c r="J1264" s="110"/>
      <c r="K1264" s="120" t="s">
        <v>3619</v>
      </c>
      <c r="L1264" s="110"/>
      <c r="M1264" s="112"/>
      <c r="N1264" s="82"/>
      <c r="O1264" s="108"/>
      <c r="P1264" s="108"/>
      <c r="Q1264" s="108"/>
      <c r="R1264" s="108"/>
      <c r="S1264" s="108"/>
      <c r="T1264" s="108"/>
      <c r="U1264" s="108"/>
      <c r="V1264" s="108"/>
      <c r="W1264" s="108"/>
      <c r="X1264" s="108"/>
      <c r="Y1264" s="108"/>
      <c r="Z1264" s="108"/>
      <c r="AA1264" s="108"/>
      <c r="AB1264" s="108"/>
      <c r="AC1264" s="108"/>
    </row>
    <row r="1265" customFormat="false" ht="15.75" hidden="false" customHeight="true" outlineLevel="0" collapsed="false">
      <c r="A1265" s="108" t="s">
        <v>3642</v>
      </c>
      <c r="B1265" s="82"/>
      <c r="C1265" s="120" t="s">
        <v>3643</v>
      </c>
      <c r="D1265" s="121"/>
      <c r="E1265" s="108" t="s">
        <v>2655</v>
      </c>
      <c r="F1265" s="114"/>
      <c r="G1265" s="120" t="s">
        <v>2656</v>
      </c>
      <c r="H1265" s="82"/>
      <c r="I1265" s="111" t="n">
        <v>6012</v>
      </c>
      <c r="J1265" s="110"/>
      <c r="K1265" s="120" t="s">
        <v>3619</v>
      </c>
      <c r="L1265" s="110"/>
      <c r="M1265" s="112"/>
      <c r="N1265" s="82"/>
      <c r="O1265" s="108"/>
      <c r="P1265" s="108"/>
      <c r="Q1265" s="108"/>
      <c r="R1265" s="108"/>
      <c r="S1265" s="108"/>
      <c r="T1265" s="108"/>
      <c r="U1265" s="108"/>
      <c r="V1265" s="108"/>
      <c r="W1265" s="108"/>
      <c r="X1265" s="108"/>
      <c r="Y1265" s="108"/>
      <c r="Z1265" s="108"/>
      <c r="AA1265" s="108"/>
      <c r="AB1265" s="108"/>
      <c r="AC1265" s="108"/>
    </row>
    <row r="1266" customFormat="false" ht="15.75" hidden="false" customHeight="true" outlineLevel="0" collapsed="false">
      <c r="A1266" s="108" t="s">
        <v>3644</v>
      </c>
      <c r="B1266" s="82"/>
      <c r="C1266" s="120" t="s">
        <v>3645</v>
      </c>
      <c r="D1266" s="121"/>
      <c r="E1266" s="108" t="s">
        <v>2655</v>
      </c>
      <c r="F1266" s="114"/>
      <c r="G1266" s="120" t="s">
        <v>2656</v>
      </c>
      <c r="H1266" s="82"/>
      <c r="I1266" s="111" t="n">
        <v>6012</v>
      </c>
      <c r="J1266" s="110"/>
      <c r="K1266" s="120" t="s">
        <v>3619</v>
      </c>
      <c r="L1266" s="110"/>
      <c r="M1266" s="112"/>
      <c r="N1266" s="82"/>
      <c r="O1266" s="108"/>
      <c r="P1266" s="108"/>
      <c r="Q1266" s="108"/>
      <c r="R1266" s="108"/>
      <c r="S1266" s="108"/>
      <c r="T1266" s="108"/>
      <c r="U1266" s="108"/>
      <c r="V1266" s="108"/>
      <c r="W1266" s="108"/>
      <c r="X1266" s="108"/>
      <c r="Y1266" s="108"/>
      <c r="Z1266" s="108"/>
      <c r="AA1266" s="108"/>
      <c r="AB1266" s="108"/>
      <c r="AC1266" s="108"/>
    </row>
    <row r="1267" customFormat="false" ht="15.75" hidden="false" customHeight="true" outlineLevel="0" collapsed="false">
      <c r="A1267" s="108" t="s">
        <v>3646</v>
      </c>
      <c r="B1267" s="82"/>
      <c r="C1267" s="120" t="s">
        <v>3647</v>
      </c>
      <c r="D1267" s="121"/>
      <c r="E1267" s="108" t="s">
        <v>2655</v>
      </c>
      <c r="F1267" s="114"/>
      <c r="G1267" s="120" t="s">
        <v>2656</v>
      </c>
      <c r="H1267" s="82"/>
      <c r="I1267" s="111" t="n">
        <v>6012</v>
      </c>
      <c r="J1267" s="110"/>
      <c r="K1267" s="120" t="s">
        <v>3619</v>
      </c>
      <c r="L1267" s="110"/>
      <c r="M1267" s="112"/>
      <c r="N1267" s="82"/>
      <c r="O1267" s="108"/>
      <c r="P1267" s="108"/>
      <c r="Q1267" s="108"/>
      <c r="R1267" s="108"/>
      <c r="S1267" s="108"/>
      <c r="T1267" s="108"/>
      <c r="U1267" s="108"/>
      <c r="V1267" s="108"/>
      <c r="W1267" s="108"/>
      <c r="X1267" s="108"/>
      <c r="Y1267" s="108"/>
      <c r="Z1267" s="108"/>
      <c r="AA1267" s="108"/>
      <c r="AB1267" s="108"/>
      <c r="AC1267" s="108"/>
    </row>
    <row r="1268" customFormat="false" ht="15.75" hidden="false" customHeight="true" outlineLevel="0" collapsed="false">
      <c r="A1268" s="108" t="s">
        <v>3648</v>
      </c>
      <c r="B1268" s="82"/>
      <c r="C1268" s="120" t="s">
        <v>3649</v>
      </c>
      <c r="D1268" s="121"/>
      <c r="E1268" s="108" t="s">
        <v>2655</v>
      </c>
      <c r="F1268" s="114"/>
      <c r="G1268" s="120" t="s">
        <v>2656</v>
      </c>
      <c r="H1268" s="82"/>
      <c r="I1268" s="111" t="n">
        <v>6012</v>
      </c>
      <c r="J1268" s="110"/>
      <c r="K1268" s="120" t="s">
        <v>3619</v>
      </c>
      <c r="L1268" s="110"/>
      <c r="M1268" s="112"/>
      <c r="N1268" s="82"/>
      <c r="O1268" s="108"/>
      <c r="P1268" s="108"/>
      <c r="Q1268" s="108"/>
      <c r="R1268" s="108"/>
      <c r="S1268" s="108"/>
      <c r="T1268" s="108"/>
      <c r="U1268" s="108"/>
      <c r="V1268" s="108"/>
      <c r="W1268" s="108"/>
      <c r="X1268" s="108"/>
      <c r="Y1268" s="108"/>
      <c r="Z1268" s="108"/>
      <c r="AA1268" s="108"/>
      <c r="AB1268" s="108"/>
      <c r="AC1268" s="108"/>
    </row>
    <row r="1269" customFormat="false" ht="15.75" hidden="false" customHeight="true" outlineLevel="0" collapsed="false">
      <c r="A1269" s="108" t="s">
        <v>3650</v>
      </c>
      <c r="B1269" s="82"/>
      <c r="C1269" s="120" t="s">
        <v>3651</v>
      </c>
      <c r="D1269" s="121"/>
      <c r="E1269" s="108" t="s">
        <v>2655</v>
      </c>
      <c r="F1269" s="114"/>
      <c r="G1269" s="120" t="s">
        <v>2656</v>
      </c>
      <c r="H1269" s="82"/>
      <c r="I1269" s="111" t="n">
        <v>6012</v>
      </c>
      <c r="J1269" s="110"/>
      <c r="K1269" s="120" t="s">
        <v>3619</v>
      </c>
      <c r="L1269" s="110"/>
      <c r="M1269" s="112"/>
      <c r="N1269" s="82"/>
      <c r="O1269" s="108"/>
      <c r="P1269" s="108"/>
      <c r="Q1269" s="108"/>
      <c r="R1269" s="108"/>
      <c r="S1269" s="108"/>
      <c r="T1269" s="108"/>
      <c r="U1269" s="108"/>
      <c r="V1269" s="108"/>
      <c r="W1269" s="108"/>
      <c r="X1269" s="108"/>
      <c r="Y1269" s="108"/>
      <c r="Z1269" s="108"/>
      <c r="AA1269" s="108"/>
      <c r="AB1269" s="108"/>
      <c r="AC1269" s="108"/>
    </row>
    <row r="1270" customFormat="false" ht="15.75" hidden="false" customHeight="true" outlineLevel="0" collapsed="false">
      <c r="A1270" s="108" t="s">
        <v>3652</v>
      </c>
      <c r="B1270" s="82"/>
      <c r="C1270" s="120" t="s">
        <v>3653</v>
      </c>
      <c r="D1270" s="121"/>
      <c r="E1270" s="108" t="s">
        <v>2655</v>
      </c>
      <c r="F1270" s="114"/>
      <c r="G1270" s="120" t="s">
        <v>2656</v>
      </c>
      <c r="H1270" s="82"/>
      <c r="I1270" s="111" t="n">
        <v>6012</v>
      </c>
      <c r="J1270" s="110"/>
      <c r="K1270" s="120" t="s">
        <v>3619</v>
      </c>
      <c r="L1270" s="110"/>
      <c r="M1270" s="112"/>
      <c r="N1270" s="82"/>
      <c r="O1270" s="108"/>
      <c r="P1270" s="108"/>
      <c r="Q1270" s="108"/>
      <c r="R1270" s="108"/>
      <c r="S1270" s="108"/>
      <c r="T1270" s="108"/>
      <c r="U1270" s="108"/>
      <c r="V1270" s="108"/>
      <c r="W1270" s="108"/>
      <c r="X1270" s="108"/>
      <c r="Y1270" s="108"/>
      <c r="Z1270" s="108"/>
      <c r="AA1270" s="108"/>
      <c r="AB1270" s="108"/>
      <c r="AC1270" s="108"/>
    </row>
    <row r="1271" customFormat="false" ht="15.75" hidden="false" customHeight="true" outlineLevel="0" collapsed="false">
      <c r="A1271" s="108" t="s">
        <v>3654</v>
      </c>
      <c r="B1271" s="82"/>
      <c r="C1271" s="120" t="s">
        <v>3655</v>
      </c>
      <c r="D1271" s="121"/>
      <c r="E1271" s="108" t="s">
        <v>2655</v>
      </c>
      <c r="F1271" s="114"/>
      <c r="G1271" s="120" t="s">
        <v>2656</v>
      </c>
      <c r="H1271" s="82"/>
      <c r="I1271" s="111" t="n">
        <v>6012</v>
      </c>
      <c r="J1271" s="110"/>
      <c r="K1271" s="120" t="s">
        <v>3619</v>
      </c>
      <c r="L1271" s="110"/>
      <c r="M1271" s="112"/>
      <c r="N1271" s="82"/>
      <c r="O1271" s="108"/>
      <c r="P1271" s="108"/>
      <c r="Q1271" s="108"/>
      <c r="R1271" s="108"/>
      <c r="S1271" s="108"/>
      <c r="T1271" s="108"/>
      <c r="U1271" s="108"/>
      <c r="V1271" s="108"/>
      <c r="W1271" s="108"/>
      <c r="X1271" s="108"/>
      <c r="Y1271" s="108"/>
      <c r="Z1271" s="108"/>
      <c r="AA1271" s="108"/>
      <c r="AB1271" s="108"/>
      <c r="AC1271" s="108"/>
    </row>
    <row r="1272" customFormat="false" ht="15.75" hidden="false" customHeight="true" outlineLevel="0" collapsed="false">
      <c r="A1272" s="108" t="s">
        <v>3656</v>
      </c>
      <c r="B1272" s="82"/>
      <c r="C1272" s="120" t="s">
        <v>3657</v>
      </c>
      <c r="D1272" s="121"/>
      <c r="E1272" s="108" t="s">
        <v>2655</v>
      </c>
      <c r="F1272" s="114"/>
      <c r="G1272" s="120" t="s">
        <v>2656</v>
      </c>
      <c r="H1272" s="82"/>
      <c r="I1272" s="111" t="n">
        <v>6012</v>
      </c>
      <c r="J1272" s="110"/>
      <c r="K1272" s="120" t="s">
        <v>3619</v>
      </c>
      <c r="L1272" s="110"/>
      <c r="M1272" s="112"/>
      <c r="N1272" s="82"/>
      <c r="O1272" s="108"/>
      <c r="P1272" s="108"/>
      <c r="Q1272" s="108"/>
      <c r="R1272" s="108"/>
      <c r="S1272" s="108"/>
      <c r="T1272" s="108"/>
      <c r="U1272" s="108"/>
      <c r="V1272" s="108"/>
      <c r="W1272" s="108"/>
      <c r="X1272" s="108"/>
      <c r="Y1272" s="108"/>
      <c r="Z1272" s="108"/>
      <c r="AA1272" s="108"/>
      <c r="AB1272" s="108"/>
      <c r="AC1272" s="108"/>
    </row>
    <row r="1273" customFormat="false" ht="15.75" hidden="false" customHeight="true" outlineLevel="0" collapsed="false">
      <c r="A1273" s="108" t="s">
        <v>3658</v>
      </c>
      <c r="B1273" s="82"/>
      <c r="C1273" s="120" t="s">
        <v>3659</v>
      </c>
      <c r="D1273" s="121"/>
      <c r="E1273" s="108" t="s">
        <v>2655</v>
      </c>
      <c r="F1273" s="114"/>
      <c r="G1273" s="120" t="s">
        <v>2656</v>
      </c>
      <c r="H1273" s="82"/>
      <c r="I1273" s="111" t="n">
        <v>6012</v>
      </c>
      <c r="J1273" s="110"/>
      <c r="K1273" s="120" t="s">
        <v>3619</v>
      </c>
      <c r="L1273" s="110"/>
      <c r="M1273" s="112"/>
      <c r="N1273" s="82"/>
      <c r="O1273" s="108"/>
      <c r="P1273" s="108"/>
      <c r="Q1273" s="108"/>
      <c r="R1273" s="108"/>
      <c r="S1273" s="108"/>
      <c r="T1273" s="108"/>
      <c r="U1273" s="108"/>
      <c r="V1273" s="108"/>
      <c r="W1273" s="108"/>
      <c r="X1273" s="108"/>
      <c r="Y1273" s="108"/>
      <c r="Z1273" s="108"/>
      <c r="AA1273" s="108"/>
      <c r="AB1273" s="108"/>
      <c r="AC1273" s="108"/>
    </row>
    <row r="1274" customFormat="false" ht="15.75" hidden="false" customHeight="true" outlineLevel="0" collapsed="false">
      <c r="A1274" s="108" t="s">
        <v>3660</v>
      </c>
      <c r="B1274" s="82"/>
      <c r="C1274" s="120" t="s">
        <v>3661</v>
      </c>
      <c r="D1274" s="121"/>
      <c r="E1274" s="108" t="s">
        <v>2655</v>
      </c>
      <c r="F1274" s="114"/>
      <c r="G1274" s="120" t="s">
        <v>2656</v>
      </c>
      <c r="H1274" s="82"/>
      <c r="I1274" s="111" t="n">
        <v>6012</v>
      </c>
      <c r="J1274" s="110"/>
      <c r="K1274" s="120" t="s">
        <v>3619</v>
      </c>
      <c r="L1274" s="110"/>
      <c r="M1274" s="112"/>
      <c r="N1274" s="82"/>
      <c r="O1274" s="108"/>
      <c r="P1274" s="108"/>
      <c r="Q1274" s="108"/>
      <c r="R1274" s="108"/>
      <c r="S1274" s="108"/>
      <c r="T1274" s="108"/>
      <c r="U1274" s="108"/>
      <c r="V1274" s="108"/>
      <c r="W1274" s="108"/>
      <c r="X1274" s="108"/>
      <c r="Y1274" s="108"/>
      <c r="Z1274" s="108"/>
      <c r="AA1274" s="108"/>
      <c r="AB1274" s="108"/>
      <c r="AC1274" s="108"/>
    </row>
    <row r="1275" customFormat="false" ht="15.75" hidden="false" customHeight="true" outlineLevel="0" collapsed="false">
      <c r="A1275" s="108" t="s">
        <v>3662</v>
      </c>
      <c r="B1275" s="82"/>
      <c r="C1275" s="120" t="s">
        <v>3663</v>
      </c>
      <c r="D1275" s="121"/>
      <c r="E1275" s="108" t="s">
        <v>2655</v>
      </c>
      <c r="F1275" s="114"/>
      <c r="G1275" s="120" t="s">
        <v>2656</v>
      </c>
      <c r="H1275" s="82"/>
      <c r="I1275" s="111" t="n">
        <v>6012</v>
      </c>
      <c r="J1275" s="110"/>
      <c r="K1275" s="120" t="s">
        <v>3619</v>
      </c>
      <c r="L1275" s="110"/>
      <c r="M1275" s="112"/>
      <c r="N1275" s="82"/>
      <c r="O1275" s="108"/>
      <c r="P1275" s="108"/>
      <c r="Q1275" s="108"/>
      <c r="R1275" s="108"/>
      <c r="S1275" s="108"/>
      <c r="T1275" s="108"/>
      <c r="U1275" s="108"/>
      <c r="V1275" s="108"/>
      <c r="W1275" s="108"/>
      <c r="X1275" s="108"/>
      <c r="Y1275" s="108"/>
      <c r="Z1275" s="108"/>
      <c r="AA1275" s="108"/>
      <c r="AB1275" s="108"/>
      <c r="AC1275" s="108"/>
    </row>
    <row r="1276" customFormat="false" ht="15.75" hidden="false" customHeight="true" outlineLevel="0" collapsed="false">
      <c r="A1276" s="108" t="s">
        <v>3664</v>
      </c>
      <c r="B1276" s="82"/>
      <c r="C1276" s="120" t="s">
        <v>3665</v>
      </c>
      <c r="D1276" s="121"/>
      <c r="E1276" s="108" t="s">
        <v>2655</v>
      </c>
      <c r="F1276" s="114"/>
      <c r="G1276" s="120" t="s">
        <v>2656</v>
      </c>
      <c r="H1276" s="82"/>
      <c r="I1276" s="111" t="n">
        <v>6012</v>
      </c>
      <c r="J1276" s="110"/>
      <c r="K1276" s="120" t="s">
        <v>3619</v>
      </c>
      <c r="L1276" s="110"/>
      <c r="M1276" s="112"/>
      <c r="N1276" s="82"/>
      <c r="O1276" s="108"/>
      <c r="P1276" s="108"/>
      <c r="Q1276" s="108"/>
      <c r="R1276" s="108"/>
      <c r="S1276" s="108"/>
      <c r="T1276" s="108"/>
      <c r="U1276" s="108"/>
      <c r="V1276" s="108"/>
      <c r="W1276" s="108"/>
      <c r="X1276" s="108"/>
      <c r="Y1276" s="108"/>
      <c r="Z1276" s="108"/>
      <c r="AA1276" s="108"/>
      <c r="AB1276" s="108"/>
      <c r="AC1276" s="108"/>
    </row>
    <row r="1277" customFormat="false" ht="15.75" hidden="false" customHeight="true" outlineLevel="0" collapsed="false">
      <c r="A1277" s="108" t="s">
        <v>3666</v>
      </c>
      <c r="B1277" s="82"/>
      <c r="C1277" s="120" t="s">
        <v>3667</v>
      </c>
      <c r="D1277" s="121"/>
      <c r="E1277" s="108" t="s">
        <v>2655</v>
      </c>
      <c r="F1277" s="114"/>
      <c r="G1277" s="120" t="s">
        <v>2656</v>
      </c>
      <c r="H1277" s="82"/>
      <c r="I1277" s="111" t="n">
        <v>6012</v>
      </c>
      <c r="J1277" s="110"/>
      <c r="K1277" s="120" t="s">
        <v>3619</v>
      </c>
      <c r="L1277" s="110"/>
      <c r="M1277" s="112"/>
      <c r="N1277" s="82"/>
      <c r="O1277" s="108"/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/>
      <c r="AB1277" s="108"/>
      <c r="AC1277" s="108"/>
    </row>
    <row r="1278" customFormat="false" ht="15.75" hidden="false" customHeight="true" outlineLevel="0" collapsed="false">
      <c r="A1278" s="108" t="s">
        <v>3668</v>
      </c>
      <c r="B1278" s="82"/>
      <c r="C1278" s="120" t="s">
        <v>3669</v>
      </c>
      <c r="D1278" s="121"/>
      <c r="E1278" s="108" t="s">
        <v>2655</v>
      </c>
      <c r="F1278" s="114"/>
      <c r="G1278" s="120" t="s">
        <v>2656</v>
      </c>
      <c r="H1278" s="82"/>
      <c r="I1278" s="111" t="n">
        <v>6012</v>
      </c>
      <c r="J1278" s="110"/>
      <c r="K1278" s="120" t="s">
        <v>3619</v>
      </c>
      <c r="L1278" s="110"/>
      <c r="M1278" s="112"/>
      <c r="N1278" s="82"/>
      <c r="O1278" s="108"/>
      <c r="P1278" s="108"/>
      <c r="Q1278" s="108"/>
      <c r="R1278" s="108"/>
      <c r="S1278" s="108"/>
      <c r="T1278" s="108"/>
      <c r="U1278" s="108"/>
      <c r="V1278" s="108"/>
      <c r="W1278" s="108"/>
      <c r="X1278" s="108"/>
      <c r="Y1278" s="108"/>
      <c r="Z1278" s="108"/>
      <c r="AA1278" s="108"/>
      <c r="AB1278" s="108"/>
      <c r="AC1278" s="108"/>
    </row>
    <row r="1279" customFormat="false" ht="15.75" hidden="false" customHeight="true" outlineLevel="0" collapsed="false">
      <c r="A1279" s="108" t="s">
        <v>3670</v>
      </c>
      <c r="B1279" s="82"/>
      <c r="C1279" s="120" t="s">
        <v>3671</v>
      </c>
      <c r="D1279" s="121"/>
      <c r="E1279" s="108" t="s">
        <v>2655</v>
      </c>
      <c r="F1279" s="114"/>
      <c r="G1279" s="120" t="s">
        <v>2656</v>
      </c>
      <c r="H1279" s="82"/>
      <c r="I1279" s="111" t="n">
        <v>6012</v>
      </c>
      <c r="J1279" s="110"/>
      <c r="K1279" s="120" t="s">
        <v>3619</v>
      </c>
      <c r="L1279" s="110"/>
      <c r="M1279" s="112"/>
      <c r="N1279" s="82"/>
      <c r="O1279" s="108"/>
      <c r="P1279" s="108"/>
      <c r="Q1279" s="108"/>
      <c r="R1279" s="108"/>
      <c r="S1279" s="108"/>
      <c r="T1279" s="108"/>
      <c r="U1279" s="108"/>
      <c r="V1279" s="108"/>
      <c r="W1279" s="108"/>
      <c r="X1279" s="108"/>
      <c r="Y1279" s="108"/>
      <c r="Z1279" s="108"/>
      <c r="AA1279" s="108"/>
      <c r="AB1279" s="108"/>
      <c r="AC1279" s="108"/>
    </row>
    <row r="1280" customFormat="false" ht="15.75" hidden="false" customHeight="true" outlineLevel="0" collapsed="false">
      <c r="A1280" s="108" t="s">
        <v>3672</v>
      </c>
      <c r="B1280" s="82"/>
      <c r="C1280" s="120" t="s">
        <v>3673</v>
      </c>
      <c r="D1280" s="121"/>
      <c r="E1280" s="108" t="s">
        <v>2655</v>
      </c>
      <c r="F1280" s="114"/>
      <c r="G1280" s="120" t="s">
        <v>2656</v>
      </c>
      <c r="H1280" s="82"/>
      <c r="I1280" s="111" t="n">
        <v>6012</v>
      </c>
      <c r="J1280" s="110"/>
      <c r="K1280" s="120" t="s">
        <v>3619</v>
      </c>
      <c r="L1280" s="110"/>
      <c r="M1280" s="112"/>
      <c r="N1280" s="82"/>
      <c r="O1280" s="108"/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/>
      <c r="AB1280" s="108"/>
      <c r="AC1280" s="108"/>
    </row>
    <row r="1281" customFormat="false" ht="15.75" hidden="false" customHeight="true" outlineLevel="0" collapsed="false">
      <c r="A1281" s="108" t="s">
        <v>3674</v>
      </c>
      <c r="B1281" s="82"/>
      <c r="C1281" s="120" t="s">
        <v>3675</v>
      </c>
      <c r="D1281" s="121"/>
      <c r="E1281" s="108" t="s">
        <v>2655</v>
      </c>
      <c r="F1281" s="114"/>
      <c r="G1281" s="120" t="s">
        <v>2661</v>
      </c>
      <c r="H1281" s="82"/>
      <c r="I1281" s="111" t="n">
        <v>6012</v>
      </c>
      <c r="J1281" s="110"/>
      <c r="K1281" s="120" t="s">
        <v>3619</v>
      </c>
      <c r="L1281" s="110"/>
      <c r="M1281" s="112"/>
      <c r="N1281" s="82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</row>
    <row r="1282" customFormat="false" ht="15.75" hidden="false" customHeight="true" outlineLevel="0" collapsed="false">
      <c r="A1282" s="108" t="s">
        <v>3676</v>
      </c>
      <c r="B1282" s="82"/>
      <c r="C1282" s="120" t="s">
        <v>3677</v>
      </c>
      <c r="D1282" s="121"/>
      <c r="E1282" s="108" t="s">
        <v>2655</v>
      </c>
      <c r="F1282" s="114"/>
      <c r="G1282" s="120" t="s">
        <v>2661</v>
      </c>
      <c r="H1282" s="82"/>
      <c r="I1282" s="111" t="n">
        <v>6012</v>
      </c>
      <c r="J1282" s="110"/>
      <c r="K1282" s="120" t="s">
        <v>3619</v>
      </c>
      <c r="L1282" s="110"/>
      <c r="M1282" s="112"/>
      <c r="N1282" s="82"/>
      <c r="O1282" s="108"/>
      <c r="P1282" s="108"/>
      <c r="Q1282" s="108"/>
      <c r="R1282" s="108"/>
      <c r="S1282" s="108"/>
      <c r="T1282" s="108"/>
      <c r="U1282" s="108"/>
      <c r="V1282" s="108"/>
      <c r="W1282" s="108"/>
      <c r="X1282" s="108"/>
      <c r="Y1282" s="108"/>
      <c r="Z1282" s="108"/>
      <c r="AA1282" s="108"/>
      <c r="AB1282" s="108"/>
      <c r="AC1282" s="108"/>
    </row>
    <row r="1283" customFormat="false" ht="15.75" hidden="false" customHeight="true" outlineLevel="0" collapsed="false">
      <c r="A1283" s="108" t="s">
        <v>3678</v>
      </c>
      <c r="B1283" s="82"/>
      <c r="C1283" s="120" t="s">
        <v>3679</v>
      </c>
      <c r="D1283" s="121"/>
      <c r="E1283" s="108" t="s">
        <v>2655</v>
      </c>
      <c r="F1283" s="114"/>
      <c r="G1283" s="120" t="s">
        <v>2661</v>
      </c>
      <c r="H1283" s="82"/>
      <c r="I1283" s="111" t="n">
        <v>6012</v>
      </c>
      <c r="J1283" s="110"/>
      <c r="K1283" s="120" t="s">
        <v>3619</v>
      </c>
      <c r="L1283" s="110"/>
      <c r="M1283" s="112"/>
      <c r="N1283" s="82"/>
      <c r="O1283" s="108"/>
      <c r="P1283" s="108"/>
      <c r="Q1283" s="108"/>
      <c r="R1283" s="108"/>
      <c r="S1283" s="108"/>
      <c r="T1283" s="108"/>
      <c r="U1283" s="108"/>
      <c r="V1283" s="108"/>
      <c r="W1283" s="108"/>
      <c r="X1283" s="108"/>
      <c r="Y1283" s="108"/>
      <c r="Z1283" s="108"/>
      <c r="AA1283" s="108"/>
      <c r="AB1283" s="108"/>
      <c r="AC1283" s="108"/>
    </row>
    <row r="1284" customFormat="false" ht="15.75" hidden="false" customHeight="true" outlineLevel="0" collapsed="false">
      <c r="A1284" s="108" t="s">
        <v>3680</v>
      </c>
      <c r="B1284" s="82"/>
      <c r="C1284" s="120" t="s">
        <v>3681</v>
      </c>
      <c r="D1284" s="121"/>
      <c r="E1284" s="108" t="s">
        <v>2655</v>
      </c>
      <c r="F1284" s="114"/>
      <c r="G1284" s="120" t="s">
        <v>2661</v>
      </c>
      <c r="H1284" s="82"/>
      <c r="I1284" s="111" t="n">
        <v>6012</v>
      </c>
      <c r="J1284" s="110"/>
      <c r="K1284" s="120" t="s">
        <v>3619</v>
      </c>
      <c r="L1284" s="110"/>
      <c r="M1284" s="112"/>
      <c r="N1284" s="82"/>
      <c r="O1284" s="108"/>
      <c r="P1284" s="108"/>
      <c r="Q1284" s="108"/>
      <c r="R1284" s="108"/>
      <c r="S1284" s="108"/>
      <c r="T1284" s="108"/>
      <c r="U1284" s="108"/>
      <c r="V1284" s="108"/>
      <c r="W1284" s="108"/>
      <c r="X1284" s="108"/>
      <c r="Y1284" s="108"/>
      <c r="Z1284" s="108"/>
      <c r="AA1284" s="108"/>
      <c r="AB1284" s="108"/>
      <c r="AC1284" s="108"/>
    </row>
    <row r="1285" customFormat="false" ht="15.75" hidden="false" customHeight="true" outlineLevel="0" collapsed="false">
      <c r="A1285" s="108" t="s">
        <v>3682</v>
      </c>
      <c r="B1285" s="82"/>
      <c r="C1285" s="120" t="s">
        <v>3683</v>
      </c>
      <c r="D1285" s="121"/>
      <c r="E1285" s="108" t="s">
        <v>2655</v>
      </c>
      <c r="F1285" s="114"/>
      <c r="G1285" s="120" t="s">
        <v>2656</v>
      </c>
      <c r="H1285" s="82"/>
      <c r="I1285" s="111" t="n">
        <v>6051</v>
      </c>
      <c r="J1285" s="110"/>
      <c r="K1285" s="120" t="s">
        <v>3684</v>
      </c>
      <c r="L1285" s="110"/>
      <c r="M1285" s="112"/>
      <c r="N1285" s="82"/>
      <c r="O1285" s="108"/>
      <c r="P1285" s="108"/>
      <c r="Q1285" s="108"/>
      <c r="R1285" s="108"/>
      <c r="S1285" s="108"/>
      <c r="T1285" s="108"/>
      <c r="U1285" s="108"/>
      <c r="V1285" s="108"/>
      <c r="W1285" s="108"/>
      <c r="X1285" s="108"/>
      <c r="Y1285" s="108"/>
      <c r="Z1285" s="108"/>
      <c r="AA1285" s="108"/>
      <c r="AB1285" s="108"/>
      <c r="AC1285" s="108"/>
    </row>
    <row r="1286" customFormat="false" ht="15.75" hidden="false" customHeight="true" outlineLevel="0" collapsed="false">
      <c r="A1286" s="108" t="s">
        <v>3685</v>
      </c>
      <c r="B1286" s="82"/>
      <c r="C1286" s="120" t="s">
        <v>3686</v>
      </c>
      <c r="D1286" s="121"/>
      <c r="E1286" s="108" t="s">
        <v>2655</v>
      </c>
      <c r="F1286" s="114"/>
      <c r="G1286" s="120" t="s">
        <v>2656</v>
      </c>
      <c r="H1286" s="82"/>
      <c r="I1286" s="111" t="n">
        <v>6051</v>
      </c>
      <c r="J1286" s="110"/>
      <c r="K1286" s="120" t="s">
        <v>3684</v>
      </c>
      <c r="L1286" s="110"/>
      <c r="M1286" s="112"/>
      <c r="N1286" s="82"/>
      <c r="O1286" s="108"/>
      <c r="P1286" s="108"/>
      <c r="Q1286" s="108"/>
      <c r="R1286" s="108"/>
      <c r="S1286" s="108"/>
      <c r="T1286" s="108"/>
      <c r="U1286" s="108"/>
      <c r="V1286" s="108"/>
      <c r="W1286" s="108"/>
      <c r="X1286" s="108"/>
      <c r="Y1286" s="108"/>
      <c r="Z1286" s="108"/>
      <c r="AA1286" s="108"/>
      <c r="AB1286" s="108"/>
      <c r="AC1286" s="108"/>
    </row>
    <row r="1287" customFormat="false" ht="15.75" hidden="false" customHeight="true" outlineLevel="0" collapsed="false">
      <c r="A1287" s="108" t="s">
        <v>3687</v>
      </c>
      <c r="B1287" s="82"/>
      <c r="C1287" s="120" t="s">
        <v>3688</v>
      </c>
      <c r="D1287" s="121"/>
      <c r="E1287" s="108" t="s">
        <v>2655</v>
      </c>
      <c r="F1287" s="114"/>
      <c r="G1287" s="120" t="s">
        <v>2661</v>
      </c>
      <c r="H1287" s="82"/>
      <c r="I1287" s="111" t="n">
        <v>6051</v>
      </c>
      <c r="J1287" s="110"/>
      <c r="K1287" s="120" t="s">
        <v>3684</v>
      </c>
      <c r="L1287" s="110"/>
      <c r="M1287" s="112"/>
      <c r="N1287" s="82"/>
      <c r="O1287" s="108"/>
      <c r="P1287" s="108"/>
      <c r="Q1287" s="108"/>
      <c r="R1287" s="108"/>
      <c r="S1287" s="108"/>
      <c r="T1287" s="108"/>
      <c r="U1287" s="108"/>
      <c r="V1287" s="108"/>
      <c r="W1287" s="108"/>
      <c r="X1287" s="108"/>
      <c r="Y1287" s="108"/>
      <c r="Z1287" s="108"/>
      <c r="AA1287" s="108"/>
      <c r="AB1287" s="108"/>
      <c r="AC1287" s="108"/>
    </row>
    <row r="1288" customFormat="false" ht="15.75" hidden="false" customHeight="true" outlineLevel="0" collapsed="false">
      <c r="A1288" s="108" t="s">
        <v>3689</v>
      </c>
      <c r="B1288" s="82"/>
      <c r="C1288" s="120" t="s">
        <v>3690</v>
      </c>
      <c r="D1288" s="121"/>
      <c r="E1288" s="108" t="s">
        <v>2655</v>
      </c>
      <c r="F1288" s="114"/>
      <c r="G1288" s="120" t="s">
        <v>2661</v>
      </c>
      <c r="H1288" s="82"/>
      <c r="I1288" s="111" t="n">
        <v>6051</v>
      </c>
      <c r="J1288" s="110"/>
      <c r="K1288" s="120" t="s">
        <v>3684</v>
      </c>
      <c r="L1288" s="110"/>
      <c r="M1288" s="112"/>
      <c r="N1288" s="82"/>
      <c r="O1288" s="108"/>
      <c r="P1288" s="108"/>
      <c r="Q1288" s="108"/>
      <c r="R1288" s="108"/>
      <c r="S1288" s="108"/>
      <c r="T1288" s="108"/>
      <c r="U1288" s="108"/>
      <c r="V1288" s="108"/>
      <c r="W1288" s="108"/>
      <c r="X1288" s="108"/>
      <c r="Y1288" s="108"/>
      <c r="Z1288" s="108"/>
      <c r="AA1288" s="108"/>
      <c r="AB1288" s="108"/>
      <c r="AC1288" s="108"/>
    </row>
    <row r="1289" customFormat="false" ht="15.75" hidden="false" customHeight="true" outlineLevel="0" collapsed="false">
      <c r="A1289" s="108" t="s">
        <v>3691</v>
      </c>
      <c r="B1289" s="82"/>
      <c r="C1289" s="120" t="s">
        <v>3692</v>
      </c>
      <c r="D1289" s="121"/>
      <c r="E1289" s="108" t="s">
        <v>2655</v>
      </c>
      <c r="F1289" s="114"/>
      <c r="G1289" s="120" t="s">
        <v>2656</v>
      </c>
      <c r="H1289" s="82"/>
      <c r="I1289" s="111" t="n">
        <v>6211</v>
      </c>
      <c r="J1289" s="110"/>
      <c r="K1289" s="120" t="s">
        <v>3693</v>
      </c>
      <c r="L1289" s="110"/>
      <c r="M1289" s="112"/>
      <c r="N1289" s="82"/>
      <c r="O1289" s="108"/>
      <c r="P1289" s="108"/>
      <c r="Q1289" s="108"/>
      <c r="R1289" s="108"/>
      <c r="S1289" s="108"/>
      <c r="T1289" s="108"/>
      <c r="U1289" s="108"/>
      <c r="V1289" s="108"/>
      <c r="W1289" s="108"/>
      <c r="X1289" s="108"/>
      <c r="Y1289" s="108"/>
      <c r="Z1289" s="108"/>
      <c r="AA1289" s="108"/>
      <c r="AB1289" s="108"/>
      <c r="AC1289" s="108"/>
    </row>
    <row r="1290" customFormat="false" ht="15.75" hidden="false" customHeight="true" outlineLevel="0" collapsed="false">
      <c r="A1290" s="108" t="s">
        <v>3694</v>
      </c>
      <c r="B1290" s="82"/>
      <c r="C1290" s="120" t="s">
        <v>3695</v>
      </c>
      <c r="D1290" s="121"/>
      <c r="E1290" s="108" t="s">
        <v>2655</v>
      </c>
      <c r="F1290" s="114"/>
      <c r="G1290" s="120" t="s">
        <v>2656</v>
      </c>
      <c r="H1290" s="82"/>
      <c r="I1290" s="111" t="n">
        <v>6211</v>
      </c>
      <c r="J1290" s="110"/>
      <c r="K1290" s="120" t="s">
        <v>3693</v>
      </c>
      <c r="L1290" s="110"/>
      <c r="M1290" s="112"/>
      <c r="N1290" s="82"/>
      <c r="O1290" s="108"/>
      <c r="P1290" s="108"/>
      <c r="Q1290" s="108"/>
      <c r="R1290" s="108"/>
      <c r="S1290" s="108"/>
      <c r="T1290" s="108"/>
      <c r="U1290" s="108"/>
      <c r="V1290" s="108"/>
      <c r="W1290" s="108"/>
      <c r="X1290" s="108"/>
      <c r="Y1290" s="108"/>
      <c r="Z1290" s="108"/>
      <c r="AA1290" s="108"/>
      <c r="AB1290" s="108"/>
      <c r="AC1290" s="108"/>
    </row>
    <row r="1291" customFormat="false" ht="15.75" hidden="false" customHeight="true" outlineLevel="0" collapsed="false">
      <c r="A1291" s="108" t="s">
        <v>3696</v>
      </c>
      <c r="B1291" s="82"/>
      <c r="C1291" s="120" t="s">
        <v>3697</v>
      </c>
      <c r="D1291" s="121"/>
      <c r="E1291" s="108" t="s">
        <v>2655</v>
      </c>
      <c r="F1291" s="114"/>
      <c r="G1291" s="120" t="s">
        <v>2656</v>
      </c>
      <c r="H1291" s="82"/>
      <c r="I1291" s="111" t="n">
        <v>6211</v>
      </c>
      <c r="J1291" s="110"/>
      <c r="K1291" s="120" t="s">
        <v>3693</v>
      </c>
      <c r="L1291" s="110"/>
      <c r="M1291" s="112"/>
      <c r="N1291" s="82"/>
      <c r="O1291" s="108"/>
      <c r="P1291" s="108"/>
      <c r="Q1291" s="108"/>
      <c r="R1291" s="108"/>
      <c r="S1291" s="108"/>
      <c r="T1291" s="108"/>
      <c r="U1291" s="108"/>
      <c r="V1291" s="108"/>
      <c r="W1291" s="108"/>
      <c r="X1291" s="108"/>
      <c r="Y1291" s="108"/>
      <c r="Z1291" s="108"/>
      <c r="AA1291" s="108"/>
      <c r="AB1291" s="108"/>
      <c r="AC1291" s="108"/>
    </row>
    <row r="1292" customFormat="false" ht="15.75" hidden="false" customHeight="true" outlineLevel="0" collapsed="false">
      <c r="A1292" s="108" t="s">
        <v>3698</v>
      </c>
      <c r="B1292" s="82"/>
      <c r="C1292" s="120" t="s">
        <v>3699</v>
      </c>
      <c r="D1292" s="121"/>
      <c r="E1292" s="108" t="s">
        <v>2655</v>
      </c>
      <c r="F1292" s="114"/>
      <c r="G1292" s="120" t="s">
        <v>2661</v>
      </c>
      <c r="H1292" s="82"/>
      <c r="I1292" s="111" t="n">
        <v>6211</v>
      </c>
      <c r="J1292" s="110"/>
      <c r="K1292" s="120" t="s">
        <v>3693</v>
      </c>
      <c r="L1292" s="110"/>
      <c r="M1292" s="112"/>
      <c r="N1292" s="82"/>
      <c r="O1292" s="108"/>
      <c r="P1292" s="108"/>
      <c r="Q1292" s="108"/>
      <c r="R1292" s="108"/>
      <c r="S1292" s="108"/>
      <c r="T1292" s="108"/>
      <c r="U1292" s="108"/>
      <c r="V1292" s="108"/>
      <c r="W1292" s="108"/>
      <c r="X1292" s="108"/>
      <c r="Y1292" s="108"/>
      <c r="Z1292" s="108"/>
      <c r="AA1292" s="108"/>
      <c r="AB1292" s="108"/>
      <c r="AC1292" s="108"/>
    </row>
    <row r="1293" customFormat="false" ht="15.75" hidden="false" customHeight="true" outlineLevel="0" collapsed="false">
      <c r="A1293" s="108" t="s">
        <v>3700</v>
      </c>
      <c r="B1293" s="82"/>
      <c r="C1293" s="120" t="s">
        <v>3701</v>
      </c>
      <c r="D1293" s="121"/>
      <c r="E1293" s="108" t="s">
        <v>2655</v>
      </c>
      <c r="F1293" s="114"/>
      <c r="G1293" s="120" t="s">
        <v>2661</v>
      </c>
      <c r="H1293" s="82"/>
      <c r="I1293" s="111" t="n">
        <v>6211</v>
      </c>
      <c r="J1293" s="110"/>
      <c r="K1293" s="120" t="s">
        <v>3693</v>
      </c>
      <c r="L1293" s="110"/>
      <c r="M1293" s="112"/>
      <c r="N1293" s="82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</row>
    <row r="1294" customFormat="false" ht="15.75" hidden="false" customHeight="true" outlineLevel="0" collapsed="false">
      <c r="A1294" s="108" t="s">
        <v>3702</v>
      </c>
      <c r="B1294" s="82"/>
      <c r="C1294" s="120" t="s">
        <v>3703</v>
      </c>
      <c r="D1294" s="121"/>
      <c r="E1294" s="108" t="s">
        <v>2655</v>
      </c>
      <c r="F1294" s="114"/>
      <c r="G1294" s="120" t="s">
        <v>2661</v>
      </c>
      <c r="H1294" s="82"/>
      <c r="I1294" s="111" t="n">
        <v>6211</v>
      </c>
      <c r="J1294" s="110"/>
      <c r="K1294" s="120" t="s">
        <v>3693</v>
      </c>
      <c r="L1294" s="110"/>
      <c r="M1294" s="112"/>
      <c r="N1294" s="82"/>
      <c r="O1294" s="108"/>
      <c r="P1294" s="108"/>
      <c r="Q1294" s="108"/>
      <c r="R1294" s="108"/>
      <c r="S1294" s="108"/>
      <c r="T1294" s="108"/>
      <c r="U1294" s="108"/>
      <c r="V1294" s="108"/>
      <c r="W1294" s="108"/>
      <c r="X1294" s="108"/>
      <c r="Y1294" s="108"/>
      <c r="Z1294" s="108"/>
      <c r="AA1294" s="108"/>
      <c r="AB1294" s="108"/>
      <c r="AC1294" s="108"/>
    </row>
    <row r="1295" customFormat="false" ht="15.75" hidden="false" customHeight="true" outlineLevel="0" collapsed="false">
      <c r="A1295" s="108" t="s">
        <v>3704</v>
      </c>
      <c r="B1295" s="82"/>
      <c r="C1295" s="120" t="s">
        <v>3705</v>
      </c>
      <c r="D1295" s="121"/>
      <c r="E1295" s="108" t="s">
        <v>2655</v>
      </c>
      <c r="F1295" s="114"/>
      <c r="G1295" s="120" t="s">
        <v>2661</v>
      </c>
      <c r="H1295" s="82"/>
      <c r="I1295" s="111" t="n">
        <v>6211</v>
      </c>
      <c r="J1295" s="110"/>
      <c r="K1295" s="120" t="s">
        <v>3693</v>
      </c>
      <c r="L1295" s="110"/>
      <c r="M1295" s="112"/>
      <c r="N1295" s="82"/>
      <c r="O1295" s="108"/>
      <c r="P1295" s="108"/>
      <c r="Q1295" s="108"/>
      <c r="R1295" s="108"/>
      <c r="S1295" s="108"/>
      <c r="T1295" s="108"/>
      <c r="U1295" s="108"/>
      <c r="V1295" s="108"/>
      <c r="W1295" s="108"/>
      <c r="X1295" s="108"/>
      <c r="Y1295" s="108"/>
      <c r="Z1295" s="108"/>
      <c r="AA1295" s="108"/>
      <c r="AB1295" s="108"/>
      <c r="AC1295" s="108"/>
    </row>
    <row r="1296" customFormat="false" ht="15.75" hidden="false" customHeight="true" outlineLevel="0" collapsed="false">
      <c r="A1296" s="108" t="s">
        <v>3706</v>
      </c>
      <c r="B1296" s="82"/>
      <c r="C1296" s="120" t="s">
        <v>3707</v>
      </c>
      <c r="D1296" s="121"/>
      <c r="E1296" s="108" t="s">
        <v>2655</v>
      </c>
      <c r="F1296" s="114"/>
      <c r="G1296" s="120" t="s">
        <v>2661</v>
      </c>
      <c r="H1296" s="82"/>
      <c r="I1296" s="111" t="n">
        <v>6211</v>
      </c>
      <c r="J1296" s="110"/>
      <c r="K1296" s="120" t="s">
        <v>3693</v>
      </c>
      <c r="L1296" s="110"/>
      <c r="M1296" s="112"/>
      <c r="N1296" s="82"/>
      <c r="O1296" s="108"/>
      <c r="P1296" s="108"/>
      <c r="Q1296" s="108"/>
      <c r="R1296" s="108"/>
      <c r="S1296" s="108"/>
      <c r="T1296" s="108"/>
      <c r="U1296" s="108"/>
      <c r="V1296" s="108"/>
      <c r="W1296" s="108"/>
      <c r="X1296" s="108"/>
      <c r="Y1296" s="108"/>
      <c r="Z1296" s="108"/>
      <c r="AA1296" s="108"/>
      <c r="AB1296" s="108"/>
      <c r="AC1296" s="108"/>
    </row>
    <row r="1297" customFormat="false" ht="15.75" hidden="false" customHeight="true" outlineLevel="0" collapsed="false">
      <c r="A1297" s="108" t="s">
        <v>3708</v>
      </c>
      <c r="B1297" s="82"/>
      <c r="C1297" s="120" t="s">
        <v>3709</v>
      </c>
      <c r="D1297" s="121"/>
      <c r="E1297" s="108" t="s">
        <v>2655</v>
      </c>
      <c r="F1297" s="114"/>
      <c r="G1297" s="120" t="s">
        <v>2661</v>
      </c>
      <c r="H1297" s="82"/>
      <c r="I1297" s="111" t="n">
        <v>6211</v>
      </c>
      <c r="J1297" s="110"/>
      <c r="K1297" s="120" t="s">
        <v>3693</v>
      </c>
      <c r="L1297" s="110"/>
      <c r="M1297" s="112"/>
      <c r="N1297" s="82"/>
      <c r="O1297" s="108"/>
      <c r="P1297" s="108"/>
      <c r="Q1297" s="108"/>
      <c r="R1297" s="108"/>
      <c r="S1297" s="108"/>
      <c r="T1297" s="108"/>
      <c r="U1297" s="108"/>
      <c r="V1297" s="108"/>
      <c r="W1297" s="108"/>
      <c r="X1297" s="108"/>
      <c r="Y1297" s="108"/>
      <c r="Z1297" s="108"/>
      <c r="AA1297" s="108"/>
      <c r="AB1297" s="108"/>
      <c r="AC1297" s="108"/>
    </row>
    <row r="1298" customFormat="false" ht="15.75" hidden="false" customHeight="true" outlineLevel="0" collapsed="false">
      <c r="A1298" s="108" t="s">
        <v>3710</v>
      </c>
      <c r="B1298" s="82"/>
      <c r="C1298" s="120" t="s">
        <v>3711</v>
      </c>
      <c r="D1298" s="121"/>
      <c r="E1298" s="108" t="s">
        <v>2655</v>
      </c>
      <c r="F1298" s="114"/>
      <c r="G1298" s="120" t="s">
        <v>2661</v>
      </c>
      <c r="H1298" s="82"/>
      <c r="I1298" s="111" t="n">
        <v>6211</v>
      </c>
      <c r="J1298" s="110"/>
      <c r="K1298" s="120" t="s">
        <v>3693</v>
      </c>
      <c r="L1298" s="110"/>
      <c r="M1298" s="112"/>
      <c r="N1298" s="82"/>
      <c r="O1298" s="108"/>
      <c r="P1298" s="108"/>
      <c r="Q1298" s="108"/>
      <c r="R1298" s="108"/>
      <c r="S1298" s="108"/>
      <c r="T1298" s="108"/>
      <c r="U1298" s="108"/>
      <c r="V1298" s="108"/>
      <c r="W1298" s="108"/>
      <c r="X1298" s="108"/>
      <c r="Y1298" s="108"/>
      <c r="Z1298" s="108"/>
      <c r="AA1298" s="108"/>
      <c r="AB1298" s="108"/>
      <c r="AC1298" s="108"/>
    </row>
    <row r="1299" customFormat="false" ht="15.75" hidden="false" customHeight="true" outlineLevel="0" collapsed="false">
      <c r="A1299" s="108" t="s">
        <v>3712</v>
      </c>
      <c r="B1299" s="82"/>
      <c r="C1299" s="120" t="s">
        <v>3713</v>
      </c>
      <c r="D1299" s="121"/>
      <c r="E1299" s="108" t="s">
        <v>2655</v>
      </c>
      <c r="F1299" s="114"/>
      <c r="G1299" s="120" t="s">
        <v>2661</v>
      </c>
      <c r="H1299" s="82"/>
      <c r="I1299" s="111" t="n">
        <v>6211</v>
      </c>
      <c r="J1299" s="110"/>
      <c r="K1299" s="120" t="s">
        <v>3693</v>
      </c>
      <c r="L1299" s="110"/>
      <c r="M1299" s="112"/>
      <c r="N1299" s="82"/>
      <c r="O1299" s="108"/>
      <c r="P1299" s="108"/>
      <c r="Q1299" s="108"/>
      <c r="R1299" s="108"/>
      <c r="S1299" s="108"/>
      <c r="T1299" s="108"/>
      <c r="U1299" s="108"/>
      <c r="V1299" s="108"/>
      <c r="W1299" s="108"/>
      <c r="X1299" s="108"/>
      <c r="Y1299" s="108"/>
      <c r="Z1299" s="108"/>
      <c r="AA1299" s="108"/>
      <c r="AB1299" s="108"/>
      <c r="AC1299" s="108"/>
    </row>
    <row r="1300" customFormat="false" ht="15.75" hidden="false" customHeight="true" outlineLevel="0" collapsed="false">
      <c r="A1300" s="108" t="s">
        <v>3714</v>
      </c>
      <c r="B1300" s="82"/>
      <c r="C1300" s="120" t="s">
        <v>3715</v>
      </c>
      <c r="D1300" s="121"/>
      <c r="E1300" s="108" t="s">
        <v>2655</v>
      </c>
      <c r="F1300" s="114"/>
      <c r="G1300" s="120" t="s">
        <v>2661</v>
      </c>
      <c r="H1300" s="82"/>
      <c r="I1300" s="111" t="n">
        <v>6211</v>
      </c>
      <c r="J1300" s="110"/>
      <c r="K1300" s="120" t="s">
        <v>3693</v>
      </c>
      <c r="L1300" s="110"/>
      <c r="M1300" s="112"/>
      <c r="N1300" s="82"/>
      <c r="O1300" s="108"/>
      <c r="P1300" s="108"/>
      <c r="Q1300" s="108"/>
      <c r="R1300" s="108"/>
      <c r="S1300" s="108"/>
      <c r="T1300" s="108"/>
      <c r="U1300" s="108"/>
      <c r="V1300" s="108"/>
      <c r="W1300" s="108"/>
      <c r="X1300" s="108"/>
      <c r="Y1300" s="108"/>
      <c r="Z1300" s="108"/>
      <c r="AA1300" s="108"/>
      <c r="AB1300" s="108"/>
      <c r="AC1300" s="108"/>
    </row>
    <row r="1301" customFormat="false" ht="15.75" hidden="false" customHeight="true" outlineLevel="0" collapsed="false">
      <c r="A1301" s="108" t="s">
        <v>3716</v>
      </c>
      <c r="B1301" s="82"/>
      <c r="C1301" s="120" t="s">
        <v>3717</v>
      </c>
      <c r="D1301" s="121"/>
      <c r="E1301" s="108" t="s">
        <v>2655</v>
      </c>
      <c r="F1301" s="114"/>
      <c r="G1301" s="120" t="s">
        <v>3718</v>
      </c>
      <c r="H1301" s="82"/>
      <c r="I1301" s="111" t="n">
        <v>6300</v>
      </c>
      <c r="J1301" s="110"/>
      <c r="K1301" s="120" t="s">
        <v>3719</v>
      </c>
      <c r="L1301" s="110"/>
      <c r="M1301" s="112"/>
      <c r="N1301" s="82"/>
      <c r="O1301" s="108"/>
      <c r="P1301" s="108"/>
      <c r="Q1301" s="108"/>
      <c r="R1301" s="108"/>
      <c r="S1301" s="108"/>
      <c r="T1301" s="108"/>
      <c r="U1301" s="108"/>
      <c r="V1301" s="108"/>
      <c r="W1301" s="108"/>
      <c r="X1301" s="108"/>
      <c r="Y1301" s="108"/>
      <c r="Z1301" s="108"/>
      <c r="AA1301" s="108"/>
      <c r="AB1301" s="108"/>
      <c r="AC1301" s="108"/>
    </row>
    <row r="1302" customFormat="false" ht="15.75" hidden="false" customHeight="true" outlineLevel="0" collapsed="false">
      <c r="A1302" s="108" t="s">
        <v>3720</v>
      </c>
      <c r="B1302" s="82"/>
      <c r="C1302" s="120" t="s">
        <v>3721</v>
      </c>
      <c r="D1302" s="121"/>
      <c r="E1302" s="108" t="s">
        <v>2655</v>
      </c>
      <c r="F1302" s="114"/>
      <c r="G1302" s="120" t="s">
        <v>3718</v>
      </c>
      <c r="H1302" s="82"/>
      <c r="I1302" s="111" t="n">
        <v>6300</v>
      </c>
      <c r="J1302" s="110"/>
      <c r="K1302" s="120" t="s">
        <v>3719</v>
      </c>
      <c r="L1302" s="110"/>
      <c r="M1302" s="112"/>
      <c r="N1302" s="82"/>
      <c r="O1302" s="108"/>
      <c r="P1302" s="108"/>
      <c r="Q1302" s="108"/>
      <c r="R1302" s="108"/>
      <c r="S1302" s="108"/>
      <c r="T1302" s="108"/>
      <c r="U1302" s="108"/>
      <c r="V1302" s="108"/>
      <c r="W1302" s="108"/>
      <c r="X1302" s="108"/>
      <c r="Y1302" s="108"/>
      <c r="Z1302" s="108"/>
      <c r="AA1302" s="108"/>
      <c r="AB1302" s="108"/>
      <c r="AC1302" s="108"/>
    </row>
    <row r="1303" customFormat="false" ht="15.75" hidden="false" customHeight="true" outlineLevel="0" collapsed="false">
      <c r="A1303" s="108" t="s">
        <v>3722</v>
      </c>
      <c r="B1303" s="82"/>
      <c r="C1303" s="120" t="s">
        <v>3723</v>
      </c>
      <c r="D1303" s="121"/>
      <c r="E1303" s="108" t="s">
        <v>2655</v>
      </c>
      <c r="F1303" s="114"/>
      <c r="G1303" s="120" t="s">
        <v>3718</v>
      </c>
      <c r="H1303" s="82"/>
      <c r="I1303" s="111" t="n">
        <v>6300</v>
      </c>
      <c r="J1303" s="110"/>
      <c r="K1303" s="120" t="s">
        <v>3719</v>
      </c>
      <c r="L1303" s="110"/>
      <c r="M1303" s="112"/>
      <c r="N1303" s="82"/>
      <c r="O1303" s="108"/>
      <c r="P1303" s="108"/>
      <c r="Q1303" s="108"/>
      <c r="R1303" s="108"/>
      <c r="S1303" s="108"/>
      <c r="T1303" s="108"/>
      <c r="U1303" s="108"/>
      <c r="V1303" s="108"/>
      <c r="W1303" s="108"/>
      <c r="X1303" s="108"/>
      <c r="Y1303" s="108"/>
      <c r="Z1303" s="108"/>
      <c r="AA1303" s="108"/>
      <c r="AB1303" s="108"/>
      <c r="AC1303" s="108"/>
    </row>
    <row r="1304" customFormat="false" ht="15.75" hidden="false" customHeight="true" outlineLevel="0" collapsed="false">
      <c r="A1304" s="108" t="s">
        <v>3724</v>
      </c>
      <c r="B1304" s="82"/>
      <c r="C1304" s="120" t="s">
        <v>3725</v>
      </c>
      <c r="D1304" s="121"/>
      <c r="E1304" s="108" t="s">
        <v>2655</v>
      </c>
      <c r="F1304" s="114"/>
      <c r="G1304" s="120" t="s">
        <v>3718</v>
      </c>
      <c r="H1304" s="82"/>
      <c r="I1304" s="111" t="n">
        <v>6300</v>
      </c>
      <c r="J1304" s="110"/>
      <c r="K1304" s="120" t="s">
        <v>3719</v>
      </c>
      <c r="L1304" s="110"/>
      <c r="M1304" s="112"/>
      <c r="N1304" s="82"/>
      <c r="O1304" s="108"/>
      <c r="P1304" s="108"/>
      <c r="Q1304" s="108"/>
      <c r="R1304" s="108"/>
      <c r="S1304" s="108"/>
      <c r="T1304" s="108"/>
      <c r="U1304" s="108"/>
      <c r="V1304" s="108"/>
      <c r="W1304" s="108"/>
      <c r="X1304" s="108"/>
      <c r="Y1304" s="108"/>
      <c r="Z1304" s="108"/>
      <c r="AA1304" s="108"/>
      <c r="AB1304" s="108"/>
      <c r="AC1304" s="108"/>
    </row>
    <row r="1305" customFormat="false" ht="15.75" hidden="false" customHeight="true" outlineLevel="0" collapsed="false">
      <c r="A1305" s="108" t="s">
        <v>3726</v>
      </c>
      <c r="B1305" s="82"/>
      <c r="C1305" s="120" t="s">
        <v>3727</v>
      </c>
      <c r="D1305" s="121"/>
      <c r="E1305" s="108" t="s">
        <v>2655</v>
      </c>
      <c r="F1305" s="114"/>
      <c r="G1305" s="120" t="s">
        <v>3718</v>
      </c>
      <c r="H1305" s="82"/>
      <c r="I1305" s="111" t="n">
        <v>6300</v>
      </c>
      <c r="J1305" s="110"/>
      <c r="K1305" s="120" t="s">
        <v>3719</v>
      </c>
      <c r="L1305" s="110"/>
      <c r="M1305" s="112"/>
      <c r="N1305" s="82"/>
      <c r="O1305" s="108"/>
      <c r="P1305" s="108"/>
      <c r="Q1305" s="108"/>
      <c r="R1305" s="108"/>
      <c r="S1305" s="108"/>
      <c r="T1305" s="108"/>
      <c r="U1305" s="108"/>
      <c r="V1305" s="108"/>
      <c r="W1305" s="108"/>
      <c r="X1305" s="108"/>
      <c r="Y1305" s="108"/>
      <c r="Z1305" s="108"/>
      <c r="AA1305" s="108"/>
      <c r="AB1305" s="108"/>
      <c r="AC1305" s="108"/>
    </row>
    <row r="1306" customFormat="false" ht="15.75" hidden="false" customHeight="true" outlineLevel="0" collapsed="false">
      <c r="A1306" s="108" t="s">
        <v>3728</v>
      </c>
      <c r="B1306" s="82"/>
      <c r="C1306" s="120" t="s">
        <v>3729</v>
      </c>
      <c r="D1306" s="121"/>
      <c r="E1306" s="108" t="s">
        <v>2655</v>
      </c>
      <c r="F1306" s="114"/>
      <c r="G1306" s="120" t="s">
        <v>3718</v>
      </c>
      <c r="H1306" s="82"/>
      <c r="I1306" s="111" t="n">
        <v>6300</v>
      </c>
      <c r="J1306" s="110"/>
      <c r="K1306" s="120" t="s">
        <v>3719</v>
      </c>
      <c r="L1306" s="110"/>
      <c r="M1306" s="112"/>
      <c r="N1306" s="82"/>
      <c r="O1306" s="108"/>
      <c r="P1306" s="108"/>
      <c r="Q1306" s="108"/>
      <c r="R1306" s="108"/>
      <c r="S1306" s="108"/>
      <c r="T1306" s="108"/>
      <c r="U1306" s="108"/>
      <c r="V1306" s="108"/>
      <c r="W1306" s="108"/>
      <c r="X1306" s="108"/>
      <c r="Y1306" s="108"/>
      <c r="Z1306" s="108"/>
      <c r="AA1306" s="108"/>
      <c r="AB1306" s="108"/>
      <c r="AC1306" s="108"/>
    </row>
    <row r="1307" customFormat="false" ht="15.75" hidden="false" customHeight="true" outlineLevel="0" collapsed="false">
      <c r="A1307" s="108" t="s">
        <v>3730</v>
      </c>
      <c r="B1307" s="82"/>
      <c r="C1307" s="120" t="s">
        <v>3731</v>
      </c>
      <c r="D1307" s="121"/>
      <c r="E1307" s="108" t="s">
        <v>2655</v>
      </c>
      <c r="F1307" s="114"/>
      <c r="G1307" s="120" t="s">
        <v>3718</v>
      </c>
      <c r="H1307" s="82"/>
      <c r="I1307" s="111" t="n">
        <v>6300</v>
      </c>
      <c r="J1307" s="110"/>
      <c r="K1307" s="120" t="s">
        <v>3719</v>
      </c>
      <c r="L1307" s="110"/>
      <c r="M1307" s="112"/>
      <c r="N1307" s="82"/>
      <c r="O1307" s="108"/>
      <c r="P1307" s="108"/>
      <c r="Q1307" s="108"/>
      <c r="R1307" s="108"/>
      <c r="S1307" s="108"/>
      <c r="T1307" s="108"/>
      <c r="U1307" s="108"/>
      <c r="V1307" s="108"/>
      <c r="W1307" s="108"/>
      <c r="X1307" s="108"/>
      <c r="Y1307" s="108"/>
      <c r="Z1307" s="108"/>
      <c r="AA1307" s="108"/>
      <c r="AB1307" s="108"/>
      <c r="AC1307" s="108"/>
    </row>
    <row r="1308" customFormat="false" ht="15.75" hidden="false" customHeight="true" outlineLevel="0" collapsed="false">
      <c r="A1308" s="108" t="s">
        <v>3732</v>
      </c>
      <c r="B1308" s="82"/>
      <c r="C1308" s="120" t="s">
        <v>3733</v>
      </c>
      <c r="D1308" s="121"/>
      <c r="E1308" s="108" t="s">
        <v>2655</v>
      </c>
      <c r="F1308" s="114"/>
      <c r="G1308" s="120" t="s">
        <v>3718</v>
      </c>
      <c r="H1308" s="82"/>
      <c r="I1308" s="111" t="n">
        <v>6300</v>
      </c>
      <c r="J1308" s="110"/>
      <c r="K1308" s="120" t="s">
        <v>3719</v>
      </c>
      <c r="L1308" s="110"/>
      <c r="M1308" s="112"/>
      <c r="N1308" s="82"/>
      <c r="O1308" s="108"/>
      <c r="P1308" s="108"/>
      <c r="Q1308" s="108"/>
      <c r="R1308" s="108"/>
      <c r="S1308" s="108"/>
      <c r="T1308" s="108"/>
      <c r="U1308" s="108"/>
      <c r="V1308" s="108"/>
      <c r="W1308" s="108"/>
      <c r="X1308" s="108"/>
      <c r="Y1308" s="108"/>
      <c r="Z1308" s="108"/>
      <c r="AA1308" s="108"/>
      <c r="AB1308" s="108"/>
      <c r="AC1308" s="108"/>
    </row>
    <row r="1309" customFormat="false" ht="15.75" hidden="false" customHeight="true" outlineLevel="0" collapsed="false">
      <c r="A1309" s="108" t="s">
        <v>3734</v>
      </c>
      <c r="B1309" s="82"/>
      <c r="C1309" s="120" t="s">
        <v>3735</v>
      </c>
      <c r="D1309" s="121"/>
      <c r="E1309" s="108" t="s">
        <v>2655</v>
      </c>
      <c r="F1309" s="114"/>
      <c r="G1309" s="120" t="s">
        <v>2661</v>
      </c>
      <c r="H1309" s="82"/>
      <c r="I1309" s="111" t="n">
        <v>6300</v>
      </c>
      <c r="J1309" s="110"/>
      <c r="K1309" s="120" t="s">
        <v>3719</v>
      </c>
      <c r="L1309" s="110"/>
      <c r="M1309" s="112"/>
      <c r="N1309" s="82"/>
      <c r="O1309" s="108"/>
      <c r="P1309" s="108"/>
      <c r="Q1309" s="108"/>
      <c r="R1309" s="108"/>
      <c r="S1309" s="108"/>
      <c r="T1309" s="108"/>
      <c r="U1309" s="108"/>
      <c r="V1309" s="108"/>
      <c r="W1309" s="108"/>
      <c r="X1309" s="108"/>
      <c r="Y1309" s="108"/>
      <c r="Z1309" s="108"/>
      <c r="AA1309" s="108"/>
      <c r="AB1309" s="108"/>
      <c r="AC1309" s="108"/>
    </row>
    <row r="1310" customFormat="false" ht="15.75" hidden="false" customHeight="true" outlineLevel="0" collapsed="false">
      <c r="A1310" s="108" t="s">
        <v>3736</v>
      </c>
      <c r="B1310" s="82"/>
      <c r="C1310" s="120" t="s">
        <v>3737</v>
      </c>
      <c r="D1310" s="121"/>
      <c r="E1310" s="108" t="s">
        <v>2655</v>
      </c>
      <c r="F1310" s="114"/>
      <c r="G1310" s="120" t="s">
        <v>2661</v>
      </c>
      <c r="H1310" s="82"/>
      <c r="I1310" s="111" t="n">
        <v>6300</v>
      </c>
      <c r="J1310" s="110"/>
      <c r="K1310" s="120" t="s">
        <v>3719</v>
      </c>
      <c r="L1310" s="110"/>
      <c r="M1310" s="112"/>
      <c r="N1310" s="82"/>
      <c r="O1310" s="108"/>
      <c r="P1310" s="108"/>
      <c r="Q1310" s="108"/>
      <c r="R1310" s="108"/>
      <c r="S1310" s="108"/>
      <c r="T1310" s="108"/>
      <c r="U1310" s="108"/>
      <c r="V1310" s="108"/>
      <c r="W1310" s="108"/>
      <c r="X1310" s="108"/>
      <c r="Y1310" s="108"/>
      <c r="Z1310" s="108"/>
      <c r="AA1310" s="108"/>
      <c r="AB1310" s="108"/>
      <c r="AC1310" s="108"/>
    </row>
    <row r="1311" customFormat="false" ht="15.75" hidden="false" customHeight="true" outlineLevel="0" collapsed="false">
      <c r="A1311" s="108" t="s">
        <v>3738</v>
      </c>
      <c r="B1311" s="82"/>
      <c r="C1311" s="120" t="s">
        <v>3739</v>
      </c>
      <c r="D1311" s="121"/>
      <c r="E1311" s="108" t="s">
        <v>2655</v>
      </c>
      <c r="F1311" s="114"/>
      <c r="G1311" s="120" t="s">
        <v>2661</v>
      </c>
      <c r="H1311" s="82"/>
      <c r="I1311" s="111" t="n">
        <v>6300</v>
      </c>
      <c r="J1311" s="110"/>
      <c r="K1311" s="120" t="s">
        <v>3719</v>
      </c>
      <c r="L1311" s="110"/>
      <c r="M1311" s="112"/>
      <c r="N1311" s="82"/>
      <c r="O1311" s="108"/>
      <c r="P1311" s="108"/>
      <c r="Q1311" s="108"/>
      <c r="R1311" s="108"/>
      <c r="S1311" s="108"/>
      <c r="T1311" s="108"/>
      <c r="U1311" s="108"/>
      <c r="V1311" s="108"/>
      <c r="W1311" s="108"/>
      <c r="X1311" s="108"/>
      <c r="Y1311" s="108"/>
      <c r="Z1311" s="108"/>
      <c r="AA1311" s="108"/>
      <c r="AB1311" s="108"/>
      <c r="AC1311" s="108"/>
    </row>
    <row r="1312" customFormat="false" ht="15.75" hidden="false" customHeight="true" outlineLevel="0" collapsed="false">
      <c r="A1312" s="108" t="s">
        <v>3740</v>
      </c>
      <c r="B1312" s="82"/>
      <c r="C1312" s="120" t="s">
        <v>3741</v>
      </c>
      <c r="D1312" s="121"/>
      <c r="E1312" s="108" t="s">
        <v>2313</v>
      </c>
      <c r="F1312" s="114"/>
      <c r="G1312" s="120" t="s">
        <v>2314</v>
      </c>
      <c r="H1312" s="82"/>
      <c r="I1312" s="111" t="n">
        <v>7273</v>
      </c>
      <c r="J1312" s="110"/>
      <c r="K1312" s="120" t="s">
        <v>3742</v>
      </c>
      <c r="L1312" s="110"/>
      <c r="M1312" s="112"/>
      <c r="N1312" s="82"/>
      <c r="O1312" s="108"/>
      <c r="P1312" s="108"/>
      <c r="Q1312" s="108"/>
      <c r="R1312" s="108"/>
      <c r="S1312" s="108"/>
      <c r="T1312" s="108"/>
      <c r="U1312" s="108"/>
      <c r="V1312" s="108"/>
      <c r="W1312" s="108"/>
      <c r="X1312" s="108"/>
      <c r="Y1312" s="108"/>
      <c r="Z1312" s="108"/>
      <c r="AA1312" s="108"/>
      <c r="AB1312" s="108"/>
      <c r="AC1312" s="108"/>
    </row>
    <row r="1313" customFormat="false" ht="15.75" hidden="false" customHeight="true" outlineLevel="0" collapsed="false">
      <c r="A1313" s="108" t="s">
        <v>3743</v>
      </c>
      <c r="B1313" s="82"/>
      <c r="C1313" s="120" t="s">
        <v>3744</v>
      </c>
      <c r="D1313" s="121"/>
      <c r="E1313" s="108" t="s">
        <v>920</v>
      </c>
      <c r="F1313" s="114"/>
      <c r="G1313" s="120" t="s">
        <v>921</v>
      </c>
      <c r="H1313" s="82"/>
      <c r="I1313" s="111" t="n">
        <v>7321</v>
      </c>
      <c r="J1313" s="110"/>
      <c r="K1313" s="120" t="s">
        <v>3745</v>
      </c>
      <c r="L1313" s="110"/>
      <c r="M1313" s="112"/>
      <c r="N1313" s="82"/>
      <c r="O1313" s="108"/>
      <c r="P1313" s="108"/>
      <c r="Q1313" s="108"/>
      <c r="R1313" s="108"/>
      <c r="S1313" s="108"/>
      <c r="T1313" s="108"/>
      <c r="U1313" s="108"/>
      <c r="V1313" s="108"/>
      <c r="W1313" s="108"/>
      <c r="X1313" s="108"/>
      <c r="Y1313" s="108"/>
      <c r="Z1313" s="108"/>
      <c r="AA1313" s="108"/>
      <c r="AB1313" s="108"/>
      <c r="AC1313" s="108"/>
    </row>
    <row r="1314" customFormat="false" ht="15.75" hidden="false" customHeight="true" outlineLevel="0" collapsed="false">
      <c r="A1314" s="108" t="s">
        <v>3746</v>
      </c>
      <c r="B1314" s="82"/>
      <c r="C1314" s="120" t="s">
        <v>3747</v>
      </c>
      <c r="D1314" s="121"/>
      <c r="E1314" s="108" t="s">
        <v>1214</v>
      </c>
      <c r="F1314" s="114"/>
      <c r="G1314" s="120" t="s">
        <v>3748</v>
      </c>
      <c r="H1314" s="82"/>
      <c r="I1314" s="111" t="n">
        <v>7392</v>
      </c>
      <c r="J1314" s="110"/>
      <c r="K1314" s="120" t="s">
        <v>3749</v>
      </c>
      <c r="L1314" s="110"/>
      <c r="M1314" s="112"/>
      <c r="N1314" s="82"/>
      <c r="O1314" s="108"/>
      <c r="P1314" s="108"/>
      <c r="Q1314" s="108"/>
      <c r="R1314" s="108"/>
      <c r="S1314" s="108"/>
      <c r="T1314" s="108"/>
      <c r="U1314" s="108"/>
      <c r="V1314" s="108"/>
      <c r="W1314" s="108"/>
      <c r="X1314" s="108"/>
      <c r="Y1314" s="108"/>
      <c r="Z1314" s="108"/>
      <c r="AA1314" s="108"/>
      <c r="AB1314" s="108"/>
      <c r="AC1314" s="108"/>
    </row>
    <row r="1315" customFormat="false" ht="15.75" hidden="false" customHeight="true" outlineLevel="0" collapsed="false">
      <c r="A1315" s="108" t="s">
        <v>3750</v>
      </c>
      <c r="B1315" s="82"/>
      <c r="C1315" s="120" t="s">
        <v>3751</v>
      </c>
      <c r="D1315" s="121"/>
      <c r="E1315" s="108" t="s">
        <v>920</v>
      </c>
      <c r="F1315" s="114"/>
      <c r="G1315" s="120" t="s">
        <v>1579</v>
      </c>
      <c r="H1315" s="82"/>
      <c r="I1315" s="111" t="n">
        <v>7392</v>
      </c>
      <c r="J1315" s="110"/>
      <c r="K1315" s="120" t="s">
        <v>3752</v>
      </c>
      <c r="L1315" s="110"/>
      <c r="M1315" s="112"/>
      <c r="N1315" s="82"/>
      <c r="O1315" s="108"/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/>
      <c r="AB1315" s="108"/>
      <c r="AC1315" s="108"/>
    </row>
    <row r="1316" customFormat="false" ht="15.75" hidden="false" customHeight="true" outlineLevel="0" collapsed="false">
      <c r="A1316" s="108" t="s">
        <v>3753</v>
      </c>
      <c r="B1316" s="82"/>
      <c r="C1316" s="120" t="s">
        <v>3754</v>
      </c>
      <c r="D1316" s="121"/>
      <c r="E1316" s="108" t="s">
        <v>920</v>
      </c>
      <c r="F1316" s="114"/>
      <c r="G1316" s="120" t="s">
        <v>921</v>
      </c>
      <c r="H1316" s="82"/>
      <c r="I1316" s="111" t="n">
        <v>7392</v>
      </c>
      <c r="J1316" s="110"/>
      <c r="K1316" s="120" t="s">
        <v>3749</v>
      </c>
      <c r="L1316" s="110"/>
      <c r="M1316" s="112"/>
      <c r="N1316" s="82"/>
      <c r="O1316" s="108"/>
      <c r="P1316" s="108"/>
      <c r="Q1316" s="108"/>
      <c r="R1316" s="108"/>
      <c r="S1316" s="108"/>
      <c r="T1316" s="108"/>
      <c r="U1316" s="108"/>
      <c r="V1316" s="108"/>
      <c r="W1316" s="108"/>
      <c r="X1316" s="108"/>
      <c r="Y1316" s="108"/>
      <c r="Z1316" s="108"/>
      <c r="AA1316" s="108"/>
      <c r="AB1316" s="108"/>
      <c r="AC1316" s="108"/>
    </row>
    <row r="1317" customFormat="false" ht="15.75" hidden="false" customHeight="true" outlineLevel="0" collapsed="false">
      <c r="A1317" s="108" t="s">
        <v>3755</v>
      </c>
      <c r="B1317" s="82"/>
      <c r="C1317" s="120" t="s">
        <v>3756</v>
      </c>
      <c r="D1317" s="121"/>
      <c r="E1317" s="108" t="s">
        <v>2313</v>
      </c>
      <c r="F1317" s="114"/>
      <c r="G1317" s="120" t="s">
        <v>2421</v>
      </c>
      <c r="H1317" s="82"/>
      <c r="I1317" s="111" t="n">
        <v>7622</v>
      </c>
      <c r="J1317" s="110"/>
      <c r="K1317" s="120" t="s">
        <v>3757</v>
      </c>
      <c r="L1317" s="110"/>
      <c r="M1317" s="112"/>
      <c r="N1317" s="82"/>
      <c r="O1317" s="108"/>
      <c r="P1317" s="108"/>
      <c r="Q1317" s="108"/>
      <c r="R1317" s="108"/>
      <c r="S1317" s="108"/>
      <c r="T1317" s="108"/>
      <c r="U1317" s="108"/>
      <c r="V1317" s="108"/>
      <c r="W1317" s="108"/>
      <c r="X1317" s="108"/>
      <c r="Y1317" s="108"/>
      <c r="Z1317" s="108"/>
      <c r="AA1317" s="108"/>
      <c r="AB1317" s="108"/>
      <c r="AC1317" s="108"/>
    </row>
    <row r="1318" customFormat="false" ht="15.75" hidden="false" customHeight="true" outlineLevel="0" collapsed="false">
      <c r="A1318" s="108" t="s">
        <v>3758</v>
      </c>
      <c r="B1318" s="82"/>
      <c r="C1318" s="120" t="s">
        <v>3759</v>
      </c>
      <c r="D1318" s="121"/>
      <c r="E1318" s="108" t="s">
        <v>844</v>
      </c>
      <c r="F1318" s="114"/>
      <c r="G1318" s="120" t="s">
        <v>957</v>
      </c>
      <c r="H1318" s="82"/>
      <c r="I1318" s="111" t="n">
        <v>7699</v>
      </c>
      <c r="J1318" s="110"/>
      <c r="K1318" s="120" t="s">
        <v>3760</v>
      </c>
      <c r="L1318" s="110"/>
      <c r="M1318" s="112"/>
      <c r="N1318" s="82"/>
      <c r="O1318" s="108"/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/>
      <c r="AB1318" s="108"/>
      <c r="AC1318" s="108"/>
    </row>
    <row r="1319" customFormat="false" ht="15.75" hidden="false" customHeight="true" outlineLevel="0" collapsed="false">
      <c r="A1319" s="108" t="s">
        <v>3761</v>
      </c>
      <c r="B1319" s="82"/>
      <c r="C1319" s="120" t="s">
        <v>3762</v>
      </c>
      <c r="D1319" s="121"/>
      <c r="E1319" s="108" t="s">
        <v>844</v>
      </c>
      <c r="F1319" s="114"/>
      <c r="G1319" s="120" t="s">
        <v>957</v>
      </c>
      <c r="H1319" s="82"/>
      <c r="I1319" s="111" t="n">
        <v>7699</v>
      </c>
      <c r="J1319" s="110"/>
      <c r="K1319" s="120" t="s">
        <v>3760</v>
      </c>
      <c r="L1319" s="110"/>
      <c r="M1319" s="112"/>
      <c r="N1319" s="82"/>
      <c r="O1319" s="108"/>
      <c r="P1319" s="108"/>
      <c r="Q1319" s="108"/>
      <c r="R1319" s="108"/>
      <c r="S1319" s="108"/>
      <c r="T1319" s="108"/>
      <c r="U1319" s="108"/>
      <c r="V1319" s="108"/>
      <c r="W1319" s="108"/>
      <c r="X1319" s="108"/>
      <c r="Y1319" s="108"/>
      <c r="Z1319" s="108"/>
      <c r="AA1319" s="108"/>
      <c r="AB1319" s="108"/>
      <c r="AC1319" s="108"/>
    </row>
    <row r="1320" customFormat="false" ht="15.75" hidden="false" customHeight="true" outlineLevel="0" collapsed="false">
      <c r="A1320" s="108" t="s">
        <v>3763</v>
      </c>
      <c r="B1320" s="82"/>
      <c r="C1320" s="120" t="s">
        <v>3764</v>
      </c>
      <c r="D1320" s="121"/>
      <c r="E1320" s="108" t="s">
        <v>844</v>
      </c>
      <c r="F1320" s="114"/>
      <c r="G1320" s="120" t="s">
        <v>957</v>
      </c>
      <c r="H1320" s="82"/>
      <c r="I1320" s="111" t="n">
        <v>7699</v>
      </c>
      <c r="J1320" s="110"/>
      <c r="K1320" s="120" t="s">
        <v>3760</v>
      </c>
      <c r="L1320" s="110"/>
      <c r="M1320" s="112"/>
      <c r="N1320" s="82"/>
      <c r="O1320" s="108"/>
      <c r="P1320" s="108"/>
      <c r="Q1320" s="108"/>
      <c r="R1320" s="108"/>
      <c r="S1320" s="108"/>
      <c r="T1320" s="108"/>
      <c r="U1320" s="108"/>
      <c r="V1320" s="108"/>
      <c r="W1320" s="108"/>
      <c r="X1320" s="108"/>
      <c r="Y1320" s="108"/>
      <c r="Z1320" s="108"/>
      <c r="AA1320" s="108"/>
      <c r="AB1320" s="108"/>
      <c r="AC1320" s="108"/>
    </row>
    <row r="1321" customFormat="false" ht="15.75" hidden="false" customHeight="true" outlineLevel="0" collapsed="false">
      <c r="A1321" s="108" t="s">
        <v>3765</v>
      </c>
      <c r="B1321" s="82"/>
      <c r="C1321" s="120" t="s">
        <v>3766</v>
      </c>
      <c r="D1321" s="121"/>
      <c r="E1321" s="108" t="s">
        <v>844</v>
      </c>
      <c r="F1321" s="114"/>
      <c r="G1321" s="120" t="s">
        <v>957</v>
      </c>
      <c r="H1321" s="82"/>
      <c r="I1321" s="111" t="n">
        <v>7699</v>
      </c>
      <c r="J1321" s="110"/>
      <c r="K1321" s="120" t="s">
        <v>3760</v>
      </c>
      <c r="L1321" s="110"/>
      <c r="M1321" s="112"/>
      <c r="N1321" s="82"/>
      <c r="O1321" s="108"/>
      <c r="P1321" s="108"/>
      <c r="Q1321" s="108"/>
      <c r="R1321" s="108"/>
      <c r="S1321" s="108"/>
      <c r="T1321" s="108"/>
      <c r="U1321" s="108"/>
      <c r="V1321" s="108"/>
      <c r="W1321" s="108"/>
      <c r="X1321" s="108"/>
      <c r="Y1321" s="108"/>
      <c r="Z1321" s="108"/>
      <c r="AA1321" s="108"/>
      <c r="AB1321" s="108"/>
      <c r="AC1321" s="108"/>
    </row>
    <row r="1322" customFormat="false" ht="15.75" hidden="false" customHeight="true" outlineLevel="0" collapsed="false">
      <c r="A1322" s="108" t="s">
        <v>3767</v>
      </c>
      <c r="B1322" s="82"/>
      <c r="C1322" s="120" t="s">
        <v>3768</v>
      </c>
      <c r="D1322" s="121"/>
      <c r="E1322" s="108" t="s">
        <v>844</v>
      </c>
      <c r="F1322" s="114"/>
      <c r="G1322" s="120" t="s">
        <v>957</v>
      </c>
      <c r="H1322" s="82"/>
      <c r="I1322" s="111" t="n">
        <v>7699</v>
      </c>
      <c r="J1322" s="110"/>
      <c r="K1322" s="120" t="s">
        <v>3760</v>
      </c>
      <c r="L1322" s="110"/>
      <c r="M1322" s="112"/>
      <c r="N1322" s="82"/>
      <c r="O1322" s="108"/>
      <c r="P1322" s="108"/>
      <c r="Q1322" s="108"/>
      <c r="R1322" s="108"/>
      <c r="S1322" s="108"/>
      <c r="T1322" s="108"/>
      <c r="U1322" s="108"/>
      <c r="V1322" s="108"/>
      <c r="W1322" s="108"/>
      <c r="X1322" s="108"/>
      <c r="Y1322" s="108"/>
      <c r="Z1322" s="108"/>
      <c r="AA1322" s="108"/>
      <c r="AB1322" s="108"/>
      <c r="AC1322" s="108"/>
    </row>
    <row r="1323" customFormat="false" ht="15.75" hidden="false" customHeight="true" outlineLevel="0" collapsed="false">
      <c r="A1323" s="108" t="s">
        <v>3769</v>
      </c>
      <c r="B1323" s="82"/>
      <c r="C1323" s="120" t="s">
        <v>3770</v>
      </c>
      <c r="D1323" s="121"/>
      <c r="E1323" s="108" t="s">
        <v>844</v>
      </c>
      <c r="F1323" s="114"/>
      <c r="G1323" s="120" t="s">
        <v>957</v>
      </c>
      <c r="H1323" s="82"/>
      <c r="I1323" s="111" t="n">
        <v>7699</v>
      </c>
      <c r="J1323" s="110"/>
      <c r="K1323" s="120" t="s">
        <v>3760</v>
      </c>
      <c r="L1323" s="110"/>
      <c r="M1323" s="112"/>
      <c r="N1323" s="82"/>
      <c r="O1323" s="108"/>
      <c r="P1323" s="108"/>
      <c r="Q1323" s="108"/>
      <c r="R1323" s="108"/>
      <c r="S1323" s="108"/>
      <c r="T1323" s="108"/>
      <c r="U1323" s="108"/>
      <c r="V1323" s="108"/>
      <c r="W1323" s="108"/>
      <c r="X1323" s="108"/>
      <c r="Y1323" s="108"/>
      <c r="Z1323" s="108"/>
      <c r="AA1323" s="108"/>
      <c r="AB1323" s="108"/>
      <c r="AC1323" s="108"/>
    </row>
    <row r="1324" customFormat="false" ht="15.75" hidden="false" customHeight="true" outlineLevel="0" collapsed="false">
      <c r="A1324" s="108" t="s">
        <v>3771</v>
      </c>
      <c r="B1324" s="82"/>
      <c r="C1324" s="120" t="s">
        <v>3772</v>
      </c>
      <c r="D1324" s="121"/>
      <c r="E1324" s="108" t="s">
        <v>844</v>
      </c>
      <c r="F1324" s="114"/>
      <c r="G1324" s="120" t="s">
        <v>957</v>
      </c>
      <c r="H1324" s="82"/>
      <c r="I1324" s="111" t="n">
        <v>7699</v>
      </c>
      <c r="J1324" s="110"/>
      <c r="K1324" s="120" t="s">
        <v>3760</v>
      </c>
      <c r="L1324" s="110"/>
      <c r="M1324" s="112"/>
      <c r="N1324" s="82"/>
      <c r="O1324" s="108"/>
      <c r="P1324" s="108"/>
      <c r="Q1324" s="108"/>
      <c r="R1324" s="108"/>
      <c r="S1324" s="108"/>
      <c r="T1324" s="108"/>
      <c r="U1324" s="108"/>
      <c r="V1324" s="108"/>
      <c r="W1324" s="108"/>
      <c r="X1324" s="108"/>
      <c r="Y1324" s="108"/>
      <c r="Z1324" s="108"/>
      <c r="AA1324" s="108"/>
      <c r="AB1324" s="108"/>
      <c r="AC1324" s="108"/>
    </row>
    <row r="1325" customFormat="false" ht="15.75" hidden="false" customHeight="true" outlineLevel="0" collapsed="false">
      <c r="A1325" s="108" t="s">
        <v>3773</v>
      </c>
      <c r="B1325" s="82"/>
      <c r="C1325" s="120" t="s">
        <v>3774</v>
      </c>
      <c r="D1325" s="121"/>
      <c r="E1325" s="108" t="s">
        <v>844</v>
      </c>
      <c r="F1325" s="114"/>
      <c r="G1325" s="120" t="s">
        <v>957</v>
      </c>
      <c r="H1325" s="82"/>
      <c r="I1325" s="111" t="n">
        <v>7699</v>
      </c>
      <c r="J1325" s="110"/>
      <c r="K1325" s="120" t="s">
        <v>3760</v>
      </c>
      <c r="L1325" s="110"/>
      <c r="M1325" s="112"/>
      <c r="N1325" s="82"/>
      <c r="O1325" s="108"/>
      <c r="P1325" s="108"/>
      <c r="Q1325" s="108"/>
      <c r="R1325" s="108"/>
      <c r="S1325" s="108"/>
      <c r="T1325" s="108"/>
      <c r="U1325" s="108"/>
      <c r="V1325" s="108"/>
      <c r="W1325" s="108"/>
      <c r="X1325" s="108"/>
      <c r="Y1325" s="108"/>
      <c r="Z1325" s="108"/>
      <c r="AA1325" s="108"/>
      <c r="AB1325" s="108"/>
      <c r="AC1325" s="108"/>
    </row>
    <row r="1326" customFormat="false" ht="15.75" hidden="false" customHeight="true" outlineLevel="0" collapsed="false">
      <c r="A1326" s="108" t="s">
        <v>3775</v>
      </c>
      <c r="B1326" s="82"/>
      <c r="C1326" s="120" t="s">
        <v>3776</v>
      </c>
      <c r="D1326" s="121"/>
      <c r="E1326" s="108" t="s">
        <v>844</v>
      </c>
      <c r="F1326" s="114"/>
      <c r="G1326" s="120" t="s">
        <v>957</v>
      </c>
      <c r="H1326" s="82"/>
      <c r="I1326" s="111" t="n">
        <v>7699</v>
      </c>
      <c r="J1326" s="110"/>
      <c r="K1326" s="120" t="s">
        <v>3760</v>
      </c>
      <c r="L1326" s="110"/>
      <c r="M1326" s="112"/>
      <c r="N1326" s="82"/>
      <c r="O1326" s="108"/>
      <c r="P1326" s="108"/>
      <c r="Q1326" s="108"/>
      <c r="R1326" s="108"/>
      <c r="S1326" s="108"/>
      <c r="T1326" s="108"/>
      <c r="U1326" s="108"/>
      <c r="V1326" s="108"/>
      <c r="W1326" s="108"/>
      <c r="X1326" s="108"/>
      <c r="Y1326" s="108"/>
      <c r="Z1326" s="108"/>
      <c r="AA1326" s="108"/>
      <c r="AB1326" s="108"/>
      <c r="AC1326" s="108"/>
    </row>
    <row r="1327" customFormat="false" ht="15.75" hidden="false" customHeight="true" outlineLevel="0" collapsed="false">
      <c r="A1327" s="108" t="s">
        <v>3777</v>
      </c>
      <c r="B1327" s="82"/>
      <c r="C1327" s="120" t="s">
        <v>3778</v>
      </c>
      <c r="D1327" s="121"/>
      <c r="E1327" s="108" t="s">
        <v>844</v>
      </c>
      <c r="F1327" s="114"/>
      <c r="G1327" s="120" t="s">
        <v>957</v>
      </c>
      <c r="H1327" s="82"/>
      <c r="I1327" s="111" t="n">
        <v>7699</v>
      </c>
      <c r="J1327" s="110"/>
      <c r="K1327" s="120" t="s">
        <v>3760</v>
      </c>
      <c r="L1327" s="110"/>
      <c r="M1327" s="112"/>
      <c r="N1327" s="82"/>
      <c r="O1327" s="108"/>
      <c r="P1327" s="108"/>
      <c r="Q1327" s="108"/>
      <c r="R1327" s="108"/>
      <c r="S1327" s="108"/>
      <c r="T1327" s="108"/>
      <c r="U1327" s="108"/>
      <c r="V1327" s="108"/>
      <c r="W1327" s="108"/>
      <c r="X1327" s="108"/>
      <c r="Y1327" s="108"/>
      <c r="Z1327" s="108"/>
      <c r="AA1327" s="108"/>
      <c r="AB1327" s="108"/>
      <c r="AC1327" s="108"/>
    </row>
    <row r="1328" customFormat="false" ht="15.75" hidden="false" customHeight="true" outlineLevel="0" collapsed="false">
      <c r="A1328" s="108" t="s">
        <v>3779</v>
      </c>
      <c r="B1328" s="82"/>
      <c r="C1328" s="120" t="s">
        <v>3780</v>
      </c>
      <c r="D1328" s="121"/>
      <c r="E1328" s="108" t="s">
        <v>844</v>
      </c>
      <c r="F1328" s="114"/>
      <c r="G1328" s="120" t="s">
        <v>957</v>
      </c>
      <c r="H1328" s="82"/>
      <c r="I1328" s="111" t="n">
        <v>7699</v>
      </c>
      <c r="J1328" s="110"/>
      <c r="K1328" s="120" t="s">
        <v>3760</v>
      </c>
      <c r="L1328" s="110"/>
      <c r="M1328" s="112"/>
      <c r="N1328" s="82"/>
      <c r="O1328" s="108"/>
      <c r="P1328" s="108"/>
      <c r="Q1328" s="108"/>
      <c r="R1328" s="108"/>
      <c r="S1328" s="108"/>
      <c r="T1328" s="108"/>
      <c r="U1328" s="108"/>
      <c r="V1328" s="108"/>
      <c r="W1328" s="108"/>
      <c r="X1328" s="108"/>
      <c r="Y1328" s="108"/>
      <c r="Z1328" s="108"/>
      <c r="AA1328" s="108"/>
      <c r="AB1328" s="108"/>
      <c r="AC1328" s="108"/>
    </row>
    <row r="1329" customFormat="false" ht="15.75" hidden="false" customHeight="true" outlineLevel="0" collapsed="false">
      <c r="A1329" s="108" t="s">
        <v>3781</v>
      </c>
      <c r="B1329" s="82"/>
      <c r="C1329" s="120" t="s">
        <v>3782</v>
      </c>
      <c r="D1329" s="121"/>
      <c r="E1329" s="108" t="s">
        <v>844</v>
      </c>
      <c r="F1329" s="114"/>
      <c r="G1329" s="120" t="s">
        <v>957</v>
      </c>
      <c r="H1329" s="82"/>
      <c r="I1329" s="111" t="n">
        <v>7699</v>
      </c>
      <c r="J1329" s="110"/>
      <c r="K1329" s="120" t="s">
        <v>3760</v>
      </c>
      <c r="L1329" s="110"/>
      <c r="M1329" s="112"/>
      <c r="N1329" s="82"/>
      <c r="O1329" s="108"/>
      <c r="P1329" s="108"/>
      <c r="Q1329" s="108"/>
      <c r="R1329" s="108"/>
      <c r="S1329" s="108"/>
      <c r="T1329" s="108"/>
      <c r="U1329" s="108"/>
      <c r="V1329" s="108"/>
      <c r="W1329" s="108"/>
      <c r="X1329" s="108"/>
      <c r="Y1329" s="108"/>
      <c r="Z1329" s="108"/>
      <c r="AA1329" s="108"/>
      <c r="AB1329" s="108"/>
      <c r="AC1329" s="108"/>
    </row>
    <row r="1330" customFormat="false" ht="15.75" hidden="false" customHeight="true" outlineLevel="0" collapsed="false">
      <c r="A1330" s="108" t="s">
        <v>3783</v>
      </c>
      <c r="B1330" s="82"/>
      <c r="C1330" s="120" t="s">
        <v>3784</v>
      </c>
      <c r="D1330" s="121"/>
      <c r="E1330" s="108" t="s">
        <v>844</v>
      </c>
      <c r="F1330" s="114"/>
      <c r="G1330" s="120" t="s">
        <v>957</v>
      </c>
      <c r="H1330" s="82"/>
      <c r="I1330" s="111" t="n">
        <v>7699</v>
      </c>
      <c r="J1330" s="110"/>
      <c r="K1330" s="120" t="s">
        <v>3760</v>
      </c>
      <c r="L1330" s="110"/>
      <c r="M1330" s="112"/>
      <c r="N1330" s="82"/>
      <c r="O1330" s="108"/>
      <c r="P1330" s="108"/>
      <c r="Q1330" s="108"/>
      <c r="R1330" s="108"/>
      <c r="S1330" s="108"/>
      <c r="T1330" s="108"/>
      <c r="U1330" s="108"/>
      <c r="V1330" s="108"/>
      <c r="W1330" s="108"/>
      <c r="X1330" s="108"/>
      <c r="Y1330" s="108"/>
      <c r="Z1330" s="108"/>
      <c r="AA1330" s="108"/>
      <c r="AB1330" s="108"/>
      <c r="AC1330" s="108"/>
    </row>
    <row r="1331" customFormat="false" ht="15.75" hidden="false" customHeight="true" outlineLevel="0" collapsed="false">
      <c r="A1331" s="108" t="s">
        <v>3785</v>
      </c>
      <c r="B1331" s="82"/>
      <c r="C1331" s="120" t="s">
        <v>3786</v>
      </c>
      <c r="D1331" s="121"/>
      <c r="E1331" s="108" t="s">
        <v>844</v>
      </c>
      <c r="F1331" s="114"/>
      <c r="G1331" s="120" t="s">
        <v>957</v>
      </c>
      <c r="H1331" s="82"/>
      <c r="I1331" s="111" t="n">
        <v>7699</v>
      </c>
      <c r="J1331" s="110"/>
      <c r="K1331" s="120" t="s">
        <v>3760</v>
      </c>
      <c r="L1331" s="110"/>
      <c r="M1331" s="112"/>
      <c r="N1331" s="82"/>
      <c r="O1331" s="108"/>
      <c r="P1331" s="108"/>
      <c r="Q1331" s="108"/>
      <c r="R1331" s="108"/>
      <c r="S1331" s="108"/>
      <c r="T1331" s="108"/>
      <c r="U1331" s="108"/>
      <c r="V1331" s="108"/>
      <c r="W1331" s="108"/>
      <c r="X1331" s="108"/>
      <c r="Y1331" s="108"/>
      <c r="Z1331" s="108"/>
      <c r="AA1331" s="108"/>
      <c r="AB1331" s="108"/>
      <c r="AC1331" s="108"/>
    </row>
    <row r="1332" customFormat="false" ht="15.75" hidden="false" customHeight="true" outlineLevel="0" collapsed="false">
      <c r="A1332" s="108" t="s">
        <v>3787</v>
      </c>
      <c r="B1332" s="82"/>
      <c r="C1332" s="120" t="s">
        <v>3788</v>
      </c>
      <c r="D1332" s="121"/>
      <c r="E1332" s="108" t="s">
        <v>844</v>
      </c>
      <c r="F1332" s="114"/>
      <c r="G1332" s="120" t="s">
        <v>957</v>
      </c>
      <c r="H1332" s="82"/>
      <c r="I1332" s="111" t="n">
        <v>7699</v>
      </c>
      <c r="J1332" s="110"/>
      <c r="K1332" s="120" t="s">
        <v>3760</v>
      </c>
      <c r="L1332" s="110"/>
      <c r="M1332" s="112"/>
      <c r="N1332" s="82"/>
      <c r="O1332" s="108"/>
      <c r="P1332" s="108"/>
      <c r="Q1332" s="108"/>
      <c r="R1332" s="108"/>
      <c r="S1332" s="108"/>
      <c r="T1332" s="108"/>
      <c r="U1332" s="108"/>
      <c r="V1332" s="108"/>
      <c r="W1332" s="108"/>
      <c r="X1332" s="108"/>
      <c r="Y1332" s="108"/>
      <c r="Z1332" s="108"/>
      <c r="AA1332" s="108"/>
      <c r="AB1332" s="108"/>
      <c r="AC1332" s="108"/>
    </row>
    <row r="1333" customFormat="false" ht="15.75" hidden="false" customHeight="true" outlineLevel="0" collapsed="false">
      <c r="A1333" s="108" t="s">
        <v>3789</v>
      </c>
      <c r="B1333" s="82"/>
      <c r="C1333" s="120" t="s">
        <v>3790</v>
      </c>
      <c r="D1333" s="121"/>
      <c r="E1333" s="108" t="s">
        <v>844</v>
      </c>
      <c r="F1333" s="114"/>
      <c r="G1333" s="120" t="s">
        <v>957</v>
      </c>
      <c r="H1333" s="82"/>
      <c r="I1333" s="111" t="n">
        <v>7699</v>
      </c>
      <c r="J1333" s="110"/>
      <c r="K1333" s="120" t="s">
        <v>3760</v>
      </c>
      <c r="L1333" s="110"/>
      <c r="M1333" s="112"/>
      <c r="N1333" s="82"/>
      <c r="O1333" s="108"/>
      <c r="P1333" s="108"/>
      <c r="Q1333" s="108"/>
      <c r="R1333" s="108"/>
      <c r="S1333" s="108"/>
      <c r="T1333" s="108"/>
      <c r="U1333" s="108"/>
      <c r="V1333" s="108"/>
      <c r="W1333" s="108"/>
      <c r="X1333" s="108"/>
      <c r="Y1333" s="108"/>
      <c r="Z1333" s="108"/>
      <c r="AA1333" s="108"/>
      <c r="AB1333" s="108"/>
      <c r="AC1333" s="108"/>
    </row>
    <row r="1334" customFormat="false" ht="15.75" hidden="false" customHeight="true" outlineLevel="0" collapsed="false">
      <c r="A1334" s="108" t="s">
        <v>3791</v>
      </c>
      <c r="B1334" s="82"/>
      <c r="C1334" s="120" t="s">
        <v>3792</v>
      </c>
      <c r="D1334" s="121"/>
      <c r="E1334" s="108" t="s">
        <v>844</v>
      </c>
      <c r="F1334" s="114"/>
      <c r="G1334" s="120" t="s">
        <v>957</v>
      </c>
      <c r="H1334" s="82"/>
      <c r="I1334" s="111" t="n">
        <v>7699</v>
      </c>
      <c r="J1334" s="110"/>
      <c r="K1334" s="120" t="s">
        <v>3760</v>
      </c>
      <c r="L1334" s="110"/>
      <c r="M1334" s="112"/>
      <c r="N1334" s="82"/>
      <c r="O1334" s="108"/>
      <c r="P1334" s="108"/>
      <c r="Q1334" s="108"/>
      <c r="R1334" s="108"/>
      <c r="S1334" s="108"/>
      <c r="T1334" s="108"/>
      <c r="U1334" s="108"/>
      <c r="V1334" s="108"/>
      <c r="W1334" s="108"/>
      <c r="X1334" s="108"/>
      <c r="Y1334" s="108"/>
      <c r="Z1334" s="108"/>
      <c r="AA1334" s="108"/>
      <c r="AB1334" s="108"/>
      <c r="AC1334" s="108"/>
    </row>
    <row r="1335" customFormat="false" ht="15.75" hidden="false" customHeight="true" outlineLevel="0" collapsed="false">
      <c r="A1335" s="108" t="s">
        <v>3793</v>
      </c>
      <c r="B1335" s="82"/>
      <c r="C1335" s="120" t="s">
        <v>3794</v>
      </c>
      <c r="D1335" s="121"/>
      <c r="E1335" s="108" t="s">
        <v>844</v>
      </c>
      <c r="F1335" s="114"/>
      <c r="G1335" s="120" t="s">
        <v>957</v>
      </c>
      <c r="H1335" s="82"/>
      <c r="I1335" s="111" t="n">
        <v>7699</v>
      </c>
      <c r="J1335" s="110"/>
      <c r="K1335" s="120" t="s">
        <v>3760</v>
      </c>
      <c r="L1335" s="110"/>
      <c r="M1335" s="112"/>
      <c r="N1335" s="82"/>
      <c r="O1335" s="108"/>
      <c r="P1335" s="108"/>
      <c r="Q1335" s="108"/>
      <c r="R1335" s="108"/>
      <c r="S1335" s="108"/>
      <c r="T1335" s="108"/>
      <c r="U1335" s="108"/>
      <c r="V1335" s="108"/>
      <c r="W1335" s="108"/>
      <c r="X1335" s="108"/>
      <c r="Y1335" s="108"/>
      <c r="Z1335" s="108"/>
      <c r="AA1335" s="108"/>
      <c r="AB1335" s="108"/>
      <c r="AC1335" s="108"/>
    </row>
    <row r="1336" customFormat="false" ht="15.75" hidden="false" customHeight="true" outlineLevel="0" collapsed="false">
      <c r="A1336" s="108" t="s">
        <v>3795</v>
      </c>
      <c r="B1336" s="82"/>
      <c r="C1336" s="120" t="s">
        <v>3796</v>
      </c>
      <c r="D1336" s="121"/>
      <c r="E1336" s="108" t="s">
        <v>844</v>
      </c>
      <c r="F1336" s="114"/>
      <c r="G1336" s="120" t="s">
        <v>957</v>
      </c>
      <c r="H1336" s="82"/>
      <c r="I1336" s="111" t="n">
        <v>7699</v>
      </c>
      <c r="J1336" s="110"/>
      <c r="K1336" s="120" t="s">
        <v>3760</v>
      </c>
      <c r="L1336" s="110"/>
      <c r="M1336" s="112"/>
      <c r="N1336" s="82"/>
      <c r="O1336" s="108"/>
      <c r="P1336" s="108"/>
      <c r="Q1336" s="108"/>
      <c r="R1336" s="108"/>
      <c r="S1336" s="108"/>
      <c r="T1336" s="108"/>
      <c r="U1336" s="108"/>
      <c r="V1336" s="108"/>
      <c r="W1336" s="108"/>
      <c r="X1336" s="108"/>
      <c r="Y1336" s="108"/>
      <c r="Z1336" s="108"/>
      <c r="AA1336" s="108"/>
      <c r="AB1336" s="108"/>
      <c r="AC1336" s="108"/>
    </row>
    <row r="1337" customFormat="false" ht="15.75" hidden="false" customHeight="true" outlineLevel="0" collapsed="false">
      <c r="A1337" s="108" t="s">
        <v>3797</v>
      </c>
      <c r="B1337" s="82"/>
      <c r="C1337" s="120" t="s">
        <v>3798</v>
      </c>
      <c r="D1337" s="121"/>
      <c r="E1337" s="108" t="s">
        <v>844</v>
      </c>
      <c r="F1337" s="114"/>
      <c r="G1337" s="120" t="s">
        <v>957</v>
      </c>
      <c r="H1337" s="82"/>
      <c r="I1337" s="111" t="n">
        <v>7699</v>
      </c>
      <c r="J1337" s="110"/>
      <c r="K1337" s="120" t="s">
        <v>3760</v>
      </c>
      <c r="L1337" s="110"/>
      <c r="M1337" s="112"/>
      <c r="N1337" s="82"/>
      <c r="O1337" s="108"/>
      <c r="P1337" s="108"/>
      <c r="Q1337" s="108"/>
      <c r="R1337" s="108"/>
      <c r="S1337" s="108"/>
      <c r="T1337" s="108"/>
      <c r="U1337" s="108"/>
      <c r="V1337" s="108"/>
      <c r="W1337" s="108"/>
      <c r="X1337" s="108"/>
      <c r="Y1337" s="108"/>
      <c r="Z1337" s="108"/>
      <c r="AA1337" s="108"/>
      <c r="AB1337" s="108"/>
      <c r="AC1337" s="108"/>
    </row>
    <row r="1338" customFormat="false" ht="15.75" hidden="false" customHeight="true" outlineLevel="0" collapsed="false">
      <c r="A1338" s="108" t="s">
        <v>3799</v>
      </c>
      <c r="B1338" s="82"/>
      <c r="C1338" s="120" t="s">
        <v>3800</v>
      </c>
      <c r="D1338" s="121"/>
      <c r="E1338" s="108" t="s">
        <v>844</v>
      </c>
      <c r="F1338" s="114"/>
      <c r="G1338" s="120" t="s">
        <v>957</v>
      </c>
      <c r="H1338" s="82"/>
      <c r="I1338" s="111" t="n">
        <v>7699</v>
      </c>
      <c r="J1338" s="110"/>
      <c r="K1338" s="120" t="s">
        <v>3760</v>
      </c>
      <c r="L1338" s="110"/>
      <c r="M1338" s="112"/>
      <c r="N1338" s="82"/>
      <c r="O1338" s="108"/>
      <c r="P1338" s="108"/>
      <c r="Q1338" s="108"/>
      <c r="R1338" s="108"/>
      <c r="S1338" s="108"/>
      <c r="T1338" s="108"/>
      <c r="U1338" s="108"/>
      <c r="V1338" s="108"/>
      <c r="W1338" s="108"/>
      <c r="X1338" s="108"/>
      <c r="Y1338" s="108"/>
      <c r="Z1338" s="108"/>
      <c r="AA1338" s="108"/>
      <c r="AB1338" s="108"/>
      <c r="AC1338" s="108"/>
    </row>
    <row r="1339" customFormat="false" ht="15.75" hidden="false" customHeight="true" outlineLevel="0" collapsed="false">
      <c r="A1339" s="108" t="s">
        <v>3801</v>
      </c>
      <c r="B1339" s="82"/>
      <c r="C1339" s="120" t="s">
        <v>3802</v>
      </c>
      <c r="D1339" s="121"/>
      <c r="E1339" s="108" t="s">
        <v>844</v>
      </c>
      <c r="F1339" s="114"/>
      <c r="G1339" s="120" t="s">
        <v>957</v>
      </c>
      <c r="H1339" s="82"/>
      <c r="I1339" s="111" t="n">
        <v>7699</v>
      </c>
      <c r="J1339" s="110"/>
      <c r="K1339" s="120" t="s">
        <v>3760</v>
      </c>
      <c r="L1339" s="110"/>
      <c r="M1339" s="112"/>
      <c r="N1339" s="82"/>
      <c r="O1339" s="108"/>
      <c r="P1339" s="108"/>
      <c r="Q1339" s="108"/>
      <c r="R1339" s="108"/>
      <c r="S1339" s="108"/>
      <c r="T1339" s="108"/>
      <c r="U1339" s="108"/>
      <c r="V1339" s="108"/>
      <c r="W1339" s="108"/>
      <c r="X1339" s="108"/>
      <c r="Y1339" s="108"/>
      <c r="Z1339" s="108"/>
      <c r="AA1339" s="108"/>
      <c r="AB1339" s="108"/>
      <c r="AC1339" s="108"/>
    </row>
    <row r="1340" customFormat="false" ht="15.75" hidden="false" customHeight="true" outlineLevel="0" collapsed="false">
      <c r="A1340" s="108" t="s">
        <v>3803</v>
      </c>
      <c r="B1340" s="82"/>
      <c r="C1340" s="120" t="s">
        <v>3804</v>
      </c>
      <c r="D1340" s="121"/>
      <c r="E1340" s="108" t="s">
        <v>844</v>
      </c>
      <c r="F1340" s="114"/>
      <c r="G1340" s="120" t="s">
        <v>957</v>
      </c>
      <c r="H1340" s="82"/>
      <c r="I1340" s="111" t="n">
        <v>7699</v>
      </c>
      <c r="J1340" s="110"/>
      <c r="K1340" s="120" t="s">
        <v>3760</v>
      </c>
      <c r="L1340" s="110"/>
      <c r="M1340" s="112"/>
      <c r="N1340" s="82"/>
      <c r="O1340" s="108"/>
      <c r="P1340" s="108"/>
      <c r="Q1340" s="108"/>
      <c r="R1340" s="108"/>
      <c r="S1340" s="108"/>
      <c r="T1340" s="108"/>
      <c r="U1340" s="108"/>
      <c r="V1340" s="108"/>
      <c r="W1340" s="108"/>
      <c r="X1340" s="108"/>
      <c r="Y1340" s="108"/>
      <c r="Z1340" s="108"/>
      <c r="AA1340" s="108"/>
      <c r="AB1340" s="108"/>
      <c r="AC1340" s="108"/>
    </row>
    <row r="1341" customFormat="false" ht="15.75" hidden="false" customHeight="true" outlineLevel="0" collapsed="false">
      <c r="A1341" s="108" t="s">
        <v>3805</v>
      </c>
      <c r="B1341" s="82"/>
      <c r="C1341" s="120" t="s">
        <v>3806</v>
      </c>
      <c r="D1341" s="121"/>
      <c r="E1341" s="108" t="s">
        <v>844</v>
      </c>
      <c r="F1341" s="114"/>
      <c r="G1341" s="120" t="s">
        <v>957</v>
      </c>
      <c r="H1341" s="82"/>
      <c r="I1341" s="111" t="n">
        <v>7699</v>
      </c>
      <c r="J1341" s="110"/>
      <c r="K1341" s="120" t="s">
        <v>3760</v>
      </c>
      <c r="L1341" s="110"/>
      <c r="M1341" s="112"/>
      <c r="N1341" s="82"/>
      <c r="O1341" s="108"/>
      <c r="P1341" s="108"/>
      <c r="Q1341" s="108"/>
      <c r="R1341" s="108"/>
      <c r="S1341" s="108"/>
      <c r="T1341" s="108"/>
      <c r="U1341" s="108"/>
      <c r="V1341" s="108"/>
      <c r="W1341" s="108"/>
      <c r="X1341" s="108"/>
      <c r="Y1341" s="108"/>
      <c r="Z1341" s="108"/>
      <c r="AA1341" s="108"/>
      <c r="AB1341" s="108"/>
      <c r="AC1341" s="108"/>
    </row>
    <row r="1342" customFormat="false" ht="15.75" hidden="false" customHeight="true" outlineLevel="0" collapsed="false">
      <c r="A1342" s="108" t="s">
        <v>3807</v>
      </c>
      <c r="B1342" s="82"/>
      <c r="C1342" s="120" t="s">
        <v>3808</v>
      </c>
      <c r="D1342" s="121"/>
      <c r="E1342" s="108" t="s">
        <v>844</v>
      </c>
      <c r="F1342" s="114"/>
      <c r="G1342" s="120" t="s">
        <v>957</v>
      </c>
      <c r="H1342" s="82"/>
      <c r="I1342" s="111" t="n">
        <v>7699</v>
      </c>
      <c r="J1342" s="110"/>
      <c r="K1342" s="120" t="s">
        <v>3760</v>
      </c>
      <c r="L1342" s="110"/>
      <c r="M1342" s="112"/>
      <c r="N1342" s="82"/>
      <c r="O1342" s="108"/>
      <c r="P1342" s="108"/>
      <c r="Q1342" s="108"/>
      <c r="R1342" s="108"/>
      <c r="S1342" s="108"/>
      <c r="T1342" s="108"/>
      <c r="U1342" s="108"/>
      <c r="V1342" s="108"/>
      <c r="W1342" s="108"/>
      <c r="X1342" s="108"/>
      <c r="Y1342" s="108"/>
      <c r="Z1342" s="108"/>
      <c r="AA1342" s="108"/>
      <c r="AB1342" s="108"/>
      <c r="AC1342" s="108"/>
    </row>
    <row r="1343" customFormat="false" ht="15.75" hidden="false" customHeight="true" outlineLevel="0" collapsed="false">
      <c r="A1343" s="108" t="s">
        <v>3809</v>
      </c>
      <c r="B1343" s="82"/>
      <c r="C1343" s="120" t="s">
        <v>3810</v>
      </c>
      <c r="D1343" s="121"/>
      <c r="E1343" s="108" t="s">
        <v>844</v>
      </c>
      <c r="F1343" s="114"/>
      <c r="G1343" s="120" t="s">
        <v>957</v>
      </c>
      <c r="H1343" s="82"/>
      <c r="I1343" s="111" t="n">
        <v>7699</v>
      </c>
      <c r="J1343" s="110"/>
      <c r="K1343" s="120" t="s">
        <v>3760</v>
      </c>
      <c r="L1343" s="110"/>
      <c r="M1343" s="112"/>
      <c r="N1343" s="82"/>
      <c r="O1343" s="108"/>
      <c r="P1343" s="108"/>
      <c r="Q1343" s="108"/>
      <c r="R1343" s="108"/>
      <c r="S1343" s="108"/>
      <c r="T1343" s="108"/>
      <c r="U1343" s="108"/>
      <c r="V1343" s="108"/>
      <c r="W1343" s="108"/>
      <c r="X1343" s="108"/>
      <c r="Y1343" s="108"/>
      <c r="Z1343" s="108"/>
      <c r="AA1343" s="108"/>
      <c r="AB1343" s="108"/>
      <c r="AC1343" s="108"/>
    </row>
    <row r="1344" customFormat="false" ht="15.75" hidden="false" customHeight="true" outlineLevel="0" collapsed="false">
      <c r="A1344" s="108" t="s">
        <v>3811</v>
      </c>
      <c r="B1344" s="82"/>
      <c r="C1344" s="120" t="s">
        <v>3812</v>
      </c>
      <c r="D1344" s="121"/>
      <c r="E1344" s="108" t="s">
        <v>844</v>
      </c>
      <c r="F1344" s="114"/>
      <c r="G1344" s="120" t="s">
        <v>957</v>
      </c>
      <c r="H1344" s="82"/>
      <c r="I1344" s="111" t="n">
        <v>7699</v>
      </c>
      <c r="J1344" s="110"/>
      <c r="K1344" s="120" t="s">
        <v>3760</v>
      </c>
      <c r="L1344" s="110"/>
      <c r="M1344" s="112"/>
      <c r="N1344" s="82"/>
      <c r="O1344" s="108"/>
      <c r="P1344" s="108"/>
      <c r="Q1344" s="108"/>
      <c r="R1344" s="108"/>
      <c r="S1344" s="108"/>
      <c r="T1344" s="108"/>
      <c r="U1344" s="108"/>
      <c r="V1344" s="108"/>
      <c r="W1344" s="108"/>
      <c r="X1344" s="108"/>
      <c r="Y1344" s="108"/>
      <c r="Z1344" s="108"/>
      <c r="AA1344" s="108"/>
      <c r="AB1344" s="108"/>
      <c r="AC1344" s="108"/>
    </row>
    <row r="1345" customFormat="false" ht="15.75" hidden="false" customHeight="true" outlineLevel="0" collapsed="false">
      <c r="A1345" s="108" t="s">
        <v>3813</v>
      </c>
      <c r="B1345" s="82"/>
      <c r="C1345" s="120" t="s">
        <v>3814</v>
      </c>
      <c r="D1345" s="121"/>
      <c r="E1345" s="108" t="s">
        <v>844</v>
      </c>
      <c r="F1345" s="114"/>
      <c r="G1345" s="120" t="s">
        <v>957</v>
      </c>
      <c r="H1345" s="82"/>
      <c r="I1345" s="111" t="n">
        <v>7699</v>
      </c>
      <c r="J1345" s="110"/>
      <c r="K1345" s="120" t="s">
        <v>3760</v>
      </c>
      <c r="L1345" s="110"/>
      <c r="M1345" s="112"/>
      <c r="N1345" s="82"/>
      <c r="O1345" s="108"/>
      <c r="P1345" s="108"/>
      <c r="Q1345" s="108"/>
      <c r="R1345" s="108"/>
      <c r="S1345" s="108"/>
      <c r="T1345" s="108"/>
      <c r="U1345" s="108"/>
      <c r="V1345" s="108"/>
      <c r="W1345" s="108"/>
      <c r="X1345" s="108"/>
      <c r="Y1345" s="108"/>
      <c r="Z1345" s="108"/>
      <c r="AA1345" s="108"/>
      <c r="AB1345" s="108"/>
      <c r="AC1345" s="108"/>
    </row>
    <row r="1346" customFormat="false" ht="15.75" hidden="false" customHeight="true" outlineLevel="0" collapsed="false">
      <c r="A1346" s="108" t="s">
        <v>3815</v>
      </c>
      <c r="B1346" s="82"/>
      <c r="C1346" s="120" t="s">
        <v>3816</v>
      </c>
      <c r="D1346" s="121"/>
      <c r="E1346" s="108" t="s">
        <v>844</v>
      </c>
      <c r="F1346" s="114"/>
      <c r="G1346" s="120" t="s">
        <v>957</v>
      </c>
      <c r="H1346" s="82"/>
      <c r="I1346" s="111" t="n">
        <v>7699</v>
      </c>
      <c r="J1346" s="110"/>
      <c r="K1346" s="120" t="s">
        <v>3760</v>
      </c>
      <c r="L1346" s="110"/>
      <c r="M1346" s="112"/>
      <c r="N1346" s="82"/>
      <c r="O1346" s="108"/>
      <c r="P1346" s="108"/>
      <c r="Q1346" s="108"/>
      <c r="R1346" s="108"/>
      <c r="S1346" s="108"/>
      <c r="T1346" s="108"/>
      <c r="U1346" s="108"/>
      <c r="V1346" s="108"/>
      <c r="W1346" s="108"/>
      <c r="X1346" s="108"/>
      <c r="Y1346" s="108"/>
      <c r="Z1346" s="108"/>
      <c r="AA1346" s="108"/>
      <c r="AB1346" s="108"/>
      <c r="AC1346" s="108"/>
    </row>
    <row r="1347" customFormat="false" ht="15.75" hidden="false" customHeight="true" outlineLevel="0" collapsed="false">
      <c r="A1347" s="108" t="s">
        <v>3817</v>
      </c>
      <c r="B1347" s="82"/>
      <c r="C1347" s="120" t="s">
        <v>3818</v>
      </c>
      <c r="D1347" s="121"/>
      <c r="E1347" s="108" t="s">
        <v>844</v>
      </c>
      <c r="F1347" s="114"/>
      <c r="G1347" s="120" t="s">
        <v>957</v>
      </c>
      <c r="H1347" s="82"/>
      <c r="I1347" s="111" t="n">
        <v>7699</v>
      </c>
      <c r="J1347" s="110"/>
      <c r="K1347" s="120" t="s">
        <v>3760</v>
      </c>
      <c r="L1347" s="110"/>
      <c r="M1347" s="112"/>
      <c r="N1347" s="82"/>
      <c r="O1347" s="108"/>
      <c r="P1347" s="108"/>
      <c r="Q1347" s="108"/>
      <c r="R1347" s="108"/>
      <c r="S1347" s="108"/>
      <c r="T1347" s="108"/>
      <c r="U1347" s="108"/>
      <c r="V1347" s="108"/>
      <c r="W1347" s="108"/>
      <c r="X1347" s="108"/>
      <c r="Y1347" s="108"/>
      <c r="Z1347" s="108"/>
      <c r="AA1347" s="108"/>
      <c r="AB1347" s="108"/>
      <c r="AC1347" s="108"/>
    </row>
    <row r="1348" customFormat="false" ht="15.75" hidden="false" customHeight="true" outlineLevel="0" collapsed="false">
      <c r="A1348" s="108" t="s">
        <v>3819</v>
      </c>
      <c r="B1348" s="82"/>
      <c r="C1348" s="120" t="s">
        <v>3820</v>
      </c>
      <c r="D1348" s="121"/>
      <c r="E1348" s="108" t="s">
        <v>844</v>
      </c>
      <c r="F1348" s="114"/>
      <c r="G1348" s="120" t="s">
        <v>957</v>
      </c>
      <c r="H1348" s="82"/>
      <c r="I1348" s="111" t="n">
        <v>7699</v>
      </c>
      <c r="J1348" s="110"/>
      <c r="K1348" s="120" t="s">
        <v>3760</v>
      </c>
      <c r="L1348" s="110"/>
      <c r="M1348" s="112"/>
      <c r="N1348" s="82"/>
      <c r="O1348" s="108"/>
      <c r="P1348" s="108"/>
      <c r="Q1348" s="108"/>
      <c r="R1348" s="108"/>
      <c r="S1348" s="108"/>
      <c r="T1348" s="108"/>
      <c r="U1348" s="108"/>
      <c r="V1348" s="108"/>
      <c r="W1348" s="108"/>
      <c r="X1348" s="108"/>
      <c r="Y1348" s="108"/>
      <c r="Z1348" s="108"/>
      <c r="AA1348" s="108"/>
      <c r="AB1348" s="108"/>
      <c r="AC1348" s="108"/>
    </row>
    <row r="1349" customFormat="false" ht="15.75" hidden="false" customHeight="true" outlineLevel="0" collapsed="false">
      <c r="A1349" s="108" t="s">
        <v>3821</v>
      </c>
      <c r="B1349" s="82"/>
      <c r="C1349" s="120" t="s">
        <v>3822</v>
      </c>
      <c r="D1349" s="121"/>
      <c r="E1349" s="108" t="s">
        <v>844</v>
      </c>
      <c r="F1349" s="114"/>
      <c r="G1349" s="120" t="s">
        <v>957</v>
      </c>
      <c r="H1349" s="82"/>
      <c r="I1349" s="111" t="n">
        <v>7699</v>
      </c>
      <c r="J1349" s="110"/>
      <c r="K1349" s="120" t="s">
        <v>3760</v>
      </c>
      <c r="L1349" s="110"/>
      <c r="M1349" s="112"/>
      <c r="N1349" s="82"/>
      <c r="O1349" s="108"/>
      <c r="P1349" s="108"/>
      <c r="Q1349" s="108"/>
      <c r="R1349" s="108"/>
      <c r="S1349" s="108"/>
      <c r="T1349" s="108"/>
      <c r="U1349" s="108"/>
      <c r="V1349" s="108"/>
      <c r="W1349" s="108"/>
      <c r="X1349" s="108"/>
      <c r="Y1349" s="108"/>
      <c r="Z1349" s="108"/>
      <c r="AA1349" s="108"/>
      <c r="AB1349" s="108"/>
      <c r="AC1349" s="108"/>
    </row>
    <row r="1350" customFormat="false" ht="15.75" hidden="false" customHeight="true" outlineLevel="0" collapsed="false">
      <c r="A1350" s="108" t="s">
        <v>3823</v>
      </c>
      <c r="B1350" s="82"/>
      <c r="C1350" s="120" t="s">
        <v>3824</v>
      </c>
      <c r="D1350" s="121"/>
      <c r="E1350" s="108" t="s">
        <v>844</v>
      </c>
      <c r="F1350" s="114"/>
      <c r="G1350" s="120" t="s">
        <v>957</v>
      </c>
      <c r="H1350" s="82"/>
      <c r="I1350" s="111" t="n">
        <v>7699</v>
      </c>
      <c r="J1350" s="110"/>
      <c r="K1350" s="120" t="s">
        <v>3760</v>
      </c>
      <c r="L1350" s="110"/>
      <c r="M1350" s="112"/>
      <c r="N1350" s="82"/>
      <c r="O1350" s="108"/>
      <c r="P1350" s="108"/>
      <c r="Q1350" s="108"/>
      <c r="R1350" s="108"/>
      <c r="S1350" s="108"/>
      <c r="T1350" s="108"/>
      <c r="U1350" s="108"/>
      <c r="V1350" s="108"/>
      <c r="W1350" s="108"/>
      <c r="X1350" s="108"/>
      <c r="Y1350" s="108"/>
      <c r="Z1350" s="108"/>
      <c r="AA1350" s="108"/>
      <c r="AB1350" s="108"/>
      <c r="AC1350" s="108"/>
    </row>
    <row r="1351" customFormat="false" ht="15.75" hidden="false" customHeight="true" outlineLevel="0" collapsed="false">
      <c r="A1351" s="108" t="s">
        <v>3825</v>
      </c>
      <c r="B1351" s="82"/>
      <c r="C1351" s="120" t="s">
        <v>3826</v>
      </c>
      <c r="D1351" s="121"/>
      <c r="E1351" s="108" t="s">
        <v>844</v>
      </c>
      <c r="F1351" s="114"/>
      <c r="G1351" s="120" t="s">
        <v>957</v>
      </c>
      <c r="H1351" s="82"/>
      <c r="I1351" s="111" t="n">
        <v>7699</v>
      </c>
      <c r="J1351" s="110"/>
      <c r="K1351" s="120" t="s">
        <v>3760</v>
      </c>
      <c r="L1351" s="110"/>
      <c r="M1351" s="112"/>
      <c r="N1351" s="82"/>
      <c r="O1351" s="108"/>
      <c r="P1351" s="108"/>
      <c r="Q1351" s="108"/>
      <c r="R1351" s="108"/>
      <c r="S1351" s="108"/>
      <c r="T1351" s="108"/>
      <c r="U1351" s="108"/>
      <c r="V1351" s="108"/>
      <c r="W1351" s="108"/>
      <c r="X1351" s="108"/>
      <c r="Y1351" s="108"/>
      <c r="Z1351" s="108"/>
      <c r="AA1351" s="108"/>
      <c r="AB1351" s="108"/>
      <c r="AC1351" s="108"/>
    </row>
    <row r="1352" customFormat="false" ht="15.75" hidden="false" customHeight="true" outlineLevel="0" collapsed="false">
      <c r="A1352" s="108" t="s">
        <v>3827</v>
      </c>
      <c r="B1352" s="82"/>
      <c r="C1352" s="120" t="s">
        <v>3828</v>
      </c>
      <c r="D1352" s="121"/>
      <c r="E1352" s="108" t="s">
        <v>1518</v>
      </c>
      <c r="F1352" s="114"/>
      <c r="G1352" s="120" t="s">
        <v>1519</v>
      </c>
      <c r="H1352" s="82"/>
      <c r="I1352" s="111" t="n">
        <v>7699</v>
      </c>
      <c r="J1352" s="110"/>
      <c r="K1352" s="120" t="s">
        <v>3760</v>
      </c>
      <c r="L1352" s="110"/>
      <c r="M1352" s="112"/>
      <c r="N1352" s="82"/>
      <c r="O1352" s="108"/>
      <c r="P1352" s="108"/>
      <c r="Q1352" s="108"/>
      <c r="R1352" s="108"/>
      <c r="S1352" s="108"/>
      <c r="T1352" s="108"/>
      <c r="U1352" s="108"/>
      <c r="V1352" s="108"/>
      <c r="W1352" s="108"/>
      <c r="X1352" s="108"/>
      <c r="Y1352" s="108"/>
      <c r="Z1352" s="108"/>
      <c r="AA1352" s="108"/>
      <c r="AB1352" s="108"/>
      <c r="AC1352" s="108"/>
    </row>
    <row r="1353" customFormat="false" ht="15.75" hidden="false" customHeight="true" outlineLevel="0" collapsed="false">
      <c r="A1353" s="108" t="s">
        <v>3829</v>
      </c>
      <c r="B1353" s="82"/>
      <c r="C1353" s="120" t="s">
        <v>3830</v>
      </c>
      <c r="D1353" s="121"/>
      <c r="E1353" s="108" t="s">
        <v>2313</v>
      </c>
      <c r="F1353" s="114"/>
      <c r="G1353" s="120" t="s">
        <v>2421</v>
      </c>
      <c r="H1353" s="82"/>
      <c r="I1353" s="111" t="n">
        <v>7699</v>
      </c>
      <c r="J1353" s="110"/>
      <c r="K1353" s="120" t="s">
        <v>3760</v>
      </c>
      <c r="L1353" s="110"/>
      <c r="M1353" s="112"/>
      <c r="N1353" s="82"/>
      <c r="O1353" s="108"/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/>
      <c r="AB1353" s="108"/>
      <c r="AC1353" s="108"/>
    </row>
    <row r="1354" customFormat="false" ht="15.75" hidden="false" customHeight="true" outlineLevel="0" collapsed="false">
      <c r="A1354" s="108" t="s">
        <v>3831</v>
      </c>
      <c r="B1354" s="82"/>
      <c r="C1354" s="120" t="s">
        <v>3832</v>
      </c>
      <c r="D1354" s="121"/>
      <c r="E1354" s="108" t="s">
        <v>2313</v>
      </c>
      <c r="F1354" s="114"/>
      <c r="G1354" s="120" t="s">
        <v>2421</v>
      </c>
      <c r="H1354" s="82"/>
      <c r="I1354" s="111" t="n">
        <v>7699</v>
      </c>
      <c r="J1354" s="110"/>
      <c r="K1354" s="120" t="s">
        <v>3760</v>
      </c>
      <c r="L1354" s="110"/>
      <c r="M1354" s="112"/>
      <c r="N1354" s="82"/>
      <c r="O1354" s="108"/>
      <c r="P1354" s="108"/>
      <c r="Q1354" s="108"/>
      <c r="R1354" s="108"/>
      <c r="S1354" s="108"/>
      <c r="T1354" s="108"/>
      <c r="U1354" s="108"/>
      <c r="V1354" s="108"/>
      <c r="W1354" s="108"/>
      <c r="X1354" s="108"/>
      <c r="Y1354" s="108"/>
      <c r="Z1354" s="108"/>
      <c r="AA1354" s="108"/>
      <c r="AB1354" s="108"/>
      <c r="AC1354" s="108"/>
    </row>
    <row r="1355" customFormat="false" ht="15.75" hidden="false" customHeight="true" outlineLevel="0" collapsed="false">
      <c r="A1355" s="108" t="s">
        <v>3833</v>
      </c>
      <c r="B1355" s="82"/>
      <c r="C1355" s="120" t="s">
        <v>3834</v>
      </c>
      <c r="D1355" s="121"/>
      <c r="E1355" s="108" t="s">
        <v>920</v>
      </c>
      <c r="F1355" s="114"/>
      <c r="G1355" s="120" t="s">
        <v>921</v>
      </c>
      <c r="H1355" s="82"/>
      <c r="I1355" s="111" t="n">
        <v>7995</v>
      </c>
      <c r="J1355" s="110"/>
      <c r="K1355" s="120" t="s">
        <v>3835</v>
      </c>
      <c r="L1355" s="110"/>
      <c r="M1355" s="112"/>
      <c r="N1355" s="82"/>
      <c r="O1355" s="108"/>
      <c r="P1355" s="108"/>
      <c r="Q1355" s="108"/>
      <c r="R1355" s="108"/>
      <c r="S1355" s="108"/>
      <c r="T1355" s="108"/>
      <c r="U1355" s="108"/>
      <c r="V1355" s="108"/>
      <c r="W1355" s="108"/>
      <c r="X1355" s="108"/>
      <c r="Y1355" s="108"/>
      <c r="Z1355" s="108"/>
      <c r="AA1355" s="108"/>
      <c r="AB1355" s="108"/>
      <c r="AC1355" s="108"/>
    </row>
    <row r="1356" customFormat="false" ht="15.75" hidden="false" customHeight="true" outlineLevel="0" collapsed="false">
      <c r="A1356" s="108" t="s">
        <v>3836</v>
      </c>
      <c r="B1356" s="82"/>
      <c r="C1356" s="120" t="s">
        <v>3837</v>
      </c>
      <c r="D1356" s="121"/>
      <c r="E1356" s="108" t="s">
        <v>3838</v>
      </c>
      <c r="F1356" s="114"/>
      <c r="G1356" s="120" t="s">
        <v>3838</v>
      </c>
      <c r="H1356" s="82"/>
      <c r="I1356" s="111" t="n">
        <v>7995</v>
      </c>
      <c r="J1356" s="110"/>
      <c r="K1356" s="120" t="s">
        <v>3835</v>
      </c>
      <c r="L1356" s="110"/>
      <c r="M1356" s="112"/>
      <c r="N1356" s="82"/>
      <c r="O1356" s="108"/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/>
      <c r="AB1356" s="108"/>
      <c r="AC1356" s="108"/>
    </row>
    <row r="1357" customFormat="false" ht="15.75" hidden="false" customHeight="true" outlineLevel="0" collapsed="false">
      <c r="A1357" s="108" t="s">
        <v>3839</v>
      </c>
      <c r="B1357" s="82"/>
      <c r="C1357" s="120" t="s">
        <v>3840</v>
      </c>
      <c r="D1357" s="121"/>
      <c r="E1357" s="108" t="s">
        <v>3838</v>
      </c>
      <c r="F1357" s="114"/>
      <c r="G1357" s="120" t="s">
        <v>3838</v>
      </c>
      <c r="H1357" s="82"/>
      <c r="I1357" s="111" t="n">
        <v>7995</v>
      </c>
      <c r="J1357" s="110"/>
      <c r="K1357" s="120" t="s">
        <v>3835</v>
      </c>
      <c r="L1357" s="110"/>
      <c r="M1357" s="112"/>
      <c r="N1357" s="82"/>
      <c r="O1357" s="108"/>
      <c r="P1357" s="108"/>
      <c r="Q1357" s="108"/>
      <c r="R1357" s="108"/>
      <c r="S1357" s="108"/>
      <c r="T1357" s="108"/>
      <c r="U1357" s="108"/>
      <c r="V1357" s="108"/>
      <c r="W1357" s="108"/>
      <c r="X1357" s="108"/>
      <c r="Y1357" s="108"/>
      <c r="Z1357" s="108"/>
      <c r="AA1357" s="108"/>
      <c r="AB1357" s="108"/>
      <c r="AC1357" s="108"/>
    </row>
    <row r="1358" customFormat="false" ht="15.75" hidden="false" customHeight="true" outlineLevel="0" collapsed="false">
      <c r="A1358" s="108" t="s">
        <v>3841</v>
      </c>
      <c r="B1358" s="82"/>
      <c r="C1358" s="120" t="s">
        <v>3842</v>
      </c>
      <c r="D1358" s="121"/>
      <c r="E1358" s="108" t="s">
        <v>3838</v>
      </c>
      <c r="F1358" s="114"/>
      <c r="G1358" s="120" t="s">
        <v>3838</v>
      </c>
      <c r="H1358" s="82"/>
      <c r="I1358" s="111" t="n">
        <v>7995</v>
      </c>
      <c r="J1358" s="110"/>
      <c r="K1358" s="120" t="s">
        <v>3835</v>
      </c>
      <c r="L1358" s="110"/>
      <c r="M1358" s="112"/>
      <c r="N1358" s="82"/>
      <c r="O1358" s="108"/>
      <c r="P1358" s="108"/>
      <c r="Q1358" s="108"/>
      <c r="R1358" s="108"/>
      <c r="S1358" s="108"/>
      <c r="T1358" s="108"/>
      <c r="U1358" s="108"/>
      <c r="V1358" s="108"/>
      <c r="W1358" s="108"/>
      <c r="X1358" s="108"/>
      <c r="Y1358" s="108"/>
      <c r="Z1358" s="108"/>
      <c r="AA1358" s="108"/>
      <c r="AB1358" s="108"/>
      <c r="AC1358" s="108"/>
    </row>
    <row r="1359" customFormat="false" ht="15.75" hidden="false" customHeight="true" outlineLevel="0" collapsed="false">
      <c r="A1359" s="108" t="s">
        <v>3843</v>
      </c>
      <c r="B1359" s="82"/>
      <c r="C1359" s="120" t="s">
        <v>3844</v>
      </c>
      <c r="D1359" s="121"/>
      <c r="E1359" s="108" t="s">
        <v>924</v>
      </c>
      <c r="F1359" s="114"/>
      <c r="G1359" s="120" t="s">
        <v>925</v>
      </c>
      <c r="H1359" s="82"/>
      <c r="I1359" s="111" t="n">
        <v>8049</v>
      </c>
      <c r="J1359" s="110"/>
      <c r="K1359" s="120" t="s">
        <v>3845</v>
      </c>
      <c r="L1359" s="110"/>
      <c r="M1359" s="112"/>
      <c r="N1359" s="82"/>
      <c r="O1359" s="108"/>
      <c r="P1359" s="108"/>
      <c r="Q1359" s="108"/>
      <c r="R1359" s="108"/>
      <c r="S1359" s="108"/>
      <c r="T1359" s="108"/>
      <c r="U1359" s="108"/>
      <c r="V1359" s="108"/>
      <c r="W1359" s="108"/>
      <c r="X1359" s="108"/>
      <c r="Y1359" s="108"/>
      <c r="Z1359" s="108"/>
      <c r="AA1359" s="108"/>
      <c r="AB1359" s="108"/>
      <c r="AC1359" s="108"/>
    </row>
    <row r="1360" customFormat="false" ht="15.75" hidden="false" customHeight="true" outlineLevel="0" collapsed="false">
      <c r="A1360" s="108" t="s">
        <v>3846</v>
      </c>
      <c r="B1360" s="82"/>
      <c r="C1360" s="120" t="s">
        <v>3847</v>
      </c>
      <c r="D1360" s="121"/>
      <c r="E1360" s="108" t="s">
        <v>2313</v>
      </c>
      <c r="F1360" s="114"/>
      <c r="G1360" s="120" t="s">
        <v>2687</v>
      </c>
      <c r="H1360" s="82"/>
      <c r="I1360" s="111" t="n">
        <v>8651</v>
      </c>
      <c r="J1360" s="110"/>
      <c r="K1360" s="120" t="s">
        <v>3848</v>
      </c>
      <c r="L1360" s="110"/>
      <c r="M1360" s="112"/>
      <c r="N1360" s="82"/>
      <c r="O1360" s="108"/>
      <c r="P1360" s="108"/>
      <c r="Q1360" s="108"/>
      <c r="R1360" s="108"/>
      <c r="S1360" s="108"/>
      <c r="T1360" s="108"/>
      <c r="U1360" s="108"/>
      <c r="V1360" s="108"/>
      <c r="W1360" s="108"/>
      <c r="X1360" s="108"/>
      <c r="Y1360" s="108"/>
      <c r="Z1360" s="108"/>
      <c r="AA1360" s="108"/>
      <c r="AB1360" s="108"/>
      <c r="AC1360" s="108"/>
    </row>
    <row r="1361" customFormat="false" ht="15.75" hidden="false" customHeight="true" outlineLevel="0" collapsed="false">
      <c r="A1361" s="108" t="s">
        <v>3849</v>
      </c>
      <c r="B1361" s="82"/>
      <c r="C1361" s="120" t="s">
        <v>3850</v>
      </c>
      <c r="D1361" s="121"/>
      <c r="E1361" s="108" t="s">
        <v>2313</v>
      </c>
      <c r="F1361" s="82"/>
      <c r="G1361" s="120" t="s">
        <v>2687</v>
      </c>
      <c r="H1361" s="82"/>
      <c r="I1361" s="111" t="n">
        <v>8661</v>
      </c>
      <c r="J1361" s="121"/>
      <c r="K1361" s="120" t="s">
        <v>3851</v>
      </c>
      <c r="L1361" s="121"/>
      <c r="M1361" s="112"/>
      <c r="N1361" s="82"/>
      <c r="O1361" s="108"/>
      <c r="P1361" s="108"/>
      <c r="Q1361" s="108"/>
      <c r="R1361" s="108"/>
      <c r="S1361" s="108"/>
      <c r="T1361" s="108"/>
      <c r="U1361" s="108"/>
      <c r="V1361" s="108"/>
      <c r="W1361" s="108"/>
      <c r="X1361" s="108"/>
      <c r="Y1361" s="108"/>
      <c r="Z1361" s="108"/>
      <c r="AA1361" s="108"/>
      <c r="AB1361" s="108"/>
      <c r="AC1361" s="108"/>
    </row>
    <row r="1362" customFormat="false" ht="15.75" hidden="false" customHeight="true" outlineLevel="0" collapsed="false">
      <c r="A1362" s="108"/>
      <c r="B1362" s="82"/>
      <c r="C1362" s="108"/>
      <c r="D1362" s="121"/>
      <c r="E1362" s="108"/>
      <c r="F1362" s="82"/>
      <c r="G1362" s="108"/>
      <c r="H1362" s="82"/>
      <c r="I1362" s="111"/>
      <c r="J1362" s="121"/>
      <c r="K1362" s="108"/>
      <c r="L1362" s="121"/>
      <c r="M1362" s="112"/>
      <c r="N1362" s="82"/>
      <c r="O1362" s="108"/>
      <c r="P1362" s="108"/>
      <c r="Q1362" s="108"/>
      <c r="R1362" s="108"/>
      <c r="S1362" s="108"/>
      <c r="T1362" s="108"/>
      <c r="U1362" s="108"/>
      <c r="V1362" s="108"/>
      <c r="W1362" s="108"/>
      <c r="X1362" s="108"/>
      <c r="Y1362" s="108"/>
      <c r="Z1362" s="108"/>
      <c r="AA1362" s="108"/>
      <c r="AB1362" s="108"/>
      <c r="AC1362" s="108"/>
    </row>
    <row r="1363" customFormat="false" ht="15.75" hidden="false" customHeight="true" outlineLevel="0" collapsed="false">
      <c r="A1363" s="108"/>
      <c r="B1363" s="82"/>
      <c r="C1363" s="108"/>
      <c r="D1363" s="121"/>
      <c r="E1363" s="108"/>
      <c r="F1363" s="82"/>
      <c r="G1363" s="108"/>
      <c r="H1363" s="82"/>
      <c r="I1363" s="111"/>
      <c r="J1363" s="121"/>
      <c r="K1363" s="108"/>
      <c r="L1363" s="121"/>
      <c r="M1363" s="112"/>
      <c r="N1363" s="82"/>
      <c r="O1363" s="108"/>
      <c r="P1363" s="108"/>
      <c r="Q1363" s="108"/>
      <c r="R1363" s="108"/>
      <c r="S1363" s="108"/>
      <c r="T1363" s="108"/>
      <c r="U1363" s="108"/>
      <c r="V1363" s="108"/>
      <c r="W1363" s="108"/>
      <c r="X1363" s="108"/>
      <c r="Y1363" s="108"/>
      <c r="Z1363" s="108"/>
      <c r="AA1363" s="108"/>
      <c r="AB1363" s="108"/>
      <c r="AC1363" s="108"/>
    </row>
  </sheetData>
  <autoFilter ref="A2:AC1362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2" activeCellId="0" sqref="E2"/>
    </sheetView>
  </sheetViews>
  <sheetFormatPr defaultColWidth="12.6328125" defaultRowHeight="15" zeroHeight="false" outlineLevelRow="0" outlineLevelCol="0"/>
  <cols>
    <col collapsed="false" customWidth="true" hidden="false" outlineLevel="0" max="1" min="1" style="2" width="8.88"/>
    <col collapsed="false" customWidth="true" hidden="false" outlineLevel="0" max="2" min="2" style="2" width="3.5"/>
    <col collapsed="false" customWidth="true" hidden="false" outlineLevel="0" max="3" min="3" style="2" width="69.63"/>
    <col collapsed="false" customWidth="true" hidden="false" outlineLevel="0" max="4" min="4" style="2" width="3"/>
    <col collapsed="false" customWidth="true" hidden="false" outlineLevel="0" max="5" min="5" style="2" width="69.63"/>
    <col collapsed="false" customWidth="true" hidden="false" outlineLevel="0" max="6" min="6" style="2" width="3.5"/>
    <col collapsed="false" customWidth="true" hidden="false" outlineLevel="0" max="7" min="7" style="2" width="8.88"/>
    <col collapsed="false" customWidth="true" hidden="false" outlineLevel="0" max="9" min="9" style="2" width="8.88"/>
  </cols>
  <sheetData>
    <row r="1" customFormat="false" ht="14.25" hidden="false" customHeight="true" outlineLevel="0" collapsed="false">
      <c r="A1" s="113" t="s">
        <v>3852</v>
      </c>
      <c r="B1" s="114"/>
      <c r="C1" s="115" t="s">
        <v>3853</v>
      </c>
      <c r="D1" s="114"/>
      <c r="E1" s="115" t="s">
        <v>3853</v>
      </c>
      <c r="F1" s="114"/>
      <c r="G1" s="113" t="s">
        <v>3852</v>
      </c>
    </row>
    <row r="2" customFormat="false" ht="16.5" hidden="false" customHeight="true" outlineLevel="0" collapsed="false">
      <c r="A2" s="108" t="s">
        <v>3854</v>
      </c>
      <c r="B2" s="114"/>
      <c r="C2" s="120" t="s">
        <v>3855</v>
      </c>
      <c r="D2" s="114"/>
      <c r="E2" s="120" t="s">
        <v>3855</v>
      </c>
      <c r="F2" s="114"/>
      <c r="G2" s="108" t="s">
        <v>3854</v>
      </c>
    </row>
    <row r="3" customFormat="false" ht="16.5" hidden="false" customHeight="true" outlineLevel="0" collapsed="false">
      <c r="A3" s="108" t="s">
        <v>3856</v>
      </c>
      <c r="B3" s="114"/>
      <c r="C3" s="120" t="s">
        <v>3857</v>
      </c>
      <c r="D3" s="114"/>
      <c r="E3" s="120" t="s">
        <v>3857</v>
      </c>
      <c r="F3" s="114"/>
      <c r="G3" s="108" t="s">
        <v>3856</v>
      </c>
    </row>
    <row r="4" customFormat="false" ht="16.5" hidden="false" customHeight="true" outlineLevel="0" collapsed="false">
      <c r="A4" s="108" t="s">
        <v>3858</v>
      </c>
      <c r="B4" s="114"/>
      <c r="C4" s="120" t="s">
        <v>3859</v>
      </c>
      <c r="D4" s="114"/>
      <c r="E4" s="120" t="s">
        <v>3859</v>
      </c>
      <c r="F4" s="114"/>
      <c r="G4" s="108" t="s">
        <v>3858</v>
      </c>
    </row>
    <row r="5" customFormat="false" ht="16.5" hidden="false" customHeight="true" outlineLevel="0" collapsed="false">
      <c r="A5" s="108" t="s">
        <v>3860</v>
      </c>
      <c r="B5" s="114"/>
      <c r="C5" s="120" t="s">
        <v>3861</v>
      </c>
      <c r="D5" s="114"/>
      <c r="E5" s="120" t="s">
        <v>3861</v>
      </c>
      <c r="F5" s="114"/>
      <c r="G5" s="108" t="s">
        <v>3860</v>
      </c>
    </row>
    <row r="6" customFormat="false" ht="16.5" hidden="false" customHeight="true" outlineLevel="0" collapsed="false">
      <c r="A6" s="108" t="s">
        <v>3862</v>
      </c>
      <c r="B6" s="114"/>
      <c r="C6" s="120" t="s">
        <v>3863</v>
      </c>
      <c r="D6" s="114"/>
      <c r="E6" s="120" t="s">
        <v>3863</v>
      </c>
      <c r="F6" s="114"/>
      <c r="G6" s="108" t="s">
        <v>3862</v>
      </c>
    </row>
    <row r="7" customFormat="false" ht="16.5" hidden="false" customHeight="true" outlineLevel="0" collapsed="false">
      <c r="A7" s="108" t="s">
        <v>3864</v>
      </c>
      <c r="B7" s="114"/>
      <c r="C7" s="120" t="s">
        <v>3865</v>
      </c>
      <c r="D7" s="114"/>
      <c r="E7" s="120" t="s">
        <v>3865</v>
      </c>
      <c r="F7" s="114"/>
      <c r="G7" s="108" t="s">
        <v>3864</v>
      </c>
    </row>
    <row r="8" customFormat="false" ht="16.5" hidden="false" customHeight="true" outlineLevel="0" collapsed="false">
      <c r="A8" s="108" t="s">
        <v>3866</v>
      </c>
      <c r="B8" s="114"/>
      <c r="C8" s="120" t="s">
        <v>3867</v>
      </c>
      <c r="D8" s="114"/>
      <c r="E8" s="120" t="s">
        <v>3867</v>
      </c>
      <c r="F8" s="114"/>
      <c r="G8" s="108" t="s">
        <v>3866</v>
      </c>
    </row>
    <row r="9" customFormat="false" ht="16.5" hidden="false" customHeight="true" outlineLevel="0" collapsed="false">
      <c r="A9" s="108" t="s">
        <v>3868</v>
      </c>
      <c r="B9" s="114"/>
      <c r="C9" s="120" t="s">
        <v>3869</v>
      </c>
      <c r="D9" s="114"/>
      <c r="E9" s="120" t="s">
        <v>3869</v>
      </c>
      <c r="F9" s="114"/>
      <c r="G9" s="108" t="s">
        <v>3868</v>
      </c>
    </row>
    <row r="10" customFormat="false" ht="16.5" hidden="false" customHeight="true" outlineLevel="0" collapsed="false">
      <c r="A10" s="108" t="s">
        <v>3870</v>
      </c>
      <c r="B10" s="114"/>
      <c r="C10" s="120" t="s">
        <v>3871</v>
      </c>
      <c r="D10" s="114"/>
      <c r="E10" s="120" t="s">
        <v>3871</v>
      </c>
      <c r="F10" s="114"/>
      <c r="G10" s="108" t="s">
        <v>3870</v>
      </c>
    </row>
    <row r="11" customFormat="false" ht="14.25" hidden="false" customHeight="true" outlineLevel="0" collapsed="false">
      <c r="A11" s="108" t="s">
        <v>3872</v>
      </c>
      <c r="B11" s="114"/>
      <c r="C11" s="120" t="s">
        <v>3873</v>
      </c>
      <c r="D11" s="114"/>
      <c r="E11" s="120" t="s">
        <v>3873</v>
      </c>
      <c r="F11" s="114"/>
      <c r="G11" s="108" t="s">
        <v>3872</v>
      </c>
    </row>
    <row r="12" customFormat="false" ht="14.25" hidden="false" customHeight="true" outlineLevel="0" collapsed="false">
      <c r="A12" s="108" t="s">
        <v>3874</v>
      </c>
      <c r="B12" s="114"/>
      <c r="C12" s="120" t="s">
        <v>3875</v>
      </c>
      <c r="D12" s="114"/>
      <c r="E12" s="120" t="s">
        <v>3875</v>
      </c>
      <c r="F12" s="114"/>
      <c r="G12" s="108" t="s">
        <v>3874</v>
      </c>
    </row>
    <row r="13" customFormat="false" ht="14.25" hidden="false" customHeight="true" outlineLevel="0" collapsed="false">
      <c r="A13" s="108" t="s">
        <v>3876</v>
      </c>
      <c r="B13" s="114"/>
      <c r="C13" s="120" t="s">
        <v>3877</v>
      </c>
      <c r="D13" s="114"/>
      <c r="E13" s="120" t="s">
        <v>3877</v>
      </c>
      <c r="F13" s="114"/>
      <c r="G13" s="108" t="s">
        <v>3876</v>
      </c>
    </row>
    <row r="14" customFormat="false" ht="14.25" hidden="false" customHeight="true" outlineLevel="0" collapsed="false">
      <c r="A14" s="108" t="s">
        <v>3878</v>
      </c>
      <c r="B14" s="114"/>
      <c r="C14" s="120" t="s">
        <v>3879</v>
      </c>
      <c r="D14" s="114"/>
      <c r="E14" s="120" t="s">
        <v>3879</v>
      </c>
      <c r="F14" s="114"/>
      <c r="G14" s="108" t="s">
        <v>3878</v>
      </c>
    </row>
    <row r="15" customFormat="false" ht="14.25" hidden="false" customHeight="true" outlineLevel="0" collapsed="false">
      <c r="A15" s="108" t="s">
        <v>3880</v>
      </c>
      <c r="B15" s="114"/>
      <c r="C15" s="120" t="s">
        <v>3881</v>
      </c>
      <c r="D15" s="114"/>
      <c r="E15" s="120" t="s">
        <v>3881</v>
      </c>
      <c r="F15" s="114"/>
      <c r="G15" s="108" t="s">
        <v>3880</v>
      </c>
    </row>
    <row r="16" customFormat="false" ht="14.25" hidden="false" customHeight="true" outlineLevel="0" collapsed="false">
      <c r="A16" s="108" t="s">
        <v>3882</v>
      </c>
      <c r="B16" s="114"/>
      <c r="C16" s="120" t="s">
        <v>3883</v>
      </c>
      <c r="D16" s="114"/>
      <c r="E16" s="120" t="s">
        <v>3883</v>
      </c>
      <c r="F16" s="114"/>
      <c r="G16" s="108" t="s">
        <v>3882</v>
      </c>
    </row>
    <row r="17" customFormat="false" ht="14.25" hidden="false" customHeight="true" outlineLevel="0" collapsed="false">
      <c r="A17" s="108" t="s">
        <v>3884</v>
      </c>
      <c r="B17" s="114"/>
      <c r="C17" s="120" t="s">
        <v>3885</v>
      </c>
      <c r="D17" s="114"/>
      <c r="E17" s="120" t="s">
        <v>3885</v>
      </c>
      <c r="F17" s="114"/>
      <c r="G17" s="108" t="s">
        <v>3884</v>
      </c>
    </row>
    <row r="18" customFormat="false" ht="14.25" hidden="false" customHeight="true" outlineLevel="0" collapsed="false">
      <c r="A18" s="108" t="s">
        <v>3886</v>
      </c>
      <c r="B18" s="114"/>
      <c r="C18" s="120" t="s">
        <v>3887</v>
      </c>
      <c r="D18" s="114"/>
      <c r="E18" s="120" t="s">
        <v>3887</v>
      </c>
      <c r="F18" s="114"/>
      <c r="G18" s="108" t="s">
        <v>3886</v>
      </c>
    </row>
    <row r="19" customFormat="false" ht="14.25" hidden="false" customHeight="true" outlineLevel="0" collapsed="false">
      <c r="A19" s="108" t="s">
        <v>3888</v>
      </c>
      <c r="B19" s="114"/>
      <c r="C19" s="120" t="s">
        <v>3889</v>
      </c>
      <c r="D19" s="114"/>
      <c r="E19" s="120" t="s">
        <v>3889</v>
      </c>
      <c r="F19" s="114"/>
      <c r="G19" s="108" t="s">
        <v>3888</v>
      </c>
    </row>
    <row r="20" customFormat="false" ht="14.25" hidden="false" customHeight="true" outlineLevel="0" collapsed="false">
      <c r="A20" s="108" t="s">
        <v>3890</v>
      </c>
      <c r="B20" s="114"/>
      <c r="C20" s="120" t="s">
        <v>3891</v>
      </c>
      <c r="D20" s="114"/>
      <c r="E20" s="120" t="s">
        <v>3891</v>
      </c>
      <c r="F20" s="114"/>
      <c r="G20" s="108" t="s">
        <v>3890</v>
      </c>
    </row>
    <row r="21" customFormat="false" ht="14.25" hidden="false" customHeight="true" outlineLevel="0" collapsed="false">
      <c r="A21" s="108" t="s">
        <v>3892</v>
      </c>
      <c r="B21" s="114"/>
      <c r="C21" s="120" t="s">
        <v>3893</v>
      </c>
      <c r="D21" s="114"/>
      <c r="E21" s="120" t="s">
        <v>3893</v>
      </c>
      <c r="F21" s="114"/>
      <c r="G21" s="108" t="s">
        <v>3892</v>
      </c>
    </row>
    <row r="22" customFormat="false" ht="14.25" hidden="false" customHeight="true" outlineLevel="0" collapsed="false">
      <c r="A22" s="108" t="s">
        <v>3894</v>
      </c>
      <c r="B22" s="114"/>
      <c r="C22" s="120" t="s">
        <v>3895</v>
      </c>
      <c r="D22" s="114"/>
      <c r="E22" s="120" t="s">
        <v>3895</v>
      </c>
      <c r="F22" s="114"/>
      <c r="G22" s="108" t="s">
        <v>3894</v>
      </c>
    </row>
    <row r="23" customFormat="false" ht="14.25" hidden="false" customHeight="true" outlineLevel="0" collapsed="false">
      <c r="A23" s="108" t="s">
        <v>3896</v>
      </c>
      <c r="B23" s="114"/>
      <c r="C23" s="120" t="s">
        <v>3897</v>
      </c>
      <c r="D23" s="114"/>
      <c r="E23" s="120" t="s">
        <v>3897</v>
      </c>
      <c r="F23" s="114"/>
      <c r="G23" s="108" t="s">
        <v>3896</v>
      </c>
    </row>
    <row r="24" customFormat="false" ht="14.25" hidden="false" customHeight="true" outlineLevel="0" collapsed="false">
      <c r="A24" s="108" t="s">
        <v>3898</v>
      </c>
      <c r="B24" s="114"/>
      <c r="C24" s="120" t="s">
        <v>3899</v>
      </c>
      <c r="D24" s="114"/>
      <c r="E24" s="120" t="s">
        <v>3899</v>
      </c>
      <c r="F24" s="114"/>
      <c r="G24" s="108" t="s">
        <v>3898</v>
      </c>
    </row>
    <row r="25" customFormat="false" ht="14.25" hidden="false" customHeight="true" outlineLevel="0" collapsed="false">
      <c r="A25" s="108" t="s">
        <v>3900</v>
      </c>
      <c r="B25" s="114"/>
      <c r="C25" s="120" t="s">
        <v>3901</v>
      </c>
      <c r="D25" s="114"/>
      <c r="E25" s="120" t="s">
        <v>3901</v>
      </c>
      <c r="F25" s="114"/>
      <c r="G25" s="108" t="s">
        <v>3900</v>
      </c>
    </row>
    <row r="26" customFormat="false" ht="14.25" hidden="false" customHeight="true" outlineLevel="0" collapsed="false">
      <c r="A26" s="108" t="s">
        <v>3902</v>
      </c>
      <c r="B26" s="114"/>
      <c r="C26" s="120" t="s">
        <v>3903</v>
      </c>
      <c r="D26" s="114"/>
      <c r="E26" s="120" t="s">
        <v>3903</v>
      </c>
      <c r="F26" s="114"/>
      <c r="G26" s="108" t="s">
        <v>3902</v>
      </c>
    </row>
    <row r="27" customFormat="false" ht="14.25" hidden="false" customHeight="true" outlineLevel="0" collapsed="false">
      <c r="A27" s="108" t="s">
        <v>3904</v>
      </c>
      <c r="B27" s="114"/>
      <c r="C27" s="120" t="s">
        <v>3905</v>
      </c>
      <c r="D27" s="114"/>
      <c r="E27" s="120" t="s">
        <v>3905</v>
      </c>
      <c r="F27" s="114"/>
      <c r="G27" s="108" t="s">
        <v>3904</v>
      </c>
    </row>
    <row r="28" customFormat="false" ht="14.25" hidden="false" customHeight="true" outlineLevel="0" collapsed="false">
      <c r="A28" s="108" t="s">
        <v>3906</v>
      </c>
      <c r="B28" s="114"/>
      <c r="C28" s="120" t="s">
        <v>3907</v>
      </c>
      <c r="D28" s="114"/>
      <c r="E28" s="120" t="s">
        <v>3907</v>
      </c>
      <c r="F28" s="114"/>
      <c r="G28" s="108" t="s">
        <v>3906</v>
      </c>
    </row>
    <row r="29" customFormat="false" ht="14.25" hidden="false" customHeight="true" outlineLevel="0" collapsed="false">
      <c r="A29" s="108" t="s">
        <v>3908</v>
      </c>
      <c r="B29" s="114"/>
      <c r="C29" s="120" t="s">
        <v>3909</v>
      </c>
      <c r="D29" s="114"/>
      <c r="E29" s="120" t="s">
        <v>3909</v>
      </c>
      <c r="F29" s="114"/>
      <c r="G29" s="108" t="s">
        <v>3908</v>
      </c>
    </row>
    <row r="30" customFormat="false" ht="14.25" hidden="false" customHeight="true" outlineLevel="0" collapsed="false">
      <c r="A30" s="108" t="s">
        <v>3910</v>
      </c>
      <c r="B30" s="114"/>
      <c r="C30" s="120" t="s">
        <v>3911</v>
      </c>
      <c r="D30" s="114"/>
      <c r="E30" s="120" t="s">
        <v>3911</v>
      </c>
      <c r="F30" s="114"/>
      <c r="G30" s="108" t="s">
        <v>3910</v>
      </c>
    </row>
    <row r="31" customFormat="false" ht="14.25" hidden="false" customHeight="true" outlineLevel="0" collapsed="false">
      <c r="A31" s="108" t="s">
        <v>3912</v>
      </c>
      <c r="B31" s="114"/>
      <c r="C31" s="120" t="s">
        <v>3913</v>
      </c>
      <c r="D31" s="114"/>
      <c r="E31" s="120" t="s">
        <v>3913</v>
      </c>
      <c r="F31" s="114"/>
      <c r="G31" s="108" t="s">
        <v>3912</v>
      </c>
    </row>
    <row r="32" customFormat="false" ht="14.25" hidden="false" customHeight="true" outlineLevel="0" collapsed="false">
      <c r="A32" s="108" t="s">
        <v>3914</v>
      </c>
      <c r="B32" s="114"/>
      <c r="C32" s="120" t="s">
        <v>3915</v>
      </c>
      <c r="D32" s="114"/>
      <c r="E32" s="120" t="s">
        <v>3915</v>
      </c>
      <c r="F32" s="114"/>
      <c r="G32" s="108" t="s">
        <v>3914</v>
      </c>
    </row>
    <row r="33" customFormat="false" ht="14.25" hidden="false" customHeight="true" outlineLevel="0" collapsed="false">
      <c r="A33" s="108" t="s">
        <v>3916</v>
      </c>
      <c r="B33" s="114"/>
      <c r="C33" s="120" t="s">
        <v>3917</v>
      </c>
      <c r="D33" s="114"/>
      <c r="E33" s="120" t="s">
        <v>3917</v>
      </c>
      <c r="F33" s="114"/>
      <c r="G33" s="108" t="s">
        <v>3916</v>
      </c>
    </row>
    <row r="34" customFormat="false" ht="14.25" hidden="false" customHeight="true" outlineLevel="0" collapsed="false">
      <c r="A34" s="108" t="s">
        <v>3918</v>
      </c>
      <c r="B34" s="114"/>
      <c r="C34" s="120" t="s">
        <v>3919</v>
      </c>
      <c r="D34" s="114"/>
      <c r="E34" s="120" t="s">
        <v>3919</v>
      </c>
      <c r="F34" s="114"/>
      <c r="G34" s="108" t="s">
        <v>3918</v>
      </c>
    </row>
    <row r="35" customFormat="false" ht="14.25" hidden="false" customHeight="true" outlineLevel="0" collapsed="false">
      <c r="A35" s="108" t="s">
        <v>3920</v>
      </c>
      <c r="B35" s="114"/>
      <c r="C35" s="120" t="s">
        <v>3921</v>
      </c>
      <c r="D35" s="114"/>
      <c r="E35" s="120" t="s">
        <v>3921</v>
      </c>
      <c r="F35" s="114"/>
      <c r="G35" s="108" t="s">
        <v>3920</v>
      </c>
    </row>
    <row r="36" customFormat="false" ht="14.25" hidden="false" customHeight="true" outlineLevel="0" collapsed="false">
      <c r="A36" s="108" t="s">
        <v>3922</v>
      </c>
      <c r="B36" s="114"/>
      <c r="C36" s="120" t="s">
        <v>3923</v>
      </c>
      <c r="D36" s="114"/>
      <c r="E36" s="120" t="s">
        <v>3923</v>
      </c>
      <c r="F36" s="114"/>
      <c r="G36" s="108" t="s">
        <v>3922</v>
      </c>
    </row>
    <row r="37" customFormat="false" ht="14.25" hidden="false" customHeight="true" outlineLevel="0" collapsed="false">
      <c r="A37" s="108" t="s">
        <v>3924</v>
      </c>
      <c r="B37" s="114"/>
      <c r="C37" s="120" t="s">
        <v>3925</v>
      </c>
      <c r="D37" s="114"/>
      <c r="E37" s="120" t="s">
        <v>3925</v>
      </c>
      <c r="F37" s="114"/>
      <c r="G37" s="108" t="s">
        <v>3924</v>
      </c>
    </row>
    <row r="38" customFormat="false" ht="14.25" hidden="false" customHeight="true" outlineLevel="0" collapsed="false">
      <c r="A38" s="108" t="s">
        <v>3926</v>
      </c>
      <c r="B38" s="114"/>
      <c r="C38" s="120" t="s">
        <v>3927</v>
      </c>
      <c r="D38" s="114"/>
      <c r="E38" s="120" t="s">
        <v>3927</v>
      </c>
      <c r="F38" s="114"/>
      <c r="G38" s="108" t="s">
        <v>3926</v>
      </c>
    </row>
    <row r="39" customFormat="false" ht="14.25" hidden="false" customHeight="true" outlineLevel="0" collapsed="false">
      <c r="A39" s="108" t="s">
        <v>3928</v>
      </c>
      <c r="B39" s="114"/>
      <c r="C39" s="120" t="s">
        <v>3929</v>
      </c>
      <c r="D39" s="114"/>
      <c r="E39" s="120" t="s">
        <v>3929</v>
      </c>
      <c r="F39" s="114"/>
      <c r="G39" s="108" t="s">
        <v>3928</v>
      </c>
    </row>
    <row r="40" customFormat="false" ht="14.25" hidden="false" customHeight="true" outlineLevel="0" collapsed="false">
      <c r="A40" s="108" t="s">
        <v>3930</v>
      </c>
      <c r="B40" s="114"/>
      <c r="C40" s="120" t="s">
        <v>3931</v>
      </c>
      <c r="D40" s="114"/>
      <c r="E40" s="120" t="s">
        <v>3931</v>
      </c>
      <c r="F40" s="114"/>
      <c r="G40" s="108" t="s">
        <v>3930</v>
      </c>
    </row>
    <row r="41" customFormat="false" ht="14.25" hidden="false" customHeight="true" outlineLevel="0" collapsed="false">
      <c r="A41" s="108" t="s">
        <v>3932</v>
      </c>
      <c r="B41" s="114"/>
      <c r="C41" s="120" t="s">
        <v>3933</v>
      </c>
      <c r="D41" s="114"/>
      <c r="E41" s="120" t="s">
        <v>3933</v>
      </c>
      <c r="F41" s="114"/>
      <c r="G41" s="108" t="s">
        <v>3932</v>
      </c>
    </row>
    <row r="42" customFormat="false" ht="14.25" hidden="false" customHeight="true" outlineLevel="0" collapsed="false">
      <c r="A42" s="108" t="s">
        <v>3934</v>
      </c>
      <c r="B42" s="114"/>
      <c r="C42" s="120" t="s">
        <v>3935</v>
      </c>
      <c r="D42" s="114"/>
      <c r="E42" s="120" t="s">
        <v>3935</v>
      </c>
      <c r="F42" s="114"/>
      <c r="G42" s="108" t="s">
        <v>3934</v>
      </c>
    </row>
    <row r="43" customFormat="false" ht="14.25" hidden="false" customHeight="true" outlineLevel="0" collapsed="false">
      <c r="A43" s="108" t="s">
        <v>3936</v>
      </c>
      <c r="B43" s="114"/>
      <c r="C43" s="120" t="s">
        <v>3937</v>
      </c>
      <c r="D43" s="114"/>
      <c r="E43" s="120" t="s">
        <v>3937</v>
      </c>
      <c r="F43" s="114"/>
      <c r="G43" s="108" t="s">
        <v>3936</v>
      </c>
    </row>
    <row r="44" customFormat="false" ht="14.25" hidden="false" customHeight="true" outlineLevel="0" collapsed="false">
      <c r="A44" s="108" t="s">
        <v>3938</v>
      </c>
      <c r="B44" s="114"/>
      <c r="C44" s="120" t="s">
        <v>3939</v>
      </c>
      <c r="D44" s="114"/>
      <c r="E44" s="120" t="s">
        <v>3939</v>
      </c>
      <c r="F44" s="114"/>
      <c r="G44" s="108" t="s">
        <v>3938</v>
      </c>
    </row>
    <row r="45" customFormat="false" ht="14.25" hidden="false" customHeight="true" outlineLevel="0" collapsed="false">
      <c r="A45" s="108" t="s">
        <v>3940</v>
      </c>
      <c r="B45" s="114"/>
      <c r="C45" s="120" t="s">
        <v>3941</v>
      </c>
      <c r="D45" s="114"/>
      <c r="E45" s="120" t="s">
        <v>3941</v>
      </c>
      <c r="F45" s="114"/>
      <c r="G45" s="108" t="s">
        <v>3940</v>
      </c>
    </row>
    <row r="46" customFormat="false" ht="14.25" hidden="false" customHeight="true" outlineLevel="0" collapsed="false">
      <c r="A46" s="108" t="s">
        <v>3942</v>
      </c>
      <c r="B46" s="114"/>
      <c r="C46" s="120" t="s">
        <v>3943</v>
      </c>
      <c r="D46" s="114"/>
      <c r="E46" s="120" t="s">
        <v>3943</v>
      </c>
      <c r="F46" s="114"/>
      <c r="G46" s="108" t="s">
        <v>3942</v>
      </c>
    </row>
    <row r="47" customFormat="false" ht="14.25" hidden="false" customHeight="true" outlineLevel="0" collapsed="false">
      <c r="A47" s="108" t="s">
        <v>3944</v>
      </c>
      <c r="B47" s="114"/>
      <c r="C47" s="120" t="s">
        <v>3945</v>
      </c>
      <c r="D47" s="114"/>
      <c r="E47" s="120" t="s">
        <v>3945</v>
      </c>
      <c r="F47" s="114"/>
      <c r="G47" s="108" t="s">
        <v>3944</v>
      </c>
    </row>
    <row r="48" customFormat="false" ht="14.25" hidden="false" customHeight="true" outlineLevel="0" collapsed="false">
      <c r="A48" s="108" t="s">
        <v>3946</v>
      </c>
      <c r="B48" s="114"/>
      <c r="C48" s="120" t="s">
        <v>3947</v>
      </c>
      <c r="D48" s="114"/>
      <c r="E48" s="120" t="s">
        <v>3947</v>
      </c>
      <c r="F48" s="114"/>
      <c r="G48" s="108" t="s">
        <v>3946</v>
      </c>
    </row>
    <row r="49" customFormat="false" ht="14.25" hidden="false" customHeight="true" outlineLevel="0" collapsed="false">
      <c r="A49" s="108" t="s">
        <v>3948</v>
      </c>
      <c r="B49" s="114"/>
      <c r="C49" s="120" t="s">
        <v>3949</v>
      </c>
      <c r="D49" s="114"/>
      <c r="E49" s="120" t="s">
        <v>3949</v>
      </c>
      <c r="F49" s="114"/>
      <c r="G49" s="108" t="s">
        <v>3948</v>
      </c>
    </row>
    <row r="50" customFormat="false" ht="14.25" hidden="false" customHeight="true" outlineLevel="0" collapsed="false">
      <c r="A50" s="108" t="s">
        <v>3950</v>
      </c>
      <c r="B50" s="114"/>
      <c r="C50" s="120" t="s">
        <v>3951</v>
      </c>
      <c r="D50" s="114"/>
      <c r="E50" s="120" t="s">
        <v>3951</v>
      </c>
      <c r="F50" s="114"/>
      <c r="G50" s="108" t="s">
        <v>3950</v>
      </c>
    </row>
    <row r="51" customFormat="false" ht="14.25" hidden="false" customHeight="true" outlineLevel="0" collapsed="false">
      <c r="A51" s="108" t="s">
        <v>3952</v>
      </c>
      <c r="B51" s="114"/>
      <c r="C51" s="120" t="s">
        <v>3953</v>
      </c>
      <c r="D51" s="114"/>
      <c r="E51" s="120" t="s">
        <v>3953</v>
      </c>
      <c r="F51" s="114"/>
      <c r="G51" s="108" t="s">
        <v>3952</v>
      </c>
    </row>
    <row r="52" customFormat="false" ht="14.25" hidden="false" customHeight="true" outlineLevel="0" collapsed="false">
      <c r="A52" s="108" t="s">
        <v>3954</v>
      </c>
      <c r="B52" s="114"/>
      <c r="C52" s="120" t="s">
        <v>3955</v>
      </c>
      <c r="D52" s="114"/>
      <c r="E52" s="120" t="s">
        <v>3955</v>
      </c>
      <c r="F52" s="114"/>
      <c r="G52" s="108" t="s">
        <v>3954</v>
      </c>
    </row>
    <row r="53" customFormat="false" ht="14.25" hidden="false" customHeight="true" outlineLevel="0" collapsed="false">
      <c r="A53" s="108" t="s">
        <v>3956</v>
      </c>
      <c r="B53" s="114"/>
      <c r="C53" s="120" t="s">
        <v>3957</v>
      </c>
      <c r="D53" s="114"/>
      <c r="E53" s="120" t="s">
        <v>3957</v>
      </c>
      <c r="F53" s="114"/>
      <c r="G53" s="108" t="s">
        <v>3956</v>
      </c>
    </row>
    <row r="54" customFormat="false" ht="14.25" hidden="false" customHeight="true" outlineLevel="0" collapsed="false">
      <c r="A54" s="108" t="s">
        <v>3958</v>
      </c>
      <c r="B54" s="114"/>
      <c r="C54" s="120" t="s">
        <v>3959</v>
      </c>
      <c r="D54" s="114"/>
      <c r="E54" s="120" t="s">
        <v>3959</v>
      </c>
      <c r="F54" s="114"/>
      <c r="G54" s="108" t="s">
        <v>3958</v>
      </c>
    </row>
    <row r="55" customFormat="false" ht="14.25" hidden="false" customHeight="true" outlineLevel="0" collapsed="false">
      <c r="A55" s="108" t="s">
        <v>3960</v>
      </c>
      <c r="B55" s="114"/>
      <c r="C55" s="120" t="s">
        <v>3961</v>
      </c>
      <c r="D55" s="114"/>
      <c r="E55" s="120" t="s">
        <v>3961</v>
      </c>
      <c r="F55" s="114"/>
      <c r="G55" s="108" t="s">
        <v>3960</v>
      </c>
    </row>
    <row r="56" customFormat="false" ht="14.25" hidden="false" customHeight="true" outlineLevel="0" collapsed="false">
      <c r="A56" s="108" t="s">
        <v>3962</v>
      </c>
      <c r="B56" s="114"/>
      <c r="C56" s="120" t="s">
        <v>3963</v>
      </c>
      <c r="D56" s="114"/>
      <c r="E56" s="120" t="s">
        <v>3963</v>
      </c>
      <c r="F56" s="114"/>
      <c r="G56" s="108" t="s">
        <v>3962</v>
      </c>
    </row>
    <row r="57" customFormat="false" ht="14.25" hidden="false" customHeight="true" outlineLevel="0" collapsed="false">
      <c r="A57" s="108" t="s">
        <v>3964</v>
      </c>
      <c r="B57" s="114"/>
      <c r="C57" s="120" t="s">
        <v>3965</v>
      </c>
      <c r="D57" s="114"/>
      <c r="E57" s="120" t="s">
        <v>3965</v>
      </c>
      <c r="F57" s="114"/>
      <c r="G57" s="108" t="s">
        <v>3964</v>
      </c>
    </row>
    <row r="58" customFormat="false" ht="14.25" hidden="false" customHeight="true" outlineLevel="0" collapsed="false">
      <c r="A58" s="108" t="s">
        <v>3966</v>
      </c>
      <c r="B58" s="114"/>
      <c r="C58" s="120" t="s">
        <v>3967</v>
      </c>
      <c r="D58" s="114"/>
      <c r="E58" s="120" t="s">
        <v>3967</v>
      </c>
      <c r="F58" s="114"/>
      <c r="G58" s="108" t="s">
        <v>3966</v>
      </c>
    </row>
    <row r="59" customFormat="false" ht="14.25" hidden="false" customHeight="true" outlineLevel="0" collapsed="false">
      <c r="A59" s="108" t="s">
        <v>3968</v>
      </c>
      <c r="B59" s="114"/>
      <c r="C59" s="120" t="s">
        <v>3969</v>
      </c>
      <c r="D59" s="114"/>
      <c r="E59" s="120" t="s">
        <v>3969</v>
      </c>
      <c r="F59" s="114"/>
      <c r="G59" s="108" t="s">
        <v>3968</v>
      </c>
    </row>
    <row r="60" customFormat="false" ht="14.25" hidden="false" customHeight="true" outlineLevel="0" collapsed="false">
      <c r="A60" s="108" t="s">
        <v>3970</v>
      </c>
      <c r="B60" s="114"/>
      <c r="C60" s="120" t="s">
        <v>3971</v>
      </c>
      <c r="D60" s="114"/>
      <c r="E60" s="120" t="s">
        <v>3971</v>
      </c>
      <c r="F60" s="114"/>
      <c r="G60" s="108" t="s">
        <v>3970</v>
      </c>
    </row>
    <row r="61" customFormat="false" ht="14.25" hidden="false" customHeight="true" outlineLevel="0" collapsed="false">
      <c r="A61" s="108" t="s">
        <v>3972</v>
      </c>
      <c r="B61" s="114"/>
      <c r="C61" s="120" t="s">
        <v>3973</v>
      </c>
      <c r="D61" s="114"/>
      <c r="E61" s="120" t="s">
        <v>3973</v>
      </c>
      <c r="F61" s="114"/>
      <c r="G61" s="108" t="s">
        <v>3972</v>
      </c>
    </row>
    <row r="62" customFormat="false" ht="14.25" hidden="false" customHeight="true" outlineLevel="0" collapsed="false">
      <c r="A62" s="108" t="s">
        <v>3974</v>
      </c>
      <c r="B62" s="114"/>
      <c r="C62" s="120" t="s">
        <v>3975</v>
      </c>
      <c r="D62" s="114"/>
      <c r="E62" s="120" t="s">
        <v>3975</v>
      </c>
      <c r="F62" s="114"/>
      <c r="G62" s="108" t="s">
        <v>3974</v>
      </c>
    </row>
    <row r="63" customFormat="false" ht="14.25" hidden="false" customHeight="true" outlineLevel="0" collapsed="false">
      <c r="A63" s="108" t="s">
        <v>3976</v>
      </c>
      <c r="B63" s="114"/>
      <c r="C63" s="120" t="s">
        <v>3977</v>
      </c>
      <c r="D63" s="114"/>
      <c r="E63" s="120" t="s">
        <v>3977</v>
      </c>
      <c r="F63" s="114"/>
      <c r="G63" s="108" t="s">
        <v>3976</v>
      </c>
    </row>
    <row r="64" customFormat="false" ht="14.25" hidden="false" customHeight="true" outlineLevel="0" collapsed="false">
      <c r="A64" s="108" t="s">
        <v>3978</v>
      </c>
      <c r="B64" s="114"/>
      <c r="C64" s="120" t="s">
        <v>3979</v>
      </c>
      <c r="D64" s="114"/>
      <c r="E64" s="120" t="s">
        <v>3979</v>
      </c>
      <c r="F64" s="114"/>
      <c r="G64" s="108" t="s">
        <v>3978</v>
      </c>
    </row>
    <row r="65" customFormat="false" ht="14.25" hidden="false" customHeight="true" outlineLevel="0" collapsed="false">
      <c r="A65" s="108" t="s">
        <v>3980</v>
      </c>
      <c r="B65" s="114"/>
      <c r="C65" s="120" t="s">
        <v>3981</v>
      </c>
      <c r="D65" s="114"/>
      <c r="E65" s="120" t="s">
        <v>3981</v>
      </c>
      <c r="F65" s="114"/>
      <c r="G65" s="108" t="s">
        <v>3980</v>
      </c>
    </row>
    <row r="66" customFormat="false" ht="14.25" hidden="false" customHeight="true" outlineLevel="0" collapsed="false">
      <c r="A66" s="108" t="s">
        <v>3982</v>
      </c>
      <c r="B66" s="114"/>
      <c r="C66" s="120" t="s">
        <v>3983</v>
      </c>
      <c r="D66" s="114"/>
      <c r="E66" s="120" t="s">
        <v>3983</v>
      </c>
      <c r="F66" s="114"/>
      <c r="G66" s="108" t="s">
        <v>3982</v>
      </c>
    </row>
    <row r="67" customFormat="false" ht="14.25" hidden="false" customHeight="true" outlineLevel="0" collapsed="false">
      <c r="A67" s="108" t="s">
        <v>3984</v>
      </c>
      <c r="B67" s="114"/>
      <c r="C67" s="120" t="s">
        <v>3985</v>
      </c>
      <c r="D67" s="114"/>
      <c r="E67" s="120" t="s">
        <v>3985</v>
      </c>
      <c r="F67" s="114"/>
      <c r="G67" s="108" t="s">
        <v>3984</v>
      </c>
    </row>
    <row r="68" customFormat="false" ht="14.25" hidden="false" customHeight="true" outlineLevel="0" collapsed="false">
      <c r="A68" s="108" t="s">
        <v>3986</v>
      </c>
      <c r="B68" s="114"/>
      <c r="C68" s="120" t="s">
        <v>3987</v>
      </c>
      <c r="D68" s="114"/>
      <c r="E68" s="120" t="s">
        <v>3987</v>
      </c>
      <c r="F68" s="114"/>
      <c r="G68" s="108" t="s">
        <v>3986</v>
      </c>
    </row>
    <row r="69" customFormat="false" ht="14.25" hidden="false" customHeight="true" outlineLevel="0" collapsed="false">
      <c r="A69" s="108" t="s">
        <v>3988</v>
      </c>
      <c r="B69" s="114"/>
      <c r="C69" s="120" t="s">
        <v>3989</v>
      </c>
      <c r="D69" s="114"/>
      <c r="E69" s="120" t="s">
        <v>3989</v>
      </c>
      <c r="F69" s="114"/>
      <c r="G69" s="108" t="s">
        <v>3988</v>
      </c>
    </row>
    <row r="70" customFormat="false" ht="14.25" hidden="false" customHeight="true" outlineLevel="0" collapsed="false">
      <c r="A70" s="108" t="s">
        <v>3990</v>
      </c>
      <c r="B70" s="114"/>
      <c r="C70" s="120" t="s">
        <v>3991</v>
      </c>
      <c r="D70" s="114"/>
      <c r="E70" s="120" t="s">
        <v>3991</v>
      </c>
      <c r="F70" s="114"/>
      <c r="G70" s="108" t="s">
        <v>3990</v>
      </c>
    </row>
    <row r="71" customFormat="false" ht="14.25" hidden="false" customHeight="true" outlineLevel="0" collapsed="false">
      <c r="A71" s="108" t="s">
        <v>3992</v>
      </c>
      <c r="B71" s="114"/>
      <c r="C71" s="120" t="s">
        <v>3993</v>
      </c>
      <c r="D71" s="114"/>
      <c r="E71" s="120" t="s">
        <v>3993</v>
      </c>
      <c r="F71" s="114"/>
      <c r="G71" s="108" t="s">
        <v>3992</v>
      </c>
    </row>
    <row r="72" customFormat="false" ht="14.25" hidden="false" customHeight="true" outlineLevel="0" collapsed="false">
      <c r="A72" s="108" t="s">
        <v>3994</v>
      </c>
      <c r="B72" s="114"/>
      <c r="C72" s="120" t="s">
        <v>3995</v>
      </c>
      <c r="D72" s="114"/>
      <c r="E72" s="120" t="s">
        <v>3995</v>
      </c>
      <c r="F72" s="114"/>
      <c r="G72" s="108" t="s">
        <v>3994</v>
      </c>
    </row>
    <row r="73" customFormat="false" ht="14.25" hidden="false" customHeight="true" outlineLevel="0" collapsed="false">
      <c r="A73" s="108" t="s">
        <v>3996</v>
      </c>
      <c r="B73" s="114"/>
      <c r="C73" s="120" t="s">
        <v>3997</v>
      </c>
      <c r="D73" s="114"/>
      <c r="E73" s="120" t="s">
        <v>3997</v>
      </c>
      <c r="F73" s="114"/>
      <c r="G73" s="108" t="s">
        <v>3996</v>
      </c>
    </row>
    <row r="74" customFormat="false" ht="14.25" hidden="false" customHeight="true" outlineLevel="0" collapsed="false">
      <c r="A74" s="108" t="s">
        <v>3998</v>
      </c>
      <c r="B74" s="114"/>
      <c r="C74" s="120" t="s">
        <v>3999</v>
      </c>
      <c r="D74" s="114"/>
      <c r="E74" s="120" t="s">
        <v>3999</v>
      </c>
      <c r="F74" s="114"/>
      <c r="G74" s="108" t="s">
        <v>3998</v>
      </c>
    </row>
    <row r="75" customFormat="false" ht="14.25" hidden="false" customHeight="true" outlineLevel="0" collapsed="false">
      <c r="A75" s="108" t="s">
        <v>4000</v>
      </c>
      <c r="B75" s="114"/>
      <c r="C75" s="120" t="s">
        <v>4001</v>
      </c>
      <c r="D75" s="114"/>
      <c r="E75" s="120" t="s">
        <v>4001</v>
      </c>
      <c r="F75" s="114"/>
      <c r="G75" s="108" t="s">
        <v>4000</v>
      </c>
    </row>
    <row r="76" customFormat="false" ht="14.25" hidden="false" customHeight="true" outlineLevel="0" collapsed="false">
      <c r="A76" s="108" t="s">
        <v>4002</v>
      </c>
      <c r="B76" s="114"/>
      <c r="C76" s="120" t="s">
        <v>4003</v>
      </c>
      <c r="D76" s="114"/>
      <c r="E76" s="120" t="s">
        <v>4003</v>
      </c>
      <c r="F76" s="114"/>
      <c r="G76" s="108" t="s">
        <v>4002</v>
      </c>
    </row>
    <row r="77" customFormat="false" ht="14.25" hidden="false" customHeight="true" outlineLevel="0" collapsed="false">
      <c r="A77" s="108" t="s">
        <v>4004</v>
      </c>
      <c r="B77" s="114"/>
      <c r="C77" s="120" t="s">
        <v>4005</v>
      </c>
      <c r="D77" s="114"/>
      <c r="E77" s="120" t="s">
        <v>4005</v>
      </c>
      <c r="F77" s="114"/>
      <c r="G77" s="108" t="s">
        <v>4004</v>
      </c>
    </row>
    <row r="78" customFormat="false" ht="14.25" hidden="false" customHeight="true" outlineLevel="0" collapsed="false">
      <c r="A78" s="108" t="s">
        <v>4006</v>
      </c>
      <c r="B78" s="114"/>
      <c r="C78" s="120" t="s">
        <v>4007</v>
      </c>
      <c r="D78" s="114"/>
      <c r="E78" s="120" t="s">
        <v>4007</v>
      </c>
      <c r="F78" s="114"/>
      <c r="G78" s="108" t="s">
        <v>4006</v>
      </c>
    </row>
    <row r="79" customFormat="false" ht="14.25" hidden="false" customHeight="true" outlineLevel="0" collapsed="false">
      <c r="A79" s="108" t="s">
        <v>4008</v>
      </c>
      <c r="B79" s="114"/>
      <c r="C79" s="120" t="s">
        <v>4009</v>
      </c>
      <c r="D79" s="114"/>
      <c r="E79" s="120" t="s">
        <v>4009</v>
      </c>
      <c r="F79" s="114"/>
      <c r="G79" s="108" t="s">
        <v>4008</v>
      </c>
    </row>
    <row r="80" customFormat="false" ht="14.25" hidden="false" customHeight="true" outlineLevel="0" collapsed="false">
      <c r="A80" s="108" t="s">
        <v>4010</v>
      </c>
      <c r="B80" s="114"/>
      <c r="C80" s="120" t="s">
        <v>4011</v>
      </c>
      <c r="D80" s="114"/>
      <c r="E80" s="120" t="s">
        <v>4011</v>
      </c>
      <c r="F80" s="114"/>
      <c r="G80" s="108" t="s">
        <v>4010</v>
      </c>
    </row>
    <row r="81" customFormat="false" ht="14.25" hidden="false" customHeight="true" outlineLevel="0" collapsed="false">
      <c r="A81" s="108" t="s">
        <v>4012</v>
      </c>
      <c r="B81" s="114"/>
      <c r="C81" s="120" t="s">
        <v>4013</v>
      </c>
      <c r="D81" s="114"/>
      <c r="E81" s="120" t="s">
        <v>4013</v>
      </c>
      <c r="F81" s="114"/>
      <c r="G81" s="108" t="s">
        <v>4012</v>
      </c>
    </row>
    <row r="82" customFormat="false" ht="14.25" hidden="false" customHeight="true" outlineLevel="0" collapsed="false">
      <c r="A82" s="108" t="s">
        <v>4014</v>
      </c>
      <c r="B82" s="114"/>
      <c r="C82" s="120" t="s">
        <v>4015</v>
      </c>
      <c r="D82" s="114"/>
      <c r="E82" s="120" t="s">
        <v>4015</v>
      </c>
      <c r="F82" s="114"/>
      <c r="G82" s="108" t="s">
        <v>4014</v>
      </c>
    </row>
    <row r="83" customFormat="false" ht="14.25" hidden="false" customHeight="true" outlineLevel="0" collapsed="false">
      <c r="A83" s="108" t="s">
        <v>4016</v>
      </c>
      <c r="B83" s="114"/>
      <c r="C83" s="120" t="s">
        <v>4017</v>
      </c>
      <c r="D83" s="114"/>
      <c r="E83" s="120" t="s">
        <v>4017</v>
      </c>
      <c r="F83" s="114"/>
      <c r="G83" s="108" t="s">
        <v>4016</v>
      </c>
    </row>
    <row r="84" customFormat="false" ht="14.25" hidden="false" customHeight="true" outlineLevel="0" collapsed="false">
      <c r="A84" s="108" t="s">
        <v>4018</v>
      </c>
      <c r="B84" s="114"/>
      <c r="C84" s="120" t="s">
        <v>4019</v>
      </c>
      <c r="D84" s="114"/>
      <c r="E84" s="120" t="s">
        <v>4019</v>
      </c>
      <c r="F84" s="114"/>
      <c r="G84" s="108" t="s">
        <v>4018</v>
      </c>
    </row>
    <row r="85" customFormat="false" ht="14.25" hidden="false" customHeight="true" outlineLevel="0" collapsed="false">
      <c r="B85" s="114"/>
      <c r="C85" s="108"/>
      <c r="D85" s="114"/>
      <c r="E85" s="108"/>
      <c r="F85" s="114"/>
    </row>
    <row r="86" customFormat="false" ht="14.25" hidden="false" customHeight="true" outlineLevel="0" collapsed="false">
      <c r="A86" s="108"/>
      <c r="B86" s="114"/>
      <c r="C86" s="108"/>
      <c r="D86" s="114"/>
      <c r="E86" s="108"/>
      <c r="F86" s="114"/>
      <c r="G86" s="108"/>
    </row>
    <row r="87" customFormat="false" ht="14.25" hidden="false" customHeight="true" outlineLevel="0" collapsed="false">
      <c r="A87" s="108"/>
      <c r="B87" s="114"/>
      <c r="C87" s="108"/>
      <c r="D87" s="114"/>
      <c r="E87" s="108"/>
      <c r="F87" s="114"/>
      <c r="G87" s="108"/>
    </row>
    <row r="88" customFormat="false" ht="14.25" hidden="false" customHeight="true" outlineLevel="0" collapsed="false">
      <c r="A88" s="108"/>
      <c r="B88" s="114"/>
      <c r="C88" s="108"/>
      <c r="D88" s="114"/>
      <c r="E88" s="108"/>
      <c r="F88" s="114"/>
      <c r="G88" s="108"/>
    </row>
    <row r="89" customFormat="false" ht="14.25" hidden="false" customHeight="true" outlineLevel="0" collapsed="false">
      <c r="A89" s="108"/>
      <c r="B89" s="114"/>
      <c r="C89" s="108"/>
      <c r="D89" s="114"/>
      <c r="E89" s="108"/>
      <c r="F89" s="114"/>
      <c r="G89" s="108"/>
    </row>
    <row r="90" customFormat="false" ht="14.25" hidden="false" customHeight="true" outlineLevel="0" collapsed="false">
      <c r="A90" s="108"/>
      <c r="B90" s="114"/>
      <c r="C90" s="108"/>
      <c r="D90" s="114"/>
      <c r="E90" s="108"/>
      <c r="F90" s="114"/>
      <c r="G90" s="108"/>
    </row>
    <row r="91" customFormat="false" ht="14.25" hidden="false" customHeight="true" outlineLevel="0" collapsed="false">
      <c r="A91" s="108"/>
      <c r="B91" s="114"/>
      <c r="C91" s="108"/>
      <c r="D91" s="114"/>
      <c r="E91" s="108"/>
      <c r="F91" s="114"/>
      <c r="G91" s="108"/>
    </row>
    <row r="92" customFormat="false" ht="14.25" hidden="false" customHeight="true" outlineLevel="0" collapsed="false">
      <c r="A92" s="108"/>
      <c r="B92" s="114"/>
      <c r="C92" s="108"/>
      <c r="D92" s="114"/>
      <c r="E92" s="108"/>
      <c r="F92" s="114"/>
      <c r="G92" s="108"/>
    </row>
    <row r="93" customFormat="false" ht="14.25" hidden="false" customHeight="true" outlineLevel="0" collapsed="false">
      <c r="A93" s="108"/>
      <c r="B93" s="114"/>
      <c r="C93" s="108"/>
      <c r="D93" s="114"/>
      <c r="E93" s="108"/>
      <c r="F93" s="114"/>
      <c r="G93" s="108"/>
    </row>
    <row r="94" customFormat="false" ht="14.25" hidden="false" customHeight="true" outlineLevel="0" collapsed="false">
      <c r="A94" s="108"/>
      <c r="B94" s="114"/>
      <c r="C94" s="108"/>
      <c r="D94" s="114"/>
      <c r="E94" s="108"/>
      <c r="F94" s="114"/>
      <c r="G94" s="108"/>
    </row>
    <row r="95" customFormat="false" ht="14.25" hidden="false" customHeight="true" outlineLevel="0" collapsed="false">
      <c r="A95" s="108"/>
      <c r="B95" s="114"/>
      <c r="C95" s="108"/>
      <c r="D95" s="114"/>
      <c r="E95" s="108"/>
      <c r="F95" s="114"/>
      <c r="G95" s="108"/>
    </row>
    <row r="96" customFormat="false" ht="14.25" hidden="false" customHeight="true" outlineLevel="0" collapsed="false">
      <c r="A96" s="108"/>
      <c r="B96" s="114"/>
      <c r="C96" s="108"/>
      <c r="D96" s="114"/>
      <c r="E96" s="108"/>
      <c r="F96" s="114"/>
      <c r="G96" s="108"/>
    </row>
    <row r="97" customFormat="false" ht="14.25" hidden="false" customHeight="true" outlineLevel="0" collapsed="false">
      <c r="A97" s="108"/>
      <c r="B97" s="114"/>
      <c r="C97" s="108"/>
      <c r="D97" s="114"/>
      <c r="E97" s="108"/>
      <c r="F97" s="114"/>
      <c r="G97" s="108"/>
    </row>
    <row r="98" customFormat="false" ht="14.25" hidden="false" customHeight="true" outlineLevel="0" collapsed="false">
      <c r="A98" s="108"/>
      <c r="B98" s="114"/>
      <c r="C98" s="108"/>
      <c r="D98" s="114"/>
      <c r="E98" s="108"/>
      <c r="F98" s="114"/>
      <c r="G98" s="108"/>
    </row>
    <row r="99" customFormat="false" ht="14.25" hidden="false" customHeight="true" outlineLevel="0" collapsed="false">
      <c r="A99" s="108"/>
      <c r="B99" s="114"/>
      <c r="C99" s="108"/>
      <c r="D99" s="114"/>
      <c r="E99" s="108"/>
      <c r="F99" s="114"/>
      <c r="G99" s="108"/>
    </row>
    <row r="100" customFormat="false" ht="14.25" hidden="false" customHeight="true" outlineLevel="0" collapsed="false">
      <c r="A100" s="108"/>
      <c r="B100" s="114"/>
      <c r="C100" s="108"/>
      <c r="D100" s="114"/>
      <c r="E100" s="108"/>
      <c r="F100" s="114"/>
      <c r="G100" s="108"/>
    </row>
    <row r="101" customFormat="false" ht="14.25" hidden="false" customHeight="true" outlineLevel="0" collapsed="false">
      <c r="A101" s="108"/>
      <c r="G101" s="108"/>
    </row>
    <row r="102" customFormat="false" ht="14.25" hidden="false" customHeight="true" outlineLevel="0" collapsed="false">
      <c r="A102" s="108"/>
      <c r="G102" s="108"/>
    </row>
    <row r="103" customFormat="false" ht="14.25" hidden="false" customHeight="true" outlineLevel="0" collapsed="false">
      <c r="A103" s="108"/>
      <c r="G103" s="108"/>
    </row>
    <row r="104" customFormat="false" ht="14.25" hidden="false" customHeight="true" outlineLevel="0" collapsed="false">
      <c r="A104" s="108"/>
      <c r="G104" s="108"/>
    </row>
    <row r="105" customFormat="false" ht="14.25" hidden="false" customHeight="true" outlineLevel="0" collapsed="false">
      <c r="A105" s="108"/>
      <c r="G105" s="108"/>
    </row>
    <row r="106" customFormat="false" ht="14.25" hidden="false" customHeight="true" outlineLevel="0" collapsed="false">
      <c r="A106" s="108"/>
      <c r="G106" s="108"/>
    </row>
    <row r="107" customFormat="false" ht="14.25" hidden="false" customHeight="true" outlineLevel="0" collapsed="false">
      <c r="A107" s="108"/>
      <c r="G107" s="108"/>
    </row>
    <row r="108" customFormat="false" ht="14.25" hidden="false" customHeight="true" outlineLevel="0" collapsed="false">
      <c r="A108" s="108"/>
      <c r="G108" s="108"/>
    </row>
    <row r="109" customFormat="false" ht="14.25" hidden="false" customHeight="true" outlineLevel="0" collapsed="false">
      <c r="A109" s="108"/>
      <c r="G109" s="108"/>
    </row>
    <row r="110" customFormat="false" ht="14.25" hidden="false" customHeight="true" outlineLevel="0" collapsed="false">
      <c r="A110" s="108"/>
      <c r="G110" s="108"/>
    </row>
    <row r="111" customFormat="false" ht="14.25" hidden="false" customHeight="true" outlineLevel="0" collapsed="false">
      <c r="A111" s="108"/>
      <c r="G111" s="108"/>
    </row>
    <row r="112" customFormat="false" ht="14.25" hidden="false" customHeight="true" outlineLevel="0" collapsed="false">
      <c r="A112" s="108"/>
      <c r="G112" s="108"/>
    </row>
    <row r="113" customFormat="false" ht="14.25" hidden="false" customHeight="true" outlineLevel="0" collapsed="false">
      <c r="A113" s="108"/>
      <c r="G113" s="108"/>
    </row>
    <row r="114" customFormat="false" ht="14.25" hidden="false" customHeight="true" outlineLevel="0" collapsed="false">
      <c r="A114" s="108"/>
      <c r="G114" s="108"/>
    </row>
    <row r="115" customFormat="false" ht="14.25" hidden="false" customHeight="true" outlineLevel="0" collapsed="false">
      <c r="A115" s="108"/>
      <c r="G115" s="108"/>
    </row>
    <row r="116" customFormat="false" ht="14.25" hidden="false" customHeight="true" outlineLevel="0" collapsed="false">
      <c r="A116" s="108"/>
      <c r="G116" s="108"/>
    </row>
    <row r="117" customFormat="false" ht="14.25" hidden="false" customHeight="true" outlineLevel="0" collapsed="false">
      <c r="A117" s="108"/>
      <c r="G117" s="108"/>
    </row>
    <row r="118" customFormat="false" ht="14.25" hidden="false" customHeight="true" outlineLevel="0" collapsed="false">
      <c r="A118" s="108"/>
      <c r="G118" s="108"/>
    </row>
    <row r="119" customFormat="false" ht="14.25" hidden="false" customHeight="true" outlineLevel="0" collapsed="false">
      <c r="A119" s="108"/>
      <c r="G119" s="108"/>
    </row>
    <row r="120" customFormat="false" ht="14.25" hidden="false" customHeight="true" outlineLevel="0" collapsed="false">
      <c r="A120" s="108"/>
      <c r="G120" s="108"/>
    </row>
    <row r="121" customFormat="false" ht="14.25" hidden="false" customHeight="true" outlineLevel="0" collapsed="false">
      <c r="A121" s="108"/>
      <c r="G121" s="108"/>
    </row>
    <row r="122" customFormat="false" ht="14.25" hidden="false" customHeight="true" outlineLevel="0" collapsed="false">
      <c r="A122" s="108"/>
      <c r="G122" s="108"/>
    </row>
    <row r="123" customFormat="false" ht="14.25" hidden="false" customHeight="true" outlineLevel="0" collapsed="false">
      <c r="A123" s="108"/>
      <c r="G123" s="108"/>
    </row>
    <row r="124" customFormat="false" ht="14.25" hidden="false" customHeight="true" outlineLevel="0" collapsed="false">
      <c r="A124" s="108"/>
      <c r="G124" s="108"/>
    </row>
    <row r="125" customFormat="false" ht="14.25" hidden="false" customHeight="true" outlineLevel="0" collapsed="false">
      <c r="A125" s="108"/>
      <c r="G125" s="108"/>
    </row>
    <row r="126" customFormat="false" ht="14.25" hidden="false" customHeight="true" outlineLevel="0" collapsed="false">
      <c r="A126" s="108"/>
      <c r="G126" s="108"/>
    </row>
    <row r="127" customFormat="false" ht="14.25" hidden="false" customHeight="true" outlineLevel="0" collapsed="false">
      <c r="A127" s="108"/>
      <c r="G127" s="108"/>
    </row>
    <row r="128" customFormat="false" ht="14.25" hidden="false" customHeight="true" outlineLevel="0" collapsed="false">
      <c r="A128" s="108"/>
      <c r="G128" s="108"/>
    </row>
    <row r="129" customFormat="false" ht="14.25" hidden="false" customHeight="true" outlineLevel="0" collapsed="false">
      <c r="A129" s="108"/>
      <c r="G129" s="108"/>
    </row>
    <row r="130" customFormat="false" ht="14.25" hidden="false" customHeight="true" outlineLevel="0" collapsed="false">
      <c r="A130" s="108"/>
      <c r="G130" s="108"/>
    </row>
    <row r="131" customFormat="false" ht="14.25" hidden="false" customHeight="true" outlineLevel="0" collapsed="false">
      <c r="A131" s="108"/>
      <c r="G131" s="108"/>
    </row>
    <row r="132" customFormat="false" ht="14.25" hidden="false" customHeight="true" outlineLevel="0" collapsed="false">
      <c r="A132" s="108"/>
      <c r="G132" s="108"/>
    </row>
    <row r="133" customFormat="false" ht="14.25" hidden="false" customHeight="true" outlineLevel="0" collapsed="false">
      <c r="A133" s="108"/>
      <c r="G133" s="108"/>
    </row>
    <row r="134" customFormat="false" ht="14.25" hidden="false" customHeight="true" outlineLevel="0" collapsed="false">
      <c r="A134" s="108"/>
      <c r="G134" s="108"/>
    </row>
    <row r="135" customFormat="false" ht="14.25" hidden="false" customHeight="true" outlineLevel="0" collapsed="false">
      <c r="A135" s="108"/>
      <c r="G135" s="108"/>
    </row>
    <row r="136" customFormat="false" ht="14.25" hidden="false" customHeight="true" outlineLevel="0" collapsed="false">
      <c r="A136" s="108"/>
      <c r="G136" s="108"/>
    </row>
    <row r="137" customFormat="false" ht="14.25" hidden="false" customHeight="true" outlineLevel="0" collapsed="false">
      <c r="A137" s="108"/>
      <c r="G137" s="108"/>
    </row>
    <row r="138" customFormat="false" ht="14.25" hidden="false" customHeight="true" outlineLevel="0" collapsed="false">
      <c r="A138" s="108"/>
      <c r="G138" s="108"/>
    </row>
    <row r="139" customFormat="false" ht="14.25" hidden="false" customHeight="true" outlineLevel="0" collapsed="false">
      <c r="A139" s="108"/>
      <c r="G139" s="108"/>
    </row>
    <row r="140" customFormat="false" ht="14.25" hidden="false" customHeight="true" outlineLevel="0" collapsed="false">
      <c r="A140" s="108"/>
      <c r="G140" s="108"/>
    </row>
    <row r="141" customFormat="false" ht="14.25" hidden="false" customHeight="true" outlineLevel="0" collapsed="false">
      <c r="A141" s="108"/>
      <c r="G141" s="108"/>
    </row>
    <row r="142" customFormat="false" ht="14.25" hidden="false" customHeight="true" outlineLevel="0" collapsed="false">
      <c r="A142" s="108"/>
      <c r="G142" s="108"/>
    </row>
    <row r="143" customFormat="false" ht="14.25" hidden="false" customHeight="true" outlineLevel="0" collapsed="false">
      <c r="A143" s="108"/>
      <c r="G143" s="108"/>
    </row>
    <row r="144" customFormat="false" ht="14.25" hidden="false" customHeight="true" outlineLevel="0" collapsed="false">
      <c r="A144" s="108"/>
      <c r="G144" s="108"/>
    </row>
    <row r="145" customFormat="false" ht="14.25" hidden="false" customHeight="true" outlineLevel="0" collapsed="false">
      <c r="A145" s="108"/>
      <c r="G145" s="108"/>
    </row>
    <row r="146" customFormat="false" ht="14.25" hidden="false" customHeight="true" outlineLevel="0" collapsed="false">
      <c r="A146" s="108"/>
      <c r="G146" s="108"/>
    </row>
    <row r="147" customFormat="false" ht="14.25" hidden="false" customHeight="true" outlineLevel="0" collapsed="false">
      <c r="A147" s="108"/>
      <c r="G147" s="108"/>
    </row>
    <row r="148" customFormat="false" ht="14.25" hidden="false" customHeight="true" outlineLevel="0" collapsed="false">
      <c r="A148" s="108"/>
      <c r="G148" s="108"/>
    </row>
    <row r="149" customFormat="false" ht="14.25" hidden="false" customHeight="true" outlineLevel="0" collapsed="false">
      <c r="A149" s="108"/>
      <c r="G149" s="108"/>
    </row>
    <row r="150" customFormat="false" ht="14.25" hidden="false" customHeight="true" outlineLevel="0" collapsed="false">
      <c r="A150" s="108"/>
      <c r="G150" s="108"/>
    </row>
    <row r="151" customFormat="false" ht="14.25" hidden="false" customHeight="true" outlineLevel="0" collapsed="false">
      <c r="A151" s="108"/>
      <c r="G151" s="108"/>
    </row>
    <row r="152" customFormat="false" ht="14.25" hidden="false" customHeight="true" outlineLevel="0" collapsed="false">
      <c r="A152" s="108"/>
      <c r="G152" s="108"/>
    </row>
    <row r="153" customFormat="false" ht="14.25" hidden="false" customHeight="true" outlineLevel="0" collapsed="false">
      <c r="A153" s="108"/>
      <c r="G153" s="108"/>
    </row>
    <row r="154" customFormat="false" ht="14.25" hidden="false" customHeight="true" outlineLevel="0" collapsed="false">
      <c r="A154" s="108"/>
      <c r="G154" s="108"/>
    </row>
    <row r="155" customFormat="false" ht="14.25" hidden="false" customHeight="true" outlineLevel="0" collapsed="false">
      <c r="A155" s="108"/>
      <c r="G155" s="108"/>
    </row>
    <row r="156" customFormat="false" ht="14.25" hidden="false" customHeight="true" outlineLevel="0" collapsed="false">
      <c r="A156" s="108"/>
      <c r="G156" s="108"/>
    </row>
    <row r="157" customFormat="false" ht="14.25" hidden="false" customHeight="true" outlineLevel="0" collapsed="false">
      <c r="A157" s="108"/>
      <c r="G157" s="108"/>
    </row>
    <row r="158" customFormat="false" ht="14.25" hidden="false" customHeight="true" outlineLevel="0" collapsed="false">
      <c r="A158" s="108"/>
      <c r="G158" s="108"/>
    </row>
    <row r="159" customFormat="false" ht="14.25" hidden="false" customHeight="true" outlineLevel="0" collapsed="false">
      <c r="A159" s="108"/>
      <c r="G159" s="108"/>
    </row>
    <row r="160" customFormat="false" ht="14.25" hidden="false" customHeight="true" outlineLevel="0" collapsed="false">
      <c r="A160" s="108"/>
      <c r="G160" s="108"/>
    </row>
    <row r="161" customFormat="false" ht="14.25" hidden="false" customHeight="true" outlineLevel="0" collapsed="false">
      <c r="A161" s="108"/>
      <c r="G161" s="108"/>
    </row>
    <row r="162" customFormat="false" ht="14.25" hidden="false" customHeight="true" outlineLevel="0" collapsed="false">
      <c r="A162" s="108"/>
      <c r="G162" s="108"/>
    </row>
    <row r="163" customFormat="false" ht="14.25" hidden="false" customHeight="true" outlineLevel="0" collapsed="false">
      <c r="A163" s="108"/>
      <c r="G163" s="108"/>
    </row>
    <row r="164" customFormat="false" ht="14.25" hidden="false" customHeight="true" outlineLevel="0" collapsed="false">
      <c r="A164" s="108"/>
      <c r="G164" s="108"/>
    </row>
    <row r="165" customFormat="false" ht="14.25" hidden="false" customHeight="true" outlineLevel="0" collapsed="false">
      <c r="A165" s="108"/>
      <c r="G165" s="108"/>
    </row>
    <row r="166" customFormat="false" ht="14.25" hidden="false" customHeight="true" outlineLevel="0" collapsed="false">
      <c r="A166" s="108"/>
      <c r="G166" s="108"/>
    </row>
    <row r="167" customFormat="false" ht="14.25" hidden="false" customHeight="true" outlineLevel="0" collapsed="false">
      <c r="A167" s="108"/>
      <c r="G167" s="108"/>
    </row>
    <row r="168" customFormat="false" ht="14.25" hidden="false" customHeight="true" outlineLevel="0" collapsed="false">
      <c r="A168" s="108"/>
      <c r="G168" s="108"/>
    </row>
    <row r="169" customFormat="false" ht="14.25" hidden="false" customHeight="true" outlineLevel="0" collapsed="false">
      <c r="A169" s="108"/>
      <c r="G169" s="108"/>
    </row>
    <row r="170" customFormat="false" ht="14.25" hidden="false" customHeight="true" outlineLevel="0" collapsed="false">
      <c r="A170" s="108"/>
      <c r="G170" s="108"/>
    </row>
    <row r="171" customFormat="false" ht="14.25" hidden="false" customHeight="true" outlineLevel="0" collapsed="false">
      <c r="A171" s="108"/>
      <c r="G171" s="108"/>
    </row>
    <row r="172" customFormat="false" ht="14.25" hidden="false" customHeight="true" outlineLevel="0" collapsed="false">
      <c r="A172" s="108"/>
      <c r="G172" s="108"/>
    </row>
    <row r="173" customFormat="false" ht="14.25" hidden="false" customHeight="true" outlineLevel="0" collapsed="false">
      <c r="A173" s="108"/>
      <c r="G173" s="108"/>
    </row>
    <row r="174" customFormat="false" ht="14.25" hidden="false" customHeight="true" outlineLevel="0" collapsed="false">
      <c r="A174" s="108"/>
      <c r="G174" s="108"/>
    </row>
    <row r="175" customFormat="false" ht="14.25" hidden="false" customHeight="true" outlineLevel="0" collapsed="false">
      <c r="A175" s="108"/>
      <c r="G175" s="108"/>
    </row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1950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2024-10-28T12:00:25Z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